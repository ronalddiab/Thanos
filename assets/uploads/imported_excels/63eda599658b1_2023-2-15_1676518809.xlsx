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firstSheet="6"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H9" i="5"/>
  <c r="J9" i="5"/>
  <c r="L9" i="5"/>
  <c r="N9" i="5"/>
  <c r="P9" i="5"/>
  <c r="R9" i="5"/>
  <c r="T9" i="5"/>
  <c r="V9" i="5"/>
  <c r="X9" i="5"/>
  <c r="Z9" i="5"/>
  <c r="AB9" i="5"/>
  <c r="AD9" i="5"/>
  <c r="AF9" i="5"/>
  <c r="AH9" i="5"/>
  <c r="H10" i="5"/>
  <c r="J10" i="5"/>
  <c r="L10" i="5"/>
  <c r="N10" i="5"/>
  <c r="P10" i="5"/>
  <c r="R10" i="5"/>
  <c r="T10" i="5"/>
  <c r="V10" i="5"/>
  <c r="X10" i="5"/>
  <c r="Z10" i="5"/>
  <c r="AB10" i="5"/>
  <c r="AD10" i="5"/>
  <c r="AF10" i="5"/>
  <c r="AH10" i="5"/>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R7" i="4"/>
  <c r="AL39" i="3" l="1"/>
  <c r="AK39" i="3"/>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L33" i="8" l="1"/>
  <c r="I33" i="8"/>
  <c r="I3" i="8"/>
  <c r="C41" i="9" l="1"/>
  <c r="O36" i="4" l="1"/>
  <c r="O35" i="4"/>
  <c r="O34" i="4"/>
  <c r="K36" i="4"/>
  <c r="K35" i="4"/>
  <c r="K34" i="4"/>
  <c r="E36" i="4"/>
  <c r="E35" i="4"/>
  <c r="E34" i="4"/>
  <c r="C36" i="4"/>
  <c r="C35" i="4"/>
  <c r="C34" i="4"/>
  <c r="C36" i="5"/>
  <c r="G36" i="5"/>
  <c r="H37" i="5" s="1"/>
  <c r="I36" i="5"/>
  <c r="K36" i="5"/>
  <c r="L37" i="5" s="1"/>
  <c r="O36" i="5"/>
  <c r="Q36" i="5"/>
  <c r="R37" i="5" s="1"/>
  <c r="S36" i="5"/>
  <c r="T37" i="5" s="1"/>
  <c r="U36" i="5"/>
  <c r="W36" i="5"/>
  <c r="X37" i="5" s="1"/>
  <c r="Y36" i="5"/>
  <c r="AA36" i="5"/>
  <c r="AB37" i="5" s="1"/>
  <c r="AC36" i="5"/>
  <c r="AD37" i="5" s="1"/>
  <c r="AE36" i="5"/>
  <c r="AF37" i="5" s="1"/>
  <c r="AG36" i="5"/>
  <c r="AI36" i="5"/>
  <c r="AK36" i="5"/>
  <c r="AL37" i="5" s="1"/>
  <c r="AM36" i="5"/>
  <c r="AN37" i="5" s="1"/>
  <c r="AO36" i="5"/>
  <c r="AP37" i="5" s="1"/>
  <c r="AQ36" i="5"/>
  <c r="AR37" i="5" s="1"/>
  <c r="AS36" i="5"/>
  <c r="AT37" i="5" s="1"/>
  <c r="AU36" i="5"/>
  <c r="AV37" i="5" s="1"/>
  <c r="AW36" i="5"/>
  <c r="AY36" i="5"/>
  <c r="AZ37" i="5" s="1"/>
  <c r="BC36" i="5"/>
  <c r="BD37" i="5" s="1"/>
  <c r="BF37" i="5"/>
  <c r="BB37" i="5"/>
  <c r="AX37" i="5"/>
  <c r="AJ37" i="5"/>
  <c r="AH37" i="5"/>
  <c r="Z37" i="5"/>
  <c r="V37" i="5"/>
  <c r="P37" i="5"/>
  <c r="N37" i="5"/>
  <c r="J37" i="5"/>
  <c r="D37" i="5"/>
  <c r="O33" i="4" l="1"/>
  <c r="O32" i="4"/>
  <c r="O31" i="4"/>
  <c r="O30" i="4"/>
  <c r="K31" i="4"/>
  <c r="K33" i="4"/>
  <c r="K32" i="4"/>
  <c r="E33" i="4"/>
  <c r="E32" i="4"/>
  <c r="E31" i="4"/>
  <c r="E30" i="4"/>
  <c r="C33" i="4"/>
  <c r="C32" i="4"/>
  <c r="C31" i="4"/>
  <c r="C13" i="4" l="1"/>
  <c r="E13" i="4"/>
  <c r="G27" i="4"/>
  <c r="I27" i="4"/>
  <c r="K13" i="4"/>
  <c r="O13" i="4"/>
  <c r="O29" i="4"/>
  <c r="O28" i="4"/>
  <c r="E29" i="4"/>
  <c r="AE25" i="5" l="1"/>
  <c r="AC25" i="5"/>
  <c r="AI25" i="5"/>
  <c r="AM21" i="5"/>
  <c r="AO21" i="5"/>
  <c r="AY21" i="5"/>
  <c r="BC21" i="5"/>
  <c r="BC25" i="5"/>
  <c r="BC26" i="5" s="1"/>
  <c r="BC27" i="5" s="1"/>
  <c r="AY25" i="5"/>
  <c r="AY26" i="5" s="1"/>
  <c r="AY27" i="5" s="1"/>
  <c r="AO25" i="5"/>
  <c r="AO26" i="5" s="1"/>
  <c r="AO27" i="5" s="1"/>
  <c r="AM26" i="5"/>
  <c r="AM27" i="5" s="1"/>
  <c r="AM25" i="5"/>
  <c r="W25" i="5"/>
  <c r="W26" i="5" s="1"/>
  <c r="W27" i="5" s="1"/>
  <c r="U25" i="5"/>
  <c r="U26" i="5" s="1"/>
  <c r="U27" i="5" s="1"/>
  <c r="S26" i="5"/>
  <c r="S27" i="5" s="1"/>
  <c r="S25" i="5"/>
  <c r="Q25" i="5"/>
  <c r="Q26" i="5" s="1"/>
  <c r="Q27" i="5" s="1"/>
  <c r="O25" i="5"/>
  <c r="O26" i="5" s="1"/>
  <c r="O27" i="5" s="1"/>
  <c r="K25" i="5"/>
  <c r="K26" i="5" s="1"/>
  <c r="K27" i="5" s="1"/>
  <c r="I25" i="5"/>
  <c r="I26" i="5" s="1"/>
  <c r="I27" i="5" s="1"/>
  <c r="G25" i="5"/>
  <c r="G26" i="5" s="1"/>
  <c r="G27" i="5" s="1"/>
  <c r="V18" i="5"/>
  <c r="G17" i="4" l="1"/>
  <c r="I17" i="4"/>
  <c r="C12" i="5" l="1"/>
  <c r="I10" i="4"/>
  <c r="I11" i="4" s="1"/>
  <c r="I12" i="4" s="1"/>
  <c r="H11" i="3"/>
  <c r="AJ14" i="5" l="1"/>
  <c r="D8" i="3" l="1"/>
  <c r="F8" i="3"/>
  <c r="H8" i="3"/>
  <c r="I8" i="3"/>
  <c r="K8" i="3"/>
  <c r="M8" i="3"/>
  <c r="O8" i="3"/>
  <c r="P8" i="3"/>
  <c r="R8" i="3"/>
  <c r="S8" i="3" s="1"/>
  <c r="U8" i="3"/>
  <c r="V8" i="3"/>
  <c r="X8" i="3"/>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N36" i="4"/>
  <c r="S36" i="4" s="1"/>
  <c r="I32" i="8" s="1"/>
  <c r="N35" i="4"/>
  <c r="M36" i="4" l="1"/>
  <c r="R36" i="4" s="1"/>
  <c r="S35" i="4"/>
  <c r="I31" i="8" s="1"/>
  <c r="BH37" i="5"/>
  <c r="BI37" i="5"/>
  <c r="L31" i="8" s="1"/>
  <c r="BH38" i="5"/>
  <c r="BI38" i="5"/>
  <c r="L32" i="8" s="1"/>
  <c r="M35" i="4"/>
  <c r="R35" i="4"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BB27" i="5" l="1"/>
  <c r="P7" i="4" l="1"/>
  <c r="L7" i="4"/>
  <c r="J7" i="4"/>
  <c r="H7" i="4"/>
  <c r="F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G41" i="9" l="1"/>
  <c r="N33" i="8"/>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X36" i="5"/>
  <c r="X35" i="5"/>
  <c r="X34" i="5"/>
  <c r="X33" i="5"/>
  <c r="X32" i="5"/>
  <c r="X31" i="5"/>
  <c r="X30" i="5"/>
  <c r="X29" i="5"/>
  <c r="X28" i="5"/>
  <c r="X27" i="5"/>
  <c r="X26" i="5"/>
  <c r="X25" i="5"/>
  <c r="X24" i="5"/>
  <c r="X23" i="5"/>
  <c r="X22" i="5"/>
  <c r="X21" i="5"/>
  <c r="X20" i="5"/>
  <c r="X19" i="5"/>
  <c r="X18" i="5"/>
  <c r="X17" i="5"/>
  <c r="X16" i="5"/>
  <c r="X15" i="5"/>
  <c r="X14" i="5"/>
  <c r="X13" i="5"/>
  <c r="X12" i="5"/>
  <c r="X11"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V36" i="5"/>
  <c r="V35" i="5"/>
  <c r="V34" i="5"/>
  <c r="V33" i="5"/>
  <c r="V32" i="5"/>
  <c r="V31" i="5"/>
  <c r="V30" i="5"/>
  <c r="V29" i="5"/>
  <c r="V28" i="5"/>
  <c r="V27" i="5"/>
  <c r="V26" i="5"/>
  <c r="V25" i="5"/>
  <c r="V24" i="5"/>
  <c r="V23" i="5"/>
  <c r="V22" i="5"/>
  <c r="V21" i="5"/>
  <c r="V20" i="5"/>
  <c r="V19" i="5"/>
  <c r="V17" i="5"/>
  <c r="V16" i="5"/>
  <c r="V15" i="5"/>
  <c r="V13" i="5"/>
  <c r="V12" i="5"/>
  <c r="V11" i="5"/>
  <c r="T36" i="5"/>
  <c r="T35" i="5"/>
  <c r="T34" i="5"/>
  <c r="T33" i="5"/>
  <c r="T32" i="5"/>
  <c r="T31" i="5"/>
  <c r="T30" i="5"/>
  <c r="T29" i="5"/>
  <c r="T28" i="5"/>
  <c r="T27" i="5"/>
  <c r="T26" i="5"/>
  <c r="T25" i="5"/>
  <c r="T24" i="5"/>
  <c r="T23" i="5"/>
  <c r="T22" i="5"/>
  <c r="T21" i="5"/>
  <c r="T20" i="5"/>
  <c r="T19" i="5"/>
  <c r="T18" i="5"/>
  <c r="T17" i="5"/>
  <c r="T16" i="5"/>
  <c r="T15" i="5"/>
  <c r="T14" i="5"/>
  <c r="T13" i="5"/>
  <c r="T12" i="5"/>
  <c r="T11" i="5"/>
  <c r="R36" i="5"/>
  <c r="R35" i="5"/>
  <c r="R34" i="5"/>
  <c r="R33" i="5"/>
  <c r="R32" i="5"/>
  <c r="R31" i="5"/>
  <c r="R30" i="5"/>
  <c r="R29" i="5"/>
  <c r="R28" i="5"/>
  <c r="R27" i="5"/>
  <c r="R26" i="5"/>
  <c r="R25" i="5"/>
  <c r="R24" i="5"/>
  <c r="R23" i="5"/>
  <c r="R22" i="5"/>
  <c r="R21" i="5"/>
  <c r="R20" i="5"/>
  <c r="R19" i="5"/>
  <c r="R18" i="5"/>
  <c r="R17" i="5"/>
  <c r="R16" i="5"/>
  <c r="R15" i="5"/>
  <c r="R14" i="5"/>
  <c r="R13" i="5"/>
  <c r="R12" i="5"/>
  <c r="R11" i="5"/>
  <c r="L36" i="5"/>
  <c r="L35" i="5"/>
  <c r="L34" i="5"/>
  <c r="L33" i="5"/>
  <c r="L32" i="5"/>
  <c r="L31" i="5"/>
  <c r="L30" i="5"/>
  <c r="L29" i="5"/>
  <c r="L28" i="5"/>
  <c r="L27" i="5"/>
  <c r="L26" i="5"/>
  <c r="L25" i="5"/>
  <c r="L24" i="5"/>
  <c r="L23" i="5"/>
  <c r="L22" i="5"/>
  <c r="L21" i="5"/>
  <c r="L20" i="5"/>
  <c r="L19" i="5"/>
  <c r="L18" i="5"/>
  <c r="L17" i="5"/>
  <c r="L16" i="5"/>
  <c r="L15" i="5"/>
  <c r="L14" i="5"/>
  <c r="L13" i="5"/>
  <c r="L12" i="5"/>
  <c r="L11" i="5"/>
  <c r="H36" i="5"/>
  <c r="H35" i="5"/>
  <c r="H34" i="5"/>
  <c r="H33" i="5"/>
  <c r="H32" i="5"/>
  <c r="H31" i="5"/>
  <c r="H30" i="5"/>
  <c r="H29" i="5"/>
  <c r="H28" i="5"/>
  <c r="H27" i="5"/>
  <c r="H26" i="5"/>
  <c r="H25" i="5"/>
  <c r="H24" i="5"/>
  <c r="H23" i="5"/>
  <c r="H22" i="5"/>
  <c r="H21" i="5"/>
  <c r="H20" i="5"/>
  <c r="H19" i="5"/>
  <c r="H18" i="5"/>
  <c r="H17" i="5"/>
  <c r="H16" i="5"/>
  <c r="H15" i="5"/>
  <c r="H14" i="5"/>
  <c r="H13" i="5"/>
  <c r="H12" i="5"/>
  <c r="H11" i="5"/>
  <c r="P36" i="5"/>
  <c r="P35" i="5"/>
  <c r="P34" i="5"/>
  <c r="P33" i="5"/>
  <c r="P32" i="5"/>
  <c r="P31" i="5"/>
  <c r="P30" i="5"/>
  <c r="P29" i="5"/>
  <c r="P28" i="5"/>
  <c r="P27" i="5"/>
  <c r="P26" i="5"/>
  <c r="P25" i="5"/>
  <c r="P24" i="5"/>
  <c r="P23" i="5"/>
  <c r="P22" i="5"/>
  <c r="P21" i="5"/>
  <c r="P20" i="5"/>
  <c r="P19" i="5"/>
  <c r="P18" i="5"/>
  <c r="P17" i="5"/>
  <c r="P16" i="5"/>
  <c r="P15" i="5"/>
  <c r="P14" i="5"/>
  <c r="P13" i="5"/>
  <c r="P12" i="5"/>
  <c r="P11"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N23" i="4"/>
  <c r="M22" i="4"/>
  <c r="R22" i="4" s="1"/>
  <c r="N21" i="4"/>
  <c r="M20" i="4"/>
  <c r="R20" i="4" s="1"/>
  <c r="N19" i="4"/>
  <c r="M18" i="4"/>
  <c r="R18" i="4" s="1"/>
  <c r="M17" i="4"/>
  <c r="R17" i="4" s="1"/>
  <c r="N16" i="4"/>
  <c r="N15" i="4"/>
  <c r="M14" i="4"/>
  <c r="R14" i="4" s="1"/>
  <c r="N13" i="4"/>
  <c r="M12" i="4"/>
  <c r="R12" i="4" s="1"/>
  <c r="N11" i="4"/>
  <c r="M10" i="4"/>
  <c r="R10" i="4" s="1"/>
  <c r="M9" i="4"/>
  <c r="R9" i="4" s="1"/>
  <c r="N8" i="4"/>
  <c r="N7" i="4"/>
  <c r="N22" i="4" l="1"/>
  <c r="M16" i="4"/>
  <c r="R16" i="4" s="1"/>
  <c r="M7" i="4"/>
  <c r="E32" i="1"/>
  <c r="BH14" i="5"/>
  <c r="BI14" i="5"/>
  <c r="L8" i="8" s="1"/>
  <c r="BI22" i="5"/>
  <c r="L16" i="8" s="1"/>
  <c r="BH22" i="5"/>
  <c r="BI30" i="5"/>
  <c r="L24" i="8" s="1"/>
  <c r="BH30" i="5"/>
  <c r="M21" i="4"/>
  <c r="R21" i="4" s="1"/>
  <c r="H17" i="8" s="1"/>
  <c r="BH11" i="5"/>
  <c r="BI15" i="5"/>
  <c r="L9" i="8" s="1"/>
  <c r="BH15" i="5"/>
  <c r="BH19" i="5"/>
  <c r="BI23" i="5"/>
  <c r="L17" i="8" s="1"/>
  <c r="BI27" i="5"/>
  <c r="L21" i="8" s="1"/>
  <c r="BH27" i="5"/>
  <c r="BI31" i="5"/>
  <c r="L25" i="8" s="1"/>
  <c r="BH31" i="5"/>
  <c r="BH35" i="5"/>
  <c r="BI18" i="5"/>
  <c r="L12" i="8" s="1"/>
  <c r="BH18" i="5"/>
  <c r="BI26" i="5"/>
  <c r="L20" i="8" s="1"/>
  <c r="BH26" i="5"/>
  <c r="M15" i="4"/>
  <c r="R15" i="4" s="1"/>
  <c r="N17" i="4"/>
  <c r="S17" i="4" s="1"/>
  <c r="I13" i="8" s="1"/>
  <c r="BH12" i="5"/>
  <c r="BH16" i="5"/>
  <c r="BI16" i="5"/>
  <c r="L10" i="8" s="1"/>
  <c r="BH20" i="5"/>
  <c r="BI20" i="5"/>
  <c r="L14" i="8" s="1"/>
  <c r="BH24" i="5"/>
  <c r="BI24" i="5"/>
  <c r="L18" i="8" s="1"/>
  <c r="BH28" i="5"/>
  <c r="BI28" i="5"/>
  <c r="L22" i="8" s="1"/>
  <c r="BH32" i="5"/>
  <c r="BI32" i="5"/>
  <c r="L26" i="8" s="1"/>
  <c r="BH36" i="5"/>
  <c r="H11" i="8"/>
  <c r="BH13" i="5"/>
  <c r="BI13" i="5"/>
  <c r="L7" i="8" s="1"/>
  <c r="BH17" i="5"/>
  <c r="BI17" i="5"/>
  <c r="L11" i="8" s="1"/>
  <c r="BH21" i="5"/>
  <c r="BI21" i="5"/>
  <c r="L15" i="8" s="1"/>
  <c r="BH25" i="5"/>
  <c r="BI25" i="5"/>
  <c r="L19" i="8" s="1"/>
  <c r="BH29" i="5"/>
  <c r="BI29" i="5"/>
  <c r="L23" i="8" s="1"/>
  <c r="BH33" i="5"/>
  <c r="J30" i="1"/>
  <c r="M8" i="4"/>
  <c r="R8" i="4" s="1"/>
  <c r="N32" i="4"/>
  <c r="S32" i="4" s="1"/>
  <c r="I28" i="8" s="1"/>
  <c r="H30" i="8"/>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N9" i="4"/>
  <c r="S9" i="4" s="1"/>
  <c r="I5" i="8" s="1"/>
  <c r="S15" i="4"/>
  <c r="I11" i="8" s="1"/>
  <c r="S16" i="4"/>
  <c r="I12" i="8" s="1"/>
  <c r="N29" i="4"/>
  <c r="S29" i="4" s="1"/>
  <c r="I25" i="8" s="1"/>
  <c r="S23" i="4"/>
  <c r="I19" i="8" s="1"/>
  <c r="S22" i="4"/>
  <c r="I18" i="8" s="1"/>
  <c r="H12" i="8"/>
  <c r="H13" i="8"/>
  <c r="H7" i="8"/>
  <c r="H10" i="8"/>
  <c r="H18" i="8"/>
  <c r="S7" i="4"/>
  <c r="S28" i="4"/>
  <c r="I24" i="8" s="1"/>
  <c r="I31" i="6"/>
  <c r="M34" i="4"/>
  <c r="R34" i="4" s="1"/>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H23" i="5"/>
  <c r="BH9" i="5"/>
  <c r="J38" i="4"/>
  <c r="H38" i="4"/>
  <c r="D38" i="4"/>
  <c r="I30" i="6"/>
  <c r="S34" i="4"/>
  <c r="I30" i="8" s="1"/>
  <c r="N33" i="4"/>
  <c r="S33" i="4" s="1"/>
  <c r="I29" i="8" s="1"/>
  <c r="P38" i="4"/>
  <c r="S13" i="4"/>
  <c r="I9" i="8" s="1"/>
  <c r="S19" i="4"/>
  <c r="I15" i="8" s="1"/>
  <c r="S21" i="4"/>
  <c r="I17" i="8" s="1"/>
  <c r="M19" i="4"/>
  <c r="R19" i="4" s="1"/>
  <c r="H15" i="8" s="1"/>
  <c r="M11" i="4"/>
  <c r="R11" i="4" s="1"/>
  <c r="N20" i="4"/>
  <c r="S20" i="4" s="1"/>
  <c r="I16" i="8" s="1"/>
  <c r="N18" i="4"/>
  <c r="S18" i="4" s="1"/>
  <c r="I14" i="8" s="1"/>
  <c r="N12" i="4"/>
  <c r="S12" i="4" s="1"/>
  <c r="I8" i="8" s="1"/>
  <c r="N10" i="4"/>
  <c r="S10" i="4" s="1"/>
  <c r="I6" i="8" s="1"/>
  <c r="N25" i="4"/>
  <c r="S25" i="4" s="1"/>
  <c r="I21" i="8" s="1"/>
  <c r="H5" i="8"/>
  <c r="H9" i="8"/>
  <c r="H6" i="8"/>
  <c r="H14" i="8"/>
  <c r="H3" i="8"/>
  <c r="F38" i="4"/>
  <c r="L38" i="4"/>
  <c r="E31" i="1"/>
  <c r="E31" i="6"/>
  <c r="E30" i="6"/>
  <c r="E30" i="1"/>
  <c r="J18" i="1" l="1"/>
  <c r="J23" i="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L27" i="8" s="1"/>
  <c r="AN34" i="5"/>
  <c r="BI34" i="5"/>
  <c r="L28" i="8"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 r="AZ9" i="5"/>
  <c r="BI9" i="5" s="1"/>
  <c r="L3" i="8" s="1"/>
  <c r="M3" i="8" l="1"/>
  <c r="G2" i="10" s="1"/>
  <c r="G2" i="6"/>
  <c r="AZ12" i="5"/>
  <c r="BI12" i="5" s="1"/>
  <c r="L6" i="8" s="1"/>
  <c r="AZ11" i="5"/>
  <c r="BI11" i="5" s="1"/>
  <c r="L5" i="8" s="1"/>
  <c r="AZ10" i="5"/>
  <c r="BI10" i="5" s="1"/>
  <c r="L4" i="8" s="1"/>
  <c r="G4" i="6" l="1"/>
  <c r="M5" i="8"/>
  <c r="G4" i="10" s="1"/>
  <c r="G5" i="6"/>
  <c r="M6" i="8"/>
  <c r="G5" i="10" s="1"/>
  <c r="M4" i="8"/>
  <c r="G3" i="10" s="1"/>
  <c r="G3" i="6"/>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<sst xmlns="http://schemas.openxmlformats.org/spreadsheetml/2006/main" count="1419" uniqueCount="404">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</sst>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23" fillId="4" borderId="2" xfId="0" applyFont="1" applyFill="1" applyBorder="1" applyAlignment="1" applyProtection="1">
      <alignment horizontal="center" vertical="center"/>
      <protection locked="0"/>
    </xf>
    <xf numFmtId="1" fontId="8" fillId="0" borderId="0" xfId="0" applyNumberFormat="1" applyFont="1" applyAlignment="1">
      <alignment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W15" sqref="W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6</v>
      </c>
      <c r="D2" s="187">
        <v>2021</v>
      </c>
      <c r="E2" s="122">
        <f>Combine!G3</f>
        <v>78770</v>
      </c>
      <c r="F2" s="189">
        <v>1.28</v>
      </c>
      <c r="G2" s="122">
        <f>Combine!M3</f>
        <v>4134.0059052059023</v>
      </c>
      <c r="H2" s="190">
        <v>8.7759999999999998</v>
      </c>
      <c r="I2" s="122">
        <f>Combine!J3</f>
        <v>777.3078000000005</v>
      </c>
      <c r="J2" s="189">
        <v>8.1300000000000008</v>
      </c>
      <c r="K2" s="122">
        <f>Combine!N3</f>
        <v>341</v>
      </c>
      <c r="L2" s="122">
        <f>Combine!O3</f>
        <v>773</v>
      </c>
    </row>
    <row r="3" spans="1:12">
      <c r="A3" s="186" t="s">
        <v>401</v>
      </c>
      <c r="B3" s="187">
        <v>2</v>
      </c>
      <c r="C3" s="188">
        <v>6</v>
      </c>
      <c r="D3" s="187">
        <v>2021</v>
      </c>
      <c r="E3" s="122">
        <f>Combine!G4</f>
        <v>81800</v>
      </c>
      <c r="F3" s="189">
        <v>1.28</v>
      </c>
      <c r="G3" s="122">
        <f>Combine!M4</f>
        <v>4067.6587412587533</v>
      </c>
      <c r="H3" s="190">
        <v>8.7759999999999998</v>
      </c>
      <c r="I3" s="122">
        <f>Combine!J4</f>
        <v>519.74219999999968</v>
      </c>
      <c r="J3" s="189">
        <v>8.1300000000000008</v>
      </c>
      <c r="K3" s="122">
        <f>Combine!N4</f>
        <v>340</v>
      </c>
      <c r="L3" s="122">
        <f>Combine!O4</f>
        <v>764</v>
      </c>
    </row>
    <row r="4" spans="1:12">
      <c r="A4" s="186" t="s">
        <v>401</v>
      </c>
      <c r="B4" s="187">
        <v>3</v>
      </c>
      <c r="C4" s="188">
        <v>6</v>
      </c>
      <c r="D4" s="187">
        <v>2021</v>
      </c>
      <c r="E4" s="122">
        <f>Combine!G5</f>
        <v>83450</v>
      </c>
      <c r="F4" s="189">
        <v>1.28</v>
      </c>
      <c r="G4" s="122">
        <f>Combine!M5</f>
        <v>3852.3984459984472</v>
      </c>
      <c r="H4" s="190">
        <v>8.7759999999999998</v>
      </c>
      <c r="I4" s="122">
        <f>Combine!J5</f>
        <v>528</v>
      </c>
      <c r="J4" s="189">
        <v>8.1300000000000008</v>
      </c>
      <c r="K4" s="122">
        <f>Combine!N5</f>
        <v>365</v>
      </c>
      <c r="L4" s="122">
        <f>Combine!O5</f>
        <v>823</v>
      </c>
    </row>
    <row r="5" spans="1:12">
      <c r="A5" s="186" t="s">
        <v>401</v>
      </c>
      <c r="B5" s="187">
        <v>4</v>
      </c>
      <c r="C5" s="188">
        <v>6</v>
      </c>
      <c r="D5" s="187">
        <v>2021</v>
      </c>
      <c r="E5" s="122">
        <f>Combine!G6</f>
        <v>82900</v>
      </c>
      <c r="F5" s="189">
        <v>1.28</v>
      </c>
      <c r="G5" s="122">
        <f>Combine!M6</f>
        <v>4041.3886557886576</v>
      </c>
      <c r="H5" s="190">
        <v>8.7759999999999998</v>
      </c>
      <c r="I5" s="122">
        <f>Combine!J6</f>
        <v>652.25</v>
      </c>
      <c r="J5" s="189">
        <v>8.1300000000000008</v>
      </c>
      <c r="K5" s="122">
        <f>Combine!N6</f>
        <v>406</v>
      </c>
      <c r="L5" s="122">
        <f>Combine!O6</f>
        <v>918</v>
      </c>
    </row>
    <row r="6" spans="1:12">
      <c r="A6" s="186" t="s">
        <v>401</v>
      </c>
      <c r="B6" s="187">
        <v>5</v>
      </c>
      <c r="C6" s="188">
        <v>6</v>
      </c>
      <c r="D6" s="187">
        <v>2021</v>
      </c>
      <c r="E6" s="122">
        <f>Combine!G7</f>
        <v>76040</v>
      </c>
      <c r="F6" s="189">
        <v>1.28</v>
      </c>
      <c r="G6" s="122">
        <f>Combine!M7</f>
        <v>4394.9588189588094</v>
      </c>
      <c r="H6" s="190">
        <v>8.7759999999999998</v>
      </c>
      <c r="I6" s="122">
        <f>Combine!J7</f>
        <v>611.25</v>
      </c>
      <c r="J6" s="189">
        <v>8.1300000000000008</v>
      </c>
      <c r="K6" s="122">
        <f>Combine!N7</f>
        <v>414</v>
      </c>
      <c r="L6" s="122">
        <f>Combine!O7</f>
        <v>935</v>
      </c>
    </row>
    <row r="7" spans="1:12">
      <c r="A7" s="186" t="s">
        <v>401</v>
      </c>
      <c r="B7" s="187">
        <v>6</v>
      </c>
      <c r="C7" s="188">
        <v>6</v>
      </c>
      <c r="D7" s="187">
        <v>2021</v>
      </c>
      <c r="E7" s="122">
        <f>Combine!G8</f>
        <v>80000</v>
      </c>
      <c r="F7" s="189">
        <v>1.28</v>
      </c>
      <c r="G7" s="122">
        <f>Combine!M8</f>
        <v>4303.455477855483</v>
      </c>
      <c r="H7" s="190">
        <v>8.7759999999999998</v>
      </c>
      <c r="I7" s="122">
        <f>Combine!J8</f>
        <v>746.25</v>
      </c>
      <c r="J7" s="189">
        <v>8.1300000000000008</v>
      </c>
      <c r="K7" s="122">
        <f>Combine!N8</f>
        <v>413</v>
      </c>
      <c r="L7" s="122">
        <f>Combine!O8</f>
        <v>919</v>
      </c>
    </row>
    <row r="8" spans="1:12">
      <c r="A8" s="186" t="s">
        <v>401</v>
      </c>
      <c r="B8" s="187">
        <v>7</v>
      </c>
      <c r="C8" s="188">
        <v>6</v>
      </c>
      <c r="D8" s="187">
        <v>2021</v>
      </c>
      <c r="E8" s="122">
        <f>Combine!G9</f>
        <v>80720</v>
      </c>
      <c r="F8" s="189">
        <v>1.28</v>
      </c>
      <c r="G8" s="122">
        <f>Combine!M9</f>
        <v>4308.8087024087035</v>
      </c>
      <c r="H8" s="190">
        <v>8.7759999999999998</v>
      </c>
      <c r="I8" s="122">
        <f>Combine!J9</f>
        <v>679.25</v>
      </c>
      <c r="J8" s="189">
        <v>8.1300000000000008</v>
      </c>
      <c r="K8" s="122">
        <f>Combine!N9</f>
        <v>358</v>
      </c>
      <c r="L8" s="122">
        <f>Combine!O9</f>
        <v>799</v>
      </c>
    </row>
    <row r="9" spans="1:12">
      <c r="A9" s="186" t="s">
        <v>401</v>
      </c>
      <c r="B9" s="187">
        <v>8</v>
      </c>
      <c r="C9" s="188">
        <v>6</v>
      </c>
      <c r="D9" s="187">
        <v>2021</v>
      </c>
      <c r="E9" s="122">
        <f>Combine!G10</f>
        <v>80110</v>
      </c>
      <c r="F9" s="189">
        <v>1.28</v>
      </c>
      <c r="G9" s="122">
        <f>Combine!M10</f>
        <v>4296.1678321678273</v>
      </c>
      <c r="H9" s="190">
        <v>8.7759999999999998</v>
      </c>
      <c r="I9" s="122">
        <f>Combine!J10</f>
        <v>708</v>
      </c>
      <c r="J9" s="189">
        <v>8.1300000000000008</v>
      </c>
      <c r="K9" s="122">
        <f>Combine!N10</f>
        <v>357</v>
      </c>
      <c r="L9" s="122">
        <f>Combine!O10</f>
        <v>800</v>
      </c>
    </row>
    <row r="10" spans="1:12">
      <c r="A10" s="186" t="s">
        <v>401</v>
      </c>
      <c r="B10" s="187">
        <v>9</v>
      </c>
      <c r="C10" s="188">
        <v>6</v>
      </c>
      <c r="D10" s="187">
        <v>2021</v>
      </c>
      <c r="E10" s="122">
        <f>Combine!G11</f>
        <v>81530</v>
      </c>
      <c r="F10" s="189">
        <v>1.28</v>
      </c>
      <c r="G10" s="122">
        <f>Combine!M11</f>
        <v>4219.5655011654981</v>
      </c>
      <c r="H10" s="190">
        <v>8.7759999999999998</v>
      </c>
      <c r="I10" s="122">
        <f>Combine!J11</f>
        <v>625</v>
      </c>
      <c r="J10" s="189">
        <v>8.1300000000000008</v>
      </c>
      <c r="K10" s="122">
        <f>Combine!N11</f>
        <v>361</v>
      </c>
      <c r="L10" s="122">
        <f>Combine!O11</f>
        <v>804</v>
      </c>
    </row>
    <row r="11" spans="1:12">
      <c r="A11" s="186" t="s">
        <v>401</v>
      </c>
      <c r="B11" s="187">
        <v>10</v>
      </c>
      <c r="C11" s="188">
        <v>6</v>
      </c>
      <c r="D11" s="187">
        <v>2021</v>
      </c>
      <c r="E11" s="122">
        <f>Combine!G12</f>
        <v>83520</v>
      </c>
      <c r="F11" s="189">
        <v>1.28</v>
      </c>
      <c r="G11" s="122">
        <f>Combine!M12</f>
        <v>4234.5647241647239</v>
      </c>
      <c r="H11" s="190">
        <v>8.7759999999999998</v>
      </c>
      <c r="I11" s="122">
        <f>Combine!J12</f>
        <v>690</v>
      </c>
      <c r="J11" s="189">
        <v>8.1300000000000008</v>
      </c>
      <c r="K11" s="122">
        <f>Combine!N12</f>
        <v>393</v>
      </c>
      <c r="L11" s="122">
        <f>Combine!O12</f>
        <v>869</v>
      </c>
    </row>
    <row r="12" spans="1:12">
      <c r="A12" s="186" t="s">
        <v>401</v>
      </c>
      <c r="B12" s="187">
        <v>11</v>
      </c>
      <c r="C12" s="188">
        <v>6</v>
      </c>
      <c r="D12" s="187">
        <v>2021</v>
      </c>
      <c r="E12" s="122">
        <f>Combine!G13</f>
        <v>84520</v>
      </c>
      <c r="F12" s="189">
        <v>1.28</v>
      </c>
      <c r="G12" s="122">
        <f>Combine!M13</f>
        <v>4308.8584304584419</v>
      </c>
      <c r="H12" s="190">
        <v>8.7759999999999998</v>
      </c>
      <c r="I12" s="122">
        <f>Combine!J13</f>
        <v>681</v>
      </c>
      <c r="J12" s="189">
        <v>8.1300000000000008</v>
      </c>
      <c r="K12" s="122">
        <f>Combine!N13</f>
        <v>403</v>
      </c>
      <c r="L12" s="122">
        <f>Combine!O13</f>
        <v>903</v>
      </c>
    </row>
    <row r="13" spans="1:12">
      <c r="A13" s="186" t="s">
        <v>401</v>
      </c>
      <c r="B13" s="187">
        <v>12</v>
      </c>
      <c r="C13" s="188">
        <v>6</v>
      </c>
      <c r="D13" s="187">
        <v>2021</v>
      </c>
      <c r="E13" s="122">
        <f>Combine!G14</f>
        <v>87180</v>
      </c>
      <c r="F13" s="189">
        <v>1.28</v>
      </c>
      <c r="G13" s="122">
        <f>Combine!M14</f>
        <v>4297.6559440559395</v>
      </c>
      <c r="H13" s="190">
        <v>8.7759999999999998</v>
      </c>
      <c r="I13" s="122">
        <f>Combine!J14</f>
        <v>812</v>
      </c>
      <c r="J13" s="189">
        <v>8.1300000000000008</v>
      </c>
      <c r="K13" s="122">
        <f>Combine!N14</f>
        <v>426</v>
      </c>
      <c r="L13" s="122">
        <f>Combine!O14</f>
        <v>984</v>
      </c>
    </row>
    <row r="14" spans="1:12">
      <c r="A14" s="186" t="s">
        <v>401</v>
      </c>
      <c r="B14" s="187">
        <v>13</v>
      </c>
      <c r="C14" s="188">
        <v>6</v>
      </c>
      <c r="D14" s="187">
        <v>2021</v>
      </c>
      <c r="E14" s="122">
        <f>Combine!G15</f>
        <v>87170</v>
      </c>
      <c r="F14" s="189">
        <v>1.28</v>
      </c>
      <c r="G14" s="122">
        <f>Combine!M15</f>
        <v>4354.8966588966605</v>
      </c>
      <c r="H14" s="190">
        <v>8.7759999999999998</v>
      </c>
      <c r="I14" s="122">
        <f>Combine!J15</f>
        <v>597</v>
      </c>
      <c r="J14" s="189">
        <v>8.1300000000000008</v>
      </c>
      <c r="K14" s="122">
        <f>Combine!N15</f>
        <v>424</v>
      </c>
      <c r="L14" s="122">
        <f>Combine!O15</f>
        <v>984</v>
      </c>
    </row>
    <row r="15" spans="1:12">
      <c r="A15" s="186" t="s">
        <v>401</v>
      </c>
      <c r="B15" s="187">
        <v>14</v>
      </c>
      <c r="C15" s="188">
        <v>6</v>
      </c>
      <c r="D15" s="187">
        <v>2021</v>
      </c>
      <c r="E15" s="122">
        <f>Combine!G16</f>
        <v>85530</v>
      </c>
      <c r="F15" s="189">
        <v>1.28</v>
      </c>
      <c r="G15" s="122">
        <f>Combine!M16</f>
        <v>4451.0445998445921</v>
      </c>
      <c r="H15" s="190">
        <v>8.7759999999999998</v>
      </c>
      <c r="I15" s="122">
        <f>Combine!J16</f>
        <v>766</v>
      </c>
      <c r="J15" s="189">
        <v>8.1300000000000008</v>
      </c>
      <c r="K15" s="122">
        <f>Combine!N16</f>
        <v>389</v>
      </c>
      <c r="L15" s="122">
        <f>Combine!O16</f>
        <v>873</v>
      </c>
    </row>
    <row r="16" spans="1:12">
      <c r="A16" s="186" t="s">
        <v>401</v>
      </c>
      <c r="B16" s="187">
        <v>15</v>
      </c>
      <c r="C16" s="188">
        <v>6</v>
      </c>
      <c r="D16" s="187">
        <v>2021</v>
      </c>
      <c r="E16" s="122">
        <f>Combine!G17</f>
        <v>85340</v>
      </c>
      <c r="F16" s="189">
        <v>1.28</v>
      </c>
      <c r="G16" s="122">
        <f>Combine!M17</f>
        <v>4263.6991452991424</v>
      </c>
      <c r="H16" s="190">
        <v>8.7759999999999998</v>
      </c>
      <c r="I16" s="122">
        <f>Combine!J17</f>
        <v>872</v>
      </c>
      <c r="J16" s="189">
        <v>8.1300000000000008</v>
      </c>
      <c r="K16" s="122">
        <f>Combine!N17</f>
        <v>384</v>
      </c>
      <c r="L16" s="122">
        <f>Combine!O17</f>
        <v>852</v>
      </c>
    </row>
    <row r="17" spans="1:12">
      <c r="A17" s="186" t="s">
        <v>401</v>
      </c>
      <c r="B17" s="187">
        <v>16</v>
      </c>
      <c r="C17" s="188">
        <v>6</v>
      </c>
      <c r="D17" s="187">
        <v>2021</v>
      </c>
      <c r="E17" s="122">
        <f>Combine!G18</f>
        <v>89380</v>
      </c>
      <c r="F17" s="189">
        <v>1.28</v>
      </c>
      <c r="G17" s="122">
        <f>Combine!M18</f>
        <v>4211.7631701631699</v>
      </c>
      <c r="H17" s="190">
        <v>8.7759999999999998</v>
      </c>
      <c r="I17" s="122">
        <f>Combine!J18</f>
        <v>495.80000000000018</v>
      </c>
      <c r="J17" s="189">
        <v>8.1300000000000008</v>
      </c>
      <c r="K17" s="122">
        <f>Combine!N18</f>
        <v>368</v>
      </c>
      <c r="L17" s="122">
        <f>Combine!O18</f>
        <v>814</v>
      </c>
    </row>
    <row r="18" spans="1:12">
      <c r="A18" s="186" t="s">
        <v>401</v>
      </c>
      <c r="B18" s="187">
        <v>17</v>
      </c>
      <c r="C18" s="188">
        <v>6</v>
      </c>
      <c r="D18" s="187">
        <v>2021</v>
      </c>
      <c r="E18" s="122">
        <f>Combine!G19</f>
        <v>87620</v>
      </c>
      <c r="F18" s="189">
        <v>1.28</v>
      </c>
      <c r="G18" s="122">
        <f>Combine!M19</f>
        <v>4473.6972804972756</v>
      </c>
      <c r="H18" s="190">
        <v>8.7759999999999998</v>
      </c>
      <c r="I18" s="122">
        <f>Combine!J19</f>
        <v>779.19999999999982</v>
      </c>
      <c r="J18" s="189">
        <v>8.1300000000000008</v>
      </c>
      <c r="K18" s="122">
        <f>Combine!N19</f>
        <v>376</v>
      </c>
      <c r="L18" s="122">
        <f>Combine!O19</f>
        <v>830</v>
      </c>
    </row>
    <row r="19" spans="1:12">
      <c r="A19" s="186" t="s">
        <v>401</v>
      </c>
      <c r="B19" s="187">
        <v>18</v>
      </c>
      <c r="C19" s="188">
        <v>6</v>
      </c>
      <c r="D19" s="187">
        <v>2021</v>
      </c>
      <c r="E19" s="122">
        <f>Combine!G20</f>
        <v>90870</v>
      </c>
      <c r="F19" s="189">
        <v>1.28</v>
      </c>
      <c r="G19" s="122">
        <f>Combine!M20</f>
        <v>4417.7532245532202</v>
      </c>
      <c r="H19" s="190">
        <v>8.7759999999999998</v>
      </c>
      <c r="I19" s="122">
        <f>Combine!J20</f>
        <v>762</v>
      </c>
      <c r="J19" s="189">
        <v>8.1300000000000008</v>
      </c>
      <c r="K19" s="122">
        <f>Combine!N20</f>
        <v>406</v>
      </c>
      <c r="L19" s="122">
        <f>Combine!O20</f>
        <v>903</v>
      </c>
    </row>
    <row r="20" spans="1:12">
      <c r="A20" s="186" t="s">
        <v>401</v>
      </c>
      <c r="B20" s="187">
        <v>19</v>
      </c>
      <c r="C20" s="188">
        <v>6</v>
      </c>
      <c r="D20" s="187">
        <v>2021</v>
      </c>
      <c r="E20" s="122">
        <f>Combine!G21</f>
        <v>92320</v>
      </c>
      <c r="F20" s="189">
        <v>1.28</v>
      </c>
      <c r="G20" s="122">
        <f>Combine!M21</f>
        <v>4237.4890442890392</v>
      </c>
      <c r="H20" s="190">
        <v>8.7759999999999998</v>
      </c>
      <c r="I20" s="122">
        <f>Combine!J21</f>
        <v>730</v>
      </c>
      <c r="J20" s="189">
        <v>8.1300000000000008</v>
      </c>
      <c r="K20" s="122">
        <f>Combine!N21</f>
        <v>439</v>
      </c>
      <c r="L20" s="122">
        <f>Combine!O21</f>
        <v>1023</v>
      </c>
    </row>
    <row r="21" spans="1:12">
      <c r="A21" s="186" t="s">
        <v>401</v>
      </c>
      <c r="B21" s="187">
        <v>20</v>
      </c>
      <c r="C21" s="188">
        <v>6</v>
      </c>
      <c r="D21" s="187">
        <v>2021</v>
      </c>
      <c r="E21" s="122">
        <f>Combine!G22</f>
        <v>93140</v>
      </c>
      <c r="F21" s="189">
        <v>1.28</v>
      </c>
      <c r="G21" s="122">
        <f>Combine!M22</f>
        <v>4310.8379176379312</v>
      </c>
      <c r="H21" s="190">
        <v>8.7759999999999998</v>
      </c>
      <c r="I21" s="122">
        <f>Combine!J22</f>
        <v>797.60999999999967</v>
      </c>
      <c r="J21" s="189">
        <v>8.1300000000000008</v>
      </c>
      <c r="K21" s="122">
        <f>Combine!N22</f>
        <v>400</v>
      </c>
      <c r="L21" s="122">
        <f>Combine!O22</f>
        <v>888</v>
      </c>
    </row>
    <row r="22" spans="1:12">
      <c r="A22" s="186" t="s">
        <v>401</v>
      </c>
      <c r="B22" s="187">
        <v>21</v>
      </c>
      <c r="C22" s="188">
        <v>6</v>
      </c>
      <c r="D22" s="187">
        <v>2021</v>
      </c>
      <c r="E22" s="122">
        <f>Combine!G23</f>
        <v>93070</v>
      </c>
      <c r="F22" s="189">
        <v>1.28</v>
      </c>
      <c r="G22" s="122">
        <f>Combine!M23</f>
        <v>3973.0194250194259</v>
      </c>
      <c r="H22" s="190">
        <v>8.7759999999999998</v>
      </c>
      <c r="I22" s="122">
        <f>Combine!J23</f>
        <v>732.04</v>
      </c>
      <c r="J22" s="189">
        <v>8.1300000000000008</v>
      </c>
      <c r="K22" s="122">
        <f>Combine!N23</f>
        <v>402</v>
      </c>
      <c r="L22" s="122">
        <f>Combine!O23</f>
        <v>877</v>
      </c>
    </row>
    <row r="23" spans="1:12">
      <c r="A23" s="186" t="s">
        <v>401</v>
      </c>
      <c r="B23" s="187">
        <v>22</v>
      </c>
      <c r="C23" s="188">
        <v>6</v>
      </c>
      <c r="D23" s="187">
        <v>2021</v>
      </c>
      <c r="E23" s="122">
        <f>Combine!G24</f>
        <v>79330</v>
      </c>
      <c r="F23" s="189">
        <v>1.28</v>
      </c>
      <c r="G23" s="122">
        <f>Combine!M24</f>
        <v>3973.0194250194259</v>
      </c>
      <c r="H23" s="190">
        <v>8.7759999999999998</v>
      </c>
      <c r="I23" s="122">
        <f>Combine!J24</f>
        <v>623.41300000000683</v>
      </c>
      <c r="J23" s="189">
        <v>8.1300000000000008</v>
      </c>
      <c r="K23" s="122">
        <f>Combine!N24</f>
        <v>382</v>
      </c>
      <c r="L23" s="122">
        <f>Combine!O24</f>
        <v>834</v>
      </c>
    </row>
    <row r="24" spans="1:12">
      <c r="A24" s="186" t="s">
        <v>401</v>
      </c>
      <c r="B24" s="187">
        <v>23</v>
      </c>
      <c r="C24" s="188">
        <v>6</v>
      </c>
      <c r="D24" s="187">
        <v>2021</v>
      </c>
      <c r="E24" s="122">
        <f>Combine!G25</f>
        <v>77920</v>
      </c>
      <c r="F24" s="189">
        <v>1.28</v>
      </c>
      <c r="G24" s="122">
        <f>Combine!M25</f>
        <v>4122.8444444444558</v>
      </c>
      <c r="H24" s="190">
        <v>8.7759999999999998</v>
      </c>
      <c r="I24" s="122">
        <f>Combine!J25</f>
        <v>730.5799999999972</v>
      </c>
      <c r="J24" s="189">
        <v>8.1300000000000008</v>
      </c>
      <c r="K24" s="122">
        <f>Combine!N25</f>
        <v>371</v>
      </c>
      <c r="L24" s="122">
        <f>Combine!O25</f>
        <v>806</v>
      </c>
    </row>
    <row r="25" spans="1:12">
      <c r="A25" s="186" t="s">
        <v>401</v>
      </c>
      <c r="B25" s="187">
        <v>24</v>
      </c>
      <c r="C25" s="188">
        <v>6</v>
      </c>
      <c r="D25" s="187">
        <v>2021</v>
      </c>
      <c r="E25" s="122">
        <f>Combine!G26</f>
        <v>83390</v>
      </c>
      <c r="F25" s="189">
        <v>1.28</v>
      </c>
      <c r="G25" s="122">
        <f>Combine!M26</f>
        <v>4209.6149184149144</v>
      </c>
      <c r="H25" s="190">
        <v>8.7759999999999998</v>
      </c>
      <c r="I25" s="122">
        <f>Combine!J26</f>
        <v>612.93000000000029</v>
      </c>
      <c r="J25" s="189">
        <v>8.1300000000000008</v>
      </c>
      <c r="K25" s="122">
        <f>Combine!N26</f>
        <v>399</v>
      </c>
      <c r="L25" s="122">
        <f>Combine!O26</f>
        <v>873</v>
      </c>
    </row>
    <row r="26" spans="1:12">
      <c r="A26" s="186" t="s">
        <v>401</v>
      </c>
      <c r="B26" s="187">
        <v>25</v>
      </c>
      <c r="C26" s="188">
        <v>6</v>
      </c>
      <c r="D26" s="187">
        <v>2021</v>
      </c>
      <c r="E26" s="122">
        <f>Combine!G27</f>
        <v>80300</v>
      </c>
      <c r="F26" s="189">
        <v>1.28</v>
      </c>
      <c r="G26" s="122">
        <f>Combine!M27</f>
        <v>4300.9031857031914</v>
      </c>
      <c r="H26" s="190">
        <v>8.7759999999999998</v>
      </c>
      <c r="I26" s="122">
        <f>Combine!J27</f>
        <v>680</v>
      </c>
      <c r="J26" s="189">
        <v>8.1300000000000008</v>
      </c>
      <c r="K26" s="122">
        <f>Combine!N27</f>
        <v>419</v>
      </c>
      <c r="L26" s="122">
        <f>Combine!O27</f>
        <v>931</v>
      </c>
    </row>
    <row r="27" spans="1:12">
      <c r="A27" s="186" t="s">
        <v>401</v>
      </c>
      <c r="B27" s="187">
        <v>26</v>
      </c>
      <c r="C27" s="188">
        <v>6</v>
      </c>
      <c r="D27" s="187">
        <v>2021</v>
      </c>
      <c r="E27" s="122">
        <f>Combine!G28</f>
        <v>84490</v>
      </c>
      <c r="F27" s="189">
        <v>1.28</v>
      </c>
      <c r="G27" s="122">
        <f>Combine!M28</f>
        <v>4416.2362082362051</v>
      </c>
      <c r="H27" s="190">
        <v>8.7759999999999998</v>
      </c>
      <c r="I27" s="122">
        <f>Combine!J28</f>
        <v>595.7502000000004</v>
      </c>
      <c r="J27" s="189">
        <v>8.1300000000000008</v>
      </c>
      <c r="K27" s="122">
        <f>Combine!N28</f>
        <v>442</v>
      </c>
      <c r="L27" s="122">
        <f>Combine!O28</f>
        <v>990</v>
      </c>
    </row>
    <row r="28" spans="1:12">
      <c r="A28" s="186" t="s">
        <v>401</v>
      </c>
      <c r="B28" s="187">
        <v>27</v>
      </c>
      <c r="C28" s="188">
        <v>6</v>
      </c>
      <c r="D28" s="187">
        <v>2021</v>
      </c>
      <c r="E28" s="122">
        <f>Combine!G29</f>
        <v>88940</v>
      </c>
      <c r="F28" s="189">
        <v>1.28</v>
      </c>
      <c r="G28" s="122">
        <f>Combine!M29</f>
        <v>4711.9801087801006</v>
      </c>
      <c r="H28" s="190">
        <v>8.7759999999999998</v>
      </c>
      <c r="I28" s="122">
        <f>Combine!J29</f>
        <v>703.13169999999991</v>
      </c>
      <c r="J28" s="189">
        <v>8.1300000000000008</v>
      </c>
      <c r="K28" s="122">
        <f>Combine!N29</f>
        <v>437</v>
      </c>
      <c r="L28" s="122">
        <f>Combine!O29</f>
        <v>966</v>
      </c>
    </row>
    <row r="29" spans="1:12">
      <c r="A29" s="186" t="s">
        <v>401</v>
      </c>
      <c r="B29" s="187">
        <v>28</v>
      </c>
      <c r="C29" s="188">
        <v>6</v>
      </c>
      <c r="D29" s="187">
        <v>2021</v>
      </c>
      <c r="E29" s="122">
        <f>Combine!G30</f>
        <v>87430</v>
      </c>
      <c r="F29" s="189">
        <v>1.28</v>
      </c>
      <c r="G29" s="122">
        <f>Combine!M30</f>
        <v>4441.4620046620166</v>
      </c>
      <c r="H29" s="190">
        <v>8.7759999999999998</v>
      </c>
      <c r="I29" s="122">
        <f>Combine!J30</f>
        <v>709.92279999999937</v>
      </c>
      <c r="J29" s="189">
        <v>8.1300000000000008</v>
      </c>
      <c r="K29" s="122">
        <f>Combine!N30</f>
        <v>421</v>
      </c>
      <c r="L29" s="122">
        <f>Combine!O30</f>
        <v>930</v>
      </c>
    </row>
    <row r="30" spans="1:12">
      <c r="A30" s="186" t="s">
        <v>401</v>
      </c>
      <c r="B30" s="187">
        <v>29</v>
      </c>
      <c r="C30" s="188">
        <v>6</v>
      </c>
      <c r="D30" s="187">
        <v>2021</v>
      </c>
      <c r="E30" s="122">
        <f>Combine!G31</f>
        <v>87600</v>
      </c>
      <c r="F30" s="189">
        <v>1.28</v>
      </c>
      <c r="G30" s="122">
        <f>Combine!M31</f>
        <v>4441.4620046619984</v>
      </c>
      <c r="H30" s="190">
        <v>8.7759999999999998</v>
      </c>
      <c r="I30" s="122">
        <f>Combine!J31</f>
        <v>704.86000000000058</v>
      </c>
      <c r="J30" s="189">
        <v>8.1300000000000008</v>
      </c>
      <c r="K30" s="122">
        <f>Combine!N31</f>
        <v>413</v>
      </c>
      <c r="L30" s="122">
        <f>Combine!O31</f>
        <v>911</v>
      </c>
    </row>
    <row r="31" spans="1:12">
      <c r="A31" s="186" t="s">
        <v>401</v>
      </c>
      <c r="B31" s="187">
        <v>30</v>
      </c>
      <c r="C31" s="188">
        <v>6</v>
      </c>
      <c r="D31" s="187">
        <v>2021</v>
      </c>
      <c r="E31" s="122">
        <f>Combine!G32</f>
        <v>90810</v>
      </c>
      <c r="F31" s="189">
        <v>1.28</v>
      </c>
      <c r="G31" s="122">
        <f>Combine!M32</f>
        <v>4170.5709401709328</v>
      </c>
      <c r="H31" s="190">
        <v>8.7759999999999998</v>
      </c>
      <c r="I31" s="122">
        <f>Combine!J32</f>
        <v>642.33529999999973</v>
      </c>
      <c r="J31" s="189">
        <v>8.1300000000000008</v>
      </c>
      <c r="K31" s="122">
        <f>Combine!N32</f>
        <v>418</v>
      </c>
      <c r="L31" s="122">
        <f>Combine!O32</f>
        <v>944</v>
      </c>
    </row>
    <row r="32" spans="1:12">
      <c r="A32" s="186"/>
      <c r="B32" s="187"/>
      <c r="C32" s="188"/>
      <c r="D32" s="187"/>
      <c r="E32" s="122"/>
      <c r="F32" s="189"/>
      <c r="G32" s="122"/>
      <c r="H32" s="190"/>
      <c r="I32" s="122"/>
      <c r="J32" s="189"/>
      <c r="K32" s="122"/>
      <c r="L32" s="1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3" sqref="F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5" t="s">
        <v>66</v>
      </c>
      <c r="O1" s="196"/>
      <c r="P1" s="197"/>
    </row>
    <row r="2" spans="1:17" s="2" customFormat="1" ht="60" customHeight="1">
      <c r="A2" s="4" t="s">
        <v>3</v>
      </c>
      <c r="B2" s="5" t="s">
        <v>4</v>
      </c>
      <c r="C2" s="5" t="s">
        <v>5</v>
      </c>
      <c r="D2" s="120"/>
      <c r="E2" s="125" t="s">
        <v>6</v>
      </c>
      <c r="F2" s="145" t="s">
        <v>6</v>
      </c>
      <c r="G2" s="154" t="s">
        <v>6</v>
      </c>
      <c r="H2" s="155" t="s">
        <v>9</v>
      </c>
      <c r="I2" s="146" t="s">
        <v>9</v>
      </c>
      <c r="J2" s="154" t="s">
        <v>9</v>
      </c>
      <c r="K2" s="125" t="s">
        <v>7</v>
      </c>
      <c r="L2" s="111">
        <v>335</v>
      </c>
      <c r="M2" s="130" t="s">
        <v>8</v>
      </c>
      <c r="N2" s="161" t="s">
        <v>10</v>
      </c>
      <c r="O2" s="5" t="s">
        <v>11</v>
      </c>
      <c r="P2" s="160" t="s">
        <v>12</v>
      </c>
      <c r="Q2" s="150" t="s">
        <v>394</v>
      </c>
    </row>
    <row r="3" spans="1:17" ht="15.75">
      <c r="A3" s="7" t="s">
        <v>14</v>
      </c>
      <c r="B3" s="7">
        <v>1</v>
      </c>
      <c r="C3" s="7">
        <v>6</v>
      </c>
      <c r="D3" s="121">
        <v>2021</v>
      </c>
      <c r="E3" s="151">
        <f>'Athens Daily - EL'!AK8</f>
        <v>43265</v>
      </c>
      <c r="F3" s="151">
        <f>'Athens Daily - EL'!AL8</f>
        <v>35505</v>
      </c>
      <c r="G3" s="131">
        <f>SUM(E3,F3)</f>
        <v>78770</v>
      </c>
      <c r="H3" s="151">
        <f>'Athens Daily - Water'!R7</f>
        <v>603.25780000000054</v>
      </c>
      <c r="I3" s="151">
        <f>'Athens Daily - Water'!S7</f>
        <v>174.05</v>
      </c>
      <c r="J3" s="127">
        <f t="shared" ref="J3:J33" si="0">SUM(H3,I3)</f>
        <v>777.3078000000005</v>
      </c>
      <c r="K3" s="151">
        <f>'Athens Daily - Gas'!BH9</f>
        <v>97684.367999999871</v>
      </c>
      <c r="L3" s="151">
        <f>'Athens Daily - Gas'!BI9</f>
        <v>61929.599999999999</v>
      </c>
      <c r="M3" s="131">
        <f>SUM(K3,L3)/38.61</f>
        <v>4134.0059052059023</v>
      </c>
      <c r="N3" s="159">
        <f>Occ!G10</f>
        <v>341</v>
      </c>
      <c r="O3" s="104">
        <f>Occ!H10</f>
        <v>773</v>
      </c>
      <c r="P3" s="158">
        <v>918</v>
      </c>
      <c r="Q3" s="167"/>
    </row>
    <row r="4" spans="1:17" ht="15.75">
      <c r="A4" s="7" t="s">
        <v>14</v>
      </c>
      <c r="B4" s="7">
        <v>2</v>
      </c>
      <c r="C4" s="7">
        <v>6</v>
      </c>
      <c r="D4" s="121">
        <v>2021</v>
      </c>
      <c r="E4" s="151">
        <f>'Athens Daily - EL'!AK9</f>
        <v>44685</v>
      </c>
      <c r="F4" s="151">
        <f>'Athens Daily - EL'!AL9</f>
        <v>37115</v>
      </c>
      <c r="G4" s="131">
        <f t="shared" ref="G4:G33" si="1">SUM(E4,F4)</f>
        <v>81800</v>
      </c>
      <c r="H4" s="151">
        <f>'Athens Daily - Water'!R8</f>
        <v>398.39219999999966</v>
      </c>
      <c r="I4" s="151">
        <f>'Athens Daily - Water'!S8</f>
        <v>121.35</v>
      </c>
      <c r="J4" s="127">
        <f t="shared" si="0"/>
        <v>519.74219999999968</v>
      </c>
      <c r="K4" s="151">
        <f>'Athens Daily - Gas'!BH10</f>
        <v>95302.704000000464</v>
      </c>
      <c r="L4" s="151">
        <f>'Athens Daily - Gas'!BI10</f>
        <v>61749.599999999999</v>
      </c>
      <c r="M4" s="131">
        <f t="shared" ref="M4:M33" si="2">SUM(K4,L4)/38.61</f>
        <v>4067.6587412587533</v>
      </c>
      <c r="N4" s="159">
        <f>Occ!G11</f>
        <v>340</v>
      </c>
      <c r="O4" s="104">
        <f>Occ!H11</f>
        <v>764</v>
      </c>
      <c r="P4" s="158">
        <v>918</v>
      </c>
      <c r="Q4" s="167"/>
    </row>
    <row r="5" spans="1:17" ht="15.75">
      <c r="A5" s="7" t="s">
        <v>14</v>
      </c>
      <c r="B5" s="7">
        <v>3</v>
      </c>
      <c r="C5" s="7">
        <v>6</v>
      </c>
      <c r="D5" s="121">
        <v>2021</v>
      </c>
      <c r="E5" s="151">
        <f>'Athens Daily - EL'!AK10</f>
        <v>45420</v>
      </c>
      <c r="F5" s="151">
        <f>'Athens Daily - EL'!AL10</f>
        <v>38030</v>
      </c>
      <c r="G5" s="131">
        <f t="shared" si="1"/>
        <v>83450</v>
      </c>
      <c r="H5" s="151">
        <f>'Athens Daily - Water'!R9</f>
        <v>403.7</v>
      </c>
      <c r="I5" s="151">
        <f>'Athens Daily - Water'!S9</f>
        <v>124.30000000000001</v>
      </c>
      <c r="J5" s="127">
        <f t="shared" si="0"/>
        <v>528</v>
      </c>
      <c r="K5" s="151">
        <f>'Athens Daily - Gas'!BH11</f>
        <v>92021.904000000053</v>
      </c>
      <c r="L5" s="151">
        <f>'Athens Daily - Gas'!BI11</f>
        <v>56719.200000000004</v>
      </c>
      <c r="M5" s="131">
        <f t="shared" si="2"/>
        <v>3852.3984459984472</v>
      </c>
      <c r="N5" s="159">
        <f>Occ!G12</f>
        <v>365</v>
      </c>
      <c r="O5" s="104">
        <f>Occ!H12</f>
        <v>823</v>
      </c>
      <c r="P5" s="158">
        <v>918</v>
      </c>
      <c r="Q5" s="167"/>
    </row>
    <row r="6" spans="1:17" ht="15.75">
      <c r="A6" s="7" t="s">
        <v>14</v>
      </c>
      <c r="B6" s="7">
        <v>4</v>
      </c>
      <c r="C6" s="7">
        <v>6</v>
      </c>
      <c r="D6" s="121">
        <v>2021</v>
      </c>
      <c r="E6" s="151">
        <f>'Athens Daily - EL'!AK11</f>
        <v>45565</v>
      </c>
      <c r="F6" s="151">
        <f>'Athens Daily - EL'!AL11</f>
        <v>37335</v>
      </c>
      <c r="G6" s="131">
        <f t="shared" si="1"/>
        <v>82900</v>
      </c>
      <c r="H6" s="151">
        <f>'Athens Daily - Water'!R10</f>
        <v>492.8</v>
      </c>
      <c r="I6" s="151">
        <f>'Athens Daily - Water'!S10</f>
        <v>159.44999999999999</v>
      </c>
      <c r="J6" s="127">
        <f t="shared" si="0"/>
        <v>652.25</v>
      </c>
      <c r="K6" s="151">
        <f>'Athens Daily - Gas'!BH12</f>
        <v>94043.616000000067</v>
      </c>
      <c r="L6" s="151">
        <f>'Athens Daily - Gas'!BI12</f>
        <v>61994.400000000001</v>
      </c>
      <c r="M6" s="131">
        <f t="shared" si="2"/>
        <v>4041.3886557886576</v>
      </c>
      <c r="N6" s="159">
        <f>Occ!G13</f>
        <v>406</v>
      </c>
      <c r="O6" s="104">
        <f>Occ!H13</f>
        <v>918</v>
      </c>
      <c r="P6" s="158">
        <v>918</v>
      </c>
      <c r="Q6" s="167"/>
    </row>
    <row r="7" spans="1:17" ht="15.75">
      <c r="A7" s="7" t="s">
        <v>14</v>
      </c>
      <c r="B7" s="7">
        <v>5</v>
      </c>
      <c r="C7" s="7">
        <v>6</v>
      </c>
      <c r="D7" s="121">
        <v>2021</v>
      </c>
      <c r="E7" s="151">
        <f>'Athens Daily - EL'!AK12</f>
        <v>42465</v>
      </c>
      <c r="F7" s="151">
        <f>'Athens Daily - EL'!AL12</f>
        <v>33575</v>
      </c>
      <c r="G7" s="131">
        <f t="shared" si="1"/>
        <v>76040</v>
      </c>
      <c r="H7" s="151">
        <f>'Athens Daily - Water'!R11</f>
        <v>474.75</v>
      </c>
      <c r="I7" s="151">
        <f>'Athens Daily - Water'!S11</f>
        <v>136.5</v>
      </c>
      <c r="J7" s="127">
        <f t="shared" si="0"/>
        <v>611.25</v>
      </c>
      <c r="K7" s="151">
        <f>'Athens Daily - Gas'!BH13</f>
        <v>102654.95999999964</v>
      </c>
      <c r="L7" s="151">
        <f>'Athens Daily - Gas'!BI13</f>
        <v>67034.399999999994</v>
      </c>
      <c r="M7" s="131">
        <f t="shared" si="2"/>
        <v>4394.9588189588094</v>
      </c>
      <c r="N7" s="159">
        <f>Occ!G14</f>
        <v>414</v>
      </c>
      <c r="O7" s="104">
        <f>Occ!H14</f>
        <v>935</v>
      </c>
      <c r="P7" s="158">
        <v>918</v>
      </c>
      <c r="Q7" s="167"/>
    </row>
    <row r="8" spans="1:17" ht="15.75">
      <c r="A8" s="7" t="s">
        <v>14</v>
      </c>
      <c r="B8" s="7">
        <v>6</v>
      </c>
      <c r="C8" s="7">
        <v>6</v>
      </c>
      <c r="D8" s="121">
        <v>2021</v>
      </c>
      <c r="E8" s="151">
        <f>'Athens Daily - EL'!AK13</f>
        <v>45410</v>
      </c>
      <c r="F8" s="151">
        <f>'Athens Daily - EL'!AL13</f>
        <v>34590</v>
      </c>
      <c r="G8" s="131">
        <f t="shared" si="1"/>
        <v>80000</v>
      </c>
      <c r="H8" s="151">
        <f>'Athens Daily - Water'!R12</f>
        <v>594.54999999999995</v>
      </c>
      <c r="I8" s="151">
        <f>'Athens Daily - Water'!S12</f>
        <v>151.69999999999999</v>
      </c>
      <c r="J8" s="127">
        <f t="shared" si="0"/>
        <v>746.25</v>
      </c>
      <c r="K8" s="151">
        <f>'Athens Daily - Gas'!BH14</f>
        <v>102981.2160000002</v>
      </c>
      <c r="L8" s="151">
        <f>'Athens Daily - Gas'!BI14</f>
        <v>63175.200000000004</v>
      </c>
      <c r="M8" s="131">
        <f t="shared" si="2"/>
        <v>4303.455477855483</v>
      </c>
      <c r="N8" s="159">
        <f>Occ!G15</f>
        <v>413</v>
      </c>
      <c r="O8" s="104">
        <f>Occ!H15</f>
        <v>919</v>
      </c>
      <c r="P8" s="158">
        <v>918</v>
      </c>
      <c r="Q8" s="167"/>
    </row>
    <row r="9" spans="1:17" ht="15.75">
      <c r="A9" s="7" t="s">
        <v>14</v>
      </c>
      <c r="B9" s="7">
        <v>7</v>
      </c>
      <c r="C9" s="7">
        <v>6</v>
      </c>
      <c r="D9" s="121">
        <v>2021</v>
      </c>
      <c r="E9" s="151">
        <f>'Athens Daily - EL'!AK14</f>
        <v>44770</v>
      </c>
      <c r="F9" s="151">
        <f>'Athens Daily - EL'!AL14</f>
        <v>35950</v>
      </c>
      <c r="G9" s="131">
        <f t="shared" si="1"/>
        <v>80720</v>
      </c>
      <c r="H9" s="151">
        <f>'Athens Daily - Water'!R13</f>
        <v>537</v>
      </c>
      <c r="I9" s="151">
        <f>'Athens Daily - Water'!S13</f>
        <v>142.25</v>
      </c>
      <c r="J9" s="127">
        <f t="shared" si="0"/>
        <v>679.25</v>
      </c>
      <c r="K9" s="151">
        <f>'Athens Daily - Gas'!BH15</f>
        <v>103099.10400000005</v>
      </c>
      <c r="L9" s="151">
        <f>'Athens Daily - Gas'!BI15</f>
        <v>63264</v>
      </c>
      <c r="M9" s="131">
        <f t="shared" si="2"/>
        <v>4308.8087024087035</v>
      </c>
      <c r="N9" s="159">
        <f>Occ!G16</f>
        <v>358</v>
      </c>
      <c r="O9" s="104">
        <f>Occ!H16</f>
        <v>799</v>
      </c>
      <c r="P9" s="158">
        <v>918</v>
      </c>
      <c r="Q9" s="167"/>
    </row>
    <row r="10" spans="1:17">
      <c r="A10" s="7" t="s">
        <v>14</v>
      </c>
      <c r="B10" s="7">
        <v>8</v>
      </c>
      <c r="C10" s="7">
        <v>6</v>
      </c>
      <c r="D10" s="121">
        <v>2021</v>
      </c>
      <c r="E10" s="151">
        <f>'Athens Daily - EL'!AK15</f>
        <v>43975</v>
      </c>
      <c r="F10" s="151">
        <f>'Athens Daily - EL'!AL15</f>
        <v>36135</v>
      </c>
      <c r="G10" s="131">
        <f t="shared" si="1"/>
        <v>80110</v>
      </c>
      <c r="H10" s="151">
        <f>'Athens Daily - Water'!R14</f>
        <v>565.75</v>
      </c>
      <c r="I10" s="151">
        <f>'Athens Daily - Water'!S14</f>
        <v>142.25</v>
      </c>
      <c r="J10" s="127">
        <f t="shared" si="0"/>
        <v>708</v>
      </c>
      <c r="K10" s="151">
        <f>'Athens Daily - Gas'!BH16</f>
        <v>100609.4399999998</v>
      </c>
      <c r="L10" s="151">
        <f>'Athens Daily - Gas'!BI16</f>
        <v>65265.599999999999</v>
      </c>
      <c r="M10" s="131">
        <f t="shared" si="2"/>
        <v>4296.1678321678273</v>
      </c>
      <c r="N10" s="159">
        <f>Occ!G17</f>
        <v>357</v>
      </c>
      <c r="O10" s="104">
        <f>Occ!H17</f>
        <v>800</v>
      </c>
      <c r="P10" s="158">
        <v>918</v>
      </c>
      <c r="Q10" s="101"/>
    </row>
    <row r="11" spans="1:17">
      <c r="A11" s="7" t="s">
        <v>14</v>
      </c>
      <c r="B11" s="7">
        <v>9</v>
      </c>
      <c r="C11" s="7">
        <v>6</v>
      </c>
      <c r="D11" s="121">
        <v>2021</v>
      </c>
      <c r="E11" s="151">
        <f>'Athens Daily - EL'!AK16</f>
        <v>44770</v>
      </c>
      <c r="F11" s="151">
        <f>'Athens Daily - EL'!AL16</f>
        <v>36760</v>
      </c>
      <c r="G11" s="131">
        <f t="shared" si="1"/>
        <v>81530</v>
      </c>
      <c r="H11" s="151">
        <f>'Athens Daily - Water'!R15</f>
        <v>480.75</v>
      </c>
      <c r="I11" s="151">
        <f>'Athens Daily - Water'!S15</f>
        <v>144.25</v>
      </c>
      <c r="J11" s="127">
        <f t="shared" si="0"/>
        <v>625</v>
      </c>
      <c r="K11" s="151">
        <f>'Athens Daily - Gas'!BH17</f>
        <v>100265.42399999988</v>
      </c>
      <c r="L11" s="151">
        <f>'Athens Daily - Gas'!BI17</f>
        <v>62652</v>
      </c>
      <c r="M11" s="131">
        <f t="shared" si="2"/>
        <v>4219.5655011654981</v>
      </c>
      <c r="N11" s="159">
        <f>Occ!G18</f>
        <v>361</v>
      </c>
      <c r="O11" s="104">
        <f>Occ!H18</f>
        <v>804</v>
      </c>
      <c r="P11" s="158">
        <v>918</v>
      </c>
      <c r="Q11" s="101"/>
    </row>
    <row r="12" spans="1:17" ht="15.75">
      <c r="A12" s="7" t="s">
        <v>14</v>
      </c>
      <c r="B12" s="7">
        <v>10</v>
      </c>
      <c r="C12" s="7">
        <v>6</v>
      </c>
      <c r="D12" s="121">
        <v>2021</v>
      </c>
      <c r="E12" s="151">
        <f>'Athens Daily - EL'!AK17</f>
        <v>46030</v>
      </c>
      <c r="F12" s="151">
        <f>'Athens Daily - EL'!AL17</f>
        <v>37490</v>
      </c>
      <c r="G12" s="131">
        <f t="shared" si="1"/>
        <v>83520</v>
      </c>
      <c r="H12" s="151">
        <f>'Athens Daily - Water'!R16</f>
        <v>534.04999999999995</v>
      </c>
      <c r="I12" s="151">
        <f>'Athens Daily - Water'!S16</f>
        <v>155.94999999999999</v>
      </c>
      <c r="J12" s="127">
        <f t="shared" si="0"/>
        <v>690</v>
      </c>
      <c r="K12" s="151">
        <f>'Athens Daily - Gas'!BH18</f>
        <v>99558.144</v>
      </c>
      <c r="L12" s="151">
        <f>'Athens Daily - Gas'!BI18</f>
        <v>63938.400000000001</v>
      </c>
      <c r="M12" s="131">
        <f t="shared" si="2"/>
        <v>4234.5647241647239</v>
      </c>
      <c r="N12" s="159">
        <f>Occ!G19</f>
        <v>393</v>
      </c>
      <c r="O12" s="104">
        <f>Occ!H19</f>
        <v>869</v>
      </c>
      <c r="P12" s="158">
        <v>918</v>
      </c>
      <c r="Q12" s="167"/>
    </row>
    <row r="13" spans="1:17" ht="15.75">
      <c r="A13" s="7" t="s">
        <v>14</v>
      </c>
      <c r="B13" s="7">
        <v>11</v>
      </c>
      <c r="C13" s="7">
        <v>6</v>
      </c>
      <c r="D13" s="121">
        <v>2021</v>
      </c>
      <c r="E13" s="151">
        <f>'Athens Daily - EL'!AK18</f>
        <v>46755</v>
      </c>
      <c r="F13" s="151">
        <f>'Athens Daily - EL'!AL18</f>
        <v>37765</v>
      </c>
      <c r="G13" s="131">
        <f t="shared" si="1"/>
        <v>84520</v>
      </c>
      <c r="H13" s="151">
        <f>'Athens Daily - Water'!R17</f>
        <v>545.15</v>
      </c>
      <c r="I13" s="151">
        <f>'Athens Daily - Water'!S17</f>
        <v>135.85000000000002</v>
      </c>
      <c r="J13" s="127">
        <f t="shared" si="0"/>
        <v>681</v>
      </c>
      <c r="K13" s="151">
        <f>'Athens Daily - Gas'!BH19</f>
        <v>101939.42400000044</v>
      </c>
      <c r="L13" s="151">
        <f>'Athens Daily - Gas'!BI19</f>
        <v>64425.599999999999</v>
      </c>
      <c r="M13" s="131">
        <f t="shared" si="2"/>
        <v>4308.8584304584419</v>
      </c>
      <c r="N13" s="159">
        <f>Occ!G20</f>
        <v>403</v>
      </c>
      <c r="O13" s="104">
        <f>Occ!H20</f>
        <v>903</v>
      </c>
      <c r="P13" s="158">
        <v>918</v>
      </c>
      <c r="Q13" s="167"/>
    </row>
    <row r="14" spans="1:17" ht="15.75">
      <c r="A14" s="7" t="s">
        <v>14</v>
      </c>
      <c r="B14" s="7">
        <v>12</v>
      </c>
      <c r="C14" s="7">
        <v>6</v>
      </c>
      <c r="D14" s="121">
        <v>2021</v>
      </c>
      <c r="E14" s="151">
        <f>'Athens Daily - EL'!AK19</f>
        <v>48525</v>
      </c>
      <c r="F14" s="151">
        <f>'Athens Daily - EL'!AL19</f>
        <v>38655</v>
      </c>
      <c r="G14" s="131">
        <f t="shared" si="1"/>
        <v>87180</v>
      </c>
      <c r="H14" s="151">
        <f>'Athens Daily - Water'!R18</f>
        <v>653.95000000000005</v>
      </c>
      <c r="I14" s="151">
        <f>'Athens Daily - Water'!S18</f>
        <v>158.05000000000001</v>
      </c>
      <c r="J14" s="127">
        <f t="shared" si="0"/>
        <v>812</v>
      </c>
      <c r="K14" s="151">
        <f>'Athens Daily - Gas'!BH20</f>
        <v>102106.8959999998</v>
      </c>
      <c r="L14" s="151">
        <f>'Athens Daily - Gas'!BI20</f>
        <v>63825.599999999999</v>
      </c>
      <c r="M14" s="131">
        <f t="shared" si="2"/>
        <v>4297.6559440559395</v>
      </c>
      <c r="N14" s="159">
        <f>Occ!G21</f>
        <v>426</v>
      </c>
      <c r="O14" s="104">
        <f>Occ!H21</f>
        <v>984</v>
      </c>
      <c r="P14" s="158">
        <v>918</v>
      </c>
      <c r="Q14" s="167"/>
    </row>
    <row r="15" spans="1:17">
      <c r="A15" s="7" t="s">
        <v>14</v>
      </c>
      <c r="B15" s="7">
        <v>13</v>
      </c>
      <c r="C15" s="7">
        <v>6</v>
      </c>
      <c r="D15" s="121">
        <v>2021</v>
      </c>
      <c r="E15" s="151">
        <f>'Athens Daily - EL'!AK20</f>
        <v>48480</v>
      </c>
      <c r="F15" s="151">
        <f>'Athens Daily - EL'!AL20</f>
        <v>38690</v>
      </c>
      <c r="G15" s="131">
        <f t="shared" si="1"/>
        <v>87170</v>
      </c>
      <c r="H15" s="151">
        <f>'Athens Daily - Water'!R19</f>
        <v>466.95</v>
      </c>
      <c r="I15" s="151">
        <f>'Athens Daily - Water'!S19</f>
        <v>130.05000000000001</v>
      </c>
      <c r="J15" s="127">
        <f t="shared" si="0"/>
        <v>597</v>
      </c>
      <c r="K15" s="151">
        <f>'Athens Daily - Gas'!BH21</f>
        <v>102790.56000000006</v>
      </c>
      <c r="L15" s="151">
        <f>'Athens Daily - Gas'!BI21</f>
        <v>65352</v>
      </c>
      <c r="M15" s="131">
        <f t="shared" si="2"/>
        <v>4354.8966588966605</v>
      </c>
      <c r="N15" s="159">
        <f>Occ!G22</f>
        <v>424</v>
      </c>
      <c r="O15" s="104">
        <f>Occ!H22</f>
        <v>984</v>
      </c>
      <c r="P15" s="158">
        <v>918</v>
      </c>
      <c r="Q15" s="164"/>
    </row>
    <row r="16" spans="1:17">
      <c r="A16" s="7" t="s">
        <v>14</v>
      </c>
      <c r="B16" s="7">
        <v>14</v>
      </c>
      <c r="C16" s="7">
        <v>6</v>
      </c>
      <c r="D16" s="121">
        <v>2021</v>
      </c>
      <c r="E16" s="151">
        <f>'Athens Daily - EL'!AK21</f>
        <v>47080</v>
      </c>
      <c r="F16" s="151">
        <f>'Athens Daily - EL'!AL21</f>
        <v>38450</v>
      </c>
      <c r="G16" s="131">
        <f t="shared" si="1"/>
        <v>85530</v>
      </c>
      <c r="H16" s="151">
        <f>'Athens Daily - Water'!R20</f>
        <v>637.4</v>
      </c>
      <c r="I16" s="151">
        <f>'Athens Daily - Water'!S20</f>
        <v>128.60000000000002</v>
      </c>
      <c r="J16" s="127">
        <f t="shared" si="0"/>
        <v>766</v>
      </c>
      <c r="K16" s="151">
        <f>'Athens Daily - Gas'!BH22</f>
        <v>107064.43199999971</v>
      </c>
      <c r="L16" s="151">
        <f>'Athens Daily - Gas'!BI22</f>
        <v>64790.400000000001</v>
      </c>
      <c r="M16" s="131">
        <f t="shared" si="2"/>
        <v>4451.0445998445921</v>
      </c>
      <c r="N16" s="159">
        <f>Occ!G23</f>
        <v>389</v>
      </c>
      <c r="O16" s="104">
        <f>Occ!H23</f>
        <v>873</v>
      </c>
      <c r="P16" s="158">
        <v>918</v>
      </c>
      <c r="Q16" s="164"/>
    </row>
    <row r="17" spans="1:17">
      <c r="A17" s="7" t="s">
        <v>14</v>
      </c>
      <c r="B17" s="7">
        <v>15</v>
      </c>
      <c r="C17" s="7">
        <v>6</v>
      </c>
      <c r="D17" s="121">
        <v>2021</v>
      </c>
      <c r="E17" s="151">
        <f>'Athens Daily - EL'!AK22</f>
        <v>46845</v>
      </c>
      <c r="F17" s="151">
        <f>'Athens Daily - EL'!AL22</f>
        <v>38495</v>
      </c>
      <c r="G17" s="131">
        <f t="shared" si="1"/>
        <v>85340</v>
      </c>
      <c r="H17" s="151">
        <f>'Athens Daily - Water'!R21</f>
        <v>670.1</v>
      </c>
      <c r="I17" s="151">
        <f>'Athens Daily - Water'!S21</f>
        <v>201.9</v>
      </c>
      <c r="J17" s="127">
        <f t="shared" si="0"/>
        <v>872</v>
      </c>
      <c r="K17" s="151">
        <f>'Athens Daily - Gas'!BH23</f>
        <v>100121.42399999988</v>
      </c>
      <c r="L17" s="151">
        <f>'Athens Daily - Gas'!BI23</f>
        <v>64500</v>
      </c>
      <c r="M17" s="131">
        <f t="shared" si="2"/>
        <v>4263.6991452991424</v>
      </c>
      <c r="N17" s="159">
        <f>Occ!G24</f>
        <v>384</v>
      </c>
      <c r="O17" s="104">
        <f>Occ!H24</f>
        <v>852</v>
      </c>
      <c r="P17" s="158">
        <v>918</v>
      </c>
      <c r="Q17" s="164"/>
    </row>
    <row r="18" spans="1:17">
      <c r="A18" s="7" t="s">
        <v>14</v>
      </c>
      <c r="B18" s="7">
        <v>16</v>
      </c>
      <c r="C18" s="7">
        <v>6</v>
      </c>
      <c r="D18" s="121">
        <v>2021</v>
      </c>
      <c r="E18" s="151">
        <f>'Athens Daily - EL'!AK23</f>
        <v>49035</v>
      </c>
      <c r="F18" s="151">
        <f>'Athens Daily - EL'!AL23</f>
        <v>40345</v>
      </c>
      <c r="G18" s="131">
        <f t="shared" si="1"/>
        <v>89380</v>
      </c>
      <c r="H18" s="151">
        <f>'Athens Daily - Water'!R22</f>
        <v>397.70000000000016</v>
      </c>
      <c r="I18" s="151">
        <f>'Athens Daily - Water'!S22</f>
        <v>98.1</v>
      </c>
      <c r="J18" s="127">
        <f t="shared" si="0"/>
        <v>495.80000000000018</v>
      </c>
      <c r="K18" s="151">
        <f>'Athens Daily - Gas'!BH24</f>
        <v>98363.375999999989</v>
      </c>
      <c r="L18" s="151">
        <f>'Athens Daily - Gas'!BI24</f>
        <v>64252.800000000003</v>
      </c>
      <c r="M18" s="131">
        <f t="shared" si="2"/>
        <v>4211.7631701631699</v>
      </c>
      <c r="N18" s="159">
        <f>Occ!G25</f>
        <v>368</v>
      </c>
      <c r="O18" s="104">
        <f>Occ!H25</f>
        <v>814</v>
      </c>
      <c r="P18" s="158">
        <v>918</v>
      </c>
      <c r="Q18" s="163"/>
    </row>
    <row r="19" spans="1:17">
      <c r="A19" s="7" t="s">
        <v>14</v>
      </c>
      <c r="B19" s="7">
        <v>17</v>
      </c>
      <c r="C19" s="7">
        <v>6</v>
      </c>
      <c r="D19" s="121">
        <v>2021</v>
      </c>
      <c r="E19" s="151">
        <f>'Athens Daily - EL'!AK24</f>
        <v>47815</v>
      </c>
      <c r="F19" s="151">
        <f>'Athens Daily - EL'!AL24</f>
        <v>39805</v>
      </c>
      <c r="G19" s="131">
        <f t="shared" si="1"/>
        <v>87620</v>
      </c>
      <c r="H19" s="151">
        <f>'Athens Daily - Water'!R23</f>
        <v>603.0999999999998</v>
      </c>
      <c r="I19" s="151">
        <f>'Athens Daily - Water'!S23</f>
        <v>176.10000000000002</v>
      </c>
      <c r="J19" s="127">
        <f t="shared" si="0"/>
        <v>779.19999999999982</v>
      </c>
      <c r="K19" s="151">
        <f>'Athens Daily - Gas'!BH25</f>
        <v>106892.65199999983</v>
      </c>
      <c r="L19" s="151">
        <f>'Athens Daily - Gas'!BI25</f>
        <v>65836.800000000003</v>
      </c>
      <c r="M19" s="131">
        <f t="shared" si="2"/>
        <v>4473.6972804972756</v>
      </c>
      <c r="N19" s="159">
        <f>Occ!G26</f>
        <v>376</v>
      </c>
      <c r="O19" s="104">
        <f>Occ!H26</f>
        <v>830</v>
      </c>
      <c r="P19" s="158">
        <v>918</v>
      </c>
      <c r="Q19" s="163"/>
    </row>
    <row r="20" spans="1:17">
      <c r="A20" s="7" t="s">
        <v>14</v>
      </c>
      <c r="B20" s="7">
        <v>18</v>
      </c>
      <c r="C20" s="7">
        <v>6</v>
      </c>
      <c r="D20" s="121">
        <v>2021</v>
      </c>
      <c r="E20" s="151">
        <f>'Athens Daily - EL'!AK25</f>
        <v>50225</v>
      </c>
      <c r="F20" s="151">
        <f>'Athens Daily - EL'!AL25</f>
        <v>40645</v>
      </c>
      <c r="G20" s="131">
        <f t="shared" si="1"/>
        <v>90870</v>
      </c>
      <c r="H20" s="151">
        <f>'Athens Daily - Water'!R24</f>
        <v>594.15</v>
      </c>
      <c r="I20" s="151">
        <f>'Athens Daily - Water'!S24</f>
        <v>167.85000000000002</v>
      </c>
      <c r="J20" s="127">
        <f t="shared" si="0"/>
        <v>762</v>
      </c>
      <c r="K20" s="151">
        <f>'Athens Daily - Gas'!BH26</f>
        <v>105704.65199999983</v>
      </c>
      <c r="L20" s="151">
        <f>'Athens Daily - Gas'!BI26</f>
        <v>64864.800000000003</v>
      </c>
      <c r="M20" s="131">
        <f t="shared" si="2"/>
        <v>4417.7532245532202</v>
      </c>
      <c r="N20" s="159">
        <f>Occ!G27</f>
        <v>406</v>
      </c>
      <c r="O20" s="104">
        <f>Occ!H27</f>
        <v>903</v>
      </c>
      <c r="P20" s="158">
        <v>918</v>
      </c>
      <c r="Q20" s="163"/>
    </row>
    <row r="21" spans="1:17">
      <c r="A21" s="7" t="s">
        <v>14</v>
      </c>
      <c r="B21" s="7">
        <v>19</v>
      </c>
      <c r="C21" s="7">
        <v>6</v>
      </c>
      <c r="D21" s="121">
        <v>2021</v>
      </c>
      <c r="E21" s="151">
        <f>'Athens Daily - EL'!AK26</f>
        <v>50925</v>
      </c>
      <c r="F21" s="151">
        <f>'Athens Daily - EL'!AL26</f>
        <v>41395</v>
      </c>
      <c r="G21" s="131">
        <f t="shared" si="1"/>
        <v>92320</v>
      </c>
      <c r="H21" s="151">
        <f>'Athens Daily - Water'!R25</f>
        <v>594.4</v>
      </c>
      <c r="I21" s="151">
        <f>'Athens Daily - Water'!S25</f>
        <v>135.60000000000002</v>
      </c>
      <c r="J21" s="127">
        <f t="shared" si="0"/>
        <v>730</v>
      </c>
      <c r="K21" s="151">
        <f>'Athens Daily - Gas'!BH27</f>
        <v>102071.05199999982</v>
      </c>
      <c r="L21" s="151">
        <f>'Athens Daily - Gas'!BI27</f>
        <v>61538.400000000001</v>
      </c>
      <c r="M21" s="131">
        <f t="shared" si="2"/>
        <v>4237.4890442890392</v>
      </c>
      <c r="N21" s="159">
        <f>Occ!G28</f>
        <v>439</v>
      </c>
      <c r="O21" s="104">
        <f>Occ!H28</f>
        <v>1023</v>
      </c>
      <c r="P21" s="158">
        <v>918</v>
      </c>
      <c r="Q21" s="163"/>
    </row>
    <row r="22" spans="1:17">
      <c r="A22" s="7" t="s">
        <v>14</v>
      </c>
      <c r="B22" s="7">
        <v>20</v>
      </c>
      <c r="C22" s="7">
        <v>6</v>
      </c>
      <c r="D22" s="121">
        <v>2021</v>
      </c>
      <c r="E22" s="151">
        <f>'Athens Daily - EL'!AK27</f>
        <v>51335</v>
      </c>
      <c r="F22" s="151">
        <f>'Athens Daily - EL'!AL27</f>
        <v>41805</v>
      </c>
      <c r="G22" s="131">
        <f t="shared" si="1"/>
        <v>93140</v>
      </c>
      <c r="H22" s="151">
        <f>'Athens Daily - Water'!R26</f>
        <v>661.80999999999972</v>
      </c>
      <c r="I22" s="151">
        <f>'Athens Daily - Water'!S26</f>
        <v>135.80000000000001</v>
      </c>
      <c r="J22" s="127">
        <f t="shared" si="0"/>
        <v>797.60999999999967</v>
      </c>
      <c r="K22" s="151">
        <f>'Athens Daily - Gas'!BH28</f>
        <v>103218.25200000052</v>
      </c>
      <c r="L22" s="151">
        <f>'Athens Daily - Gas'!BI28</f>
        <v>63223.200000000004</v>
      </c>
      <c r="M22" s="131">
        <f t="shared" si="2"/>
        <v>4310.8379176379312</v>
      </c>
      <c r="N22" s="159">
        <f>Occ!G29</f>
        <v>400</v>
      </c>
      <c r="O22" s="104">
        <f>Occ!H29</f>
        <v>888</v>
      </c>
      <c r="P22" s="158">
        <v>918</v>
      </c>
      <c r="Q22" s="164"/>
    </row>
    <row r="23" spans="1:17">
      <c r="A23" s="7" t="s">
        <v>14</v>
      </c>
      <c r="B23" s="7">
        <v>21</v>
      </c>
      <c r="C23" s="7">
        <v>6</v>
      </c>
      <c r="D23" s="121">
        <v>2021</v>
      </c>
      <c r="E23" s="151">
        <f>'Athens Daily - EL'!AK28</f>
        <v>50755</v>
      </c>
      <c r="F23" s="151">
        <f>'Athens Daily - EL'!AL28</f>
        <v>42315</v>
      </c>
      <c r="G23" s="131">
        <f t="shared" si="1"/>
        <v>93070</v>
      </c>
      <c r="H23" s="169">
        <f>'Athens Daily - Water'!R27</f>
        <v>571.64</v>
      </c>
      <c r="I23" s="151">
        <f>'Athens Daily - Water'!S27</f>
        <v>160.4</v>
      </c>
      <c r="J23" s="127">
        <f t="shared" si="0"/>
        <v>732.04</v>
      </c>
      <c r="K23" s="151">
        <f>'Athens Daily - Gas'!BH29</f>
        <v>92038.680000000022</v>
      </c>
      <c r="L23" s="151">
        <f>'Athens Daily - Gas'!BI29</f>
        <v>61359.6</v>
      </c>
      <c r="M23" s="131">
        <f t="shared" si="2"/>
        <v>3973.0194250194259</v>
      </c>
      <c r="N23" s="159">
        <f>Occ!G30</f>
        <v>402</v>
      </c>
      <c r="O23" s="104">
        <f>Occ!H30</f>
        <v>877</v>
      </c>
      <c r="P23" s="158">
        <v>918</v>
      </c>
      <c r="Q23" s="164"/>
    </row>
    <row r="24" spans="1:17">
      <c r="A24" s="7" t="s">
        <v>14</v>
      </c>
      <c r="B24" s="7">
        <v>22</v>
      </c>
      <c r="C24" s="7">
        <v>6</v>
      </c>
      <c r="D24" s="121">
        <v>2021</v>
      </c>
      <c r="E24" s="151">
        <f>'Athens Daily - EL'!AK29</f>
        <v>43740</v>
      </c>
      <c r="F24" s="151">
        <f>'Athens Daily - EL'!AL29</f>
        <v>35590</v>
      </c>
      <c r="G24" s="131">
        <f t="shared" si="1"/>
        <v>79330</v>
      </c>
      <c r="H24" s="169">
        <f>'Athens Daily - Water'!R28</f>
        <v>500.39</v>
      </c>
      <c r="I24" s="151">
        <f>'Athens Daily - Water'!S28</f>
        <v>123.02300000000687</v>
      </c>
      <c r="J24" s="127">
        <f t="shared" si="0"/>
        <v>623.41300000000683</v>
      </c>
      <c r="K24" s="151">
        <f>'Athens Daily - Gas'!BH30</f>
        <v>92038.680000000022</v>
      </c>
      <c r="L24" s="151">
        <f>'Athens Daily - Gas'!BI30</f>
        <v>61359.6</v>
      </c>
      <c r="M24" s="131">
        <f t="shared" si="2"/>
        <v>3973.0194250194259</v>
      </c>
      <c r="N24" s="159">
        <f>Occ!G31</f>
        <v>382</v>
      </c>
      <c r="O24" s="104">
        <f>Occ!H31</f>
        <v>834</v>
      </c>
      <c r="P24" s="158">
        <v>918</v>
      </c>
      <c r="Q24" s="164"/>
    </row>
    <row r="25" spans="1:17">
      <c r="A25" s="7" t="s">
        <v>14</v>
      </c>
      <c r="B25" s="7">
        <v>23</v>
      </c>
      <c r="C25" s="7">
        <v>6</v>
      </c>
      <c r="D25" s="121">
        <v>2021</v>
      </c>
      <c r="E25" s="151">
        <f>'Athens Daily - EL'!AK30</f>
        <v>42925</v>
      </c>
      <c r="F25" s="151">
        <f>'Athens Daily - EL'!AL30</f>
        <v>34995</v>
      </c>
      <c r="G25" s="131">
        <f t="shared" si="1"/>
        <v>77920</v>
      </c>
      <c r="H25" s="169">
        <f>'Athens Daily - Water'!R29</f>
        <v>572.63000000000011</v>
      </c>
      <c r="I25" s="151">
        <f>'Athens Daily - Water'!S29</f>
        <v>157.94999999999709</v>
      </c>
      <c r="J25" s="127">
        <f t="shared" si="0"/>
        <v>730.5799999999972</v>
      </c>
      <c r="K25" s="169">
        <f>'Athens Daily - Gas'!BH31</f>
        <v>97656.624000000447</v>
      </c>
      <c r="L25" s="151">
        <f>'Athens Daily - Gas'!BI31</f>
        <v>61526.400000000001</v>
      </c>
      <c r="M25" s="131">
        <f t="shared" si="2"/>
        <v>4122.8444444444558</v>
      </c>
      <c r="N25" s="159">
        <f>Occ!G32</f>
        <v>371</v>
      </c>
      <c r="O25" s="104">
        <f>Occ!H32</f>
        <v>806</v>
      </c>
      <c r="P25" s="158">
        <v>918</v>
      </c>
      <c r="Q25" s="164"/>
    </row>
    <row r="26" spans="1:17">
      <c r="A26" s="7" t="s">
        <v>14</v>
      </c>
      <c r="B26" s="7">
        <v>24</v>
      </c>
      <c r="C26" s="7">
        <v>6</v>
      </c>
      <c r="D26" s="121">
        <v>2021</v>
      </c>
      <c r="E26" s="151">
        <f>'Athens Daily - EL'!AK31</f>
        <v>44590</v>
      </c>
      <c r="F26" s="151">
        <f>'Athens Daily - EL'!AL31</f>
        <v>38800</v>
      </c>
      <c r="G26" s="131">
        <f t="shared" si="1"/>
        <v>83390</v>
      </c>
      <c r="H26" s="169">
        <f>'Athens Daily - Water'!R30</f>
        <v>488.9800000000003</v>
      </c>
      <c r="I26" s="151">
        <f>'Athens Daily - Water'!S30</f>
        <v>123.95</v>
      </c>
      <c r="J26" s="127">
        <f t="shared" si="0"/>
        <v>612.93000000000029</v>
      </c>
      <c r="K26" s="151">
        <f>'Athens Daily - Gas'!BH32</f>
        <v>99142.031999999846</v>
      </c>
      <c r="L26" s="151">
        <f>'Athens Daily - Gas'!BI32</f>
        <v>63391.200000000004</v>
      </c>
      <c r="M26" s="131">
        <f t="shared" si="2"/>
        <v>4209.6149184149144</v>
      </c>
      <c r="N26" s="159">
        <f>Occ!G33</f>
        <v>399</v>
      </c>
      <c r="O26" s="104">
        <f>Occ!H33</f>
        <v>873</v>
      </c>
      <c r="P26" s="158">
        <v>918</v>
      </c>
      <c r="Q26" s="164"/>
    </row>
    <row r="27" spans="1:17">
      <c r="A27" s="7" t="s">
        <v>14</v>
      </c>
      <c r="B27" s="7">
        <v>25</v>
      </c>
      <c r="C27" s="7">
        <v>6</v>
      </c>
      <c r="D27" s="121">
        <v>2021</v>
      </c>
      <c r="E27" s="151">
        <f>'Athens Daily - EL'!AK32</f>
        <v>45645</v>
      </c>
      <c r="F27" s="151">
        <f>'Athens Daily - EL'!AL32</f>
        <v>34655</v>
      </c>
      <c r="G27" s="131">
        <f t="shared" si="1"/>
        <v>80300</v>
      </c>
      <c r="H27" s="169">
        <f>'Athens Daily - Water'!R31</f>
        <v>544.70000000000005</v>
      </c>
      <c r="I27" s="151">
        <f>'Athens Daily - Water'!S31</f>
        <v>135.30000000000001</v>
      </c>
      <c r="J27" s="127">
        <f t="shared" si="0"/>
        <v>680</v>
      </c>
      <c r="K27" s="151">
        <f>'Athens Daily - Gas'!BH33</f>
        <v>101341.87200000021</v>
      </c>
      <c r="L27" s="151">
        <f>'Athens Daily - Gas'!BI33</f>
        <v>64716</v>
      </c>
      <c r="M27" s="131">
        <f t="shared" si="2"/>
        <v>4300.9031857031914</v>
      </c>
      <c r="N27" s="159">
        <f>Occ!G34</f>
        <v>419</v>
      </c>
      <c r="O27" s="104">
        <f>Occ!H34</f>
        <v>931</v>
      </c>
      <c r="P27" s="158">
        <v>918</v>
      </c>
      <c r="Q27" s="162"/>
    </row>
    <row r="28" spans="1:17">
      <c r="A28" s="7" t="s">
        <v>14</v>
      </c>
      <c r="B28" s="7">
        <v>26</v>
      </c>
      <c r="C28" s="7">
        <v>6</v>
      </c>
      <c r="D28" s="121">
        <v>2021</v>
      </c>
      <c r="E28" s="151">
        <f>'Athens Daily - EL'!AK33</f>
        <v>48005</v>
      </c>
      <c r="F28" s="151">
        <f>'Athens Daily - EL'!AL33</f>
        <v>36485</v>
      </c>
      <c r="G28" s="131">
        <f t="shared" si="1"/>
        <v>84490</v>
      </c>
      <c r="H28" s="151">
        <f>'Athens Daily - Water'!R32</f>
        <v>460.65020000000038</v>
      </c>
      <c r="I28" s="151">
        <f>'Athens Daily - Water'!S32</f>
        <v>135.10000000000002</v>
      </c>
      <c r="J28" s="127">
        <f t="shared" si="0"/>
        <v>595.7502000000004</v>
      </c>
      <c r="K28" s="151">
        <f>'Athens Daily - Gas'!BH34</f>
        <v>105444.47999999989</v>
      </c>
      <c r="L28" s="151">
        <f>'Athens Daily - Gas'!BI34</f>
        <v>65066.400000000001</v>
      </c>
      <c r="M28" s="131">
        <f t="shared" si="2"/>
        <v>4416.2362082362051</v>
      </c>
      <c r="N28" s="159">
        <f>Occ!G35</f>
        <v>442</v>
      </c>
      <c r="O28" s="104">
        <f>Occ!H35</f>
        <v>990</v>
      </c>
      <c r="P28" s="158">
        <v>918</v>
      </c>
      <c r="Q28" s="162"/>
    </row>
    <row r="29" spans="1:17">
      <c r="A29" s="7" t="s">
        <v>14</v>
      </c>
      <c r="B29" s="7">
        <v>27</v>
      </c>
      <c r="C29" s="7">
        <v>6</v>
      </c>
      <c r="D29" s="121">
        <v>2021</v>
      </c>
      <c r="E29" s="151">
        <f>'Athens Daily - EL'!AK34</f>
        <v>49190</v>
      </c>
      <c r="F29" s="151">
        <f>'Athens Daily - EL'!AL34</f>
        <v>39750</v>
      </c>
      <c r="G29" s="131">
        <f t="shared" si="1"/>
        <v>88940</v>
      </c>
      <c r="H29" s="151">
        <f>'Athens Daily - Water'!R33</f>
        <v>576.48169999999993</v>
      </c>
      <c r="I29" s="151">
        <f>'Athens Daily - Water'!S33</f>
        <v>126.65</v>
      </c>
      <c r="J29" s="127">
        <f t="shared" si="0"/>
        <v>703.13169999999991</v>
      </c>
      <c r="K29" s="151">
        <f>'Athens Daily - Gas'!BH35</f>
        <v>111818.35199999968</v>
      </c>
      <c r="L29" s="151">
        <f>'Athens Daily - Gas'!BI35</f>
        <v>70111.200000000012</v>
      </c>
      <c r="M29" s="131">
        <f t="shared" si="2"/>
        <v>4711.9801087801006</v>
      </c>
      <c r="N29" s="159">
        <f>Occ!G36</f>
        <v>437</v>
      </c>
      <c r="O29" s="104">
        <f>Occ!H36</f>
        <v>966</v>
      </c>
      <c r="P29" s="158">
        <v>918</v>
      </c>
      <c r="Q29" s="162"/>
    </row>
    <row r="30" spans="1:17">
      <c r="A30" s="7" t="s">
        <v>14</v>
      </c>
      <c r="B30" s="7">
        <v>28</v>
      </c>
      <c r="C30" s="7">
        <v>6</v>
      </c>
      <c r="D30" s="121">
        <v>2021</v>
      </c>
      <c r="E30" s="151">
        <f>'Athens Daily - EL'!AK35</f>
        <v>48615</v>
      </c>
      <c r="F30" s="151">
        <f>'Athens Daily - EL'!AL35</f>
        <v>38815</v>
      </c>
      <c r="G30" s="131">
        <f t="shared" si="1"/>
        <v>87430</v>
      </c>
      <c r="H30" s="151">
        <f>'Athens Daily - Water'!R34</f>
        <v>566.02279999999939</v>
      </c>
      <c r="I30" s="151">
        <f>'Athens Daily - Water'!S34</f>
        <v>143.9</v>
      </c>
      <c r="J30" s="127">
        <f t="shared" si="0"/>
        <v>709.92279999999937</v>
      </c>
      <c r="K30" s="151">
        <f>'Athens Daily - Gas'!BH36</f>
        <v>106258.84800000046</v>
      </c>
      <c r="L30" s="151">
        <f>'Athens Daily - Gas'!BI36</f>
        <v>65226</v>
      </c>
      <c r="M30" s="131">
        <f t="shared" si="2"/>
        <v>4441.4620046620166</v>
      </c>
      <c r="N30" s="159">
        <f>Occ!G37</f>
        <v>421</v>
      </c>
      <c r="O30" s="104">
        <f>Occ!H37</f>
        <v>930</v>
      </c>
      <c r="P30" s="158">
        <v>918</v>
      </c>
      <c r="Q30" s="162"/>
    </row>
    <row r="31" spans="1:17">
      <c r="A31" s="7" t="s">
        <v>14</v>
      </c>
      <c r="B31" s="7">
        <v>29</v>
      </c>
      <c r="C31" s="7">
        <v>6</v>
      </c>
      <c r="D31" s="121">
        <v>2021</v>
      </c>
      <c r="E31" s="151">
        <f>'Athens Daily - EL'!AK36</f>
        <v>48620</v>
      </c>
      <c r="F31" s="151">
        <f>'Athens Daily - EL'!AL36</f>
        <v>38980</v>
      </c>
      <c r="G31" s="131">
        <f t="shared" si="1"/>
        <v>87600</v>
      </c>
      <c r="H31" s="151">
        <f>'Athens Daily - Water'!R35</f>
        <v>514.16000000000054</v>
      </c>
      <c r="I31" s="151">
        <f>'Athens Daily - Water'!S35</f>
        <v>190.7</v>
      </c>
      <c r="J31" s="127">
        <f t="shared" si="0"/>
        <v>704.86000000000058</v>
      </c>
      <c r="K31" s="151">
        <f>'Athens Daily - Gas'!BH37</f>
        <v>106258.84799999977</v>
      </c>
      <c r="L31" s="151">
        <f>'Athens Daily - Gas'!BI37</f>
        <v>65226</v>
      </c>
      <c r="M31" s="131">
        <f t="shared" si="2"/>
        <v>4441.4620046619984</v>
      </c>
      <c r="N31" s="159">
        <f>Occ!G38</f>
        <v>413</v>
      </c>
      <c r="O31" s="104">
        <f>Occ!H38</f>
        <v>911</v>
      </c>
      <c r="P31" s="158">
        <v>918</v>
      </c>
      <c r="Q31" s="162"/>
    </row>
    <row r="32" spans="1:17">
      <c r="A32" s="7" t="s">
        <v>14</v>
      </c>
      <c r="B32" s="7">
        <v>30</v>
      </c>
      <c r="C32" s="7">
        <v>6</v>
      </c>
      <c r="D32" s="121">
        <v>2021</v>
      </c>
      <c r="E32" s="151">
        <f>'Athens Daily - EL'!AK37</f>
        <v>50455</v>
      </c>
      <c r="F32" s="151">
        <f>'Athens Daily - EL'!AL37</f>
        <v>40355</v>
      </c>
      <c r="G32" s="131">
        <f t="shared" si="1"/>
        <v>90810</v>
      </c>
      <c r="H32" s="151">
        <f>'Athens Daily - Water'!R36</f>
        <v>486.08529999999973</v>
      </c>
      <c r="I32" s="151">
        <f>'Athens Daily - Water'!S36</f>
        <v>156.25</v>
      </c>
      <c r="J32" s="127">
        <f t="shared" si="0"/>
        <v>642.33529999999973</v>
      </c>
      <c r="K32" s="151">
        <f>'Athens Daily - Gas'!BH38</f>
        <v>91236.143999999709</v>
      </c>
      <c r="L32" s="151">
        <f>'Athens Daily - Gas'!BI38</f>
        <v>69789.600000000006</v>
      </c>
      <c r="M32" s="131">
        <f t="shared" si="2"/>
        <v>4170.5709401709328</v>
      </c>
      <c r="N32" s="159">
        <f>Occ!G39</f>
        <v>418</v>
      </c>
      <c r="O32" s="104">
        <f>Occ!H39</f>
        <v>944</v>
      </c>
      <c r="P32" s="158">
        <v>918</v>
      </c>
      <c r="Q32" s="162"/>
    </row>
    <row r="33" spans="1:17" ht="15.75" thickBot="1">
      <c r="A33" s="7" t="s">
        <v>14</v>
      </c>
      <c r="B33" s="7">
        <v>31</v>
      </c>
      <c r="C33" s="7">
        <v>6</v>
      </c>
      <c r="D33" s="121">
        <v>2021</v>
      </c>
      <c r="E33" s="152">
        <f>'Athens Daily - EL'!AK38</f>
        <v>0</v>
      </c>
      <c r="F33" s="153"/>
      <c r="G33" s="132">
        <f t="shared" si="1"/>
        <v>0</v>
      </c>
      <c r="H33" s="152">
        <f>'Athens Daily - Water'!R37</f>
        <v>0</v>
      </c>
      <c r="I33" s="151">
        <f>'Athens Daily - Water'!S37</f>
        <v>0</v>
      </c>
      <c r="J33" s="128">
        <f t="shared" si="0"/>
        <v>0</v>
      </c>
      <c r="K33" s="152">
        <f>'Athens Daily - Gas'!BH39</f>
        <v>0</v>
      </c>
      <c r="L33" s="151">
        <f>'Athens Daily - Gas'!BI39</f>
        <v>0</v>
      </c>
      <c r="M33" s="132">
        <f t="shared" si="2"/>
        <v>0</v>
      </c>
      <c r="N33" s="166">
        <f>Occ!G40</f>
        <v>0</v>
      </c>
      <c r="O33" s="157">
        <f>Occ!H40</f>
        <v>0</v>
      </c>
      <c r="P33" s="156">
        <v>918</v>
      </c>
      <c r="Q33" s="162"/>
    </row>
    <row r="35" spans="1:17">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G35" sqref="G3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8" t="s">
        <v>22</v>
      </c>
      <c r="H8" s="199"/>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66</v>
      </c>
      <c r="D10" s="144">
        <v>132</v>
      </c>
      <c r="E10" s="143">
        <v>275</v>
      </c>
      <c r="F10" s="144">
        <v>641</v>
      </c>
      <c r="G10" s="165">
        <f>SUM(C10+E10)</f>
        <v>341</v>
      </c>
      <c r="H10" s="144">
        <f>D10+F10</f>
        <v>773</v>
      </c>
      <c r="I10" s="141">
        <v>918</v>
      </c>
      <c r="J10" s="133"/>
      <c r="K10" s="133"/>
      <c r="L10" s="133"/>
      <c r="M10" s="133"/>
      <c r="N10" s="133"/>
    </row>
    <row r="11" spans="1:14">
      <c r="A11" s="133"/>
      <c r="B11" s="142" t="s">
        <v>29</v>
      </c>
      <c r="C11" s="143">
        <v>62</v>
      </c>
      <c r="D11" s="144">
        <v>120</v>
      </c>
      <c r="E11" s="143">
        <v>278</v>
      </c>
      <c r="F11" s="144">
        <v>644</v>
      </c>
      <c r="G11" s="165">
        <f t="shared" ref="G11:G40" si="0">SUM(C11+E11)</f>
        <v>340</v>
      </c>
      <c r="H11" s="144">
        <f t="shared" ref="H11:H14" si="1">D11+F11</f>
        <v>764</v>
      </c>
      <c r="I11" s="141">
        <v>918</v>
      </c>
      <c r="J11" s="133"/>
      <c r="K11" s="133"/>
      <c r="L11" s="133"/>
      <c r="M11" s="133"/>
      <c r="N11" s="133"/>
    </row>
    <row r="12" spans="1:14">
      <c r="A12" s="133"/>
      <c r="B12" s="142" t="s">
        <v>30</v>
      </c>
      <c r="C12" s="143">
        <v>87</v>
      </c>
      <c r="D12" s="144">
        <v>178</v>
      </c>
      <c r="E12" s="143">
        <v>278</v>
      </c>
      <c r="F12" s="144">
        <v>645</v>
      </c>
      <c r="G12" s="165">
        <f t="shared" si="0"/>
        <v>365</v>
      </c>
      <c r="H12" s="144">
        <f t="shared" si="1"/>
        <v>823</v>
      </c>
      <c r="I12" s="141">
        <v>918</v>
      </c>
      <c r="J12" s="133"/>
      <c r="K12" s="133"/>
      <c r="L12" s="133"/>
      <c r="M12" s="133"/>
      <c r="N12" s="133"/>
    </row>
    <row r="13" spans="1:14">
      <c r="A13" s="133"/>
      <c r="B13" s="142" t="s">
        <v>31</v>
      </c>
      <c r="C13" s="143">
        <v>126</v>
      </c>
      <c r="D13" s="144">
        <v>270</v>
      </c>
      <c r="E13" s="143">
        <v>280</v>
      </c>
      <c r="F13" s="144">
        <v>648</v>
      </c>
      <c r="G13" s="165">
        <f t="shared" si="0"/>
        <v>406</v>
      </c>
      <c r="H13" s="144">
        <f t="shared" si="1"/>
        <v>918</v>
      </c>
      <c r="I13" s="141">
        <v>918</v>
      </c>
      <c r="J13" s="133"/>
      <c r="K13" s="133"/>
      <c r="L13" s="133"/>
      <c r="M13" s="133"/>
      <c r="N13" s="133"/>
    </row>
    <row r="14" spans="1:14">
      <c r="A14" s="133"/>
      <c r="B14" s="142" t="s">
        <v>32</v>
      </c>
      <c r="C14" s="143">
        <v>137</v>
      </c>
      <c r="D14" s="144">
        <v>294</v>
      </c>
      <c r="E14" s="143">
        <v>277</v>
      </c>
      <c r="F14" s="144">
        <v>641</v>
      </c>
      <c r="G14" s="165">
        <f t="shared" si="0"/>
        <v>414</v>
      </c>
      <c r="H14" s="144">
        <f t="shared" si="1"/>
        <v>935</v>
      </c>
      <c r="I14" s="141">
        <v>918</v>
      </c>
      <c r="J14" s="133"/>
      <c r="K14" s="133"/>
      <c r="L14" s="133"/>
      <c r="M14" s="133"/>
      <c r="N14" s="133"/>
    </row>
    <row r="15" spans="1:14">
      <c r="A15" s="133"/>
      <c r="B15" s="142" t="s">
        <v>33</v>
      </c>
      <c r="C15" s="143">
        <v>136</v>
      </c>
      <c r="D15" s="144">
        <v>279</v>
      </c>
      <c r="E15" s="143">
        <v>277</v>
      </c>
      <c r="F15" s="144">
        <v>640</v>
      </c>
      <c r="G15" s="165">
        <f t="shared" si="0"/>
        <v>413</v>
      </c>
      <c r="H15" s="144">
        <f t="shared" ref="H15:H40" si="2">D15+F15</f>
        <v>919</v>
      </c>
      <c r="I15" s="141">
        <v>918</v>
      </c>
      <c r="J15" s="133"/>
      <c r="K15" s="133"/>
      <c r="L15" s="133"/>
      <c r="M15" s="133"/>
      <c r="N15" s="133"/>
    </row>
    <row r="16" spans="1:14">
      <c r="A16" s="133"/>
      <c r="B16" s="142" t="s">
        <v>34</v>
      </c>
      <c r="C16" s="143">
        <v>83</v>
      </c>
      <c r="D16" s="144">
        <v>161</v>
      </c>
      <c r="E16" s="143">
        <v>275</v>
      </c>
      <c r="F16" s="144">
        <v>638</v>
      </c>
      <c r="G16" s="165">
        <f t="shared" si="0"/>
        <v>358</v>
      </c>
      <c r="H16" s="144">
        <f t="shared" si="2"/>
        <v>799</v>
      </c>
      <c r="I16" s="141">
        <v>918</v>
      </c>
      <c r="J16" s="133"/>
      <c r="K16" s="133"/>
      <c r="L16" s="133"/>
      <c r="M16" s="133"/>
      <c r="N16" s="133"/>
    </row>
    <row r="17" spans="1:14">
      <c r="A17" s="133"/>
      <c r="B17" s="142" t="s">
        <v>35</v>
      </c>
      <c r="C17" s="143">
        <v>82</v>
      </c>
      <c r="D17" s="144">
        <v>162</v>
      </c>
      <c r="E17" s="143">
        <v>275</v>
      </c>
      <c r="F17" s="144">
        <v>638</v>
      </c>
      <c r="G17" s="165">
        <f t="shared" si="0"/>
        <v>357</v>
      </c>
      <c r="H17" s="144">
        <f t="shared" si="2"/>
        <v>800</v>
      </c>
      <c r="I17" s="141">
        <v>918</v>
      </c>
      <c r="J17" s="133"/>
      <c r="K17" s="133"/>
      <c r="L17" s="133"/>
      <c r="M17" s="133"/>
      <c r="N17" s="133"/>
    </row>
    <row r="18" spans="1:14">
      <c r="A18" s="133"/>
      <c r="B18" s="142" t="s">
        <v>36</v>
      </c>
      <c r="C18" s="143">
        <v>82</v>
      </c>
      <c r="D18" s="144">
        <v>161</v>
      </c>
      <c r="E18" s="143">
        <v>279</v>
      </c>
      <c r="F18" s="144">
        <v>643</v>
      </c>
      <c r="G18" s="165">
        <f t="shared" si="0"/>
        <v>361</v>
      </c>
      <c r="H18" s="144">
        <f t="shared" si="2"/>
        <v>804</v>
      </c>
      <c r="I18" s="141">
        <v>918</v>
      </c>
      <c r="J18" s="133"/>
      <c r="K18" s="133"/>
      <c r="L18" s="133"/>
      <c r="M18" s="133"/>
      <c r="N18" s="133"/>
    </row>
    <row r="19" spans="1:14">
      <c r="A19" s="133"/>
      <c r="B19" s="142" t="s">
        <v>37</v>
      </c>
      <c r="C19" s="143">
        <v>114</v>
      </c>
      <c r="D19" s="144">
        <v>226</v>
      </c>
      <c r="E19" s="143">
        <v>279</v>
      </c>
      <c r="F19" s="144">
        <v>643</v>
      </c>
      <c r="G19" s="165">
        <f t="shared" si="0"/>
        <v>393</v>
      </c>
      <c r="H19" s="144">
        <f t="shared" si="2"/>
        <v>869</v>
      </c>
      <c r="I19" s="141">
        <v>918</v>
      </c>
      <c r="J19" s="133"/>
      <c r="K19" s="133"/>
      <c r="L19" s="133"/>
      <c r="M19" s="133"/>
      <c r="N19" s="133"/>
    </row>
    <row r="20" spans="1:14">
      <c r="A20" s="133"/>
      <c r="B20" s="142" t="s">
        <v>38</v>
      </c>
      <c r="C20" s="143">
        <v>123</v>
      </c>
      <c r="D20" s="144">
        <v>261</v>
      </c>
      <c r="E20" s="143">
        <v>280</v>
      </c>
      <c r="F20" s="144">
        <v>642</v>
      </c>
      <c r="G20" s="165">
        <f t="shared" si="0"/>
        <v>403</v>
      </c>
      <c r="H20" s="144">
        <f t="shared" si="2"/>
        <v>903</v>
      </c>
      <c r="I20" s="141">
        <v>918</v>
      </c>
      <c r="J20" s="133"/>
      <c r="K20" s="133"/>
      <c r="L20" s="133"/>
      <c r="M20" s="133"/>
      <c r="N20" s="133"/>
    </row>
    <row r="21" spans="1:14">
      <c r="A21" s="133"/>
      <c r="B21" s="142" t="s">
        <v>39</v>
      </c>
      <c r="C21" s="143">
        <v>146</v>
      </c>
      <c r="D21" s="144">
        <v>342</v>
      </c>
      <c r="E21" s="165">
        <v>280</v>
      </c>
      <c r="F21" s="144">
        <v>642</v>
      </c>
      <c r="G21" s="165">
        <f t="shared" ref="G21:G34" si="3">SUM(C21+E21)</f>
        <v>426</v>
      </c>
      <c r="H21" s="144">
        <f t="shared" ref="H21:H34" si="4">D21+F21</f>
        <v>984</v>
      </c>
      <c r="I21" s="141">
        <v>918</v>
      </c>
      <c r="J21" s="133"/>
      <c r="K21" s="133"/>
      <c r="L21" s="133"/>
      <c r="M21" s="133"/>
      <c r="N21" s="133"/>
    </row>
    <row r="22" spans="1:14">
      <c r="A22" s="133"/>
      <c r="B22" s="142" t="s">
        <v>40</v>
      </c>
      <c r="C22" s="143">
        <v>144</v>
      </c>
      <c r="D22" s="144">
        <v>340</v>
      </c>
      <c r="E22" s="165">
        <v>280</v>
      </c>
      <c r="F22" s="144">
        <v>644</v>
      </c>
      <c r="G22" s="165">
        <f t="shared" si="3"/>
        <v>424</v>
      </c>
      <c r="H22" s="144">
        <f t="shared" si="4"/>
        <v>984</v>
      </c>
      <c r="I22" s="141">
        <v>918</v>
      </c>
      <c r="J22" s="133"/>
      <c r="K22" s="133"/>
      <c r="L22" s="133"/>
      <c r="M22" s="133"/>
      <c r="N22" s="133"/>
    </row>
    <row r="23" spans="1:14">
      <c r="A23" s="133"/>
      <c r="B23" s="142" t="s">
        <v>41</v>
      </c>
      <c r="C23" s="143">
        <v>108</v>
      </c>
      <c r="D23" s="144">
        <v>234</v>
      </c>
      <c r="E23" s="165">
        <v>281</v>
      </c>
      <c r="F23" s="144">
        <v>639</v>
      </c>
      <c r="G23" s="165">
        <f t="shared" si="3"/>
        <v>389</v>
      </c>
      <c r="H23" s="144">
        <f t="shared" si="4"/>
        <v>873</v>
      </c>
      <c r="I23" s="141">
        <v>918</v>
      </c>
      <c r="J23" s="133"/>
      <c r="K23" s="133"/>
      <c r="L23" s="133"/>
      <c r="M23" s="133"/>
      <c r="N23" s="133"/>
    </row>
    <row r="24" spans="1:14">
      <c r="A24" s="133"/>
      <c r="B24" s="142" t="s">
        <v>42</v>
      </c>
      <c r="C24" s="143">
        <v>102</v>
      </c>
      <c r="D24" s="144">
        <v>212</v>
      </c>
      <c r="E24" s="165">
        <v>282</v>
      </c>
      <c r="F24" s="144">
        <v>640</v>
      </c>
      <c r="G24" s="165">
        <f t="shared" si="3"/>
        <v>384</v>
      </c>
      <c r="H24" s="144">
        <f t="shared" si="4"/>
        <v>852</v>
      </c>
      <c r="I24" s="141">
        <v>918</v>
      </c>
      <c r="J24" s="133"/>
      <c r="K24" s="133"/>
      <c r="L24" s="133"/>
      <c r="M24" s="133"/>
      <c r="N24" s="133"/>
    </row>
    <row r="25" spans="1:14">
      <c r="A25" s="133"/>
      <c r="B25" s="142" t="s">
        <v>43</v>
      </c>
      <c r="C25" s="143">
        <v>86</v>
      </c>
      <c r="D25" s="144">
        <v>173</v>
      </c>
      <c r="E25" s="165">
        <v>282</v>
      </c>
      <c r="F25" s="144">
        <v>641</v>
      </c>
      <c r="G25" s="165">
        <f t="shared" si="3"/>
        <v>368</v>
      </c>
      <c r="H25" s="144">
        <f t="shared" si="4"/>
        <v>814</v>
      </c>
      <c r="I25" s="141">
        <v>918</v>
      </c>
      <c r="J25" s="133"/>
      <c r="K25" s="133"/>
      <c r="L25" s="133"/>
      <c r="M25" s="133"/>
      <c r="N25" s="133"/>
    </row>
    <row r="26" spans="1:14">
      <c r="A26" s="133"/>
      <c r="B26" s="142" t="s">
        <v>44</v>
      </c>
      <c r="C26" s="143">
        <v>94</v>
      </c>
      <c r="D26" s="144">
        <v>189</v>
      </c>
      <c r="E26" s="165">
        <v>282</v>
      </c>
      <c r="F26" s="144">
        <v>641</v>
      </c>
      <c r="G26" s="165">
        <f t="shared" si="3"/>
        <v>376</v>
      </c>
      <c r="H26" s="144">
        <f t="shared" si="4"/>
        <v>830</v>
      </c>
      <c r="I26" s="141">
        <v>918</v>
      </c>
      <c r="J26" s="133"/>
      <c r="K26" s="133"/>
      <c r="L26" s="133"/>
      <c r="M26" s="133"/>
      <c r="N26" s="133"/>
    </row>
    <row r="27" spans="1:14">
      <c r="A27" s="133"/>
      <c r="B27" s="142" t="s">
        <v>45</v>
      </c>
      <c r="C27" s="143">
        <v>124</v>
      </c>
      <c r="D27" s="144">
        <v>261</v>
      </c>
      <c r="E27" s="165">
        <v>282</v>
      </c>
      <c r="F27" s="144">
        <v>642</v>
      </c>
      <c r="G27" s="165">
        <f t="shared" si="3"/>
        <v>406</v>
      </c>
      <c r="H27" s="144">
        <f t="shared" si="4"/>
        <v>903</v>
      </c>
      <c r="I27" s="141">
        <v>918</v>
      </c>
      <c r="J27" s="133"/>
      <c r="K27" s="133"/>
      <c r="L27" s="133"/>
      <c r="M27" s="133"/>
      <c r="N27" s="133"/>
    </row>
    <row r="28" spans="1:14">
      <c r="A28" s="133"/>
      <c r="B28" s="142" t="s">
        <v>46</v>
      </c>
      <c r="C28" s="143">
        <v>157</v>
      </c>
      <c r="D28" s="144">
        <v>380</v>
      </c>
      <c r="E28" s="165">
        <v>282</v>
      </c>
      <c r="F28" s="144">
        <v>643</v>
      </c>
      <c r="G28" s="165">
        <f t="shared" si="3"/>
        <v>439</v>
      </c>
      <c r="H28" s="144">
        <f t="shared" si="4"/>
        <v>1023</v>
      </c>
      <c r="I28" s="141">
        <v>918</v>
      </c>
      <c r="J28" s="133"/>
      <c r="K28" s="133"/>
      <c r="L28" s="133"/>
      <c r="M28" s="133"/>
      <c r="N28" s="133"/>
    </row>
    <row r="29" spans="1:14">
      <c r="A29" s="133"/>
      <c r="B29" s="142" t="s">
        <v>47</v>
      </c>
      <c r="C29" s="143">
        <v>115</v>
      </c>
      <c r="D29" s="144">
        <v>239</v>
      </c>
      <c r="E29" s="165">
        <v>285</v>
      </c>
      <c r="F29" s="144">
        <v>649</v>
      </c>
      <c r="G29" s="165">
        <f t="shared" si="3"/>
        <v>400</v>
      </c>
      <c r="H29" s="144">
        <f t="shared" si="4"/>
        <v>888</v>
      </c>
      <c r="I29" s="141">
        <v>918</v>
      </c>
      <c r="J29" s="133"/>
      <c r="K29" s="133"/>
      <c r="L29" s="133"/>
      <c r="M29" s="133"/>
      <c r="N29" s="133"/>
    </row>
    <row r="30" spans="1:14">
      <c r="A30" s="133"/>
      <c r="B30" s="142" t="s">
        <v>48</v>
      </c>
      <c r="C30" s="143">
        <v>118</v>
      </c>
      <c r="D30" s="144">
        <v>230</v>
      </c>
      <c r="E30" s="165">
        <v>284</v>
      </c>
      <c r="F30" s="144">
        <v>647</v>
      </c>
      <c r="G30" s="165">
        <f t="shared" si="3"/>
        <v>402</v>
      </c>
      <c r="H30" s="144">
        <f t="shared" si="4"/>
        <v>877</v>
      </c>
      <c r="I30" s="141">
        <v>918</v>
      </c>
      <c r="J30" s="133"/>
      <c r="K30" s="133"/>
      <c r="L30" s="133"/>
      <c r="M30" s="133"/>
      <c r="N30" s="133"/>
    </row>
    <row r="31" spans="1:14">
      <c r="A31" s="133"/>
      <c r="B31" s="142" t="s">
        <v>49</v>
      </c>
      <c r="C31" s="143">
        <v>97</v>
      </c>
      <c r="D31" s="144">
        <v>186</v>
      </c>
      <c r="E31" s="165">
        <v>285</v>
      </c>
      <c r="F31" s="144">
        <v>648</v>
      </c>
      <c r="G31" s="165">
        <f t="shared" si="3"/>
        <v>382</v>
      </c>
      <c r="H31" s="144">
        <f t="shared" si="4"/>
        <v>834</v>
      </c>
      <c r="I31" s="141">
        <v>918</v>
      </c>
      <c r="J31" s="133"/>
      <c r="K31" s="133"/>
      <c r="L31" s="133"/>
      <c r="M31" s="133"/>
      <c r="N31" s="133"/>
    </row>
    <row r="32" spans="1:14">
      <c r="A32" s="133"/>
      <c r="B32" s="142" t="s">
        <v>50</v>
      </c>
      <c r="C32" s="143">
        <v>86</v>
      </c>
      <c r="D32" s="144">
        <v>158</v>
      </c>
      <c r="E32" s="165">
        <v>285</v>
      </c>
      <c r="F32" s="144">
        <v>648</v>
      </c>
      <c r="G32" s="165">
        <f t="shared" si="3"/>
        <v>371</v>
      </c>
      <c r="H32" s="144">
        <f t="shared" si="4"/>
        <v>806</v>
      </c>
      <c r="I32" s="141">
        <v>918</v>
      </c>
      <c r="J32" s="133"/>
      <c r="K32" s="133"/>
      <c r="L32" s="133"/>
      <c r="M32" s="133"/>
      <c r="N32" s="133"/>
    </row>
    <row r="33" spans="1:14">
      <c r="A33" s="133"/>
      <c r="B33" s="142" t="s">
        <v>51</v>
      </c>
      <c r="C33" s="143">
        <v>113</v>
      </c>
      <c r="D33" s="144">
        <v>225</v>
      </c>
      <c r="E33" s="165">
        <v>286</v>
      </c>
      <c r="F33" s="144">
        <v>648</v>
      </c>
      <c r="G33" s="165">
        <f t="shared" si="3"/>
        <v>399</v>
      </c>
      <c r="H33" s="144">
        <f t="shared" si="4"/>
        <v>873</v>
      </c>
      <c r="I33" s="141">
        <v>918</v>
      </c>
      <c r="J33" s="133"/>
      <c r="K33" s="133"/>
      <c r="L33" s="133"/>
      <c r="M33" s="133"/>
      <c r="N33" s="133"/>
    </row>
    <row r="34" spans="1:14">
      <c r="A34" s="133"/>
      <c r="B34" s="142" t="s">
        <v>52</v>
      </c>
      <c r="C34" s="143">
        <v>133</v>
      </c>
      <c r="D34" s="144">
        <v>280</v>
      </c>
      <c r="E34" s="165">
        <v>286</v>
      </c>
      <c r="F34" s="144">
        <v>651</v>
      </c>
      <c r="G34" s="165">
        <f t="shared" si="3"/>
        <v>419</v>
      </c>
      <c r="H34" s="144">
        <f t="shared" si="4"/>
        <v>931</v>
      </c>
      <c r="I34" s="141">
        <v>918</v>
      </c>
      <c r="J34" s="133"/>
      <c r="K34" s="133"/>
      <c r="L34" s="133"/>
      <c r="M34" s="133"/>
      <c r="N34" s="133"/>
    </row>
    <row r="35" spans="1:14">
      <c r="A35" s="133"/>
      <c r="B35" s="142" t="s">
        <v>53</v>
      </c>
      <c r="C35" s="143">
        <v>156</v>
      </c>
      <c r="D35" s="144">
        <v>338</v>
      </c>
      <c r="E35" s="143">
        <v>286</v>
      </c>
      <c r="F35" s="144">
        <v>652</v>
      </c>
      <c r="G35" s="165">
        <f t="shared" si="0"/>
        <v>442</v>
      </c>
      <c r="H35" s="144">
        <f t="shared" si="2"/>
        <v>990</v>
      </c>
      <c r="I35" s="141">
        <v>918</v>
      </c>
      <c r="J35" s="133"/>
      <c r="K35" s="133"/>
      <c r="L35" s="133"/>
      <c r="M35" s="133"/>
      <c r="N35" s="133"/>
    </row>
    <row r="36" spans="1:14">
      <c r="A36" s="133"/>
      <c r="B36" s="142" t="s">
        <v>54</v>
      </c>
      <c r="C36" s="143">
        <v>152</v>
      </c>
      <c r="D36" s="144">
        <v>314</v>
      </c>
      <c r="E36" s="143">
        <v>285</v>
      </c>
      <c r="F36" s="144">
        <v>652</v>
      </c>
      <c r="G36" s="165">
        <f t="shared" si="0"/>
        <v>437</v>
      </c>
      <c r="H36" s="144">
        <f t="shared" si="2"/>
        <v>966</v>
      </c>
      <c r="I36" s="141">
        <v>918</v>
      </c>
      <c r="J36" s="133"/>
      <c r="K36" s="133"/>
      <c r="L36" s="133"/>
      <c r="M36" s="133"/>
      <c r="N36" s="133"/>
    </row>
    <row r="37" spans="1:14">
      <c r="A37" s="133"/>
      <c r="B37" s="142" t="s">
        <v>55</v>
      </c>
      <c r="C37" s="143">
        <v>136</v>
      </c>
      <c r="D37" s="144">
        <v>278</v>
      </c>
      <c r="E37" s="143">
        <v>285</v>
      </c>
      <c r="F37" s="144">
        <v>652</v>
      </c>
      <c r="G37" s="165">
        <f t="shared" si="0"/>
        <v>421</v>
      </c>
      <c r="H37" s="144">
        <f t="shared" si="2"/>
        <v>930</v>
      </c>
      <c r="I37" s="141">
        <v>918</v>
      </c>
      <c r="J37" s="133"/>
      <c r="K37" s="133"/>
      <c r="L37" s="133"/>
      <c r="M37" s="133"/>
      <c r="N37" s="133"/>
    </row>
    <row r="38" spans="1:14" s="176" customFormat="1">
      <c r="A38" s="170"/>
      <c r="B38" s="171" t="s">
        <v>56</v>
      </c>
      <c r="C38" s="172">
        <v>131</v>
      </c>
      <c r="D38" s="173">
        <v>267</v>
      </c>
      <c r="E38" s="172">
        <v>282</v>
      </c>
      <c r="F38" s="173">
        <v>644</v>
      </c>
      <c r="G38" s="174">
        <f t="shared" si="0"/>
        <v>413</v>
      </c>
      <c r="H38" s="173">
        <f t="shared" si="2"/>
        <v>911</v>
      </c>
      <c r="I38" s="175">
        <v>918</v>
      </c>
      <c r="J38" s="170"/>
      <c r="K38" s="170"/>
      <c r="L38" s="170"/>
      <c r="M38" s="170"/>
      <c r="N38" s="170"/>
    </row>
    <row r="39" spans="1:14" s="176" customFormat="1">
      <c r="A39" s="170"/>
      <c r="B39" s="171" t="s">
        <v>57</v>
      </c>
      <c r="C39" s="172">
        <v>167</v>
      </c>
      <c r="D39" s="173">
        <v>373</v>
      </c>
      <c r="E39" s="172">
        <v>251</v>
      </c>
      <c r="F39" s="173">
        <v>571</v>
      </c>
      <c r="G39" s="174">
        <f t="shared" si="0"/>
        <v>418</v>
      </c>
      <c r="H39" s="173">
        <f t="shared" si="2"/>
        <v>944</v>
      </c>
      <c r="I39" s="175">
        <v>918</v>
      </c>
      <c r="J39" s="170"/>
      <c r="K39" s="170"/>
      <c r="L39" s="170"/>
      <c r="M39" s="170"/>
      <c r="N39" s="170"/>
    </row>
    <row r="40" spans="1:14" s="176" customFormat="1" ht="15.75" thickBot="1">
      <c r="A40" s="170"/>
      <c r="B40" s="171" t="s">
        <v>58</v>
      </c>
      <c r="C40" s="177"/>
      <c r="D40" s="178"/>
      <c r="E40" s="177"/>
      <c r="F40" s="178"/>
      <c r="G40" s="179">
        <f t="shared" si="0"/>
        <v>0</v>
      </c>
      <c r="H40" s="178">
        <f t="shared" si="2"/>
        <v>0</v>
      </c>
      <c r="I40" s="175">
        <v>918</v>
      </c>
      <c r="J40" s="170"/>
      <c r="K40" s="170"/>
      <c r="L40" s="170"/>
      <c r="M40" s="170"/>
      <c r="N40" s="170"/>
    </row>
    <row r="41" spans="1:14">
      <c r="C41" s="3">
        <f>SUM(C10:C40)</f>
        <v>3463</v>
      </c>
      <c r="G41" s="3">
        <f>SUM(G10:G40)</f>
        <v>11867</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97684.367999999871</v>
      </c>
      <c r="H2" s="104">
        <f>G2/38.3</f>
        <v>2550.5056919060021</v>
      </c>
      <c r="I2" s="104"/>
      <c r="J2" s="104">
        <f>'Athens Daily - Water'!R7</f>
        <v>603.25780000000054</v>
      </c>
      <c r="K2" s="104"/>
      <c r="L2" s="105">
        <v>142</v>
      </c>
      <c r="M2" s="104">
        <f>L2*2</f>
        <v>284</v>
      </c>
      <c r="N2" s="101">
        <v>10</v>
      </c>
    </row>
    <row r="3" spans="1:14">
      <c r="A3" s="7" t="s">
        <v>14</v>
      </c>
      <c r="B3" s="7">
        <v>2</v>
      </c>
      <c r="C3" s="7">
        <v>1</v>
      </c>
      <c r="D3" s="7">
        <v>2021</v>
      </c>
      <c r="E3" s="104">
        <f>'Athens Daily - EL'!AK9</f>
        <v>44685</v>
      </c>
      <c r="F3" s="104"/>
      <c r="G3" s="104">
        <f>'Athens Daily - Gas'!BH10</f>
        <v>95302.704000000464</v>
      </c>
      <c r="H3" s="104">
        <f t="shared" ref="H3:H32" si="0">G3/38.3</f>
        <v>2488.3212532637199</v>
      </c>
      <c r="I3" s="104"/>
      <c r="J3" s="104">
        <f>'Athens Daily - Water'!R8</f>
        <v>398.39219999999966</v>
      </c>
      <c r="K3" s="104"/>
      <c r="L3" s="105">
        <v>102</v>
      </c>
      <c r="M3" s="104">
        <f t="shared" ref="M3:M32" si="1">L3*2</f>
        <v>204</v>
      </c>
      <c r="N3" s="101">
        <v>12</v>
      </c>
    </row>
    <row r="4" spans="1:14">
      <c r="A4" s="7" t="s">
        <v>14</v>
      </c>
      <c r="B4" s="7">
        <v>3</v>
      </c>
      <c r="C4" s="7">
        <v>1</v>
      </c>
      <c r="D4" s="7">
        <v>2021</v>
      </c>
      <c r="E4" s="104">
        <f>'Athens Daily - EL'!AK10</f>
        <v>45420</v>
      </c>
      <c r="F4" s="104"/>
      <c r="G4" s="104">
        <f>'Athens Daily - Gas'!BH11</f>
        <v>92021.904000000053</v>
      </c>
      <c r="H4" s="104">
        <f t="shared" si="0"/>
        <v>2402.6606788511767</v>
      </c>
      <c r="I4" s="104"/>
      <c r="J4" s="104">
        <f>'Athens Daily - Water'!R9</f>
        <v>403.7</v>
      </c>
      <c r="K4" s="104"/>
      <c r="L4" s="105">
        <v>55</v>
      </c>
      <c r="M4" s="104">
        <f t="shared" si="1"/>
        <v>110</v>
      </c>
      <c r="N4" s="101">
        <v>15</v>
      </c>
    </row>
    <row r="5" spans="1:14">
      <c r="A5" s="7" t="s">
        <v>14</v>
      </c>
      <c r="B5" s="7">
        <v>4</v>
      </c>
      <c r="C5" s="7">
        <v>1</v>
      </c>
      <c r="D5" s="7">
        <v>2021</v>
      </c>
      <c r="E5" s="104">
        <f>'Athens Daily - EL'!AK11</f>
        <v>45565</v>
      </c>
      <c r="F5" s="104"/>
      <c r="G5" s="104">
        <f>'Athens Daily - Gas'!BH12</f>
        <v>94043.616000000067</v>
      </c>
      <c r="H5" s="104">
        <f t="shared" si="0"/>
        <v>2455.4468929503937</v>
      </c>
      <c r="I5" s="104"/>
      <c r="J5" s="104">
        <f>'Athens Daily - Water'!R10</f>
        <v>492.8</v>
      </c>
      <c r="K5" s="104"/>
      <c r="L5" s="105">
        <v>45</v>
      </c>
      <c r="M5" s="104">
        <f t="shared" si="1"/>
        <v>90</v>
      </c>
      <c r="N5" s="101">
        <v>17</v>
      </c>
    </row>
    <row r="6" spans="1:14">
      <c r="A6" s="7" t="s">
        <v>14</v>
      </c>
      <c r="B6" s="7">
        <v>5</v>
      </c>
      <c r="C6" s="7">
        <v>1</v>
      </c>
      <c r="D6" s="7">
        <v>2021</v>
      </c>
      <c r="E6" s="104">
        <f>'Athens Daily - EL'!AK12</f>
        <v>42465</v>
      </c>
      <c r="F6" s="104"/>
      <c r="G6" s="104">
        <f>'Athens Daily - Gas'!BH13</f>
        <v>102654.95999999964</v>
      </c>
      <c r="H6" s="104">
        <f t="shared" si="0"/>
        <v>2680.2861618798865</v>
      </c>
      <c r="I6" s="104"/>
      <c r="J6" s="104">
        <f>'Athens Daily - Water'!R11</f>
        <v>474.75</v>
      </c>
      <c r="K6" s="104"/>
      <c r="L6" s="105">
        <v>34</v>
      </c>
      <c r="M6" s="104">
        <f t="shared" si="1"/>
        <v>68</v>
      </c>
      <c r="N6" s="101">
        <v>15</v>
      </c>
    </row>
    <row r="7" spans="1:14">
      <c r="A7" s="7" t="s">
        <v>14</v>
      </c>
      <c r="B7" s="7">
        <v>6</v>
      </c>
      <c r="C7" s="7">
        <v>1</v>
      </c>
      <c r="D7" s="7">
        <v>2021</v>
      </c>
      <c r="E7" s="104">
        <f>'Athens Daily - EL'!AK13</f>
        <v>45410</v>
      </c>
      <c r="F7" s="104"/>
      <c r="G7" s="104">
        <f>'Athens Daily - Gas'!BH14</f>
        <v>102981.2160000002</v>
      </c>
      <c r="H7" s="104">
        <f t="shared" si="0"/>
        <v>2688.8045953002666</v>
      </c>
      <c r="I7" s="104"/>
      <c r="J7" s="104">
        <f>'Athens Daily - Water'!R12</f>
        <v>594.54999999999995</v>
      </c>
      <c r="K7" s="104"/>
      <c r="L7" s="105">
        <v>36</v>
      </c>
      <c r="M7" s="104">
        <f t="shared" si="1"/>
        <v>72</v>
      </c>
      <c r="N7" s="101"/>
    </row>
    <row r="8" spans="1:14">
      <c r="A8" s="7" t="s">
        <v>14</v>
      </c>
      <c r="B8" s="7">
        <v>7</v>
      </c>
      <c r="C8" s="7">
        <v>1</v>
      </c>
      <c r="D8" s="7">
        <v>2021</v>
      </c>
      <c r="E8" s="104">
        <f>'Athens Daily - EL'!AK14</f>
        <v>44770</v>
      </c>
      <c r="F8" s="104"/>
      <c r="G8" s="104">
        <f>'Athens Daily - Gas'!BH15</f>
        <v>103099.10400000005</v>
      </c>
      <c r="H8" s="104">
        <f t="shared" si="0"/>
        <v>2691.882610966059</v>
      </c>
      <c r="I8" s="104"/>
      <c r="J8" s="104">
        <f>'Athens Daily - Water'!R13</f>
        <v>537</v>
      </c>
      <c r="K8" s="104"/>
      <c r="L8" s="105">
        <v>60</v>
      </c>
      <c r="M8" s="104">
        <f t="shared" si="1"/>
        <v>120</v>
      </c>
      <c r="N8" s="101"/>
    </row>
    <row r="9" spans="1:14">
      <c r="A9" s="7" t="s">
        <v>14</v>
      </c>
      <c r="B9" s="7">
        <v>8</v>
      </c>
      <c r="C9" s="7">
        <v>1</v>
      </c>
      <c r="D9" s="7">
        <v>2021</v>
      </c>
      <c r="E9" s="104">
        <f>'Athens Daily - EL'!AK15</f>
        <v>43975</v>
      </c>
      <c r="F9" s="104"/>
      <c r="G9" s="104">
        <f>'Athens Daily - Gas'!BH16</f>
        <v>100609.4399999998</v>
      </c>
      <c r="H9" s="104">
        <f t="shared" si="0"/>
        <v>2626.8783289817184</v>
      </c>
      <c r="I9" s="104"/>
      <c r="J9" s="104">
        <f>'Athens Daily - Water'!R14</f>
        <v>565.75</v>
      </c>
      <c r="K9" s="104"/>
      <c r="L9" s="105">
        <v>64</v>
      </c>
      <c r="M9" s="104">
        <f t="shared" si="1"/>
        <v>128</v>
      </c>
      <c r="N9" s="101"/>
    </row>
    <row r="10" spans="1:14">
      <c r="A10" s="7" t="s">
        <v>14</v>
      </c>
      <c r="B10" s="7">
        <v>9</v>
      </c>
      <c r="C10" s="7">
        <v>1</v>
      </c>
      <c r="D10" s="7">
        <v>2021</v>
      </c>
      <c r="E10" s="104">
        <f>'Athens Daily - EL'!AK16</f>
        <v>44770</v>
      </c>
      <c r="F10" s="104"/>
      <c r="G10" s="104">
        <f>'Athens Daily - Gas'!BH17</f>
        <v>100265.42399999988</v>
      </c>
      <c r="H10" s="104">
        <f t="shared" si="0"/>
        <v>2617.8961879895533</v>
      </c>
      <c r="I10" s="104"/>
      <c r="J10" s="104">
        <f>'Athens Daily - Water'!R15</f>
        <v>480.75</v>
      </c>
      <c r="K10" s="104"/>
      <c r="L10" s="105">
        <v>100</v>
      </c>
      <c r="M10" s="104">
        <f t="shared" si="1"/>
        <v>200</v>
      </c>
      <c r="N10" s="101">
        <v>9</v>
      </c>
    </row>
    <row r="11" spans="1:14">
      <c r="A11" s="7" t="s">
        <v>14</v>
      </c>
      <c r="B11" s="7">
        <v>10</v>
      </c>
      <c r="C11" s="7">
        <v>1</v>
      </c>
      <c r="D11" s="7">
        <v>2021</v>
      </c>
      <c r="E11" s="104">
        <f>'Athens Daily - EL'!AK17</f>
        <v>46030</v>
      </c>
      <c r="F11" s="104"/>
      <c r="G11" s="104">
        <f>'Athens Daily - Gas'!BH18</f>
        <v>99558.144</v>
      </c>
      <c r="H11" s="104">
        <f t="shared" si="0"/>
        <v>2599.4293472584859</v>
      </c>
      <c r="I11" s="104"/>
      <c r="J11" s="104">
        <f>'Athens Daily - Water'!R16</f>
        <v>534.04999999999995</v>
      </c>
      <c r="K11" s="104"/>
      <c r="L11" s="105">
        <v>63</v>
      </c>
      <c r="M11" s="104">
        <f t="shared" si="1"/>
        <v>126</v>
      </c>
      <c r="N11" s="101">
        <v>12</v>
      </c>
    </row>
    <row r="12" spans="1:14">
      <c r="A12" s="7" t="s">
        <v>14</v>
      </c>
      <c r="B12" s="7">
        <v>11</v>
      </c>
      <c r="C12" s="7">
        <v>1</v>
      </c>
      <c r="D12" s="7">
        <v>2021</v>
      </c>
      <c r="E12" s="104">
        <f>'Athens Daily - EL'!AK18</f>
        <v>46755</v>
      </c>
      <c r="F12" s="104"/>
      <c r="G12" s="104">
        <f>'Athens Daily - Gas'!BH19</f>
        <v>101939.42400000044</v>
      </c>
      <c r="H12" s="104">
        <f t="shared" si="0"/>
        <v>2661.6037597911345</v>
      </c>
      <c r="I12" s="104"/>
      <c r="J12" s="104">
        <f>'Athens Daily - Water'!R17</f>
        <v>545.15</v>
      </c>
      <c r="K12" s="104"/>
      <c r="L12" s="105">
        <v>39</v>
      </c>
      <c r="M12" s="104">
        <f t="shared" si="1"/>
        <v>78</v>
      </c>
      <c r="N12" s="101">
        <v>12</v>
      </c>
    </row>
    <row r="13" spans="1:14">
      <c r="A13" s="7" t="s">
        <v>14</v>
      </c>
      <c r="B13" s="7">
        <v>12</v>
      </c>
      <c r="C13" s="7">
        <v>1</v>
      </c>
      <c r="D13" s="7">
        <v>2021</v>
      </c>
      <c r="E13" s="104">
        <f>'Athens Daily - EL'!AK19</f>
        <v>48525</v>
      </c>
      <c r="F13" s="104"/>
      <c r="G13" s="104">
        <f>'Athens Daily - Gas'!BH20</f>
        <v>102106.8959999998</v>
      </c>
      <c r="H13" s="104">
        <f t="shared" si="0"/>
        <v>2665.9763968668358</v>
      </c>
      <c r="I13" s="104"/>
      <c r="J13" s="104">
        <f>'Athens Daily - Water'!R18</f>
        <v>653.95000000000005</v>
      </c>
      <c r="K13" s="104"/>
      <c r="L13" s="105">
        <v>43</v>
      </c>
      <c r="M13" s="104">
        <f t="shared" si="1"/>
        <v>86</v>
      </c>
      <c r="N13" s="101">
        <v>10</v>
      </c>
    </row>
    <row r="14" spans="1:14">
      <c r="A14" s="7" t="s">
        <v>14</v>
      </c>
      <c r="B14" s="7">
        <v>13</v>
      </c>
      <c r="C14" s="7">
        <v>1</v>
      </c>
      <c r="D14" s="7">
        <v>2021</v>
      </c>
      <c r="E14" s="104">
        <f>'Athens Daily - EL'!AK20</f>
        <v>48480</v>
      </c>
      <c r="F14" s="104"/>
      <c r="G14" s="104">
        <f>'Athens Daily - Gas'!BH21</f>
        <v>102790.56000000006</v>
      </c>
      <c r="H14" s="104">
        <f t="shared" si="0"/>
        <v>2683.8266318537876</v>
      </c>
      <c r="I14" s="104"/>
      <c r="J14" s="104">
        <f>'Athens Daily - Water'!R19</f>
        <v>466.95</v>
      </c>
      <c r="K14" s="104"/>
      <c r="L14" s="105">
        <v>46</v>
      </c>
      <c r="M14" s="104">
        <f t="shared" si="1"/>
        <v>92</v>
      </c>
      <c r="N14" s="101">
        <v>12</v>
      </c>
    </row>
    <row r="15" spans="1:14">
      <c r="A15" s="7" t="s">
        <v>14</v>
      </c>
      <c r="B15" s="7">
        <v>14</v>
      </c>
      <c r="C15" s="7">
        <v>1</v>
      </c>
      <c r="D15" s="7">
        <v>2021</v>
      </c>
      <c r="E15" s="104">
        <f>'Athens Daily - EL'!AK21</f>
        <v>47080</v>
      </c>
      <c r="F15" s="104"/>
      <c r="G15" s="104">
        <f>'Athens Daily - Gas'!BH22</f>
        <v>107064.43199999971</v>
      </c>
      <c r="H15" s="104">
        <f t="shared" si="0"/>
        <v>2795.4159791122643</v>
      </c>
      <c r="I15" s="104"/>
      <c r="J15" s="104">
        <f>'Athens Daily - Water'!R20</f>
        <v>637.4</v>
      </c>
      <c r="K15" s="104"/>
      <c r="L15" s="105">
        <v>55</v>
      </c>
      <c r="M15" s="104">
        <f t="shared" si="1"/>
        <v>110</v>
      </c>
      <c r="N15" s="101">
        <v>13</v>
      </c>
    </row>
    <row r="16" spans="1:14">
      <c r="A16" s="7" t="s">
        <v>14</v>
      </c>
      <c r="B16" s="7">
        <v>15</v>
      </c>
      <c r="C16" s="7">
        <v>1</v>
      </c>
      <c r="D16" s="7">
        <v>2021</v>
      </c>
      <c r="E16" s="104">
        <f>'Athens Daily - EL'!AK22</f>
        <v>46845</v>
      </c>
      <c r="F16" s="104"/>
      <c r="G16" s="104">
        <f>'Athens Daily - Gas'!BH23</f>
        <v>100121.42399999988</v>
      </c>
      <c r="H16" s="104">
        <f t="shared" si="0"/>
        <v>2614.1363968668379</v>
      </c>
      <c r="I16" s="104"/>
      <c r="J16" s="104">
        <f>'Athens Daily - Water'!R21</f>
        <v>670.1</v>
      </c>
      <c r="K16" s="104"/>
      <c r="L16" s="105">
        <v>74</v>
      </c>
      <c r="M16" s="104">
        <f t="shared" si="1"/>
        <v>148</v>
      </c>
      <c r="N16" s="101">
        <v>13</v>
      </c>
    </row>
    <row r="17" spans="1:14">
      <c r="A17" s="7" t="s">
        <v>14</v>
      </c>
      <c r="B17" s="7">
        <v>16</v>
      </c>
      <c r="C17" s="7">
        <v>1</v>
      </c>
      <c r="D17" s="7">
        <v>2021</v>
      </c>
      <c r="E17" s="104">
        <f>'Athens Daily - EL'!AK23</f>
        <v>49035</v>
      </c>
      <c r="F17" s="104"/>
      <c r="G17" s="104">
        <f>'Athens Daily - Gas'!BH24</f>
        <v>98363.375999999989</v>
      </c>
      <c r="H17" s="104">
        <f t="shared" si="0"/>
        <v>2568.2343603133158</v>
      </c>
      <c r="I17" s="104"/>
      <c r="J17" s="104">
        <f>'Athens Daily - Water'!R22</f>
        <v>397.70000000000016</v>
      </c>
      <c r="K17" s="104"/>
      <c r="L17" s="105">
        <v>149</v>
      </c>
      <c r="M17" s="104">
        <f t="shared" si="1"/>
        <v>298</v>
      </c>
      <c r="N17" s="106"/>
    </row>
    <row r="18" spans="1:14">
      <c r="A18" s="7" t="s">
        <v>14</v>
      </c>
      <c r="B18" s="7">
        <v>17</v>
      </c>
      <c r="C18" s="7">
        <v>1</v>
      </c>
      <c r="D18" s="7">
        <v>2021</v>
      </c>
      <c r="E18" s="104">
        <f>'Athens Daily - EL'!AK24</f>
        <v>47815</v>
      </c>
      <c r="F18" s="104"/>
      <c r="G18" s="104">
        <f>'Athens Daily - Gas'!BH25</f>
        <v>106892.65199999983</v>
      </c>
      <c r="H18" s="104">
        <f t="shared" si="0"/>
        <v>2790.9308616187946</v>
      </c>
      <c r="I18" s="104"/>
      <c r="J18" s="104">
        <f>'Athens Daily - Water'!R23</f>
        <v>603.0999999999998</v>
      </c>
      <c r="K18" s="104"/>
      <c r="L18" s="105">
        <v>64</v>
      </c>
      <c r="M18" s="104">
        <f t="shared" si="1"/>
        <v>128</v>
      </c>
      <c r="N18" s="106"/>
    </row>
    <row r="19" spans="1:14">
      <c r="A19" s="7" t="s">
        <v>14</v>
      </c>
      <c r="B19" s="7">
        <v>18</v>
      </c>
      <c r="C19" s="7">
        <v>1</v>
      </c>
      <c r="D19" s="7">
        <v>2021</v>
      </c>
      <c r="E19" s="104">
        <f>'Athens Daily - EL'!AK25</f>
        <v>50225</v>
      </c>
      <c r="F19" s="104"/>
      <c r="G19" s="104">
        <f>'Athens Daily - Gas'!BH26</f>
        <v>105704.65199999983</v>
      </c>
      <c r="H19" s="104">
        <f t="shared" si="0"/>
        <v>2759.9125848563926</v>
      </c>
      <c r="I19" s="104"/>
      <c r="J19" s="104">
        <f>'Athens Daily - Water'!R24</f>
        <v>594.15</v>
      </c>
      <c r="K19" s="104"/>
      <c r="L19" s="105">
        <v>58</v>
      </c>
      <c r="M19" s="104">
        <f t="shared" si="1"/>
        <v>116</v>
      </c>
      <c r="N19" s="106"/>
    </row>
    <row r="20" spans="1:14">
      <c r="A20" s="7" t="s">
        <v>14</v>
      </c>
      <c r="B20" s="7">
        <v>19</v>
      </c>
      <c r="C20" s="7">
        <v>1</v>
      </c>
      <c r="D20" s="7">
        <v>2021</v>
      </c>
      <c r="E20" s="104">
        <f>'Athens Daily - EL'!AK26</f>
        <v>50925</v>
      </c>
      <c r="F20" s="104"/>
      <c r="G20" s="104">
        <f>'Athens Daily - Gas'!BH27</f>
        <v>102071.05199999982</v>
      </c>
      <c r="H20" s="104">
        <f t="shared" si="0"/>
        <v>2665.0405221932069</v>
      </c>
      <c r="I20" s="104"/>
      <c r="J20" s="104">
        <f>'Athens Daily - Water'!R25</f>
        <v>594.4</v>
      </c>
      <c r="K20" s="104"/>
      <c r="L20" s="105">
        <v>69</v>
      </c>
      <c r="M20" s="104">
        <f t="shared" si="1"/>
        <v>138</v>
      </c>
      <c r="N20" s="106"/>
    </row>
    <row r="21" spans="1:14">
      <c r="A21" s="7" t="s">
        <v>14</v>
      </c>
      <c r="B21" s="7">
        <v>20</v>
      </c>
      <c r="C21" s="7">
        <v>1</v>
      </c>
      <c r="D21" s="7">
        <v>2021</v>
      </c>
      <c r="E21" s="104">
        <f>'Athens Daily - EL'!AK27</f>
        <v>51335</v>
      </c>
      <c r="F21" s="104"/>
      <c r="G21" s="104">
        <f>'Athens Daily - Gas'!BH28</f>
        <v>103218.25200000052</v>
      </c>
      <c r="H21" s="104">
        <f t="shared" si="0"/>
        <v>2694.9935248041911</v>
      </c>
      <c r="I21" s="104"/>
      <c r="J21" s="104">
        <f>'Athens Daily - Water'!R26</f>
        <v>661.80999999999972</v>
      </c>
      <c r="K21" s="104"/>
      <c r="L21" s="105">
        <v>42</v>
      </c>
      <c r="M21" s="104">
        <f t="shared" si="1"/>
        <v>84</v>
      </c>
      <c r="N21" s="101"/>
    </row>
    <row r="22" spans="1:14">
      <c r="A22" s="7" t="s">
        <v>14</v>
      </c>
      <c r="B22" s="7">
        <v>21</v>
      </c>
      <c r="C22" s="7">
        <v>1</v>
      </c>
      <c r="D22" s="7">
        <v>2021</v>
      </c>
      <c r="E22" s="104">
        <f>'Athens Daily - EL'!AK28</f>
        <v>50755</v>
      </c>
      <c r="F22" s="104"/>
      <c r="G22" s="104">
        <f>'Athens Daily - Gas'!BH29</f>
        <v>92038.680000000022</v>
      </c>
      <c r="H22" s="104">
        <f t="shared" si="0"/>
        <v>2403.098694516972</v>
      </c>
      <c r="I22" s="104"/>
      <c r="J22" s="104">
        <f>'Athens Daily - Water'!R27</f>
        <v>571.64</v>
      </c>
      <c r="K22" s="104"/>
      <c r="L22" s="105">
        <v>45</v>
      </c>
      <c r="M22" s="104">
        <f t="shared" si="1"/>
        <v>90</v>
      </c>
      <c r="N22" s="101"/>
    </row>
    <row r="23" spans="1:14">
      <c r="A23" s="7" t="s">
        <v>14</v>
      </c>
      <c r="B23" s="7">
        <v>22</v>
      </c>
      <c r="C23" s="7">
        <v>1</v>
      </c>
      <c r="D23" s="7">
        <v>2021</v>
      </c>
      <c r="E23" s="104">
        <f>'Athens Daily - EL'!AK29</f>
        <v>43740</v>
      </c>
      <c r="F23" s="104"/>
      <c r="G23" s="104">
        <f>'Athens Daily - Gas'!BH30</f>
        <v>92038.680000000022</v>
      </c>
      <c r="H23" s="104">
        <f t="shared" si="0"/>
        <v>2403.098694516972</v>
      </c>
      <c r="I23" s="104"/>
      <c r="J23" s="104">
        <f>'Athens Daily - Water'!R28</f>
        <v>500.39</v>
      </c>
      <c r="K23" s="104"/>
      <c r="L23" s="105">
        <v>82</v>
      </c>
      <c r="M23" s="104">
        <f t="shared" si="1"/>
        <v>164</v>
      </c>
      <c r="N23" s="101">
        <v>19</v>
      </c>
    </row>
    <row r="24" spans="1:14">
      <c r="A24" s="7" t="s">
        <v>14</v>
      </c>
      <c r="B24" s="7">
        <v>23</v>
      </c>
      <c r="C24" s="7">
        <v>1</v>
      </c>
      <c r="D24" s="7">
        <v>2021</v>
      </c>
      <c r="E24" s="104">
        <f>'Athens Daily - EL'!AK30</f>
        <v>42925</v>
      </c>
      <c r="F24" s="104"/>
      <c r="G24" s="104">
        <f>'Athens Daily - Gas'!BH31</f>
        <v>97656.624000000447</v>
      </c>
      <c r="H24" s="104">
        <f t="shared" si="0"/>
        <v>2549.7813054830408</v>
      </c>
      <c r="I24" s="104"/>
      <c r="J24" s="104">
        <f>'Athens Daily - Water'!R29</f>
        <v>572.63000000000011</v>
      </c>
      <c r="K24" s="104"/>
      <c r="L24" s="105">
        <v>170</v>
      </c>
      <c r="M24" s="104">
        <f t="shared" si="1"/>
        <v>340</v>
      </c>
      <c r="N24" s="101">
        <v>20</v>
      </c>
    </row>
    <row r="25" spans="1:14">
      <c r="A25" s="7" t="s">
        <v>14</v>
      </c>
      <c r="B25" s="7">
        <v>24</v>
      </c>
      <c r="C25" s="7">
        <v>1</v>
      </c>
      <c r="D25" s="7">
        <v>2021</v>
      </c>
      <c r="E25" s="104">
        <f>'Athens Daily - EL'!AK31</f>
        <v>44590</v>
      </c>
      <c r="F25" s="104"/>
      <c r="G25" s="104">
        <f>'Athens Daily - Gas'!BH32</f>
        <v>99142.031999999846</v>
      </c>
      <c r="H25" s="104">
        <f t="shared" si="0"/>
        <v>2588.5648041775421</v>
      </c>
      <c r="I25" s="104"/>
      <c r="J25" s="104">
        <f>'Athens Daily - Water'!R30</f>
        <v>488.9800000000003</v>
      </c>
      <c r="K25" s="104"/>
      <c r="L25" s="105">
        <v>91</v>
      </c>
      <c r="M25" s="104">
        <f t="shared" si="1"/>
        <v>182</v>
      </c>
      <c r="N25" s="101">
        <v>19</v>
      </c>
    </row>
    <row r="26" spans="1:14">
      <c r="A26" s="7" t="s">
        <v>14</v>
      </c>
      <c r="B26" s="7">
        <v>25</v>
      </c>
      <c r="C26" s="7">
        <v>1</v>
      </c>
      <c r="D26" s="7">
        <v>2021</v>
      </c>
      <c r="E26" s="104">
        <f>'Athens Daily - EL'!AK32</f>
        <v>45645</v>
      </c>
      <c r="F26" s="104"/>
      <c r="G26" s="104">
        <f>'Athens Daily - Gas'!BH33</f>
        <v>101341.87200000021</v>
      </c>
      <c r="H26" s="104">
        <f t="shared" si="0"/>
        <v>2646.0018798955671</v>
      </c>
      <c r="I26" s="104"/>
      <c r="J26" s="104">
        <f>'Athens Daily - Water'!R31</f>
        <v>544.70000000000005</v>
      </c>
      <c r="K26" s="104"/>
      <c r="L26" s="105">
        <v>56</v>
      </c>
      <c r="M26" s="104">
        <f t="shared" si="1"/>
        <v>112</v>
      </c>
      <c r="N26" s="102"/>
    </row>
    <row r="27" spans="1:14">
      <c r="A27" s="7" t="s">
        <v>14</v>
      </c>
      <c r="B27" s="7">
        <v>26</v>
      </c>
      <c r="C27" s="7">
        <v>1</v>
      </c>
      <c r="D27" s="7">
        <v>2021</v>
      </c>
      <c r="E27" s="104">
        <f>'Athens Daily - EL'!AK33</f>
        <v>48005</v>
      </c>
      <c r="F27" s="104"/>
      <c r="G27" s="104">
        <f>'Athens Daily - Gas'!BH34</f>
        <v>105444.47999999989</v>
      </c>
      <c r="H27" s="104">
        <f t="shared" si="0"/>
        <v>2753.1195822454283</v>
      </c>
      <c r="I27" s="104"/>
      <c r="J27" s="104">
        <f>'Athens Daily - Water'!R32</f>
        <v>460.65020000000038</v>
      </c>
      <c r="K27" s="104"/>
      <c r="L27" s="104"/>
      <c r="M27" s="104">
        <f t="shared" si="1"/>
        <v>0</v>
      </c>
      <c r="N27" s="102"/>
    </row>
    <row r="28" spans="1:14">
      <c r="A28" s="7" t="s">
        <v>14</v>
      </c>
      <c r="B28" s="7">
        <v>27</v>
      </c>
      <c r="C28" s="7">
        <v>1</v>
      </c>
      <c r="D28" s="7">
        <v>2021</v>
      </c>
      <c r="E28" s="104">
        <f>'Athens Daily - EL'!AK34</f>
        <v>49190</v>
      </c>
      <c r="F28" s="104"/>
      <c r="G28" s="104">
        <f>'Athens Daily - Gas'!BH35</f>
        <v>111818.35199999968</v>
      </c>
      <c r="H28" s="104">
        <f t="shared" si="0"/>
        <v>2919.5392167101745</v>
      </c>
      <c r="I28" s="104"/>
      <c r="J28" s="104">
        <f>'Athens Daily - Water'!R33</f>
        <v>576.48169999999993</v>
      </c>
      <c r="K28" s="104"/>
      <c r="L28" s="104"/>
      <c r="M28" s="104">
        <f t="shared" si="1"/>
        <v>0</v>
      </c>
      <c r="N28" s="102"/>
    </row>
    <row r="29" spans="1:14">
      <c r="A29" s="7" t="s">
        <v>14</v>
      </c>
      <c r="B29" s="7">
        <v>28</v>
      </c>
      <c r="C29" s="7">
        <v>1</v>
      </c>
      <c r="D29" s="7">
        <v>2021</v>
      </c>
      <c r="E29" s="104">
        <f>'Athens Daily - EL'!AK35</f>
        <v>48615</v>
      </c>
      <c r="F29" s="104"/>
      <c r="G29" s="104">
        <f>'Athens Daily - Gas'!BH36</f>
        <v>106258.84800000046</v>
      </c>
      <c r="H29" s="104">
        <f t="shared" si="0"/>
        <v>2774.3824543081064</v>
      </c>
      <c r="I29" s="104"/>
      <c r="J29" s="104">
        <f>'Athens Daily - Water'!R34</f>
        <v>566.02279999999939</v>
      </c>
      <c r="K29" s="104"/>
      <c r="L29" s="104"/>
      <c r="M29" s="104">
        <f t="shared" si="1"/>
        <v>0</v>
      </c>
      <c r="N29" s="102"/>
    </row>
    <row r="30" spans="1:14">
      <c r="A30" s="7" t="s">
        <v>14</v>
      </c>
      <c r="B30" s="7">
        <v>29</v>
      </c>
      <c r="C30" s="7">
        <v>1</v>
      </c>
      <c r="D30" s="7">
        <v>2021</v>
      </c>
      <c r="E30" s="104">
        <f>'Athens Daily - EL'!AK36</f>
        <v>48620</v>
      </c>
      <c r="F30" s="104"/>
      <c r="G30" s="104">
        <f>'Athens Daily - Gas'!BH37</f>
        <v>106258.84799999977</v>
      </c>
      <c r="H30" s="104">
        <f t="shared" si="0"/>
        <v>2774.3824543080882</v>
      </c>
      <c r="I30" s="104"/>
      <c r="J30" s="104">
        <f>'Athens Daily - Water'!R35</f>
        <v>514.16000000000054</v>
      </c>
      <c r="K30" s="104"/>
      <c r="L30" s="104"/>
      <c r="M30" s="104">
        <f t="shared" si="1"/>
        <v>0</v>
      </c>
      <c r="N30" s="102"/>
    </row>
    <row r="31" spans="1:14">
      <c r="A31" s="7" t="s">
        <v>14</v>
      </c>
      <c r="B31" s="7">
        <v>30</v>
      </c>
      <c r="C31" s="7">
        <v>1</v>
      </c>
      <c r="D31" s="7">
        <v>2021</v>
      </c>
      <c r="E31" s="104">
        <f>'Athens Daily - EL'!AK37</f>
        <v>50455</v>
      </c>
      <c r="F31" s="104"/>
      <c r="G31" s="104">
        <f>'Athens Daily - Gas'!BH38</f>
        <v>91236.143999999709</v>
      </c>
      <c r="H31" s="104">
        <f t="shared" si="0"/>
        <v>2382.1447519582171</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35505</v>
      </c>
      <c r="F2" s="7"/>
      <c r="G2" s="39">
        <f>'Athens Daily - Gas'!BI9</f>
        <v>61929.599999999999</v>
      </c>
      <c r="H2" s="7"/>
      <c r="I2" s="40">
        <f>'Athens Daily - Water'!S7</f>
        <v>174.05</v>
      </c>
      <c r="J2" s="7"/>
      <c r="K2" s="7">
        <v>286</v>
      </c>
      <c r="L2" s="7">
        <v>2</v>
      </c>
    </row>
    <row r="3" spans="1:12">
      <c r="A3" s="7" t="s">
        <v>14</v>
      </c>
      <c r="B3" s="7">
        <v>2</v>
      </c>
      <c r="C3" s="7">
        <v>1</v>
      </c>
      <c r="D3" s="7">
        <v>2021</v>
      </c>
      <c r="E3" s="7">
        <f>'Athens Daily - EL'!AL9</f>
        <v>37115</v>
      </c>
      <c r="F3" s="7"/>
      <c r="G3" s="39">
        <f>'Athens Daily - Gas'!BI10</f>
        <v>61749.599999999999</v>
      </c>
      <c r="H3" s="7"/>
      <c r="I3" s="40">
        <f>'Athens Daily - Water'!S8</f>
        <v>121.35</v>
      </c>
      <c r="J3" s="7"/>
      <c r="K3" s="7">
        <v>285</v>
      </c>
      <c r="L3" s="7">
        <v>2</v>
      </c>
    </row>
    <row r="4" spans="1:12">
      <c r="A4" s="7" t="s">
        <v>14</v>
      </c>
      <c r="B4" s="7">
        <v>3</v>
      </c>
      <c r="C4" s="7">
        <v>1</v>
      </c>
      <c r="D4" s="7">
        <v>2021</v>
      </c>
      <c r="E4" s="7">
        <f>'Athens Daily - EL'!AL10</f>
        <v>38030</v>
      </c>
      <c r="F4" s="7"/>
      <c r="G4" s="39">
        <f>'Athens Daily - Gas'!BI11</f>
        <v>56719.200000000004</v>
      </c>
      <c r="H4" s="7"/>
      <c r="I4" s="40">
        <f>'Athens Daily - Water'!S9</f>
        <v>124.30000000000001</v>
      </c>
      <c r="J4" s="7"/>
      <c r="K4" s="7">
        <v>282</v>
      </c>
      <c r="L4" s="7">
        <v>2</v>
      </c>
    </row>
    <row r="5" spans="1:12">
      <c r="A5" s="7" t="s">
        <v>14</v>
      </c>
      <c r="B5" s="7">
        <v>4</v>
      </c>
      <c r="C5" s="7">
        <v>1</v>
      </c>
      <c r="D5" s="7">
        <v>2021</v>
      </c>
      <c r="E5" s="7">
        <f>'Athens Daily - EL'!AL11</f>
        <v>37335</v>
      </c>
      <c r="F5" s="7"/>
      <c r="G5" s="39">
        <f>'Athens Daily - Gas'!BI12</f>
        <v>61994.400000000001</v>
      </c>
      <c r="H5" s="7"/>
      <c r="I5" s="40">
        <f>'Athens Daily - Water'!S10</f>
        <v>159.44999999999999</v>
      </c>
      <c r="J5" s="7"/>
      <c r="K5" s="7">
        <v>284</v>
      </c>
      <c r="L5" s="7">
        <v>2</v>
      </c>
    </row>
    <row r="6" spans="1:12">
      <c r="A6" s="7" t="s">
        <v>14</v>
      </c>
      <c r="B6" s="7">
        <v>5</v>
      </c>
      <c r="C6" s="7">
        <v>1</v>
      </c>
      <c r="D6" s="7">
        <v>2021</v>
      </c>
      <c r="E6" s="7">
        <f>'Athens Daily - EL'!AL12</f>
        <v>33575</v>
      </c>
      <c r="F6" s="7"/>
      <c r="G6" s="39">
        <f>'Athens Daily - Gas'!BI13</f>
        <v>67034.399999999994</v>
      </c>
      <c r="H6" s="7"/>
      <c r="I6" s="40">
        <f>'Athens Daily - Water'!S11</f>
        <v>136.5</v>
      </c>
      <c r="J6" s="7"/>
      <c r="K6" s="7">
        <v>286</v>
      </c>
      <c r="L6" s="7">
        <v>2</v>
      </c>
    </row>
    <row r="7" spans="1:12">
      <c r="A7" s="7" t="s">
        <v>14</v>
      </c>
      <c r="B7" s="7">
        <v>6</v>
      </c>
      <c r="C7" s="7">
        <v>1</v>
      </c>
      <c r="D7" s="7">
        <v>2021</v>
      </c>
      <c r="E7" s="7">
        <f>'Athens Daily - EL'!AL13</f>
        <v>34590</v>
      </c>
      <c r="F7" s="7"/>
      <c r="G7" s="39">
        <f>'Athens Daily - Gas'!BI14</f>
        <v>63175.200000000004</v>
      </c>
      <c r="H7" s="7"/>
      <c r="I7" s="40">
        <f>'Athens Daily - Water'!S12</f>
        <v>151.69999999999999</v>
      </c>
      <c r="J7" s="7"/>
      <c r="K7" s="7">
        <v>288</v>
      </c>
      <c r="L7" s="7">
        <v>2</v>
      </c>
    </row>
    <row r="8" spans="1:12">
      <c r="A8" s="7" t="s">
        <v>14</v>
      </c>
      <c r="B8" s="7">
        <v>7</v>
      </c>
      <c r="C8" s="7">
        <v>1</v>
      </c>
      <c r="D8" s="7">
        <v>2021</v>
      </c>
      <c r="E8" s="7">
        <f>'Athens Daily - EL'!AL14</f>
        <v>35950</v>
      </c>
      <c r="F8" s="7"/>
      <c r="G8" s="39">
        <f>'Athens Daily - Gas'!BI15</f>
        <v>63264</v>
      </c>
      <c r="H8" s="7"/>
      <c r="I8" s="40">
        <f>'Athens Daily - Water'!S13</f>
        <v>142.25</v>
      </c>
      <c r="J8" s="7"/>
      <c r="K8" s="7">
        <v>286</v>
      </c>
      <c r="L8" s="7">
        <v>2</v>
      </c>
    </row>
    <row r="9" spans="1:12">
      <c r="A9" s="7" t="s">
        <v>14</v>
      </c>
      <c r="B9" s="7">
        <v>8</v>
      </c>
      <c r="C9" s="7">
        <v>1</v>
      </c>
      <c r="D9" s="7">
        <v>2021</v>
      </c>
      <c r="E9" s="7">
        <f>'Athens Daily - EL'!AL15</f>
        <v>36135</v>
      </c>
      <c r="F9" s="7"/>
      <c r="G9" s="39">
        <f>'Athens Daily - Gas'!BI16</f>
        <v>65265.599999999999</v>
      </c>
      <c r="H9" s="7"/>
      <c r="I9" s="40">
        <f>'Athens Daily - Water'!S14</f>
        <v>142.25</v>
      </c>
      <c r="J9" s="7"/>
      <c r="K9" s="7">
        <v>287</v>
      </c>
      <c r="L9" s="7">
        <v>2</v>
      </c>
    </row>
    <row r="10" spans="1:12">
      <c r="A10" s="7" t="s">
        <v>14</v>
      </c>
      <c r="B10" s="7">
        <v>9</v>
      </c>
      <c r="C10" s="7">
        <v>1</v>
      </c>
      <c r="D10" s="7">
        <v>2021</v>
      </c>
      <c r="E10" s="7">
        <f>'Athens Daily - EL'!AL16</f>
        <v>36760</v>
      </c>
      <c r="F10" s="7"/>
      <c r="G10" s="39">
        <f>'Athens Daily - Gas'!BI17</f>
        <v>62652</v>
      </c>
      <c r="H10" s="7"/>
      <c r="I10" s="40">
        <f>'Athens Daily - Water'!S15</f>
        <v>144.25</v>
      </c>
      <c r="J10" s="7"/>
      <c r="K10" s="7">
        <v>284</v>
      </c>
      <c r="L10" s="7">
        <v>2</v>
      </c>
    </row>
    <row r="11" spans="1:12">
      <c r="A11" s="7" t="s">
        <v>14</v>
      </c>
      <c r="B11" s="7">
        <v>10</v>
      </c>
      <c r="C11" s="7">
        <v>1</v>
      </c>
      <c r="D11" s="7">
        <v>2021</v>
      </c>
      <c r="E11" s="7">
        <f>'Athens Daily - EL'!AL17</f>
        <v>37490</v>
      </c>
      <c r="F11" s="7"/>
      <c r="G11" s="39">
        <f>'Athens Daily - Gas'!BI18</f>
        <v>63938.400000000001</v>
      </c>
      <c r="H11" s="7"/>
      <c r="I11" s="40">
        <f>'Athens Daily - Water'!S16</f>
        <v>155.94999999999999</v>
      </c>
      <c r="J11" s="7"/>
      <c r="K11" s="7">
        <v>284</v>
      </c>
      <c r="L11" s="7">
        <v>2</v>
      </c>
    </row>
    <row r="12" spans="1:12">
      <c r="A12" s="7" t="s">
        <v>14</v>
      </c>
      <c r="B12" s="7">
        <v>11</v>
      </c>
      <c r="C12" s="7">
        <v>1</v>
      </c>
      <c r="D12" s="7">
        <v>2021</v>
      </c>
      <c r="E12" s="7">
        <f>'Athens Daily - EL'!AL18</f>
        <v>37765</v>
      </c>
      <c r="F12" s="7"/>
      <c r="G12" s="39">
        <f>'Athens Daily - Gas'!BI19</f>
        <v>64425.599999999999</v>
      </c>
      <c r="H12" s="7"/>
      <c r="I12" s="40">
        <f>'Athens Daily - Water'!S17</f>
        <v>135.85000000000002</v>
      </c>
      <c r="J12" s="7"/>
      <c r="K12" s="7">
        <v>284</v>
      </c>
      <c r="L12" s="7">
        <v>2</v>
      </c>
    </row>
    <row r="13" spans="1:12">
      <c r="A13" s="7" t="s">
        <v>14</v>
      </c>
      <c r="B13" s="7">
        <v>12</v>
      </c>
      <c r="C13" s="7">
        <v>1</v>
      </c>
      <c r="D13" s="7">
        <v>2021</v>
      </c>
      <c r="E13" s="7">
        <f>'Athens Daily - EL'!AL19</f>
        <v>38655</v>
      </c>
      <c r="F13" s="7"/>
      <c r="G13" s="39">
        <f>'Athens Daily - Gas'!BI20</f>
        <v>63825.599999999999</v>
      </c>
      <c r="H13" s="7"/>
      <c r="I13" s="40">
        <f>'Athens Daily - Water'!S18</f>
        <v>158.05000000000001</v>
      </c>
      <c r="J13" s="7"/>
      <c r="K13" s="7">
        <v>286</v>
      </c>
      <c r="L13" s="7">
        <v>2</v>
      </c>
    </row>
    <row r="14" spans="1:12">
      <c r="A14" s="7" t="s">
        <v>14</v>
      </c>
      <c r="B14" s="7">
        <v>13</v>
      </c>
      <c r="C14" s="7">
        <v>1</v>
      </c>
      <c r="D14" s="7">
        <v>2021</v>
      </c>
      <c r="E14" s="7">
        <f>'Athens Daily - EL'!AL20</f>
        <v>38690</v>
      </c>
      <c r="F14" s="7"/>
      <c r="G14" s="39">
        <f>'Athens Daily - Gas'!BI21</f>
        <v>65352</v>
      </c>
      <c r="H14" s="7"/>
      <c r="I14" s="40">
        <f>'Athens Daily - Water'!S19</f>
        <v>130.05000000000001</v>
      </c>
      <c r="J14" s="7"/>
      <c r="K14" s="7">
        <v>287</v>
      </c>
      <c r="L14" s="7">
        <v>2</v>
      </c>
    </row>
    <row r="15" spans="1:12">
      <c r="A15" s="7" t="s">
        <v>14</v>
      </c>
      <c r="B15" s="7">
        <v>14</v>
      </c>
      <c r="C15" s="7">
        <v>1</v>
      </c>
      <c r="D15" s="7">
        <v>2021</v>
      </c>
      <c r="E15" s="7">
        <f>'Athens Daily - EL'!AL21</f>
        <v>38450</v>
      </c>
      <c r="F15" s="7"/>
      <c r="G15" s="39">
        <f>'Athens Daily - Gas'!BI22</f>
        <v>64790.400000000001</v>
      </c>
      <c r="H15" s="7"/>
      <c r="I15" s="40">
        <f>'Athens Daily - Water'!S20</f>
        <v>128.60000000000002</v>
      </c>
      <c r="J15" s="7"/>
      <c r="K15" s="7">
        <v>287</v>
      </c>
      <c r="L15" s="7">
        <v>2</v>
      </c>
    </row>
    <row r="16" spans="1:12">
      <c r="A16" s="7" t="s">
        <v>14</v>
      </c>
      <c r="B16" s="7">
        <v>15</v>
      </c>
      <c r="C16" s="7">
        <v>1</v>
      </c>
      <c r="D16" s="7">
        <v>2021</v>
      </c>
      <c r="E16" s="7">
        <f>'Athens Daily - EL'!AL22</f>
        <v>38495</v>
      </c>
      <c r="F16" s="7"/>
      <c r="G16" s="39">
        <f>'Athens Daily - Gas'!BI23</f>
        <v>64500</v>
      </c>
      <c r="H16" s="7"/>
      <c r="I16" s="40">
        <f>'Athens Daily - Water'!S21</f>
        <v>201.9</v>
      </c>
      <c r="J16" s="7"/>
      <c r="K16" s="7">
        <v>288</v>
      </c>
      <c r="L16" s="7">
        <v>2</v>
      </c>
    </row>
    <row r="17" spans="1:12">
      <c r="A17" s="7" t="s">
        <v>14</v>
      </c>
      <c r="B17" s="7">
        <v>16</v>
      </c>
      <c r="C17" s="7">
        <v>1</v>
      </c>
      <c r="D17" s="7">
        <v>2021</v>
      </c>
      <c r="E17" s="7">
        <f>'Athens Daily - EL'!AL23</f>
        <v>40345</v>
      </c>
      <c r="F17" s="7"/>
      <c r="G17" s="39">
        <f>'Athens Daily - Gas'!BI24</f>
        <v>64252.800000000003</v>
      </c>
      <c r="H17" s="7"/>
      <c r="I17" s="40">
        <f>'Athens Daily - Water'!S22</f>
        <v>98.1</v>
      </c>
      <c r="J17" s="7"/>
      <c r="K17" s="7">
        <v>288</v>
      </c>
      <c r="L17" s="7">
        <v>2</v>
      </c>
    </row>
    <row r="18" spans="1:12">
      <c r="A18" s="7" t="s">
        <v>14</v>
      </c>
      <c r="B18" s="7">
        <v>17</v>
      </c>
      <c r="C18" s="7">
        <v>1</v>
      </c>
      <c r="D18" s="7">
        <v>2021</v>
      </c>
      <c r="E18" s="7">
        <f>'Athens Daily - EL'!AL24</f>
        <v>39805</v>
      </c>
      <c r="F18" s="7"/>
      <c r="G18" s="39">
        <f>'Athens Daily - Gas'!BI25</f>
        <v>65836.800000000003</v>
      </c>
      <c r="H18" s="7"/>
      <c r="I18" s="40">
        <f>'Athens Daily - Water'!S23</f>
        <v>176.10000000000002</v>
      </c>
      <c r="J18" s="7"/>
      <c r="K18" s="7">
        <v>288</v>
      </c>
      <c r="L18" s="7">
        <v>2</v>
      </c>
    </row>
    <row r="19" spans="1:12">
      <c r="A19" s="7" t="s">
        <v>14</v>
      </c>
      <c r="B19" s="7">
        <v>18</v>
      </c>
      <c r="C19" s="7">
        <v>1</v>
      </c>
      <c r="D19" s="7">
        <v>2021</v>
      </c>
      <c r="E19" s="7">
        <f>'Athens Daily - EL'!AL25</f>
        <v>40645</v>
      </c>
      <c r="F19" s="7"/>
      <c r="G19" s="39">
        <f>'Athens Daily - Gas'!BI26</f>
        <v>64864.800000000003</v>
      </c>
      <c r="H19" s="7"/>
      <c r="I19" s="40">
        <f>'Athens Daily - Water'!S24</f>
        <v>167.85000000000002</v>
      </c>
      <c r="J19" s="7"/>
      <c r="K19" s="7">
        <v>291</v>
      </c>
      <c r="L19" s="7">
        <v>2</v>
      </c>
    </row>
    <row r="20" spans="1:12">
      <c r="A20" s="7" t="s">
        <v>14</v>
      </c>
      <c r="B20" s="7">
        <v>19</v>
      </c>
      <c r="C20" s="7">
        <v>1</v>
      </c>
      <c r="D20" s="7">
        <v>2021</v>
      </c>
      <c r="E20" s="7">
        <f>'Athens Daily - EL'!AL26</f>
        <v>41395</v>
      </c>
      <c r="F20" s="7"/>
      <c r="G20" s="39">
        <f>'Athens Daily - Gas'!BI27</f>
        <v>61538.400000000001</v>
      </c>
      <c r="H20" s="7"/>
      <c r="I20" s="40">
        <f>'Athens Daily - Water'!S25</f>
        <v>135.60000000000002</v>
      </c>
      <c r="J20" s="7"/>
      <c r="K20" s="7">
        <v>290</v>
      </c>
      <c r="L20" s="7">
        <v>2</v>
      </c>
    </row>
    <row r="21" spans="1:12">
      <c r="A21" s="7" t="s">
        <v>14</v>
      </c>
      <c r="B21" s="7">
        <v>20</v>
      </c>
      <c r="C21" s="7">
        <v>1</v>
      </c>
      <c r="D21" s="7">
        <v>2021</v>
      </c>
      <c r="E21" s="7">
        <f>'Athens Daily - EL'!AL27</f>
        <v>41805</v>
      </c>
      <c r="F21" s="7"/>
      <c r="G21" s="39">
        <f>'Athens Daily - Gas'!BI28</f>
        <v>63223.200000000004</v>
      </c>
      <c r="H21" s="7"/>
      <c r="I21" s="40">
        <f>'Athens Daily - Water'!S26</f>
        <v>135.80000000000001</v>
      </c>
      <c r="J21" s="7"/>
      <c r="K21" s="7">
        <v>292</v>
      </c>
      <c r="L21" s="7">
        <v>2</v>
      </c>
    </row>
    <row r="22" spans="1:12">
      <c r="A22" s="7" t="s">
        <v>14</v>
      </c>
      <c r="B22" s="7">
        <v>21</v>
      </c>
      <c r="C22" s="7">
        <v>1</v>
      </c>
      <c r="D22" s="7">
        <v>2021</v>
      </c>
      <c r="E22" s="7">
        <f>'Athens Daily - EL'!AL28</f>
        <v>42315</v>
      </c>
      <c r="F22" s="7"/>
      <c r="G22" s="39">
        <f>'Athens Daily - Gas'!BI29</f>
        <v>61359.6</v>
      </c>
      <c r="H22" s="7"/>
      <c r="I22" s="40">
        <f>'Athens Daily - Water'!S27</f>
        <v>160.4</v>
      </c>
      <c r="J22" s="7"/>
      <c r="K22" s="7">
        <v>293</v>
      </c>
      <c r="L22" s="7">
        <v>2</v>
      </c>
    </row>
    <row r="23" spans="1:12">
      <c r="A23" s="7" t="s">
        <v>14</v>
      </c>
      <c r="B23" s="7">
        <v>22</v>
      </c>
      <c r="C23" s="7">
        <v>1</v>
      </c>
      <c r="D23" s="7">
        <v>2021</v>
      </c>
      <c r="E23" s="7">
        <f>'Athens Daily - EL'!AL29</f>
        <v>35590</v>
      </c>
      <c r="F23" s="7"/>
      <c r="G23" s="39">
        <f>'Athens Daily - Gas'!BI30</f>
        <v>61359.6</v>
      </c>
      <c r="H23" s="7"/>
      <c r="I23" s="40">
        <f>'Athens Daily - Water'!S28</f>
        <v>123.02300000000687</v>
      </c>
      <c r="J23" s="7"/>
      <c r="K23" s="7">
        <v>293</v>
      </c>
      <c r="L23" s="7">
        <v>2</v>
      </c>
    </row>
    <row r="24" spans="1:12">
      <c r="A24" s="7" t="s">
        <v>14</v>
      </c>
      <c r="B24" s="7">
        <v>23</v>
      </c>
      <c r="C24" s="7">
        <v>1</v>
      </c>
      <c r="D24" s="7">
        <v>2021</v>
      </c>
      <c r="E24" s="7">
        <f>'Athens Daily - EL'!AL30</f>
        <v>34995</v>
      </c>
      <c r="F24" s="7"/>
      <c r="G24" s="39">
        <f>'Athens Daily - Gas'!BI31</f>
        <v>61526.400000000001</v>
      </c>
      <c r="H24" s="7"/>
      <c r="I24" s="40">
        <f>'Athens Daily - Water'!S29</f>
        <v>157.94999999999709</v>
      </c>
      <c r="J24" s="7"/>
      <c r="K24" s="7">
        <v>294</v>
      </c>
      <c r="L24" s="7">
        <v>2</v>
      </c>
    </row>
    <row r="25" spans="1:12">
      <c r="A25" s="7" t="s">
        <v>14</v>
      </c>
      <c r="B25" s="7">
        <v>24</v>
      </c>
      <c r="C25" s="7">
        <v>1</v>
      </c>
      <c r="D25" s="7">
        <v>2021</v>
      </c>
      <c r="E25" s="7">
        <f>'Athens Daily - EL'!AL31</f>
        <v>38800</v>
      </c>
      <c r="F25" s="7"/>
      <c r="G25" s="39">
        <f>'Athens Daily - Gas'!BI32</f>
        <v>63391.200000000004</v>
      </c>
      <c r="H25" s="7"/>
      <c r="I25" s="40">
        <f>'Athens Daily - Water'!S30</f>
        <v>123.95</v>
      </c>
      <c r="J25" s="7"/>
      <c r="K25" s="7">
        <v>294</v>
      </c>
      <c r="L25" s="7">
        <v>2</v>
      </c>
    </row>
    <row r="26" spans="1:12">
      <c r="A26" s="7" t="s">
        <v>14</v>
      </c>
      <c r="B26" s="7">
        <v>25</v>
      </c>
      <c r="C26" s="7">
        <v>1</v>
      </c>
      <c r="D26" s="7">
        <v>2021</v>
      </c>
      <c r="E26" s="7">
        <f>'Athens Daily - EL'!AL32</f>
        <v>34655</v>
      </c>
      <c r="F26" s="7"/>
      <c r="G26" s="39">
        <f>'Athens Daily - Gas'!BI33</f>
        <v>64716</v>
      </c>
      <c r="H26" s="7"/>
      <c r="I26" s="40">
        <f>'Athens Daily - Water'!S31</f>
        <v>135.30000000000001</v>
      </c>
      <c r="J26" s="7"/>
      <c r="K26" s="7">
        <v>291</v>
      </c>
      <c r="L26" s="7">
        <v>2</v>
      </c>
    </row>
    <row r="27" spans="1:12">
      <c r="A27" s="7" t="s">
        <v>14</v>
      </c>
      <c r="B27" s="7">
        <v>26</v>
      </c>
      <c r="C27" s="7">
        <v>1</v>
      </c>
      <c r="D27" s="7">
        <v>2021</v>
      </c>
      <c r="E27" s="7">
        <f>'Athens Daily - EL'!AL33</f>
        <v>36485</v>
      </c>
      <c r="F27" s="7"/>
      <c r="G27" s="39">
        <f>'Athens Daily - Gas'!BI34</f>
        <v>65066.400000000001</v>
      </c>
      <c r="H27" s="7"/>
      <c r="I27" s="40">
        <f>'Athens Daily - Water'!S32</f>
        <v>135.10000000000002</v>
      </c>
      <c r="J27" s="7"/>
      <c r="K27" s="7">
        <v>291</v>
      </c>
      <c r="L27" s="7">
        <v>2</v>
      </c>
    </row>
    <row r="28" spans="1:12">
      <c r="A28" s="7" t="s">
        <v>14</v>
      </c>
      <c r="B28" s="7">
        <v>27</v>
      </c>
      <c r="C28" s="7">
        <v>1</v>
      </c>
      <c r="D28" s="7">
        <v>2021</v>
      </c>
      <c r="E28" s="7">
        <f>'Athens Daily - EL'!AL34</f>
        <v>39750</v>
      </c>
      <c r="F28" s="7"/>
      <c r="G28" s="39">
        <f>'Athens Daily - Gas'!BI35</f>
        <v>70111.200000000012</v>
      </c>
      <c r="H28" s="7"/>
      <c r="I28" s="40">
        <f>'Athens Daily - Water'!S33</f>
        <v>126.65</v>
      </c>
      <c r="J28" s="7"/>
      <c r="K28" s="7">
        <v>288</v>
      </c>
      <c r="L28" s="7">
        <v>2</v>
      </c>
    </row>
    <row r="29" spans="1:12">
      <c r="A29" s="7" t="s">
        <v>14</v>
      </c>
      <c r="B29" s="7">
        <v>28</v>
      </c>
      <c r="C29" s="7">
        <v>1</v>
      </c>
      <c r="D29" s="7">
        <v>2021</v>
      </c>
      <c r="E29" s="7">
        <f>'Athens Daily - EL'!AL35</f>
        <v>38815</v>
      </c>
      <c r="F29" s="7"/>
      <c r="G29" s="39">
        <f>'Athens Daily - Gas'!BI36</f>
        <v>65226</v>
      </c>
      <c r="H29" s="7"/>
      <c r="I29" s="40">
        <f>'Athens Daily - Water'!S34</f>
        <v>143.9</v>
      </c>
      <c r="J29" s="7"/>
      <c r="K29" s="7">
        <v>290</v>
      </c>
      <c r="L29" s="7">
        <v>2</v>
      </c>
    </row>
    <row r="30" spans="1:12">
      <c r="A30" s="7" t="s">
        <v>14</v>
      </c>
      <c r="B30" s="7">
        <v>29</v>
      </c>
      <c r="C30" s="7">
        <v>1</v>
      </c>
      <c r="D30" s="7">
        <v>2021</v>
      </c>
      <c r="E30" s="7">
        <f>'Athens Daily - EL'!AL36</f>
        <v>38980</v>
      </c>
      <c r="F30" s="7"/>
      <c r="G30" s="39">
        <f>'Athens Daily - Gas'!BI37</f>
        <v>65226</v>
      </c>
      <c r="H30" s="7"/>
      <c r="I30" s="40">
        <f>'Athens Daily - Water'!S35</f>
        <v>190.7</v>
      </c>
      <c r="J30" s="7"/>
      <c r="K30" s="7">
        <v>291</v>
      </c>
      <c r="L30" s="7">
        <v>2</v>
      </c>
    </row>
    <row r="31" spans="1:12">
      <c r="A31" s="7" t="s">
        <v>14</v>
      </c>
      <c r="B31" s="7">
        <v>30</v>
      </c>
      <c r="C31" s="7">
        <v>1</v>
      </c>
      <c r="D31" s="7">
        <v>2021</v>
      </c>
      <c r="E31" s="7">
        <f>'Athens Daily - EL'!AL37</f>
        <v>40355</v>
      </c>
      <c r="F31" s="7"/>
      <c r="G31" s="39">
        <f>'Athens Daily - Gas'!BI38</f>
        <v>69789.600000000006</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36" activePane="bottomRight" state="frozen"/>
      <selection pane="topRight" activeCell="C2" sqref="C2"/>
      <selection pane="bottomLeft" activeCell="A7" sqref="A7"/>
      <selection pane="bottomRight" activeCell="AI41" sqref="AI4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16" t="s">
        <v>65</v>
      </c>
      <c r="D1" s="216"/>
      <c r="E1" s="216" t="s">
        <v>65</v>
      </c>
      <c r="F1" s="216"/>
      <c r="G1" s="216" t="s">
        <v>65</v>
      </c>
      <c r="H1" s="216"/>
      <c r="I1" s="112"/>
      <c r="J1" s="216" t="s">
        <v>65</v>
      </c>
      <c r="K1" s="216"/>
      <c r="L1" s="216" t="s">
        <v>65</v>
      </c>
      <c r="M1" s="216"/>
      <c r="N1" s="202" t="s">
        <v>66</v>
      </c>
      <c r="O1" s="203"/>
      <c r="P1" s="204"/>
      <c r="Q1" s="202" t="s">
        <v>66</v>
      </c>
      <c r="R1" s="203"/>
      <c r="S1" s="204"/>
      <c r="T1" s="202" t="s">
        <v>66</v>
      </c>
      <c r="U1" s="203"/>
      <c r="V1" s="204"/>
      <c r="W1" s="202" t="s">
        <v>66</v>
      </c>
      <c r="X1" s="203"/>
      <c r="Y1" s="204"/>
      <c r="Z1" s="216" t="s">
        <v>67</v>
      </c>
      <c r="AA1" s="216"/>
      <c r="AB1" s="216" t="s">
        <v>67</v>
      </c>
      <c r="AC1" s="216"/>
      <c r="AD1" s="216" t="s">
        <v>67</v>
      </c>
      <c r="AE1" s="216"/>
      <c r="AF1" s="216" t="s">
        <v>67</v>
      </c>
      <c r="AG1" s="216"/>
      <c r="AH1" s="216" t="s">
        <v>67</v>
      </c>
      <c r="AI1" s="216"/>
    </row>
    <row r="2" spans="1:38" s="3" customFormat="1" ht="113.25" customHeight="1">
      <c r="A2" s="13"/>
      <c r="B2" s="14"/>
      <c r="C2" s="215" t="s">
        <v>68</v>
      </c>
      <c r="D2" s="215"/>
      <c r="E2" s="215" t="s">
        <v>69</v>
      </c>
      <c r="F2" s="215"/>
      <c r="G2" s="205" t="s">
        <v>70</v>
      </c>
      <c r="H2" s="206"/>
      <c r="I2" s="207"/>
      <c r="J2" s="215" t="s">
        <v>71</v>
      </c>
      <c r="K2" s="215"/>
      <c r="L2" s="215" t="s">
        <v>72</v>
      </c>
      <c r="M2" s="215"/>
      <c r="N2" s="205" t="s">
        <v>73</v>
      </c>
      <c r="O2" s="206"/>
      <c r="P2" s="207"/>
      <c r="Q2" s="205" t="s">
        <v>74</v>
      </c>
      <c r="R2" s="206"/>
      <c r="S2" s="207"/>
      <c r="T2" s="205" t="s">
        <v>75</v>
      </c>
      <c r="U2" s="206"/>
      <c r="V2" s="207"/>
      <c r="W2" s="205" t="s">
        <v>76</v>
      </c>
      <c r="X2" s="206"/>
      <c r="Y2" s="207"/>
      <c r="Z2" s="215" t="s">
        <v>77</v>
      </c>
      <c r="AA2" s="215"/>
      <c r="AB2" s="215" t="s">
        <v>78</v>
      </c>
      <c r="AC2" s="215"/>
      <c r="AD2" s="215" t="s">
        <v>79</v>
      </c>
      <c r="AE2" s="215"/>
      <c r="AF2" s="215" t="s">
        <v>78</v>
      </c>
      <c r="AG2" s="215"/>
      <c r="AH2" s="215" t="s">
        <v>80</v>
      </c>
      <c r="AI2" s="215"/>
      <c r="AJ2" s="119"/>
      <c r="AK2" s="119"/>
      <c r="AL2" s="119"/>
    </row>
    <row r="3" spans="1:38" s="25" customFormat="1" ht="30" customHeight="1">
      <c r="A3" s="110"/>
      <c r="B3" s="50"/>
      <c r="C3" s="208">
        <v>5065546</v>
      </c>
      <c r="D3" s="210"/>
      <c r="E3" s="208">
        <v>5065547</v>
      </c>
      <c r="F3" s="210"/>
      <c r="G3" s="208">
        <v>5008272</v>
      </c>
      <c r="H3" s="209"/>
      <c r="I3" s="210"/>
      <c r="J3" s="208">
        <v>5065548</v>
      </c>
      <c r="K3" s="210"/>
      <c r="L3" s="208">
        <v>5465545</v>
      </c>
      <c r="M3" s="210"/>
      <c r="N3" s="208">
        <v>5008273</v>
      </c>
      <c r="O3" s="209"/>
      <c r="P3" s="210"/>
      <c r="Q3" s="208">
        <v>5018351</v>
      </c>
      <c r="R3" s="209"/>
      <c r="S3" s="210"/>
      <c r="T3" s="208">
        <v>5018354</v>
      </c>
      <c r="U3" s="209"/>
      <c r="V3" s="210"/>
      <c r="W3" s="208">
        <v>5018350</v>
      </c>
      <c r="X3" s="209"/>
      <c r="Y3" s="210"/>
      <c r="Z3" s="208">
        <v>5065543</v>
      </c>
      <c r="AA3" s="210"/>
      <c r="AB3" s="208">
        <v>5065544</v>
      </c>
      <c r="AC3" s="210"/>
      <c r="AD3" s="208">
        <v>5065541</v>
      </c>
      <c r="AE3" s="210"/>
      <c r="AF3" s="208">
        <v>5065542</v>
      </c>
      <c r="AG3" s="210"/>
      <c r="AH3" s="208">
        <v>5065540</v>
      </c>
      <c r="AI3" s="210"/>
      <c r="AK3" s="217" t="s">
        <v>81</v>
      </c>
      <c r="AL3" s="217"/>
    </row>
    <row r="4" spans="1:38" s="24" customFormat="1" ht="30" customHeight="1">
      <c r="A4" s="110"/>
      <c r="B4" s="116"/>
      <c r="C4" s="211" t="s">
        <v>82</v>
      </c>
      <c r="D4" s="213"/>
      <c r="E4" s="211" t="s">
        <v>83</v>
      </c>
      <c r="F4" s="213"/>
      <c r="G4" s="211" t="s">
        <v>84</v>
      </c>
      <c r="H4" s="212"/>
      <c r="I4" s="213"/>
      <c r="J4" s="211" t="s">
        <v>85</v>
      </c>
      <c r="K4" s="213"/>
      <c r="L4" s="211" t="s">
        <v>86</v>
      </c>
      <c r="M4" s="213"/>
      <c r="N4" s="211" t="s">
        <v>87</v>
      </c>
      <c r="O4" s="212"/>
      <c r="P4" s="213"/>
      <c r="Q4" s="211" t="s">
        <v>88</v>
      </c>
      <c r="R4" s="212"/>
      <c r="S4" s="213"/>
      <c r="T4" s="211" t="s">
        <v>89</v>
      </c>
      <c r="U4" s="212"/>
      <c r="V4" s="213"/>
      <c r="W4" s="211" t="s">
        <v>90</v>
      </c>
      <c r="X4" s="212"/>
      <c r="Y4" s="213"/>
      <c r="Z4" s="211" t="s">
        <v>91</v>
      </c>
      <c r="AA4" s="213"/>
      <c r="AB4" s="211" t="s">
        <v>92</v>
      </c>
      <c r="AC4" s="213"/>
      <c r="AD4" s="211" t="s">
        <v>93</v>
      </c>
      <c r="AE4" s="213"/>
      <c r="AF4" s="211" t="s">
        <v>94</v>
      </c>
      <c r="AG4" s="213"/>
      <c r="AH4" s="211" t="s">
        <v>95</v>
      </c>
      <c r="AI4" s="213"/>
      <c r="AK4" s="217"/>
      <c r="AL4" s="217"/>
    </row>
    <row r="5" spans="1:38" s="8" customFormat="1" ht="30" customHeight="1">
      <c r="A5" s="110" t="s">
        <v>96</v>
      </c>
      <c r="B5" s="51"/>
      <c r="C5" s="200" t="s">
        <v>97</v>
      </c>
      <c r="D5" s="201"/>
      <c r="E5" s="200" t="s">
        <v>97</v>
      </c>
      <c r="F5" s="201"/>
      <c r="G5" s="200" t="s">
        <v>97</v>
      </c>
      <c r="H5" s="214"/>
      <c r="I5" s="201"/>
      <c r="J5" s="51" t="s">
        <v>97</v>
      </c>
      <c r="K5" s="51"/>
      <c r="L5" s="200" t="s">
        <v>97</v>
      </c>
      <c r="M5" s="201"/>
      <c r="N5" s="200" t="s">
        <v>97</v>
      </c>
      <c r="O5" s="214"/>
      <c r="P5" s="201"/>
      <c r="Q5" s="200" t="s">
        <v>98</v>
      </c>
      <c r="R5" s="214"/>
      <c r="S5" s="201"/>
      <c r="T5" s="200" t="s">
        <v>98</v>
      </c>
      <c r="U5" s="214"/>
      <c r="V5" s="201"/>
      <c r="W5" s="200" t="s">
        <v>98</v>
      </c>
      <c r="X5" s="214"/>
      <c r="Y5" s="201"/>
      <c r="Z5" s="200" t="s">
        <v>97</v>
      </c>
      <c r="AA5" s="201"/>
      <c r="AB5" s="200" t="s">
        <v>97</v>
      </c>
      <c r="AC5" s="201"/>
      <c r="AD5" s="200" t="s">
        <v>97</v>
      </c>
      <c r="AE5" s="201"/>
      <c r="AF5" s="200" t="s">
        <v>97</v>
      </c>
      <c r="AG5" s="201"/>
      <c r="AH5" s="200" t="s">
        <v>97</v>
      </c>
      <c r="AI5" s="201"/>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7">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(Z8-Z7)*10</f>
        <v>980</v>
      </c>
      <c r="AB8" s="49">
        <v>64571</v>
      </c>
      <c r="AC8" s="17">
        <f>(AB8-AB7)*10</f>
        <v>2080</v>
      </c>
      <c r="AD8" s="49">
        <v>115747</v>
      </c>
      <c r="AE8" s="17">
        <f>(AD8-AD7)*10</f>
        <v>3450</v>
      </c>
      <c r="AF8" s="49">
        <v>62288</v>
      </c>
      <c r="AG8" s="17">
        <f>(AF8-AF7)*10</f>
        <v>1790</v>
      </c>
      <c r="AH8" s="49">
        <v>312892</v>
      </c>
      <c r="AI8" s="17">
        <f>(AH8-AH7)*10</f>
        <v>9880</v>
      </c>
      <c r="AK8" s="99">
        <f>SUM(D8,F8,I8,K8,M8,P8,S8,V8,Y8)</f>
        <v>43265</v>
      </c>
      <c r="AL8" s="100">
        <f>SUM(P8,S8,V8,Y8,AA8,AC8,AE8,AG8,AI8,I8)</f>
        <v>35505</v>
      </c>
    </row>
    <row r="9" spans="1:38" ht="39.950000000000003" customHeight="1">
      <c r="A9" s="147">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X37" si="11">(W9-W8)*10</f>
        <v>3600</v>
      </c>
      <c r="Y9" s="17">
        <f t="shared" ref="Y9:Y24" si="12">X9*50%</f>
        <v>1800</v>
      </c>
      <c r="Z9" s="49">
        <v>31781</v>
      </c>
      <c r="AA9" s="17">
        <f t="shared" ref="AA9:AA37" si="13">(Z9-Z8)*10</f>
        <v>960</v>
      </c>
      <c r="AB9" s="49">
        <v>64772</v>
      </c>
      <c r="AC9" s="17">
        <f t="shared" ref="AC9:AC37" si="14">(AB9-AB8)*10</f>
        <v>2010</v>
      </c>
      <c r="AD9" s="49">
        <v>116091</v>
      </c>
      <c r="AE9" s="17">
        <f t="shared" ref="AE9:AE37" si="15">(AD9-AD8)*10</f>
        <v>3440</v>
      </c>
      <c r="AF9" s="49">
        <v>62462</v>
      </c>
      <c r="AG9" s="17">
        <f t="shared" ref="AG9:AG37" si="16">(AF9-AF8)*10</f>
        <v>1740</v>
      </c>
      <c r="AH9" s="49">
        <v>313891</v>
      </c>
      <c r="AI9" s="17">
        <f t="shared" ref="AI9:AI37" si="17">(AH9-AH8)*10</f>
        <v>9990</v>
      </c>
      <c r="AK9" s="99">
        <f t="shared" ref="AK9:AK24" si="18">SUM(D9,F9,I9,K9,M9,P9,S9,V9,Y9)</f>
        <v>44685</v>
      </c>
      <c r="AL9" s="100">
        <f t="shared" ref="AL9:AL37" si="19">SUM(P9,S9,V9,Y9,AA9,AC9,AE9,AG9,AI9,I9)</f>
        <v>37115</v>
      </c>
    </row>
    <row r="10" spans="1:38" ht="39.950000000000003" customHeight="1">
      <c r="A10" s="147">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si="11"/>
        <v>470</v>
      </c>
      <c r="Y10" s="99">
        <f t="shared" si="12"/>
        <v>235</v>
      </c>
      <c r="Z10" s="49">
        <v>31879</v>
      </c>
      <c r="AA10" s="17">
        <f t="shared" si="13"/>
        <v>980</v>
      </c>
      <c r="AB10" s="49">
        <v>64976</v>
      </c>
      <c r="AC10" s="17">
        <f t="shared" si="14"/>
        <v>2040</v>
      </c>
      <c r="AD10" s="49">
        <v>116435</v>
      </c>
      <c r="AE10" s="17">
        <f t="shared" si="15"/>
        <v>3440</v>
      </c>
      <c r="AF10" s="49">
        <v>62635</v>
      </c>
      <c r="AG10" s="17">
        <f t="shared" si="16"/>
        <v>1730</v>
      </c>
      <c r="AH10" s="49">
        <v>314886</v>
      </c>
      <c r="AI10" s="17">
        <f t="shared" si="17"/>
        <v>9950</v>
      </c>
      <c r="AK10" s="99">
        <f t="shared" si="18"/>
        <v>45420</v>
      </c>
      <c r="AL10" s="100">
        <f t="shared" si="19"/>
        <v>38030</v>
      </c>
    </row>
    <row r="11" spans="1:38" ht="39.950000000000003" customHeight="1">
      <c r="A11" s="147">
        <v>44351</v>
      </c>
      <c r="B11" s="16"/>
      <c r="C11" s="49">
        <v>118921</v>
      </c>
      <c r="D11" s="17">
        <f t="shared" si="2"/>
        <v>4090</v>
      </c>
      <c r="E11" s="49">
        <v>187346</v>
      </c>
      <c r="F11" s="17">
        <f t="shared" si="2"/>
        <v>6780</v>
      </c>
      <c r="G11" s="49">
        <v>1000972</v>
      </c>
      <c r="H11" s="17">
        <f>(G11-G10)*10</f>
        <v>14610</v>
      </c>
      <c r="I11" s="17">
        <f t="shared" si="4"/>
        <v>7305</v>
      </c>
      <c r="J11" s="49">
        <v>166854</v>
      </c>
      <c r="K11" s="17">
        <f t="shared" ref="K11" si="24">(J11-J10)*10</f>
        <v>6330</v>
      </c>
      <c r="L11" s="49">
        <v>259871</v>
      </c>
      <c r="M11" s="17">
        <f t="shared" ref="M11" si="25">(L11-L10)*10</f>
        <v>9490</v>
      </c>
      <c r="N11" s="49">
        <v>878343</v>
      </c>
      <c r="O11" s="17">
        <f t="shared" si="0"/>
        <v>5140</v>
      </c>
      <c r="P11" s="17">
        <f t="shared" si="7"/>
        <v>2570</v>
      </c>
      <c r="Q11" s="49">
        <v>173298</v>
      </c>
      <c r="R11" s="17">
        <f t="shared" si="1"/>
        <v>10340</v>
      </c>
      <c r="S11" s="17">
        <f t="shared" si="8"/>
        <v>5170</v>
      </c>
      <c r="T11" s="49">
        <v>91340</v>
      </c>
      <c r="U11" s="17">
        <f t="shared" ref="U11" si="26">(T11-T10)*10</f>
        <v>7200</v>
      </c>
      <c r="V11" s="17">
        <f t="shared" si="10"/>
        <v>3600</v>
      </c>
      <c r="W11" s="49">
        <v>169373</v>
      </c>
      <c r="X11" s="17">
        <f t="shared" si="11"/>
        <v>460</v>
      </c>
      <c r="Y11" s="99">
        <f t="shared" si="12"/>
        <v>230</v>
      </c>
      <c r="Z11" s="49">
        <v>31972</v>
      </c>
      <c r="AA11" s="17">
        <f t="shared" si="13"/>
        <v>930</v>
      </c>
      <c r="AB11" s="49">
        <v>65177</v>
      </c>
      <c r="AC11" s="17">
        <f t="shared" si="14"/>
        <v>2010</v>
      </c>
      <c r="AD11" s="49">
        <v>116788</v>
      </c>
      <c r="AE11" s="17">
        <f t="shared" si="15"/>
        <v>3530</v>
      </c>
      <c r="AF11" s="49">
        <v>62813</v>
      </c>
      <c r="AG11" s="17">
        <f t="shared" si="16"/>
        <v>1780</v>
      </c>
      <c r="AH11" s="49">
        <v>315907</v>
      </c>
      <c r="AI11" s="17">
        <f t="shared" si="17"/>
        <v>10210</v>
      </c>
      <c r="AK11" s="99">
        <f t="shared" si="18"/>
        <v>45565</v>
      </c>
      <c r="AL11" s="100">
        <f t="shared" si="19"/>
        <v>37335</v>
      </c>
    </row>
    <row r="12" spans="1:38" ht="39.950000000000003" customHeight="1">
      <c r="A12" s="147">
        <v>44352</v>
      </c>
      <c r="B12" s="16"/>
      <c r="C12" s="49">
        <v>119325</v>
      </c>
      <c r="D12" s="17">
        <f t="shared" si="2"/>
        <v>4040</v>
      </c>
      <c r="E12" s="49">
        <v>188064</v>
      </c>
      <c r="F12" s="17">
        <f t="shared" si="2"/>
        <v>7180</v>
      </c>
      <c r="G12" s="49">
        <v>1002320</v>
      </c>
      <c r="H12" s="17">
        <f t="shared" ref="H12" si="27">(G12-G11)*10</f>
        <v>13480</v>
      </c>
      <c r="I12" s="17">
        <f t="shared" si="4"/>
        <v>6740</v>
      </c>
      <c r="J12" s="49">
        <v>167477</v>
      </c>
      <c r="K12" s="17">
        <f t="shared" ref="K12" si="28">(J12-J11)*10</f>
        <v>6230</v>
      </c>
      <c r="L12" s="49">
        <v>260827</v>
      </c>
      <c r="M12" s="17">
        <f t="shared" ref="M12" si="29">(L12-L11)*10</f>
        <v>9560</v>
      </c>
      <c r="N12" s="49">
        <v>878867</v>
      </c>
      <c r="O12" s="17">
        <f t="shared" si="0"/>
        <v>5240</v>
      </c>
      <c r="P12" s="17">
        <f t="shared" si="7"/>
        <v>2620</v>
      </c>
      <c r="Q12" s="49">
        <v>174103</v>
      </c>
      <c r="R12" s="17">
        <f t="shared" si="1"/>
        <v>8050</v>
      </c>
      <c r="S12" s="17">
        <f t="shared" si="8"/>
        <v>4025</v>
      </c>
      <c r="T12" s="49">
        <v>91722</v>
      </c>
      <c r="U12" s="17">
        <f t="shared" ref="U12" si="30">(T12-T11)*10</f>
        <v>3820</v>
      </c>
      <c r="V12" s="17">
        <f t="shared" si="10"/>
        <v>1910</v>
      </c>
      <c r="W12" s="49">
        <v>169405</v>
      </c>
      <c r="X12" s="17">
        <f t="shared" si="11"/>
        <v>320</v>
      </c>
      <c r="Y12" s="99">
        <f t="shared" si="12"/>
        <v>160</v>
      </c>
      <c r="Z12" s="49">
        <v>32071</v>
      </c>
      <c r="AA12" s="17">
        <f t="shared" si="13"/>
        <v>990</v>
      </c>
      <c r="AB12" s="49">
        <v>65369</v>
      </c>
      <c r="AC12" s="17">
        <f t="shared" si="14"/>
        <v>1920</v>
      </c>
      <c r="AD12" s="49">
        <v>117131</v>
      </c>
      <c r="AE12" s="17">
        <f t="shared" si="15"/>
        <v>3430</v>
      </c>
      <c r="AF12" s="49">
        <v>62992</v>
      </c>
      <c r="AG12" s="17">
        <f t="shared" si="16"/>
        <v>1790</v>
      </c>
      <c r="AH12" s="49">
        <v>316906</v>
      </c>
      <c r="AI12" s="17">
        <f t="shared" si="17"/>
        <v>9990</v>
      </c>
      <c r="AK12" s="99">
        <f t="shared" si="18"/>
        <v>42465</v>
      </c>
      <c r="AL12" s="100">
        <f t="shared" si="19"/>
        <v>33575</v>
      </c>
    </row>
    <row r="13" spans="1:38" ht="39.950000000000003" customHeight="1">
      <c r="A13" s="147">
        <v>44353</v>
      </c>
      <c r="B13" s="16"/>
      <c r="C13" s="49">
        <v>119832</v>
      </c>
      <c r="D13" s="17">
        <f t="shared" si="2"/>
        <v>5070</v>
      </c>
      <c r="E13" s="49">
        <v>188800</v>
      </c>
      <c r="F13" s="17">
        <f t="shared" si="2"/>
        <v>7360</v>
      </c>
      <c r="G13" s="49">
        <v>1003749</v>
      </c>
      <c r="H13" s="17">
        <f t="shared" ref="H13" si="31">(G13-G12)*10</f>
        <v>14290</v>
      </c>
      <c r="I13" s="17">
        <f t="shared" si="4"/>
        <v>7145</v>
      </c>
      <c r="J13" s="49">
        <v>168110</v>
      </c>
      <c r="K13" s="17">
        <f t="shared" ref="K13" si="32">(J13-J12)*10</f>
        <v>6330</v>
      </c>
      <c r="L13" s="49">
        <v>261777</v>
      </c>
      <c r="M13" s="17">
        <f t="shared" ref="M13" si="33">(L13-L12)*10</f>
        <v>9500</v>
      </c>
      <c r="N13" s="49">
        <v>879413</v>
      </c>
      <c r="O13" s="17">
        <f t="shared" si="0"/>
        <v>5460</v>
      </c>
      <c r="P13" s="17">
        <f t="shared" si="7"/>
        <v>2730</v>
      </c>
      <c r="Q13" s="49">
        <v>174902</v>
      </c>
      <c r="R13" s="17">
        <f t="shared" si="1"/>
        <v>7990</v>
      </c>
      <c r="S13" s="17">
        <f t="shared" si="8"/>
        <v>3995</v>
      </c>
      <c r="T13" s="49">
        <v>92335</v>
      </c>
      <c r="U13" s="17">
        <f t="shared" ref="U13" si="34">(T13-T12)*10</f>
        <v>6130</v>
      </c>
      <c r="V13" s="17">
        <f t="shared" si="10"/>
        <v>3065</v>
      </c>
      <c r="W13" s="49">
        <v>169448</v>
      </c>
      <c r="X13" s="17">
        <f t="shared" si="11"/>
        <v>430</v>
      </c>
      <c r="Y13" s="99">
        <f t="shared" si="12"/>
        <v>215</v>
      </c>
      <c r="Z13" s="49">
        <v>32177</v>
      </c>
      <c r="AA13" s="17">
        <f t="shared" si="13"/>
        <v>1060</v>
      </c>
      <c r="AB13" s="49">
        <v>65551</v>
      </c>
      <c r="AC13" s="17">
        <f t="shared" si="14"/>
        <v>1820</v>
      </c>
      <c r="AD13" s="49">
        <v>117456</v>
      </c>
      <c r="AE13" s="17">
        <f t="shared" si="15"/>
        <v>3250</v>
      </c>
      <c r="AF13" s="49">
        <v>63158</v>
      </c>
      <c r="AG13" s="17">
        <f t="shared" si="16"/>
        <v>1660</v>
      </c>
      <c r="AH13" s="49">
        <v>317871</v>
      </c>
      <c r="AI13" s="17">
        <f t="shared" si="17"/>
        <v>9650</v>
      </c>
      <c r="AK13" s="99">
        <f t="shared" si="18"/>
        <v>45410</v>
      </c>
      <c r="AL13" s="100">
        <f t="shared" si="19"/>
        <v>34590</v>
      </c>
    </row>
    <row r="14" spans="1:38" ht="39.950000000000003" customHeight="1">
      <c r="A14" s="147">
        <v>44354</v>
      </c>
      <c r="B14" s="16"/>
      <c r="C14" s="49">
        <v>120303</v>
      </c>
      <c r="D14" s="17">
        <f t="shared" si="2"/>
        <v>4710</v>
      </c>
      <c r="E14" s="49">
        <v>189519</v>
      </c>
      <c r="F14" s="17">
        <f t="shared" si="2"/>
        <v>7190</v>
      </c>
      <c r="G14" s="49">
        <v>1005205</v>
      </c>
      <c r="H14" s="17">
        <f t="shared" ref="H14" si="35">(G14-G13)*10</f>
        <v>14560</v>
      </c>
      <c r="I14" s="17">
        <f t="shared" si="4"/>
        <v>7280</v>
      </c>
      <c r="J14" s="49">
        <v>168713</v>
      </c>
      <c r="K14" s="17">
        <f t="shared" ref="K14" si="36">(J14-J13)*10</f>
        <v>6030</v>
      </c>
      <c r="L14" s="49">
        <v>262697</v>
      </c>
      <c r="M14" s="17">
        <f t="shared" ref="M14" si="37">(L14-L13)*10</f>
        <v>9200</v>
      </c>
      <c r="N14" s="49">
        <v>879949</v>
      </c>
      <c r="O14" s="17">
        <f t="shared" si="0"/>
        <v>5360</v>
      </c>
      <c r="P14" s="17">
        <f t="shared" si="7"/>
        <v>2680</v>
      </c>
      <c r="Q14" s="49">
        <v>175819</v>
      </c>
      <c r="R14" s="17">
        <f t="shared" si="1"/>
        <v>9170</v>
      </c>
      <c r="S14" s="17">
        <f t="shared" si="8"/>
        <v>4585</v>
      </c>
      <c r="T14" s="49">
        <v>92914</v>
      </c>
      <c r="U14" s="17">
        <f t="shared" ref="U14" si="38">(T14-T13)*10</f>
        <v>5790</v>
      </c>
      <c r="V14" s="17">
        <f t="shared" si="10"/>
        <v>2895</v>
      </c>
      <c r="W14" s="49">
        <v>169488</v>
      </c>
      <c r="X14" s="17">
        <f t="shared" si="11"/>
        <v>400</v>
      </c>
      <c r="Y14" s="99">
        <f t="shared" si="12"/>
        <v>200</v>
      </c>
      <c r="Z14" s="49">
        <v>32280</v>
      </c>
      <c r="AA14" s="17">
        <f t="shared" si="13"/>
        <v>1030</v>
      </c>
      <c r="AB14" s="49">
        <v>65751</v>
      </c>
      <c r="AC14" s="17">
        <f t="shared" si="14"/>
        <v>2000</v>
      </c>
      <c r="AD14" s="49">
        <v>117804</v>
      </c>
      <c r="AE14" s="17">
        <f t="shared" si="15"/>
        <v>3480</v>
      </c>
      <c r="AF14" s="49">
        <v>63330</v>
      </c>
      <c r="AG14" s="17">
        <f t="shared" si="16"/>
        <v>1720</v>
      </c>
      <c r="AH14" s="49">
        <v>318879</v>
      </c>
      <c r="AI14" s="17">
        <f t="shared" si="17"/>
        <v>10080</v>
      </c>
      <c r="AK14" s="99">
        <f t="shared" si="18"/>
        <v>44770</v>
      </c>
      <c r="AL14" s="100">
        <f t="shared" si="19"/>
        <v>35950</v>
      </c>
    </row>
    <row r="15" spans="1:38" ht="39.950000000000003" customHeight="1">
      <c r="A15" s="147">
        <v>44355</v>
      </c>
      <c r="B15" s="16"/>
      <c r="C15" s="191">
        <v>120692</v>
      </c>
      <c r="D15" s="17">
        <f t="shared" si="2"/>
        <v>3890</v>
      </c>
      <c r="E15" s="191">
        <v>190175</v>
      </c>
      <c r="F15" s="17">
        <f t="shared" si="2"/>
        <v>6560</v>
      </c>
      <c r="G15" s="191">
        <v>1006609</v>
      </c>
      <c r="H15" s="17">
        <f t="shared" ref="H15" si="39">(G15-G14)*10</f>
        <v>14040</v>
      </c>
      <c r="I15" s="17">
        <f t="shared" si="4"/>
        <v>7020</v>
      </c>
      <c r="J15" s="191">
        <v>169334</v>
      </c>
      <c r="K15" s="17">
        <f t="shared" ref="K15" si="40">(J15-J14)*10</f>
        <v>6210</v>
      </c>
      <c r="L15" s="191">
        <v>263644</v>
      </c>
      <c r="M15" s="17">
        <f t="shared" ref="M15" si="41">(L15-L14)*10</f>
        <v>9470</v>
      </c>
      <c r="N15" s="191">
        <v>880451</v>
      </c>
      <c r="O15" s="17">
        <f t="shared" si="0"/>
        <v>5020</v>
      </c>
      <c r="P15" s="17">
        <f t="shared" si="7"/>
        <v>2510</v>
      </c>
      <c r="Q15" s="191">
        <v>176849</v>
      </c>
      <c r="R15" s="17">
        <f t="shared" si="1"/>
        <v>10300</v>
      </c>
      <c r="S15" s="17">
        <f t="shared" si="8"/>
        <v>5150</v>
      </c>
      <c r="T15" s="191">
        <v>93509</v>
      </c>
      <c r="U15" s="17">
        <f t="shared" ref="U15" si="42">(T15-T14)*10</f>
        <v>5950</v>
      </c>
      <c r="V15" s="17">
        <f t="shared" si="10"/>
        <v>2975</v>
      </c>
      <c r="W15" s="191">
        <v>169526</v>
      </c>
      <c r="X15" s="17">
        <f t="shared" si="11"/>
        <v>380</v>
      </c>
      <c r="Y15" s="99">
        <f t="shared" si="12"/>
        <v>190</v>
      </c>
      <c r="Z15" s="191">
        <v>32374</v>
      </c>
      <c r="AA15" s="17">
        <f t="shared" si="13"/>
        <v>940</v>
      </c>
      <c r="AB15" s="191">
        <v>65953</v>
      </c>
      <c r="AC15" s="17">
        <f t="shared" si="14"/>
        <v>2020</v>
      </c>
      <c r="AD15" s="191">
        <v>118154</v>
      </c>
      <c r="AE15" s="17">
        <f t="shared" si="15"/>
        <v>3500</v>
      </c>
      <c r="AF15" s="191">
        <v>63504</v>
      </c>
      <c r="AG15" s="17">
        <f t="shared" si="16"/>
        <v>1740</v>
      </c>
      <c r="AH15" s="191">
        <v>319888</v>
      </c>
      <c r="AI15" s="17">
        <f t="shared" si="17"/>
        <v>10090</v>
      </c>
      <c r="AK15" s="99">
        <f t="shared" si="18"/>
        <v>43975</v>
      </c>
      <c r="AL15" s="100">
        <f t="shared" si="19"/>
        <v>36135</v>
      </c>
    </row>
    <row r="16" spans="1:38" ht="39.950000000000003" customHeight="1">
      <c r="A16" s="147">
        <v>44356</v>
      </c>
      <c r="B16" s="16"/>
      <c r="C16" s="49">
        <v>121094</v>
      </c>
      <c r="D16" s="17">
        <f t="shared" si="2"/>
        <v>4020</v>
      </c>
      <c r="E16" s="49">
        <v>190855</v>
      </c>
      <c r="F16" s="17">
        <f t="shared" si="2"/>
        <v>6800</v>
      </c>
      <c r="G16" s="49">
        <v>1008075</v>
      </c>
      <c r="H16" s="17">
        <f t="shared" ref="H16" si="43">(G16-G15)*10</f>
        <v>14660</v>
      </c>
      <c r="I16" s="17">
        <f t="shared" si="4"/>
        <v>7330</v>
      </c>
      <c r="J16" s="49">
        <v>169955</v>
      </c>
      <c r="K16" s="17">
        <f t="shared" ref="K16" si="44">(J16-J15)*10</f>
        <v>6210</v>
      </c>
      <c r="L16" s="49">
        <v>264579</v>
      </c>
      <c r="M16" s="17">
        <f t="shared" ref="M16" si="45">(L16-L15)*10</f>
        <v>9350</v>
      </c>
      <c r="N16" s="49">
        <v>880962</v>
      </c>
      <c r="O16" s="17">
        <f t="shared" si="0"/>
        <v>5110</v>
      </c>
      <c r="P16" s="17">
        <f t="shared" si="7"/>
        <v>2555</v>
      </c>
      <c r="Q16" s="49">
        <v>177851</v>
      </c>
      <c r="R16" s="17">
        <f t="shared" si="1"/>
        <v>10020</v>
      </c>
      <c r="S16" s="17">
        <f t="shared" si="8"/>
        <v>5010</v>
      </c>
      <c r="T16" s="49">
        <v>94165</v>
      </c>
      <c r="U16" s="17">
        <f t="shared" ref="U16" si="46">(T16-T15)*10</f>
        <v>6560</v>
      </c>
      <c r="V16" s="17">
        <f t="shared" si="10"/>
        <v>3280</v>
      </c>
      <c r="W16" s="49">
        <v>169569</v>
      </c>
      <c r="X16" s="17">
        <f t="shared" si="11"/>
        <v>430</v>
      </c>
      <c r="Y16" s="99">
        <f t="shared" si="12"/>
        <v>215</v>
      </c>
      <c r="Z16" s="49">
        <v>32469</v>
      </c>
      <c r="AA16" s="17">
        <f t="shared" si="13"/>
        <v>950</v>
      </c>
      <c r="AB16" s="49">
        <v>66153</v>
      </c>
      <c r="AC16" s="17">
        <f t="shared" si="14"/>
        <v>2000</v>
      </c>
      <c r="AD16" s="49">
        <v>118508</v>
      </c>
      <c r="AE16" s="17">
        <f t="shared" si="15"/>
        <v>3540</v>
      </c>
      <c r="AF16" s="49">
        <v>63684</v>
      </c>
      <c r="AG16" s="17">
        <f t="shared" si="16"/>
        <v>1800</v>
      </c>
      <c r="AH16" s="49">
        <v>320896</v>
      </c>
      <c r="AI16" s="17">
        <f t="shared" si="17"/>
        <v>10080</v>
      </c>
      <c r="AK16" s="99">
        <f t="shared" si="18"/>
        <v>44770</v>
      </c>
      <c r="AL16" s="100">
        <f t="shared" si="19"/>
        <v>36760</v>
      </c>
    </row>
    <row r="17" spans="1:38" ht="39.950000000000003" customHeight="1">
      <c r="A17" s="147">
        <v>44357</v>
      </c>
      <c r="B17" s="16"/>
      <c r="C17" s="49">
        <v>121508</v>
      </c>
      <c r="D17" s="17">
        <f t="shared" si="2"/>
        <v>4140</v>
      </c>
      <c r="E17" s="49">
        <v>191543</v>
      </c>
      <c r="F17" s="17">
        <f t="shared" si="2"/>
        <v>6880</v>
      </c>
      <c r="G17" s="49">
        <v>1009582</v>
      </c>
      <c r="H17" s="17">
        <f t="shared" ref="H17" si="47">(G17-G16)*10</f>
        <v>15070</v>
      </c>
      <c r="I17" s="17">
        <f t="shared" si="4"/>
        <v>7535</v>
      </c>
      <c r="J17" s="49">
        <v>170607</v>
      </c>
      <c r="K17" s="17">
        <f t="shared" ref="K17" si="48">(J17-J16)*10</f>
        <v>6520</v>
      </c>
      <c r="L17" s="49">
        <v>265527</v>
      </c>
      <c r="M17" s="17">
        <f t="shared" ref="M17" si="49">(L17-L16)*10</f>
        <v>9480</v>
      </c>
      <c r="N17" s="49">
        <v>881485</v>
      </c>
      <c r="O17" s="17">
        <f t="shared" si="0"/>
        <v>5230</v>
      </c>
      <c r="P17" s="17">
        <f t="shared" si="7"/>
        <v>2615</v>
      </c>
      <c r="Q17" s="49">
        <v>178918</v>
      </c>
      <c r="R17" s="17">
        <f t="shared" si="1"/>
        <v>10670</v>
      </c>
      <c r="S17" s="17">
        <f t="shared" si="8"/>
        <v>5335</v>
      </c>
      <c r="T17" s="49">
        <v>94830</v>
      </c>
      <c r="U17" s="17">
        <f t="shared" ref="U17" si="50">(T17-T16)*10</f>
        <v>6650</v>
      </c>
      <c r="V17" s="17">
        <f t="shared" si="10"/>
        <v>3325</v>
      </c>
      <c r="W17" s="49">
        <v>169609</v>
      </c>
      <c r="X17" s="17">
        <f t="shared" si="11"/>
        <v>400</v>
      </c>
      <c r="Y17" s="99">
        <f t="shared" si="12"/>
        <v>200</v>
      </c>
      <c r="Z17" s="49">
        <v>32572</v>
      </c>
      <c r="AA17" s="17">
        <f t="shared" si="13"/>
        <v>1030</v>
      </c>
      <c r="AB17" s="49">
        <v>66362</v>
      </c>
      <c r="AC17" s="17">
        <f t="shared" si="14"/>
        <v>2090</v>
      </c>
      <c r="AD17" s="49">
        <v>118858</v>
      </c>
      <c r="AE17" s="17">
        <f t="shared" si="15"/>
        <v>3500</v>
      </c>
      <c r="AF17" s="49">
        <v>63863</v>
      </c>
      <c r="AG17" s="17">
        <f t="shared" si="16"/>
        <v>1790</v>
      </c>
      <c r="AH17" s="49">
        <v>321903</v>
      </c>
      <c r="AI17" s="17">
        <f t="shared" si="17"/>
        <v>10070</v>
      </c>
      <c r="AK17" s="99">
        <f t="shared" si="18"/>
        <v>46030</v>
      </c>
      <c r="AL17" s="100">
        <f t="shared" si="19"/>
        <v>37490</v>
      </c>
    </row>
    <row r="18" spans="1:38" ht="39.950000000000003" customHeight="1">
      <c r="A18" s="147">
        <v>44358</v>
      </c>
      <c r="B18" s="16"/>
      <c r="C18" s="49">
        <v>121929</v>
      </c>
      <c r="D18" s="17">
        <f t="shared" si="2"/>
        <v>4210</v>
      </c>
      <c r="E18" s="49">
        <v>192243</v>
      </c>
      <c r="F18" s="17">
        <f t="shared" si="2"/>
        <v>7000</v>
      </c>
      <c r="G18" s="49">
        <v>1011070</v>
      </c>
      <c r="H18" s="17">
        <f t="shared" ref="H18" si="51">(G18-G17)*10</f>
        <v>14880</v>
      </c>
      <c r="I18" s="17">
        <f t="shared" si="4"/>
        <v>7440</v>
      </c>
      <c r="J18" s="49">
        <v>171256</v>
      </c>
      <c r="K18" s="17">
        <f t="shared" ref="K18" si="52">(J18-J17)*10</f>
        <v>6490</v>
      </c>
      <c r="L18" s="49">
        <v>266475</v>
      </c>
      <c r="M18" s="17">
        <f t="shared" ref="M18" si="53">(L18-L17)*10</f>
        <v>9480</v>
      </c>
      <c r="N18" s="49">
        <v>882005</v>
      </c>
      <c r="O18" s="17">
        <f t="shared" si="0"/>
        <v>5200</v>
      </c>
      <c r="P18" s="17">
        <f t="shared" si="7"/>
        <v>2600</v>
      </c>
      <c r="Q18" s="49">
        <v>179984</v>
      </c>
      <c r="R18" s="17">
        <f t="shared" si="1"/>
        <v>10660</v>
      </c>
      <c r="S18" s="17">
        <f t="shared" si="8"/>
        <v>5330</v>
      </c>
      <c r="T18" s="49">
        <v>94832</v>
      </c>
      <c r="U18" s="17">
        <f t="shared" ref="U18" si="54">(T18-T17)*10</f>
        <v>20</v>
      </c>
      <c r="V18" s="17">
        <f t="shared" si="10"/>
        <v>10</v>
      </c>
      <c r="W18" s="49">
        <v>170448</v>
      </c>
      <c r="X18" s="17">
        <f t="shared" si="11"/>
        <v>8390</v>
      </c>
      <c r="Y18" s="99">
        <f t="shared" si="12"/>
        <v>4195</v>
      </c>
      <c r="Z18" s="49">
        <v>32675</v>
      </c>
      <c r="AA18" s="17">
        <f t="shared" si="13"/>
        <v>1030</v>
      </c>
      <c r="AB18" s="49">
        <v>66565</v>
      </c>
      <c r="AC18" s="17">
        <f t="shared" si="14"/>
        <v>2030</v>
      </c>
      <c r="AD18" s="49">
        <v>119205</v>
      </c>
      <c r="AE18" s="17">
        <f t="shared" si="15"/>
        <v>3470</v>
      </c>
      <c r="AF18" s="49">
        <v>64038</v>
      </c>
      <c r="AG18" s="17">
        <f t="shared" si="16"/>
        <v>1750</v>
      </c>
      <c r="AH18" s="49">
        <v>322894</v>
      </c>
      <c r="AI18" s="17">
        <f t="shared" si="17"/>
        <v>9910</v>
      </c>
      <c r="AK18" s="99">
        <f t="shared" si="18"/>
        <v>46755</v>
      </c>
      <c r="AL18" s="100">
        <f t="shared" si="19"/>
        <v>37765</v>
      </c>
    </row>
    <row r="19" spans="1:38" ht="39.950000000000003" customHeight="1">
      <c r="A19" s="147">
        <v>44359</v>
      </c>
      <c r="B19" s="16"/>
      <c r="C19" s="49">
        <v>122351</v>
      </c>
      <c r="D19" s="17">
        <f t="shared" si="2"/>
        <v>4220</v>
      </c>
      <c r="E19" s="49">
        <v>192989</v>
      </c>
      <c r="F19" s="17">
        <f t="shared" si="2"/>
        <v>7460</v>
      </c>
      <c r="G19" s="49">
        <v>1012594</v>
      </c>
      <c r="H19" s="17">
        <f t="shared" ref="H19" si="55">(G19-G18)*10</f>
        <v>15240</v>
      </c>
      <c r="I19" s="17">
        <f t="shared" si="4"/>
        <v>7620</v>
      </c>
      <c r="J19" s="49">
        <v>171912</v>
      </c>
      <c r="K19" s="17">
        <f t="shared" ref="K19" si="56">(J19-J18)*10</f>
        <v>6560</v>
      </c>
      <c r="L19" s="49">
        <v>267480</v>
      </c>
      <c r="M19" s="17">
        <f t="shared" ref="M19" si="57">(L19-L18)*10</f>
        <v>10050</v>
      </c>
      <c r="N19" s="49">
        <v>882534</v>
      </c>
      <c r="O19" s="17">
        <f t="shared" si="0"/>
        <v>5290</v>
      </c>
      <c r="P19" s="17">
        <f t="shared" si="7"/>
        <v>2645</v>
      </c>
      <c r="Q19" s="49">
        <v>180945</v>
      </c>
      <c r="R19" s="17">
        <f t="shared" si="1"/>
        <v>9610</v>
      </c>
      <c r="S19" s="17">
        <f t="shared" si="8"/>
        <v>4805</v>
      </c>
      <c r="T19" s="49">
        <v>95028</v>
      </c>
      <c r="U19" s="17">
        <f t="shared" ref="U19" si="58">(T19-T18)*10</f>
        <v>1960</v>
      </c>
      <c r="V19" s="17">
        <f t="shared" si="10"/>
        <v>980</v>
      </c>
      <c r="W19" s="49">
        <v>171285</v>
      </c>
      <c r="X19" s="17">
        <f t="shared" si="11"/>
        <v>8370</v>
      </c>
      <c r="Y19" s="99">
        <f t="shared" si="12"/>
        <v>4185</v>
      </c>
      <c r="Z19" s="49">
        <v>32784</v>
      </c>
      <c r="AA19" s="17">
        <f t="shared" si="13"/>
        <v>1090</v>
      </c>
      <c r="AB19" s="49">
        <v>66763</v>
      </c>
      <c r="AC19" s="17">
        <f t="shared" si="14"/>
        <v>1980</v>
      </c>
      <c r="AD19" s="49">
        <v>119558</v>
      </c>
      <c r="AE19" s="17">
        <f t="shared" si="15"/>
        <v>3530</v>
      </c>
      <c r="AF19" s="49">
        <v>64223</v>
      </c>
      <c r="AG19" s="17">
        <f t="shared" si="16"/>
        <v>1850</v>
      </c>
      <c r="AH19" s="49">
        <v>323891</v>
      </c>
      <c r="AI19" s="17">
        <f t="shared" si="17"/>
        <v>9970</v>
      </c>
      <c r="AK19" s="99">
        <f t="shared" si="18"/>
        <v>48525</v>
      </c>
      <c r="AL19" s="100">
        <f t="shared" si="19"/>
        <v>38655</v>
      </c>
    </row>
    <row r="20" spans="1:38" ht="39.950000000000003" customHeight="1">
      <c r="A20" s="147">
        <v>44360</v>
      </c>
      <c r="B20" s="16"/>
      <c r="C20" s="49">
        <v>122765</v>
      </c>
      <c r="D20" s="17">
        <f t="shared" si="2"/>
        <v>4140</v>
      </c>
      <c r="E20" s="49">
        <v>193690</v>
      </c>
      <c r="F20" s="17">
        <f t="shared" si="2"/>
        <v>7010</v>
      </c>
      <c r="G20" s="49">
        <v>1014064</v>
      </c>
      <c r="H20" s="17">
        <f t="shared" ref="H20" si="59">(G20-G19)*10</f>
        <v>14700</v>
      </c>
      <c r="I20" s="17">
        <f t="shared" si="4"/>
        <v>7350</v>
      </c>
      <c r="J20" s="49">
        <v>172571</v>
      </c>
      <c r="K20" s="17">
        <f t="shared" ref="K20" si="60">(J20-J19)*10</f>
        <v>6590</v>
      </c>
      <c r="L20" s="49">
        <v>268494</v>
      </c>
      <c r="M20" s="17">
        <f t="shared" ref="M20" si="61">(L20-L19)*10</f>
        <v>10140</v>
      </c>
      <c r="N20" s="49">
        <v>883088</v>
      </c>
      <c r="O20" s="17">
        <f t="shared" si="0"/>
        <v>5540</v>
      </c>
      <c r="P20" s="17">
        <f t="shared" si="7"/>
        <v>2770</v>
      </c>
      <c r="Q20" s="49">
        <v>181954</v>
      </c>
      <c r="R20" s="17">
        <f t="shared" si="1"/>
        <v>10090</v>
      </c>
      <c r="S20" s="17">
        <f t="shared" si="8"/>
        <v>5045</v>
      </c>
      <c r="T20" s="49">
        <v>95444</v>
      </c>
      <c r="U20" s="17">
        <f t="shared" ref="U20" si="62">(T20-T19)*10</f>
        <v>4160</v>
      </c>
      <c r="V20" s="17">
        <f t="shared" si="10"/>
        <v>2080</v>
      </c>
      <c r="W20" s="49">
        <v>171956</v>
      </c>
      <c r="X20" s="17">
        <f t="shared" si="11"/>
        <v>6710</v>
      </c>
      <c r="Y20" s="99">
        <f t="shared" si="12"/>
        <v>3355</v>
      </c>
      <c r="Z20" s="49">
        <v>32899</v>
      </c>
      <c r="AA20" s="17">
        <f t="shared" si="13"/>
        <v>1150</v>
      </c>
      <c r="AB20" s="49">
        <v>66954</v>
      </c>
      <c r="AC20" s="17">
        <f t="shared" si="14"/>
        <v>1910</v>
      </c>
      <c r="AD20" s="49">
        <v>119898</v>
      </c>
      <c r="AE20" s="17">
        <f t="shared" si="15"/>
        <v>3400</v>
      </c>
      <c r="AF20" s="49">
        <v>64406</v>
      </c>
      <c r="AG20" s="17">
        <f t="shared" si="16"/>
        <v>1830</v>
      </c>
      <c r="AH20" s="49">
        <v>324871</v>
      </c>
      <c r="AI20" s="17">
        <f t="shared" si="17"/>
        <v>9800</v>
      </c>
      <c r="AK20" s="99">
        <f t="shared" si="18"/>
        <v>48480</v>
      </c>
      <c r="AL20" s="100">
        <f t="shared" si="19"/>
        <v>38690</v>
      </c>
    </row>
    <row r="21" spans="1:38" ht="39.950000000000003" customHeight="1">
      <c r="A21" s="147">
        <v>44361</v>
      </c>
      <c r="B21" s="16"/>
      <c r="C21" s="49">
        <v>123171</v>
      </c>
      <c r="D21" s="17">
        <f t="shared" si="2"/>
        <v>4060</v>
      </c>
      <c r="E21" s="49">
        <v>194372</v>
      </c>
      <c r="F21" s="17">
        <f t="shared" si="2"/>
        <v>6820</v>
      </c>
      <c r="G21" s="49">
        <v>1015578</v>
      </c>
      <c r="H21" s="17">
        <f t="shared" ref="H21" si="63">(G21-G20)*10</f>
        <v>15140</v>
      </c>
      <c r="I21" s="17">
        <f t="shared" si="4"/>
        <v>7570</v>
      </c>
      <c r="J21" s="49">
        <v>173196</v>
      </c>
      <c r="K21" s="17">
        <f t="shared" ref="K21" si="64">(J21-J20)*10</f>
        <v>6250</v>
      </c>
      <c r="L21" s="49">
        <v>269447</v>
      </c>
      <c r="M21" s="17">
        <f t="shared" ref="M21" si="65">(L21-L20)*10</f>
        <v>9530</v>
      </c>
      <c r="N21" s="49">
        <v>883657</v>
      </c>
      <c r="O21" s="17">
        <f t="shared" si="0"/>
        <v>5690</v>
      </c>
      <c r="P21" s="17">
        <f t="shared" si="7"/>
        <v>2845</v>
      </c>
      <c r="Q21" s="49">
        <v>182993</v>
      </c>
      <c r="R21" s="17">
        <f t="shared" si="1"/>
        <v>10390</v>
      </c>
      <c r="S21" s="17">
        <f t="shared" si="8"/>
        <v>5195</v>
      </c>
      <c r="T21" s="49">
        <v>95524</v>
      </c>
      <c r="U21" s="17">
        <f t="shared" ref="U21" si="66">(T21-T20)*10</f>
        <v>800</v>
      </c>
      <c r="V21" s="17">
        <f t="shared" si="10"/>
        <v>400</v>
      </c>
      <c r="W21" s="49">
        <v>172838</v>
      </c>
      <c r="X21" s="17">
        <f t="shared" si="11"/>
        <v>8820</v>
      </c>
      <c r="Y21" s="99">
        <f t="shared" si="12"/>
        <v>4410</v>
      </c>
      <c r="Z21" s="49">
        <v>32995</v>
      </c>
      <c r="AA21" s="17">
        <f t="shared" si="13"/>
        <v>960</v>
      </c>
      <c r="AB21" s="49">
        <v>67149</v>
      </c>
      <c r="AC21" s="17">
        <f t="shared" si="14"/>
        <v>1950</v>
      </c>
      <c r="AD21" s="49">
        <v>120239</v>
      </c>
      <c r="AE21" s="17">
        <f t="shared" si="15"/>
        <v>3410</v>
      </c>
      <c r="AF21" s="49">
        <v>64585</v>
      </c>
      <c r="AG21" s="17">
        <f t="shared" si="16"/>
        <v>1790</v>
      </c>
      <c r="AH21" s="49">
        <v>325863</v>
      </c>
      <c r="AI21" s="17">
        <f t="shared" si="17"/>
        <v>9920</v>
      </c>
      <c r="AK21" s="99">
        <f t="shared" si="18"/>
        <v>47080</v>
      </c>
      <c r="AL21" s="100">
        <f t="shared" si="19"/>
        <v>38450</v>
      </c>
    </row>
    <row r="22" spans="1:38" ht="39.950000000000003" customHeight="1">
      <c r="A22" s="147">
        <v>44362</v>
      </c>
      <c r="B22" s="16"/>
      <c r="C22" s="49">
        <v>123575</v>
      </c>
      <c r="D22" s="17">
        <f t="shared" si="2"/>
        <v>4040</v>
      </c>
      <c r="E22" s="49">
        <v>195053</v>
      </c>
      <c r="F22" s="17">
        <f t="shared" si="2"/>
        <v>6810</v>
      </c>
      <c r="G22" s="49">
        <v>1016377</v>
      </c>
      <c r="H22" s="17">
        <f t="shared" ref="H22" si="67">(G22-G21)*10</f>
        <v>7990</v>
      </c>
      <c r="I22" s="17">
        <f t="shared" si="4"/>
        <v>3995</v>
      </c>
      <c r="J22" s="49">
        <v>173809</v>
      </c>
      <c r="K22" s="17">
        <f t="shared" ref="K22" si="68">(J22-J21)*10</f>
        <v>6130</v>
      </c>
      <c r="L22" s="49">
        <v>270392</v>
      </c>
      <c r="M22" s="17">
        <f t="shared" ref="M22" si="69">(L22-L21)*10</f>
        <v>9450</v>
      </c>
      <c r="N22" s="49">
        <v>884207</v>
      </c>
      <c r="O22" s="17">
        <f t="shared" si="0"/>
        <v>5500</v>
      </c>
      <c r="P22" s="17">
        <f t="shared" si="7"/>
        <v>2750</v>
      </c>
      <c r="Q22" s="49">
        <v>184108</v>
      </c>
      <c r="R22" s="17">
        <f t="shared" si="1"/>
        <v>11150</v>
      </c>
      <c r="S22" s="17">
        <f t="shared" si="8"/>
        <v>5575</v>
      </c>
      <c r="T22" s="49">
        <v>96222</v>
      </c>
      <c r="U22" s="17">
        <f t="shared" ref="U22" si="70">(T22-T21)*10</f>
        <v>6980</v>
      </c>
      <c r="V22" s="17">
        <f t="shared" si="10"/>
        <v>3490</v>
      </c>
      <c r="W22" s="49">
        <v>173759</v>
      </c>
      <c r="X22" s="17">
        <f t="shared" si="11"/>
        <v>9210</v>
      </c>
      <c r="Y22" s="99">
        <f t="shared" si="12"/>
        <v>4605</v>
      </c>
      <c r="Z22" s="49">
        <v>33094</v>
      </c>
      <c r="AA22" s="17">
        <f t="shared" si="13"/>
        <v>990</v>
      </c>
      <c r="AB22" s="49">
        <v>67353</v>
      </c>
      <c r="AC22" s="17">
        <f t="shared" si="14"/>
        <v>2040</v>
      </c>
      <c r="AD22" s="49">
        <v>120584</v>
      </c>
      <c r="AE22" s="17">
        <f t="shared" si="15"/>
        <v>3450</v>
      </c>
      <c r="AF22" s="49">
        <v>64758</v>
      </c>
      <c r="AG22" s="17">
        <f t="shared" si="16"/>
        <v>1730</v>
      </c>
      <c r="AH22" s="49">
        <v>326850</v>
      </c>
      <c r="AI22" s="17">
        <f t="shared" si="17"/>
        <v>9870</v>
      </c>
      <c r="AK22" s="99">
        <f t="shared" si="18"/>
        <v>46845</v>
      </c>
      <c r="AL22" s="100">
        <f t="shared" si="19"/>
        <v>38495</v>
      </c>
    </row>
    <row r="23" spans="1:38" ht="39.950000000000003" customHeight="1">
      <c r="A23" s="147">
        <v>44363</v>
      </c>
      <c r="B23" s="16"/>
      <c r="C23" s="49">
        <v>123991</v>
      </c>
      <c r="D23" s="17">
        <f t="shared" si="2"/>
        <v>4160</v>
      </c>
      <c r="E23" s="49">
        <v>195740</v>
      </c>
      <c r="F23" s="17">
        <f t="shared" si="2"/>
        <v>6870</v>
      </c>
      <c r="G23" s="49">
        <v>1016740</v>
      </c>
      <c r="H23" s="17">
        <f t="shared" ref="H23" si="71">(G23-G22)*10</f>
        <v>3630</v>
      </c>
      <c r="I23" s="17">
        <f t="shared" si="4"/>
        <v>1815</v>
      </c>
      <c r="J23" s="49">
        <v>174444</v>
      </c>
      <c r="K23" s="17">
        <f t="shared" ref="K23" si="72">(J23-J22)*10</f>
        <v>6350</v>
      </c>
      <c r="L23" s="49">
        <v>271391</v>
      </c>
      <c r="M23" s="17">
        <f t="shared" ref="M23" si="73">(L23-L22)*10</f>
        <v>9990</v>
      </c>
      <c r="N23" s="49">
        <v>885109</v>
      </c>
      <c r="O23" s="17">
        <f t="shared" si="0"/>
        <v>9020</v>
      </c>
      <c r="P23" s="17">
        <f t="shared" si="7"/>
        <v>4510</v>
      </c>
      <c r="Q23" s="49">
        <v>185194</v>
      </c>
      <c r="R23" s="17">
        <f t="shared" si="1"/>
        <v>10860</v>
      </c>
      <c r="S23" s="17">
        <f t="shared" si="8"/>
        <v>5430</v>
      </c>
      <c r="T23" s="49">
        <v>97283</v>
      </c>
      <c r="U23" s="17">
        <f t="shared" ref="U23" si="74">(T23-T22)*10</f>
        <v>10610</v>
      </c>
      <c r="V23" s="17">
        <f t="shared" si="10"/>
        <v>5305</v>
      </c>
      <c r="W23" s="49">
        <v>174680</v>
      </c>
      <c r="X23" s="17">
        <f t="shared" si="11"/>
        <v>9210</v>
      </c>
      <c r="Y23" s="99">
        <f t="shared" si="12"/>
        <v>4605</v>
      </c>
      <c r="Z23" s="49">
        <v>33196</v>
      </c>
      <c r="AA23" s="17">
        <f t="shared" si="13"/>
        <v>1020</v>
      </c>
      <c r="AB23" s="49">
        <v>67563</v>
      </c>
      <c r="AC23" s="17">
        <f t="shared" si="14"/>
        <v>2100</v>
      </c>
      <c r="AD23" s="49">
        <v>120937</v>
      </c>
      <c r="AE23" s="17">
        <f t="shared" si="15"/>
        <v>3530</v>
      </c>
      <c r="AF23" s="49">
        <v>64935</v>
      </c>
      <c r="AG23" s="17">
        <f t="shared" si="16"/>
        <v>1770</v>
      </c>
      <c r="AH23" s="49">
        <v>327876</v>
      </c>
      <c r="AI23" s="17">
        <f t="shared" si="17"/>
        <v>10260</v>
      </c>
      <c r="AK23" s="99">
        <f t="shared" si="18"/>
        <v>49035</v>
      </c>
      <c r="AL23" s="100">
        <f t="shared" si="19"/>
        <v>40345</v>
      </c>
    </row>
    <row r="24" spans="1:38" ht="39.950000000000003" customHeight="1">
      <c r="A24" s="147">
        <v>44364</v>
      </c>
      <c r="B24" s="16"/>
      <c r="C24" s="49">
        <v>124394</v>
      </c>
      <c r="D24" s="17">
        <f t="shared" si="2"/>
        <v>4030</v>
      </c>
      <c r="E24" s="49">
        <v>196389</v>
      </c>
      <c r="F24" s="17">
        <f t="shared" si="2"/>
        <v>6490</v>
      </c>
      <c r="G24" s="49">
        <v>1017082</v>
      </c>
      <c r="H24" s="17">
        <f t="shared" ref="H24" si="75">(G24-G23)*10</f>
        <v>3420</v>
      </c>
      <c r="I24" s="17">
        <f t="shared" si="4"/>
        <v>1710</v>
      </c>
      <c r="J24" s="49">
        <v>175069</v>
      </c>
      <c r="K24" s="17">
        <f t="shared" ref="K24:K37" si="76">(J24-J23)*10</f>
        <v>6250</v>
      </c>
      <c r="L24" s="49">
        <v>272353</v>
      </c>
      <c r="M24" s="17">
        <f t="shared" ref="M24:M37" si="77">(L24-L23)*10</f>
        <v>9620</v>
      </c>
      <c r="N24" s="49">
        <v>886062</v>
      </c>
      <c r="O24" s="17">
        <f t="shared" si="0"/>
        <v>9530</v>
      </c>
      <c r="P24" s="17">
        <f t="shared" si="7"/>
        <v>4765</v>
      </c>
      <c r="Q24" s="49">
        <v>186246</v>
      </c>
      <c r="R24" s="17">
        <f t="shared" si="1"/>
        <v>10520</v>
      </c>
      <c r="S24" s="17">
        <f t="shared" si="8"/>
        <v>5260</v>
      </c>
      <c r="T24" s="49">
        <v>98309</v>
      </c>
      <c r="U24" s="17">
        <f t="shared" ref="U24" si="78">(T24-T23)*10</f>
        <v>10260</v>
      </c>
      <c r="V24" s="17">
        <f t="shared" si="10"/>
        <v>5130</v>
      </c>
      <c r="W24" s="49">
        <v>175592</v>
      </c>
      <c r="X24" s="17">
        <f t="shared" si="11"/>
        <v>9120</v>
      </c>
      <c r="Y24" s="99">
        <f t="shared" si="12"/>
        <v>4560</v>
      </c>
      <c r="Z24" s="49">
        <v>33301</v>
      </c>
      <c r="AA24" s="17">
        <f t="shared" si="13"/>
        <v>1050</v>
      </c>
      <c r="AB24" s="49">
        <v>67767</v>
      </c>
      <c r="AC24" s="17">
        <f t="shared" si="14"/>
        <v>2040</v>
      </c>
      <c r="AD24" s="49">
        <v>121287</v>
      </c>
      <c r="AE24" s="17">
        <f t="shared" si="15"/>
        <v>3500</v>
      </c>
      <c r="AF24" s="49">
        <v>65109</v>
      </c>
      <c r="AG24" s="17">
        <f t="shared" si="16"/>
        <v>1740</v>
      </c>
      <c r="AH24" s="49">
        <v>328881</v>
      </c>
      <c r="AI24" s="17">
        <f t="shared" si="17"/>
        <v>10050</v>
      </c>
      <c r="AK24" s="99">
        <f t="shared" si="18"/>
        <v>47815</v>
      </c>
      <c r="AL24" s="100">
        <f t="shared" si="19"/>
        <v>39805</v>
      </c>
    </row>
    <row r="25" spans="1:38" ht="39.950000000000003" customHeight="1">
      <c r="A25" s="147">
        <v>44365</v>
      </c>
      <c r="B25" s="16"/>
      <c r="C25" s="49">
        <v>124818</v>
      </c>
      <c r="D25" s="17">
        <f t="shared" si="2"/>
        <v>4240</v>
      </c>
      <c r="E25" s="49">
        <v>197108</v>
      </c>
      <c r="F25" s="17">
        <f t="shared" si="2"/>
        <v>7190</v>
      </c>
      <c r="G25" s="49">
        <v>1017444</v>
      </c>
      <c r="H25" s="17">
        <f t="shared" ref="H25:H35" si="79">(G25-G24)*10</f>
        <v>3620</v>
      </c>
      <c r="I25" s="17">
        <f t="shared" ref="I25:I35" si="80">H25*50%</f>
        <v>1810</v>
      </c>
      <c r="J25" s="49">
        <v>175712</v>
      </c>
      <c r="K25" s="17">
        <f t="shared" si="76"/>
        <v>6430</v>
      </c>
      <c r="L25" s="49">
        <v>273375</v>
      </c>
      <c r="M25" s="17">
        <f t="shared" si="77"/>
        <v>10220</v>
      </c>
      <c r="N25" s="49">
        <v>887253</v>
      </c>
      <c r="O25" s="17">
        <f t="shared" ref="O25:O35" si="81">(N25-N24)*10</f>
        <v>11910</v>
      </c>
      <c r="P25" s="17">
        <f t="shared" ref="P25:P35" si="82">O25*50%</f>
        <v>5955</v>
      </c>
      <c r="Q25" s="49">
        <v>187315</v>
      </c>
      <c r="R25" s="17">
        <f t="shared" ref="R25:R35" si="83">(Q25-Q24)*10</f>
        <v>10690</v>
      </c>
      <c r="S25" s="17">
        <f t="shared" ref="S25:S35" si="84">R25*50%</f>
        <v>5345</v>
      </c>
      <c r="T25" s="49">
        <v>99267</v>
      </c>
      <c r="U25" s="17">
        <f t="shared" ref="U25:U35" si="85">(T25-T24)*10</f>
        <v>9580</v>
      </c>
      <c r="V25" s="17">
        <f t="shared" ref="V25:V35" si="86">U25*50%</f>
        <v>4790</v>
      </c>
      <c r="W25" s="49">
        <v>176441</v>
      </c>
      <c r="X25" s="17">
        <f t="shared" si="11"/>
        <v>8490</v>
      </c>
      <c r="Y25" s="99">
        <f t="shared" ref="Y25:Y35" si="87">X25*50%</f>
        <v>4245</v>
      </c>
      <c r="Z25" s="49">
        <v>33408</v>
      </c>
      <c r="AA25" s="17">
        <f t="shared" si="13"/>
        <v>1070</v>
      </c>
      <c r="AB25" s="49">
        <v>67970</v>
      </c>
      <c r="AC25" s="17">
        <f t="shared" si="14"/>
        <v>2030</v>
      </c>
      <c r="AD25" s="49">
        <v>121636</v>
      </c>
      <c r="AE25" s="17">
        <f t="shared" si="15"/>
        <v>3490</v>
      </c>
      <c r="AF25" s="49">
        <v>65283</v>
      </c>
      <c r="AG25" s="17">
        <f t="shared" si="16"/>
        <v>1740</v>
      </c>
      <c r="AH25" s="49">
        <v>329898</v>
      </c>
      <c r="AI25" s="17">
        <f t="shared" si="17"/>
        <v>10170</v>
      </c>
      <c r="AK25" s="99">
        <f t="shared" ref="AK25:AK35" si="88">SUM(D25,F25,I25,K25,M25,P25,S25,V25,Y25)</f>
        <v>50225</v>
      </c>
      <c r="AL25" s="100">
        <f t="shared" si="19"/>
        <v>40645</v>
      </c>
    </row>
    <row r="26" spans="1:38" ht="39.950000000000003" customHeight="1">
      <c r="A26" s="147">
        <v>44366</v>
      </c>
      <c r="B26" s="16"/>
      <c r="C26" s="49">
        <v>125254</v>
      </c>
      <c r="D26" s="17">
        <f t="shared" ref="D26:D37" si="89">(C26-C25)*10</f>
        <v>4360</v>
      </c>
      <c r="E26" s="49">
        <v>197829</v>
      </c>
      <c r="F26" s="17">
        <f t="shared" ref="F26:F37" si="90">(E26-E25)*10</f>
        <v>7210</v>
      </c>
      <c r="G26" s="49">
        <v>1017814</v>
      </c>
      <c r="H26" s="17">
        <f t="shared" si="79"/>
        <v>3700</v>
      </c>
      <c r="I26" s="17">
        <f t="shared" si="80"/>
        <v>1850</v>
      </c>
      <c r="J26" s="49">
        <v>176356</v>
      </c>
      <c r="K26" s="17">
        <f t="shared" si="76"/>
        <v>6440</v>
      </c>
      <c r="L26" s="49">
        <v>274365</v>
      </c>
      <c r="M26" s="17">
        <f t="shared" si="77"/>
        <v>9900</v>
      </c>
      <c r="N26" s="49">
        <v>888507</v>
      </c>
      <c r="O26" s="17">
        <f t="shared" si="81"/>
        <v>12540</v>
      </c>
      <c r="P26" s="17">
        <f t="shared" si="82"/>
        <v>6270</v>
      </c>
      <c r="Q26" s="49">
        <v>188412</v>
      </c>
      <c r="R26" s="17">
        <f t="shared" si="83"/>
        <v>10970</v>
      </c>
      <c r="S26" s="17">
        <f t="shared" si="84"/>
        <v>5485</v>
      </c>
      <c r="T26" s="49">
        <v>100221</v>
      </c>
      <c r="U26" s="17">
        <f t="shared" si="85"/>
        <v>9540</v>
      </c>
      <c r="V26" s="17">
        <f t="shared" si="86"/>
        <v>4770</v>
      </c>
      <c r="W26" s="49">
        <v>177369</v>
      </c>
      <c r="X26" s="17">
        <f t="shared" si="11"/>
        <v>9280</v>
      </c>
      <c r="Y26" s="99">
        <f t="shared" si="87"/>
        <v>4640</v>
      </c>
      <c r="Z26" s="49">
        <v>33518</v>
      </c>
      <c r="AA26" s="17">
        <f t="shared" si="13"/>
        <v>1100</v>
      </c>
      <c r="AB26" s="49">
        <v>68165</v>
      </c>
      <c r="AC26" s="17">
        <f t="shared" si="14"/>
        <v>1950</v>
      </c>
      <c r="AD26" s="49">
        <v>121974</v>
      </c>
      <c r="AE26" s="17">
        <f t="shared" si="15"/>
        <v>3380</v>
      </c>
      <c r="AF26" s="49">
        <v>65457</v>
      </c>
      <c r="AG26" s="17">
        <f t="shared" si="16"/>
        <v>1740</v>
      </c>
      <c r="AH26" s="49">
        <v>330919</v>
      </c>
      <c r="AI26" s="17">
        <f t="shared" si="17"/>
        <v>10210</v>
      </c>
      <c r="AK26" s="99">
        <f t="shared" si="88"/>
        <v>50925</v>
      </c>
      <c r="AL26" s="100">
        <f t="shared" si="19"/>
        <v>41395</v>
      </c>
    </row>
    <row r="27" spans="1:38" ht="39.950000000000003" customHeight="1">
      <c r="A27" s="147">
        <v>44367</v>
      </c>
      <c r="B27" s="16"/>
      <c r="C27" s="49">
        <v>125689</v>
      </c>
      <c r="D27" s="17">
        <f t="shared" si="89"/>
        <v>4350</v>
      </c>
      <c r="E27" s="49">
        <v>198557</v>
      </c>
      <c r="F27" s="17">
        <f t="shared" si="90"/>
        <v>7280</v>
      </c>
      <c r="G27" s="49">
        <v>1018219</v>
      </c>
      <c r="H27" s="17">
        <f t="shared" si="79"/>
        <v>4050</v>
      </c>
      <c r="I27" s="17">
        <f t="shared" si="80"/>
        <v>2025</v>
      </c>
      <c r="J27" s="49">
        <v>176987</v>
      </c>
      <c r="K27" s="17">
        <f t="shared" si="76"/>
        <v>6310</v>
      </c>
      <c r="L27" s="49">
        <v>275334</v>
      </c>
      <c r="M27" s="17">
        <f t="shared" si="77"/>
        <v>9690</v>
      </c>
      <c r="N27" s="49">
        <v>890253</v>
      </c>
      <c r="O27" s="17">
        <f t="shared" si="81"/>
        <v>17460</v>
      </c>
      <c r="P27" s="17">
        <f t="shared" si="82"/>
        <v>8730</v>
      </c>
      <c r="Q27" s="49">
        <v>189234</v>
      </c>
      <c r="R27" s="17">
        <f t="shared" si="83"/>
        <v>8220</v>
      </c>
      <c r="S27" s="17">
        <f t="shared" si="84"/>
        <v>4110</v>
      </c>
      <c r="T27" s="49">
        <v>100838</v>
      </c>
      <c r="U27" s="17">
        <f t="shared" si="85"/>
        <v>6170</v>
      </c>
      <c r="V27" s="17">
        <f t="shared" si="86"/>
        <v>3085</v>
      </c>
      <c r="W27" s="49">
        <v>178520</v>
      </c>
      <c r="X27" s="17">
        <f t="shared" si="11"/>
        <v>11510</v>
      </c>
      <c r="Y27" s="99">
        <f t="shared" si="87"/>
        <v>5755</v>
      </c>
      <c r="Z27" s="49">
        <v>33618</v>
      </c>
      <c r="AA27" s="17">
        <f t="shared" si="13"/>
        <v>1000</v>
      </c>
      <c r="AB27" s="49">
        <v>68352</v>
      </c>
      <c r="AC27" s="17">
        <f t="shared" si="14"/>
        <v>1870</v>
      </c>
      <c r="AD27" s="49">
        <v>122318</v>
      </c>
      <c r="AE27" s="17">
        <f t="shared" si="15"/>
        <v>3440</v>
      </c>
      <c r="AF27" s="49">
        <v>65631</v>
      </c>
      <c r="AG27" s="17">
        <f t="shared" si="16"/>
        <v>1740</v>
      </c>
      <c r="AH27" s="49">
        <v>331924</v>
      </c>
      <c r="AI27" s="17">
        <f t="shared" si="17"/>
        <v>10050</v>
      </c>
      <c r="AK27" s="99">
        <f t="shared" si="88"/>
        <v>51335</v>
      </c>
      <c r="AL27" s="100">
        <f t="shared" si="19"/>
        <v>41805</v>
      </c>
    </row>
    <row r="28" spans="1:38" ht="39.950000000000003" customHeight="1">
      <c r="A28" s="147">
        <v>44368</v>
      </c>
      <c r="B28" s="16"/>
      <c r="C28" s="49">
        <v>126120</v>
      </c>
      <c r="D28" s="17">
        <f t="shared" si="89"/>
        <v>4310</v>
      </c>
      <c r="E28" s="49">
        <v>199230</v>
      </c>
      <c r="F28" s="17">
        <f t="shared" si="90"/>
        <v>6730</v>
      </c>
      <c r="G28" s="49">
        <v>1018597</v>
      </c>
      <c r="H28" s="17">
        <f t="shared" si="79"/>
        <v>3780</v>
      </c>
      <c r="I28" s="17">
        <f t="shared" si="80"/>
        <v>1890</v>
      </c>
      <c r="J28" s="49">
        <v>177632</v>
      </c>
      <c r="K28" s="17">
        <f t="shared" si="76"/>
        <v>6450</v>
      </c>
      <c r="L28" s="49">
        <v>276336</v>
      </c>
      <c r="M28" s="17">
        <f t="shared" si="77"/>
        <v>10020</v>
      </c>
      <c r="N28" s="49">
        <v>891986</v>
      </c>
      <c r="O28" s="17">
        <f t="shared" si="81"/>
        <v>17330</v>
      </c>
      <c r="P28" s="17">
        <f t="shared" si="82"/>
        <v>8665</v>
      </c>
      <c r="Q28" s="49">
        <v>189789</v>
      </c>
      <c r="R28" s="17">
        <f t="shared" si="83"/>
        <v>5550</v>
      </c>
      <c r="S28" s="17">
        <f t="shared" si="84"/>
        <v>2775</v>
      </c>
      <c r="T28" s="49">
        <v>101597</v>
      </c>
      <c r="U28" s="17">
        <f t="shared" si="85"/>
        <v>7590</v>
      </c>
      <c r="V28" s="17">
        <f t="shared" si="86"/>
        <v>3795</v>
      </c>
      <c r="W28" s="49">
        <v>179744</v>
      </c>
      <c r="X28" s="17">
        <f t="shared" si="11"/>
        <v>12240</v>
      </c>
      <c r="Y28" s="99">
        <f t="shared" si="87"/>
        <v>6120</v>
      </c>
      <c r="Z28" s="49">
        <v>33725</v>
      </c>
      <c r="AA28" s="17">
        <f t="shared" si="13"/>
        <v>1070</v>
      </c>
      <c r="AB28" s="49">
        <v>68558</v>
      </c>
      <c r="AC28" s="17">
        <f t="shared" si="14"/>
        <v>2060</v>
      </c>
      <c r="AD28" s="49">
        <v>122683</v>
      </c>
      <c r="AE28" s="17">
        <f t="shared" si="15"/>
        <v>3650</v>
      </c>
      <c r="AF28" s="49">
        <v>65815</v>
      </c>
      <c r="AG28" s="17">
        <f t="shared" si="16"/>
        <v>1840</v>
      </c>
      <c r="AH28" s="49">
        <v>332969</v>
      </c>
      <c r="AI28" s="17">
        <f t="shared" si="17"/>
        <v>10450</v>
      </c>
      <c r="AK28" s="99">
        <f t="shared" si="88"/>
        <v>50755</v>
      </c>
      <c r="AL28" s="100">
        <f t="shared" si="19"/>
        <v>42315</v>
      </c>
    </row>
    <row r="29" spans="1:38" ht="39.950000000000003" customHeight="1">
      <c r="A29" s="147">
        <v>44369</v>
      </c>
      <c r="B29" s="16"/>
      <c r="C29" s="49">
        <v>126520</v>
      </c>
      <c r="D29" s="17">
        <f t="shared" si="89"/>
        <v>4000</v>
      </c>
      <c r="E29" s="49">
        <v>199911</v>
      </c>
      <c r="F29" s="17">
        <f t="shared" si="90"/>
        <v>6810</v>
      </c>
      <c r="G29" s="49">
        <v>1018999</v>
      </c>
      <c r="H29" s="17">
        <f t="shared" si="79"/>
        <v>4020</v>
      </c>
      <c r="I29" s="17">
        <f t="shared" si="80"/>
        <v>2010</v>
      </c>
      <c r="J29" s="49">
        <v>178228</v>
      </c>
      <c r="K29" s="17">
        <f t="shared" si="76"/>
        <v>5960</v>
      </c>
      <c r="L29" s="49">
        <v>277270</v>
      </c>
      <c r="M29" s="17">
        <f t="shared" si="77"/>
        <v>9340</v>
      </c>
      <c r="N29" s="49">
        <v>893524</v>
      </c>
      <c r="O29" s="17">
        <f t="shared" si="81"/>
        <v>15380</v>
      </c>
      <c r="P29" s="17">
        <f t="shared" si="82"/>
        <v>7690</v>
      </c>
      <c r="Q29" s="49">
        <v>190695</v>
      </c>
      <c r="R29" s="17">
        <f t="shared" si="83"/>
        <v>9060</v>
      </c>
      <c r="S29" s="17">
        <f t="shared" si="84"/>
        <v>4530</v>
      </c>
      <c r="T29" s="49">
        <v>101599</v>
      </c>
      <c r="U29" s="17">
        <f t="shared" si="85"/>
        <v>20</v>
      </c>
      <c r="V29" s="17">
        <f t="shared" si="86"/>
        <v>10</v>
      </c>
      <c r="W29" s="49">
        <v>180422</v>
      </c>
      <c r="X29" s="17">
        <f t="shared" si="11"/>
        <v>6780</v>
      </c>
      <c r="Y29" s="17">
        <f t="shared" si="87"/>
        <v>3390</v>
      </c>
      <c r="Z29" s="49">
        <v>33829</v>
      </c>
      <c r="AA29" s="17">
        <f t="shared" si="13"/>
        <v>1040</v>
      </c>
      <c r="AB29" s="49">
        <v>68752</v>
      </c>
      <c r="AC29" s="17">
        <f t="shared" si="14"/>
        <v>1940</v>
      </c>
      <c r="AD29" s="49">
        <v>123040</v>
      </c>
      <c r="AE29" s="17">
        <f t="shared" si="15"/>
        <v>3570</v>
      </c>
      <c r="AF29" s="49">
        <v>65988</v>
      </c>
      <c r="AG29" s="17">
        <f t="shared" si="16"/>
        <v>1730</v>
      </c>
      <c r="AH29" s="49">
        <v>333937</v>
      </c>
      <c r="AI29" s="17">
        <f t="shared" si="17"/>
        <v>9680</v>
      </c>
      <c r="AK29" s="99">
        <f t="shared" si="88"/>
        <v>43740</v>
      </c>
      <c r="AL29" s="100">
        <f t="shared" si="19"/>
        <v>35590</v>
      </c>
    </row>
    <row r="30" spans="1:38" ht="39.950000000000003" customHeight="1">
      <c r="A30" s="147">
        <v>44370</v>
      </c>
      <c r="B30" s="16"/>
      <c r="C30" s="49">
        <v>126900</v>
      </c>
      <c r="D30" s="17">
        <f t="shared" si="89"/>
        <v>3800</v>
      </c>
      <c r="E30" s="49">
        <v>200566</v>
      </c>
      <c r="F30" s="17">
        <f t="shared" si="90"/>
        <v>6550</v>
      </c>
      <c r="G30" s="49">
        <v>1019381</v>
      </c>
      <c r="H30" s="17">
        <f t="shared" si="79"/>
        <v>3820</v>
      </c>
      <c r="I30" s="17">
        <f t="shared" si="80"/>
        <v>1910</v>
      </c>
      <c r="J30" s="49">
        <v>178851</v>
      </c>
      <c r="K30" s="17">
        <f t="shared" si="76"/>
        <v>6230</v>
      </c>
      <c r="L30" s="49">
        <v>278243</v>
      </c>
      <c r="M30" s="17">
        <f t="shared" si="77"/>
        <v>9730</v>
      </c>
      <c r="N30" s="49">
        <v>894897</v>
      </c>
      <c r="O30" s="17">
        <f t="shared" si="81"/>
        <v>13730</v>
      </c>
      <c r="P30" s="17">
        <f t="shared" si="82"/>
        <v>6865</v>
      </c>
      <c r="Q30" s="49">
        <v>191591</v>
      </c>
      <c r="R30" s="17">
        <f t="shared" si="83"/>
        <v>8960</v>
      </c>
      <c r="S30" s="17">
        <f t="shared" si="84"/>
        <v>4480</v>
      </c>
      <c r="T30" s="49">
        <v>102227</v>
      </c>
      <c r="U30" s="17">
        <f t="shared" si="85"/>
        <v>6280</v>
      </c>
      <c r="V30" s="17">
        <f t="shared" si="86"/>
        <v>3140</v>
      </c>
      <c r="W30" s="49">
        <v>180466</v>
      </c>
      <c r="X30" s="17">
        <f t="shared" si="11"/>
        <v>440</v>
      </c>
      <c r="Y30" s="17">
        <f t="shared" si="87"/>
        <v>220</v>
      </c>
      <c r="Z30" s="49">
        <v>33940</v>
      </c>
      <c r="AA30" s="17">
        <f t="shared" si="13"/>
        <v>1110</v>
      </c>
      <c r="AB30" s="49">
        <v>68959</v>
      </c>
      <c r="AC30" s="17">
        <f t="shared" si="14"/>
        <v>2070</v>
      </c>
      <c r="AD30" s="49">
        <v>123398</v>
      </c>
      <c r="AE30" s="17">
        <f t="shared" si="15"/>
        <v>3580</v>
      </c>
      <c r="AF30" s="49">
        <v>66169</v>
      </c>
      <c r="AG30" s="17">
        <f t="shared" si="16"/>
        <v>1810</v>
      </c>
      <c r="AH30" s="49">
        <v>334918</v>
      </c>
      <c r="AI30" s="17">
        <f t="shared" si="17"/>
        <v>9810</v>
      </c>
      <c r="AK30" s="99">
        <f t="shared" si="88"/>
        <v>42925</v>
      </c>
      <c r="AL30" s="100">
        <f t="shared" si="19"/>
        <v>34995</v>
      </c>
    </row>
    <row r="31" spans="1:38" ht="39.950000000000003" customHeight="1">
      <c r="A31" s="147">
        <v>44371</v>
      </c>
      <c r="B31" s="16"/>
      <c r="C31" s="49">
        <v>127312</v>
      </c>
      <c r="D31" s="17">
        <f t="shared" si="89"/>
        <v>4120</v>
      </c>
      <c r="E31" s="49">
        <v>201295</v>
      </c>
      <c r="F31" s="17">
        <f t="shared" si="90"/>
        <v>7290</v>
      </c>
      <c r="G31" s="49">
        <v>1019781</v>
      </c>
      <c r="H31" s="17">
        <f t="shared" si="79"/>
        <v>4000</v>
      </c>
      <c r="I31" s="17">
        <f t="shared" si="80"/>
        <v>2000</v>
      </c>
      <c r="J31" s="49">
        <v>179485</v>
      </c>
      <c r="K31" s="17">
        <f t="shared" si="76"/>
        <v>6340</v>
      </c>
      <c r="L31" s="49">
        <v>279202</v>
      </c>
      <c r="M31" s="17">
        <f t="shared" si="77"/>
        <v>9590</v>
      </c>
      <c r="N31" s="49">
        <v>896465</v>
      </c>
      <c r="O31" s="17">
        <f t="shared" si="81"/>
        <v>15680</v>
      </c>
      <c r="P31" s="17">
        <f t="shared" si="82"/>
        <v>7840</v>
      </c>
      <c r="Q31" s="49">
        <v>192550</v>
      </c>
      <c r="R31" s="17">
        <f t="shared" si="83"/>
        <v>9590</v>
      </c>
      <c r="S31" s="17">
        <f t="shared" si="84"/>
        <v>4795</v>
      </c>
      <c r="T31" s="49">
        <v>102714</v>
      </c>
      <c r="U31" s="17">
        <f t="shared" si="85"/>
        <v>4870</v>
      </c>
      <c r="V31" s="17">
        <f t="shared" si="86"/>
        <v>2435</v>
      </c>
      <c r="W31" s="49">
        <v>180502</v>
      </c>
      <c r="X31" s="17">
        <f t="shared" si="11"/>
        <v>360</v>
      </c>
      <c r="Y31" s="17">
        <f t="shared" si="87"/>
        <v>180</v>
      </c>
      <c r="Z31" s="49">
        <v>34047</v>
      </c>
      <c r="AA31" s="17">
        <f t="shared" si="13"/>
        <v>1070</v>
      </c>
      <c r="AB31" s="49">
        <v>69466</v>
      </c>
      <c r="AC31" s="17">
        <f t="shared" si="14"/>
        <v>5070</v>
      </c>
      <c r="AD31" s="49">
        <v>123761</v>
      </c>
      <c r="AE31" s="17">
        <f t="shared" si="15"/>
        <v>3630</v>
      </c>
      <c r="AF31" s="49">
        <v>66347</v>
      </c>
      <c r="AG31" s="17">
        <f t="shared" si="16"/>
        <v>1780</v>
      </c>
      <c r="AH31" s="49">
        <v>335918</v>
      </c>
      <c r="AI31" s="17">
        <f t="shared" si="17"/>
        <v>10000</v>
      </c>
      <c r="AK31" s="99">
        <f t="shared" si="88"/>
        <v>44590</v>
      </c>
      <c r="AL31" s="100">
        <f t="shared" si="19"/>
        <v>38800</v>
      </c>
    </row>
    <row r="32" spans="1:38" ht="39.950000000000003" customHeight="1">
      <c r="A32" s="147">
        <v>44372</v>
      </c>
      <c r="B32" s="16"/>
      <c r="C32" s="74">
        <v>127750</v>
      </c>
      <c r="D32" s="17">
        <f t="shared" si="89"/>
        <v>4380</v>
      </c>
      <c r="E32" s="74">
        <v>202065</v>
      </c>
      <c r="F32" s="17">
        <f t="shared" si="90"/>
        <v>7700</v>
      </c>
      <c r="G32" s="74">
        <v>1020184</v>
      </c>
      <c r="H32" s="17">
        <f t="shared" si="79"/>
        <v>4030</v>
      </c>
      <c r="I32" s="17">
        <f t="shared" si="80"/>
        <v>2015</v>
      </c>
      <c r="J32" s="74">
        <v>180114</v>
      </c>
      <c r="K32" s="17">
        <f t="shared" si="76"/>
        <v>6290</v>
      </c>
      <c r="L32" s="74">
        <v>280187</v>
      </c>
      <c r="M32" s="17">
        <f t="shared" si="77"/>
        <v>9850</v>
      </c>
      <c r="N32" s="74">
        <v>897959</v>
      </c>
      <c r="O32" s="17">
        <f t="shared" si="81"/>
        <v>14940</v>
      </c>
      <c r="P32" s="17">
        <f t="shared" si="82"/>
        <v>7470</v>
      </c>
      <c r="Q32" s="74">
        <v>193500</v>
      </c>
      <c r="R32" s="17">
        <f t="shared" si="83"/>
        <v>9500</v>
      </c>
      <c r="S32" s="17">
        <f t="shared" si="84"/>
        <v>4750</v>
      </c>
      <c r="T32" s="74">
        <v>103312</v>
      </c>
      <c r="U32" s="17">
        <f t="shared" si="85"/>
        <v>5980</v>
      </c>
      <c r="V32" s="17">
        <f t="shared" si="86"/>
        <v>2990</v>
      </c>
      <c r="W32" s="74">
        <v>180542</v>
      </c>
      <c r="X32" s="17">
        <f t="shared" si="11"/>
        <v>400</v>
      </c>
      <c r="Y32" s="17">
        <f t="shared" si="87"/>
        <v>200</v>
      </c>
      <c r="Z32" s="74">
        <v>34154</v>
      </c>
      <c r="AA32" s="17">
        <f t="shared" si="13"/>
        <v>1070</v>
      </c>
      <c r="AB32" s="74">
        <v>69567</v>
      </c>
      <c r="AC32" s="17">
        <f t="shared" si="14"/>
        <v>1010</v>
      </c>
      <c r="AD32" s="74">
        <v>124126</v>
      </c>
      <c r="AE32" s="17">
        <f t="shared" si="15"/>
        <v>3650</v>
      </c>
      <c r="AF32" s="74">
        <v>66517</v>
      </c>
      <c r="AG32" s="17">
        <f t="shared" si="16"/>
        <v>1700</v>
      </c>
      <c r="AH32" s="74">
        <v>336898</v>
      </c>
      <c r="AI32" s="17">
        <f t="shared" si="17"/>
        <v>9800</v>
      </c>
      <c r="AK32" s="99">
        <f t="shared" si="88"/>
        <v>45645</v>
      </c>
      <c r="AL32" s="100">
        <f t="shared" si="19"/>
        <v>34655</v>
      </c>
    </row>
    <row r="33" spans="1:38" ht="39.950000000000003" customHeight="1">
      <c r="A33" s="147">
        <v>44373</v>
      </c>
      <c r="B33" s="16"/>
      <c r="C33" s="74">
        <v>128190</v>
      </c>
      <c r="D33" s="17">
        <f t="shared" si="89"/>
        <v>4400</v>
      </c>
      <c r="E33" s="74">
        <v>202812</v>
      </c>
      <c r="F33" s="17">
        <f t="shared" si="90"/>
        <v>7470</v>
      </c>
      <c r="G33" s="74">
        <v>1020574</v>
      </c>
      <c r="H33" s="17">
        <f t="shared" si="79"/>
        <v>3900</v>
      </c>
      <c r="I33" s="17">
        <f t="shared" si="80"/>
        <v>1950</v>
      </c>
      <c r="J33" s="74">
        <v>180768</v>
      </c>
      <c r="K33" s="17">
        <f t="shared" si="76"/>
        <v>6540</v>
      </c>
      <c r="L33" s="74">
        <v>281200</v>
      </c>
      <c r="M33" s="17">
        <f t="shared" si="77"/>
        <v>10130</v>
      </c>
      <c r="N33" s="74">
        <v>899533</v>
      </c>
      <c r="O33" s="17">
        <f t="shared" si="81"/>
        <v>15740</v>
      </c>
      <c r="P33" s="17">
        <f t="shared" si="82"/>
        <v>7870</v>
      </c>
      <c r="Q33" s="74">
        <v>194545</v>
      </c>
      <c r="R33" s="17">
        <f t="shared" si="83"/>
        <v>10450</v>
      </c>
      <c r="S33" s="17">
        <f t="shared" si="84"/>
        <v>5225</v>
      </c>
      <c r="T33" s="74">
        <v>103978</v>
      </c>
      <c r="U33" s="17">
        <f t="shared" si="85"/>
        <v>6660</v>
      </c>
      <c r="V33" s="17">
        <f t="shared" si="86"/>
        <v>3330</v>
      </c>
      <c r="W33" s="74">
        <v>180760</v>
      </c>
      <c r="X33" s="17">
        <f t="shared" si="11"/>
        <v>2180</v>
      </c>
      <c r="Y33" s="17">
        <f t="shared" si="87"/>
        <v>1090</v>
      </c>
      <c r="Z33" s="74">
        <v>34268</v>
      </c>
      <c r="AA33" s="17">
        <f t="shared" si="13"/>
        <v>1140</v>
      </c>
      <c r="AB33" s="74">
        <v>69576</v>
      </c>
      <c r="AC33" s="17">
        <f t="shared" si="14"/>
        <v>90</v>
      </c>
      <c r="AD33" s="74">
        <v>124499</v>
      </c>
      <c r="AE33" s="17">
        <f t="shared" si="15"/>
        <v>3730</v>
      </c>
      <c r="AF33" s="74">
        <v>66703</v>
      </c>
      <c r="AG33" s="17">
        <f t="shared" si="16"/>
        <v>1860</v>
      </c>
      <c r="AH33" s="74">
        <v>337918</v>
      </c>
      <c r="AI33" s="17">
        <f t="shared" si="17"/>
        <v>10200</v>
      </c>
      <c r="AK33" s="99">
        <f t="shared" si="88"/>
        <v>48005</v>
      </c>
      <c r="AL33" s="100">
        <f t="shared" si="19"/>
        <v>36485</v>
      </c>
    </row>
    <row r="34" spans="1:38" ht="39.950000000000003" customHeight="1">
      <c r="A34" s="147">
        <v>44374</v>
      </c>
      <c r="B34" s="16"/>
      <c r="C34" s="74">
        <v>128635</v>
      </c>
      <c r="D34" s="17">
        <f t="shared" si="89"/>
        <v>4450</v>
      </c>
      <c r="E34" s="74">
        <v>203543</v>
      </c>
      <c r="F34" s="17">
        <f t="shared" si="90"/>
        <v>7310</v>
      </c>
      <c r="G34" s="74">
        <v>1020965</v>
      </c>
      <c r="H34" s="17">
        <f t="shared" si="79"/>
        <v>3910</v>
      </c>
      <c r="I34" s="17">
        <f t="shared" si="80"/>
        <v>1955</v>
      </c>
      <c r="J34" s="74">
        <v>181388</v>
      </c>
      <c r="K34" s="17">
        <f t="shared" si="76"/>
        <v>6200</v>
      </c>
      <c r="L34" s="74">
        <v>282196</v>
      </c>
      <c r="M34" s="17">
        <f t="shared" si="77"/>
        <v>9960</v>
      </c>
      <c r="N34" s="74">
        <v>901210</v>
      </c>
      <c r="O34" s="17">
        <f t="shared" si="81"/>
        <v>16770</v>
      </c>
      <c r="P34" s="17">
        <f t="shared" si="82"/>
        <v>8385</v>
      </c>
      <c r="Q34" s="74">
        <v>195539</v>
      </c>
      <c r="R34" s="17">
        <f t="shared" si="83"/>
        <v>9940</v>
      </c>
      <c r="S34" s="17">
        <f t="shared" si="84"/>
        <v>4970</v>
      </c>
      <c r="T34" s="74">
        <v>104547</v>
      </c>
      <c r="U34" s="17">
        <f t="shared" si="85"/>
        <v>5690</v>
      </c>
      <c r="V34" s="17">
        <f t="shared" si="86"/>
        <v>2845</v>
      </c>
      <c r="W34" s="74">
        <v>181383</v>
      </c>
      <c r="X34" s="17">
        <f t="shared" si="11"/>
        <v>6230</v>
      </c>
      <c r="Y34" s="99">
        <f t="shared" si="87"/>
        <v>3115</v>
      </c>
      <c r="Z34" s="74">
        <v>34379</v>
      </c>
      <c r="AA34" s="17">
        <f t="shared" si="13"/>
        <v>1110</v>
      </c>
      <c r="AB34" s="74">
        <v>69780</v>
      </c>
      <c r="AC34" s="17">
        <f t="shared" si="14"/>
        <v>2040</v>
      </c>
      <c r="AD34" s="74">
        <v>124856</v>
      </c>
      <c r="AE34" s="17">
        <f t="shared" si="15"/>
        <v>3570</v>
      </c>
      <c r="AF34" s="74">
        <v>66883</v>
      </c>
      <c r="AG34" s="17">
        <f t="shared" si="16"/>
        <v>1800</v>
      </c>
      <c r="AH34" s="74">
        <v>338914</v>
      </c>
      <c r="AI34" s="17">
        <f t="shared" si="17"/>
        <v>9960</v>
      </c>
      <c r="AK34" s="99">
        <f t="shared" si="88"/>
        <v>49190</v>
      </c>
      <c r="AL34" s="100">
        <f t="shared" si="19"/>
        <v>39750</v>
      </c>
    </row>
    <row r="35" spans="1:38" ht="39.950000000000003" customHeight="1">
      <c r="A35" s="147">
        <v>44375</v>
      </c>
      <c r="B35" s="16"/>
      <c r="C35" s="74">
        <v>129078</v>
      </c>
      <c r="D35" s="17">
        <f t="shared" si="89"/>
        <v>4430</v>
      </c>
      <c r="E35" s="74">
        <v>204319</v>
      </c>
      <c r="F35" s="17">
        <f t="shared" si="90"/>
        <v>7760</v>
      </c>
      <c r="G35" s="74">
        <v>1021385</v>
      </c>
      <c r="H35" s="17">
        <f t="shared" si="79"/>
        <v>4200</v>
      </c>
      <c r="I35" s="17">
        <f t="shared" si="80"/>
        <v>2100</v>
      </c>
      <c r="J35" s="74">
        <v>182013</v>
      </c>
      <c r="K35" s="17">
        <f t="shared" si="76"/>
        <v>6250</v>
      </c>
      <c r="L35" s="74">
        <v>283204</v>
      </c>
      <c r="M35" s="17">
        <f t="shared" si="77"/>
        <v>10080</v>
      </c>
      <c r="N35" s="74">
        <v>902990</v>
      </c>
      <c r="O35" s="17">
        <f t="shared" si="81"/>
        <v>17800</v>
      </c>
      <c r="P35" s="17">
        <f t="shared" si="82"/>
        <v>8900</v>
      </c>
      <c r="Q35" s="74">
        <v>196673</v>
      </c>
      <c r="R35" s="17">
        <f t="shared" si="83"/>
        <v>11340</v>
      </c>
      <c r="S35" s="17">
        <f t="shared" si="84"/>
        <v>5670</v>
      </c>
      <c r="T35" s="74">
        <v>105171</v>
      </c>
      <c r="U35" s="17">
        <f t="shared" si="85"/>
        <v>6240</v>
      </c>
      <c r="V35" s="17">
        <f t="shared" si="86"/>
        <v>3120</v>
      </c>
      <c r="W35" s="74">
        <v>181444</v>
      </c>
      <c r="X35" s="17">
        <f t="shared" si="11"/>
        <v>610</v>
      </c>
      <c r="Y35" s="99">
        <f t="shared" si="87"/>
        <v>305</v>
      </c>
      <c r="Z35" s="74">
        <v>34488</v>
      </c>
      <c r="AA35" s="17">
        <f t="shared" si="13"/>
        <v>1090</v>
      </c>
      <c r="AB35" s="74">
        <v>69988</v>
      </c>
      <c r="AC35" s="17">
        <f t="shared" si="14"/>
        <v>2080</v>
      </c>
      <c r="AD35" s="74">
        <v>125230</v>
      </c>
      <c r="AE35" s="17">
        <f t="shared" si="15"/>
        <v>3740</v>
      </c>
      <c r="AF35" s="74">
        <v>67060</v>
      </c>
      <c r="AG35" s="17">
        <f t="shared" si="16"/>
        <v>1770</v>
      </c>
      <c r="AH35" s="74">
        <v>339918</v>
      </c>
      <c r="AI35" s="17">
        <f t="shared" si="17"/>
        <v>10040</v>
      </c>
      <c r="AK35" s="99">
        <f t="shared" si="88"/>
        <v>48615</v>
      </c>
      <c r="AL35" s="100">
        <f t="shared" si="19"/>
        <v>38815</v>
      </c>
    </row>
    <row r="36" spans="1:38" ht="39.950000000000003" customHeight="1">
      <c r="A36" s="147">
        <v>44376</v>
      </c>
      <c r="B36" s="16"/>
      <c r="C36" s="74">
        <v>129506</v>
      </c>
      <c r="D36" s="17">
        <f t="shared" si="89"/>
        <v>4280</v>
      </c>
      <c r="E36" s="74">
        <v>205041</v>
      </c>
      <c r="F36" s="17">
        <f t="shared" si="90"/>
        <v>7220</v>
      </c>
      <c r="G36" s="74">
        <v>1021770</v>
      </c>
      <c r="H36" s="17">
        <f t="shared" ref="H36:H37" si="91">(G36-G35)*10</f>
        <v>3850</v>
      </c>
      <c r="I36" s="17">
        <f t="shared" ref="I36:I37" si="92">H36*50%</f>
        <v>1925</v>
      </c>
      <c r="J36" s="74">
        <v>182627</v>
      </c>
      <c r="K36" s="17">
        <f t="shared" si="76"/>
        <v>6140</v>
      </c>
      <c r="L36" s="74">
        <v>284194</v>
      </c>
      <c r="M36" s="17">
        <f t="shared" si="77"/>
        <v>9900</v>
      </c>
      <c r="N36" s="74">
        <v>904650</v>
      </c>
      <c r="O36" s="17">
        <f t="shared" ref="O36:O37" si="93">(N36-N35)*10</f>
        <v>16600</v>
      </c>
      <c r="P36" s="17">
        <f t="shared" ref="P36:P37" si="94">O36*50%</f>
        <v>8300</v>
      </c>
      <c r="Q36" s="74">
        <v>197652</v>
      </c>
      <c r="R36" s="17">
        <f t="shared" ref="R36:R37" si="95">(Q36-Q35)*10</f>
        <v>9790</v>
      </c>
      <c r="S36" s="17">
        <f t="shared" ref="S36:S37" si="96">R36*50%</f>
        <v>4895</v>
      </c>
      <c r="T36" s="74">
        <v>105899</v>
      </c>
      <c r="U36" s="17">
        <f t="shared" ref="U36:U37" si="97">(T36-T35)*10</f>
        <v>7280</v>
      </c>
      <c r="V36" s="17">
        <f t="shared" ref="V36:V37" si="98">U36*50%</f>
        <v>3640</v>
      </c>
      <c r="W36" s="74">
        <v>181908</v>
      </c>
      <c r="X36" s="17">
        <f t="shared" si="11"/>
        <v>4640</v>
      </c>
      <c r="Y36" s="99">
        <f t="shared" ref="Y36:Y37" si="99">X36*50%</f>
        <v>2320</v>
      </c>
      <c r="Z36" s="74">
        <v>34596</v>
      </c>
      <c r="AA36" s="17">
        <f t="shared" si="13"/>
        <v>1080</v>
      </c>
      <c r="AB36" s="74">
        <v>70179</v>
      </c>
      <c r="AC36" s="17">
        <f t="shared" si="14"/>
        <v>1910</v>
      </c>
      <c r="AD36" s="74">
        <v>125587</v>
      </c>
      <c r="AE36" s="17">
        <f t="shared" si="15"/>
        <v>3570</v>
      </c>
      <c r="AF36" s="74">
        <v>67225</v>
      </c>
      <c r="AG36" s="17">
        <f t="shared" si="16"/>
        <v>1650</v>
      </c>
      <c r="AH36" s="74">
        <v>340887</v>
      </c>
      <c r="AI36" s="17">
        <f t="shared" si="17"/>
        <v>9690</v>
      </c>
      <c r="AK36" s="99">
        <f t="shared" ref="AK36:AK37" si="100">SUM(D36,F36,I36,K36,M36,P36,S36,V36,Y36)</f>
        <v>48620</v>
      </c>
      <c r="AL36" s="100">
        <f t="shared" si="19"/>
        <v>38980</v>
      </c>
    </row>
    <row r="37" spans="1:38" ht="39.950000000000003" customHeight="1">
      <c r="A37" s="147">
        <v>44377</v>
      </c>
      <c r="B37" s="16"/>
      <c r="C37" s="74">
        <v>129953</v>
      </c>
      <c r="D37" s="17">
        <f t="shared" si="89"/>
        <v>4470</v>
      </c>
      <c r="E37" s="74">
        <v>205777</v>
      </c>
      <c r="F37" s="17">
        <f t="shared" si="90"/>
        <v>7360</v>
      </c>
      <c r="G37" s="74">
        <v>1022161</v>
      </c>
      <c r="H37" s="17">
        <f t="shared" si="91"/>
        <v>3910</v>
      </c>
      <c r="I37" s="17">
        <f t="shared" si="92"/>
        <v>1955</v>
      </c>
      <c r="J37" s="74">
        <v>183273</v>
      </c>
      <c r="K37" s="17">
        <f t="shared" si="76"/>
        <v>6460</v>
      </c>
      <c r="L37" s="74">
        <v>285206</v>
      </c>
      <c r="M37" s="17">
        <f t="shared" si="77"/>
        <v>10120</v>
      </c>
      <c r="N37" s="74">
        <v>906339</v>
      </c>
      <c r="O37" s="17">
        <f t="shared" si="93"/>
        <v>16890</v>
      </c>
      <c r="P37" s="17">
        <f t="shared" si="94"/>
        <v>8445</v>
      </c>
      <c r="Q37" s="74">
        <v>198665</v>
      </c>
      <c r="R37" s="17">
        <f t="shared" si="95"/>
        <v>10130</v>
      </c>
      <c r="S37" s="17">
        <f t="shared" si="96"/>
        <v>5065</v>
      </c>
      <c r="T37" s="74">
        <v>106658</v>
      </c>
      <c r="U37" s="17">
        <f t="shared" si="97"/>
        <v>7590</v>
      </c>
      <c r="V37" s="17">
        <f t="shared" si="98"/>
        <v>3795</v>
      </c>
      <c r="W37" s="74">
        <v>182465</v>
      </c>
      <c r="X37" s="17">
        <f t="shared" si="11"/>
        <v>5570</v>
      </c>
      <c r="Y37" s="99">
        <f t="shared" si="99"/>
        <v>2785</v>
      </c>
      <c r="Z37" s="74">
        <v>34714</v>
      </c>
      <c r="AA37" s="17">
        <f t="shared" si="13"/>
        <v>1180</v>
      </c>
      <c r="AB37" s="74">
        <v>70368</v>
      </c>
      <c r="AC37" s="17">
        <f t="shared" si="14"/>
        <v>1890</v>
      </c>
      <c r="AD37" s="74">
        <v>125947</v>
      </c>
      <c r="AE37" s="17">
        <f t="shared" si="15"/>
        <v>3600</v>
      </c>
      <c r="AF37" s="74">
        <v>67398</v>
      </c>
      <c r="AG37" s="17">
        <f t="shared" si="16"/>
        <v>1730</v>
      </c>
      <c r="AH37" s="74">
        <v>341878</v>
      </c>
      <c r="AI37" s="17">
        <f t="shared" si="17"/>
        <v>9910</v>
      </c>
      <c r="AK37" s="99">
        <f t="shared" si="100"/>
        <v>50455</v>
      </c>
      <c r="AL37" s="100">
        <f t="shared" si="19"/>
        <v>40355</v>
      </c>
    </row>
    <row r="38" spans="1:38" s="149" customFormat="1" ht="39.950000000000003" customHeight="1">
      <c r="A38" s="147"/>
      <c r="B38" s="148"/>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4">
        <f>SUM(AK8:AK38)</f>
        <v>1405915</v>
      </c>
      <c r="AL39" s="194">
        <f>SUM(AL8:AL38)</f>
        <v>1139275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P8" activeCellId="4" sqref="F8:F36 H8:H36 J8:J36 L8:L36 P8:P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16" t="s">
        <v>65</v>
      </c>
      <c r="D1" s="216"/>
      <c r="E1" s="216" t="s">
        <v>65</v>
      </c>
      <c r="F1" s="216"/>
      <c r="G1" s="216" t="s">
        <v>65</v>
      </c>
      <c r="H1" s="216"/>
      <c r="I1" s="216" t="s">
        <v>65</v>
      </c>
      <c r="J1" s="216"/>
      <c r="K1" s="202" t="s">
        <v>66</v>
      </c>
      <c r="L1" s="203"/>
      <c r="M1" s="203"/>
      <c r="N1" s="204"/>
      <c r="O1" s="216" t="s">
        <v>67</v>
      </c>
      <c r="P1" s="216"/>
    </row>
    <row r="2" spans="1:19" s="27" customFormat="1" ht="113.25" customHeight="1">
      <c r="A2" s="26"/>
      <c r="B2" s="26"/>
      <c r="C2" s="218" t="s">
        <v>103</v>
      </c>
      <c r="D2" s="219"/>
      <c r="E2" s="218" t="s">
        <v>104</v>
      </c>
      <c r="F2" s="219"/>
      <c r="G2" s="218" t="s">
        <v>105</v>
      </c>
      <c r="H2" s="219"/>
      <c r="I2" s="218" t="s">
        <v>106</v>
      </c>
      <c r="J2" s="219"/>
      <c r="K2" s="220" t="s">
        <v>107</v>
      </c>
      <c r="L2" s="221"/>
      <c r="M2" s="221"/>
      <c r="N2" s="222"/>
      <c r="O2" s="218" t="s">
        <v>108</v>
      </c>
      <c r="P2" s="219"/>
    </row>
    <row r="3" spans="1:19" s="32" customFormat="1" ht="50.1" customHeight="1">
      <c r="A3" s="41"/>
      <c r="B3" s="41"/>
      <c r="C3" s="223" t="s">
        <v>109</v>
      </c>
      <c r="D3" s="224"/>
      <c r="E3" s="225" t="s">
        <v>110</v>
      </c>
      <c r="F3" s="226"/>
      <c r="G3" s="225" t="s">
        <v>111</v>
      </c>
      <c r="H3" s="226"/>
      <c r="I3" s="225" t="s">
        <v>112</v>
      </c>
      <c r="J3" s="226"/>
      <c r="K3" s="227" t="s">
        <v>113</v>
      </c>
      <c r="L3" s="228"/>
      <c r="M3" s="228"/>
      <c r="N3" s="229"/>
      <c r="O3" s="223" t="s">
        <v>114</v>
      </c>
      <c r="P3" s="224"/>
      <c r="R3" s="217" t="s">
        <v>81</v>
      </c>
      <c r="S3" s="217"/>
    </row>
    <row r="4" spans="1:19" s="8" customFormat="1" ht="30" customHeight="1">
      <c r="A4" s="110" t="s">
        <v>96</v>
      </c>
      <c r="B4" s="51"/>
      <c r="C4" s="200"/>
      <c r="D4" s="201"/>
      <c r="E4" s="200"/>
      <c r="F4" s="201"/>
      <c r="G4" s="200"/>
      <c r="H4" s="201"/>
      <c r="I4" s="200"/>
      <c r="J4" s="201"/>
      <c r="K4" s="200"/>
      <c r="L4" s="214"/>
      <c r="M4" s="214"/>
      <c r="N4" s="201"/>
      <c r="O4" s="51"/>
      <c r="P4" s="51"/>
      <c r="R4" s="217"/>
      <c r="S4" s="217"/>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7">
        <v>44348</v>
      </c>
      <c r="B7" s="15"/>
      <c r="C7" s="86">
        <v>213487</v>
      </c>
      <c r="D7" s="180">
        <f>(C7-C6)</f>
        <v>189</v>
      </c>
      <c r="E7" s="86">
        <v>217454</v>
      </c>
      <c r="F7" s="180">
        <f>(E7-E6)</f>
        <v>287</v>
      </c>
      <c r="G7" s="86">
        <v>6597.2578000000003</v>
      </c>
      <c r="H7" s="180">
        <f>(G7-G6)</f>
        <v>3.3078000000004977</v>
      </c>
      <c r="I7" s="86">
        <v>13714</v>
      </c>
      <c r="J7" s="180">
        <f>(I7-I6)</f>
        <v>20</v>
      </c>
      <c r="K7" s="86">
        <v>152208</v>
      </c>
      <c r="L7" s="77">
        <f>(K7-K6)</f>
        <v>189</v>
      </c>
      <c r="M7" s="180">
        <f>L7*55%</f>
        <v>103.95</v>
      </c>
      <c r="N7" s="180">
        <f>L7*45%</f>
        <v>85.05</v>
      </c>
      <c r="O7" s="86">
        <v>109749</v>
      </c>
      <c r="P7" s="180">
        <f>(O7-O6)</f>
        <v>89</v>
      </c>
      <c r="R7" s="109">
        <f>SUM(D7,F7,M7,J7,H7)</f>
        <v>603.25780000000054</v>
      </c>
      <c r="S7" s="100">
        <f>SUM(N7,P7)</f>
        <v>174.05</v>
      </c>
    </row>
    <row r="8" spans="1:19" ht="39.950000000000003" customHeight="1">
      <c r="A8" s="147">
        <v>44349</v>
      </c>
      <c r="B8" s="16"/>
      <c r="C8" s="86">
        <v>213587</v>
      </c>
      <c r="D8" s="180">
        <f t="shared" ref="D8:F36" si="0">(C8-C7)</f>
        <v>100</v>
      </c>
      <c r="E8" s="86">
        <v>217676</v>
      </c>
      <c r="F8" s="180">
        <f t="shared" si="0"/>
        <v>222</v>
      </c>
      <c r="G8" s="86">
        <v>6598</v>
      </c>
      <c r="H8" s="180">
        <f t="shared" ref="H8" si="1">(G8-G7)</f>
        <v>0.74219999999968422</v>
      </c>
      <c r="I8" s="86">
        <v>13722</v>
      </c>
      <c r="J8" s="180">
        <f t="shared" ref="J8" si="2">(I8-I7)</f>
        <v>8</v>
      </c>
      <c r="K8" s="86">
        <v>152331</v>
      </c>
      <c r="L8" s="180">
        <f t="shared" ref="L8" si="3">(K8-K7)</f>
        <v>123</v>
      </c>
      <c r="M8" s="180">
        <f t="shared" ref="M8:M34" si="4">L8*55%</f>
        <v>67.650000000000006</v>
      </c>
      <c r="N8" s="180">
        <f t="shared" ref="N8:N34" si="5">L8*45%</f>
        <v>55.35</v>
      </c>
      <c r="O8" s="86">
        <v>109815</v>
      </c>
      <c r="P8" s="180">
        <f t="shared" ref="P8" si="6">(O8-O7)</f>
        <v>66</v>
      </c>
      <c r="R8" s="109">
        <f t="shared" ref="R8:R36" si="7">SUM(D8,F8,M8,J8,H8)</f>
        <v>398.39219999999966</v>
      </c>
      <c r="S8" s="100">
        <f t="shared" ref="S8:S34" si="8">SUM(N8,P8)</f>
        <v>121.35</v>
      </c>
    </row>
    <row r="9" spans="1:19" ht="39.950000000000003" customHeight="1">
      <c r="A9" s="147">
        <v>44350</v>
      </c>
      <c r="B9" s="16"/>
      <c r="C9" s="86">
        <v>213682</v>
      </c>
      <c r="D9" s="180">
        <f t="shared" si="0"/>
        <v>95</v>
      </c>
      <c r="E9" s="86">
        <v>217892</v>
      </c>
      <c r="F9" s="180">
        <f t="shared" si="0"/>
        <v>216</v>
      </c>
      <c r="G9" s="86">
        <v>6602</v>
      </c>
      <c r="H9" s="180">
        <f t="shared" ref="H9" si="9">(G9-G8)</f>
        <v>4</v>
      </c>
      <c r="I9" s="86">
        <v>13737</v>
      </c>
      <c r="J9" s="180">
        <f t="shared" ref="J9" si="10">(I9-I8)</f>
        <v>15</v>
      </c>
      <c r="K9" s="86">
        <v>152465</v>
      </c>
      <c r="L9" s="180">
        <f t="shared" ref="L9" si="11">(K9-K8)</f>
        <v>134</v>
      </c>
      <c r="M9" s="180">
        <f t="shared" si="4"/>
        <v>73.7</v>
      </c>
      <c r="N9" s="180">
        <f t="shared" si="5"/>
        <v>60.300000000000004</v>
      </c>
      <c r="O9" s="86">
        <v>109879</v>
      </c>
      <c r="P9" s="180">
        <f t="shared" ref="P9" si="12">(O9-O8)</f>
        <v>64</v>
      </c>
      <c r="R9" s="109">
        <f t="shared" si="7"/>
        <v>403.7</v>
      </c>
      <c r="S9" s="100">
        <f t="shared" si="8"/>
        <v>124.30000000000001</v>
      </c>
    </row>
    <row r="10" spans="1:19" ht="39.950000000000003" customHeight="1">
      <c r="A10" s="147">
        <v>44351</v>
      </c>
      <c r="B10" s="16"/>
      <c r="C10" s="86">
        <v>213812</v>
      </c>
      <c r="D10" s="180">
        <f t="shared" si="0"/>
        <v>130</v>
      </c>
      <c r="E10" s="86">
        <v>218162</v>
      </c>
      <c r="F10" s="180">
        <f t="shared" si="0"/>
        <v>270</v>
      </c>
      <c r="G10" s="86">
        <v>6604</v>
      </c>
      <c r="H10" s="180">
        <f t="shared" ref="H10" si="13">(G10-G9)</f>
        <v>2</v>
      </c>
      <c r="I10" s="86">
        <f>(I13-I9)/4+I9</f>
        <v>13739.25</v>
      </c>
      <c r="J10" s="180">
        <f t="shared" ref="J10" si="14">(I10-I9)</f>
        <v>2.25</v>
      </c>
      <c r="K10" s="86">
        <v>152626</v>
      </c>
      <c r="L10" s="180">
        <f t="shared" ref="L10" si="15">(K10-K9)</f>
        <v>161</v>
      </c>
      <c r="M10" s="180">
        <f t="shared" si="4"/>
        <v>88.550000000000011</v>
      </c>
      <c r="N10" s="180">
        <f t="shared" si="5"/>
        <v>72.45</v>
      </c>
      <c r="O10" s="86">
        <v>109966</v>
      </c>
      <c r="P10" s="180">
        <f t="shared" ref="P10" si="16">(O10-O9)</f>
        <v>87</v>
      </c>
      <c r="R10" s="109">
        <f t="shared" si="7"/>
        <v>492.8</v>
      </c>
      <c r="S10" s="100">
        <f t="shared" si="8"/>
        <v>159.44999999999999</v>
      </c>
    </row>
    <row r="11" spans="1:19" ht="39.950000000000003" customHeight="1">
      <c r="A11" s="147">
        <v>44352</v>
      </c>
      <c r="B11" s="16"/>
      <c r="C11" s="86">
        <v>213967</v>
      </c>
      <c r="D11" s="180">
        <f t="shared" si="0"/>
        <v>155</v>
      </c>
      <c r="E11" s="86">
        <v>218404</v>
      </c>
      <c r="F11" s="180">
        <f t="shared" si="0"/>
        <v>242</v>
      </c>
      <c r="G11" s="86">
        <v>6608</v>
      </c>
      <c r="H11" s="180">
        <f t="shared" ref="H11" si="17">(G11-G10)</f>
        <v>4</v>
      </c>
      <c r="I11" s="86">
        <f>(I13-I9)/4+I10</f>
        <v>13741.5</v>
      </c>
      <c r="J11" s="180">
        <f t="shared" ref="J11" si="18">(I11-I10)</f>
        <v>2.25</v>
      </c>
      <c r="K11" s="86">
        <v>152756</v>
      </c>
      <c r="L11" s="180">
        <f t="shared" ref="L11" si="19">(K11-K10)</f>
        <v>130</v>
      </c>
      <c r="M11" s="180">
        <f t="shared" si="4"/>
        <v>71.5</v>
      </c>
      <c r="N11" s="180">
        <f t="shared" si="5"/>
        <v>58.5</v>
      </c>
      <c r="O11" s="86">
        <v>110044</v>
      </c>
      <c r="P11" s="180">
        <f t="shared" ref="P11" si="20">(O11-O10)</f>
        <v>78</v>
      </c>
      <c r="R11" s="109">
        <f t="shared" si="7"/>
        <v>474.75</v>
      </c>
      <c r="S11" s="100">
        <f t="shared" si="8"/>
        <v>136.5</v>
      </c>
    </row>
    <row r="12" spans="1:19" ht="39.950000000000003" customHeight="1">
      <c r="A12" s="147">
        <v>44353</v>
      </c>
      <c r="B12" s="16"/>
      <c r="C12" s="86">
        <v>214189</v>
      </c>
      <c r="D12" s="180">
        <f t="shared" si="0"/>
        <v>222</v>
      </c>
      <c r="E12" s="86">
        <v>218681</v>
      </c>
      <c r="F12" s="180">
        <f t="shared" si="0"/>
        <v>277</v>
      </c>
      <c r="G12" s="86">
        <v>6610</v>
      </c>
      <c r="H12" s="180">
        <f t="shared" ref="H12" si="21">(G12-G11)</f>
        <v>2</v>
      </c>
      <c r="I12" s="86">
        <f>(I13-I9)/4+I11</f>
        <v>13743.75</v>
      </c>
      <c r="J12" s="180">
        <f t="shared" ref="J12" si="22">(I12-I11)</f>
        <v>2.25</v>
      </c>
      <c r="K12" s="86">
        <v>152922</v>
      </c>
      <c r="L12" s="180">
        <f t="shared" ref="L12" si="23">(K12-K11)</f>
        <v>166</v>
      </c>
      <c r="M12" s="180">
        <f t="shared" si="4"/>
        <v>91.300000000000011</v>
      </c>
      <c r="N12" s="180">
        <f t="shared" si="5"/>
        <v>74.7</v>
      </c>
      <c r="O12" s="86">
        <v>110121</v>
      </c>
      <c r="P12" s="180">
        <f t="shared" ref="P12" si="24">(O12-O11)</f>
        <v>77</v>
      </c>
      <c r="R12" s="109">
        <f t="shared" si="7"/>
        <v>594.54999999999995</v>
      </c>
      <c r="S12" s="100">
        <f t="shared" si="8"/>
        <v>151.69999999999999</v>
      </c>
    </row>
    <row r="13" spans="1:19" ht="39.950000000000003" customHeight="1">
      <c r="A13" s="147">
        <v>44354</v>
      </c>
      <c r="B13" s="16"/>
      <c r="C13" s="86">
        <f>(C14+C12)/2</f>
        <v>214371.5</v>
      </c>
      <c r="D13" s="180">
        <f t="shared" si="0"/>
        <v>182.5</v>
      </c>
      <c r="E13" s="86">
        <f>(E14+E12)/2</f>
        <v>218940</v>
      </c>
      <c r="F13" s="180">
        <f t="shared" si="0"/>
        <v>259</v>
      </c>
      <c r="G13" s="86">
        <v>6618</v>
      </c>
      <c r="H13" s="180">
        <f t="shared" ref="H13" si="25">(G13-G12)</f>
        <v>8</v>
      </c>
      <c r="I13" s="86">
        <v>13746</v>
      </c>
      <c r="J13" s="180">
        <f t="shared" ref="J13" si="26">(I13-I12)</f>
        <v>2.25</v>
      </c>
      <c r="K13" s="86">
        <f>(K14+K12)/2</f>
        <v>153077</v>
      </c>
      <c r="L13" s="180">
        <f t="shared" ref="L13" si="27">(K13-K12)</f>
        <v>155</v>
      </c>
      <c r="M13" s="180">
        <f t="shared" si="4"/>
        <v>85.25</v>
      </c>
      <c r="N13" s="180">
        <f t="shared" si="5"/>
        <v>69.75</v>
      </c>
      <c r="O13" s="86">
        <f>(O14+O12)/2</f>
        <v>110193.5</v>
      </c>
      <c r="P13" s="180">
        <f t="shared" ref="P13" si="28">(O13-O12)</f>
        <v>72.5</v>
      </c>
      <c r="R13" s="109">
        <f t="shared" si="7"/>
        <v>537</v>
      </c>
      <c r="S13" s="100">
        <f t="shared" si="8"/>
        <v>142.25</v>
      </c>
    </row>
    <row r="14" spans="1:19" ht="39.950000000000003" customHeight="1">
      <c r="A14" s="147">
        <v>44355</v>
      </c>
      <c r="B14" s="16"/>
      <c r="C14" s="86">
        <v>214554</v>
      </c>
      <c r="D14" s="180">
        <f t="shared" si="0"/>
        <v>182.5</v>
      </c>
      <c r="E14" s="86">
        <v>219199</v>
      </c>
      <c r="F14" s="180">
        <f t="shared" si="0"/>
        <v>259</v>
      </c>
      <c r="G14" s="86">
        <v>6622</v>
      </c>
      <c r="H14" s="180">
        <f t="shared" ref="H14" si="29">(G14-G13)</f>
        <v>4</v>
      </c>
      <c r="I14" s="86">
        <v>13781</v>
      </c>
      <c r="J14" s="180">
        <f t="shared" ref="J14" si="30">(I14-I13)</f>
        <v>35</v>
      </c>
      <c r="K14" s="86">
        <v>153232</v>
      </c>
      <c r="L14" s="180">
        <f t="shared" ref="L14" si="31">(K14-K13)</f>
        <v>155</v>
      </c>
      <c r="M14" s="180">
        <f t="shared" si="4"/>
        <v>85.25</v>
      </c>
      <c r="N14" s="180">
        <f t="shared" si="5"/>
        <v>69.75</v>
      </c>
      <c r="O14" s="86">
        <v>110266</v>
      </c>
      <c r="P14" s="180">
        <f t="shared" ref="P14" si="32">(O14-O13)</f>
        <v>72.5</v>
      </c>
      <c r="R14" s="109">
        <f t="shared" si="7"/>
        <v>565.75</v>
      </c>
      <c r="S14" s="100">
        <f t="shared" si="8"/>
        <v>142.25</v>
      </c>
    </row>
    <row r="15" spans="1:19" ht="39.950000000000003" customHeight="1">
      <c r="A15" s="147">
        <v>44356</v>
      </c>
      <c r="B15" s="16"/>
      <c r="C15" s="86">
        <v>214694</v>
      </c>
      <c r="D15" s="180">
        <f t="shared" si="0"/>
        <v>140</v>
      </c>
      <c r="E15" s="86">
        <v>219448</v>
      </c>
      <c r="F15" s="180">
        <f t="shared" si="0"/>
        <v>249</v>
      </c>
      <c r="G15" s="86">
        <v>6625</v>
      </c>
      <c r="H15" s="180">
        <f t="shared" ref="H15" si="33">(G15-G14)</f>
        <v>3</v>
      </c>
      <c r="I15" s="86">
        <v>13790</v>
      </c>
      <c r="J15" s="180">
        <f t="shared" ref="J15" si="34">(I15-I14)</f>
        <v>9</v>
      </c>
      <c r="K15" s="86">
        <v>153377</v>
      </c>
      <c r="L15" s="180">
        <f t="shared" ref="L15" si="35">(K15-K14)</f>
        <v>145</v>
      </c>
      <c r="M15" s="180">
        <f t="shared" si="4"/>
        <v>79.75</v>
      </c>
      <c r="N15" s="180">
        <f t="shared" si="5"/>
        <v>65.25</v>
      </c>
      <c r="O15" s="86">
        <v>110345</v>
      </c>
      <c r="P15" s="180">
        <f t="shared" ref="P15" si="36">(O15-O14)</f>
        <v>79</v>
      </c>
      <c r="R15" s="109">
        <f t="shared" si="7"/>
        <v>480.75</v>
      </c>
      <c r="S15" s="100">
        <f t="shared" si="8"/>
        <v>144.25</v>
      </c>
    </row>
    <row r="16" spans="1:19" ht="39.950000000000003" customHeight="1">
      <c r="A16" s="147">
        <v>44357</v>
      </c>
      <c r="B16" s="16"/>
      <c r="C16" s="86">
        <v>214854</v>
      </c>
      <c r="D16" s="180">
        <f t="shared" si="0"/>
        <v>160</v>
      </c>
      <c r="E16" s="86">
        <v>219719</v>
      </c>
      <c r="F16" s="180">
        <f t="shared" si="0"/>
        <v>271</v>
      </c>
      <c r="G16" s="86">
        <v>6628</v>
      </c>
      <c r="H16" s="180">
        <f t="shared" ref="H16" si="37">(G16-G15)</f>
        <v>3</v>
      </c>
      <c r="I16" s="86">
        <v>13796</v>
      </c>
      <c r="J16" s="180">
        <f t="shared" ref="J16" si="38">(I16-I15)</f>
        <v>6</v>
      </c>
      <c r="K16" s="86">
        <v>153548</v>
      </c>
      <c r="L16" s="180">
        <f t="shared" ref="L16" si="39">(K16-K15)</f>
        <v>171</v>
      </c>
      <c r="M16" s="180">
        <f t="shared" si="4"/>
        <v>94.050000000000011</v>
      </c>
      <c r="N16" s="180">
        <f t="shared" si="5"/>
        <v>76.95</v>
      </c>
      <c r="O16" s="86">
        <v>110424</v>
      </c>
      <c r="P16" s="180">
        <f t="shared" ref="P16" si="40">(O16-O15)</f>
        <v>79</v>
      </c>
      <c r="R16" s="109">
        <f t="shared" si="7"/>
        <v>534.04999999999995</v>
      </c>
      <c r="S16" s="100">
        <f t="shared" si="8"/>
        <v>155.94999999999999</v>
      </c>
    </row>
    <row r="17" spans="1:19" ht="39.950000000000003" customHeight="1">
      <c r="A17" s="147">
        <v>44358</v>
      </c>
      <c r="B17" s="16"/>
      <c r="C17" s="85">
        <v>215030</v>
      </c>
      <c r="D17" s="180">
        <f t="shared" si="0"/>
        <v>176</v>
      </c>
      <c r="E17" s="85">
        <v>219995</v>
      </c>
      <c r="F17" s="180">
        <f t="shared" si="0"/>
        <v>276</v>
      </c>
      <c r="G17" s="85">
        <f>(G18+G16)/2</f>
        <v>6630.5</v>
      </c>
      <c r="H17" s="180">
        <f t="shared" ref="H17" si="41">(G17-G16)</f>
        <v>2.5</v>
      </c>
      <c r="I17" s="85">
        <f>(I18+I16)/2</f>
        <v>13802.5</v>
      </c>
      <c r="J17" s="180">
        <f t="shared" ref="J17" si="42">(I17-I16)</f>
        <v>6.5</v>
      </c>
      <c r="K17" s="85">
        <v>153701</v>
      </c>
      <c r="L17" s="180">
        <f t="shared" ref="L17" si="43">(K17-K16)</f>
        <v>153</v>
      </c>
      <c r="M17" s="180">
        <f t="shared" si="4"/>
        <v>84.15</v>
      </c>
      <c r="N17" s="180">
        <f t="shared" si="5"/>
        <v>68.850000000000009</v>
      </c>
      <c r="O17" s="85">
        <v>110491</v>
      </c>
      <c r="P17" s="180">
        <f t="shared" ref="P17" si="44">(O17-O16)</f>
        <v>67</v>
      </c>
      <c r="R17" s="109">
        <f t="shared" si="7"/>
        <v>545.15</v>
      </c>
      <c r="S17" s="100">
        <f t="shared" si="8"/>
        <v>135.85000000000002</v>
      </c>
    </row>
    <row r="18" spans="1:19" ht="39.950000000000003" customHeight="1">
      <c r="A18" s="147">
        <v>44359</v>
      </c>
      <c r="B18" s="16"/>
      <c r="C18" s="85">
        <v>215247</v>
      </c>
      <c r="D18" s="180">
        <f t="shared" si="0"/>
        <v>217</v>
      </c>
      <c r="E18" s="85">
        <v>220330</v>
      </c>
      <c r="F18" s="180">
        <f t="shared" si="0"/>
        <v>335</v>
      </c>
      <c r="G18" s="85">
        <v>6633</v>
      </c>
      <c r="H18" s="180">
        <f t="shared" ref="H18" si="45">(G18-G17)</f>
        <v>2.5</v>
      </c>
      <c r="I18" s="85">
        <v>13809</v>
      </c>
      <c r="J18" s="180">
        <f t="shared" ref="J18" si="46">(I18-I17)</f>
        <v>6.5</v>
      </c>
      <c r="K18" s="85">
        <v>153870</v>
      </c>
      <c r="L18" s="180">
        <f t="shared" ref="L18" si="47">(K18-K17)</f>
        <v>169</v>
      </c>
      <c r="M18" s="180">
        <f t="shared" si="4"/>
        <v>92.95</v>
      </c>
      <c r="N18" s="180">
        <f t="shared" si="5"/>
        <v>76.05</v>
      </c>
      <c r="O18" s="85">
        <v>110573</v>
      </c>
      <c r="P18" s="180">
        <f t="shared" ref="P18" si="48">(O18-O17)</f>
        <v>82</v>
      </c>
      <c r="R18" s="109">
        <f t="shared" si="7"/>
        <v>653.95000000000005</v>
      </c>
      <c r="S18" s="100">
        <f t="shared" si="8"/>
        <v>158.05000000000001</v>
      </c>
    </row>
    <row r="19" spans="1:19" s="81" customFormat="1" ht="39.950000000000003" customHeight="1">
      <c r="A19" s="147">
        <v>44360</v>
      </c>
      <c r="B19" s="84"/>
      <c r="C19" s="86">
        <v>215391</v>
      </c>
      <c r="D19" s="180">
        <f t="shared" si="0"/>
        <v>144</v>
      </c>
      <c r="E19" s="86">
        <v>220586</v>
      </c>
      <c r="F19" s="180">
        <f t="shared" si="0"/>
        <v>256</v>
      </c>
      <c r="G19" s="86">
        <v>6635</v>
      </c>
      <c r="H19" s="180">
        <f t="shared" ref="H19" si="49">(G19-G18)</f>
        <v>2</v>
      </c>
      <c r="I19" s="86">
        <v>13814</v>
      </c>
      <c r="J19" s="180">
        <f t="shared" ref="J19" si="50">(I19-I18)</f>
        <v>5</v>
      </c>
      <c r="K19" s="86">
        <v>153979</v>
      </c>
      <c r="L19" s="180">
        <f t="shared" ref="L19" si="51">(K19-K18)</f>
        <v>109</v>
      </c>
      <c r="M19" s="180">
        <f t="shared" si="4"/>
        <v>59.95</v>
      </c>
      <c r="N19" s="180">
        <f t="shared" si="5"/>
        <v>49.050000000000004</v>
      </c>
      <c r="O19" s="86">
        <v>110654</v>
      </c>
      <c r="P19" s="180">
        <f t="shared" ref="P19" si="52">(O19-O18)</f>
        <v>81</v>
      </c>
      <c r="R19" s="109">
        <f t="shared" si="7"/>
        <v>466.95</v>
      </c>
      <c r="S19" s="108">
        <f t="shared" si="8"/>
        <v>130.05000000000001</v>
      </c>
    </row>
    <row r="20" spans="1:19" s="81" customFormat="1" ht="39.950000000000003" customHeight="1">
      <c r="A20" s="147">
        <v>44361</v>
      </c>
      <c r="B20" s="84"/>
      <c r="C20" s="86">
        <v>215603</v>
      </c>
      <c r="D20" s="180">
        <f t="shared" si="0"/>
        <v>212</v>
      </c>
      <c r="E20" s="86">
        <v>220902</v>
      </c>
      <c r="F20" s="180">
        <f t="shared" si="0"/>
        <v>316</v>
      </c>
      <c r="G20" s="86">
        <v>6639</v>
      </c>
      <c r="H20" s="180">
        <f t="shared" ref="H20" si="53">(G20-G19)</f>
        <v>4</v>
      </c>
      <c r="I20" s="86">
        <v>13827</v>
      </c>
      <c r="J20" s="180">
        <f t="shared" ref="J20" si="54">(I20-I19)</f>
        <v>13</v>
      </c>
      <c r="K20" s="86">
        <v>154147</v>
      </c>
      <c r="L20" s="180">
        <f t="shared" ref="L20" si="55">(K20-K19)</f>
        <v>168</v>
      </c>
      <c r="M20" s="180">
        <f t="shared" si="4"/>
        <v>92.4</v>
      </c>
      <c r="N20" s="180">
        <f t="shared" si="5"/>
        <v>75.600000000000009</v>
      </c>
      <c r="O20" s="86">
        <v>110707</v>
      </c>
      <c r="P20" s="180">
        <f t="shared" ref="P20" si="56">(O20-O19)</f>
        <v>53</v>
      </c>
      <c r="R20" s="109">
        <f t="shared" si="7"/>
        <v>637.4</v>
      </c>
      <c r="S20" s="108">
        <f t="shared" si="8"/>
        <v>128.60000000000002</v>
      </c>
    </row>
    <row r="21" spans="1:19" s="81" customFormat="1" ht="39.950000000000003" customHeight="1">
      <c r="A21" s="147">
        <v>44362</v>
      </c>
      <c r="B21" s="84"/>
      <c r="C21" s="86">
        <v>215824</v>
      </c>
      <c r="D21" s="180">
        <f t="shared" si="0"/>
        <v>221</v>
      </c>
      <c r="E21" s="86">
        <v>221215</v>
      </c>
      <c r="F21" s="180">
        <f t="shared" si="0"/>
        <v>313</v>
      </c>
      <c r="G21" s="86">
        <v>6646</v>
      </c>
      <c r="H21" s="180">
        <f t="shared" ref="H21" si="57">(G21-G20)</f>
        <v>7</v>
      </c>
      <c r="I21" s="86">
        <v>13834</v>
      </c>
      <c r="J21" s="180">
        <f t="shared" ref="J21" si="58">(I21-I20)</f>
        <v>7</v>
      </c>
      <c r="K21" s="86">
        <v>154369</v>
      </c>
      <c r="L21" s="180">
        <f t="shared" ref="L21" si="59">(K21-K20)</f>
        <v>222</v>
      </c>
      <c r="M21" s="180">
        <f t="shared" si="4"/>
        <v>122.10000000000001</v>
      </c>
      <c r="N21" s="180">
        <f t="shared" si="5"/>
        <v>99.9</v>
      </c>
      <c r="O21" s="86">
        <v>110809</v>
      </c>
      <c r="P21" s="180">
        <f t="shared" ref="P21" si="60">(O21-O20)</f>
        <v>102</v>
      </c>
      <c r="R21" s="109">
        <f t="shared" si="7"/>
        <v>670.1</v>
      </c>
      <c r="S21" s="108">
        <f t="shared" si="8"/>
        <v>201.9</v>
      </c>
    </row>
    <row r="22" spans="1:19" s="81" customFormat="1" ht="39.950000000000003" customHeight="1">
      <c r="A22" s="147">
        <v>44363</v>
      </c>
      <c r="B22" s="84"/>
      <c r="C22" s="85">
        <v>215970</v>
      </c>
      <c r="D22" s="180">
        <f t="shared" si="0"/>
        <v>146</v>
      </c>
      <c r="E22" s="85">
        <v>221400</v>
      </c>
      <c r="F22" s="180">
        <f t="shared" si="0"/>
        <v>185</v>
      </c>
      <c r="G22" s="85">
        <v>6650.8</v>
      </c>
      <c r="H22" s="180">
        <f t="shared" ref="H22" si="61">(G22-G21)</f>
        <v>4.8000000000001819</v>
      </c>
      <c r="I22" s="85">
        <v>13842</v>
      </c>
      <c r="J22" s="180">
        <f t="shared" ref="J22" si="62">(I22-I21)</f>
        <v>8</v>
      </c>
      <c r="K22" s="85">
        <v>154467</v>
      </c>
      <c r="L22" s="180">
        <f t="shared" ref="L22" si="63">(K22-K21)</f>
        <v>98</v>
      </c>
      <c r="M22" s="180">
        <f t="shared" si="4"/>
        <v>53.900000000000006</v>
      </c>
      <c r="N22" s="180">
        <f t="shared" si="5"/>
        <v>44.1</v>
      </c>
      <c r="O22" s="85">
        <v>110863</v>
      </c>
      <c r="P22" s="180">
        <f t="shared" ref="P22" si="64">(O22-O21)</f>
        <v>54</v>
      </c>
      <c r="R22" s="109">
        <f t="shared" si="7"/>
        <v>397.70000000000016</v>
      </c>
      <c r="S22" s="108">
        <f t="shared" si="8"/>
        <v>98.1</v>
      </c>
    </row>
    <row r="23" spans="1:19" s="81" customFormat="1" ht="39.950000000000003" customHeight="1">
      <c r="A23" s="147">
        <v>44364</v>
      </c>
      <c r="B23" s="84"/>
      <c r="C23" s="85">
        <v>216138</v>
      </c>
      <c r="D23" s="180">
        <f t="shared" si="0"/>
        <v>168</v>
      </c>
      <c r="E23" s="85">
        <v>221702</v>
      </c>
      <c r="F23" s="180">
        <f t="shared" si="0"/>
        <v>302</v>
      </c>
      <c r="G23" s="85">
        <v>6667</v>
      </c>
      <c r="H23" s="180">
        <f t="shared" ref="H23" si="65">(G23-G22)</f>
        <v>16.199999999999818</v>
      </c>
      <c r="I23" s="85">
        <v>13850</v>
      </c>
      <c r="J23" s="180">
        <f t="shared" ref="J23" si="66">(I23-I22)</f>
        <v>8</v>
      </c>
      <c r="K23" s="85">
        <v>154665</v>
      </c>
      <c r="L23" s="180">
        <f t="shared" ref="L23" si="67">(K23-K22)</f>
        <v>198</v>
      </c>
      <c r="M23" s="180">
        <f t="shared" si="4"/>
        <v>108.9</v>
      </c>
      <c r="N23" s="180">
        <f t="shared" si="5"/>
        <v>89.100000000000009</v>
      </c>
      <c r="O23" s="85">
        <v>110950</v>
      </c>
      <c r="P23" s="180">
        <f t="shared" ref="P23" si="68">(O23-O22)</f>
        <v>87</v>
      </c>
      <c r="R23" s="109">
        <f t="shared" si="7"/>
        <v>603.0999999999998</v>
      </c>
      <c r="S23" s="108">
        <f t="shared" si="8"/>
        <v>176.10000000000002</v>
      </c>
    </row>
    <row r="24" spans="1:19" s="81" customFormat="1" ht="39.950000000000003" customHeight="1">
      <c r="A24" s="147">
        <v>44365</v>
      </c>
      <c r="B24" s="84"/>
      <c r="C24" s="85">
        <v>216314</v>
      </c>
      <c r="D24" s="180">
        <f t="shared" si="0"/>
        <v>176</v>
      </c>
      <c r="E24" s="85">
        <v>221986</v>
      </c>
      <c r="F24" s="180">
        <f t="shared" si="0"/>
        <v>284</v>
      </c>
      <c r="G24" s="85">
        <v>6680</v>
      </c>
      <c r="H24" s="180">
        <f t="shared" ref="H24" si="69">(G24-G23)</f>
        <v>13</v>
      </c>
      <c r="I24" s="85">
        <v>13876</v>
      </c>
      <c r="J24" s="180">
        <f t="shared" ref="J24" si="70">(I24-I23)</f>
        <v>26</v>
      </c>
      <c r="K24" s="85">
        <v>154838</v>
      </c>
      <c r="L24" s="180">
        <f t="shared" ref="L24" si="71">(K24-K23)</f>
        <v>173</v>
      </c>
      <c r="M24" s="180">
        <f t="shared" si="4"/>
        <v>95.15</v>
      </c>
      <c r="N24" s="180">
        <f t="shared" si="5"/>
        <v>77.850000000000009</v>
      </c>
      <c r="O24" s="85">
        <v>111040</v>
      </c>
      <c r="P24" s="180">
        <f t="shared" ref="P24" si="72">(O24-O23)</f>
        <v>90</v>
      </c>
      <c r="R24" s="109">
        <f t="shared" si="7"/>
        <v>594.15</v>
      </c>
      <c r="S24" s="108">
        <f t="shared" si="8"/>
        <v>167.85000000000002</v>
      </c>
    </row>
    <row r="25" spans="1:19" s="81" customFormat="1" ht="39.950000000000003" customHeight="1">
      <c r="A25" s="147">
        <v>44366</v>
      </c>
      <c r="B25" s="84"/>
      <c r="C25" s="85">
        <v>216478</v>
      </c>
      <c r="D25" s="180">
        <f t="shared" si="0"/>
        <v>164</v>
      </c>
      <c r="E25" s="85">
        <v>222295</v>
      </c>
      <c r="F25" s="180">
        <f t="shared" si="0"/>
        <v>309</v>
      </c>
      <c r="G25" s="85">
        <v>6693</v>
      </c>
      <c r="H25" s="180">
        <f t="shared" ref="H25" si="73">(G25-G24)</f>
        <v>13</v>
      </c>
      <c r="I25" s="85">
        <v>13903</v>
      </c>
      <c r="J25" s="180">
        <f t="shared" ref="J25" si="74">(I25-I24)</f>
        <v>27</v>
      </c>
      <c r="K25" s="85">
        <v>154986</v>
      </c>
      <c r="L25" s="180">
        <f t="shared" ref="L25" si="75">(K25-K24)</f>
        <v>148</v>
      </c>
      <c r="M25" s="180">
        <f t="shared" si="4"/>
        <v>81.400000000000006</v>
      </c>
      <c r="N25" s="180">
        <f t="shared" si="5"/>
        <v>66.600000000000009</v>
      </c>
      <c r="O25" s="85">
        <v>111109</v>
      </c>
      <c r="P25" s="180">
        <f t="shared" ref="P25" si="76">(O25-O24)</f>
        <v>69</v>
      </c>
      <c r="R25" s="109">
        <f t="shared" si="7"/>
        <v>594.4</v>
      </c>
      <c r="S25" s="108">
        <f t="shared" si="8"/>
        <v>135.60000000000002</v>
      </c>
    </row>
    <row r="26" spans="1:19" ht="39.950000000000003" customHeight="1">
      <c r="A26" s="147">
        <v>44367</v>
      </c>
      <c r="B26" s="84"/>
      <c r="C26" s="85">
        <v>216706</v>
      </c>
      <c r="D26" s="180">
        <f t="shared" si="0"/>
        <v>228</v>
      </c>
      <c r="E26" s="85">
        <v>222582</v>
      </c>
      <c r="F26" s="180">
        <f t="shared" si="0"/>
        <v>287</v>
      </c>
      <c r="G26" s="85">
        <v>6709.61</v>
      </c>
      <c r="H26" s="180">
        <f t="shared" ref="H26" si="77">(G26-G25)</f>
        <v>16.609999999999673</v>
      </c>
      <c r="I26" s="85">
        <v>13954</v>
      </c>
      <c r="J26" s="180">
        <f t="shared" ref="J26" si="78">(I26-I25)</f>
        <v>51</v>
      </c>
      <c r="K26" s="85">
        <v>155130</v>
      </c>
      <c r="L26" s="180">
        <f t="shared" ref="L26" si="79">(K26-K25)</f>
        <v>144</v>
      </c>
      <c r="M26" s="180">
        <f t="shared" si="4"/>
        <v>79.2</v>
      </c>
      <c r="N26" s="180">
        <f t="shared" si="5"/>
        <v>64.8</v>
      </c>
      <c r="O26" s="85">
        <v>111180</v>
      </c>
      <c r="P26" s="180">
        <f t="shared" ref="P26" si="80">(O26-O25)</f>
        <v>71</v>
      </c>
      <c r="R26" s="109">
        <f t="shared" si="7"/>
        <v>661.80999999999972</v>
      </c>
      <c r="S26" s="100">
        <f t="shared" si="8"/>
        <v>135.80000000000001</v>
      </c>
    </row>
    <row r="27" spans="1:19" ht="39.950000000000003" customHeight="1">
      <c r="A27" s="147">
        <v>44368</v>
      </c>
      <c r="B27" s="84"/>
      <c r="C27" s="85">
        <v>216882</v>
      </c>
      <c r="D27" s="180">
        <f t="shared" si="0"/>
        <v>176</v>
      </c>
      <c r="E27" s="85">
        <v>222864</v>
      </c>
      <c r="F27" s="180">
        <f t="shared" si="0"/>
        <v>282</v>
      </c>
      <c r="G27" s="86">
        <f>(G28+G26)/2</f>
        <v>6714.15</v>
      </c>
      <c r="H27" s="180">
        <f t="shared" ref="H27" si="81">(G27-G26)</f>
        <v>4.5399999999999636</v>
      </c>
      <c r="I27" s="86">
        <f>(I28+I26)/2</f>
        <v>13968.5</v>
      </c>
      <c r="J27" s="180">
        <f t="shared" ref="J27" si="82">(I27-I26)</f>
        <v>14.5</v>
      </c>
      <c r="K27" s="85">
        <v>155302</v>
      </c>
      <c r="L27" s="180">
        <f t="shared" ref="L27" si="83">(K27-K26)</f>
        <v>172</v>
      </c>
      <c r="M27" s="180">
        <f t="shared" si="4"/>
        <v>94.600000000000009</v>
      </c>
      <c r="N27" s="180">
        <f t="shared" si="5"/>
        <v>77.400000000000006</v>
      </c>
      <c r="O27" s="85">
        <v>111263</v>
      </c>
      <c r="P27" s="180">
        <f t="shared" ref="P27" si="84">(O27-O26)</f>
        <v>83</v>
      </c>
      <c r="R27" s="109">
        <f t="shared" si="7"/>
        <v>571.64</v>
      </c>
      <c r="S27" s="100">
        <f t="shared" si="8"/>
        <v>160.4</v>
      </c>
    </row>
    <row r="28" spans="1:19" ht="39.950000000000003" customHeight="1">
      <c r="A28" s="147">
        <v>44369</v>
      </c>
      <c r="B28" s="84"/>
      <c r="C28" s="85">
        <v>217037</v>
      </c>
      <c r="D28" s="180">
        <f t="shared" si="0"/>
        <v>155</v>
      </c>
      <c r="E28" s="85">
        <v>223115</v>
      </c>
      <c r="F28" s="180">
        <f t="shared" si="0"/>
        <v>251</v>
      </c>
      <c r="G28" s="85">
        <v>6718.69</v>
      </c>
      <c r="H28" s="180">
        <f t="shared" ref="H28" si="85">(G28-G27)</f>
        <v>4.5399999999999636</v>
      </c>
      <c r="I28" s="85">
        <v>13983</v>
      </c>
      <c r="J28" s="180">
        <f t="shared" ref="J28" si="86">(I28-I27)</f>
        <v>14.5</v>
      </c>
      <c r="K28" s="85">
        <v>155439</v>
      </c>
      <c r="L28" s="180">
        <f t="shared" ref="L28" si="87">(K28-K27)</f>
        <v>137</v>
      </c>
      <c r="M28" s="180">
        <f t="shared" si="4"/>
        <v>75.350000000000009</v>
      </c>
      <c r="N28" s="180">
        <f t="shared" si="5"/>
        <v>61.65</v>
      </c>
      <c r="O28" s="85">
        <f>111319.573+4.8</f>
        <v>111324.37300000001</v>
      </c>
      <c r="P28" s="180">
        <f t="shared" ref="P28" si="88">(O28-O27)</f>
        <v>61.373000000006869</v>
      </c>
      <c r="R28" s="109">
        <f t="shared" si="7"/>
        <v>500.39</v>
      </c>
      <c r="S28" s="100">
        <f t="shared" si="8"/>
        <v>123.02300000000687</v>
      </c>
    </row>
    <row r="29" spans="1:19" ht="39.950000000000003" customHeight="1">
      <c r="A29" s="147">
        <v>44370</v>
      </c>
      <c r="B29" s="84"/>
      <c r="C29" s="85">
        <v>217187</v>
      </c>
      <c r="D29" s="180">
        <f t="shared" si="0"/>
        <v>150</v>
      </c>
      <c r="E29" s="85">
        <f>223123+295</f>
        <v>223418</v>
      </c>
      <c r="F29" s="180">
        <f t="shared" si="0"/>
        <v>303</v>
      </c>
      <c r="G29" s="85">
        <v>6728.07</v>
      </c>
      <c r="H29" s="180">
        <f t="shared" ref="H29" si="89">(G29-G28)</f>
        <v>9.3800000000001091</v>
      </c>
      <c r="I29" s="85">
        <v>13997</v>
      </c>
      <c r="J29" s="180">
        <f t="shared" ref="J29" si="90">(I29-I28)</f>
        <v>14</v>
      </c>
      <c r="K29" s="85">
        <v>155614</v>
      </c>
      <c r="L29" s="180">
        <f t="shared" ref="L29" si="91">(K29-K28)</f>
        <v>175</v>
      </c>
      <c r="M29" s="180">
        <f t="shared" si="4"/>
        <v>96.250000000000014</v>
      </c>
      <c r="N29" s="180">
        <f t="shared" si="5"/>
        <v>78.75</v>
      </c>
      <c r="O29" s="85">
        <f>111319.573+84</f>
        <v>111403.573</v>
      </c>
      <c r="P29" s="180">
        <f t="shared" ref="P29" si="92">(O29-O28)</f>
        <v>79.19999999999709</v>
      </c>
      <c r="R29" s="109">
        <f t="shared" si="7"/>
        <v>572.63000000000011</v>
      </c>
      <c r="S29" s="100">
        <f t="shared" si="8"/>
        <v>157.94999999999709</v>
      </c>
    </row>
    <row r="30" spans="1:19" ht="39.950000000000003" customHeight="1">
      <c r="A30" s="147">
        <v>44371</v>
      </c>
      <c r="B30" s="84"/>
      <c r="C30" s="86">
        <v>217317</v>
      </c>
      <c r="D30" s="180">
        <f t="shared" si="0"/>
        <v>130</v>
      </c>
      <c r="E30" s="85">
        <f>223123+569</f>
        <v>223692</v>
      </c>
      <c r="F30" s="180">
        <f t="shared" si="0"/>
        <v>274</v>
      </c>
      <c r="G30" s="85">
        <v>6731</v>
      </c>
      <c r="H30" s="180">
        <f t="shared" ref="H30" si="93">(G30-G29)</f>
        <v>2.930000000000291</v>
      </c>
      <c r="I30" s="85">
        <v>14007</v>
      </c>
      <c r="J30" s="180">
        <f t="shared" ref="J30" si="94">(I30-I29)</f>
        <v>10</v>
      </c>
      <c r="K30" s="85">
        <v>155745</v>
      </c>
      <c r="L30" s="180">
        <f t="shared" ref="L30" si="95">(K30-K29)</f>
        <v>131</v>
      </c>
      <c r="M30" s="180">
        <f t="shared" si="4"/>
        <v>72.050000000000011</v>
      </c>
      <c r="N30" s="180">
        <f t="shared" si="5"/>
        <v>58.95</v>
      </c>
      <c r="O30" s="85">
        <f>111319.573+149</f>
        <v>111468.573</v>
      </c>
      <c r="P30" s="180">
        <f t="shared" ref="P30" si="96">(O30-O29)</f>
        <v>65</v>
      </c>
      <c r="R30" s="109">
        <f t="shared" si="7"/>
        <v>488.9800000000003</v>
      </c>
      <c r="S30" s="100">
        <f t="shared" si="8"/>
        <v>123.95</v>
      </c>
    </row>
    <row r="31" spans="1:19" ht="39.950000000000003" customHeight="1">
      <c r="A31" s="147">
        <v>44372</v>
      </c>
      <c r="B31" s="84"/>
      <c r="C31" s="85">
        <f>C30+157</f>
        <v>217474</v>
      </c>
      <c r="D31" s="180">
        <f t="shared" si="0"/>
        <v>157</v>
      </c>
      <c r="E31" s="85">
        <f>223123+862</f>
        <v>223985</v>
      </c>
      <c r="F31" s="180">
        <f t="shared" si="0"/>
        <v>293</v>
      </c>
      <c r="G31" s="85">
        <v>6733</v>
      </c>
      <c r="H31" s="180">
        <f t="shared" ref="H31" si="97">(G31-G30)</f>
        <v>2</v>
      </c>
      <c r="I31" s="85">
        <v>14015</v>
      </c>
      <c r="J31" s="180">
        <f t="shared" ref="J31" si="98">(I31-I30)</f>
        <v>8</v>
      </c>
      <c r="K31" s="85">
        <f>155745+154</f>
        <v>155899</v>
      </c>
      <c r="L31" s="180">
        <f t="shared" ref="L31" si="99">(K31-K30)</f>
        <v>154</v>
      </c>
      <c r="M31" s="180">
        <f t="shared" si="4"/>
        <v>84.7</v>
      </c>
      <c r="N31" s="180">
        <f t="shared" si="5"/>
        <v>69.3</v>
      </c>
      <c r="O31" s="85">
        <f>111319.573+215</f>
        <v>111534.573</v>
      </c>
      <c r="P31" s="180">
        <f t="shared" ref="P31" si="100">(O31-O30)</f>
        <v>66</v>
      </c>
      <c r="R31" s="109">
        <f t="shared" si="7"/>
        <v>544.70000000000005</v>
      </c>
      <c r="S31" s="100">
        <f t="shared" si="8"/>
        <v>135.30000000000001</v>
      </c>
    </row>
    <row r="32" spans="1:19" ht="39.950000000000003" customHeight="1">
      <c r="A32" s="147">
        <v>44373</v>
      </c>
      <c r="B32" s="84"/>
      <c r="C32" s="85">
        <f>C30+312</f>
        <v>217629</v>
      </c>
      <c r="D32" s="180">
        <f t="shared" si="0"/>
        <v>155</v>
      </c>
      <c r="E32" s="85">
        <f>223123+1071</f>
        <v>224194</v>
      </c>
      <c r="F32" s="180">
        <f t="shared" si="0"/>
        <v>209</v>
      </c>
      <c r="G32" s="85">
        <v>6735.7502000000004</v>
      </c>
      <c r="H32" s="180">
        <f t="shared" ref="H32" si="101">(G32-G31)</f>
        <v>2.7502000000004045</v>
      </c>
      <c r="I32" s="85">
        <v>14022</v>
      </c>
      <c r="J32" s="180">
        <f t="shared" ref="J32" si="102">(I32-I31)</f>
        <v>7</v>
      </c>
      <c r="K32" s="85">
        <f>155745+312</f>
        <v>156057</v>
      </c>
      <c r="L32" s="180">
        <f t="shared" ref="L32" si="103">(K32-K31)</f>
        <v>158</v>
      </c>
      <c r="M32" s="180">
        <f t="shared" si="4"/>
        <v>86.9</v>
      </c>
      <c r="N32" s="180">
        <f t="shared" si="5"/>
        <v>71.100000000000009</v>
      </c>
      <c r="O32" s="85">
        <f>111319.573+279</f>
        <v>111598.573</v>
      </c>
      <c r="P32" s="180">
        <f t="shared" ref="P32" si="104">(O32-O31)</f>
        <v>64</v>
      </c>
      <c r="R32" s="109">
        <f t="shared" si="7"/>
        <v>460.65020000000038</v>
      </c>
      <c r="S32" s="100">
        <f t="shared" si="8"/>
        <v>135.10000000000002</v>
      </c>
    </row>
    <row r="33" spans="1:19" ht="39.950000000000003" customHeight="1">
      <c r="A33" s="147">
        <v>44374</v>
      </c>
      <c r="B33" s="84"/>
      <c r="C33" s="85">
        <f>C30+493</f>
        <v>217810</v>
      </c>
      <c r="D33" s="180">
        <f t="shared" si="0"/>
        <v>181</v>
      </c>
      <c r="E33" s="85">
        <f>223123+1395</f>
        <v>224518</v>
      </c>
      <c r="F33" s="180">
        <f t="shared" si="0"/>
        <v>324</v>
      </c>
      <c r="G33" s="85">
        <v>6737.8819000000003</v>
      </c>
      <c r="H33" s="180">
        <f t="shared" ref="H33" si="105">(G33-G32)</f>
        <v>2.1316999999999098</v>
      </c>
      <c r="I33" s="85">
        <v>14038</v>
      </c>
      <c r="J33" s="180">
        <f t="shared" ref="J33" si="106">(I33-I32)</f>
        <v>16</v>
      </c>
      <c r="K33" s="85">
        <f>155745+409</f>
        <v>156154</v>
      </c>
      <c r="L33" s="180">
        <f t="shared" ref="L33" si="107">(K33-K32)</f>
        <v>97</v>
      </c>
      <c r="M33" s="180">
        <f t="shared" si="4"/>
        <v>53.35</v>
      </c>
      <c r="N33" s="180">
        <f t="shared" si="5"/>
        <v>43.65</v>
      </c>
      <c r="O33" s="85">
        <f>111319.573+362</f>
        <v>111681.573</v>
      </c>
      <c r="P33" s="180">
        <f t="shared" ref="P33" si="108">(O33-O32)</f>
        <v>83</v>
      </c>
      <c r="R33" s="109">
        <f t="shared" si="7"/>
        <v>576.48169999999993</v>
      </c>
      <c r="S33" s="100">
        <f t="shared" si="8"/>
        <v>126.65</v>
      </c>
    </row>
    <row r="34" spans="1:19" ht="39.950000000000003" customHeight="1">
      <c r="A34" s="147">
        <v>44375</v>
      </c>
      <c r="B34" s="84"/>
      <c r="C34" s="85">
        <f>C30+653</f>
        <v>217970</v>
      </c>
      <c r="D34" s="180">
        <f t="shared" si="0"/>
        <v>160</v>
      </c>
      <c r="E34" s="85">
        <f>223123+1697</f>
        <v>224820</v>
      </c>
      <c r="F34" s="180">
        <f t="shared" si="0"/>
        <v>302</v>
      </c>
      <c r="G34" s="85">
        <v>6743.8046999999997</v>
      </c>
      <c r="H34" s="180">
        <f t="shared" ref="H34" si="109">(G34-G33)</f>
        <v>5.9227999999993699</v>
      </c>
      <c r="I34" s="85">
        <v>14047</v>
      </c>
      <c r="J34" s="180">
        <f t="shared" ref="J34" si="110">(I34-I33)</f>
        <v>9</v>
      </c>
      <c r="K34" s="85">
        <f>155745+571</f>
        <v>156316</v>
      </c>
      <c r="L34" s="180">
        <f t="shared" ref="L34" si="111">(K34-K33)</f>
        <v>162</v>
      </c>
      <c r="M34" s="180">
        <f t="shared" si="4"/>
        <v>89.100000000000009</v>
      </c>
      <c r="N34" s="180">
        <f t="shared" si="5"/>
        <v>72.900000000000006</v>
      </c>
      <c r="O34" s="85">
        <f>111319.573+433</f>
        <v>111752.573</v>
      </c>
      <c r="P34" s="180">
        <f t="shared" ref="P34" si="112">(O34-O33)</f>
        <v>71</v>
      </c>
      <c r="R34" s="109">
        <f t="shared" si="7"/>
        <v>566.02279999999939</v>
      </c>
      <c r="S34" s="100">
        <f t="shared" si="8"/>
        <v>143.9</v>
      </c>
    </row>
    <row r="35" spans="1:19" ht="39.950000000000003" customHeight="1">
      <c r="A35" s="147">
        <v>44376</v>
      </c>
      <c r="B35" s="84"/>
      <c r="C35" s="85">
        <f>C30+784</f>
        <v>218101</v>
      </c>
      <c r="D35" s="180">
        <f t="shared" si="0"/>
        <v>131</v>
      </c>
      <c r="E35" s="85">
        <f>223123+1940</f>
        <v>225063</v>
      </c>
      <c r="F35" s="180">
        <f t="shared" si="0"/>
        <v>243</v>
      </c>
      <c r="G35" s="85">
        <v>6747.6647000000003</v>
      </c>
      <c r="H35" s="180">
        <f t="shared" ref="H35" si="113">(G35-G34)</f>
        <v>3.8600000000005821</v>
      </c>
      <c r="I35" s="85">
        <v>14059</v>
      </c>
      <c r="J35" s="180">
        <f t="shared" ref="J35" si="114">(I35-I34)</f>
        <v>12</v>
      </c>
      <c r="K35" s="85">
        <f>155745+797</f>
        <v>156542</v>
      </c>
      <c r="L35" s="180">
        <f t="shared" ref="L35" si="115">(K35-K34)</f>
        <v>226</v>
      </c>
      <c r="M35" s="180">
        <f t="shared" ref="M35:M36" si="116">L35*55%</f>
        <v>124.30000000000001</v>
      </c>
      <c r="N35" s="180">
        <f t="shared" ref="N35:N36" si="117">L35*45%</f>
        <v>101.7</v>
      </c>
      <c r="O35" s="85">
        <f>111319.573+522</f>
        <v>111841.573</v>
      </c>
      <c r="P35" s="180">
        <f t="shared" ref="P35" si="118">(O35-O34)</f>
        <v>89</v>
      </c>
      <c r="R35" s="109">
        <f t="shared" si="7"/>
        <v>514.16000000000054</v>
      </c>
      <c r="S35" s="100">
        <f t="shared" ref="S35:S36" si="119">SUM(N35,P35)</f>
        <v>190.7</v>
      </c>
    </row>
    <row r="36" spans="1:19" ht="39.950000000000003" customHeight="1">
      <c r="A36" s="147">
        <v>44377</v>
      </c>
      <c r="B36" s="84"/>
      <c r="C36" s="85">
        <f>C30+882</f>
        <v>218199</v>
      </c>
      <c r="D36" s="180">
        <f t="shared" si="0"/>
        <v>98</v>
      </c>
      <c r="E36" s="85">
        <f>223123+2209</f>
        <v>225332</v>
      </c>
      <c r="F36" s="180">
        <f t="shared" si="0"/>
        <v>269</v>
      </c>
      <c r="G36" s="85">
        <v>6752</v>
      </c>
      <c r="H36" s="180">
        <f t="shared" ref="H36" si="120">(G36-G35)</f>
        <v>4.3352999999997337</v>
      </c>
      <c r="I36" s="85">
        <v>14072</v>
      </c>
      <c r="J36" s="180">
        <f t="shared" ref="J36" si="121">(I36-I35)</f>
        <v>13</v>
      </c>
      <c r="K36" s="85">
        <f>155745+982</f>
        <v>156727</v>
      </c>
      <c r="L36" s="180">
        <f t="shared" ref="L36" si="122">(K36-K35)</f>
        <v>185</v>
      </c>
      <c r="M36" s="180">
        <f t="shared" si="116"/>
        <v>101.75000000000001</v>
      </c>
      <c r="N36" s="180">
        <f t="shared" si="117"/>
        <v>83.25</v>
      </c>
      <c r="O36" s="85">
        <f>111319.573+595</f>
        <v>111914.573</v>
      </c>
      <c r="P36" s="180">
        <f t="shared" ref="P36" si="123">(O36-O35)</f>
        <v>73</v>
      </c>
      <c r="R36" s="109">
        <f t="shared" si="7"/>
        <v>486.08529999999973</v>
      </c>
      <c r="S36" s="100">
        <f t="shared" si="119"/>
        <v>156.25</v>
      </c>
    </row>
    <row r="37" spans="1:19" ht="39.950000000000003" customHeight="1">
      <c r="A37" s="147"/>
      <c r="B37" s="16"/>
      <c r="C37" s="86"/>
      <c r="D37" s="180"/>
      <c r="E37" s="86"/>
      <c r="F37" s="180"/>
      <c r="G37" s="86"/>
      <c r="H37" s="180"/>
      <c r="I37" s="86"/>
      <c r="J37" s="180"/>
      <c r="K37" s="86"/>
      <c r="L37" s="77"/>
      <c r="M37" s="180"/>
      <c r="N37" s="180"/>
      <c r="O37" s="86"/>
      <c r="P37" s="180"/>
      <c r="R37" s="99"/>
      <c r="S37" s="100"/>
    </row>
    <row r="38" spans="1:19" s="22" customFormat="1" ht="39.950000000000003" customHeight="1">
      <c r="A38" s="21"/>
      <c r="D38" s="23">
        <f>SUM(D7:D37)</f>
        <v>4901</v>
      </c>
      <c r="F38" s="23">
        <f>SUM(F7:F37)</f>
        <v>8165</v>
      </c>
      <c r="H38" s="23">
        <f>SUM(H7:H37)</f>
        <v>158.05000000000018</v>
      </c>
      <c r="J38" s="23">
        <f>SUM(J7:J37)</f>
        <v>378</v>
      </c>
      <c r="L38" s="23">
        <f>SUM(L7:L37)</f>
        <v>4708</v>
      </c>
      <c r="M38" s="23"/>
      <c r="N38" s="23"/>
      <c r="P38" s="23">
        <f>SUM(P7:P37)</f>
        <v>2254.573000000004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C8" activePane="bottomRight" state="frozen"/>
      <selection pane="topRight" activeCell="C1" sqref="C1"/>
      <selection pane="bottomLeft" activeCell="A8" sqref="A8"/>
      <selection pane="bottomRight" activeCell="E5" sqref="E5"/>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16" t="s">
        <v>66</v>
      </c>
      <c r="D1" s="216"/>
      <c r="E1" s="216"/>
      <c r="F1" s="216"/>
      <c r="G1" s="216" t="s">
        <v>65</v>
      </c>
      <c r="H1" s="216"/>
      <c r="I1" s="216" t="s">
        <v>65</v>
      </c>
      <c r="J1" s="216"/>
      <c r="K1" s="216" t="s">
        <v>65</v>
      </c>
      <c r="L1" s="216"/>
      <c r="M1" s="216" t="s">
        <v>65</v>
      </c>
      <c r="N1" s="216"/>
      <c r="O1" s="216" t="s">
        <v>65</v>
      </c>
      <c r="P1" s="216"/>
      <c r="Q1" s="202" t="s">
        <v>65</v>
      </c>
      <c r="R1" s="203"/>
      <c r="S1" s="202" t="s">
        <v>65</v>
      </c>
      <c r="T1" s="203"/>
      <c r="U1" s="202" t="s">
        <v>65</v>
      </c>
      <c r="V1" s="203"/>
      <c r="W1" s="202" t="s">
        <v>65</v>
      </c>
      <c r="X1" s="204"/>
      <c r="Y1" s="216" t="s">
        <v>65</v>
      </c>
      <c r="Z1" s="216"/>
      <c r="AA1" s="202" t="s">
        <v>65</v>
      </c>
      <c r="AB1" s="203"/>
      <c r="AC1" s="216" t="s">
        <v>65</v>
      </c>
      <c r="AD1" s="216"/>
      <c r="AE1" s="216" t="s">
        <v>65</v>
      </c>
      <c r="AF1" s="216"/>
      <c r="AG1" s="216" t="s">
        <v>65</v>
      </c>
      <c r="AH1" s="216"/>
      <c r="AI1" s="216" t="s">
        <v>65</v>
      </c>
      <c r="AJ1" s="216"/>
      <c r="AK1" s="216" t="s">
        <v>65</v>
      </c>
      <c r="AL1" s="216"/>
      <c r="AM1" s="216" t="s">
        <v>67</v>
      </c>
      <c r="AN1" s="216"/>
      <c r="AO1" s="216" t="s">
        <v>67</v>
      </c>
      <c r="AP1" s="216"/>
      <c r="AQ1" s="216" t="s">
        <v>67</v>
      </c>
      <c r="AR1" s="216"/>
      <c r="AS1" s="216" t="s">
        <v>67</v>
      </c>
      <c r="AT1" s="216"/>
      <c r="AU1" s="216" t="s">
        <v>67</v>
      </c>
      <c r="AV1" s="216"/>
      <c r="AW1" s="216" t="s">
        <v>67</v>
      </c>
      <c r="AX1" s="216"/>
      <c r="AY1" s="216" t="s">
        <v>67</v>
      </c>
      <c r="AZ1" s="216"/>
      <c r="BA1" s="216" t="s">
        <v>67</v>
      </c>
      <c r="BB1" s="216"/>
      <c r="BC1" s="216" t="s">
        <v>67</v>
      </c>
      <c r="BD1" s="216"/>
      <c r="BE1" s="216" t="s">
        <v>67</v>
      </c>
      <c r="BF1" s="216"/>
      <c r="BH1" s="33"/>
      <c r="BI1" s="33"/>
    </row>
    <row r="2" spans="1:61" s="25" customFormat="1" ht="75.75" customHeight="1">
      <c r="A2" s="50"/>
      <c r="B2" s="50"/>
      <c r="C2" s="232" t="s">
        <v>117</v>
      </c>
      <c r="D2" s="232"/>
      <c r="E2" s="232"/>
      <c r="F2" s="232"/>
      <c r="G2" s="232" t="s">
        <v>118</v>
      </c>
      <c r="H2" s="232"/>
      <c r="I2" s="232" t="s">
        <v>119</v>
      </c>
      <c r="J2" s="232"/>
      <c r="K2" s="232" t="s">
        <v>120</v>
      </c>
      <c r="L2" s="232"/>
      <c r="M2" s="232" t="s">
        <v>121</v>
      </c>
      <c r="N2" s="232"/>
      <c r="O2" s="230" t="s">
        <v>122</v>
      </c>
      <c r="P2" s="231"/>
      <c r="Q2" s="230" t="s">
        <v>123</v>
      </c>
      <c r="R2" s="231"/>
      <c r="S2" s="230" t="s">
        <v>124</v>
      </c>
      <c r="T2" s="231"/>
      <c r="U2" s="230" t="s">
        <v>125</v>
      </c>
      <c r="V2" s="231"/>
      <c r="W2" s="230" t="s">
        <v>126</v>
      </c>
      <c r="X2" s="233"/>
      <c r="Y2" s="232" t="s">
        <v>127</v>
      </c>
      <c r="Z2" s="232"/>
      <c r="AA2" s="230" t="s">
        <v>128</v>
      </c>
      <c r="AB2" s="231"/>
      <c r="AC2" s="232" t="s">
        <v>129</v>
      </c>
      <c r="AD2" s="232"/>
      <c r="AE2" s="232" t="s">
        <v>130</v>
      </c>
      <c r="AF2" s="232"/>
      <c r="AG2" s="232" t="s">
        <v>130</v>
      </c>
      <c r="AH2" s="232"/>
      <c r="AI2" s="232" t="s">
        <v>130</v>
      </c>
      <c r="AJ2" s="232"/>
      <c r="AK2" s="232" t="s">
        <v>130</v>
      </c>
      <c r="AL2" s="232"/>
      <c r="AM2" s="232" t="s">
        <v>131</v>
      </c>
      <c r="AN2" s="232"/>
      <c r="AO2" s="232" t="s">
        <v>132</v>
      </c>
      <c r="AP2" s="232"/>
      <c r="AQ2" s="232" t="s">
        <v>133</v>
      </c>
      <c r="AR2" s="232"/>
      <c r="AS2" s="232" t="s">
        <v>133</v>
      </c>
      <c r="AT2" s="232"/>
      <c r="AU2" s="232" t="s">
        <v>134</v>
      </c>
      <c r="AV2" s="232"/>
      <c r="AW2" s="232" t="s">
        <v>135</v>
      </c>
      <c r="AX2" s="232"/>
      <c r="AY2" s="232" t="s">
        <v>136</v>
      </c>
      <c r="AZ2" s="232"/>
      <c r="BA2" s="232" t="s">
        <v>136</v>
      </c>
      <c r="BB2" s="232"/>
      <c r="BC2" s="232" t="s">
        <v>137</v>
      </c>
      <c r="BD2" s="232"/>
      <c r="BE2" s="232" t="s">
        <v>137</v>
      </c>
      <c r="BF2" s="232"/>
      <c r="BH2" s="33"/>
      <c r="BI2" s="33"/>
    </row>
    <row r="3" spans="1:61" s="10" customFormat="1" ht="87.75" customHeight="1">
      <c r="A3" s="110"/>
      <c r="B3" s="110"/>
      <c r="C3" s="237" t="s">
        <v>138</v>
      </c>
      <c r="D3" s="238"/>
      <c r="E3" s="110" t="s">
        <v>65</v>
      </c>
      <c r="F3" s="112" t="s">
        <v>67</v>
      </c>
      <c r="G3" s="236" t="s">
        <v>139</v>
      </c>
      <c r="H3" s="235"/>
      <c r="I3" s="236" t="s">
        <v>139</v>
      </c>
      <c r="J3" s="235"/>
      <c r="K3" s="236" t="s">
        <v>139</v>
      </c>
      <c r="L3" s="235"/>
      <c r="M3" s="239" t="s">
        <v>140</v>
      </c>
      <c r="N3" s="240"/>
      <c r="O3" s="236" t="s">
        <v>139</v>
      </c>
      <c r="P3" s="235"/>
      <c r="Q3" s="236" t="s">
        <v>139</v>
      </c>
      <c r="R3" s="235"/>
      <c r="S3" s="243" t="s">
        <v>139</v>
      </c>
      <c r="T3" s="244"/>
      <c r="U3" s="236" t="s">
        <v>139</v>
      </c>
      <c r="V3" s="235"/>
      <c r="W3" s="236" t="s">
        <v>139</v>
      </c>
      <c r="X3" s="235"/>
      <c r="Y3" s="234" t="s">
        <v>141</v>
      </c>
      <c r="Z3" s="235"/>
      <c r="AA3" s="236" t="s">
        <v>142</v>
      </c>
      <c r="AB3" s="235"/>
      <c r="AC3" s="236" t="s">
        <v>143</v>
      </c>
      <c r="AD3" s="235"/>
      <c r="AE3" s="236" t="s">
        <v>143</v>
      </c>
      <c r="AF3" s="235"/>
      <c r="AG3" s="234" t="s">
        <v>144</v>
      </c>
      <c r="AH3" s="235"/>
      <c r="AI3" s="236" t="s">
        <v>145</v>
      </c>
      <c r="AJ3" s="235"/>
      <c r="AK3" s="234" t="s">
        <v>146</v>
      </c>
      <c r="AL3" s="235"/>
      <c r="AM3" s="236" t="s">
        <v>147</v>
      </c>
      <c r="AN3" s="235"/>
      <c r="AO3" s="236" t="s">
        <v>147</v>
      </c>
      <c r="AP3" s="235"/>
      <c r="AQ3" s="234" t="s">
        <v>148</v>
      </c>
      <c r="AR3" s="235"/>
      <c r="AS3" s="236" t="s">
        <v>149</v>
      </c>
      <c r="AT3" s="235"/>
      <c r="AU3" s="234" t="s">
        <v>150</v>
      </c>
      <c r="AV3" s="235"/>
      <c r="AW3" s="234" t="s">
        <v>150</v>
      </c>
      <c r="AX3" s="235"/>
      <c r="AY3" s="236" t="s">
        <v>145</v>
      </c>
      <c r="AZ3" s="235"/>
      <c r="BA3" s="234" t="s">
        <v>146</v>
      </c>
      <c r="BB3" s="235"/>
      <c r="BC3" s="236" t="s">
        <v>145</v>
      </c>
      <c r="BD3" s="235"/>
      <c r="BE3" s="234" t="s">
        <v>146</v>
      </c>
      <c r="BF3" s="235"/>
      <c r="BH3" s="33"/>
      <c r="BI3" s="33"/>
    </row>
    <row r="4" spans="1:61" s="25" customFormat="1" ht="50.1" customHeight="1">
      <c r="A4" s="110"/>
      <c r="B4" s="50"/>
      <c r="C4" s="208" t="s">
        <v>151</v>
      </c>
      <c r="D4" s="210"/>
      <c r="E4" s="241" t="s">
        <v>152</v>
      </c>
      <c r="F4" s="242"/>
      <c r="G4" s="208" t="s">
        <v>153</v>
      </c>
      <c r="H4" s="210"/>
      <c r="I4" s="208" t="s">
        <v>154</v>
      </c>
      <c r="J4" s="210"/>
      <c r="K4" s="208" t="s">
        <v>155</v>
      </c>
      <c r="L4" s="210"/>
      <c r="M4" s="208">
        <v>7092801222</v>
      </c>
      <c r="N4" s="210"/>
      <c r="O4" s="208" t="s">
        <v>156</v>
      </c>
      <c r="P4" s="209"/>
      <c r="Q4" s="208" t="s">
        <v>157</v>
      </c>
      <c r="R4" s="209"/>
      <c r="S4" s="208" t="s">
        <v>158</v>
      </c>
      <c r="T4" s="209"/>
      <c r="U4" s="208" t="s">
        <v>159</v>
      </c>
      <c r="V4" s="209"/>
      <c r="W4" s="208" t="s">
        <v>160</v>
      </c>
      <c r="X4" s="210"/>
      <c r="Y4" s="208" t="s">
        <v>161</v>
      </c>
      <c r="Z4" s="210"/>
      <c r="AA4" s="208" t="s">
        <v>162</v>
      </c>
      <c r="AB4" s="209"/>
      <c r="AC4" s="208" t="s">
        <v>163</v>
      </c>
      <c r="AD4" s="210"/>
      <c r="AE4" s="208" t="s">
        <v>164</v>
      </c>
      <c r="AF4" s="210"/>
      <c r="AG4" s="208" t="s">
        <v>165</v>
      </c>
      <c r="AH4" s="210"/>
      <c r="AI4" s="208">
        <v>7105826734</v>
      </c>
      <c r="AJ4" s="210"/>
      <c r="AK4" s="208">
        <v>7105825932</v>
      </c>
      <c r="AL4" s="210"/>
      <c r="AM4" s="208" t="s">
        <v>166</v>
      </c>
      <c r="AN4" s="210"/>
      <c r="AO4" s="208" t="s">
        <v>167</v>
      </c>
      <c r="AP4" s="210"/>
      <c r="AQ4" s="208" t="s">
        <v>168</v>
      </c>
      <c r="AR4" s="210"/>
      <c r="AS4" s="208" t="s">
        <v>169</v>
      </c>
      <c r="AT4" s="210"/>
      <c r="AU4" s="208" t="s">
        <v>170</v>
      </c>
      <c r="AV4" s="210"/>
      <c r="AW4" s="208" t="s">
        <v>171</v>
      </c>
      <c r="AX4" s="210"/>
      <c r="AY4" s="208">
        <v>7111912486</v>
      </c>
      <c r="AZ4" s="210"/>
      <c r="BA4" s="208">
        <v>7111911842</v>
      </c>
      <c r="BB4" s="210"/>
      <c r="BC4" s="208">
        <v>7111913281</v>
      </c>
      <c r="BD4" s="210"/>
      <c r="BE4" s="208">
        <v>7111912723</v>
      </c>
      <c r="BF4" s="210"/>
      <c r="BH4" s="217" t="s">
        <v>81</v>
      </c>
      <c r="BI4" s="217"/>
    </row>
    <row r="5" spans="1:61" s="25" customFormat="1" ht="50.1" customHeight="1">
      <c r="A5" s="50" t="s">
        <v>172</v>
      </c>
      <c r="B5" s="50"/>
      <c r="C5" s="208" t="s">
        <v>173</v>
      </c>
      <c r="D5" s="210"/>
      <c r="E5" s="82">
        <v>0.55000000000000004</v>
      </c>
      <c r="F5" s="31">
        <v>0.45</v>
      </c>
      <c r="G5" s="208" t="s">
        <v>174</v>
      </c>
      <c r="H5" s="210"/>
      <c r="I5" s="208" t="s">
        <v>175</v>
      </c>
      <c r="J5" s="210"/>
      <c r="K5" s="208" t="s">
        <v>176</v>
      </c>
      <c r="L5" s="210"/>
      <c r="M5" s="208" t="s">
        <v>177</v>
      </c>
      <c r="N5" s="210"/>
      <c r="O5" s="208" t="s">
        <v>178</v>
      </c>
      <c r="P5" s="209"/>
      <c r="Q5" s="208" t="s">
        <v>179</v>
      </c>
      <c r="R5" s="209"/>
      <c r="S5" s="208" t="s">
        <v>180</v>
      </c>
      <c r="T5" s="209"/>
      <c r="U5" s="208" t="s">
        <v>181</v>
      </c>
      <c r="V5" s="209"/>
      <c r="W5" s="208" t="s">
        <v>182</v>
      </c>
      <c r="X5" s="210"/>
      <c r="Y5" s="208" t="s">
        <v>183</v>
      </c>
      <c r="Z5" s="210"/>
      <c r="AA5" s="208" t="s">
        <v>184</v>
      </c>
      <c r="AB5" s="209"/>
      <c r="AC5" s="208" t="s">
        <v>185</v>
      </c>
      <c r="AD5" s="210"/>
      <c r="AE5" s="208" t="s">
        <v>186</v>
      </c>
      <c r="AF5" s="210"/>
      <c r="AG5" s="208" t="s">
        <v>187</v>
      </c>
      <c r="AH5" s="210"/>
      <c r="AI5" s="208" t="s">
        <v>188</v>
      </c>
      <c r="AJ5" s="210"/>
      <c r="AK5" s="208" t="s">
        <v>189</v>
      </c>
      <c r="AL5" s="210"/>
      <c r="AM5" s="208" t="s">
        <v>190</v>
      </c>
      <c r="AN5" s="210"/>
      <c r="AO5" s="208" t="s">
        <v>191</v>
      </c>
      <c r="AP5" s="210"/>
      <c r="AQ5" s="208" t="s">
        <v>192</v>
      </c>
      <c r="AR5" s="210"/>
      <c r="AS5" s="208" t="s">
        <v>193</v>
      </c>
      <c r="AT5" s="210"/>
      <c r="AU5" s="208" t="s">
        <v>194</v>
      </c>
      <c r="AV5" s="210"/>
      <c r="AW5" s="208" t="s">
        <v>195</v>
      </c>
      <c r="AX5" s="210"/>
      <c r="AY5" s="208">
        <v>744483</v>
      </c>
      <c r="AZ5" s="210"/>
      <c r="BA5" s="208">
        <v>119314</v>
      </c>
      <c r="BB5" s="210"/>
      <c r="BC5" s="208">
        <v>1053229</v>
      </c>
      <c r="BD5" s="210"/>
      <c r="BE5" s="208">
        <v>1053215</v>
      </c>
      <c r="BF5" s="210"/>
      <c r="BH5" s="217"/>
      <c r="BI5" s="217"/>
    </row>
    <row r="6" spans="1:61" s="8" customFormat="1" ht="30" customHeight="1">
      <c r="A6" s="110" t="s">
        <v>96</v>
      </c>
      <c r="B6" s="51"/>
      <c r="C6" s="200"/>
      <c r="D6" s="201"/>
      <c r="E6" s="83"/>
      <c r="F6" s="115"/>
      <c r="G6" s="110"/>
      <c r="H6" s="51"/>
      <c r="I6" s="200"/>
      <c r="J6" s="201"/>
      <c r="K6" s="200"/>
      <c r="L6" s="201"/>
      <c r="M6" s="200"/>
      <c r="N6" s="201"/>
      <c r="O6" s="200"/>
      <c r="P6" s="214"/>
      <c r="Q6" s="200"/>
      <c r="R6" s="214"/>
      <c r="S6" s="200"/>
      <c r="T6" s="214"/>
      <c r="U6" s="200"/>
      <c r="V6" s="214"/>
      <c r="W6" s="200"/>
      <c r="X6" s="201"/>
      <c r="Y6" s="200"/>
      <c r="Z6" s="201"/>
      <c r="AA6" s="200"/>
      <c r="AB6" s="214"/>
      <c r="AC6" s="200"/>
      <c r="AD6" s="201"/>
      <c r="AE6" s="200"/>
      <c r="AF6" s="201"/>
      <c r="AG6" s="200"/>
      <c r="AH6" s="201"/>
      <c r="AI6" s="200"/>
      <c r="AJ6" s="201"/>
      <c r="AK6" s="200"/>
      <c r="AL6" s="201"/>
      <c r="AM6" s="200"/>
      <c r="AN6" s="201"/>
      <c r="AO6" s="200"/>
      <c r="AP6" s="201"/>
      <c r="AQ6" s="200"/>
      <c r="AR6" s="201"/>
      <c r="AS6" s="200"/>
      <c r="AT6" s="201"/>
      <c r="AU6" s="200"/>
      <c r="AV6" s="201"/>
      <c r="AW6" s="200"/>
      <c r="AX6" s="201"/>
      <c r="AY6" s="200"/>
      <c r="AZ6" s="201"/>
      <c r="BA6" s="200"/>
      <c r="BB6" s="201"/>
      <c r="BC6" s="200"/>
      <c r="BD6" s="201"/>
      <c r="BE6" s="200"/>
      <c r="BF6" s="201"/>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7">
        <v>44348</v>
      </c>
      <c r="B9" s="28"/>
      <c r="C9" s="80">
        <v>6071165</v>
      </c>
      <c r="D9" s="38">
        <f>(+C9-+C8)*48</f>
        <v>97728</v>
      </c>
      <c r="E9" s="107">
        <f>D9*E5</f>
        <v>53750.400000000001</v>
      </c>
      <c r="F9" s="107">
        <f>D9*F5</f>
        <v>43977.599999999999</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97684.367999999871</v>
      </c>
      <c r="BI9" s="108">
        <f t="shared" ref="BI9:BI36" si="2">SUM(F9,AN9,AP9,AT9,AV9,AX9,AR9,AZ9,BB9,BD9,BF9)</f>
        <v>61929.599999999999</v>
      </c>
    </row>
    <row r="10" spans="1:61" s="36" customFormat="1" ht="39.950000000000003" customHeight="1">
      <c r="A10" s="147">
        <v>44349</v>
      </c>
      <c r="B10" s="35"/>
      <c r="C10" s="86">
        <v>6073106</v>
      </c>
      <c r="D10" s="38">
        <f t="shared" ref="D10" si="3">(+C10-+C9)*48</f>
        <v>93168</v>
      </c>
      <c r="E10" s="107">
        <f>D10*E5</f>
        <v>51242.400000000001</v>
      </c>
      <c r="F10" s="107">
        <f>D10*F5</f>
        <v>41925.599999999999</v>
      </c>
      <c r="G10" s="86">
        <v>282300</v>
      </c>
      <c r="H10" s="38">
        <f t="shared" ref="H10" si="4">(+G10-+G9)*48</f>
        <v>1536</v>
      </c>
      <c r="I10" s="86">
        <v>126709</v>
      </c>
      <c r="J10" s="38">
        <f t="shared" ref="J10" si="5">(+I10-+I9)*48</f>
        <v>7728</v>
      </c>
      <c r="K10" s="86">
        <v>258661</v>
      </c>
      <c r="L10" s="38">
        <f t="shared" si="0"/>
        <v>1008</v>
      </c>
      <c r="M10" s="86">
        <v>24781</v>
      </c>
      <c r="N10" s="38">
        <f t="shared" ref="N10" si="6">(+M10-+M9)*48</f>
        <v>0</v>
      </c>
      <c r="O10" s="86">
        <v>264912</v>
      </c>
      <c r="P10" s="38">
        <f t="shared" ref="P10" si="7">(+O10-+O9)*48</f>
        <v>9360</v>
      </c>
      <c r="Q10" s="86">
        <v>449632</v>
      </c>
      <c r="R10" s="38">
        <f t="shared" ref="R10" si="8">(+Q10-+Q9)*48</f>
        <v>3408</v>
      </c>
      <c r="S10" s="86">
        <v>725044</v>
      </c>
      <c r="T10" s="38">
        <f t="shared" ref="T10" si="9">(+S10-+S9)*48</f>
        <v>5472</v>
      </c>
      <c r="U10" s="86">
        <v>99856.747000000003</v>
      </c>
      <c r="V10" s="107">
        <f t="shared" ref="V10" si="10">(+U10-+U9)*48</f>
        <v>908.30400000046939</v>
      </c>
      <c r="W10" s="86">
        <v>80995</v>
      </c>
      <c r="X10" s="38">
        <f t="shared" ref="X10" si="11">(+W10-+W9)*48</f>
        <v>624</v>
      </c>
      <c r="Y10" s="86">
        <v>1499570</v>
      </c>
      <c r="Z10" s="38">
        <f t="shared" ref="Z10" si="12">(+Y10-+Y9)*48</f>
        <v>0</v>
      </c>
      <c r="AA10" s="86">
        <v>13264</v>
      </c>
      <c r="AB10" s="38">
        <f t="shared" ref="AB10" si="13">(+AA10-+AA9)*48</f>
        <v>0</v>
      </c>
      <c r="AC10" s="86">
        <v>456914</v>
      </c>
      <c r="AD10" s="38">
        <f t="shared" ref="AD10:AF36" si="14">(+AC10-+AC9)*48</f>
        <v>5280</v>
      </c>
      <c r="AE10" s="86">
        <v>529749</v>
      </c>
      <c r="AF10" s="38">
        <f t="shared" si="14"/>
        <v>5664</v>
      </c>
      <c r="AG10" s="86">
        <v>49769</v>
      </c>
      <c r="AH10" s="38">
        <f t="shared" ref="AH10" si="15">(+AG10-+AG9)*48</f>
        <v>0</v>
      </c>
      <c r="AI10" s="86">
        <v>417492</v>
      </c>
      <c r="AJ10" s="38">
        <f t="shared" ref="AJ10" si="16">(+AI10-+AI9)*48</f>
        <v>3072</v>
      </c>
      <c r="AK10" s="86">
        <v>102770</v>
      </c>
      <c r="AL10" s="38">
        <f t="shared" ref="AL10" si="17">(+AK10-+AK9)*48</f>
        <v>0</v>
      </c>
      <c r="AM10" s="86">
        <v>574887</v>
      </c>
      <c r="AN10" s="38">
        <f t="shared" ref="AN10" si="18">(+AM10-+AM9)*48</f>
        <v>5472</v>
      </c>
      <c r="AO10" s="86">
        <v>930707</v>
      </c>
      <c r="AP10" s="38">
        <f t="shared" ref="AP10" si="19">(+AO10-+AO9)*48</f>
        <v>9168</v>
      </c>
      <c r="AQ10" s="86">
        <v>77871</v>
      </c>
      <c r="AR10" s="38">
        <f t="shared" ref="AR10" si="20">(+AQ10-+AQ9)*48</f>
        <v>0</v>
      </c>
      <c r="AS10" s="86">
        <v>2262</v>
      </c>
      <c r="AT10" s="38">
        <f t="shared" ref="AT10" si="21">(+AS10-+AS9)*48</f>
        <v>0</v>
      </c>
      <c r="AU10" s="86">
        <v>939</v>
      </c>
      <c r="AV10" s="38">
        <f t="shared" ref="AV10" si="22">(+AU10-+AU9)*48</f>
        <v>0</v>
      </c>
      <c r="AW10" s="86">
        <v>3109</v>
      </c>
      <c r="AX10" s="38">
        <f t="shared" ref="AX10" si="23">(+AW10-+AW9)*48</f>
        <v>0</v>
      </c>
      <c r="AY10" s="86">
        <v>317456</v>
      </c>
      <c r="AZ10" s="38">
        <f t="shared" ref="AZ10" si="24">(+AY10-+AY9)*48</f>
        <v>3168</v>
      </c>
      <c r="BA10" s="86">
        <v>161101</v>
      </c>
      <c r="BB10" s="38">
        <f t="shared" ref="BB10" si="25">(+BA10-+BA9)*48</f>
        <v>0</v>
      </c>
      <c r="BC10" s="86">
        <v>217077</v>
      </c>
      <c r="BD10" s="38">
        <f t="shared" ref="BD10" si="26">(+BC10-+BC9)*48</f>
        <v>2016</v>
      </c>
      <c r="BE10" s="86">
        <v>5347</v>
      </c>
      <c r="BF10" s="38">
        <f t="shared" ref="BF10" si="27">(+BE10-+BE9)*48</f>
        <v>0</v>
      </c>
      <c r="BH10" s="108">
        <f t="shared" si="1"/>
        <v>95302.704000000464</v>
      </c>
      <c r="BI10" s="108">
        <f t="shared" si="2"/>
        <v>61749.599999999999</v>
      </c>
    </row>
    <row r="11" spans="1:61" s="36" customFormat="1" ht="39.950000000000003" customHeight="1">
      <c r="A11" s="147">
        <v>44350</v>
      </c>
      <c r="B11" s="35"/>
      <c r="C11" s="86">
        <v>6075063</v>
      </c>
      <c r="D11" s="38">
        <f t="shared" ref="D11" si="28">(+C11-+C10)*48</f>
        <v>93936</v>
      </c>
      <c r="E11" s="107">
        <f>D11*E5</f>
        <v>51664.800000000003</v>
      </c>
      <c r="F11" s="107">
        <f>D11*F5</f>
        <v>42271.200000000004</v>
      </c>
      <c r="G11" s="86">
        <v>282328</v>
      </c>
      <c r="H11" s="38">
        <f t="shared" ref="H11" si="29">(+G11-+G10)*48</f>
        <v>1344</v>
      </c>
      <c r="I11" s="86">
        <v>126874</v>
      </c>
      <c r="J11" s="38">
        <f t="shared" ref="J11" si="30">(+I11-+I10)*48</f>
        <v>7920</v>
      </c>
      <c r="K11" s="86">
        <v>258669</v>
      </c>
      <c r="L11" s="38">
        <f t="shared" si="0"/>
        <v>384</v>
      </c>
      <c r="M11" s="86">
        <v>24781</v>
      </c>
      <c r="N11" s="38">
        <f t="shared" ref="N11" si="31">(+M11-+M10)*48</f>
        <v>0</v>
      </c>
      <c r="O11" s="86">
        <v>265112</v>
      </c>
      <c r="P11" s="38">
        <f t="shared" ref="P11" si="32">(+O11-+O10)*48</f>
        <v>9600</v>
      </c>
      <c r="Q11" s="86">
        <v>449690</v>
      </c>
      <c r="R11" s="38">
        <f t="shared" ref="R11" si="33">(+Q11-+Q10)*48</f>
        <v>2784</v>
      </c>
      <c r="S11" s="86">
        <v>725169</v>
      </c>
      <c r="T11" s="38">
        <f t="shared" ref="T11" si="34">(+S11-+S10)*48</f>
        <v>6000</v>
      </c>
      <c r="U11" s="86">
        <v>99874.52</v>
      </c>
      <c r="V11" s="107">
        <f t="shared" ref="V11" si="35">(+U11-+U10)*48</f>
        <v>853.10400000005029</v>
      </c>
      <c r="W11" s="86">
        <v>81008</v>
      </c>
      <c r="X11" s="38">
        <f t="shared" ref="X11" si="36">(+W11-+W10)*48</f>
        <v>624</v>
      </c>
      <c r="Y11" s="86">
        <v>1499570</v>
      </c>
      <c r="Z11" s="38">
        <f t="shared" ref="Z11" si="37">(+Y11-+Y10)*48</f>
        <v>0</v>
      </c>
      <c r="AA11" s="86">
        <v>13264</v>
      </c>
      <c r="AB11" s="38">
        <f t="shared" ref="AB11" si="38">(+AA11-+AA10)*48</f>
        <v>0</v>
      </c>
      <c r="AC11" s="86">
        <v>457021</v>
      </c>
      <c r="AD11" s="38">
        <f t="shared" si="14"/>
        <v>5136</v>
      </c>
      <c r="AE11" s="86">
        <v>529828</v>
      </c>
      <c r="AF11" s="38">
        <f t="shared" si="14"/>
        <v>3792</v>
      </c>
      <c r="AG11" s="86">
        <v>49769</v>
      </c>
      <c r="AH11" s="38">
        <f t="shared" ref="AH11" si="39">(+AG11-+AG10)*48</f>
        <v>0</v>
      </c>
      <c r="AI11" s="86">
        <v>417532</v>
      </c>
      <c r="AJ11" s="38">
        <f t="shared" ref="AJ11" si="40">(+AI11-+AI10)*48</f>
        <v>1920</v>
      </c>
      <c r="AK11" s="86">
        <v>102770</v>
      </c>
      <c r="AL11" s="38">
        <f t="shared" ref="AL11" si="41">(+AK11-+AK10)*48</f>
        <v>0</v>
      </c>
      <c r="AM11" s="86">
        <v>574887</v>
      </c>
      <c r="AN11" s="38">
        <f t="shared" ref="AN11" si="42">(+AM11-+AM10)*48</f>
        <v>0</v>
      </c>
      <c r="AO11" s="86">
        <v>930901</v>
      </c>
      <c r="AP11" s="38">
        <f t="shared" ref="AP11" si="43">(+AO11-+AO10)*48</f>
        <v>9312</v>
      </c>
      <c r="AQ11" s="86">
        <v>77871</v>
      </c>
      <c r="AR11" s="38">
        <f t="shared" ref="AR11" si="44">(+AQ11-+AQ10)*48</f>
        <v>0</v>
      </c>
      <c r="AS11" s="86">
        <v>2262</v>
      </c>
      <c r="AT11" s="38">
        <f t="shared" ref="AT11" si="45">(+AS11-+AS10)*48</f>
        <v>0</v>
      </c>
      <c r="AU11" s="86">
        <v>939</v>
      </c>
      <c r="AV11" s="38">
        <f t="shared" ref="AV11" si="46">(+AU11-+AU10)*48</f>
        <v>0</v>
      </c>
      <c r="AW11" s="86">
        <v>3109</v>
      </c>
      <c r="AX11" s="38">
        <f t="shared" ref="AX11" si="47">(+AW11-+AW10)*48</f>
        <v>0</v>
      </c>
      <c r="AY11" s="86">
        <v>317522</v>
      </c>
      <c r="AZ11" s="38">
        <f t="shared" ref="AZ11" si="48">(+AY11-+AY10)*48</f>
        <v>3168</v>
      </c>
      <c r="BA11" s="86">
        <v>161101</v>
      </c>
      <c r="BB11" s="38">
        <f t="shared" ref="BB11" si="49">(+BA11-+BA10)*48</f>
        <v>0</v>
      </c>
      <c r="BC11" s="86">
        <v>217118</v>
      </c>
      <c r="BD11" s="38">
        <f t="shared" ref="BD11" si="50">(+BC11-+BC10)*48</f>
        <v>1968</v>
      </c>
      <c r="BE11" s="86">
        <v>5347</v>
      </c>
      <c r="BF11" s="38">
        <f t="shared" ref="BF11" si="51">(+BE11-+BE10)*48</f>
        <v>0</v>
      </c>
      <c r="BH11" s="108">
        <f t="shared" si="1"/>
        <v>92021.904000000053</v>
      </c>
      <c r="BI11" s="108">
        <f t="shared" si="2"/>
        <v>56719.200000000004</v>
      </c>
    </row>
    <row r="12" spans="1:61" s="36" customFormat="1" ht="39.950000000000003" customHeight="1">
      <c r="A12" s="147">
        <v>44351</v>
      </c>
      <c r="B12" s="35"/>
      <c r="C12" s="86">
        <f>(C13+C11)/2</f>
        <v>6077002</v>
      </c>
      <c r="D12" s="38">
        <f t="shared" ref="D12" si="52">(+C12-+C11)*48</f>
        <v>93072</v>
      </c>
      <c r="E12" s="107">
        <f>D12*E5</f>
        <v>51189.600000000006</v>
      </c>
      <c r="F12" s="107">
        <f>D12*F5</f>
        <v>41882.400000000001</v>
      </c>
      <c r="G12" s="86">
        <v>282364</v>
      </c>
      <c r="H12" s="38">
        <f t="shared" ref="H12" si="53">(+G12-+G11)*48</f>
        <v>1728</v>
      </c>
      <c r="I12" s="86">
        <v>127035</v>
      </c>
      <c r="J12" s="38">
        <f t="shared" ref="J12" si="54">(+I12-+I11)*48</f>
        <v>7728</v>
      </c>
      <c r="K12" s="86">
        <v>258682</v>
      </c>
      <c r="L12" s="38">
        <f t="shared" si="0"/>
        <v>624</v>
      </c>
      <c r="M12" s="86">
        <v>24781</v>
      </c>
      <c r="N12" s="38">
        <f t="shared" ref="N12" si="55">(+M12-+M11)*48</f>
        <v>0</v>
      </c>
      <c r="O12" s="86">
        <v>265321</v>
      </c>
      <c r="P12" s="38">
        <f t="shared" ref="P12" si="56">(+O12-+O11)*48</f>
        <v>10032</v>
      </c>
      <c r="Q12" s="86">
        <v>449746</v>
      </c>
      <c r="R12" s="38">
        <f t="shared" ref="R12" si="57">(+Q12-+Q11)*48</f>
        <v>2688</v>
      </c>
      <c r="S12" s="86">
        <v>725304</v>
      </c>
      <c r="T12" s="38">
        <f t="shared" ref="T12" si="58">(+S12-+S11)*48</f>
        <v>6480</v>
      </c>
      <c r="U12" s="86">
        <v>99895.312000000005</v>
      </c>
      <c r="V12" s="107">
        <f t="shared" ref="V12" si="59">(+U12-+U11)*48</f>
        <v>998.01600000006147</v>
      </c>
      <c r="W12" s="86">
        <v>81020</v>
      </c>
      <c r="X12" s="38">
        <f t="shared" ref="X12" si="60">(+W12-+W11)*48</f>
        <v>576</v>
      </c>
      <c r="Y12" s="86">
        <v>1499589</v>
      </c>
      <c r="Z12" s="38">
        <f t="shared" ref="Z12" si="61">(+Y12-+Y11)*48</f>
        <v>912</v>
      </c>
      <c r="AA12" s="86">
        <v>13264</v>
      </c>
      <c r="AB12" s="38">
        <f t="shared" ref="AB12" si="62">(+AA12-+AA11)*48</f>
        <v>0</v>
      </c>
      <c r="AC12" s="86">
        <v>457127</v>
      </c>
      <c r="AD12" s="38">
        <f t="shared" si="14"/>
        <v>5088</v>
      </c>
      <c r="AE12" s="86">
        <v>529868</v>
      </c>
      <c r="AF12" s="38">
        <f t="shared" si="14"/>
        <v>1920</v>
      </c>
      <c r="AG12" s="86">
        <v>49769</v>
      </c>
      <c r="AH12" s="38">
        <f t="shared" ref="AH12" si="63">(+AG12-+AG11)*48</f>
        <v>0</v>
      </c>
      <c r="AI12" s="86">
        <v>417617</v>
      </c>
      <c r="AJ12" s="38">
        <f t="shared" ref="AJ12" si="64">(+AI12-+AI11)*48</f>
        <v>4080</v>
      </c>
      <c r="AK12" s="86">
        <v>102770</v>
      </c>
      <c r="AL12" s="38">
        <f t="shared" ref="AL12" si="65">(+AK12-+AK11)*48</f>
        <v>0</v>
      </c>
      <c r="AM12" s="86">
        <v>574999</v>
      </c>
      <c r="AN12" s="38">
        <f t="shared" ref="AN12" si="66">(+AM12-+AM11)*48</f>
        <v>5376</v>
      </c>
      <c r="AO12" s="86">
        <v>931094</v>
      </c>
      <c r="AP12" s="38">
        <f t="shared" ref="AP12" si="67">(+AO12-+AO11)*48</f>
        <v>9264</v>
      </c>
      <c r="AQ12" s="86">
        <v>77871</v>
      </c>
      <c r="AR12" s="38">
        <f t="shared" ref="AR12" si="68">(+AQ12-+AQ11)*48</f>
        <v>0</v>
      </c>
      <c r="AS12" s="86">
        <v>2262</v>
      </c>
      <c r="AT12" s="38">
        <f t="shared" ref="AT12" si="69">(+AS12-+AS11)*48</f>
        <v>0</v>
      </c>
      <c r="AU12" s="86">
        <v>939</v>
      </c>
      <c r="AV12" s="38">
        <f t="shared" ref="AV12" si="70">(+AU12-+AU11)*48</f>
        <v>0</v>
      </c>
      <c r="AW12" s="86">
        <v>3109</v>
      </c>
      <c r="AX12" s="38">
        <f t="shared" ref="AX12" si="71">(+AW12-+AW11)*48</f>
        <v>0</v>
      </c>
      <c r="AY12" s="86">
        <v>317592</v>
      </c>
      <c r="AZ12" s="38">
        <f t="shared" ref="AZ12" si="72">(+AY12-+AY11)*48</f>
        <v>3360</v>
      </c>
      <c r="BA12" s="86">
        <v>161101</v>
      </c>
      <c r="BB12" s="38">
        <f t="shared" ref="BB12" si="73">(+BA12-+BA11)*48</f>
        <v>0</v>
      </c>
      <c r="BC12" s="86">
        <v>217162</v>
      </c>
      <c r="BD12" s="38">
        <f t="shared" ref="BD12" si="74">(+BC12-+BC11)*48</f>
        <v>2112</v>
      </c>
      <c r="BE12" s="86">
        <v>5347</v>
      </c>
      <c r="BF12" s="38">
        <f t="shared" ref="BF12" si="75">(+BE12-+BE11)*48</f>
        <v>0</v>
      </c>
      <c r="BH12" s="108">
        <f t="shared" si="1"/>
        <v>94043.616000000067</v>
      </c>
      <c r="BI12" s="108">
        <f t="shared" si="2"/>
        <v>61994.400000000001</v>
      </c>
    </row>
    <row r="13" spans="1:61" s="36" customFormat="1" ht="39.950000000000003" customHeight="1">
      <c r="A13" s="147">
        <v>44352</v>
      </c>
      <c r="B13" s="35"/>
      <c r="C13" s="86">
        <v>6078941</v>
      </c>
      <c r="D13" s="38">
        <f t="shared" ref="D13" si="76">(+C13-+C12)*48</f>
        <v>93072</v>
      </c>
      <c r="E13" s="107">
        <f>D13*E5</f>
        <v>51189.600000000006</v>
      </c>
      <c r="F13" s="107">
        <f>D13*F5</f>
        <v>41882.400000000001</v>
      </c>
      <c r="G13" s="86">
        <v>282395</v>
      </c>
      <c r="H13" s="38">
        <f t="shared" ref="H13" si="77">(+G13-+G12)*48</f>
        <v>1488</v>
      </c>
      <c r="I13" s="86">
        <v>127209</v>
      </c>
      <c r="J13" s="38">
        <f t="shared" ref="J13" si="78">(+I13-+I12)*48</f>
        <v>8352</v>
      </c>
      <c r="K13" s="86">
        <v>258694</v>
      </c>
      <c r="L13" s="38">
        <f t="shared" si="0"/>
        <v>576</v>
      </c>
      <c r="M13" s="86">
        <v>24781</v>
      </c>
      <c r="N13" s="38">
        <f t="shared" ref="N13" si="79">(+M13-+M12)*48</f>
        <v>0</v>
      </c>
      <c r="O13" s="86">
        <v>265533</v>
      </c>
      <c r="P13" s="38">
        <f t="shared" ref="P13" si="80">(+O13-+O12)*48</f>
        <v>10176</v>
      </c>
      <c r="Q13" s="86">
        <v>449817</v>
      </c>
      <c r="R13" s="38">
        <f t="shared" ref="R13" si="81">(+Q13-+Q12)*48</f>
        <v>3408</v>
      </c>
      <c r="S13" s="86">
        <v>725451</v>
      </c>
      <c r="T13" s="38">
        <f t="shared" ref="T13" si="82">(+S13-+S12)*48</f>
        <v>7056</v>
      </c>
      <c r="U13" s="86">
        <v>99912.506999999998</v>
      </c>
      <c r="V13" s="107">
        <f t="shared" ref="V13" si="83">(+U13-+U12)*48</f>
        <v>825.35999999963678</v>
      </c>
      <c r="W13" s="86">
        <v>81033</v>
      </c>
      <c r="X13" s="38">
        <f t="shared" ref="X13" si="84">(+W13-+W12)*48</f>
        <v>624</v>
      </c>
      <c r="Y13" s="86">
        <v>1499594</v>
      </c>
      <c r="Z13" s="38">
        <f t="shared" ref="Z13" si="85">(+Y13-+Y12)*48</f>
        <v>240</v>
      </c>
      <c r="AA13" s="86">
        <v>13264</v>
      </c>
      <c r="AB13" s="38">
        <f t="shared" ref="AB13" si="86">(+AA13-+AA12)*48</f>
        <v>0</v>
      </c>
      <c r="AC13" s="86">
        <v>457243</v>
      </c>
      <c r="AD13" s="38">
        <f t="shared" si="14"/>
        <v>5568</v>
      </c>
      <c r="AE13" s="86">
        <v>530073</v>
      </c>
      <c r="AF13" s="38">
        <f t="shared" si="14"/>
        <v>9840</v>
      </c>
      <c r="AG13" s="86">
        <v>49769</v>
      </c>
      <c r="AH13" s="38">
        <f t="shared" ref="AH13" si="87">(+AG13-+AG12)*48</f>
        <v>0</v>
      </c>
      <c r="AI13" s="86">
        <v>417686</v>
      </c>
      <c r="AJ13" s="38">
        <f t="shared" ref="AJ13:AJ14" si="88">(+AI13-+AI12)*48</f>
        <v>3312</v>
      </c>
      <c r="AK13" s="86">
        <v>102770</v>
      </c>
      <c r="AL13" s="38">
        <f t="shared" ref="AL13" si="89">(+AK13-+AK12)*48</f>
        <v>0</v>
      </c>
      <c r="AM13" s="86">
        <v>575219</v>
      </c>
      <c r="AN13" s="38">
        <f t="shared" ref="AN13" si="90">(+AM13-+AM12)*48</f>
        <v>10560</v>
      </c>
      <c r="AO13" s="86">
        <v>931287</v>
      </c>
      <c r="AP13" s="38">
        <f t="shared" ref="AP13" si="91">(+AO13-+AO12)*48</f>
        <v>9264</v>
      </c>
      <c r="AQ13" s="86">
        <v>77871</v>
      </c>
      <c r="AR13" s="38">
        <f t="shared" ref="AR13" si="92">(+AQ13-+AQ12)*48</f>
        <v>0</v>
      </c>
      <c r="AS13" s="86">
        <v>2262</v>
      </c>
      <c r="AT13" s="38">
        <f t="shared" ref="AT13" si="93">(+AS13-+AS12)*48</f>
        <v>0</v>
      </c>
      <c r="AU13" s="86">
        <v>939</v>
      </c>
      <c r="AV13" s="38">
        <f t="shared" ref="AV13" si="94">(+AU13-+AU12)*48</f>
        <v>0</v>
      </c>
      <c r="AW13" s="86">
        <v>3109</v>
      </c>
      <c r="AX13" s="38">
        <f t="shared" ref="AX13" si="95">(+AW13-+AW12)*48</f>
        <v>0</v>
      </c>
      <c r="AY13" s="86">
        <v>317658</v>
      </c>
      <c r="AZ13" s="38">
        <f t="shared" ref="AZ13" si="96">(+AY13-+AY12)*48</f>
        <v>3168</v>
      </c>
      <c r="BA13" s="86">
        <v>161101</v>
      </c>
      <c r="BB13" s="38">
        <f t="shared" ref="BB13" si="97">(+BA13-+BA12)*48</f>
        <v>0</v>
      </c>
      <c r="BC13" s="86">
        <v>217207</v>
      </c>
      <c r="BD13" s="38">
        <f t="shared" ref="BD13" si="98">(+BC13-+BC12)*48</f>
        <v>2160</v>
      </c>
      <c r="BE13" s="86">
        <v>5347</v>
      </c>
      <c r="BF13" s="38">
        <f t="shared" ref="BF13" si="99">(+BE13-+BE12)*48</f>
        <v>0</v>
      </c>
      <c r="BH13" s="108">
        <f t="shared" si="1"/>
        <v>102654.95999999964</v>
      </c>
      <c r="BI13" s="108">
        <f t="shared" si="2"/>
        <v>67034.399999999994</v>
      </c>
    </row>
    <row r="14" spans="1:61" s="36" customFormat="1" ht="39.950000000000003" customHeight="1">
      <c r="A14" s="147">
        <v>44353</v>
      </c>
      <c r="B14" s="35"/>
      <c r="C14" s="86">
        <v>6080948</v>
      </c>
      <c r="D14" s="38">
        <f t="shared" ref="D14" si="100">(+C14-+C13)*48</f>
        <v>96336</v>
      </c>
      <c r="E14" s="107">
        <f>D14*E5</f>
        <v>52984.800000000003</v>
      </c>
      <c r="F14" s="107">
        <f>D14*F5</f>
        <v>43351.200000000004</v>
      </c>
      <c r="G14" s="86">
        <v>282431</v>
      </c>
      <c r="H14" s="38">
        <f t="shared" ref="H14" si="101">(+G14-+G13)*48</f>
        <v>1728</v>
      </c>
      <c r="I14" s="86">
        <v>127387</v>
      </c>
      <c r="J14" s="38">
        <f t="shared" ref="J14" si="102">(+I14-+I13)*48</f>
        <v>8544</v>
      </c>
      <c r="K14" s="86">
        <v>258719</v>
      </c>
      <c r="L14" s="38">
        <f t="shared" si="0"/>
        <v>1200</v>
      </c>
      <c r="M14" s="86">
        <v>24781</v>
      </c>
      <c r="N14" s="38">
        <f t="shared" ref="N14" si="103">(+M14-+M13)*48</f>
        <v>0</v>
      </c>
      <c r="O14" s="86">
        <v>265760</v>
      </c>
      <c r="P14" s="38">
        <f t="shared" ref="P14" si="104">(+O14-+O13)*48</f>
        <v>10896</v>
      </c>
      <c r="Q14" s="86">
        <v>449878</v>
      </c>
      <c r="R14" s="38">
        <f t="shared" ref="R14" si="105">(+Q14-+Q13)*48</f>
        <v>2928</v>
      </c>
      <c r="S14" s="86">
        <v>725578</v>
      </c>
      <c r="T14" s="38">
        <f t="shared" ref="T14" si="106">(+S14-+S13)*48</f>
        <v>6096</v>
      </c>
      <c r="U14" s="86">
        <v>99937.099000000002</v>
      </c>
      <c r="V14" s="107">
        <f>(+U14-+U13)*48</f>
        <v>1180.4160000002012</v>
      </c>
      <c r="W14" s="86">
        <v>81050</v>
      </c>
      <c r="X14" s="38">
        <f t="shared" ref="X14" si="107">(+W14-+W13)*48</f>
        <v>816</v>
      </c>
      <c r="Y14" s="86">
        <v>1499602</v>
      </c>
      <c r="Z14" s="38">
        <f t="shared" ref="Z14" si="108">(+Y14-+Y13)*48</f>
        <v>384</v>
      </c>
      <c r="AA14" s="86">
        <v>13264</v>
      </c>
      <c r="AB14" s="38">
        <f t="shared" ref="AB14" si="109">(+AA14-+AA13)*48</f>
        <v>0</v>
      </c>
      <c r="AC14" s="86">
        <v>457367</v>
      </c>
      <c r="AD14" s="38">
        <f t="shared" si="14"/>
        <v>5952</v>
      </c>
      <c r="AE14" s="86">
        <v>530207</v>
      </c>
      <c r="AF14" s="38">
        <f t="shared" si="14"/>
        <v>6432</v>
      </c>
      <c r="AG14" s="86">
        <v>49769</v>
      </c>
      <c r="AH14" s="38">
        <f t="shared" ref="AH14" si="110">(+AG14-+AG13)*48</f>
        <v>0</v>
      </c>
      <c r="AI14" s="86">
        <v>417766</v>
      </c>
      <c r="AJ14" s="38">
        <f t="shared" si="88"/>
        <v>3840</v>
      </c>
      <c r="AK14" s="86">
        <v>102770</v>
      </c>
      <c r="AL14" s="38">
        <f t="shared" ref="AL14" si="111">(+AK14-+AK13)*48</f>
        <v>0</v>
      </c>
      <c r="AM14" s="86">
        <v>575323</v>
      </c>
      <c r="AN14" s="38">
        <f t="shared" ref="AN14" si="112">(+AM14-+AM13)*48</f>
        <v>4992</v>
      </c>
      <c r="AO14" s="86">
        <v>931478</v>
      </c>
      <c r="AP14" s="38">
        <f t="shared" ref="AP14" si="113">(+AO14-+AO13)*48</f>
        <v>9168</v>
      </c>
      <c r="AQ14" s="86">
        <v>77874</v>
      </c>
      <c r="AR14" s="38">
        <f t="shared" ref="AR14" si="114">(+AQ14-+AQ13)*48</f>
        <v>144</v>
      </c>
      <c r="AS14" s="86">
        <v>2262</v>
      </c>
      <c r="AT14" s="38">
        <f t="shared" ref="AT14" si="115">(+AS14-+AS13)*48</f>
        <v>0</v>
      </c>
      <c r="AU14" s="86">
        <v>939</v>
      </c>
      <c r="AV14" s="38">
        <f t="shared" ref="AV14" si="116">(+AU14-+AU13)*48</f>
        <v>0</v>
      </c>
      <c r="AW14" s="86">
        <v>3109</v>
      </c>
      <c r="AX14" s="38">
        <f t="shared" ref="AX14" si="117">(+AW14-+AW13)*48</f>
        <v>0</v>
      </c>
      <c r="AY14" s="86">
        <v>317729</v>
      </c>
      <c r="AZ14" s="38">
        <f t="shared" ref="AZ14" si="118">(+AY14-+AY13)*48</f>
        <v>3408</v>
      </c>
      <c r="BA14" s="86">
        <v>161101</v>
      </c>
      <c r="BB14" s="38">
        <f t="shared" ref="BB14" si="119">(+BA14-+BA13)*48</f>
        <v>0</v>
      </c>
      <c r="BC14" s="86">
        <v>217251</v>
      </c>
      <c r="BD14" s="38">
        <f t="shared" ref="BD14" si="120">(+BC14-+BC13)*48</f>
        <v>2112</v>
      </c>
      <c r="BE14" s="86">
        <v>5347</v>
      </c>
      <c r="BF14" s="38">
        <f t="shared" ref="BF14" si="121">(+BE14-+BE13)*48</f>
        <v>0</v>
      </c>
      <c r="BH14" s="108">
        <f t="shared" si="1"/>
        <v>102981.2160000002</v>
      </c>
      <c r="BI14" s="108">
        <f t="shared" si="2"/>
        <v>63175.200000000004</v>
      </c>
    </row>
    <row r="15" spans="1:61" s="36" customFormat="1" ht="39.950000000000003" customHeight="1">
      <c r="A15" s="147">
        <v>44354</v>
      </c>
      <c r="B15" s="35"/>
      <c r="C15" s="80">
        <v>6082988</v>
      </c>
      <c r="D15" s="38">
        <f t="shared" ref="D15" si="122">(+C15-+C14)*48</f>
        <v>97920</v>
      </c>
      <c r="E15" s="107">
        <f>D15*E5</f>
        <v>53856.000000000007</v>
      </c>
      <c r="F15" s="107">
        <f>D15*F5</f>
        <v>44064</v>
      </c>
      <c r="G15" s="80">
        <v>282464</v>
      </c>
      <c r="H15" s="38">
        <f t="shared" ref="H15" si="123">(+G15-+G14)*48</f>
        <v>1584</v>
      </c>
      <c r="I15" s="80">
        <v>127545</v>
      </c>
      <c r="J15" s="38">
        <f t="shared" ref="J15" si="124">(+I15-+I14)*48</f>
        <v>7584</v>
      </c>
      <c r="K15" s="80">
        <v>258747</v>
      </c>
      <c r="L15" s="38">
        <f t="shared" si="0"/>
        <v>1344</v>
      </c>
      <c r="M15" s="80">
        <v>24781</v>
      </c>
      <c r="N15" s="38">
        <f t="shared" ref="N15" si="125">(+M15-+M14)*48</f>
        <v>0</v>
      </c>
      <c r="O15" s="80">
        <v>265992</v>
      </c>
      <c r="P15" s="38">
        <f t="shared" ref="P15" si="126">(+O15-+O14)*48</f>
        <v>11136</v>
      </c>
      <c r="Q15" s="80">
        <v>449969</v>
      </c>
      <c r="R15" s="38">
        <f t="shared" ref="R15" si="127">(+Q15-+Q14)*48</f>
        <v>4368</v>
      </c>
      <c r="S15" s="80">
        <v>725705</v>
      </c>
      <c r="T15" s="38">
        <f t="shared" ref="T15" si="128">(+S15-+S14)*48</f>
        <v>6096</v>
      </c>
      <c r="U15" s="80">
        <v>99962.997000000003</v>
      </c>
      <c r="V15" s="107">
        <f t="shared" ref="V15" si="129">(+U15-+U14)*48</f>
        <v>1243.1040000000503</v>
      </c>
      <c r="W15" s="80">
        <v>81064</v>
      </c>
      <c r="X15" s="38">
        <f t="shared" ref="X15" si="130">(+W15-+W14)*48</f>
        <v>672</v>
      </c>
      <c r="Y15" s="80">
        <v>1499604</v>
      </c>
      <c r="Z15" s="38">
        <f t="shared" ref="Z15" si="131">(+Y15-+Y14)*48</f>
        <v>96</v>
      </c>
      <c r="AA15" s="80">
        <v>13264</v>
      </c>
      <c r="AB15" s="38">
        <f t="shared" ref="AB15" si="132">(+AA15-+AA14)*48</f>
        <v>0</v>
      </c>
      <c r="AC15" s="80">
        <v>457490</v>
      </c>
      <c r="AD15" s="38">
        <f t="shared" si="14"/>
        <v>5904</v>
      </c>
      <c r="AE15" s="80">
        <v>530325</v>
      </c>
      <c r="AF15" s="38">
        <f t="shared" si="14"/>
        <v>5664</v>
      </c>
      <c r="AG15" s="80">
        <v>49769</v>
      </c>
      <c r="AH15" s="38">
        <f t="shared" ref="AH15" si="133">(+AG15-+AG14)*48</f>
        <v>0</v>
      </c>
      <c r="AI15" s="80">
        <v>417840</v>
      </c>
      <c r="AJ15" s="38">
        <f t="shared" ref="AJ15" si="134">(+AI15-+AI14)*48</f>
        <v>3552</v>
      </c>
      <c r="AK15" s="80">
        <v>102770</v>
      </c>
      <c r="AL15" s="38">
        <f t="shared" ref="AL15" si="135">(+AK15-+AK14)*48</f>
        <v>0</v>
      </c>
      <c r="AM15" s="80">
        <v>575426</v>
      </c>
      <c r="AN15" s="38">
        <f t="shared" ref="AN15" si="136">(+AM15-+AM14)*48</f>
        <v>4944</v>
      </c>
      <c r="AO15" s="80">
        <v>931668</v>
      </c>
      <c r="AP15" s="38">
        <f t="shared" ref="AP15" si="137">(+AO15-+AO14)*48</f>
        <v>9120</v>
      </c>
      <c r="AQ15" s="80">
        <v>77874</v>
      </c>
      <c r="AR15" s="38">
        <f t="shared" ref="AR15" si="138">(+AQ15-+AQ14)*48</f>
        <v>0</v>
      </c>
      <c r="AS15" s="80">
        <v>2262</v>
      </c>
      <c r="AT15" s="38">
        <f t="shared" ref="AT15" si="139">(+AS15-+AS14)*48</f>
        <v>0</v>
      </c>
      <c r="AU15" s="80">
        <v>939</v>
      </c>
      <c r="AV15" s="38">
        <f t="shared" ref="AV15" si="140">(+AU15-+AU14)*48</f>
        <v>0</v>
      </c>
      <c r="AW15" s="80">
        <v>3109</v>
      </c>
      <c r="AX15" s="38">
        <f t="shared" ref="AX15" si="141">(+AW15-+AW14)*48</f>
        <v>0</v>
      </c>
      <c r="AY15" s="80">
        <v>317796</v>
      </c>
      <c r="AZ15" s="38">
        <f t="shared" ref="AZ15" si="142">(+AY15-+AY14)*48</f>
        <v>3216</v>
      </c>
      <c r="BA15" s="80">
        <v>161101</v>
      </c>
      <c r="BB15" s="38">
        <f t="shared" ref="BB15" si="143">(+BA15-+BA14)*48</f>
        <v>0</v>
      </c>
      <c r="BC15" s="80">
        <v>217291</v>
      </c>
      <c r="BD15" s="38">
        <f t="shared" ref="BD15" si="144">(+BC15-+BC14)*48</f>
        <v>1920</v>
      </c>
      <c r="BE15" s="80">
        <v>5347</v>
      </c>
      <c r="BF15" s="38">
        <f t="shared" ref="BF15" si="145">(+BE15-+BE14)*48</f>
        <v>0</v>
      </c>
      <c r="BH15" s="108">
        <f t="shared" si="1"/>
        <v>103099.10400000005</v>
      </c>
      <c r="BI15" s="108">
        <f t="shared" si="2"/>
        <v>63264</v>
      </c>
    </row>
    <row r="16" spans="1:61" s="36" customFormat="1" ht="39.950000000000003" customHeight="1">
      <c r="A16" s="147">
        <v>44355</v>
      </c>
      <c r="B16" s="35"/>
      <c r="C16" s="80">
        <v>6085074</v>
      </c>
      <c r="D16" s="38">
        <f t="shared" ref="D16" si="146">(+C16-+C15)*48</f>
        <v>100128</v>
      </c>
      <c r="E16" s="107">
        <f>D16*E5</f>
        <v>55070.400000000001</v>
      </c>
      <c r="F16" s="107">
        <f>D16*F5</f>
        <v>45057.599999999999</v>
      </c>
      <c r="G16" s="80">
        <v>282491</v>
      </c>
      <c r="H16" s="38">
        <f t="shared" ref="H16" si="147">(+G16-+G15)*48</f>
        <v>1296</v>
      </c>
      <c r="I16" s="80">
        <v>127710</v>
      </c>
      <c r="J16" s="38">
        <f t="shared" ref="J16" si="148">(+I16-+I15)*48</f>
        <v>7920</v>
      </c>
      <c r="K16" s="80">
        <v>258773</v>
      </c>
      <c r="L16" s="38">
        <f t="shared" si="0"/>
        <v>1248</v>
      </c>
      <c r="M16" s="80">
        <v>24781</v>
      </c>
      <c r="N16" s="38">
        <f t="shared" ref="N16" si="149">(+M16-+M15)*48</f>
        <v>0</v>
      </c>
      <c r="O16" s="80">
        <v>266169</v>
      </c>
      <c r="P16" s="38">
        <f t="shared" ref="P16" si="150">(+O16-+O15)*48</f>
        <v>8496</v>
      </c>
      <c r="Q16" s="80">
        <v>450064</v>
      </c>
      <c r="R16" s="38">
        <f t="shared" ref="R16" si="151">(+Q16-+Q15)*48</f>
        <v>4560</v>
      </c>
      <c r="S16" s="80">
        <v>725828</v>
      </c>
      <c r="T16" s="38">
        <f t="shared" ref="T16" si="152">(+S16-+S15)*48</f>
        <v>5904</v>
      </c>
      <c r="U16" s="80">
        <v>99979.726999999999</v>
      </c>
      <c r="V16" s="107">
        <f t="shared" ref="V16" si="153">(+U16-+U15)*48</f>
        <v>803.03999999980442</v>
      </c>
      <c r="W16" s="80">
        <v>81068</v>
      </c>
      <c r="X16" s="38">
        <f t="shared" ref="X16" si="154">(+W16-+W15)*48</f>
        <v>192</v>
      </c>
      <c r="Y16" s="80">
        <v>1499604</v>
      </c>
      <c r="Z16" s="38">
        <f t="shared" ref="Z16" si="155">(+Y16-+Y15)*48</f>
        <v>0</v>
      </c>
      <c r="AA16" s="80">
        <v>13264</v>
      </c>
      <c r="AB16" s="38">
        <f t="shared" ref="AB16" si="156">(+AA16-+AA15)*48</f>
        <v>0</v>
      </c>
      <c r="AC16" s="80">
        <v>457616</v>
      </c>
      <c r="AD16" s="38">
        <f t="shared" si="14"/>
        <v>6048</v>
      </c>
      <c r="AE16" s="80">
        <v>530444</v>
      </c>
      <c r="AF16" s="38">
        <f t="shared" si="14"/>
        <v>5712</v>
      </c>
      <c r="AG16" s="80">
        <v>49769</v>
      </c>
      <c r="AH16" s="38">
        <f t="shared" ref="AH16" si="157">(+AG16-+AG15)*48</f>
        <v>0</v>
      </c>
      <c r="AI16" s="80">
        <v>417910</v>
      </c>
      <c r="AJ16" s="38">
        <f t="shared" ref="AJ16" si="158">(+AI16-+AI15)*48</f>
        <v>3360</v>
      </c>
      <c r="AK16" s="80">
        <v>102770</v>
      </c>
      <c r="AL16" s="38">
        <f t="shared" ref="AL16" si="159">(+AK16-+AK15)*48</f>
        <v>0</v>
      </c>
      <c r="AM16" s="80">
        <v>575540</v>
      </c>
      <c r="AN16" s="38">
        <f t="shared" ref="AN16" si="160">(+AM16-+AM15)*48</f>
        <v>5472</v>
      </c>
      <c r="AO16" s="80">
        <v>931865</v>
      </c>
      <c r="AP16" s="38">
        <f t="shared" ref="AP16" si="161">(+AO16-+AO15)*48</f>
        <v>9456</v>
      </c>
      <c r="AQ16" s="80">
        <v>77874</v>
      </c>
      <c r="AR16" s="38">
        <f t="shared" ref="AR16" si="162">(+AQ16-+AQ15)*48</f>
        <v>0</v>
      </c>
      <c r="AS16" s="80">
        <v>2262</v>
      </c>
      <c r="AT16" s="38">
        <f t="shared" ref="AT16" si="163">(+AS16-+AS15)*48</f>
        <v>0</v>
      </c>
      <c r="AU16" s="80">
        <v>939</v>
      </c>
      <c r="AV16" s="38">
        <f t="shared" ref="AV16" si="164">(+AU16-+AU15)*48</f>
        <v>0</v>
      </c>
      <c r="AW16" s="80">
        <v>3109</v>
      </c>
      <c r="AX16" s="38">
        <f t="shared" ref="AX16" si="165">(+AW16-+AW15)*48</f>
        <v>0</v>
      </c>
      <c r="AY16" s="80">
        <v>317864</v>
      </c>
      <c r="AZ16" s="38">
        <f t="shared" ref="AZ16" si="166">(+AY16-+AY15)*48</f>
        <v>3264</v>
      </c>
      <c r="BA16" s="80">
        <v>161101</v>
      </c>
      <c r="BB16" s="38">
        <f t="shared" ref="BB16" si="167">(+BA16-+BA15)*48</f>
        <v>0</v>
      </c>
      <c r="BC16" s="80">
        <v>217333</v>
      </c>
      <c r="BD16" s="38">
        <f t="shared" ref="BD16" si="168">(+BC16-+BC15)*48</f>
        <v>2016</v>
      </c>
      <c r="BE16" s="80">
        <v>5347</v>
      </c>
      <c r="BF16" s="38">
        <f t="shared" ref="BF16" si="169">(+BE16-+BE15)*48</f>
        <v>0</v>
      </c>
      <c r="BH16" s="108">
        <f t="shared" si="1"/>
        <v>100609.4399999998</v>
      </c>
      <c r="BI16" s="108">
        <f t="shared" si="2"/>
        <v>65265.599999999999</v>
      </c>
    </row>
    <row r="17" spans="1:61" s="36" customFormat="1" ht="39.950000000000003" customHeight="1">
      <c r="A17" s="147">
        <v>44356</v>
      </c>
      <c r="B17" s="35"/>
      <c r="C17" s="80">
        <v>6087079</v>
      </c>
      <c r="D17" s="38">
        <f t="shared" ref="D17" si="170">(+C17-+C16)*48</f>
        <v>96240</v>
      </c>
      <c r="E17" s="107">
        <f>D17*E5</f>
        <v>52932.000000000007</v>
      </c>
      <c r="F17" s="107">
        <f>D17*F5</f>
        <v>43308</v>
      </c>
      <c r="G17" s="80">
        <v>282532</v>
      </c>
      <c r="H17" s="38">
        <f t="shared" ref="H17" si="171">(+G17-+G16)*48</f>
        <v>1968</v>
      </c>
      <c r="I17" s="80">
        <v>127875</v>
      </c>
      <c r="J17" s="38">
        <f t="shared" ref="J17" si="172">(+I17-+I16)*48</f>
        <v>7920</v>
      </c>
      <c r="K17" s="80">
        <v>258781</v>
      </c>
      <c r="L17" s="38">
        <f t="shared" si="0"/>
        <v>384</v>
      </c>
      <c r="M17" s="80">
        <v>24781</v>
      </c>
      <c r="N17" s="38">
        <f t="shared" ref="N17" si="173">(+M17-+M16)*48</f>
        <v>0</v>
      </c>
      <c r="O17" s="80">
        <v>266418</v>
      </c>
      <c r="P17" s="38">
        <f t="shared" ref="P17" si="174">(+O17-+O16)*48</f>
        <v>11952</v>
      </c>
      <c r="Q17" s="80">
        <v>450131</v>
      </c>
      <c r="R17" s="38">
        <f t="shared" ref="R17" si="175">(+Q17-+Q16)*48</f>
        <v>3216</v>
      </c>
      <c r="S17" s="80">
        <v>725940</v>
      </c>
      <c r="T17" s="38">
        <f t="shared" ref="T17" si="176">(+S17-+S16)*48</f>
        <v>5376</v>
      </c>
      <c r="U17" s="80">
        <v>99996.84</v>
      </c>
      <c r="V17" s="107">
        <f t="shared" ref="V17" si="177">(+U17-+U16)*48</f>
        <v>821.42399999988265</v>
      </c>
      <c r="W17" s="80">
        <v>81081</v>
      </c>
      <c r="X17" s="38">
        <f t="shared" ref="X17" si="178">(+W17-+W16)*48</f>
        <v>624</v>
      </c>
      <c r="Y17" s="80">
        <v>1499604</v>
      </c>
      <c r="Z17" s="38">
        <f t="shared" ref="Z17" si="179">(+Y17-+Y16)*48</f>
        <v>0</v>
      </c>
      <c r="AA17" s="80">
        <v>13264</v>
      </c>
      <c r="AB17" s="38">
        <f t="shared" ref="AB17" si="180">(+AA17-+AA16)*48</f>
        <v>0</v>
      </c>
      <c r="AC17" s="80">
        <v>457740</v>
      </c>
      <c r="AD17" s="38">
        <f t="shared" si="14"/>
        <v>5952</v>
      </c>
      <c r="AE17" s="80">
        <v>530563</v>
      </c>
      <c r="AF17" s="38">
        <f t="shared" si="14"/>
        <v>5712</v>
      </c>
      <c r="AG17" s="80">
        <v>49769</v>
      </c>
      <c r="AH17" s="38">
        <f t="shared" ref="AH17" si="181">(+AG17-+AG16)*48</f>
        <v>0</v>
      </c>
      <c r="AI17" s="80">
        <v>417981</v>
      </c>
      <c r="AJ17" s="38">
        <f t="shared" ref="AJ17" si="182">(+AI17-+AI16)*48</f>
        <v>3408</v>
      </c>
      <c r="AK17" s="80">
        <v>102770</v>
      </c>
      <c r="AL17" s="38">
        <f t="shared" ref="AL17" si="183">(+AK17-+AK16)*48</f>
        <v>0</v>
      </c>
      <c r="AM17" s="80">
        <v>575647</v>
      </c>
      <c r="AN17" s="38">
        <f t="shared" ref="AN17" si="184">(+AM17-+AM16)*48</f>
        <v>5136</v>
      </c>
      <c r="AO17" s="80">
        <v>932054</v>
      </c>
      <c r="AP17" s="38">
        <f t="shared" ref="AP17" si="185">(+AO17-+AO16)*48</f>
        <v>9072</v>
      </c>
      <c r="AQ17" s="80">
        <v>77874</v>
      </c>
      <c r="AR17" s="38">
        <f t="shared" ref="AR17" si="186">(+AQ17-+AQ16)*48</f>
        <v>0</v>
      </c>
      <c r="AS17" s="80">
        <v>2262</v>
      </c>
      <c r="AT17" s="38">
        <f t="shared" ref="AT17" si="187">(+AS17-+AS16)*48</f>
        <v>0</v>
      </c>
      <c r="AU17" s="80">
        <v>939</v>
      </c>
      <c r="AV17" s="38">
        <f t="shared" ref="AV17" si="188">(+AU17-+AU16)*48</f>
        <v>0</v>
      </c>
      <c r="AW17" s="80">
        <v>3109</v>
      </c>
      <c r="AX17" s="38">
        <f t="shared" ref="AX17" si="189">(+AW17-+AW16)*48</f>
        <v>0</v>
      </c>
      <c r="AY17" s="80">
        <v>317929</v>
      </c>
      <c r="AZ17" s="38">
        <f t="shared" ref="AZ17" si="190">(+AY17-+AY16)*48</f>
        <v>3120</v>
      </c>
      <c r="BA17" s="80">
        <v>161101</v>
      </c>
      <c r="BB17" s="38">
        <f t="shared" ref="BB17" si="191">(+BA17-+BA16)*48</f>
        <v>0</v>
      </c>
      <c r="BC17" s="80">
        <v>217375</v>
      </c>
      <c r="BD17" s="38">
        <f t="shared" ref="BD17" si="192">(+BC17-+BC16)*48</f>
        <v>2016</v>
      </c>
      <c r="BE17" s="80">
        <v>5347</v>
      </c>
      <c r="BF17" s="38">
        <f t="shared" ref="BF17" si="193">(+BE17-+BE16)*48</f>
        <v>0</v>
      </c>
      <c r="BH17" s="108">
        <f t="shared" si="1"/>
        <v>100265.42399999988</v>
      </c>
      <c r="BI17" s="108">
        <f t="shared" si="2"/>
        <v>62652</v>
      </c>
    </row>
    <row r="18" spans="1:61" s="36" customFormat="1" ht="39.950000000000003" customHeight="1">
      <c r="A18" s="147">
        <v>44357</v>
      </c>
      <c r="B18" s="35"/>
      <c r="C18" s="80">
        <v>6089148</v>
      </c>
      <c r="D18" s="38">
        <f t="shared" ref="D18" si="194">(+C18-+C17)*48</f>
        <v>99312</v>
      </c>
      <c r="E18" s="107">
        <f>D18*E5</f>
        <v>54621.600000000006</v>
      </c>
      <c r="F18" s="107">
        <f>D18*F5</f>
        <v>44690.400000000001</v>
      </c>
      <c r="G18" s="80">
        <v>282562</v>
      </c>
      <c r="H18" s="38">
        <f t="shared" ref="H18" si="195">(+G18-+G17)*48</f>
        <v>1440</v>
      </c>
      <c r="I18" s="80">
        <v>128038</v>
      </c>
      <c r="J18" s="38">
        <f t="shared" ref="J18" si="196">(+I18-+I17)*48</f>
        <v>7824</v>
      </c>
      <c r="K18" s="80">
        <v>258785</v>
      </c>
      <c r="L18" s="38">
        <f t="shared" si="0"/>
        <v>192</v>
      </c>
      <c r="M18" s="80">
        <v>24781</v>
      </c>
      <c r="N18" s="38">
        <f t="shared" ref="N18" si="197">(+M18-+M17)*48</f>
        <v>0</v>
      </c>
      <c r="O18" s="80">
        <v>266623</v>
      </c>
      <c r="P18" s="38">
        <f t="shared" ref="P18" si="198">(+O18-+O17)*48</f>
        <v>9840</v>
      </c>
      <c r="Q18" s="80">
        <v>450199</v>
      </c>
      <c r="R18" s="38">
        <f t="shared" ref="R18" si="199">(+Q18-+Q17)*48</f>
        <v>3264</v>
      </c>
      <c r="S18" s="80">
        <v>726064</v>
      </c>
      <c r="T18" s="38">
        <f t="shared" ref="T18" si="200">(+S18-+S17)*48</f>
        <v>5952</v>
      </c>
      <c r="U18" s="80">
        <v>100018.018</v>
      </c>
      <c r="V18" s="107">
        <f>(+U18-+U17)*48</f>
        <v>1016.5439999999944</v>
      </c>
      <c r="W18" s="80">
        <v>81095</v>
      </c>
      <c r="X18" s="38">
        <f t="shared" ref="X18" si="201">(+W18-+W17)*48</f>
        <v>672</v>
      </c>
      <c r="Y18" s="80">
        <v>1499604</v>
      </c>
      <c r="Z18" s="38">
        <f t="shared" ref="Z18" si="202">(+Y18-+Y17)*48</f>
        <v>0</v>
      </c>
      <c r="AA18" s="80">
        <v>13264</v>
      </c>
      <c r="AB18" s="38">
        <f t="shared" ref="AB18" si="203">(+AA18-+AA17)*48</f>
        <v>0</v>
      </c>
      <c r="AC18" s="80">
        <v>457867</v>
      </c>
      <c r="AD18" s="38">
        <f t="shared" si="14"/>
        <v>6096</v>
      </c>
      <c r="AE18" s="80">
        <v>530678</v>
      </c>
      <c r="AF18" s="38">
        <f t="shared" si="14"/>
        <v>5520</v>
      </c>
      <c r="AG18" s="80">
        <v>49769</v>
      </c>
      <c r="AH18" s="38">
        <f t="shared" ref="AH18" si="204">(+AG18-+AG17)*48</f>
        <v>0</v>
      </c>
      <c r="AI18" s="80">
        <v>418046</v>
      </c>
      <c r="AJ18" s="38">
        <f t="shared" ref="AJ18" si="205">(+AI18-+AI17)*48</f>
        <v>3120</v>
      </c>
      <c r="AK18" s="80">
        <v>102770</v>
      </c>
      <c r="AL18" s="38">
        <f t="shared" ref="AL18" si="206">(+AK18-+AK17)*48</f>
        <v>0</v>
      </c>
      <c r="AM18" s="80">
        <v>575750</v>
      </c>
      <c r="AN18" s="38">
        <f t="shared" ref="AN18" si="207">(+AM18-+AM17)*48</f>
        <v>4944</v>
      </c>
      <c r="AO18" s="80">
        <v>932246</v>
      </c>
      <c r="AP18" s="38">
        <f t="shared" ref="AP18" si="208">(+AO18-+AO17)*48</f>
        <v>9216</v>
      </c>
      <c r="AQ18" s="80">
        <v>77874</v>
      </c>
      <c r="AR18" s="38">
        <f t="shared" ref="AR18" si="209">(+AQ18-+AQ17)*48</f>
        <v>0</v>
      </c>
      <c r="AS18" s="80">
        <v>2262</v>
      </c>
      <c r="AT18" s="38">
        <f t="shared" ref="AT18" si="210">(+AS18-+AS17)*48</f>
        <v>0</v>
      </c>
      <c r="AU18" s="80">
        <v>939</v>
      </c>
      <c r="AV18" s="38">
        <f t="shared" ref="AV18" si="211">(+AU18-+AU17)*48</f>
        <v>0</v>
      </c>
      <c r="AW18" s="80">
        <v>3109</v>
      </c>
      <c r="AX18" s="38">
        <f t="shared" ref="AX18" si="212">(+AW18-+AW17)*48</f>
        <v>0</v>
      </c>
      <c r="AY18" s="80">
        <v>317994</v>
      </c>
      <c r="AZ18" s="38">
        <f t="shared" ref="AZ18" si="213">(+AY18-+AY17)*48</f>
        <v>3120</v>
      </c>
      <c r="BA18" s="80">
        <v>161101</v>
      </c>
      <c r="BB18" s="38">
        <f t="shared" ref="BB18" si="214">(+BA18-+BA17)*48</f>
        <v>0</v>
      </c>
      <c r="BC18" s="80">
        <v>217416</v>
      </c>
      <c r="BD18" s="38">
        <f t="shared" ref="BD18" si="215">(+BC18-+BC17)*48</f>
        <v>1968</v>
      </c>
      <c r="BE18" s="80">
        <v>5347</v>
      </c>
      <c r="BF18" s="38">
        <f t="shared" ref="BF18" si="216">(+BE18-+BE17)*48</f>
        <v>0</v>
      </c>
      <c r="BH18" s="108">
        <f t="shared" si="1"/>
        <v>99558.144</v>
      </c>
      <c r="BI18" s="108">
        <f t="shared" si="2"/>
        <v>63938.400000000001</v>
      </c>
    </row>
    <row r="19" spans="1:61" s="36" customFormat="1" ht="39.950000000000003" customHeight="1">
      <c r="A19" s="147">
        <v>44358</v>
      </c>
      <c r="B19" s="35"/>
      <c r="C19" s="85">
        <v>6091164</v>
      </c>
      <c r="D19" s="38">
        <f t="shared" ref="D19" si="217">(+C19-+C18)*48</f>
        <v>96768</v>
      </c>
      <c r="E19" s="107">
        <f>D19*E5</f>
        <v>53222.400000000001</v>
      </c>
      <c r="F19" s="107">
        <f>D19*F5</f>
        <v>43545.599999999999</v>
      </c>
      <c r="G19" s="85">
        <v>282596</v>
      </c>
      <c r="H19" s="38">
        <f t="shared" ref="H19" si="218">(+G19-+G18)*48</f>
        <v>1632</v>
      </c>
      <c r="I19" s="85">
        <v>128210</v>
      </c>
      <c r="J19" s="38">
        <f t="shared" ref="J19" si="219">(+I19-+I18)*48</f>
        <v>8256</v>
      </c>
      <c r="K19" s="85">
        <v>258807</v>
      </c>
      <c r="L19" s="38">
        <f t="shared" si="0"/>
        <v>1056</v>
      </c>
      <c r="M19" s="85">
        <v>24781</v>
      </c>
      <c r="N19" s="38">
        <f t="shared" ref="N19" si="220">(+M19-+M18)*48</f>
        <v>0</v>
      </c>
      <c r="O19" s="85">
        <v>266847</v>
      </c>
      <c r="P19" s="38">
        <f t="shared" ref="P19" si="221">(+O19-+O18)*48</f>
        <v>10752</v>
      </c>
      <c r="Q19" s="85">
        <v>450288</v>
      </c>
      <c r="R19" s="38">
        <f t="shared" ref="R19" si="222">(+Q19-+Q18)*48</f>
        <v>4272</v>
      </c>
      <c r="S19" s="85">
        <v>726181</v>
      </c>
      <c r="T19" s="38">
        <f t="shared" ref="T19" si="223">(+S19-+S18)*48</f>
        <v>5616</v>
      </c>
      <c r="U19" s="85">
        <v>100036.95600000001</v>
      </c>
      <c r="V19" s="107">
        <f t="shared" ref="V19" si="224">(+U19-+U18)*48</f>
        <v>909.02400000044145</v>
      </c>
      <c r="W19" s="85">
        <v>81111</v>
      </c>
      <c r="X19" s="38">
        <f t="shared" ref="X19" si="225">(+W19-+W18)*48</f>
        <v>768</v>
      </c>
      <c r="Y19" s="85">
        <v>1499604</v>
      </c>
      <c r="Z19" s="38">
        <f t="shared" ref="Z19" si="226">(+Y19-+Y18)*48</f>
        <v>0</v>
      </c>
      <c r="AA19" s="85">
        <v>13264</v>
      </c>
      <c r="AB19" s="38">
        <f t="shared" ref="AB19" si="227">(+AA19-+AA18)*48</f>
        <v>0</v>
      </c>
      <c r="AC19" s="85">
        <v>457993</v>
      </c>
      <c r="AD19" s="38">
        <f t="shared" si="14"/>
        <v>6048</v>
      </c>
      <c r="AE19" s="85">
        <v>530810</v>
      </c>
      <c r="AF19" s="38">
        <f t="shared" si="14"/>
        <v>6336</v>
      </c>
      <c r="AG19" s="85">
        <v>49769</v>
      </c>
      <c r="AH19" s="38">
        <f t="shared" ref="AH19" si="228">(+AG19-+AG18)*48</f>
        <v>0</v>
      </c>
      <c r="AI19" s="85">
        <v>418110</v>
      </c>
      <c r="AJ19" s="38">
        <f t="shared" ref="AJ19" si="229">(+AI19-+AI18)*48</f>
        <v>3072</v>
      </c>
      <c r="AK19" s="85">
        <v>102770</v>
      </c>
      <c r="AL19" s="38">
        <f t="shared" ref="AL19" si="230">(+AK19-+AK18)*48</f>
        <v>0</v>
      </c>
      <c r="AM19" s="85">
        <v>575876</v>
      </c>
      <c r="AN19" s="38">
        <f t="shared" ref="AN19" si="231">(+AM19-+AM18)*48</f>
        <v>6048</v>
      </c>
      <c r="AO19" s="85">
        <v>932442</v>
      </c>
      <c r="AP19" s="38">
        <f t="shared" ref="AP19" si="232">(+AO19-+AO18)*48</f>
        <v>9408</v>
      </c>
      <c r="AQ19" s="85">
        <v>77874</v>
      </c>
      <c r="AR19" s="38">
        <f t="shared" ref="AR19" si="233">(+AQ19-+AQ18)*48</f>
        <v>0</v>
      </c>
      <c r="AS19" s="85">
        <v>2262</v>
      </c>
      <c r="AT19" s="38">
        <f t="shared" ref="AT19" si="234">(+AS19-+AS18)*48</f>
        <v>0</v>
      </c>
      <c r="AU19" s="85">
        <v>939</v>
      </c>
      <c r="AV19" s="38">
        <f t="shared" ref="AV19" si="235">(+AU19-+AU18)*48</f>
        <v>0</v>
      </c>
      <c r="AW19" s="85">
        <v>3109</v>
      </c>
      <c r="AX19" s="38">
        <f t="shared" ref="AX19" si="236">(+AW19-+AW18)*48</f>
        <v>0</v>
      </c>
      <c r="AY19" s="85">
        <v>318061</v>
      </c>
      <c r="AZ19" s="38">
        <f t="shared" ref="AZ19" si="237">(+AY19-+AY18)*48</f>
        <v>3216</v>
      </c>
      <c r="BA19" s="85">
        <v>161101</v>
      </c>
      <c r="BB19" s="38">
        <f t="shared" ref="BB19" si="238">(+BA19-+BA18)*48</f>
        <v>0</v>
      </c>
      <c r="BC19" s="85">
        <v>217462</v>
      </c>
      <c r="BD19" s="38">
        <f t="shared" ref="BD19" si="239">(+BC19-+BC18)*48</f>
        <v>2208</v>
      </c>
      <c r="BE19" s="85">
        <v>5347</v>
      </c>
      <c r="BF19" s="38">
        <f t="shared" ref="BF19" si="240">(+BE19-+BE18)*48</f>
        <v>0</v>
      </c>
      <c r="BH19" s="168">
        <f t="shared" si="1"/>
        <v>101939.42400000044</v>
      </c>
      <c r="BI19" s="168">
        <f t="shared" si="2"/>
        <v>64425.599999999999</v>
      </c>
    </row>
    <row r="20" spans="1:61" s="36" customFormat="1" ht="39.950000000000003" customHeight="1">
      <c r="A20" s="147">
        <v>44359</v>
      </c>
      <c r="B20" s="35"/>
      <c r="C20" s="85">
        <v>6093210</v>
      </c>
      <c r="D20" s="38">
        <f t="shared" ref="D20" si="241">(+C20-+C19)*48</f>
        <v>98208</v>
      </c>
      <c r="E20" s="107">
        <f>D20*E5</f>
        <v>54014.400000000001</v>
      </c>
      <c r="F20" s="107">
        <f>D20*F5</f>
        <v>44193.599999999999</v>
      </c>
      <c r="G20" s="85">
        <v>282652</v>
      </c>
      <c r="H20" s="38">
        <f t="shared" ref="H20" si="242">(+G20-+G19)*48</f>
        <v>2688</v>
      </c>
      <c r="I20" s="85">
        <v>128378</v>
      </c>
      <c r="J20" s="38">
        <f t="shared" ref="J20" si="243">(+I20-+I19)*48</f>
        <v>8064</v>
      </c>
      <c r="K20" s="85">
        <v>258851</v>
      </c>
      <c r="L20" s="38">
        <f t="shared" si="0"/>
        <v>2112</v>
      </c>
      <c r="M20" s="85">
        <v>24781</v>
      </c>
      <c r="N20" s="38">
        <f t="shared" ref="N20" si="244">(+M20-+M19)*48</f>
        <v>0</v>
      </c>
      <c r="O20" s="85">
        <v>267059</v>
      </c>
      <c r="P20" s="38">
        <f t="shared" ref="P20" si="245">(+O20-+O19)*48</f>
        <v>10176</v>
      </c>
      <c r="Q20" s="85">
        <v>450381</v>
      </c>
      <c r="R20" s="38">
        <f t="shared" ref="R20" si="246">(+Q20-+Q19)*48</f>
        <v>4464</v>
      </c>
      <c r="S20" s="85">
        <v>726291</v>
      </c>
      <c r="T20" s="38">
        <f t="shared" ref="T20" si="247">(+S20-+S19)*48</f>
        <v>5280</v>
      </c>
      <c r="U20" s="85">
        <v>100054.883</v>
      </c>
      <c r="V20" s="107">
        <f t="shared" ref="V20" si="248">(+U20-+U19)*48</f>
        <v>860.49599999981001</v>
      </c>
      <c r="W20" s="85">
        <v>81124</v>
      </c>
      <c r="X20" s="38">
        <f t="shared" ref="X20" si="249">(+W20-+W19)*48</f>
        <v>624</v>
      </c>
      <c r="Y20" s="85">
        <v>1499604</v>
      </c>
      <c r="Z20" s="38">
        <f t="shared" ref="Z20" si="250">(+Y20-+Y19)*48</f>
        <v>0</v>
      </c>
      <c r="AA20" s="85">
        <v>13264</v>
      </c>
      <c r="AB20" s="38">
        <f t="shared" ref="AB20" si="251">(+AA20-+AA19)*48</f>
        <v>0</v>
      </c>
      <c r="AC20" s="85">
        <v>458078</v>
      </c>
      <c r="AD20" s="38">
        <f t="shared" si="14"/>
        <v>4080</v>
      </c>
      <c r="AE20" s="85">
        <v>530939</v>
      </c>
      <c r="AF20" s="38">
        <f t="shared" si="14"/>
        <v>6192</v>
      </c>
      <c r="AG20" s="85">
        <v>49769</v>
      </c>
      <c r="AH20" s="38">
        <f t="shared" ref="AH20" si="252">(+AG20-+AG19)*48</f>
        <v>0</v>
      </c>
      <c r="AI20" s="85">
        <v>418184</v>
      </c>
      <c r="AJ20" s="38">
        <f t="shared" ref="AJ20" si="253">(+AI20-+AI19)*48</f>
        <v>3552</v>
      </c>
      <c r="AK20" s="85">
        <v>102770</v>
      </c>
      <c r="AL20" s="38">
        <f t="shared" ref="AL20" si="254">(+AK20-+AK19)*48</f>
        <v>0</v>
      </c>
      <c r="AM20" s="85">
        <v>575985</v>
      </c>
      <c r="AN20" s="38">
        <f t="shared" ref="AN20" si="255">(+AM20-+AM19)*48</f>
        <v>5232</v>
      </c>
      <c r="AO20" s="85">
        <v>932637</v>
      </c>
      <c r="AP20" s="38">
        <f t="shared" ref="AP20" si="256">(+AO20-+AO19)*48</f>
        <v>9360</v>
      </c>
      <c r="AQ20" s="85">
        <v>77874</v>
      </c>
      <c r="AR20" s="38">
        <f t="shared" ref="AR20" si="257">(+AQ20-+AQ19)*48</f>
        <v>0</v>
      </c>
      <c r="AS20" s="85">
        <v>2262</v>
      </c>
      <c r="AT20" s="38">
        <f t="shared" ref="AT20" si="258">(+AS20-+AS19)*48</f>
        <v>0</v>
      </c>
      <c r="AU20" s="85">
        <v>939</v>
      </c>
      <c r="AV20" s="38">
        <f t="shared" ref="AV20" si="259">(+AU20-+AU19)*48</f>
        <v>0</v>
      </c>
      <c r="AW20" s="85">
        <v>3109</v>
      </c>
      <c r="AX20" s="38">
        <f t="shared" ref="AX20" si="260">(+AW20-+AW19)*48</f>
        <v>0</v>
      </c>
      <c r="AY20" s="85">
        <v>318124</v>
      </c>
      <c r="AZ20" s="38">
        <f t="shared" ref="AZ20" si="261">(+AY20-+AY19)*48</f>
        <v>3024</v>
      </c>
      <c r="BA20" s="85">
        <v>161101</v>
      </c>
      <c r="BB20" s="38">
        <f t="shared" ref="BB20" si="262">(+BA20-+BA19)*48</f>
        <v>0</v>
      </c>
      <c r="BC20" s="85">
        <v>217504</v>
      </c>
      <c r="BD20" s="38">
        <f t="shared" ref="BD20" si="263">(+BC20-+BC19)*48</f>
        <v>2016</v>
      </c>
      <c r="BE20" s="85">
        <v>5347</v>
      </c>
      <c r="BF20" s="38">
        <f t="shared" ref="BF20" si="264">(+BE20-+BE19)*48</f>
        <v>0</v>
      </c>
      <c r="BH20" s="168">
        <f t="shared" si="1"/>
        <v>102106.8959999998</v>
      </c>
      <c r="BI20" s="168">
        <f t="shared" si="2"/>
        <v>63825.599999999999</v>
      </c>
    </row>
    <row r="21" spans="1:61" s="36" customFormat="1" ht="39.950000000000003" customHeight="1">
      <c r="A21" s="147">
        <v>44360</v>
      </c>
      <c r="B21" s="35"/>
      <c r="C21" s="85">
        <v>6095310</v>
      </c>
      <c r="D21" s="38">
        <f t="shared" ref="D21" si="265">(+C21-+C20)*48</f>
        <v>100800</v>
      </c>
      <c r="E21" s="107">
        <f>D21*E5</f>
        <v>55440.000000000007</v>
      </c>
      <c r="F21" s="107">
        <f>D21*F5</f>
        <v>45360</v>
      </c>
      <c r="G21" s="85">
        <v>282694</v>
      </c>
      <c r="H21" s="38">
        <f t="shared" ref="H21" si="266">(+G21-+G20)*48</f>
        <v>2016</v>
      </c>
      <c r="I21" s="85">
        <v>128555</v>
      </c>
      <c r="J21" s="38">
        <f t="shared" ref="J21" si="267">(+I21-+I20)*48</f>
        <v>8496</v>
      </c>
      <c r="K21" s="85">
        <v>258927</v>
      </c>
      <c r="L21" s="38">
        <f t="shared" si="0"/>
        <v>3648</v>
      </c>
      <c r="M21" s="85">
        <v>24781</v>
      </c>
      <c r="N21" s="38">
        <f t="shared" ref="N21" si="268">(+M21-+M20)*48</f>
        <v>0</v>
      </c>
      <c r="O21" s="85">
        <v>267292</v>
      </c>
      <c r="P21" s="38">
        <f t="shared" ref="P21" si="269">(+O21-+O20)*48</f>
        <v>11184</v>
      </c>
      <c r="Q21" s="85">
        <v>450480</v>
      </c>
      <c r="R21" s="38">
        <f t="shared" ref="R21" si="270">(+Q21-+Q20)*48</f>
        <v>4752</v>
      </c>
      <c r="S21" s="85">
        <v>726313</v>
      </c>
      <c r="T21" s="38">
        <f t="shared" ref="T21" si="271">(+S21-+S20)*48</f>
        <v>1056</v>
      </c>
      <c r="U21" s="85">
        <v>100076.353</v>
      </c>
      <c r="V21" s="107">
        <f t="shared" ref="V21" si="272">(+U21-+U20)*48</f>
        <v>1030.5600000000559</v>
      </c>
      <c r="W21" s="85">
        <v>81139</v>
      </c>
      <c r="X21" s="38">
        <f t="shared" ref="X21" si="273">(+W21-+W20)*48</f>
        <v>720</v>
      </c>
      <c r="Y21" s="85">
        <v>1499604</v>
      </c>
      <c r="Z21" s="38">
        <f t="shared" ref="Z21" si="274">(+Y21-+Y20)*48</f>
        <v>0</v>
      </c>
      <c r="AA21" s="85">
        <v>13264</v>
      </c>
      <c r="AB21" s="38">
        <f t="shared" ref="AB21" si="275">(+AA21-+AA20)*48</f>
        <v>0</v>
      </c>
      <c r="AC21" s="85">
        <v>458166</v>
      </c>
      <c r="AD21" s="38">
        <f t="shared" si="14"/>
        <v>4224</v>
      </c>
      <c r="AE21" s="85">
        <v>531070</v>
      </c>
      <c r="AF21" s="38">
        <f t="shared" si="14"/>
        <v>6288</v>
      </c>
      <c r="AG21" s="85">
        <v>49769</v>
      </c>
      <c r="AH21" s="38">
        <f t="shared" ref="AH21" si="276">(+AG21-+AG20)*48</f>
        <v>0</v>
      </c>
      <c r="AI21" s="85">
        <v>418266</v>
      </c>
      <c r="AJ21" s="38">
        <f t="shared" ref="AJ21" si="277">(+AI21-+AI20)*48</f>
        <v>3936</v>
      </c>
      <c r="AK21" s="85">
        <v>102770</v>
      </c>
      <c r="AL21" s="38">
        <f t="shared" ref="AL21" si="278">(+AK21-+AK20)*48</f>
        <v>0</v>
      </c>
      <c r="AM21" s="85">
        <f>(AM20+AM22)/2</f>
        <v>576097.5</v>
      </c>
      <c r="AN21" s="38">
        <f t="shared" ref="AN21" si="279">(+AM21-+AM20)*48</f>
        <v>5400</v>
      </c>
      <c r="AO21" s="85">
        <f>(AO20+AO22)/2</f>
        <v>932831.5</v>
      </c>
      <c r="AP21" s="38">
        <f t="shared" ref="AP21" si="280">(+AO21-+AO20)*48</f>
        <v>9336</v>
      </c>
      <c r="AQ21" s="85">
        <v>77874</v>
      </c>
      <c r="AR21" s="38">
        <f t="shared" ref="AR21" si="281">(+AQ21-+AQ20)*48</f>
        <v>0</v>
      </c>
      <c r="AS21" s="85">
        <v>2262</v>
      </c>
      <c r="AT21" s="38">
        <f t="shared" ref="AT21" si="282">(+AS21-+AS20)*48</f>
        <v>0</v>
      </c>
      <c r="AU21" s="85">
        <v>939</v>
      </c>
      <c r="AV21" s="38">
        <f t="shared" ref="AV21" si="283">(+AU21-+AU20)*48</f>
        <v>0</v>
      </c>
      <c r="AW21" s="85">
        <v>3109</v>
      </c>
      <c r="AX21" s="38">
        <f t="shared" ref="AX21" si="284">(+AW21-+AW20)*48</f>
        <v>0</v>
      </c>
      <c r="AY21" s="85">
        <f>(AY20+AY22)/2</f>
        <v>318190.5</v>
      </c>
      <c r="AZ21" s="38">
        <f t="shared" ref="AZ21" si="285">(+AY21-+AY20)*48</f>
        <v>3192</v>
      </c>
      <c r="BA21" s="85">
        <v>161101</v>
      </c>
      <c r="BB21" s="38">
        <f t="shared" ref="BB21" si="286">(+BA21-+BA20)*48</f>
        <v>0</v>
      </c>
      <c r="BC21" s="85">
        <f>(BC20+BC22)/2</f>
        <v>217547</v>
      </c>
      <c r="BD21" s="38">
        <f t="shared" ref="BD21" si="287">(+BC21-+BC20)*48</f>
        <v>2064</v>
      </c>
      <c r="BE21" s="85">
        <v>5347</v>
      </c>
      <c r="BF21" s="38">
        <f t="shared" ref="BF21" si="288">(+BE21-+BE20)*48</f>
        <v>0</v>
      </c>
      <c r="BH21" s="168">
        <f t="shared" si="1"/>
        <v>102790.56000000006</v>
      </c>
      <c r="BI21" s="168">
        <f t="shared" si="2"/>
        <v>65352</v>
      </c>
    </row>
    <row r="22" spans="1:61" s="36" customFormat="1" ht="39.950000000000003" customHeight="1">
      <c r="A22" s="147">
        <v>44361</v>
      </c>
      <c r="B22" s="35"/>
      <c r="C22" s="80">
        <v>6097384</v>
      </c>
      <c r="D22" s="38">
        <f t="shared" ref="D22" si="289">(+C22-+C21)*48</f>
        <v>99552</v>
      </c>
      <c r="E22" s="107">
        <f>D22*E5</f>
        <v>54753.600000000006</v>
      </c>
      <c r="F22" s="107">
        <f>D22*F5</f>
        <v>44798.400000000001</v>
      </c>
      <c r="G22" s="80">
        <v>282733</v>
      </c>
      <c r="H22" s="38">
        <f t="shared" ref="H22" si="290">(+G22-+G21)*48</f>
        <v>1872</v>
      </c>
      <c r="I22" s="80">
        <v>128725</v>
      </c>
      <c r="J22" s="38">
        <f t="shared" ref="J22" si="291">(+I22-+I21)*48</f>
        <v>8160</v>
      </c>
      <c r="K22" s="80">
        <v>258971</v>
      </c>
      <c r="L22" s="38">
        <f t="shared" si="0"/>
        <v>2112</v>
      </c>
      <c r="M22" s="85">
        <v>24781</v>
      </c>
      <c r="N22" s="38">
        <f t="shared" ref="N22" si="292">(+M22-+M21)*48</f>
        <v>0</v>
      </c>
      <c r="O22" s="80">
        <v>267514</v>
      </c>
      <c r="P22" s="38">
        <f t="shared" ref="P22" si="293">(+O22-+O21)*48</f>
        <v>10656</v>
      </c>
      <c r="Q22" s="80">
        <v>450567</v>
      </c>
      <c r="R22" s="38">
        <f t="shared" ref="R22" si="294">(+Q22-+Q21)*48</f>
        <v>4176</v>
      </c>
      <c r="S22" s="80">
        <v>726507</v>
      </c>
      <c r="T22" s="38">
        <f t="shared" ref="T22" si="295">(+S22-+S21)*48</f>
        <v>9312</v>
      </c>
      <c r="U22" s="80">
        <v>100100.162</v>
      </c>
      <c r="V22" s="107">
        <f t="shared" ref="V22" si="296">(+U22-+U21)*48</f>
        <v>1142.8319999997038</v>
      </c>
      <c r="W22" s="80">
        <v>81151</v>
      </c>
      <c r="X22" s="38">
        <f t="shared" ref="X22" si="297">(+W22-+W21)*48</f>
        <v>576</v>
      </c>
      <c r="Y22" s="80">
        <v>1499604</v>
      </c>
      <c r="Z22" s="38">
        <f t="shared" ref="Z22" si="298">(+Y22-+Y21)*48</f>
        <v>0</v>
      </c>
      <c r="AA22" s="80">
        <v>13264</v>
      </c>
      <c r="AB22" s="38">
        <f t="shared" ref="AB22" si="299">(+AA22-+AA21)*48</f>
        <v>0</v>
      </c>
      <c r="AC22" s="80">
        <v>458251</v>
      </c>
      <c r="AD22" s="38">
        <f t="shared" si="14"/>
        <v>4080</v>
      </c>
      <c r="AE22" s="80">
        <v>531202</v>
      </c>
      <c r="AF22" s="38">
        <f t="shared" si="14"/>
        <v>6336</v>
      </c>
      <c r="AG22" s="80">
        <v>49769</v>
      </c>
      <c r="AH22" s="38">
        <f t="shared" ref="AH22" si="300">(+AG22-+AG21)*48</f>
        <v>0</v>
      </c>
      <c r="AI22" s="80">
        <v>418347</v>
      </c>
      <c r="AJ22" s="38">
        <f t="shared" ref="AJ22" si="301">(+AI22-+AI21)*48</f>
        <v>3888</v>
      </c>
      <c r="AK22" s="80">
        <v>102770</v>
      </c>
      <c r="AL22" s="38">
        <f t="shared" ref="AL22" si="302">(+AK22-+AK21)*48</f>
        <v>0</v>
      </c>
      <c r="AM22" s="80">
        <v>576210</v>
      </c>
      <c r="AN22" s="38">
        <f t="shared" ref="AN22" si="303">(+AM22-+AM21)*48</f>
        <v>5400</v>
      </c>
      <c r="AO22" s="80">
        <v>933026</v>
      </c>
      <c r="AP22" s="38">
        <f t="shared" ref="AP22" si="304">(+AO22-+AO21)*48</f>
        <v>9336</v>
      </c>
      <c r="AQ22" s="80">
        <v>77874</v>
      </c>
      <c r="AR22" s="38">
        <f t="shared" ref="AR22" si="305">(+AQ22-+AQ21)*48</f>
        <v>0</v>
      </c>
      <c r="AS22" s="80">
        <v>2262</v>
      </c>
      <c r="AT22" s="38">
        <f t="shared" ref="AT22" si="306">(+AS22-+AS21)*48</f>
        <v>0</v>
      </c>
      <c r="AU22" s="80">
        <v>939</v>
      </c>
      <c r="AV22" s="38">
        <f t="shared" ref="AV22" si="307">(+AU22-+AU21)*48</f>
        <v>0</v>
      </c>
      <c r="AW22" s="80">
        <v>3109</v>
      </c>
      <c r="AX22" s="38">
        <f t="shared" ref="AX22" si="308">(+AW22-+AW21)*48</f>
        <v>0</v>
      </c>
      <c r="AY22" s="80">
        <v>318257</v>
      </c>
      <c r="AZ22" s="38">
        <f t="shared" ref="AZ22" si="309">(+AY22-+AY21)*48</f>
        <v>3192</v>
      </c>
      <c r="BA22" s="80">
        <v>161101</v>
      </c>
      <c r="BB22" s="38">
        <f>(+BA23-+BA21)*48</f>
        <v>0</v>
      </c>
      <c r="BC22" s="80">
        <v>217590</v>
      </c>
      <c r="BD22" s="38">
        <f t="shared" ref="BD22" si="310">(+BC22-+BC21)*48</f>
        <v>2064</v>
      </c>
      <c r="BE22" s="80">
        <v>5347</v>
      </c>
      <c r="BF22" s="38">
        <f t="shared" ref="BF22" si="311">(+BE22-+BE21)*48</f>
        <v>0</v>
      </c>
      <c r="BH22" s="168">
        <f t="shared" si="1"/>
        <v>107064.43199999971</v>
      </c>
      <c r="BI22" s="168">
        <f t="shared" si="2"/>
        <v>64790.400000000001</v>
      </c>
    </row>
    <row r="23" spans="1:61" s="36" customFormat="1" ht="39.950000000000003" customHeight="1">
      <c r="A23" s="147">
        <v>44362</v>
      </c>
      <c r="B23" s="35"/>
      <c r="C23" s="80">
        <v>6099459</v>
      </c>
      <c r="D23" s="38">
        <f t="shared" ref="D23" si="312">(+C23-+C22)*48</f>
        <v>99600</v>
      </c>
      <c r="E23" s="107">
        <f>D23*E5</f>
        <v>54780.000000000007</v>
      </c>
      <c r="F23" s="107">
        <f>D23*F5</f>
        <v>44820</v>
      </c>
      <c r="G23" s="80">
        <v>282740</v>
      </c>
      <c r="H23" s="38">
        <f t="shared" ref="H23" si="313">(+G23-+G22)*48</f>
        <v>336</v>
      </c>
      <c r="I23" s="80">
        <v>128895</v>
      </c>
      <c r="J23" s="38">
        <f t="shared" ref="J23" si="314">(+I23-+I22)*48</f>
        <v>8160</v>
      </c>
      <c r="K23" s="80">
        <v>258996</v>
      </c>
      <c r="L23" s="38">
        <f t="shared" si="0"/>
        <v>1200</v>
      </c>
      <c r="M23" s="85">
        <v>24781</v>
      </c>
      <c r="N23" s="38">
        <f t="shared" ref="N23" si="315">(+M23-+M22)*48</f>
        <v>0</v>
      </c>
      <c r="O23" s="80">
        <v>267735</v>
      </c>
      <c r="P23" s="38">
        <f t="shared" ref="P23" si="316">(+O23-+O22)*48</f>
        <v>10608</v>
      </c>
      <c r="Q23" s="80">
        <v>450654</v>
      </c>
      <c r="R23" s="38">
        <f t="shared" ref="R23" si="317">(+Q23-+Q22)*48</f>
        <v>4176</v>
      </c>
      <c r="S23" s="80">
        <v>726613</v>
      </c>
      <c r="T23" s="38">
        <f t="shared" ref="T23" si="318">(+S23-+S22)*48</f>
        <v>5088</v>
      </c>
      <c r="U23" s="80">
        <v>100123.77499999999</v>
      </c>
      <c r="V23" s="107">
        <f t="shared" ref="V23" si="319">(+U23-+U22)*48</f>
        <v>1133.4239999998827</v>
      </c>
      <c r="W23" s="80">
        <v>81165</v>
      </c>
      <c r="X23" s="38">
        <f t="shared" ref="X23" si="320">(+W23-+W22)*48</f>
        <v>672</v>
      </c>
      <c r="Y23" s="80">
        <v>1499604</v>
      </c>
      <c r="Z23" s="38">
        <f t="shared" ref="Z23" si="321">(+Y23-+Y22)*48</f>
        <v>0</v>
      </c>
      <c r="AA23" s="80">
        <v>13264</v>
      </c>
      <c r="AB23" s="38">
        <f t="shared" ref="AB23" si="322">(+AA23-+AA22)*48</f>
        <v>0</v>
      </c>
      <c r="AC23" s="80">
        <v>458335</v>
      </c>
      <c r="AD23" s="38">
        <f t="shared" si="14"/>
        <v>4032</v>
      </c>
      <c r="AE23" s="80">
        <v>531332</v>
      </c>
      <c r="AF23" s="38">
        <f t="shared" si="14"/>
        <v>6240</v>
      </c>
      <c r="AG23" s="80">
        <v>49769</v>
      </c>
      <c r="AH23" s="38">
        <f t="shared" ref="AH23" si="323">(+AG23-+AG22)*48</f>
        <v>0</v>
      </c>
      <c r="AI23" s="80">
        <v>418424</v>
      </c>
      <c r="AJ23" s="38">
        <f t="shared" ref="AJ23" si="324">(+AI23-+AI22)*48</f>
        <v>3696</v>
      </c>
      <c r="AK23" s="80">
        <v>102770</v>
      </c>
      <c r="AL23" s="38">
        <f t="shared" ref="AL23" si="325">(+AK23-+AK22)*48</f>
        <v>0</v>
      </c>
      <c r="AM23" s="80">
        <v>576320</v>
      </c>
      <c r="AN23" s="38">
        <f t="shared" ref="AN23" si="326">(+AM23-+AM22)*48</f>
        <v>5280</v>
      </c>
      <c r="AO23" s="80">
        <v>933219</v>
      </c>
      <c r="AP23" s="38">
        <f t="shared" ref="AP23" si="327">(+AO23-+AO22)*48</f>
        <v>9264</v>
      </c>
      <c r="AQ23" s="80">
        <v>77874</v>
      </c>
      <c r="AR23" s="38">
        <f t="shared" ref="AR23" si="328">(+AQ23-+AQ22)*48</f>
        <v>0</v>
      </c>
      <c r="AS23" s="80">
        <v>2262</v>
      </c>
      <c r="AT23" s="38">
        <f t="shared" ref="AT23" si="329">(+AS23-+AS22)*48</f>
        <v>0</v>
      </c>
      <c r="AU23" s="80">
        <v>939</v>
      </c>
      <c r="AV23" s="38">
        <f t="shared" ref="AV23" si="330">(+AU23-+AU22)*48</f>
        <v>0</v>
      </c>
      <c r="AW23" s="80">
        <v>3109</v>
      </c>
      <c r="AX23" s="38">
        <f t="shared" ref="AX23" si="331">(+AW23-+AW22)*48</f>
        <v>0</v>
      </c>
      <c r="AY23" s="80">
        <v>318324</v>
      </c>
      <c r="AZ23" s="38">
        <f t="shared" ref="AZ23" si="332">(+AY23-+AY22)*48</f>
        <v>3216</v>
      </c>
      <c r="BA23" s="80">
        <v>161101</v>
      </c>
      <c r="BB23" s="107">
        <f t="shared" ref="BB23:BB25" si="333">(+BA23-+BA22)*48</f>
        <v>0</v>
      </c>
      <c r="BC23" s="80">
        <v>217630</v>
      </c>
      <c r="BD23" s="38">
        <f t="shared" ref="BD23" si="334">(+BC23-+BC22)*48</f>
        <v>1920</v>
      </c>
      <c r="BE23" s="80">
        <v>5347</v>
      </c>
      <c r="BF23" s="38">
        <f t="shared" ref="BF23" si="335">(+BE23-+BE22)*48</f>
        <v>0</v>
      </c>
      <c r="BH23" s="108">
        <f t="shared" si="1"/>
        <v>100121.42399999988</v>
      </c>
      <c r="BI23" s="108">
        <f t="shared" si="2"/>
        <v>64500</v>
      </c>
    </row>
    <row r="24" spans="1:61" s="36" customFormat="1" ht="39.950000000000003" customHeight="1">
      <c r="A24" s="147">
        <v>44363</v>
      </c>
      <c r="B24" s="35"/>
      <c r="C24" s="80">
        <v>6101527</v>
      </c>
      <c r="D24" s="107">
        <f t="shared" ref="D24" si="336">(+C24-+C23)*48</f>
        <v>99264</v>
      </c>
      <c r="E24" s="107">
        <f>D24*E5</f>
        <v>54595.200000000004</v>
      </c>
      <c r="F24" s="107">
        <f>D24*F5</f>
        <v>44668.800000000003</v>
      </c>
      <c r="G24" s="80">
        <v>282775</v>
      </c>
      <c r="H24" s="107">
        <f t="shared" ref="H24" si="337">(+G24-+G23)*48</f>
        <v>1680</v>
      </c>
      <c r="I24" s="80">
        <v>129067</v>
      </c>
      <c r="J24" s="107">
        <f t="shared" ref="J24" si="338">(+I24-+I23)*48</f>
        <v>8256</v>
      </c>
      <c r="K24" s="80">
        <v>259006</v>
      </c>
      <c r="L24" s="107">
        <f t="shared" si="0"/>
        <v>480</v>
      </c>
      <c r="M24" s="85">
        <v>24781</v>
      </c>
      <c r="N24" s="38">
        <f t="shared" ref="N24" si="339">(+M24-+M23)*48</f>
        <v>0</v>
      </c>
      <c r="O24" s="80">
        <v>267926</v>
      </c>
      <c r="P24" s="107">
        <f t="shared" ref="P24" si="340">(+O24-+O23)*48</f>
        <v>9168</v>
      </c>
      <c r="Q24" s="80">
        <v>450721</v>
      </c>
      <c r="R24" s="107">
        <f t="shared" ref="R24" si="341">(+Q24-+Q23)*48</f>
        <v>3216</v>
      </c>
      <c r="S24" s="80">
        <v>726721</v>
      </c>
      <c r="T24" s="107">
        <f t="shared" ref="T24" si="342">(+S24-+S23)*48</f>
        <v>5184</v>
      </c>
      <c r="U24" s="80">
        <v>100140.61199999999</v>
      </c>
      <c r="V24" s="107">
        <f t="shared" ref="V24" si="343">(+U24-+U23)*48</f>
        <v>808.17599999997765</v>
      </c>
      <c r="W24" s="80">
        <v>81169</v>
      </c>
      <c r="X24" s="107">
        <f t="shared" ref="X24" si="344">(+W24-+W23)*48</f>
        <v>192</v>
      </c>
      <c r="Y24" s="80">
        <v>1499604</v>
      </c>
      <c r="Z24" s="107">
        <f t="shared" ref="Z24" si="345">(+Y24-+Y23)*48</f>
        <v>0</v>
      </c>
      <c r="AA24" s="80">
        <v>13264</v>
      </c>
      <c r="AB24" s="107">
        <f t="shared" ref="AB24" si="346">(+AA24-+AA23)*48</f>
        <v>0</v>
      </c>
      <c r="AC24" s="80">
        <v>458431</v>
      </c>
      <c r="AD24" s="107">
        <f t="shared" si="14"/>
        <v>4608</v>
      </c>
      <c r="AE24" s="80">
        <v>531467</v>
      </c>
      <c r="AF24" s="107">
        <f t="shared" si="14"/>
        <v>6480</v>
      </c>
      <c r="AG24" s="80">
        <v>49769</v>
      </c>
      <c r="AH24" s="107">
        <f t="shared" ref="AH24" si="347">(+AG24-+AG23)*48</f>
        <v>0</v>
      </c>
      <c r="AI24" s="80">
        <v>418501</v>
      </c>
      <c r="AJ24" s="107">
        <f t="shared" ref="AJ24" si="348">(+AI24-+AI23)*48</f>
        <v>3696</v>
      </c>
      <c r="AK24" s="80">
        <v>102770</v>
      </c>
      <c r="AL24" s="107">
        <f t="shared" ref="AL24" si="349">(+AK24-+AK23)*48</f>
        <v>0</v>
      </c>
      <c r="AM24" s="80">
        <v>576427</v>
      </c>
      <c r="AN24" s="107">
        <f t="shared" ref="AN24" si="350">(+AM24-+AM23)*48</f>
        <v>5136</v>
      </c>
      <c r="AO24" s="80">
        <v>933410</v>
      </c>
      <c r="AP24" s="107">
        <f t="shared" ref="AP24" si="351">(+AO24-+AO23)*48</f>
        <v>9168</v>
      </c>
      <c r="AQ24" s="80">
        <v>77874</v>
      </c>
      <c r="AR24" s="107">
        <f t="shared" ref="AR24" si="352">(+AQ24-+AQ23)*48</f>
        <v>0</v>
      </c>
      <c r="AS24" s="80">
        <v>2262</v>
      </c>
      <c r="AT24" s="107">
        <f t="shared" ref="AT24" si="353">(+AS24-+AS23)*48</f>
        <v>0</v>
      </c>
      <c r="AU24" s="80">
        <v>939</v>
      </c>
      <c r="AV24" s="107">
        <f t="shared" ref="AV24" si="354">(+AU24-+AU23)*48</f>
        <v>0</v>
      </c>
      <c r="AW24" s="80">
        <v>3109</v>
      </c>
      <c r="AX24" s="107">
        <f t="shared" ref="AX24" si="355">(+AW24-+AW23)*48</f>
        <v>0</v>
      </c>
      <c r="AY24" s="80">
        <v>318391</v>
      </c>
      <c r="AZ24" s="107">
        <f t="shared" ref="AZ24" si="356">(+AY24-+AY23)*48</f>
        <v>3216</v>
      </c>
      <c r="BA24" s="80">
        <v>161101</v>
      </c>
      <c r="BB24" s="107">
        <f t="shared" si="333"/>
        <v>0</v>
      </c>
      <c r="BC24" s="80">
        <v>217673</v>
      </c>
      <c r="BD24" s="107">
        <f t="shared" ref="BD24" si="357">(+BC24-+BC23)*48</f>
        <v>2064</v>
      </c>
      <c r="BE24" s="80">
        <v>5347</v>
      </c>
      <c r="BF24" s="107">
        <f t="shared" ref="BF24" si="358">(+BE24-+BE23)*48</f>
        <v>0</v>
      </c>
      <c r="BH24" s="108">
        <f t="shared" si="1"/>
        <v>98363.375999999989</v>
      </c>
      <c r="BI24" s="108">
        <f t="shared" si="2"/>
        <v>64252.800000000003</v>
      </c>
    </row>
    <row r="25" spans="1:61" s="36" customFormat="1" ht="39.950000000000003" customHeight="1">
      <c r="A25" s="147">
        <v>44364</v>
      </c>
      <c r="B25" s="35"/>
      <c r="C25" s="80">
        <v>6103705</v>
      </c>
      <c r="D25" s="107">
        <f t="shared" ref="D25" si="359">(+C25-+C24)*48</f>
        <v>104544</v>
      </c>
      <c r="E25" s="107">
        <f>D25*E5</f>
        <v>57499.200000000004</v>
      </c>
      <c r="F25" s="107">
        <f>D25*F5</f>
        <v>47044.800000000003</v>
      </c>
      <c r="G25" s="85">
        <f>(G28-G24)/4+G24</f>
        <v>282811.25</v>
      </c>
      <c r="H25" s="107">
        <f t="shared" ref="H25" si="360">(+G25-+G24)*48</f>
        <v>1740</v>
      </c>
      <c r="I25" s="85">
        <f>(I28-I24)/4+I24</f>
        <v>129253.25</v>
      </c>
      <c r="J25" s="107">
        <f t="shared" ref="J25" si="361">(+I25-+I24)*48</f>
        <v>8940</v>
      </c>
      <c r="K25" s="85">
        <f>(K28-K24)/4+K24</f>
        <v>259047.25</v>
      </c>
      <c r="L25" s="107">
        <f t="shared" si="0"/>
        <v>1980</v>
      </c>
      <c r="M25" s="85">
        <v>24781</v>
      </c>
      <c r="N25" s="38">
        <f t="shared" ref="N25" si="362">(+M25-+M24)*48</f>
        <v>0</v>
      </c>
      <c r="O25" s="85">
        <f>(O28-O24)/4+O24</f>
        <v>268127.5</v>
      </c>
      <c r="P25" s="107">
        <f t="shared" ref="P25" si="363">(+O25-+O24)*48</f>
        <v>9672</v>
      </c>
      <c r="Q25" s="85">
        <f>(Q28-Q24)/4+Q24</f>
        <v>450813</v>
      </c>
      <c r="R25" s="107">
        <f t="shared" ref="R25" si="364">(+Q25-+Q24)*48</f>
        <v>4416</v>
      </c>
      <c r="S25" s="85">
        <f>(S28-S24)/4+S24</f>
        <v>726838.25</v>
      </c>
      <c r="T25" s="107">
        <f t="shared" ref="T25" si="365">(+S25-+S24)*48</f>
        <v>5628</v>
      </c>
      <c r="U25" s="85">
        <f>(U28-U24)/4+U24</f>
        <v>100162.64224999999</v>
      </c>
      <c r="V25" s="107">
        <f t="shared" ref="V25" si="366">(+U25-+U24)*48</f>
        <v>1057.4519999998156</v>
      </c>
      <c r="W25" s="85">
        <f>(W28-W24)/4+W24</f>
        <v>81183.5</v>
      </c>
      <c r="X25" s="107">
        <f t="shared" ref="X25" si="367">(+W25-+W24)*48</f>
        <v>696</v>
      </c>
      <c r="Y25" s="80">
        <v>1499604</v>
      </c>
      <c r="Z25" s="107">
        <f t="shared" ref="Z25" si="368">(+Y25-+Y24)*48</f>
        <v>0</v>
      </c>
      <c r="AA25" s="80">
        <v>13264</v>
      </c>
      <c r="AB25" s="107">
        <f t="shared" ref="AB25" si="369">(+AA25-+AA24)*48</f>
        <v>0</v>
      </c>
      <c r="AC25" s="85">
        <f>(AC24+AC26)/2</f>
        <v>458557</v>
      </c>
      <c r="AD25" s="107">
        <f t="shared" si="14"/>
        <v>6048</v>
      </c>
      <c r="AE25" s="85">
        <f>(AE24+AE26)/2</f>
        <v>531595</v>
      </c>
      <c r="AF25" s="107">
        <f t="shared" si="14"/>
        <v>6144</v>
      </c>
      <c r="AG25" s="80">
        <v>49769</v>
      </c>
      <c r="AH25" s="107">
        <f t="shared" ref="AH25" si="370">(+AG25-+AG24)*48</f>
        <v>0</v>
      </c>
      <c r="AI25" s="85">
        <f>(AI24+AI26)/2</f>
        <v>418565</v>
      </c>
      <c r="AJ25" s="107">
        <f t="shared" ref="AJ25" si="371">(+AI25-+AI24)*48</f>
        <v>3072</v>
      </c>
      <c r="AK25" s="80">
        <v>102770</v>
      </c>
      <c r="AL25" s="107">
        <f t="shared" ref="AL25" si="372">(+AK25-+AK24)*48</f>
        <v>0</v>
      </c>
      <c r="AM25" s="85">
        <f>(AM28-AM24)/4+AM24</f>
        <v>576530.75</v>
      </c>
      <c r="AN25" s="107">
        <f t="shared" ref="AN25" si="373">(+AM25-+AM24)*48</f>
        <v>4980</v>
      </c>
      <c r="AO25" s="85">
        <f>(AO28-AO24)/4+AO24</f>
        <v>933599.75</v>
      </c>
      <c r="AP25" s="107">
        <f t="shared" ref="AP25" si="374">(+AO25-+AO24)*48</f>
        <v>9108</v>
      </c>
      <c r="AQ25" s="80">
        <v>77874</v>
      </c>
      <c r="AR25" s="107">
        <f t="shared" ref="AR25" si="375">(+AQ25-+AQ24)*48</f>
        <v>0</v>
      </c>
      <c r="AS25" s="80">
        <v>2262</v>
      </c>
      <c r="AT25" s="107">
        <f t="shared" ref="AT25" si="376">(+AS25-+AS24)*48</f>
        <v>0</v>
      </c>
      <c r="AU25" s="80">
        <v>939</v>
      </c>
      <c r="AV25" s="107">
        <f t="shared" ref="AV25" si="377">(+AU25-+AU24)*48</f>
        <v>0</v>
      </c>
      <c r="AW25" s="80">
        <v>3109</v>
      </c>
      <c r="AX25" s="107">
        <f t="shared" ref="AX25" si="378">(+AW25-+AW24)*48</f>
        <v>0</v>
      </c>
      <c r="AY25" s="85">
        <f>(AY28-AY24)/4+AY24</f>
        <v>318455.75</v>
      </c>
      <c r="AZ25" s="107">
        <f t="shared" ref="AZ25" si="379">(+AY25-+AY24)*48</f>
        <v>3108</v>
      </c>
      <c r="BA25" s="80">
        <v>161101</v>
      </c>
      <c r="BB25" s="107">
        <f t="shared" si="333"/>
        <v>0</v>
      </c>
      <c r="BC25" s="85">
        <f>(BC28-BC24)/4+BC24</f>
        <v>217706.25</v>
      </c>
      <c r="BD25" s="107">
        <f t="shared" ref="BD25" si="380">(+BC25-+BC24)*48</f>
        <v>1596</v>
      </c>
      <c r="BE25" s="80">
        <v>5347</v>
      </c>
      <c r="BF25" s="107">
        <f t="shared" ref="BF25" si="381">(+BE25-+BE24)*48</f>
        <v>0</v>
      </c>
      <c r="BH25" s="108">
        <f t="shared" si="1"/>
        <v>106892.65199999983</v>
      </c>
      <c r="BI25" s="108">
        <f t="shared" si="2"/>
        <v>65836.800000000003</v>
      </c>
    </row>
    <row r="26" spans="1:61" s="36" customFormat="1" ht="39.950000000000003" customHeight="1">
      <c r="A26" s="147">
        <v>44365</v>
      </c>
      <c r="B26" s="35"/>
      <c r="C26" s="80">
        <v>6105838</v>
      </c>
      <c r="D26" s="107">
        <f t="shared" ref="D26" si="382">(+C26-+C25)*48</f>
        <v>102384</v>
      </c>
      <c r="E26" s="107">
        <f>D26*E5</f>
        <v>56311.200000000004</v>
      </c>
      <c r="F26" s="107">
        <f>D26*F5</f>
        <v>46072.800000000003</v>
      </c>
      <c r="G26" s="85">
        <f>(G28-G24)/4+G25</f>
        <v>282847.5</v>
      </c>
      <c r="H26" s="107">
        <f t="shared" ref="H26" si="383">(+G26-+G25)*48</f>
        <v>1740</v>
      </c>
      <c r="I26" s="85">
        <f>(I28-I24)/4+I25</f>
        <v>129439.5</v>
      </c>
      <c r="J26" s="107">
        <f t="shared" ref="J26" si="384">(+I26-+I25)*48</f>
        <v>8940</v>
      </c>
      <c r="K26" s="85">
        <f>(K28-K24)/4+K25</f>
        <v>259088.5</v>
      </c>
      <c r="L26" s="107">
        <f t="shared" si="0"/>
        <v>1980</v>
      </c>
      <c r="M26" s="85">
        <v>24781</v>
      </c>
      <c r="N26" s="38">
        <f t="shared" ref="N26" si="385">(+M26-+M25)*48</f>
        <v>0</v>
      </c>
      <c r="O26" s="85">
        <f>(O28-O24)/4+O25</f>
        <v>268329</v>
      </c>
      <c r="P26" s="107">
        <f t="shared" ref="P26" si="386">(+O26-+O25)*48</f>
        <v>9672</v>
      </c>
      <c r="Q26" s="85">
        <f>(Q28-Q24)/4+Q25</f>
        <v>450905</v>
      </c>
      <c r="R26" s="107">
        <f t="shared" ref="R26" si="387">(+Q26-+Q25)*48</f>
        <v>4416</v>
      </c>
      <c r="S26" s="85">
        <f>(S28-S24)/4+S25</f>
        <v>726955.5</v>
      </c>
      <c r="T26" s="107">
        <f t="shared" ref="T26" si="388">(+S26-+S25)*48</f>
        <v>5628</v>
      </c>
      <c r="U26" s="85">
        <f>(U28-U24)/4+U25</f>
        <v>100184.67249999999</v>
      </c>
      <c r="V26" s="107">
        <f t="shared" ref="V26" si="389">(+U26-+U25)*48</f>
        <v>1057.4519999998156</v>
      </c>
      <c r="W26" s="85">
        <f>(W28-W24)/4+W25</f>
        <v>81198</v>
      </c>
      <c r="X26" s="107">
        <f t="shared" ref="X26" si="390">(+W26-+W25)*48</f>
        <v>696</v>
      </c>
      <c r="Y26" s="80">
        <v>1499604</v>
      </c>
      <c r="Z26" s="107">
        <f t="shared" ref="Z26" si="391">(+Y26-+Y25)*48</f>
        <v>0</v>
      </c>
      <c r="AA26" s="80">
        <v>13264</v>
      </c>
      <c r="AB26" s="107">
        <f t="shared" ref="AB26" si="392">(+AA26-+AA25)*48</f>
        <v>0</v>
      </c>
      <c r="AC26" s="80">
        <v>458683</v>
      </c>
      <c r="AD26" s="107">
        <f t="shared" si="14"/>
        <v>6048</v>
      </c>
      <c r="AE26" s="80">
        <v>531723</v>
      </c>
      <c r="AF26" s="107">
        <f t="shared" si="14"/>
        <v>6144</v>
      </c>
      <c r="AG26" s="80">
        <v>49769</v>
      </c>
      <c r="AH26" s="107">
        <f t="shared" ref="AH26" si="393">(+AG26-+AG25)*48</f>
        <v>0</v>
      </c>
      <c r="AI26" s="80">
        <v>418629</v>
      </c>
      <c r="AJ26" s="107">
        <f t="shared" ref="AJ26" si="394">(+AI26-+AI25)*48</f>
        <v>3072</v>
      </c>
      <c r="AK26" s="80">
        <v>102770</v>
      </c>
      <c r="AL26" s="107">
        <f t="shared" ref="AL26" si="395">(+AK26-+AK25)*48</f>
        <v>0</v>
      </c>
      <c r="AM26" s="85">
        <f>(AM28-AM24)/4+AM25</f>
        <v>576634.5</v>
      </c>
      <c r="AN26" s="107">
        <f t="shared" ref="AN26" si="396">(+AM26-+AM25)*48</f>
        <v>4980</v>
      </c>
      <c r="AO26" s="85">
        <f>(AO28-AO24)/4+AO25</f>
        <v>933789.5</v>
      </c>
      <c r="AP26" s="107">
        <f t="shared" ref="AP26" si="397">(+AO26-+AO25)*48</f>
        <v>9108</v>
      </c>
      <c r="AQ26" s="80">
        <v>77874</v>
      </c>
      <c r="AR26" s="107">
        <f t="shared" ref="AR26" si="398">(+AQ26-+AQ25)*48</f>
        <v>0</v>
      </c>
      <c r="AS26" s="80">
        <v>2262</v>
      </c>
      <c r="AT26" s="107">
        <f t="shared" ref="AT26" si="399">(+AS26-+AS25)*48</f>
        <v>0</v>
      </c>
      <c r="AU26" s="80">
        <v>939</v>
      </c>
      <c r="AV26" s="107">
        <f t="shared" ref="AV26" si="400">(+AU26-+AU25)*48</f>
        <v>0</v>
      </c>
      <c r="AW26" s="80">
        <v>3109</v>
      </c>
      <c r="AX26" s="107">
        <f t="shared" ref="AX26" si="401">(+AW26-+AW25)*48</f>
        <v>0</v>
      </c>
      <c r="AY26" s="85">
        <f>(AY28-AY24)/4+AY25</f>
        <v>318520.5</v>
      </c>
      <c r="AZ26" s="107">
        <f>(+AY26-+AY25)*48</f>
        <v>3108</v>
      </c>
      <c r="BA26" s="80">
        <v>161101</v>
      </c>
      <c r="BB26" s="107">
        <f>(+BA26-+BA25)*48</f>
        <v>0</v>
      </c>
      <c r="BC26" s="85">
        <f>(BC28-BC24)/4+BC25</f>
        <v>217739.5</v>
      </c>
      <c r="BD26" s="107">
        <f t="shared" ref="BD26" si="402">(+BC26-+BC25)*48</f>
        <v>1596</v>
      </c>
      <c r="BE26" s="80">
        <v>5347</v>
      </c>
      <c r="BF26" s="107">
        <f t="shared" ref="BF26" si="403">(+BE26-+BE25)*48</f>
        <v>0</v>
      </c>
      <c r="BH26" s="108">
        <f t="shared" si="1"/>
        <v>105704.65199999983</v>
      </c>
      <c r="BI26" s="108">
        <f t="shared" si="2"/>
        <v>64864.800000000003</v>
      </c>
    </row>
    <row r="27" spans="1:61" s="36" customFormat="1" ht="39.950000000000003" customHeight="1">
      <c r="A27" s="147">
        <v>44366</v>
      </c>
      <c r="B27" s="35"/>
      <c r="C27" s="80">
        <v>6107817</v>
      </c>
      <c r="D27" s="107">
        <f t="shared" ref="D27" si="404">(+C27-+C26)*48</f>
        <v>94992</v>
      </c>
      <c r="E27" s="107">
        <f>D27*E5</f>
        <v>52245.600000000006</v>
      </c>
      <c r="F27" s="107">
        <f>D27*F5</f>
        <v>42746.400000000001</v>
      </c>
      <c r="G27" s="85">
        <f>(G28-G24)/4+G26</f>
        <v>282883.75</v>
      </c>
      <c r="H27" s="107">
        <f t="shared" ref="H27" si="405">(+G27-+G26)*48</f>
        <v>1740</v>
      </c>
      <c r="I27" s="85">
        <f>(I28-I24)/4+I26</f>
        <v>129625.75</v>
      </c>
      <c r="J27" s="107">
        <f t="shared" ref="J27" si="406">(+I27-+I26)*48</f>
        <v>8940</v>
      </c>
      <c r="K27" s="85">
        <f>(K28-K24)/4+K26</f>
        <v>259129.75</v>
      </c>
      <c r="L27" s="107">
        <f t="shared" si="0"/>
        <v>1980</v>
      </c>
      <c r="M27" s="85">
        <v>24781</v>
      </c>
      <c r="N27" s="38">
        <f t="shared" ref="N27" si="407">(+M27-+M26)*48</f>
        <v>0</v>
      </c>
      <c r="O27" s="85">
        <f>(O28-O24)/4+O26</f>
        <v>268530.5</v>
      </c>
      <c r="P27" s="107">
        <f t="shared" ref="P27" si="408">(+O27-+O26)*48</f>
        <v>9672</v>
      </c>
      <c r="Q27" s="85">
        <f>(Q28-Q24)/4+Q26</f>
        <v>450997</v>
      </c>
      <c r="R27" s="107">
        <f t="shared" ref="R27" si="409">(+Q27-+Q26)*48</f>
        <v>4416</v>
      </c>
      <c r="S27" s="85">
        <f>(S28-S24)/4+S26</f>
        <v>727072.75</v>
      </c>
      <c r="T27" s="107">
        <f t="shared" ref="T27" si="410">(+S27-+S26)*48</f>
        <v>5628</v>
      </c>
      <c r="U27" s="85">
        <f>(U28-U24)/4+U26</f>
        <v>100206.70274999998</v>
      </c>
      <c r="V27" s="107">
        <f t="shared" ref="V27" si="411">(+U27-+U26)*48</f>
        <v>1057.4519999998156</v>
      </c>
      <c r="W27" s="85">
        <f>(W28-W24)/4+W26</f>
        <v>81212.5</v>
      </c>
      <c r="X27" s="107">
        <f t="shared" ref="X27" si="412">(+W27-+W26)*48</f>
        <v>696</v>
      </c>
      <c r="Y27" s="80">
        <v>1499604</v>
      </c>
      <c r="Z27" s="107">
        <f t="shared" ref="Z27" si="413">(+Y27-+Y26)*48</f>
        <v>0</v>
      </c>
      <c r="AA27" s="80">
        <v>13264</v>
      </c>
      <c r="AB27" s="107">
        <f t="shared" ref="AB27" si="414">(+AA27-+AA26)*48</f>
        <v>0</v>
      </c>
      <c r="AC27" s="80">
        <v>458811</v>
      </c>
      <c r="AD27" s="107">
        <f t="shared" si="14"/>
        <v>6144</v>
      </c>
      <c r="AE27" s="80">
        <v>531851</v>
      </c>
      <c r="AF27" s="107">
        <f t="shared" si="14"/>
        <v>6144</v>
      </c>
      <c r="AG27" s="80">
        <v>49769</v>
      </c>
      <c r="AH27" s="107">
        <f t="shared" ref="AH27" si="415">(+AG27-+AG26)*48</f>
        <v>0</v>
      </c>
      <c r="AI27" s="80">
        <v>418700</v>
      </c>
      <c r="AJ27" s="107">
        <f t="shared" ref="AJ27" si="416">(+AI27-+AI26)*48</f>
        <v>3408</v>
      </c>
      <c r="AK27" s="80">
        <v>102770</v>
      </c>
      <c r="AL27" s="107">
        <f t="shared" ref="AL27" si="417">(+AK27-+AK26)*48</f>
        <v>0</v>
      </c>
      <c r="AM27" s="85">
        <f>(AM28-AM24)/4+AM26</f>
        <v>576738.25</v>
      </c>
      <c r="AN27" s="107">
        <f t="shared" ref="AN27" si="418">(+AM27-+AM26)*48</f>
        <v>4980</v>
      </c>
      <c r="AO27" s="85">
        <f>(AO28-AO24)/4+AO26</f>
        <v>933979.25</v>
      </c>
      <c r="AP27" s="107">
        <f t="shared" ref="AP27" si="419">(+AO27-+AO26)*48</f>
        <v>9108</v>
      </c>
      <c r="AQ27" s="80">
        <v>77874</v>
      </c>
      <c r="AR27" s="107">
        <f t="shared" ref="AR27" si="420">(+AQ27-+AQ26)*48</f>
        <v>0</v>
      </c>
      <c r="AS27" s="80">
        <v>2262</v>
      </c>
      <c r="AT27" s="107">
        <f t="shared" ref="AT27" si="421">(+AS27-+AS26)*48</f>
        <v>0</v>
      </c>
      <c r="AU27" s="80">
        <v>939</v>
      </c>
      <c r="AV27" s="107">
        <f t="shared" ref="AV27" si="422">(+AU27-+AU26)*48</f>
        <v>0</v>
      </c>
      <c r="AW27" s="80">
        <v>3109</v>
      </c>
      <c r="AX27" s="107">
        <f t="shared" ref="AX27" si="423">(+AW27-+AW26)*48</f>
        <v>0</v>
      </c>
      <c r="AY27" s="85">
        <f>(AY28-AY24)/4+AY26</f>
        <v>318585.25</v>
      </c>
      <c r="AZ27" s="107">
        <f t="shared" ref="AZ27" si="424">(+AY27-+AY26)*48</f>
        <v>3108</v>
      </c>
      <c r="BA27" s="80">
        <v>161101</v>
      </c>
      <c r="BB27" s="107">
        <f>(+BA27-+BA26)*48</f>
        <v>0</v>
      </c>
      <c r="BC27" s="85">
        <f>(BC28-BC24)/4+BC26</f>
        <v>217772.75</v>
      </c>
      <c r="BD27" s="107">
        <f t="shared" ref="BD27" si="425">(+BC27-+BC26)*48</f>
        <v>1596</v>
      </c>
      <c r="BE27" s="80">
        <v>5347</v>
      </c>
      <c r="BF27" s="107">
        <f t="shared" ref="BF27" si="426">(+BE27-+BE26)*48</f>
        <v>0</v>
      </c>
      <c r="BH27" s="108">
        <f t="shared" si="1"/>
        <v>102071.05199999982</v>
      </c>
      <c r="BI27" s="108">
        <f t="shared" si="2"/>
        <v>61538.400000000001</v>
      </c>
    </row>
    <row r="28" spans="1:61" s="36" customFormat="1" ht="39.950000000000003" customHeight="1">
      <c r="A28" s="147">
        <v>44367</v>
      </c>
      <c r="B28" s="35"/>
      <c r="C28" s="80">
        <v>6109874</v>
      </c>
      <c r="D28" s="107">
        <f t="shared" ref="D28" si="427">(+C28-+C27)*48</f>
        <v>98736</v>
      </c>
      <c r="E28" s="107">
        <f>D28*E5</f>
        <v>54304.800000000003</v>
      </c>
      <c r="F28" s="107">
        <f>D28*F5</f>
        <v>44431.200000000004</v>
      </c>
      <c r="G28" s="80">
        <v>282920</v>
      </c>
      <c r="H28" s="107">
        <f t="shared" ref="H28" si="428">(+G28-+G27)*48</f>
        <v>1740</v>
      </c>
      <c r="I28" s="80">
        <v>129812</v>
      </c>
      <c r="J28" s="107">
        <f t="shared" ref="J28" si="429">(+I28-+I27)*48</f>
        <v>8940</v>
      </c>
      <c r="K28" s="80">
        <v>259171</v>
      </c>
      <c r="L28" s="107">
        <f t="shared" si="0"/>
        <v>1980</v>
      </c>
      <c r="M28" s="85">
        <v>24781</v>
      </c>
      <c r="N28" s="38">
        <f t="shared" ref="N28" si="430">(+M28-+M27)*48</f>
        <v>0</v>
      </c>
      <c r="O28" s="80">
        <v>268732</v>
      </c>
      <c r="P28" s="107">
        <f t="shared" ref="P28" si="431">(+O28-+O27)*48</f>
        <v>9672</v>
      </c>
      <c r="Q28" s="80">
        <v>451089</v>
      </c>
      <c r="R28" s="107">
        <f t="shared" ref="R28" si="432">(+Q28-+Q27)*48</f>
        <v>4416</v>
      </c>
      <c r="S28" s="80">
        <v>727190</v>
      </c>
      <c r="T28" s="107">
        <f t="shared" ref="T28" si="433">(+S28-+S27)*48</f>
        <v>5628</v>
      </c>
      <c r="U28" s="85">
        <v>100228.73299999999</v>
      </c>
      <c r="V28" s="107">
        <f t="shared" ref="V28" si="434">(+U28-+U27)*48</f>
        <v>1057.4520000005141</v>
      </c>
      <c r="W28" s="80">
        <v>81227</v>
      </c>
      <c r="X28" s="107">
        <f t="shared" ref="X28" si="435">(+W28-+W27)*48</f>
        <v>696</v>
      </c>
      <c r="Y28" s="80">
        <v>1499604</v>
      </c>
      <c r="Z28" s="107">
        <f t="shared" ref="Z28" si="436">(+Y28-+Y27)*48</f>
        <v>0</v>
      </c>
      <c r="AA28" s="80">
        <v>13264</v>
      </c>
      <c r="AB28" s="107">
        <f t="shared" ref="AB28" si="437">(+AA28-+AA27)*48</f>
        <v>0</v>
      </c>
      <c r="AC28" s="80">
        <v>458944</v>
      </c>
      <c r="AD28" s="107">
        <f t="shared" si="14"/>
        <v>6384</v>
      </c>
      <c r="AE28" s="80">
        <v>531949</v>
      </c>
      <c r="AF28" s="107">
        <f t="shared" si="14"/>
        <v>4704</v>
      </c>
      <c r="AG28" s="80">
        <v>49769</v>
      </c>
      <c r="AH28" s="107">
        <f t="shared" ref="AH28" si="438">(+AG28-+AG27)*48</f>
        <v>0</v>
      </c>
      <c r="AI28" s="80">
        <v>418777</v>
      </c>
      <c r="AJ28" s="107">
        <f t="shared" ref="AJ28" si="439">(+AI28-+AI27)*48</f>
        <v>3696</v>
      </c>
      <c r="AK28" s="80">
        <v>102770</v>
      </c>
      <c r="AL28" s="107">
        <f t="shared" ref="AL28" si="440">(+AK28-+AK27)*48</f>
        <v>0</v>
      </c>
      <c r="AM28" s="80">
        <v>576842</v>
      </c>
      <c r="AN28" s="107">
        <f t="shared" ref="AN28" si="441">(+AM28-+AM27)*48</f>
        <v>4980</v>
      </c>
      <c r="AO28" s="80">
        <v>934169</v>
      </c>
      <c r="AP28" s="107">
        <f t="shared" ref="AP28" si="442">(+AO28-+AO27)*48</f>
        <v>9108</v>
      </c>
      <c r="AQ28" s="80">
        <v>77874</v>
      </c>
      <c r="AR28" s="107">
        <f t="shared" ref="AR28" si="443">(+AQ28-+AQ27)*48</f>
        <v>0</v>
      </c>
      <c r="AS28" s="80">
        <v>2262</v>
      </c>
      <c r="AT28" s="107">
        <f t="shared" ref="AT28" si="444">(+AS28-+AS27)*48</f>
        <v>0</v>
      </c>
      <c r="AU28" s="80">
        <v>939</v>
      </c>
      <c r="AV28" s="107">
        <f t="shared" ref="AV28" si="445">(+AU28-+AU27)*48</f>
        <v>0</v>
      </c>
      <c r="AW28" s="80">
        <v>3109</v>
      </c>
      <c r="AX28" s="107">
        <f t="shared" ref="AX28" si="446">(+AW28-+AW27)*48</f>
        <v>0</v>
      </c>
      <c r="AY28" s="80">
        <v>318650</v>
      </c>
      <c r="AZ28" s="107">
        <f t="shared" ref="AZ28" si="447">(+AY28-+AY27)*48</f>
        <v>3108</v>
      </c>
      <c r="BA28" s="80">
        <v>161101</v>
      </c>
      <c r="BB28" s="107">
        <f t="shared" ref="BB28" si="448">(+BA28-+BA27)*48</f>
        <v>0</v>
      </c>
      <c r="BC28" s="80">
        <v>217806</v>
      </c>
      <c r="BD28" s="107">
        <f t="shared" ref="BD28" si="449">(+BC28-+BC27)*48</f>
        <v>1596</v>
      </c>
      <c r="BE28" s="80">
        <v>5347</v>
      </c>
      <c r="BF28" s="107">
        <f t="shared" ref="BF28" si="450">(+BE28-+BE27)*48</f>
        <v>0</v>
      </c>
      <c r="BH28" s="108">
        <f t="shared" si="1"/>
        <v>103218.25200000052</v>
      </c>
      <c r="BI28" s="108">
        <f t="shared" si="2"/>
        <v>63223.200000000004</v>
      </c>
    </row>
    <row r="29" spans="1:61" s="36" customFormat="1" ht="39.950000000000003" customHeight="1">
      <c r="A29" s="147">
        <v>44368</v>
      </c>
      <c r="B29" s="35"/>
      <c r="C29" s="85">
        <v>6111832.5</v>
      </c>
      <c r="D29" s="107">
        <f t="shared" ref="D29" si="451">(+C29-+C28)*48</f>
        <v>94008</v>
      </c>
      <c r="E29" s="107">
        <f>D29*E5</f>
        <v>51704.4</v>
      </c>
      <c r="F29" s="107">
        <f>D29*F5</f>
        <v>42303.6</v>
      </c>
      <c r="G29" s="80">
        <v>282947</v>
      </c>
      <c r="H29" s="107">
        <f t="shared" ref="H29" si="452">(+G29-+G28)*48</f>
        <v>1296</v>
      </c>
      <c r="I29" s="80">
        <v>129954.5</v>
      </c>
      <c r="J29" s="107">
        <f t="shared" ref="J29" si="453">(+I29-+I28)*48</f>
        <v>6840</v>
      </c>
      <c r="K29" s="80">
        <v>259178</v>
      </c>
      <c r="L29" s="107">
        <f t="shared" si="0"/>
        <v>336</v>
      </c>
      <c r="M29" s="80">
        <v>24781</v>
      </c>
      <c r="N29" s="38">
        <f t="shared" ref="N29" si="454">(+M29-+M28)*48</f>
        <v>0</v>
      </c>
      <c r="O29" s="80">
        <v>268926</v>
      </c>
      <c r="P29" s="107">
        <f t="shared" ref="P29" si="455">(+O29-+O28)*48</f>
        <v>9312</v>
      </c>
      <c r="Q29" s="80">
        <v>451156</v>
      </c>
      <c r="R29" s="107">
        <f t="shared" ref="R29" si="456">(+Q29-+Q28)*48</f>
        <v>3216</v>
      </c>
      <c r="S29" s="80">
        <v>727268.5</v>
      </c>
      <c r="T29" s="107">
        <f t="shared" ref="T29" si="457">(+S29-+S28)*48</f>
        <v>3768</v>
      </c>
      <c r="U29" s="85">
        <v>100244.53049999999</v>
      </c>
      <c r="V29" s="107">
        <f t="shared" ref="V29" si="458">(+U29-+U28)*48</f>
        <v>758.28000000002794</v>
      </c>
      <c r="W29" s="80">
        <v>81233</v>
      </c>
      <c r="X29" s="107">
        <f t="shared" ref="X29" si="459">(+W29-+W28)*48</f>
        <v>288</v>
      </c>
      <c r="Y29" s="80">
        <v>1499604</v>
      </c>
      <c r="Z29" s="107">
        <f t="shared" ref="Z29" si="460">(+Y29-+Y28)*48</f>
        <v>0</v>
      </c>
      <c r="AA29" s="80">
        <v>13264</v>
      </c>
      <c r="AB29" s="107">
        <f t="shared" ref="AB29" si="461">(+AA29-+AA28)*48</f>
        <v>0</v>
      </c>
      <c r="AC29" s="80">
        <v>459064</v>
      </c>
      <c r="AD29" s="107">
        <f t="shared" si="14"/>
        <v>5760</v>
      </c>
      <c r="AE29" s="80">
        <v>532059.5</v>
      </c>
      <c r="AF29" s="107">
        <f t="shared" si="14"/>
        <v>5304</v>
      </c>
      <c r="AG29" s="80">
        <v>49769</v>
      </c>
      <c r="AH29" s="107">
        <f t="shared" ref="AH29" si="462">(+AG29-+AG28)*48</f>
        <v>0</v>
      </c>
      <c r="AI29" s="80">
        <v>418849</v>
      </c>
      <c r="AJ29" s="107">
        <f t="shared" ref="AJ29" si="463">(+AI29-+AI28)*48</f>
        <v>3456</v>
      </c>
      <c r="AK29" s="80">
        <v>102770</v>
      </c>
      <c r="AL29" s="107">
        <f t="shared" ref="AL29" si="464">(+AK29-+AK28)*48</f>
        <v>0</v>
      </c>
      <c r="AM29" s="80">
        <v>576948.5</v>
      </c>
      <c r="AN29" s="107">
        <f t="shared" ref="AN29" si="465">(+AM29-+AM28)*48</f>
        <v>5112</v>
      </c>
      <c r="AO29" s="80">
        <v>934361</v>
      </c>
      <c r="AP29" s="107">
        <f t="shared" ref="AP29" si="466">(+AO29-+AO28)*48</f>
        <v>9216</v>
      </c>
      <c r="AQ29" s="80">
        <v>77874</v>
      </c>
      <c r="AR29" s="107">
        <f t="shared" ref="AR29" si="467">(+AQ29-+AQ28)*48</f>
        <v>0</v>
      </c>
      <c r="AS29" s="80">
        <v>2262</v>
      </c>
      <c r="AT29" s="107">
        <f t="shared" ref="AT29" si="468">(+AS29-+AS28)*48</f>
        <v>0</v>
      </c>
      <c r="AU29" s="80">
        <v>939</v>
      </c>
      <c r="AV29" s="107">
        <f t="shared" ref="AV29" si="469">(+AU29-+AU28)*48</f>
        <v>0</v>
      </c>
      <c r="AW29" s="80">
        <v>3109</v>
      </c>
      <c r="AX29" s="107">
        <f t="shared" ref="AX29" si="470">(+AW29-+AW28)*48</f>
        <v>0</v>
      </c>
      <c r="AY29" s="80">
        <v>318714</v>
      </c>
      <c r="AZ29" s="107">
        <f t="shared" ref="AZ29" si="471">(+AY29-+AY28)*48</f>
        <v>3072</v>
      </c>
      <c r="BA29" s="80">
        <v>161101</v>
      </c>
      <c r="BB29" s="107">
        <f t="shared" ref="BB29" si="472">(+BA29-+BA28)*48</f>
        <v>0</v>
      </c>
      <c r="BC29" s="80">
        <v>217840.5</v>
      </c>
      <c r="BD29" s="107">
        <f t="shared" ref="BD29" si="473">(+BC29-+BC28)*48</f>
        <v>1656</v>
      </c>
      <c r="BE29" s="80">
        <v>5347</v>
      </c>
      <c r="BF29" s="107">
        <f t="shared" ref="BF29" si="474">(+BE29-+BE28)*48</f>
        <v>0</v>
      </c>
      <c r="BH29" s="108">
        <f t="shared" si="1"/>
        <v>92038.680000000022</v>
      </c>
      <c r="BI29" s="108">
        <f t="shared" si="2"/>
        <v>61359.6</v>
      </c>
    </row>
    <row r="30" spans="1:61" s="36" customFormat="1" ht="39.950000000000003" customHeight="1">
      <c r="A30" s="147">
        <v>44369</v>
      </c>
      <c r="B30" s="35"/>
      <c r="C30" s="85">
        <v>6113791</v>
      </c>
      <c r="D30" s="107">
        <f t="shared" ref="D30" si="475">(+C30-+C29)*48</f>
        <v>94008</v>
      </c>
      <c r="E30" s="107">
        <f>D30*E5</f>
        <v>51704.4</v>
      </c>
      <c r="F30" s="107">
        <f>D30*F5</f>
        <v>42303.6</v>
      </c>
      <c r="G30" s="85">
        <v>282974</v>
      </c>
      <c r="H30" s="107">
        <f t="shared" ref="H30" si="476">(+G30-+G29)*48</f>
        <v>1296</v>
      </c>
      <c r="I30" s="85">
        <v>130097</v>
      </c>
      <c r="J30" s="107">
        <f t="shared" ref="J30" si="477">(+I30-+I29)*48</f>
        <v>6840</v>
      </c>
      <c r="K30" s="85">
        <v>259185</v>
      </c>
      <c r="L30" s="107">
        <f t="shared" si="0"/>
        <v>336</v>
      </c>
      <c r="M30" s="85">
        <v>24781</v>
      </c>
      <c r="N30" s="38">
        <f t="shared" ref="N30" si="478">(+M30-+M29)*48</f>
        <v>0</v>
      </c>
      <c r="O30" s="85">
        <v>269120</v>
      </c>
      <c r="P30" s="107">
        <f t="shared" ref="P30" si="479">(+O30-+O29)*48</f>
        <v>9312</v>
      </c>
      <c r="Q30" s="85">
        <v>451223</v>
      </c>
      <c r="R30" s="107">
        <f t="shared" ref="R30" si="480">(+Q30-+Q29)*48</f>
        <v>3216</v>
      </c>
      <c r="S30" s="85">
        <v>727347</v>
      </c>
      <c r="T30" s="107">
        <f t="shared" ref="T30" si="481">(+S30-+S29)*48</f>
        <v>3768</v>
      </c>
      <c r="U30" s="85">
        <v>100260.32799999999</v>
      </c>
      <c r="V30" s="107">
        <f t="shared" ref="V30" si="482">(+U30-+U29)*48</f>
        <v>758.28000000002794</v>
      </c>
      <c r="W30" s="85">
        <v>81239</v>
      </c>
      <c r="X30" s="107">
        <f t="shared" ref="X30" si="483">(+W30-+W29)*48</f>
        <v>288</v>
      </c>
      <c r="Y30" s="85">
        <v>1499604</v>
      </c>
      <c r="Z30" s="107">
        <f t="shared" ref="Z30" si="484">(+Y30-+Y29)*48</f>
        <v>0</v>
      </c>
      <c r="AA30" s="85">
        <v>13264</v>
      </c>
      <c r="AB30" s="107">
        <f t="shared" ref="AB30" si="485">(+AA30-+AA29)*48</f>
        <v>0</v>
      </c>
      <c r="AC30" s="85">
        <v>459184</v>
      </c>
      <c r="AD30" s="107">
        <f t="shared" si="14"/>
        <v>5760</v>
      </c>
      <c r="AE30" s="85">
        <v>532170</v>
      </c>
      <c r="AF30" s="107">
        <f t="shared" si="14"/>
        <v>5304</v>
      </c>
      <c r="AG30" s="85">
        <v>49769</v>
      </c>
      <c r="AH30" s="107">
        <f t="shared" ref="AH30" si="486">(+AG30-+AG29)*48</f>
        <v>0</v>
      </c>
      <c r="AI30" s="85">
        <v>418921</v>
      </c>
      <c r="AJ30" s="107">
        <f t="shared" ref="AJ30" si="487">(+AI30-+AI29)*48</f>
        <v>3456</v>
      </c>
      <c r="AK30" s="85">
        <v>102770</v>
      </c>
      <c r="AL30" s="107">
        <f t="shared" ref="AL30" si="488">(+AK30-+AK29)*48</f>
        <v>0</v>
      </c>
      <c r="AM30" s="85">
        <v>577055</v>
      </c>
      <c r="AN30" s="107">
        <f t="shared" ref="AN30" si="489">(+AM30-+AM29)*48</f>
        <v>5112</v>
      </c>
      <c r="AO30" s="85">
        <v>934553</v>
      </c>
      <c r="AP30" s="107">
        <f t="shared" ref="AP30" si="490">(+AO30-+AO29)*48</f>
        <v>9216</v>
      </c>
      <c r="AQ30" s="85">
        <v>77874</v>
      </c>
      <c r="AR30" s="107">
        <f t="shared" ref="AR30" si="491">(+AQ30-+AQ29)*48</f>
        <v>0</v>
      </c>
      <c r="AS30" s="85">
        <v>2262</v>
      </c>
      <c r="AT30" s="107">
        <f t="shared" ref="AT30" si="492">(+AS30-+AS29)*48</f>
        <v>0</v>
      </c>
      <c r="AU30" s="85">
        <v>939</v>
      </c>
      <c r="AV30" s="107">
        <f t="shared" ref="AV30" si="493">(+AU30-+AU29)*48</f>
        <v>0</v>
      </c>
      <c r="AW30" s="85">
        <v>3109</v>
      </c>
      <c r="AX30" s="107">
        <f t="shared" ref="AX30" si="494">(+AW30-+AW29)*48</f>
        <v>0</v>
      </c>
      <c r="AY30" s="85">
        <v>318778</v>
      </c>
      <c r="AZ30" s="107">
        <f t="shared" ref="AZ30" si="495">(+AY30-+AY29)*48</f>
        <v>3072</v>
      </c>
      <c r="BA30" s="85">
        <v>161101</v>
      </c>
      <c r="BB30" s="107">
        <f t="shared" ref="BB30" si="496">(+BA30-+BA29)*48</f>
        <v>0</v>
      </c>
      <c r="BC30" s="85">
        <v>217875</v>
      </c>
      <c r="BD30" s="107">
        <f t="shared" ref="BD30" si="497">(+BC30-+BC29)*48</f>
        <v>1656</v>
      </c>
      <c r="BE30" s="80">
        <v>5347</v>
      </c>
      <c r="BF30" s="107">
        <f t="shared" ref="BF30" si="498">(+BE30-+BE29)*48</f>
        <v>0</v>
      </c>
      <c r="BH30" s="108">
        <f t="shared" si="1"/>
        <v>92038.680000000022</v>
      </c>
      <c r="BI30" s="108">
        <f t="shared" si="2"/>
        <v>61359.6</v>
      </c>
    </row>
    <row r="31" spans="1:61" s="36" customFormat="1" ht="39.950000000000003" customHeight="1">
      <c r="A31" s="147">
        <v>44370</v>
      </c>
      <c r="B31" s="35"/>
      <c r="C31" s="85">
        <v>6115775</v>
      </c>
      <c r="D31" s="107">
        <f t="shared" ref="D31" si="499">(+C31-+C30)*48</f>
        <v>95232</v>
      </c>
      <c r="E31" s="107">
        <f>D31*E5</f>
        <v>52377.600000000006</v>
      </c>
      <c r="F31" s="107">
        <f>D31*F5</f>
        <v>42854.400000000001</v>
      </c>
      <c r="G31" s="85">
        <v>283006</v>
      </c>
      <c r="H31" s="38">
        <f t="shared" ref="H31" si="500">(+G31-+G30)*48</f>
        <v>1536</v>
      </c>
      <c r="I31" s="85">
        <v>130273</v>
      </c>
      <c r="J31" s="38">
        <f t="shared" ref="J31" si="501">(+I31-+I30)*48</f>
        <v>8448</v>
      </c>
      <c r="K31" s="85">
        <v>259196</v>
      </c>
      <c r="L31" s="38">
        <f t="shared" si="0"/>
        <v>528</v>
      </c>
      <c r="M31" s="85">
        <v>24781</v>
      </c>
      <c r="N31" s="38">
        <f t="shared" ref="N31" si="502">(+M31-+M30)*48</f>
        <v>0</v>
      </c>
      <c r="O31" s="85">
        <v>269307</v>
      </c>
      <c r="P31" s="38">
        <f t="shared" ref="P31" si="503">(+O31-+O30)*48</f>
        <v>8976</v>
      </c>
      <c r="Q31" s="85">
        <v>451299</v>
      </c>
      <c r="R31" s="107">
        <f t="shared" ref="R31" si="504">(+Q31-+Q30)*48</f>
        <v>3648</v>
      </c>
      <c r="S31" s="85">
        <v>727459</v>
      </c>
      <c r="T31" s="107">
        <f t="shared" ref="T31" si="505">(+S31-+S30)*48</f>
        <v>5376</v>
      </c>
      <c r="U31" s="85">
        <v>100270.641</v>
      </c>
      <c r="V31" s="107">
        <f t="shared" ref="V31" si="506">(+U31-+U30)*48</f>
        <v>495.02400000044145</v>
      </c>
      <c r="W31" s="85">
        <v>81253</v>
      </c>
      <c r="X31" s="107">
        <f t="shared" ref="X31" si="507">(+W31-+W30)*48</f>
        <v>672</v>
      </c>
      <c r="Y31" s="85">
        <v>1499604</v>
      </c>
      <c r="Z31" s="107">
        <f t="shared" ref="Z31" si="508">(+Y31-+Y30)*48</f>
        <v>0</v>
      </c>
      <c r="AA31" s="85">
        <v>13264</v>
      </c>
      <c r="AB31" s="107">
        <f t="shared" ref="AB31" si="509">(+AA31-+AA30)*48</f>
        <v>0</v>
      </c>
      <c r="AC31" s="85">
        <v>459303</v>
      </c>
      <c r="AD31" s="107">
        <f t="shared" si="14"/>
        <v>5712</v>
      </c>
      <c r="AE31" s="85">
        <v>532305</v>
      </c>
      <c r="AF31" s="107">
        <f t="shared" si="14"/>
        <v>6480</v>
      </c>
      <c r="AG31" s="85">
        <v>49769</v>
      </c>
      <c r="AH31" s="107">
        <f t="shared" ref="AH31" si="510">(+AG31-+AG30)*48</f>
        <v>0</v>
      </c>
      <c r="AI31" s="85">
        <v>418992</v>
      </c>
      <c r="AJ31" s="107">
        <f t="shared" ref="AJ31" si="511">(+AI31-+AI30)*48</f>
        <v>3408</v>
      </c>
      <c r="AK31" s="85">
        <v>102770</v>
      </c>
      <c r="AL31" s="107">
        <f t="shared" ref="AL31" si="512">(+AK31-+AK30)*48</f>
        <v>0</v>
      </c>
      <c r="AM31" s="85">
        <v>577167</v>
      </c>
      <c r="AN31" s="107">
        <f t="shared" ref="AN31" si="513">(+AM31-+AM30)*48</f>
        <v>5376</v>
      </c>
      <c r="AO31" s="85">
        <v>934733</v>
      </c>
      <c r="AP31" s="107">
        <f t="shared" ref="AP31" si="514">(+AO31-+AO30)*48</f>
        <v>8640</v>
      </c>
      <c r="AQ31" s="85">
        <v>77874</v>
      </c>
      <c r="AR31" s="107">
        <f t="shared" ref="AR31" si="515">(+AQ31-+AQ30)*48</f>
        <v>0</v>
      </c>
      <c r="AS31" s="85">
        <v>2262</v>
      </c>
      <c r="AT31" s="107">
        <f t="shared" ref="AT31" si="516">(+AS31-+AS30)*48</f>
        <v>0</v>
      </c>
      <c r="AU31" s="85">
        <v>939</v>
      </c>
      <c r="AV31" s="107">
        <f t="shared" ref="AV31" si="517">(+AU31-+AU30)*48</f>
        <v>0</v>
      </c>
      <c r="AW31" s="85">
        <v>3109</v>
      </c>
      <c r="AX31" s="107">
        <f t="shared" ref="AX31" si="518">(+AW31-+AW30)*48</f>
        <v>0</v>
      </c>
      <c r="AY31" s="85">
        <v>318844</v>
      </c>
      <c r="AZ31" s="107">
        <f t="shared" ref="AZ31" si="519">(+AY31-+AY30)*48</f>
        <v>3168</v>
      </c>
      <c r="BA31" s="85">
        <v>161101</v>
      </c>
      <c r="BB31" s="107">
        <f t="shared" ref="BB31" si="520">(+BA31-+BA30)*48</f>
        <v>0</v>
      </c>
      <c r="BC31" s="85">
        <v>217906</v>
      </c>
      <c r="BD31" s="107">
        <f t="shared" ref="BD31" si="521">(+BC31-+BC30)*48</f>
        <v>1488</v>
      </c>
      <c r="BE31" s="80">
        <v>5347</v>
      </c>
      <c r="BF31" s="107">
        <f t="shared" ref="BF31" si="522">(+BE31-+BE30)*48</f>
        <v>0</v>
      </c>
      <c r="BH31" s="108">
        <f t="shared" si="1"/>
        <v>97656.624000000447</v>
      </c>
      <c r="BI31" s="108">
        <f t="shared" si="2"/>
        <v>61526.400000000001</v>
      </c>
    </row>
    <row r="32" spans="1:61" s="36" customFormat="1" ht="39.950000000000003" customHeight="1">
      <c r="A32" s="147">
        <v>44371</v>
      </c>
      <c r="B32" s="35"/>
      <c r="C32" s="85">
        <v>6117792</v>
      </c>
      <c r="D32" s="107">
        <f t="shared" ref="D32" si="523">(+C32-+C31)*48</f>
        <v>96816</v>
      </c>
      <c r="E32" s="107">
        <f>D32*E5</f>
        <v>53248.800000000003</v>
      </c>
      <c r="F32" s="107">
        <f>D32*F5</f>
        <v>43567.200000000004</v>
      </c>
      <c r="G32" s="80">
        <v>283037</v>
      </c>
      <c r="H32" s="38">
        <f t="shared" ref="H32" si="524">(+G32-+G31)*48</f>
        <v>1488</v>
      </c>
      <c r="I32" s="80">
        <v>130433</v>
      </c>
      <c r="J32" s="38">
        <f t="shared" ref="J32" si="525">(+I32-+I31)*48</f>
        <v>7680</v>
      </c>
      <c r="K32" s="80">
        <v>259228</v>
      </c>
      <c r="L32" s="38">
        <f t="shared" si="0"/>
        <v>1536</v>
      </c>
      <c r="M32" s="80">
        <v>24781</v>
      </c>
      <c r="N32" s="38">
        <f t="shared" ref="N32" si="526">(+M32-+M31)*48</f>
        <v>0</v>
      </c>
      <c r="O32" s="80">
        <v>269498</v>
      </c>
      <c r="P32" s="38">
        <f t="shared" ref="P32" si="527">(+O32-+O31)*48</f>
        <v>9168</v>
      </c>
      <c r="Q32" s="80">
        <v>451383</v>
      </c>
      <c r="R32" s="107">
        <f t="shared" ref="R32" si="528">(+Q32-+Q31)*48</f>
        <v>4032</v>
      </c>
      <c r="S32" s="80">
        <v>727556</v>
      </c>
      <c r="T32" s="107">
        <f t="shared" ref="T32" si="529">(+S32-+S31)*48</f>
        <v>4656</v>
      </c>
      <c r="U32" s="85">
        <v>100291.75</v>
      </c>
      <c r="V32" s="107">
        <f t="shared" ref="V32" si="530">(+U32-+U31)*48</f>
        <v>1013.2319999998435</v>
      </c>
      <c r="W32" s="80">
        <v>81272</v>
      </c>
      <c r="X32" s="107">
        <f t="shared" ref="X32" si="531">(+W32-+W31)*48</f>
        <v>912</v>
      </c>
      <c r="Y32" s="80">
        <v>1499604</v>
      </c>
      <c r="Z32" s="107">
        <f t="shared" ref="Z32" si="532">(+Y32-+Y31)*48</f>
        <v>0</v>
      </c>
      <c r="AA32" s="80">
        <v>13264</v>
      </c>
      <c r="AB32" s="107">
        <f t="shared" ref="AB32" si="533">(+AA32-+AA31)*48</f>
        <v>0</v>
      </c>
      <c r="AC32" s="80">
        <v>459427</v>
      </c>
      <c r="AD32" s="107">
        <f t="shared" si="14"/>
        <v>5952</v>
      </c>
      <c r="AE32" s="80">
        <v>532438</v>
      </c>
      <c r="AF32" s="107">
        <f t="shared" si="14"/>
        <v>6384</v>
      </c>
      <c r="AG32" s="80">
        <v>49769</v>
      </c>
      <c r="AH32" s="107">
        <f t="shared" ref="AH32" si="534">(+AG32-+AG31)*48</f>
        <v>0</v>
      </c>
      <c r="AI32" s="80">
        <v>419056</v>
      </c>
      <c r="AJ32" s="107">
        <f t="shared" ref="AJ32" si="535">(+AI32-+AI31)*48</f>
        <v>3072</v>
      </c>
      <c r="AK32" s="80">
        <v>102770</v>
      </c>
      <c r="AL32" s="107">
        <f t="shared" ref="AL32" si="536">(+AK32-+AK31)*48</f>
        <v>0</v>
      </c>
      <c r="AM32" s="80">
        <v>577279</v>
      </c>
      <c r="AN32" s="107">
        <f t="shared" ref="AN32" si="537">(+AM32-+AM31)*48</f>
        <v>5376</v>
      </c>
      <c r="AO32" s="80">
        <v>934939</v>
      </c>
      <c r="AP32" s="107">
        <f t="shared" ref="AP32" si="538">(+AO32-+AO31)*48</f>
        <v>9888</v>
      </c>
      <c r="AQ32" s="80">
        <v>77874</v>
      </c>
      <c r="AR32" s="107">
        <f t="shared" ref="AR32" si="539">(+AQ32-+AQ31)*48</f>
        <v>0</v>
      </c>
      <c r="AS32" s="85">
        <v>2262</v>
      </c>
      <c r="AT32" s="107">
        <f t="shared" ref="AT32" si="540">(+AS32-+AS31)*48</f>
        <v>0</v>
      </c>
      <c r="AU32" s="85">
        <v>939</v>
      </c>
      <c r="AV32" s="107">
        <f t="shared" ref="AV32" si="541">(+AU32-+AU31)*48</f>
        <v>0</v>
      </c>
      <c r="AW32" s="85">
        <v>3109</v>
      </c>
      <c r="AX32" s="107">
        <f t="shared" ref="AX32" si="542">(+AW32-+AW31)*48</f>
        <v>0</v>
      </c>
      <c r="AY32" s="80">
        <v>318909</v>
      </c>
      <c r="AZ32" s="107">
        <f t="shared" ref="AZ32" si="543">(+AY32-+AY31)*48</f>
        <v>3120</v>
      </c>
      <c r="BA32" s="85">
        <v>161101</v>
      </c>
      <c r="BB32" s="107">
        <f t="shared" ref="BB32" si="544">(+BA32-+BA31)*48</f>
        <v>0</v>
      </c>
      <c r="BC32" s="80">
        <v>217936</v>
      </c>
      <c r="BD32" s="107">
        <f t="shared" ref="BD32" si="545">(+BC32-+BC31)*48</f>
        <v>1440</v>
      </c>
      <c r="BE32" s="80">
        <v>5347</v>
      </c>
      <c r="BF32" s="107">
        <f t="shared" ref="BF32" si="546">(+BE32-+BE31)*48</f>
        <v>0</v>
      </c>
      <c r="BH32" s="108">
        <f t="shared" si="1"/>
        <v>99142.031999999846</v>
      </c>
      <c r="BI32" s="108">
        <f t="shared" si="2"/>
        <v>63391.200000000004</v>
      </c>
    </row>
    <row r="33" spans="1:61" s="36" customFormat="1" ht="39.950000000000003" customHeight="1">
      <c r="A33" s="147">
        <v>44372</v>
      </c>
      <c r="B33" s="35"/>
      <c r="C33" s="80">
        <v>6119817</v>
      </c>
      <c r="D33" s="107">
        <f t="shared" ref="D33" si="547">(+C33-+C32)*48</f>
        <v>97200</v>
      </c>
      <c r="E33" s="107">
        <f>D33*E5</f>
        <v>53460.000000000007</v>
      </c>
      <c r="F33" s="107">
        <f>D33*F5</f>
        <v>43740</v>
      </c>
      <c r="G33" s="80">
        <v>283067</v>
      </c>
      <c r="H33" s="107">
        <f t="shared" ref="H33" si="548">(+G33-+G32)*48</f>
        <v>1440</v>
      </c>
      <c r="I33" s="80">
        <v>130604</v>
      </c>
      <c r="J33" s="38">
        <f t="shared" ref="J33" si="549">(+I33-+I32)*48</f>
        <v>8208</v>
      </c>
      <c r="K33" s="80">
        <v>259250</v>
      </c>
      <c r="L33" s="107">
        <f t="shared" si="0"/>
        <v>1056</v>
      </c>
      <c r="M33" s="80">
        <v>24781</v>
      </c>
      <c r="N33" s="38">
        <f t="shared" ref="N33" si="550">(+M33-+M32)*48</f>
        <v>0</v>
      </c>
      <c r="O33" s="80">
        <v>269691</v>
      </c>
      <c r="P33" s="38">
        <f t="shared" ref="P33" si="551">(+O33-+O32)*48</f>
        <v>9264</v>
      </c>
      <c r="Q33" s="80">
        <v>451472</v>
      </c>
      <c r="R33" s="107">
        <f t="shared" ref="R33" si="552">(+Q33-+Q32)*48</f>
        <v>4272</v>
      </c>
      <c r="S33" s="80">
        <v>727677</v>
      </c>
      <c r="T33" s="107">
        <f t="shared" ref="T33" si="553">(+S33-+S32)*48</f>
        <v>5808</v>
      </c>
      <c r="U33" s="85">
        <v>100306.289</v>
      </c>
      <c r="V33" s="107">
        <f t="shared" ref="V33" si="554">(+U33-+U32)*48</f>
        <v>697.87200000020675</v>
      </c>
      <c r="W33" s="80">
        <v>81279</v>
      </c>
      <c r="X33" s="107">
        <f t="shared" ref="X33" si="555">(+W33-+W32)*48</f>
        <v>336</v>
      </c>
      <c r="Y33" s="80">
        <v>1499604</v>
      </c>
      <c r="Z33" s="107">
        <f t="shared" ref="Z33" si="556">(+Y33-+Y32)*48</f>
        <v>0</v>
      </c>
      <c r="AA33" s="80">
        <v>13264</v>
      </c>
      <c r="AB33" s="107">
        <f t="shared" ref="AB33" si="557">(+AA33-+AA32)*48</f>
        <v>0</v>
      </c>
      <c r="AC33" s="80">
        <v>459573</v>
      </c>
      <c r="AD33" s="107">
        <f t="shared" si="14"/>
        <v>7008</v>
      </c>
      <c r="AE33" s="80">
        <v>532573</v>
      </c>
      <c r="AF33" s="107">
        <f t="shared" si="14"/>
        <v>6480</v>
      </c>
      <c r="AG33" s="80">
        <v>49769</v>
      </c>
      <c r="AH33" s="107">
        <f t="shared" ref="AH33" si="558">(+AG33-+AG32)*48</f>
        <v>0</v>
      </c>
      <c r="AI33" s="80">
        <v>419125</v>
      </c>
      <c r="AJ33" s="107">
        <f t="shared" ref="AJ33" si="559">(+AI33-+AI32)*48</f>
        <v>3312</v>
      </c>
      <c r="AK33" s="80">
        <v>102770</v>
      </c>
      <c r="AL33" s="107">
        <f t="shared" ref="AL33" si="560">(+AK33-+AK32)*48</f>
        <v>0</v>
      </c>
      <c r="AM33" s="80">
        <v>577401</v>
      </c>
      <c r="AN33" s="107">
        <f t="shared" ref="AN33" si="561">(+AM33-+AM32)*48</f>
        <v>5856</v>
      </c>
      <c r="AO33" s="80">
        <v>935157</v>
      </c>
      <c r="AP33" s="107">
        <f t="shared" ref="AP33" si="562">(+AO33-+AO32)*48</f>
        <v>10464</v>
      </c>
      <c r="AQ33" s="80">
        <v>77874</v>
      </c>
      <c r="AR33" s="107">
        <f t="shared" ref="AR33" si="563">(+AQ33-+AQ32)*48</f>
        <v>0</v>
      </c>
      <c r="AS33" s="80">
        <v>2262</v>
      </c>
      <c r="AT33" s="107">
        <f t="shared" ref="AT33" si="564">(+AS33-+AS32)*48</f>
        <v>0</v>
      </c>
      <c r="AU33" s="80">
        <v>939</v>
      </c>
      <c r="AV33" s="107">
        <f t="shared" ref="AV33" si="565">(+AU33-+AU32)*48</f>
        <v>0</v>
      </c>
      <c r="AW33" s="80">
        <v>3109</v>
      </c>
      <c r="AX33" s="107">
        <f t="shared" ref="AX33" si="566">(+AW33-+AW32)*48</f>
        <v>0</v>
      </c>
      <c r="AY33" s="80">
        <v>318979</v>
      </c>
      <c r="AZ33" s="107">
        <f t="shared" ref="AZ33" si="567">(+AY33-+AY32)*48</f>
        <v>3360</v>
      </c>
      <c r="BA33" s="80">
        <v>161101</v>
      </c>
      <c r="BB33" s="107">
        <f t="shared" ref="BB33" si="568">(+BA33-+BA32)*48</f>
        <v>0</v>
      </c>
      <c r="BC33" s="80">
        <v>217963</v>
      </c>
      <c r="BD33" s="107">
        <f t="shared" ref="BD33" si="569">(+BC33-+BC32)*48</f>
        <v>1296</v>
      </c>
      <c r="BE33" s="80">
        <v>5347</v>
      </c>
      <c r="BF33" s="107">
        <f t="shared" ref="BF33" si="570">(+BE33-+BE32)*48</f>
        <v>0</v>
      </c>
      <c r="BH33" s="108">
        <f t="shared" si="1"/>
        <v>101341.87200000021</v>
      </c>
      <c r="BI33" s="108">
        <f t="shared" si="2"/>
        <v>64716</v>
      </c>
    </row>
    <row r="34" spans="1:61" s="36" customFormat="1" ht="39.950000000000003" customHeight="1">
      <c r="A34" s="147">
        <v>44373</v>
      </c>
      <c r="B34" s="35"/>
      <c r="C34" s="80">
        <v>6121936</v>
      </c>
      <c r="D34" s="107">
        <f t="shared" ref="D34" si="571">(+C34-+C33)*48</f>
        <v>101712</v>
      </c>
      <c r="E34" s="107">
        <f>D34*E5</f>
        <v>55941.600000000006</v>
      </c>
      <c r="F34" s="107">
        <f>D34*F5</f>
        <v>45770.400000000001</v>
      </c>
      <c r="G34" s="80">
        <v>283098</v>
      </c>
      <c r="H34" s="107">
        <f t="shared" ref="H34" si="572">(+G34-+G33)*48</f>
        <v>1488</v>
      </c>
      <c r="I34" s="80">
        <v>130774</v>
      </c>
      <c r="J34" s="38">
        <f t="shared" ref="J34" si="573">(+I34-+I33)*48</f>
        <v>8160</v>
      </c>
      <c r="K34" s="80">
        <v>259293</v>
      </c>
      <c r="L34" s="107">
        <f t="shared" si="0"/>
        <v>2064</v>
      </c>
      <c r="M34" s="80">
        <v>24783</v>
      </c>
      <c r="N34" s="38">
        <f t="shared" ref="N34" si="574">(+M34-+M33)*48</f>
        <v>96</v>
      </c>
      <c r="O34" s="80">
        <v>269890</v>
      </c>
      <c r="P34" s="38">
        <f t="shared" ref="P34" si="575">(+O34-+O33)*48</f>
        <v>9552</v>
      </c>
      <c r="Q34" s="80">
        <v>451571</v>
      </c>
      <c r="R34" s="107">
        <f t="shared" ref="R34" si="576">(+Q34-+Q33)*48</f>
        <v>4752</v>
      </c>
      <c r="S34" s="80">
        <v>727793</v>
      </c>
      <c r="T34" s="107">
        <f t="shared" ref="T34" si="577">(+S34-+S33)*48</f>
        <v>5568</v>
      </c>
      <c r="U34" s="85">
        <v>100323.599</v>
      </c>
      <c r="V34" s="107">
        <f t="shared" ref="V34" si="578">(+U34-+U33)*48</f>
        <v>830.87999999988824</v>
      </c>
      <c r="W34" s="80">
        <v>81288</v>
      </c>
      <c r="X34" s="107">
        <f t="shared" ref="X34" si="579">(+W34-+W33)*48</f>
        <v>432</v>
      </c>
      <c r="Y34" s="80">
        <v>1499604</v>
      </c>
      <c r="Z34" s="107">
        <f t="shared" ref="Z34" si="580">(+Y34-+Y33)*48</f>
        <v>0</v>
      </c>
      <c r="AA34" s="80">
        <v>13264</v>
      </c>
      <c r="AB34" s="107">
        <f t="shared" ref="AB34" si="581">(+AA34-+AA33)*48</f>
        <v>0</v>
      </c>
      <c r="AC34" s="80">
        <v>459708</v>
      </c>
      <c r="AD34" s="107">
        <f t="shared" si="14"/>
        <v>6480</v>
      </c>
      <c r="AE34" s="80">
        <v>532710</v>
      </c>
      <c r="AF34" s="107">
        <f t="shared" si="14"/>
        <v>6576</v>
      </c>
      <c r="AG34" s="80">
        <v>49769</v>
      </c>
      <c r="AH34" s="107">
        <f t="shared" ref="AH34" si="582">(+AG34-+AG33)*48</f>
        <v>0</v>
      </c>
      <c r="AI34" s="80">
        <v>419198</v>
      </c>
      <c r="AJ34" s="107">
        <f t="shared" ref="AJ34" si="583">(+AI34-+AI33)*48</f>
        <v>3504</v>
      </c>
      <c r="AK34" s="80">
        <v>102770</v>
      </c>
      <c r="AL34" s="107">
        <f t="shared" ref="AL34" si="584">(+AK34-+AK33)*48</f>
        <v>0</v>
      </c>
      <c r="AM34" s="80">
        <v>577513</v>
      </c>
      <c r="AN34" s="107">
        <f t="shared" ref="AN34" si="585">(+AM34-+AM33)*48</f>
        <v>5376</v>
      </c>
      <c r="AO34" s="80">
        <v>935364</v>
      </c>
      <c r="AP34" s="107">
        <f t="shared" ref="AP34" si="586">(+AO34-+AO33)*48</f>
        <v>9936</v>
      </c>
      <c r="AQ34" s="80">
        <v>77874</v>
      </c>
      <c r="AR34" s="107">
        <f t="shared" ref="AR34" si="587">(+AQ34-+AQ33)*48</f>
        <v>0</v>
      </c>
      <c r="AS34" s="80">
        <v>2262</v>
      </c>
      <c r="AT34" s="107">
        <f t="shared" ref="AT34" si="588">(+AS34-+AS33)*48</f>
        <v>0</v>
      </c>
      <c r="AU34" s="80">
        <v>939</v>
      </c>
      <c r="AV34" s="107">
        <f t="shared" ref="AV34" si="589">(+AU34-+AU33)*48</f>
        <v>0</v>
      </c>
      <c r="AW34" s="80">
        <v>3109</v>
      </c>
      <c r="AX34" s="107">
        <f t="shared" ref="AX34" si="590">(+AW34-+AW33)*48</f>
        <v>0</v>
      </c>
      <c r="AY34" s="80">
        <v>319044</v>
      </c>
      <c r="AZ34" s="107">
        <f t="shared" ref="AZ34" si="591">(+AY34-+AY33)*48</f>
        <v>3120</v>
      </c>
      <c r="BA34" s="80">
        <v>161101</v>
      </c>
      <c r="BB34" s="107">
        <f t="shared" ref="BB34" si="592">(+BA34-+BA33)*48</f>
        <v>0</v>
      </c>
      <c r="BC34" s="80">
        <v>217981</v>
      </c>
      <c r="BD34" s="107">
        <f t="shared" ref="BD34" si="593">(+BC34-+BC33)*48</f>
        <v>864</v>
      </c>
      <c r="BE34" s="80">
        <v>5347</v>
      </c>
      <c r="BF34" s="107">
        <f t="shared" ref="BF34" si="594">(+BE34-+BE33)*48</f>
        <v>0</v>
      </c>
      <c r="BH34" s="108">
        <f t="shared" si="1"/>
        <v>105444.47999999989</v>
      </c>
      <c r="BI34" s="108">
        <f t="shared" si="2"/>
        <v>65066.400000000001</v>
      </c>
    </row>
    <row r="35" spans="1:61" s="36" customFormat="1" ht="39.950000000000003" customHeight="1">
      <c r="A35" s="147">
        <v>44374</v>
      </c>
      <c r="B35" s="35"/>
      <c r="C35" s="80">
        <v>6124233</v>
      </c>
      <c r="D35" s="107">
        <f t="shared" ref="D35" si="595">(+C35-+C34)*48</f>
        <v>110256</v>
      </c>
      <c r="E35" s="107">
        <f>D35*E5</f>
        <v>60640.800000000003</v>
      </c>
      <c r="F35" s="107">
        <f>D35*F5</f>
        <v>49615.200000000004</v>
      </c>
      <c r="G35" s="80">
        <v>283173</v>
      </c>
      <c r="H35" s="107">
        <f t="shared" ref="H35" si="596">(+G35-+G34)*48</f>
        <v>3600</v>
      </c>
      <c r="I35" s="80">
        <v>130939</v>
      </c>
      <c r="J35" s="38">
        <f t="shared" ref="J35" si="597">(+I35-+I34)*48</f>
        <v>7920</v>
      </c>
      <c r="K35" s="80">
        <v>259348</v>
      </c>
      <c r="L35" s="107">
        <f t="shared" si="0"/>
        <v>2640</v>
      </c>
      <c r="M35" s="80">
        <v>24783</v>
      </c>
      <c r="N35" s="38">
        <f t="shared" ref="N35" si="598">(+M35-+M34)*48</f>
        <v>0</v>
      </c>
      <c r="O35" s="80">
        <v>270111</v>
      </c>
      <c r="P35" s="38">
        <f t="shared" ref="P35" si="599">(+O35-+O34)*48</f>
        <v>10608</v>
      </c>
      <c r="Q35" s="80">
        <v>451640</v>
      </c>
      <c r="R35" s="107">
        <f t="shared" ref="R35" si="600">(+Q35-+Q34)*48</f>
        <v>3312</v>
      </c>
      <c r="S35" s="80">
        <v>727899</v>
      </c>
      <c r="T35" s="107">
        <f t="shared" ref="T35" si="601">(+S35-+S34)*48</f>
        <v>5088</v>
      </c>
      <c r="U35" s="85">
        <v>100345.798</v>
      </c>
      <c r="V35" s="107">
        <f t="shared" ref="V35" si="602">(+U35-+U34)*48</f>
        <v>1065.5519999996759</v>
      </c>
      <c r="W35" s="80">
        <v>81298</v>
      </c>
      <c r="X35" s="107">
        <f t="shared" ref="X35" si="603">(+W35-+W34)*48</f>
        <v>480</v>
      </c>
      <c r="Y35" s="80">
        <v>1499604</v>
      </c>
      <c r="Z35" s="107">
        <f t="shared" ref="Z35" si="604">(+Y35-+Y34)*48</f>
        <v>0</v>
      </c>
      <c r="AA35" s="80">
        <v>13264</v>
      </c>
      <c r="AB35" s="107">
        <f t="shared" ref="AB35" si="605">(+AA35-+AA34)*48</f>
        <v>0</v>
      </c>
      <c r="AC35" s="193">
        <v>459841</v>
      </c>
      <c r="AD35" s="107">
        <f t="shared" si="14"/>
        <v>6384</v>
      </c>
      <c r="AE35" s="193">
        <v>532846</v>
      </c>
      <c r="AF35" s="107">
        <f t="shared" si="14"/>
        <v>6528</v>
      </c>
      <c r="AG35" s="80">
        <v>49769</v>
      </c>
      <c r="AH35" s="107">
        <f t="shared" ref="AH35" si="606">(+AG35-+AG34)*48</f>
        <v>0</v>
      </c>
      <c r="AI35" s="193">
        <v>419272</v>
      </c>
      <c r="AJ35" s="107">
        <f t="shared" ref="AJ35" si="607">(+AI35-+AI34)*48</f>
        <v>3552</v>
      </c>
      <c r="AK35" s="80">
        <v>102770</v>
      </c>
      <c r="AL35" s="107">
        <f t="shared" ref="AL35" si="608">(+AK35-+AK34)*48</f>
        <v>0</v>
      </c>
      <c r="AM35" s="80">
        <v>577629</v>
      </c>
      <c r="AN35" s="107">
        <f t="shared" ref="AN35" si="609">(+AM35-+AM34)*48</f>
        <v>5568</v>
      </c>
      <c r="AO35" s="80">
        <v>935572</v>
      </c>
      <c r="AP35" s="107">
        <f t="shared" ref="AP35" si="610">(+AO35-+AO34)*48</f>
        <v>9984</v>
      </c>
      <c r="AQ35" s="80">
        <v>77874</v>
      </c>
      <c r="AR35" s="107">
        <f t="shared" ref="AR35" si="611">(+AQ35-+AQ34)*48</f>
        <v>0</v>
      </c>
      <c r="AS35" s="80">
        <v>2262</v>
      </c>
      <c r="AT35" s="107">
        <f t="shared" ref="AT35" si="612">(+AS35-+AS34)*48</f>
        <v>0</v>
      </c>
      <c r="AU35" s="80">
        <v>939</v>
      </c>
      <c r="AV35" s="107">
        <f t="shared" ref="AV35" si="613">(+AU35-+AU34)*48</f>
        <v>0</v>
      </c>
      <c r="AW35" s="80">
        <v>3109</v>
      </c>
      <c r="AX35" s="107">
        <f t="shared" ref="AX35" si="614">(+AW35-+AW34)*48</f>
        <v>0</v>
      </c>
      <c r="AY35" s="80">
        <v>319112</v>
      </c>
      <c r="AZ35" s="107">
        <f t="shared" ref="AZ35" si="615">(+AY35-+AY34)*48</f>
        <v>3264</v>
      </c>
      <c r="BA35" s="80">
        <v>161101</v>
      </c>
      <c r="BB35" s="107">
        <f t="shared" ref="BB35" si="616">(+BA35-+BA34)*48</f>
        <v>0</v>
      </c>
      <c r="BC35" s="80">
        <v>218016</v>
      </c>
      <c r="BD35" s="107">
        <f t="shared" ref="BD35" si="617">(+BC35-+BC34)*48</f>
        <v>1680</v>
      </c>
      <c r="BE35" s="80">
        <v>5347</v>
      </c>
      <c r="BF35" s="107">
        <f t="shared" ref="BF35" si="618">(+BE35-+BE34)*48</f>
        <v>0</v>
      </c>
      <c r="BH35" s="108">
        <f t="shared" si="1"/>
        <v>111818.35199999968</v>
      </c>
      <c r="BI35" s="108">
        <f t="shared" si="2"/>
        <v>70111.200000000012</v>
      </c>
    </row>
    <row r="36" spans="1:61" s="36" customFormat="1" ht="39.950000000000003" customHeight="1">
      <c r="A36" s="147">
        <v>44375</v>
      </c>
      <c r="B36" s="35"/>
      <c r="C36" s="85">
        <f>(C37+C35)/2</f>
        <v>6126350.5</v>
      </c>
      <c r="D36" s="107">
        <f t="shared" ref="D36" si="619">(+C36-+C35)*48</f>
        <v>101640</v>
      </c>
      <c r="E36" s="107">
        <f>D36*E5</f>
        <v>55902.000000000007</v>
      </c>
      <c r="F36" s="107">
        <f>D36*F5</f>
        <v>45738</v>
      </c>
      <c r="G36" s="85">
        <f>(G37+G35)/2</f>
        <v>283260.5</v>
      </c>
      <c r="H36" s="107">
        <f t="shared" ref="H36:H38" si="620">(+G36-+G35)*48</f>
        <v>4200</v>
      </c>
      <c r="I36" s="85">
        <f>(I37+I35)/2</f>
        <v>131112.5</v>
      </c>
      <c r="J36" s="38">
        <f t="shared" ref="J36:J38" si="621">(+I36-+I35)*48</f>
        <v>8328</v>
      </c>
      <c r="K36" s="85">
        <f>(K37+K35)/2</f>
        <v>259368</v>
      </c>
      <c r="L36" s="107">
        <f t="shared" si="0"/>
        <v>960</v>
      </c>
      <c r="M36" s="80">
        <v>24783</v>
      </c>
      <c r="N36" s="38">
        <f t="shared" ref="N36:N38" si="622">(+M36-+M35)*48</f>
        <v>0</v>
      </c>
      <c r="O36" s="85">
        <f>(O37+O35)/2</f>
        <v>270310</v>
      </c>
      <c r="P36" s="38">
        <f t="shared" ref="P36:P38" si="623">(+O36-+O35)*48</f>
        <v>9552</v>
      </c>
      <c r="Q36" s="85">
        <f>(Q37+Q35)/2</f>
        <v>451722</v>
      </c>
      <c r="R36" s="107">
        <f t="shared" ref="R36:R38" si="624">(+Q36-+Q35)*48</f>
        <v>3936</v>
      </c>
      <c r="S36" s="85">
        <f>(S37+S35)/2</f>
        <v>727999.5</v>
      </c>
      <c r="T36" s="107">
        <f t="shared" ref="T36:T38" si="625">(+S36-+S35)*48</f>
        <v>4824</v>
      </c>
      <c r="U36" s="85">
        <f>(U37+U35)/2</f>
        <v>100361.899</v>
      </c>
      <c r="V36" s="107">
        <f t="shared" ref="V36:V38" si="626">(+U36-+U35)*48</f>
        <v>772.8480000004638</v>
      </c>
      <c r="W36" s="85">
        <f>(W37+W35)/2</f>
        <v>81306.5</v>
      </c>
      <c r="X36" s="107">
        <f t="shared" ref="X36:X38" si="627">(+W36-+W35)*48</f>
        <v>408</v>
      </c>
      <c r="Y36" s="85">
        <f>(Y37+Y35)/2</f>
        <v>1499604</v>
      </c>
      <c r="Z36" s="107">
        <f t="shared" ref="Z36:Z38" si="628">(+Y36-+Y35)*48</f>
        <v>0</v>
      </c>
      <c r="AA36" s="85">
        <f>(AA37+AA35)/2</f>
        <v>13264</v>
      </c>
      <c r="AB36" s="107">
        <f t="shared" ref="AB36:AB38" si="629">(+AA36-+AA35)*48</f>
        <v>0</v>
      </c>
      <c r="AC36" s="85">
        <f>(AC37+AC35)/2</f>
        <v>459990.5</v>
      </c>
      <c r="AD36" s="107">
        <f t="shared" si="14"/>
        <v>7176</v>
      </c>
      <c r="AE36" s="85">
        <f>(AE37+AE35)/2</f>
        <v>532980</v>
      </c>
      <c r="AF36" s="107">
        <f t="shared" si="14"/>
        <v>6432</v>
      </c>
      <c r="AG36" s="85">
        <f>(AG37+AG35)/2</f>
        <v>49769</v>
      </c>
      <c r="AH36" s="107">
        <f t="shared" ref="AH36:AH38" si="630">(+AG36-+AG35)*48</f>
        <v>0</v>
      </c>
      <c r="AI36" s="85">
        <f>(AI37+AI35)/2</f>
        <v>419350.5</v>
      </c>
      <c r="AJ36" s="107">
        <f t="shared" ref="AJ36:AJ38" si="631">(+AI36-+AI35)*48</f>
        <v>3768</v>
      </c>
      <c r="AK36" s="85">
        <f>(AK37+AK35)/2</f>
        <v>102770</v>
      </c>
      <c r="AL36" s="107">
        <f t="shared" ref="AL36:AL38" si="632">(+AK36-+AK35)*48</f>
        <v>0</v>
      </c>
      <c r="AM36" s="85">
        <f>(AM37+AM35)/2</f>
        <v>577741.5</v>
      </c>
      <c r="AN36" s="107">
        <f t="shared" ref="AN36:AN38" si="633">(+AM36-+AM35)*48</f>
        <v>5400</v>
      </c>
      <c r="AO36" s="85">
        <f>(AO37+AO35)/2</f>
        <v>935776.5</v>
      </c>
      <c r="AP36" s="107">
        <f t="shared" ref="AP36:AP38" si="634">(+AO36-+AO35)*48</f>
        <v>9816</v>
      </c>
      <c r="AQ36" s="85">
        <f>(AQ37+AQ35)/2</f>
        <v>77874</v>
      </c>
      <c r="AR36" s="107">
        <f t="shared" ref="AR36:AR38" si="635">(+AQ36-+AQ35)*48</f>
        <v>0</v>
      </c>
      <c r="AS36" s="85">
        <f>(AS37+AS35)/2</f>
        <v>2262</v>
      </c>
      <c r="AT36" s="107">
        <f t="shared" ref="AT36:AT38" si="636">(+AS36-+AS35)*48</f>
        <v>0</v>
      </c>
      <c r="AU36" s="85">
        <f>(AU37+AU35)/2</f>
        <v>939</v>
      </c>
      <c r="AV36" s="107">
        <f t="shared" ref="AV36:AV38" si="637">(+AU36-+AU35)*48</f>
        <v>0</v>
      </c>
      <c r="AW36" s="85">
        <f>(AW37+AW35)/2</f>
        <v>3109</v>
      </c>
      <c r="AX36" s="107">
        <f t="shared" ref="AX36:AX38" si="638">(+AW36-+AW35)*48</f>
        <v>0</v>
      </c>
      <c r="AY36" s="85">
        <f>(AY37+AY35)/2</f>
        <v>319176.5</v>
      </c>
      <c r="AZ36" s="107">
        <f t="shared" ref="AZ36:AZ38" si="639">(+AY36-+AY35)*48</f>
        <v>3096</v>
      </c>
      <c r="BA36" s="80">
        <v>161101</v>
      </c>
      <c r="BB36" s="107">
        <f t="shared" ref="BB36:BB38" si="640">(+BA36-+BA35)*48</f>
        <v>0</v>
      </c>
      <c r="BC36" s="85">
        <f>(BC37+BC35)/2</f>
        <v>218040.5</v>
      </c>
      <c r="BD36" s="107">
        <f t="shared" ref="BD36:BD38" si="641">(+BC36-+BC35)*48</f>
        <v>1176</v>
      </c>
      <c r="BE36" s="80">
        <v>5347</v>
      </c>
      <c r="BF36" s="107">
        <f t="shared" ref="BF36:BF38" si="642">(+BE36-+BE35)*48</f>
        <v>0</v>
      </c>
      <c r="BH36" s="108">
        <f t="shared" si="1"/>
        <v>106258.84800000046</v>
      </c>
      <c r="BI36" s="108">
        <f t="shared" si="2"/>
        <v>65226</v>
      </c>
    </row>
    <row r="37" spans="1:61" s="36" customFormat="1" ht="39.950000000000003" customHeight="1">
      <c r="A37" s="147">
        <v>44376</v>
      </c>
      <c r="B37" s="35"/>
      <c r="C37" s="80">
        <v>6128468</v>
      </c>
      <c r="D37" s="107">
        <f t="shared" ref="D37" si="643">(+C37-+C36)*48</f>
        <v>101640</v>
      </c>
      <c r="E37" s="107">
        <f>D37*E5</f>
        <v>55902.000000000007</v>
      </c>
      <c r="F37" s="107">
        <f>D37*F5</f>
        <v>45738</v>
      </c>
      <c r="G37" s="80">
        <v>283348</v>
      </c>
      <c r="H37" s="107">
        <f t="shared" ref="H37" si="644">(+G37-+G36)*48</f>
        <v>4200</v>
      </c>
      <c r="I37" s="80">
        <v>131286</v>
      </c>
      <c r="J37" s="38">
        <f t="shared" ref="J37" si="645">(+I37-+I36)*48</f>
        <v>8328</v>
      </c>
      <c r="K37" s="80">
        <v>259388</v>
      </c>
      <c r="L37" s="107">
        <f t="shared" ref="L37" si="646">(+K37-+K36)*48</f>
        <v>960</v>
      </c>
      <c r="M37" s="80">
        <v>24783</v>
      </c>
      <c r="N37" s="38">
        <f t="shared" ref="N37" si="647">(+M37-+M36)*48</f>
        <v>0</v>
      </c>
      <c r="O37" s="80">
        <v>270509</v>
      </c>
      <c r="P37" s="38">
        <f t="shared" ref="P37" si="648">(+O37-+O36)*48</f>
        <v>9552</v>
      </c>
      <c r="Q37" s="80">
        <v>451804</v>
      </c>
      <c r="R37" s="107">
        <f t="shared" ref="R37" si="649">(+Q37-+Q36)*48</f>
        <v>3936</v>
      </c>
      <c r="S37" s="80">
        <v>728100</v>
      </c>
      <c r="T37" s="107">
        <f t="shared" ref="T37" si="650">(+S37-+S36)*48</f>
        <v>4824</v>
      </c>
      <c r="U37" s="85">
        <v>100378</v>
      </c>
      <c r="V37" s="107">
        <f t="shared" ref="V37" si="651">(+U37-+U36)*48</f>
        <v>772.84799999976531</v>
      </c>
      <c r="W37" s="80">
        <v>81315</v>
      </c>
      <c r="X37" s="107">
        <f t="shared" ref="X37" si="652">(+W37-+W36)*48</f>
        <v>408</v>
      </c>
      <c r="Y37" s="80">
        <v>1499604</v>
      </c>
      <c r="Z37" s="107">
        <f t="shared" ref="Z37" si="653">(+Y37-+Y36)*48</f>
        <v>0</v>
      </c>
      <c r="AA37" s="80">
        <v>13264</v>
      </c>
      <c r="AB37" s="107">
        <f t="shared" ref="AB37" si="654">(+AA37-+AA36)*48</f>
        <v>0</v>
      </c>
      <c r="AC37" s="80">
        <v>460140</v>
      </c>
      <c r="AD37" s="107">
        <f t="shared" ref="AD37" si="655">(+AC37-+AC36)*48</f>
        <v>7176</v>
      </c>
      <c r="AE37" s="80">
        <v>533114</v>
      </c>
      <c r="AF37" s="107">
        <f t="shared" ref="AF37" si="656">(+AE37-+AE36)*48</f>
        <v>6432</v>
      </c>
      <c r="AG37" s="80">
        <v>49769</v>
      </c>
      <c r="AH37" s="107">
        <f t="shared" ref="AH37" si="657">(+AG37-+AG36)*48</f>
        <v>0</v>
      </c>
      <c r="AI37" s="80">
        <v>419429</v>
      </c>
      <c r="AJ37" s="107">
        <f t="shared" ref="AJ37" si="658">(+AI37-+AI36)*48</f>
        <v>3768</v>
      </c>
      <c r="AK37" s="80">
        <v>102770</v>
      </c>
      <c r="AL37" s="107">
        <f t="shared" ref="AL37" si="659">(+AK37-+AK36)*48</f>
        <v>0</v>
      </c>
      <c r="AM37" s="80">
        <v>577854</v>
      </c>
      <c r="AN37" s="107">
        <f t="shared" ref="AN37" si="660">(+AM37-+AM36)*48</f>
        <v>5400</v>
      </c>
      <c r="AO37" s="80">
        <v>935981</v>
      </c>
      <c r="AP37" s="107">
        <f t="shared" ref="AP37" si="661">(+AO37-+AO36)*48</f>
        <v>9816</v>
      </c>
      <c r="AQ37" s="80">
        <v>77874</v>
      </c>
      <c r="AR37" s="107">
        <f t="shared" ref="AR37" si="662">(+AQ37-+AQ36)*48</f>
        <v>0</v>
      </c>
      <c r="AS37" s="80">
        <v>2262</v>
      </c>
      <c r="AT37" s="107">
        <f t="shared" ref="AT37" si="663">(+AS37-+AS36)*48</f>
        <v>0</v>
      </c>
      <c r="AU37" s="80">
        <v>939</v>
      </c>
      <c r="AV37" s="107">
        <f t="shared" ref="AV37" si="664">(+AU37-+AU36)*48</f>
        <v>0</v>
      </c>
      <c r="AW37" s="80">
        <v>3109</v>
      </c>
      <c r="AX37" s="107">
        <f t="shared" ref="AX37" si="665">(+AW37-+AW36)*48</f>
        <v>0</v>
      </c>
      <c r="AY37" s="80">
        <v>319241</v>
      </c>
      <c r="AZ37" s="107">
        <f t="shared" ref="AZ37" si="666">(+AY37-+AY36)*48</f>
        <v>3096</v>
      </c>
      <c r="BA37" s="80">
        <v>161101</v>
      </c>
      <c r="BB37" s="107">
        <f t="shared" ref="BB37" si="667">(+BA37-+BA36)*48</f>
        <v>0</v>
      </c>
      <c r="BC37" s="80">
        <v>218065</v>
      </c>
      <c r="BD37" s="107">
        <f t="shared" ref="BD37" si="668">(+BC37-+BC36)*48</f>
        <v>1176</v>
      </c>
      <c r="BE37" s="80">
        <v>5347</v>
      </c>
      <c r="BF37" s="107">
        <f t="shared" ref="BF37" si="669">(+BE37-+BE36)*48</f>
        <v>0</v>
      </c>
      <c r="BH37" s="108">
        <f t="shared" ref="BH37:BH38" si="670">SUM(E37,J37,P37,H37,L37,R37,T37,V37,X37,N37,AB37,Z37,AD37,AF37,AH37,AL37,AJ37)</f>
        <v>106258.84799999977</v>
      </c>
      <c r="BI37" s="108">
        <f t="shared" ref="BI37:BI38" si="671">SUM(F37,AN37,AP37,AT37,AV37,AX37,AR37,AZ37,BB37,BD37,BF37)</f>
        <v>65226</v>
      </c>
    </row>
    <row r="38" spans="1:61" s="36" customFormat="1" ht="39.950000000000003" customHeight="1">
      <c r="A38" s="147">
        <v>44377</v>
      </c>
      <c r="B38" s="35"/>
      <c r="C38" s="80">
        <v>6130519</v>
      </c>
      <c r="D38" s="107">
        <f t="shared" ref="D38" si="672">(+C38-+C37)*48</f>
        <v>98448</v>
      </c>
      <c r="E38" s="107">
        <f>D38*E5</f>
        <v>54146.400000000001</v>
      </c>
      <c r="F38" s="107">
        <f>D38*F5</f>
        <v>44301.599999999999</v>
      </c>
      <c r="G38" s="80">
        <v>283229</v>
      </c>
      <c r="H38" s="107">
        <f t="shared" si="620"/>
        <v>-5712</v>
      </c>
      <c r="I38" s="80">
        <v>131446</v>
      </c>
      <c r="J38" s="38">
        <f t="shared" si="621"/>
        <v>7680</v>
      </c>
      <c r="K38" s="80">
        <v>259398</v>
      </c>
      <c r="L38" s="107">
        <f t="shared" si="0"/>
        <v>480</v>
      </c>
      <c r="M38" s="80">
        <v>24783</v>
      </c>
      <c r="N38" s="38">
        <f t="shared" si="622"/>
        <v>0</v>
      </c>
      <c r="O38" s="80">
        <v>270705</v>
      </c>
      <c r="P38" s="38">
        <f t="shared" si="623"/>
        <v>9408</v>
      </c>
      <c r="Q38" s="80">
        <v>451868</v>
      </c>
      <c r="R38" s="107">
        <f t="shared" si="624"/>
        <v>3072</v>
      </c>
      <c r="S38" s="80">
        <v>728198</v>
      </c>
      <c r="T38" s="107">
        <f t="shared" si="625"/>
        <v>4704</v>
      </c>
      <c r="U38" s="85">
        <v>100394.70299999999</v>
      </c>
      <c r="V38" s="107">
        <f t="shared" si="626"/>
        <v>801.74399999971502</v>
      </c>
      <c r="W38" s="80">
        <v>81321</v>
      </c>
      <c r="X38" s="107">
        <f t="shared" si="627"/>
        <v>288</v>
      </c>
      <c r="Y38" s="80">
        <v>1499604</v>
      </c>
      <c r="Z38" s="107">
        <f t="shared" si="628"/>
        <v>0</v>
      </c>
      <c r="AA38" s="80">
        <v>13264</v>
      </c>
      <c r="AB38" s="107">
        <f t="shared" si="629"/>
        <v>0</v>
      </c>
      <c r="AC38" s="80">
        <v>460273</v>
      </c>
      <c r="AD38" s="107">
        <f t="shared" ref="AD38" si="673">(+AC38-+AC37)*48</f>
        <v>6384</v>
      </c>
      <c r="AE38" s="80">
        <v>533251</v>
      </c>
      <c r="AF38" s="107">
        <f t="shared" ref="AF38" si="674">(+AE38-+AE37)*48</f>
        <v>6576</v>
      </c>
      <c r="AG38" s="80">
        <v>49769</v>
      </c>
      <c r="AH38" s="107">
        <f t="shared" si="630"/>
        <v>0</v>
      </c>
      <c r="AI38" s="80">
        <v>419500</v>
      </c>
      <c r="AJ38" s="107">
        <f t="shared" si="631"/>
        <v>3408</v>
      </c>
      <c r="AK38" s="80">
        <v>102770</v>
      </c>
      <c r="AL38" s="107">
        <f t="shared" si="632"/>
        <v>0</v>
      </c>
      <c r="AM38" s="80">
        <v>577964</v>
      </c>
      <c r="AN38" s="107">
        <f t="shared" si="633"/>
        <v>5280</v>
      </c>
      <c r="AO38" s="80">
        <v>936296</v>
      </c>
      <c r="AP38" s="107">
        <f t="shared" si="634"/>
        <v>15120</v>
      </c>
      <c r="AQ38" s="80">
        <v>77874</v>
      </c>
      <c r="AR38" s="107">
        <f t="shared" si="635"/>
        <v>0</v>
      </c>
      <c r="AS38" s="80">
        <v>2262</v>
      </c>
      <c r="AT38" s="107">
        <f t="shared" si="636"/>
        <v>0</v>
      </c>
      <c r="AU38" s="80">
        <v>939</v>
      </c>
      <c r="AV38" s="107">
        <f t="shared" si="637"/>
        <v>0</v>
      </c>
      <c r="AW38" s="80">
        <v>3109</v>
      </c>
      <c r="AX38" s="107">
        <f t="shared" si="638"/>
        <v>0</v>
      </c>
      <c r="AY38" s="80">
        <v>319315</v>
      </c>
      <c r="AZ38" s="107">
        <f t="shared" si="639"/>
        <v>3552</v>
      </c>
      <c r="BA38" s="80">
        <v>161101</v>
      </c>
      <c r="BB38" s="107">
        <f t="shared" si="640"/>
        <v>0</v>
      </c>
      <c r="BC38" s="80">
        <v>218097</v>
      </c>
      <c r="BD38" s="107">
        <f t="shared" si="641"/>
        <v>1536</v>
      </c>
      <c r="BE38" s="80">
        <v>5347</v>
      </c>
      <c r="BF38" s="107">
        <f t="shared" si="642"/>
        <v>0</v>
      </c>
      <c r="BH38" s="108">
        <f t="shared" si="670"/>
        <v>91236.143999999709</v>
      </c>
      <c r="BI38" s="108">
        <f t="shared" si="671"/>
        <v>69789.600000000006</v>
      </c>
    </row>
    <row r="39" spans="1:61" s="36" customFormat="1" ht="39.950000000000003" customHeight="1">
      <c r="A39" s="147"/>
      <c r="B39" s="35"/>
      <c r="C39" s="79"/>
      <c r="D39" s="107"/>
      <c r="E39" s="107">
        <f>D39*E5</f>
        <v>0</v>
      </c>
      <c r="F39" s="107">
        <f>D39*F5</f>
        <v>0</v>
      </c>
      <c r="G39" s="79"/>
      <c r="H39" s="107"/>
      <c r="I39" s="79"/>
      <c r="J39" s="107"/>
      <c r="K39" s="79"/>
      <c r="L39" s="107"/>
      <c r="M39" s="79"/>
      <c r="N39" s="107"/>
      <c r="O39" s="79"/>
      <c r="P39" s="107"/>
      <c r="Q39" s="79"/>
      <c r="R39" s="107"/>
      <c r="S39" s="79"/>
      <c r="T39" s="107"/>
      <c r="U39" s="86"/>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6" t="s">
        <v>197</v>
      </c>
      <c r="C1" s="246"/>
      <c r="D1" s="246" t="s">
        <v>197</v>
      </c>
      <c r="E1" s="246"/>
      <c r="F1" s="246" t="s">
        <v>197</v>
      </c>
      <c r="G1" s="246"/>
      <c r="H1" s="246" t="s">
        <v>198</v>
      </c>
      <c r="I1" s="246"/>
      <c r="J1" s="245"/>
      <c r="K1" s="245"/>
      <c r="L1" s="246" t="s">
        <v>199</v>
      </c>
      <c r="M1" s="246"/>
      <c r="N1" s="246" t="s">
        <v>199</v>
      </c>
      <c r="O1" s="246"/>
      <c r="P1" s="246" t="s">
        <v>199</v>
      </c>
      <c r="Q1" s="246"/>
      <c r="R1" s="246" t="s">
        <v>199</v>
      </c>
      <c r="S1" s="246"/>
      <c r="T1" s="246" t="s">
        <v>200</v>
      </c>
      <c r="U1" s="246"/>
      <c r="V1" s="250" t="s">
        <v>200</v>
      </c>
      <c r="W1" s="250"/>
      <c r="X1" s="246" t="s">
        <v>200</v>
      </c>
      <c r="Y1" s="246"/>
      <c r="Z1" s="246" t="s">
        <v>200</v>
      </c>
      <c r="AA1" s="246"/>
      <c r="AB1" s="245"/>
      <c r="AC1" s="245"/>
      <c r="AD1" s="246" t="s">
        <v>200</v>
      </c>
      <c r="AE1" s="246"/>
      <c r="AF1" s="246" t="s">
        <v>200</v>
      </c>
      <c r="AG1" s="246"/>
      <c r="AH1" s="246" t="s">
        <v>201</v>
      </c>
      <c r="AI1" s="246"/>
      <c r="AJ1" s="246" t="s">
        <v>201</v>
      </c>
      <c r="AK1" s="246"/>
      <c r="AL1" s="249" t="s">
        <v>201</v>
      </c>
      <c r="AM1" s="249"/>
      <c r="AN1" s="246" t="s">
        <v>201</v>
      </c>
      <c r="AO1" s="246"/>
      <c r="AP1" s="245" t="s">
        <v>201</v>
      </c>
      <c r="AQ1" s="245"/>
      <c r="AR1" s="249" t="s">
        <v>201</v>
      </c>
      <c r="AS1" s="249"/>
      <c r="AT1" s="246" t="s">
        <v>201</v>
      </c>
      <c r="AU1" s="246"/>
      <c r="AV1" s="245"/>
      <c r="AW1" s="245"/>
      <c r="AX1" s="246" t="s">
        <v>201</v>
      </c>
      <c r="AY1" s="246"/>
      <c r="AZ1" s="246" t="s">
        <v>201</v>
      </c>
      <c r="BA1" s="246"/>
      <c r="BB1" s="246" t="s">
        <v>201</v>
      </c>
      <c r="BC1" s="246"/>
      <c r="BD1" s="246" t="s">
        <v>202</v>
      </c>
      <c r="BE1" s="246"/>
      <c r="BF1" s="246" t="s">
        <v>202</v>
      </c>
      <c r="BG1" s="246"/>
      <c r="BH1" s="246" t="s">
        <v>202</v>
      </c>
      <c r="BI1" s="246"/>
      <c r="BJ1" s="246" t="s">
        <v>202</v>
      </c>
      <c r="BK1" s="246"/>
      <c r="BL1" s="246" t="s">
        <v>202</v>
      </c>
      <c r="BM1" s="246"/>
      <c r="BN1" s="246" t="s">
        <v>202</v>
      </c>
      <c r="BO1" s="246"/>
      <c r="BP1" s="246" t="s">
        <v>202</v>
      </c>
      <c r="BQ1" s="246"/>
      <c r="BR1" s="246" t="s">
        <v>202</v>
      </c>
      <c r="BS1" s="246"/>
      <c r="BT1" s="246" t="s">
        <v>202</v>
      </c>
      <c r="BU1" s="246"/>
      <c r="BV1" s="246" t="s">
        <v>202</v>
      </c>
      <c r="BW1" s="246"/>
      <c r="BX1" s="246" t="s">
        <v>202</v>
      </c>
      <c r="BY1" s="246"/>
      <c r="BZ1" s="246" t="s">
        <v>203</v>
      </c>
      <c r="CA1" s="246"/>
      <c r="CB1" s="250" t="s">
        <v>203</v>
      </c>
      <c r="CC1" s="250"/>
      <c r="CD1" s="246" t="s">
        <v>203</v>
      </c>
      <c r="CE1" s="246"/>
      <c r="CF1" s="246" t="s">
        <v>203</v>
      </c>
      <c r="CG1" s="246"/>
      <c r="CH1" s="246" t="s">
        <v>204</v>
      </c>
      <c r="CI1" s="246"/>
      <c r="CJ1" s="246" t="s">
        <v>204</v>
      </c>
      <c r="CK1" s="246"/>
      <c r="CL1" s="246" t="s">
        <v>204</v>
      </c>
      <c r="CM1" s="246"/>
      <c r="CN1" s="246" t="s">
        <v>205</v>
      </c>
      <c r="CO1" s="246"/>
      <c r="CP1" s="246" t="s">
        <v>205</v>
      </c>
      <c r="CQ1" s="246"/>
      <c r="CR1" s="250" t="s">
        <v>205</v>
      </c>
      <c r="CS1" s="250"/>
      <c r="CT1" s="246" t="s">
        <v>205</v>
      </c>
      <c r="CU1" s="246"/>
      <c r="CV1" s="246" t="s">
        <v>205</v>
      </c>
      <c r="CW1" s="246"/>
      <c r="CX1" s="246" t="s">
        <v>205</v>
      </c>
      <c r="CY1" s="246"/>
      <c r="CZ1" s="246" t="s">
        <v>205</v>
      </c>
      <c r="DA1" s="246"/>
      <c r="DB1" s="246" t="s">
        <v>205</v>
      </c>
      <c r="DC1" s="246"/>
      <c r="DD1" s="246" t="s">
        <v>205</v>
      </c>
      <c r="DE1" s="246"/>
      <c r="DF1" s="246" t="s">
        <v>205</v>
      </c>
      <c r="DG1" s="246"/>
      <c r="DH1" s="246" t="s">
        <v>205</v>
      </c>
      <c r="DI1" s="246"/>
      <c r="DJ1" s="245" t="s">
        <v>205</v>
      </c>
      <c r="DK1" s="245"/>
      <c r="DL1" s="246" t="s">
        <v>206</v>
      </c>
      <c r="DM1" s="246"/>
      <c r="DN1" s="246" t="s">
        <v>206</v>
      </c>
      <c r="DO1" s="246"/>
      <c r="DP1" s="246" t="s">
        <v>206</v>
      </c>
      <c r="DQ1" s="246"/>
      <c r="DR1" s="246" t="s">
        <v>206</v>
      </c>
      <c r="DS1" s="246"/>
      <c r="DT1" s="246" t="s">
        <v>206</v>
      </c>
      <c r="DU1" s="246"/>
      <c r="DV1" s="246" t="s">
        <v>206</v>
      </c>
      <c r="DW1" s="246"/>
      <c r="DX1" s="246" t="s">
        <v>207</v>
      </c>
      <c r="DY1" s="246"/>
      <c r="DZ1" s="246" t="s">
        <v>207</v>
      </c>
      <c r="EA1" s="246"/>
      <c r="EB1" s="246" t="s">
        <v>207</v>
      </c>
      <c r="EC1" s="246"/>
      <c r="ED1" s="246" t="s">
        <v>207</v>
      </c>
      <c r="EE1" s="246"/>
      <c r="EF1" s="246" t="s">
        <v>207</v>
      </c>
      <c r="EG1" s="246"/>
      <c r="EH1" s="246" t="s">
        <v>207</v>
      </c>
      <c r="EI1" s="246"/>
      <c r="EJ1" s="246" t="s">
        <v>207</v>
      </c>
      <c r="EK1" s="246"/>
      <c r="EL1" s="246" t="s">
        <v>208</v>
      </c>
      <c r="EM1" s="246"/>
      <c r="EN1" s="246" t="s">
        <v>208</v>
      </c>
      <c r="EO1" s="246"/>
      <c r="EP1" s="246" t="s">
        <v>208</v>
      </c>
      <c r="EQ1" s="246"/>
      <c r="ER1" s="246" t="s">
        <v>209</v>
      </c>
      <c r="ES1" s="246"/>
      <c r="ET1" s="246" t="s">
        <v>209</v>
      </c>
      <c r="EU1" s="246"/>
      <c r="EV1" s="246" t="s">
        <v>209</v>
      </c>
      <c r="EW1" s="246"/>
      <c r="EX1" s="246" t="s">
        <v>210</v>
      </c>
      <c r="EY1" s="246"/>
      <c r="EZ1" s="246" t="s">
        <v>211</v>
      </c>
      <c r="FA1" s="246"/>
      <c r="FB1" s="246" t="s">
        <v>211</v>
      </c>
      <c r="FC1" s="246"/>
      <c r="FD1" s="246" t="s">
        <v>211</v>
      </c>
      <c r="FE1" s="246"/>
      <c r="FF1" s="246" t="s">
        <v>212</v>
      </c>
      <c r="FG1" s="246"/>
      <c r="FH1" s="246" t="s">
        <v>212</v>
      </c>
      <c r="FI1" s="246"/>
      <c r="FJ1" s="246" t="s">
        <v>212</v>
      </c>
      <c r="FK1" s="246"/>
      <c r="FL1" s="245" t="s">
        <v>212</v>
      </c>
      <c r="FM1" s="245"/>
    </row>
    <row r="2" spans="1:169" s="24" customFormat="1" ht="49.5" customHeight="1">
      <c r="B2" s="246" t="s">
        <v>213</v>
      </c>
      <c r="C2" s="246"/>
      <c r="D2" s="246" t="s">
        <v>214</v>
      </c>
      <c r="E2" s="246"/>
      <c r="F2" s="246" t="s">
        <v>213</v>
      </c>
      <c r="G2" s="246"/>
      <c r="H2" s="246" t="s">
        <v>214</v>
      </c>
      <c r="I2" s="246"/>
      <c r="J2" s="246" t="s">
        <v>214</v>
      </c>
      <c r="K2" s="246"/>
      <c r="L2" s="246" t="s">
        <v>213</v>
      </c>
      <c r="M2" s="246"/>
      <c r="N2" s="246" t="s">
        <v>213</v>
      </c>
      <c r="O2" s="246"/>
      <c r="P2" s="246" t="s">
        <v>214</v>
      </c>
      <c r="Q2" s="246"/>
      <c r="R2" s="246" t="s">
        <v>214</v>
      </c>
      <c r="S2" s="246"/>
      <c r="T2" s="246" t="s">
        <v>213</v>
      </c>
      <c r="U2" s="246"/>
      <c r="V2" s="246" t="s">
        <v>214</v>
      </c>
      <c r="W2" s="246"/>
      <c r="X2" s="246" t="s">
        <v>214</v>
      </c>
      <c r="Y2" s="246"/>
      <c r="Z2" s="246" t="s">
        <v>214</v>
      </c>
      <c r="AA2" s="246"/>
      <c r="AB2" s="245" t="s">
        <v>214</v>
      </c>
      <c r="AC2" s="245"/>
      <c r="AD2" s="246" t="s">
        <v>213</v>
      </c>
      <c r="AE2" s="246"/>
      <c r="AF2" s="246" t="s">
        <v>214</v>
      </c>
      <c r="AG2" s="246"/>
      <c r="AH2" s="246" t="s">
        <v>214</v>
      </c>
      <c r="AI2" s="246"/>
      <c r="AJ2" s="246" t="s">
        <v>214</v>
      </c>
      <c r="AK2" s="246"/>
      <c r="AL2" s="246" t="s">
        <v>214</v>
      </c>
      <c r="AM2" s="246"/>
      <c r="AN2" s="246" t="s">
        <v>214</v>
      </c>
      <c r="AO2" s="246"/>
      <c r="AP2" s="245" t="s">
        <v>214</v>
      </c>
      <c r="AQ2" s="245"/>
      <c r="AR2" s="246" t="s">
        <v>214</v>
      </c>
      <c r="AS2" s="246"/>
      <c r="AT2" s="246" t="s">
        <v>214</v>
      </c>
      <c r="AU2" s="246"/>
      <c r="AV2" s="245" t="s">
        <v>214</v>
      </c>
      <c r="AW2" s="245"/>
      <c r="AX2" s="246" t="s">
        <v>214</v>
      </c>
      <c r="AY2" s="246"/>
      <c r="AZ2" s="246" t="s">
        <v>214</v>
      </c>
      <c r="BA2" s="246"/>
      <c r="BB2" s="246" t="s">
        <v>214</v>
      </c>
      <c r="BC2" s="246"/>
      <c r="BD2" s="246" t="s">
        <v>213</v>
      </c>
      <c r="BE2" s="246"/>
      <c r="BF2" s="246" t="s">
        <v>215</v>
      </c>
      <c r="BG2" s="246"/>
      <c r="BH2" s="246" t="s">
        <v>214</v>
      </c>
      <c r="BI2" s="246"/>
      <c r="BJ2" s="246" t="s">
        <v>214</v>
      </c>
      <c r="BK2" s="246"/>
      <c r="BL2" s="246" t="s">
        <v>214</v>
      </c>
      <c r="BM2" s="246"/>
      <c r="BN2" s="246" t="s">
        <v>214</v>
      </c>
      <c r="BO2" s="246"/>
      <c r="BP2" s="246" t="s">
        <v>214</v>
      </c>
      <c r="BQ2" s="246"/>
      <c r="BR2" s="246" t="s">
        <v>214</v>
      </c>
      <c r="BS2" s="246"/>
      <c r="BT2" s="246" t="s">
        <v>214</v>
      </c>
      <c r="BU2" s="246"/>
      <c r="BV2" s="246" t="s">
        <v>214</v>
      </c>
      <c r="BW2" s="246"/>
      <c r="BX2" s="246" t="s">
        <v>214</v>
      </c>
      <c r="BY2" s="246"/>
      <c r="BZ2" s="246" t="s">
        <v>213</v>
      </c>
      <c r="CA2" s="246"/>
      <c r="CB2" s="246" t="s">
        <v>213</v>
      </c>
      <c r="CC2" s="246"/>
      <c r="CD2" s="246" t="s">
        <v>213</v>
      </c>
      <c r="CE2" s="246"/>
      <c r="CF2" s="246" t="s">
        <v>213</v>
      </c>
      <c r="CG2" s="246"/>
      <c r="CH2" s="246" t="s">
        <v>214</v>
      </c>
      <c r="CI2" s="246"/>
      <c r="CJ2" s="246" t="s">
        <v>214</v>
      </c>
      <c r="CK2" s="246"/>
      <c r="CL2" s="246" t="s">
        <v>214</v>
      </c>
      <c r="CM2" s="246"/>
      <c r="CN2" s="246" t="s">
        <v>213</v>
      </c>
      <c r="CO2" s="246"/>
      <c r="CP2" s="246" t="s">
        <v>214</v>
      </c>
      <c r="CQ2" s="246"/>
      <c r="CR2" s="246" t="s">
        <v>214</v>
      </c>
      <c r="CS2" s="246"/>
      <c r="CT2" s="246" t="s">
        <v>214</v>
      </c>
      <c r="CU2" s="246"/>
      <c r="CV2" s="246" t="s">
        <v>214</v>
      </c>
      <c r="CW2" s="246"/>
      <c r="CX2" s="246" t="s">
        <v>214</v>
      </c>
      <c r="CY2" s="246"/>
      <c r="CZ2" s="246" t="s">
        <v>214</v>
      </c>
      <c r="DA2" s="246"/>
      <c r="DB2" s="246" t="s">
        <v>213</v>
      </c>
      <c r="DC2" s="246"/>
      <c r="DD2" s="246" t="s">
        <v>214</v>
      </c>
      <c r="DE2" s="246"/>
      <c r="DF2" s="246" t="s">
        <v>214</v>
      </c>
      <c r="DG2" s="246"/>
      <c r="DH2" s="246" t="s">
        <v>214</v>
      </c>
      <c r="DI2" s="246"/>
      <c r="DJ2" s="245" t="s">
        <v>214</v>
      </c>
      <c r="DK2" s="245"/>
      <c r="DL2" s="246" t="s">
        <v>214</v>
      </c>
      <c r="DM2" s="246"/>
      <c r="DN2" s="246" t="s">
        <v>214</v>
      </c>
      <c r="DO2" s="246"/>
      <c r="DP2" s="246" t="s">
        <v>214</v>
      </c>
      <c r="DQ2" s="246"/>
      <c r="DR2" s="246" t="s">
        <v>214</v>
      </c>
      <c r="DS2" s="246"/>
      <c r="DT2" s="246" t="s">
        <v>214</v>
      </c>
      <c r="DU2" s="246"/>
      <c r="DV2" s="246" t="s">
        <v>214</v>
      </c>
      <c r="DW2" s="246"/>
      <c r="DX2" s="246" t="s">
        <v>214</v>
      </c>
      <c r="DY2" s="246"/>
      <c r="DZ2" s="246" t="s">
        <v>214</v>
      </c>
      <c r="EA2" s="246"/>
      <c r="EB2" s="246" t="s">
        <v>214</v>
      </c>
      <c r="EC2" s="246"/>
      <c r="ED2" s="246" t="s">
        <v>214</v>
      </c>
      <c r="EE2" s="246"/>
      <c r="EF2" s="246" t="s">
        <v>214</v>
      </c>
      <c r="EG2" s="246"/>
      <c r="EH2" s="246" t="s">
        <v>214</v>
      </c>
      <c r="EI2" s="246"/>
      <c r="EJ2" s="246" t="s">
        <v>214</v>
      </c>
      <c r="EK2" s="246"/>
      <c r="EL2" s="246" t="s">
        <v>214</v>
      </c>
      <c r="EM2" s="246"/>
      <c r="EN2" s="246" t="s">
        <v>214</v>
      </c>
      <c r="EO2" s="246"/>
      <c r="EP2" s="246" t="s">
        <v>214</v>
      </c>
      <c r="EQ2" s="246"/>
      <c r="ER2" s="246" t="s">
        <v>214</v>
      </c>
      <c r="ES2" s="246"/>
      <c r="ET2" s="246" t="s">
        <v>214</v>
      </c>
      <c r="EU2" s="246"/>
      <c r="EV2" s="246" t="s">
        <v>214</v>
      </c>
      <c r="EW2" s="246"/>
      <c r="EX2" s="246" t="s">
        <v>214</v>
      </c>
      <c r="EY2" s="246"/>
      <c r="EZ2" s="246" t="s">
        <v>214</v>
      </c>
      <c r="FA2" s="246"/>
      <c r="FB2" s="246" t="s">
        <v>214</v>
      </c>
      <c r="FC2" s="246"/>
      <c r="FD2" s="246" t="s">
        <v>214</v>
      </c>
      <c r="FE2" s="246"/>
      <c r="FF2" s="246" t="s">
        <v>214</v>
      </c>
      <c r="FG2" s="246"/>
      <c r="FH2" s="246" t="s">
        <v>214</v>
      </c>
      <c r="FI2" s="246"/>
      <c r="FJ2" s="246" t="s">
        <v>214</v>
      </c>
      <c r="FK2" s="246"/>
      <c r="FL2" s="245" t="s">
        <v>214</v>
      </c>
      <c r="FM2" s="245"/>
    </row>
    <row r="3" spans="1:169" s="24" customFormat="1" ht="49.5" customHeight="1">
      <c r="B3" s="211" t="s">
        <v>67</v>
      </c>
      <c r="C3" s="213"/>
      <c r="D3" s="211" t="s">
        <v>216</v>
      </c>
      <c r="E3" s="213"/>
      <c r="F3" s="211"/>
      <c r="G3" s="213"/>
      <c r="H3" s="211" t="s">
        <v>216</v>
      </c>
      <c r="I3" s="213"/>
      <c r="J3" s="211" t="s">
        <v>216</v>
      </c>
      <c r="K3" s="213"/>
      <c r="L3" s="211"/>
      <c r="M3" s="213"/>
      <c r="N3" s="211"/>
      <c r="O3" s="213"/>
      <c r="P3" s="211" t="s">
        <v>216</v>
      </c>
      <c r="Q3" s="213"/>
      <c r="R3" s="211" t="s">
        <v>216</v>
      </c>
      <c r="S3" s="213"/>
      <c r="T3" s="211"/>
      <c r="U3" s="213"/>
      <c r="V3" s="211" t="s">
        <v>217</v>
      </c>
      <c r="W3" s="213"/>
      <c r="X3" s="211" t="s">
        <v>217</v>
      </c>
      <c r="Y3" s="213"/>
      <c r="Z3" s="211" t="s">
        <v>217</v>
      </c>
      <c r="AA3" s="213"/>
      <c r="AB3" s="247" t="s">
        <v>217</v>
      </c>
      <c r="AC3" s="248"/>
      <c r="AD3" s="211"/>
      <c r="AE3" s="213"/>
      <c r="AF3" s="211" t="s">
        <v>217</v>
      </c>
      <c r="AG3" s="213"/>
      <c r="AH3" s="211" t="s">
        <v>216</v>
      </c>
      <c r="AI3" s="213"/>
      <c r="AJ3" s="211" t="s">
        <v>216</v>
      </c>
      <c r="AK3" s="213"/>
      <c r="AL3" s="211" t="s">
        <v>216</v>
      </c>
      <c r="AM3" s="213"/>
      <c r="AN3" s="211" t="s">
        <v>216</v>
      </c>
      <c r="AO3" s="213"/>
      <c r="AP3" s="247" t="s">
        <v>216</v>
      </c>
      <c r="AQ3" s="248"/>
      <c r="AR3" s="211" t="s">
        <v>216</v>
      </c>
      <c r="AS3" s="213"/>
      <c r="AT3" s="211" t="s">
        <v>216</v>
      </c>
      <c r="AU3" s="213"/>
      <c r="AV3" s="247" t="s">
        <v>216</v>
      </c>
      <c r="AW3" s="248"/>
      <c r="AX3" s="211" t="s">
        <v>216</v>
      </c>
      <c r="AY3" s="213"/>
      <c r="AZ3" s="211" t="s">
        <v>216</v>
      </c>
      <c r="BA3" s="213"/>
      <c r="BB3" s="211" t="s">
        <v>216</v>
      </c>
      <c r="BC3" s="213"/>
      <c r="BD3" s="211"/>
      <c r="BE3" s="213"/>
      <c r="BF3" s="211"/>
      <c r="BG3" s="213"/>
      <c r="BH3" s="211" t="s">
        <v>216</v>
      </c>
      <c r="BI3" s="213"/>
      <c r="BJ3" s="211" t="s">
        <v>216</v>
      </c>
      <c r="BK3" s="213"/>
      <c r="BL3" s="211" t="s">
        <v>216</v>
      </c>
      <c r="BM3" s="213"/>
      <c r="BN3" s="211" t="s">
        <v>216</v>
      </c>
      <c r="BO3" s="213"/>
      <c r="BP3" s="211" t="s">
        <v>216</v>
      </c>
      <c r="BQ3" s="213"/>
      <c r="BR3" s="211" t="s">
        <v>216</v>
      </c>
      <c r="BS3" s="213"/>
      <c r="BT3" s="211" t="s">
        <v>216</v>
      </c>
      <c r="BU3" s="213"/>
      <c r="BV3" s="211" t="s">
        <v>216</v>
      </c>
      <c r="BW3" s="213"/>
      <c r="BX3" s="211" t="s">
        <v>216</v>
      </c>
      <c r="BY3" s="213"/>
      <c r="BZ3" s="211" t="s">
        <v>66</v>
      </c>
      <c r="CA3" s="213"/>
      <c r="CB3" s="211" t="s">
        <v>66</v>
      </c>
      <c r="CC3" s="213"/>
      <c r="CD3" s="211" t="s">
        <v>66</v>
      </c>
      <c r="CE3" s="213"/>
      <c r="CF3" s="116"/>
      <c r="CG3" s="116"/>
      <c r="CH3" s="211" t="s">
        <v>67</v>
      </c>
      <c r="CI3" s="213"/>
      <c r="CJ3" s="211" t="s">
        <v>67</v>
      </c>
      <c r="CK3" s="213"/>
      <c r="CL3" s="211" t="s">
        <v>216</v>
      </c>
      <c r="CM3" s="213"/>
      <c r="CN3" s="211"/>
      <c r="CO3" s="213"/>
      <c r="CP3" s="211" t="s">
        <v>216</v>
      </c>
      <c r="CQ3" s="213"/>
      <c r="CR3" s="211" t="s">
        <v>216</v>
      </c>
      <c r="CS3" s="213"/>
      <c r="CT3" s="211" t="s">
        <v>216</v>
      </c>
      <c r="CU3" s="213"/>
      <c r="CV3" s="211" t="s">
        <v>216</v>
      </c>
      <c r="CW3" s="213"/>
      <c r="CX3" s="211" t="s">
        <v>216</v>
      </c>
      <c r="CY3" s="213"/>
      <c r="CZ3" s="211" t="s">
        <v>216</v>
      </c>
      <c r="DA3" s="213"/>
      <c r="DB3" s="211" t="s">
        <v>216</v>
      </c>
      <c r="DC3" s="213"/>
      <c r="DD3" s="211" t="s">
        <v>216</v>
      </c>
      <c r="DE3" s="213"/>
      <c r="DF3" s="211" t="s">
        <v>216</v>
      </c>
      <c r="DG3" s="213"/>
      <c r="DH3" s="211" t="s">
        <v>216</v>
      </c>
      <c r="DI3" s="213"/>
      <c r="DJ3" s="247" t="s">
        <v>216</v>
      </c>
      <c r="DK3" s="248"/>
      <c r="DL3" s="211" t="s">
        <v>65</v>
      </c>
      <c r="DM3" s="213"/>
      <c r="DN3" s="211" t="s">
        <v>65</v>
      </c>
      <c r="DO3" s="213"/>
      <c r="DP3" s="211" t="s">
        <v>65</v>
      </c>
      <c r="DQ3" s="213"/>
      <c r="DR3" s="211" t="s">
        <v>65</v>
      </c>
      <c r="DS3" s="213"/>
      <c r="DT3" s="211" t="s">
        <v>65</v>
      </c>
      <c r="DU3" s="213"/>
      <c r="DV3" s="211" t="s">
        <v>218</v>
      </c>
      <c r="DW3" s="213"/>
      <c r="DX3" s="211" t="s">
        <v>65</v>
      </c>
      <c r="DY3" s="213"/>
      <c r="DZ3" s="211" t="s">
        <v>217</v>
      </c>
      <c r="EA3" s="213"/>
      <c r="EB3" s="211" t="s">
        <v>65</v>
      </c>
      <c r="EC3" s="213"/>
      <c r="ED3" s="211" t="s">
        <v>65</v>
      </c>
      <c r="EE3" s="213"/>
      <c r="EF3" s="211" t="s">
        <v>65</v>
      </c>
      <c r="EG3" s="213"/>
      <c r="EH3" s="211" t="s">
        <v>65</v>
      </c>
      <c r="EI3" s="213"/>
      <c r="EJ3" s="211" t="s">
        <v>65</v>
      </c>
      <c r="EK3" s="213"/>
      <c r="EL3" s="211" t="s">
        <v>67</v>
      </c>
      <c r="EM3" s="213"/>
      <c r="EN3" s="211" t="s">
        <v>67</v>
      </c>
      <c r="EO3" s="213"/>
      <c r="EP3" s="211" t="s">
        <v>67</v>
      </c>
      <c r="EQ3" s="213"/>
      <c r="ER3" s="211" t="s">
        <v>67</v>
      </c>
      <c r="ES3" s="213"/>
      <c r="ET3" s="211" t="s">
        <v>67</v>
      </c>
      <c r="EU3" s="213"/>
      <c r="EV3" s="211" t="s">
        <v>67</v>
      </c>
      <c r="EW3" s="213"/>
      <c r="EX3" s="211" t="s">
        <v>67</v>
      </c>
      <c r="EY3" s="213"/>
      <c r="EZ3" s="211" t="s">
        <v>67</v>
      </c>
      <c r="FA3" s="213"/>
      <c r="FB3" s="211" t="s">
        <v>67</v>
      </c>
      <c r="FC3" s="213"/>
      <c r="FD3" s="211" t="s">
        <v>67</v>
      </c>
      <c r="FE3" s="213"/>
      <c r="FF3" s="211" t="s">
        <v>67</v>
      </c>
      <c r="FG3" s="213"/>
      <c r="FH3" s="211" t="s">
        <v>67</v>
      </c>
      <c r="FI3" s="213"/>
      <c r="FJ3" s="211" t="s">
        <v>67</v>
      </c>
      <c r="FK3" s="213"/>
      <c r="FL3" s="247" t="s">
        <v>216</v>
      </c>
      <c r="FM3" s="248"/>
    </row>
    <row r="4" spans="1:169" s="24" customFormat="1" ht="30" customHeight="1">
      <c r="B4" s="211" t="s">
        <v>219</v>
      </c>
      <c r="C4" s="213"/>
      <c r="D4" s="211" t="s">
        <v>219</v>
      </c>
      <c r="E4" s="213"/>
      <c r="F4" s="113"/>
      <c r="G4" s="114"/>
      <c r="H4" s="211" t="s">
        <v>219</v>
      </c>
      <c r="I4" s="213"/>
      <c r="J4" s="211" t="s">
        <v>220</v>
      </c>
      <c r="K4" s="213"/>
      <c r="L4" s="113"/>
      <c r="M4" s="114"/>
      <c r="N4" s="211"/>
      <c r="O4" s="213"/>
      <c r="P4" s="211" t="s">
        <v>221</v>
      </c>
      <c r="Q4" s="213"/>
      <c r="R4" s="211" t="s">
        <v>221</v>
      </c>
      <c r="S4" s="213"/>
      <c r="T4" s="113"/>
      <c r="U4" s="114"/>
      <c r="V4" s="211" t="s">
        <v>221</v>
      </c>
      <c r="W4" s="213"/>
      <c r="X4" s="211" t="s">
        <v>221</v>
      </c>
      <c r="Y4" s="213"/>
      <c r="Z4" s="211" t="s">
        <v>221</v>
      </c>
      <c r="AA4" s="213"/>
      <c r="AB4" s="247" t="s">
        <v>221</v>
      </c>
      <c r="AC4" s="248"/>
      <c r="AD4" s="113"/>
      <c r="AE4" s="114"/>
      <c r="AF4" s="211" t="s">
        <v>221</v>
      </c>
      <c r="AG4" s="213"/>
      <c r="AH4" s="211" t="s">
        <v>221</v>
      </c>
      <c r="AI4" s="213"/>
      <c r="AJ4" s="211" t="s">
        <v>219</v>
      </c>
      <c r="AK4" s="213"/>
      <c r="AL4" s="211" t="s">
        <v>219</v>
      </c>
      <c r="AM4" s="213"/>
      <c r="AN4" s="211" t="s">
        <v>219</v>
      </c>
      <c r="AO4" s="213"/>
      <c r="AP4" s="247" t="s">
        <v>220</v>
      </c>
      <c r="AQ4" s="248"/>
      <c r="AR4" s="211" t="s">
        <v>219</v>
      </c>
      <c r="AS4" s="213"/>
      <c r="AT4" s="211" t="s">
        <v>219</v>
      </c>
      <c r="AU4" s="213"/>
      <c r="AV4" s="247" t="s">
        <v>219</v>
      </c>
      <c r="AW4" s="248"/>
      <c r="AX4" s="211" t="s">
        <v>221</v>
      </c>
      <c r="AY4" s="213"/>
      <c r="AZ4" s="211" t="s">
        <v>219</v>
      </c>
      <c r="BA4" s="213"/>
      <c r="BB4" s="211" t="s">
        <v>219</v>
      </c>
      <c r="BC4" s="213"/>
      <c r="BD4" s="113"/>
      <c r="BE4" s="114"/>
      <c r="BF4" s="113"/>
      <c r="BG4" s="114"/>
      <c r="BH4" s="211" t="s">
        <v>220</v>
      </c>
      <c r="BI4" s="213"/>
      <c r="BJ4" s="211" t="s">
        <v>221</v>
      </c>
      <c r="BK4" s="213"/>
      <c r="BL4" s="211" t="s">
        <v>219</v>
      </c>
      <c r="BM4" s="213"/>
      <c r="BN4" s="211" t="s">
        <v>219</v>
      </c>
      <c r="BO4" s="213"/>
      <c r="BP4" s="211" t="s">
        <v>219</v>
      </c>
      <c r="BQ4" s="213"/>
      <c r="BR4" s="211" t="s">
        <v>219</v>
      </c>
      <c r="BS4" s="213"/>
      <c r="BT4" s="211" t="s">
        <v>219</v>
      </c>
      <c r="BU4" s="213"/>
      <c r="BV4" s="211" t="s">
        <v>219</v>
      </c>
      <c r="BW4" s="213"/>
      <c r="BX4" s="211" t="s">
        <v>219</v>
      </c>
      <c r="BY4" s="213"/>
      <c r="BZ4" s="211" t="s">
        <v>221</v>
      </c>
      <c r="CA4" s="213"/>
      <c r="CB4" s="211" t="s">
        <v>221</v>
      </c>
      <c r="CC4" s="213"/>
      <c r="CD4" s="211" t="s">
        <v>221</v>
      </c>
      <c r="CE4" s="213"/>
      <c r="CF4" s="211" t="s">
        <v>219</v>
      </c>
      <c r="CG4" s="213"/>
      <c r="CH4" s="211" t="s">
        <v>219</v>
      </c>
      <c r="CI4" s="213"/>
      <c r="CJ4" s="211" t="s">
        <v>219</v>
      </c>
      <c r="CK4" s="213"/>
      <c r="CL4" s="211" t="s">
        <v>219</v>
      </c>
      <c r="CM4" s="213"/>
      <c r="CN4" s="113"/>
      <c r="CO4" s="114"/>
      <c r="CP4" s="211" t="s">
        <v>220</v>
      </c>
      <c r="CQ4" s="213"/>
      <c r="CR4" s="211" t="s">
        <v>222</v>
      </c>
      <c r="CS4" s="213"/>
      <c r="CT4" s="211" t="s">
        <v>220</v>
      </c>
      <c r="CU4" s="213"/>
      <c r="CV4" s="211" t="s">
        <v>221</v>
      </c>
      <c r="CW4" s="213"/>
      <c r="CX4" s="211" t="s">
        <v>219</v>
      </c>
      <c r="CY4" s="213"/>
      <c r="CZ4" s="211" t="s">
        <v>219</v>
      </c>
      <c r="DA4" s="213"/>
      <c r="DB4" s="113"/>
      <c r="DC4" s="114"/>
      <c r="DD4" s="211" t="s">
        <v>220</v>
      </c>
      <c r="DE4" s="213"/>
      <c r="DF4" s="211" t="s">
        <v>221</v>
      </c>
      <c r="DG4" s="213"/>
      <c r="DH4" s="211" t="s">
        <v>221</v>
      </c>
      <c r="DI4" s="213"/>
      <c r="DJ4" s="247" t="s">
        <v>220</v>
      </c>
      <c r="DK4" s="248"/>
      <c r="DL4" s="211" t="s">
        <v>219</v>
      </c>
      <c r="DM4" s="213"/>
      <c r="DN4" s="211" t="s">
        <v>219</v>
      </c>
      <c r="DO4" s="213"/>
      <c r="DP4" s="211" t="s">
        <v>219</v>
      </c>
      <c r="DQ4" s="213"/>
      <c r="DR4" s="211" t="s">
        <v>219</v>
      </c>
      <c r="DS4" s="213"/>
      <c r="DT4" s="211" t="s">
        <v>221</v>
      </c>
      <c r="DU4" s="213"/>
      <c r="DV4" s="211" t="s">
        <v>221</v>
      </c>
      <c r="DW4" s="213"/>
      <c r="DX4" s="211" t="s">
        <v>223</v>
      </c>
      <c r="DY4" s="213"/>
      <c r="DZ4" s="211" t="s">
        <v>224</v>
      </c>
      <c r="EA4" s="213"/>
      <c r="EB4" s="211" t="s">
        <v>223</v>
      </c>
      <c r="EC4" s="213"/>
      <c r="ED4" s="211" t="s">
        <v>219</v>
      </c>
      <c r="EE4" s="213"/>
      <c r="EF4" s="211" t="s">
        <v>219</v>
      </c>
      <c r="EG4" s="213"/>
      <c r="EH4" s="211" t="s">
        <v>221</v>
      </c>
      <c r="EI4" s="213"/>
      <c r="EJ4" s="211" t="s">
        <v>221</v>
      </c>
      <c r="EK4" s="213"/>
      <c r="EL4" s="211" t="s">
        <v>219</v>
      </c>
      <c r="EM4" s="213"/>
      <c r="EN4" s="211" t="s">
        <v>219</v>
      </c>
      <c r="EO4" s="213"/>
      <c r="EP4" s="211" t="s">
        <v>219</v>
      </c>
      <c r="EQ4" s="213"/>
      <c r="ER4" s="211" t="s">
        <v>219</v>
      </c>
      <c r="ES4" s="213"/>
      <c r="ET4" s="211" t="s">
        <v>219</v>
      </c>
      <c r="EU4" s="213"/>
      <c r="EV4" s="211" t="s">
        <v>219</v>
      </c>
      <c r="EW4" s="213"/>
      <c r="EX4" s="211" t="s">
        <v>219</v>
      </c>
      <c r="EY4" s="213"/>
      <c r="EZ4" s="211" t="s">
        <v>221</v>
      </c>
      <c r="FA4" s="213"/>
      <c r="FB4" s="211" t="s">
        <v>219</v>
      </c>
      <c r="FC4" s="213"/>
      <c r="FD4" s="211" t="s">
        <v>219</v>
      </c>
      <c r="FE4" s="213"/>
      <c r="FF4" s="211" t="s">
        <v>223</v>
      </c>
      <c r="FG4" s="213"/>
      <c r="FH4" s="211" t="s">
        <v>219</v>
      </c>
      <c r="FI4" s="213"/>
      <c r="FJ4" s="211" t="s">
        <v>223</v>
      </c>
      <c r="FK4" s="213"/>
      <c r="FL4" s="247" t="s">
        <v>219</v>
      </c>
      <c r="FM4" s="248"/>
    </row>
    <row r="5" spans="1:169" s="87" customFormat="1" ht="138.75" customHeight="1">
      <c r="B5" s="251" t="s">
        <v>78</v>
      </c>
      <c r="C5" s="251"/>
      <c r="D5" s="251" t="s">
        <v>225</v>
      </c>
      <c r="E5" s="251"/>
      <c r="F5" s="251" t="s">
        <v>79</v>
      </c>
      <c r="G5" s="251"/>
      <c r="H5" s="251" t="s">
        <v>226</v>
      </c>
      <c r="I5" s="251"/>
      <c r="J5" s="251" t="s">
        <v>227</v>
      </c>
      <c r="K5" s="251"/>
      <c r="L5" s="251" t="s">
        <v>78</v>
      </c>
      <c r="M5" s="251"/>
      <c r="N5" s="251" t="s">
        <v>80</v>
      </c>
      <c r="O5" s="251"/>
      <c r="P5" s="251" t="s">
        <v>228</v>
      </c>
      <c r="Q5" s="251"/>
      <c r="R5" s="251" t="s">
        <v>228</v>
      </c>
      <c r="S5" s="251"/>
      <c r="T5" s="251" t="s">
        <v>68</v>
      </c>
      <c r="U5" s="251"/>
      <c r="V5" s="251" t="s">
        <v>229</v>
      </c>
      <c r="W5" s="251"/>
      <c r="X5" s="251" t="s">
        <v>230</v>
      </c>
      <c r="Y5" s="251"/>
      <c r="Z5" s="251" t="s">
        <v>231</v>
      </c>
      <c r="AA5" s="251"/>
      <c r="AB5" s="252" t="s">
        <v>228</v>
      </c>
      <c r="AC5" s="252"/>
      <c r="AD5" s="251" t="s">
        <v>69</v>
      </c>
      <c r="AE5" s="251"/>
      <c r="AF5" s="251" t="s">
        <v>232</v>
      </c>
      <c r="AG5" s="251"/>
      <c r="AH5" s="251" t="s">
        <v>233</v>
      </c>
      <c r="AI5" s="251"/>
      <c r="AJ5" s="251" t="s">
        <v>234</v>
      </c>
      <c r="AK5" s="251"/>
      <c r="AL5" s="251" t="s">
        <v>226</v>
      </c>
      <c r="AM5" s="251"/>
      <c r="AN5" s="251" t="s">
        <v>235</v>
      </c>
      <c r="AO5" s="251"/>
      <c r="AP5" s="252" t="s">
        <v>236</v>
      </c>
      <c r="AQ5" s="252"/>
      <c r="AR5" s="251" t="s">
        <v>237</v>
      </c>
      <c r="AS5" s="251"/>
      <c r="AT5" s="251" t="s">
        <v>238</v>
      </c>
      <c r="AU5" s="251"/>
      <c r="AV5" s="252" t="s">
        <v>239</v>
      </c>
      <c r="AW5" s="252"/>
      <c r="AX5" s="251" t="s">
        <v>228</v>
      </c>
      <c r="AY5" s="251"/>
      <c r="AZ5" s="251" t="s">
        <v>226</v>
      </c>
      <c r="BA5" s="251"/>
      <c r="BB5" s="251" t="s">
        <v>240</v>
      </c>
      <c r="BC5" s="251"/>
      <c r="BD5" s="251" t="s">
        <v>71</v>
      </c>
      <c r="BE5" s="251"/>
      <c r="BF5" s="251" t="s">
        <v>72</v>
      </c>
      <c r="BG5" s="251"/>
      <c r="BH5" s="251" t="s">
        <v>241</v>
      </c>
      <c r="BI5" s="251"/>
      <c r="BJ5" s="251" t="s">
        <v>242</v>
      </c>
      <c r="BK5" s="251"/>
      <c r="BL5" s="251" t="s">
        <v>243</v>
      </c>
      <c r="BM5" s="251"/>
      <c r="BN5" s="251" t="s">
        <v>244</v>
      </c>
      <c r="BO5" s="251"/>
      <c r="BP5" s="251" t="s">
        <v>245</v>
      </c>
      <c r="BQ5" s="251"/>
      <c r="BR5" s="251" t="s">
        <v>246</v>
      </c>
      <c r="BS5" s="251"/>
      <c r="BT5" s="251" t="s">
        <v>247</v>
      </c>
      <c r="BU5" s="251"/>
      <c r="BV5" s="251" t="s">
        <v>248</v>
      </c>
      <c r="BW5" s="251"/>
      <c r="BX5" s="251" t="s">
        <v>246</v>
      </c>
      <c r="BY5" s="251"/>
      <c r="BZ5" s="251" t="s">
        <v>74</v>
      </c>
      <c r="CA5" s="251"/>
      <c r="CB5" s="251" t="s">
        <v>75</v>
      </c>
      <c r="CC5" s="251"/>
      <c r="CD5" s="251" t="s">
        <v>76</v>
      </c>
      <c r="CE5" s="251"/>
      <c r="CF5" s="251" t="s">
        <v>77</v>
      </c>
      <c r="CG5" s="251"/>
      <c r="CH5" s="251" t="s">
        <v>249</v>
      </c>
      <c r="CI5" s="251"/>
      <c r="CJ5" s="251" t="s">
        <v>249</v>
      </c>
      <c r="CK5" s="251"/>
      <c r="CL5" s="251" t="s">
        <v>250</v>
      </c>
      <c r="CM5" s="251"/>
      <c r="CN5" s="251" t="s">
        <v>70</v>
      </c>
      <c r="CO5" s="251"/>
      <c r="CP5" s="253" t="s">
        <v>251</v>
      </c>
      <c r="CQ5" s="253"/>
      <c r="CR5" s="253" t="s">
        <v>222</v>
      </c>
      <c r="CS5" s="253"/>
      <c r="CT5" s="253" t="s">
        <v>252</v>
      </c>
      <c r="CU5" s="253"/>
      <c r="CV5" s="253" t="s">
        <v>253</v>
      </c>
      <c r="CW5" s="253"/>
      <c r="CX5" s="253" t="s">
        <v>254</v>
      </c>
      <c r="CY5" s="253"/>
      <c r="CZ5" s="253" t="s">
        <v>255</v>
      </c>
      <c r="DA5" s="253"/>
      <c r="DB5" s="251" t="s">
        <v>73</v>
      </c>
      <c r="DC5" s="251"/>
      <c r="DD5" s="251" t="s">
        <v>256</v>
      </c>
      <c r="DE5" s="251"/>
      <c r="DF5" s="251" t="s">
        <v>257</v>
      </c>
      <c r="DG5" s="251"/>
      <c r="DH5" s="251" t="s">
        <v>258</v>
      </c>
      <c r="DI5" s="251"/>
      <c r="DJ5" s="252" t="s">
        <v>256</v>
      </c>
      <c r="DK5" s="252"/>
      <c r="DL5" s="251" t="s">
        <v>259</v>
      </c>
      <c r="DM5" s="251"/>
      <c r="DN5" s="251" t="s">
        <v>259</v>
      </c>
      <c r="DO5" s="251"/>
      <c r="DP5" s="251" t="s">
        <v>260</v>
      </c>
      <c r="DQ5" s="251"/>
      <c r="DR5" s="251" t="s">
        <v>260</v>
      </c>
      <c r="DS5" s="251"/>
      <c r="DT5" s="251" t="s">
        <v>232</v>
      </c>
      <c r="DU5" s="251"/>
      <c r="DV5" s="251" t="s">
        <v>261</v>
      </c>
      <c r="DW5" s="251"/>
      <c r="DX5" s="253" t="s">
        <v>262</v>
      </c>
      <c r="DY5" s="253"/>
      <c r="DZ5" s="251" t="s">
        <v>226</v>
      </c>
      <c r="EA5" s="251"/>
      <c r="EB5" s="253" t="s">
        <v>263</v>
      </c>
      <c r="EC5" s="253"/>
      <c r="ED5" s="253" t="s">
        <v>264</v>
      </c>
      <c r="EE5" s="253"/>
      <c r="EF5" s="253" t="s">
        <v>265</v>
      </c>
      <c r="EG5" s="253"/>
      <c r="EH5" s="253" t="s">
        <v>228</v>
      </c>
      <c r="EI5" s="253"/>
      <c r="EJ5" s="253" t="s">
        <v>266</v>
      </c>
      <c r="EK5" s="253"/>
      <c r="EL5" s="251" t="s">
        <v>267</v>
      </c>
      <c r="EM5" s="251"/>
      <c r="EN5" s="251" t="s">
        <v>268</v>
      </c>
      <c r="EO5" s="251"/>
      <c r="EP5" s="251" t="s">
        <v>269</v>
      </c>
      <c r="EQ5" s="251"/>
      <c r="ER5" s="251" t="s">
        <v>270</v>
      </c>
      <c r="ES5" s="251"/>
      <c r="ET5" s="251" t="s">
        <v>268</v>
      </c>
      <c r="EU5" s="251"/>
      <c r="EV5" s="251" t="s">
        <v>269</v>
      </c>
      <c r="EW5" s="251"/>
      <c r="EX5" s="251" t="s">
        <v>271</v>
      </c>
      <c r="EY5" s="251"/>
      <c r="EZ5" s="251" t="s">
        <v>266</v>
      </c>
      <c r="FA5" s="251"/>
      <c r="FB5" s="251" t="s">
        <v>272</v>
      </c>
      <c r="FC5" s="251"/>
      <c r="FD5" s="251" t="s">
        <v>273</v>
      </c>
      <c r="FE5" s="251"/>
      <c r="FF5" s="251" t="s">
        <v>274</v>
      </c>
      <c r="FG5" s="251"/>
      <c r="FH5" s="251" t="s">
        <v>275</v>
      </c>
      <c r="FI5" s="251"/>
      <c r="FJ5" s="251" t="s">
        <v>276</v>
      </c>
      <c r="FK5" s="251"/>
      <c r="FL5" s="252" t="s">
        <v>277</v>
      </c>
      <c r="FM5" s="252"/>
    </row>
    <row r="6" spans="1:169" s="24" customFormat="1" ht="30" customHeight="1">
      <c r="B6" s="246">
        <v>5065544</v>
      </c>
      <c r="C6" s="246"/>
      <c r="D6" s="211"/>
      <c r="E6" s="213"/>
      <c r="F6" s="246">
        <v>5065541</v>
      </c>
      <c r="G6" s="246"/>
      <c r="H6" s="211"/>
      <c r="I6" s="213"/>
      <c r="J6" s="211"/>
      <c r="K6" s="213"/>
      <c r="L6" s="246">
        <v>5065542</v>
      </c>
      <c r="M6" s="246"/>
      <c r="N6" s="246">
        <v>5065540</v>
      </c>
      <c r="O6" s="246"/>
      <c r="P6" s="211"/>
      <c r="Q6" s="213"/>
      <c r="R6" s="211"/>
      <c r="S6" s="213"/>
      <c r="T6" s="246">
        <v>5065546</v>
      </c>
      <c r="U6" s="246"/>
      <c r="V6" s="211"/>
      <c r="W6" s="213"/>
      <c r="X6" s="211"/>
      <c r="Y6" s="213"/>
      <c r="Z6" s="211"/>
      <c r="AA6" s="213"/>
      <c r="AB6" s="211"/>
      <c r="AC6" s="213"/>
      <c r="AD6" s="246">
        <v>5065547</v>
      </c>
      <c r="AE6" s="246"/>
      <c r="AF6" s="211"/>
      <c r="AG6" s="213"/>
      <c r="AH6" s="254"/>
      <c r="AI6" s="255"/>
      <c r="AJ6" s="254"/>
      <c r="AK6" s="255"/>
      <c r="AL6" s="254"/>
      <c r="AM6" s="255"/>
      <c r="AN6" s="254"/>
      <c r="AO6" s="255"/>
      <c r="AP6" s="254"/>
      <c r="AQ6" s="255"/>
      <c r="AR6" s="254"/>
      <c r="AS6" s="255"/>
      <c r="AT6" s="254"/>
      <c r="AU6" s="255"/>
      <c r="AV6" s="254"/>
      <c r="AW6" s="255"/>
      <c r="AX6" s="254"/>
      <c r="AY6" s="255"/>
      <c r="AZ6" s="254"/>
      <c r="BA6" s="255"/>
      <c r="BB6" s="254"/>
      <c r="BC6" s="255"/>
      <c r="BD6" s="246">
        <v>5065548</v>
      </c>
      <c r="BE6" s="246"/>
      <c r="BF6" s="246">
        <v>5465545</v>
      </c>
      <c r="BG6" s="246"/>
      <c r="BH6" s="211"/>
      <c r="BI6" s="213"/>
      <c r="BJ6" s="211"/>
      <c r="BK6" s="213"/>
      <c r="BL6" s="211"/>
      <c r="BM6" s="213"/>
      <c r="BN6" s="211"/>
      <c r="BO6" s="213"/>
      <c r="BP6" s="211"/>
      <c r="BQ6" s="213"/>
      <c r="BR6" s="211"/>
      <c r="BS6" s="213"/>
      <c r="BT6" s="211"/>
      <c r="BU6" s="213"/>
      <c r="BV6" s="211"/>
      <c r="BW6" s="213"/>
      <c r="BX6" s="211"/>
      <c r="BY6" s="213"/>
      <c r="BZ6" s="246">
        <v>5018351</v>
      </c>
      <c r="CA6" s="246"/>
      <c r="CB6" s="246">
        <v>5018354</v>
      </c>
      <c r="CC6" s="246"/>
      <c r="CD6" s="246">
        <v>5018350</v>
      </c>
      <c r="CE6" s="246"/>
      <c r="CF6" s="246">
        <v>5065543</v>
      </c>
      <c r="CG6" s="246"/>
      <c r="CH6" s="211"/>
      <c r="CI6" s="213"/>
      <c r="CJ6" s="211"/>
      <c r="CK6" s="213"/>
      <c r="CL6" s="211"/>
      <c r="CM6" s="213"/>
      <c r="CN6" s="246">
        <v>5008272</v>
      </c>
      <c r="CO6" s="246"/>
      <c r="CP6" s="211"/>
      <c r="CQ6" s="213"/>
      <c r="CR6" s="211"/>
      <c r="CS6" s="213"/>
      <c r="CT6" s="211"/>
      <c r="CU6" s="213"/>
      <c r="CV6" s="211"/>
      <c r="CW6" s="213"/>
      <c r="CX6" s="211"/>
      <c r="CY6" s="213"/>
      <c r="CZ6" s="211"/>
      <c r="DA6" s="213"/>
      <c r="DB6" s="246">
        <v>5008273</v>
      </c>
      <c r="DC6" s="246"/>
      <c r="DD6" s="211"/>
      <c r="DE6" s="213"/>
      <c r="DF6" s="211"/>
      <c r="DG6" s="213"/>
      <c r="DH6" s="211"/>
      <c r="DI6" s="213"/>
      <c r="DJ6" s="211"/>
      <c r="DK6" s="213"/>
      <c r="DL6" s="211"/>
      <c r="DM6" s="213"/>
      <c r="DN6" s="211"/>
      <c r="DO6" s="213"/>
      <c r="DP6" s="211"/>
      <c r="DQ6" s="213"/>
      <c r="DR6" s="211"/>
      <c r="DS6" s="213"/>
      <c r="DT6" s="211"/>
      <c r="DU6" s="213"/>
      <c r="DV6" s="211"/>
      <c r="DW6" s="213"/>
      <c r="DX6" s="211"/>
      <c r="DY6" s="213"/>
      <c r="DZ6" s="211"/>
      <c r="EA6" s="213"/>
      <c r="EB6" s="211"/>
      <c r="EC6" s="213"/>
      <c r="ED6" s="211"/>
      <c r="EE6" s="213"/>
      <c r="EF6" s="211"/>
      <c r="EG6" s="213"/>
      <c r="EH6" s="211"/>
      <c r="EI6" s="213"/>
      <c r="EJ6" s="211"/>
      <c r="EK6" s="213"/>
      <c r="EL6" s="211"/>
      <c r="EM6" s="213"/>
      <c r="EN6" s="211"/>
      <c r="EO6" s="213"/>
      <c r="EP6" s="211"/>
      <c r="EQ6" s="213"/>
      <c r="ER6" s="211"/>
      <c r="ES6" s="213"/>
      <c r="ET6" s="211"/>
      <c r="EU6" s="213"/>
      <c r="EV6" s="211"/>
      <c r="EW6" s="213"/>
      <c r="EX6" s="211"/>
      <c r="EY6" s="213"/>
      <c r="EZ6" s="211"/>
      <c r="FA6" s="213"/>
      <c r="FB6" s="211"/>
      <c r="FC6" s="213"/>
      <c r="FD6" s="211"/>
      <c r="FE6" s="213"/>
      <c r="FF6" s="211"/>
      <c r="FG6" s="213"/>
      <c r="FH6" s="211"/>
      <c r="FI6" s="213"/>
      <c r="FJ6" s="211"/>
      <c r="FK6" s="213"/>
      <c r="FL6" s="211"/>
      <c r="FM6" s="213"/>
    </row>
    <row r="7" spans="1:169" s="24" customFormat="1" ht="30" customHeight="1">
      <c r="B7" s="256" t="s">
        <v>92</v>
      </c>
      <c r="C7" s="256"/>
      <c r="D7" s="256" t="s">
        <v>92</v>
      </c>
      <c r="E7" s="256"/>
      <c r="F7" s="257" t="s">
        <v>93</v>
      </c>
      <c r="G7" s="257"/>
      <c r="H7" s="258" t="s">
        <v>94</v>
      </c>
      <c r="I7" s="258"/>
      <c r="J7" s="258" t="s">
        <v>94</v>
      </c>
      <c r="K7" s="258"/>
      <c r="L7" s="258" t="s">
        <v>94</v>
      </c>
      <c r="M7" s="258"/>
      <c r="N7" s="259" t="s">
        <v>95</v>
      </c>
      <c r="O7" s="259"/>
      <c r="P7" s="259" t="s">
        <v>95</v>
      </c>
      <c r="Q7" s="259"/>
      <c r="R7" s="259" t="s">
        <v>95</v>
      </c>
      <c r="S7" s="259"/>
      <c r="T7" s="260" t="s">
        <v>82</v>
      </c>
      <c r="U7" s="260"/>
      <c r="V7" s="260" t="s">
        <v>82</v>
      </c>
      <c r="W7" s="260"/>
      <c r="X7" s="260" t="s">
        <v>82</v>
      </c>
      <c r="Y7" s="260"/>
      <c r="Z7" s="260" t="s">
        <v>82</v>
      </c>
      <c r="AA7" s="260"/>
      <c r="AB7" s="260" t="s">
        <v>82</v>
      </c>
      <c r="AC7" s="260"/>
      <c r="AD7" s="261" t="s">
        <v>83</v>
      </c>
      <c r="AE7" s="261"/>
      <c r="AF7" s="261" t="s">
        <v>83</v>
      </c>
      <c r="AG7" s="261"/>
      <c r="AH7" s="262" t="s">
        <v>85</v>
      </c>
      <c r="AI7" s="262"/>
      <c r="AJ7" s="262" t="s">
        <v>85</v>
      </c>
      <c r="AK7" s="262"/>
      <c r="AL7" s="262" t="s">
        <v>85</v>
      </c>
      <c r="AM7" s="262"/>
      <c r="AN7" s="262" t="s">
        <v>85</v>
      </c>
      <c r="AO7" s="262"/>
      <c r="AP7" s="262" t="s">
        <v>85</v>
      </c>
      <c r="AQ7" s="262"/>
      <c r="AR7" s="262" t="s">
        <v>85</v>
      </c>
      <c r="AS7" s="262"/>
      <c r="AT7" s="262" t="s">
        <v>85</v>
      </c>
      <c r="AU7" s="262"/>
      <c r="AV7" s="262" t="s">
        <v>85</v>
      </c>
      <c r="AW7" s="262"/>
      <c r="AX7" s="262" t="s">
        <v>85</v>
      </c>
      <c r="AY7" s="262"/>
      <c r="AZ7" s="262" t="s">
        <v>85</v>
      </c>
      <c r="BA7" s="262"/>
      <c r="BB7" s="262" t="s">
        <v>85</v>
      </c>
      <c r="BC7" s="262"/>
      <c r="BD7" s="262" t="s">
        <v>85</v>
      </c>
      <c r="BE7" s="262"/>
      <c r="BF7" s="263" t="s">
        <v>86</v>
      </c>
      <c r="BG7" s="263"/>
      <c r="BH7" s="263" t="s">
        <v>86</v>
      </c>
      <c r="BI7" s="263"/>
      <c r="BJ7" s="263" t="s">
        <v>86</v>
      </c>
      <c r="BK7" s="263"/>
      <c r="BL7" s="263" t="s">
        <v>86</v>
      </c>
      <c r="BM7" s="263"/>
      <c r="BN7" s="263" t="s">
        <v>86</v>
      </c>
      <c r="BO7" s="263"/>
      <c r="BP7" s="263" t="s">
        <v>86</v>
      </c>
      <c r="BQ7" s="263"/>
      <c r="BR7" s="263" t="s">
        <v>86</v>
      </c>
      <c r="BS7" s="263"/>
      <c r="BT7" s="263" t="s">
        <v>86</v>
      </c>
      <c r="BU7" s="263"/>
      <c r="BV7" s="263" t="s">
        <v>86</v>
      </c>
      <c r="BW7" s="263"/>
      <c r="BX7" s="263" t="s">
        <v>86</v>
      </c>
      <c r="BY7" s="263"/>
      <c r="BZ7" s="264" t="s">
        <v>88</v>
      </c>
      <c r="CA7" s="264"/>
      <c r="CB7" s="265" t="s">
        <v>89</v>
      </c>
      <c r="CC7" s="265"/>
      <c r="CD7" s="245" t="s">
        <v>90</v>
      </c>
      <c r="CE7" s="245"/>
      <c r="CF7" s="266" t="s">
        <v>91</v>
      </c>
      <c r="CG7" s="266"/>
      <c r="CH7" s="266" t="s">
        <v>91</v>
      </c>
      <c r="CI7" s="266"/>
      <c r="CJ7" s="266" t="s">
        <v>91</v>
      </c>
      <c r="CK7" s="266"/>
      <c r="CL7" s="266" t="s">
        <v>91</v>
      </c>
      <c r="CM7" s="266"/>
      <c r="CN7" s="267" t="s">
        <v>84</v>
      </c>
      <c r="CO7" s="267"/>
      <c r="CP7" s="267" t="s">
        <v>84</v>
      </c>
      <c r="CQ7" s="267"/>
      <c r="CR7" s="267" t="s">
        <v>84</v>
      </c>
      <c r="CS7" s="267"/>
      <c r="CT7" s="267" t="s">
        <v>84</v>
      </c>
      <c r="CU7" s="267"/>
      <c r="CV7" s="267" t="s">
        <v>84</v>
      </c>
      <c r="CW7" s="267"/>
      <c r="CX7" s="267" t="s">
        <v>84</v>
      </c>
      <c r="CY7" s="267"/>
      <c r="CZ7" s="267" t="s">
        <v>84</v>
      </c>
      <c r="DA7" s="267"/>
      <c r="DB7" s="268" t="s">
        <v>87</v>
      </c>
      <c r="DC7" s="268"/>
      <c r="DD7" s="268" t="s">
        <v>87</v>
      </c>
      <c r="DE7" s="268"/>
      <c r="DF7" s="268" t="s">
        <v>87</v>
      </c>
      <c r="DG7" s="268"/>
      <c r="DH7" s="268" t="s">
        <v>87</v>
      </c>
      <c r="DI7" s="268"/>
      <c r="DJ7" s="268" t="s">
        <v>87</v>
      </c>
      <c r="DK7" s="268"/>
      <c r="DL7" s="261" t="s">
        <v>83</v>
      </c>
      <c r="DM7" s="261"/>
      <c r="DN7" s="261" t="s">
        <v>83</v>
      </c>
      <c r="DO7" s="261"/>
      <c r="DP7" s="261" t="s">
        <v>83</v>
      </c>
      <c r="DQ7" s="261"/>
      <c r="DR7" s="261" t="s">
        <v>83</v>
      </c>
      <c r="DS7" s="261"/>
      <c r="DT7" s="261" t="s">
        <v>83</v>
      </c>
      <c r="DU7" s="261"/>
      <c r="DV7" s="261" t="s">
        <v>83</v>
      </c>
      <c r="DW7" s="261"/>
      <c r="DX7" s="260" t="s">
        <v>82</v>
      </c>
      <c r="DY7" s="260"/>
      <c r="DZ7" s="260" t="s">
        <v>82</v>
      </c>
      <c r="EA7" s="260"/>
      <c r="EB7" s="260" t="s">
        <v>82</v>
      </c>
      <c r="EC7" s="260"/>
      <c r="ED7" s="260" t="s">
        <v>82</v>
      </c>
      <c r="EE7" s="260"/>
      <c r="EF7" s="260" t="s">
        <v>82</v>
      </c>
      <c r="EG7" s="260"/>
      <c r="EH7" s="260" t="s">
        <v>82</v>
      </c>
      <c r="EI7" s="260"/>
      <c r="EJ7" s="260" t="s">
        <v>82</v>
      </c>
      <c r="EK7" s="260"/>
      <c r="EL7" s="258" t="s">
        <v>94</v>
      </c>
      <c r="EM7" s="258"/>
      <c r="EN7" s="258" t="s">
        <v>94</v>
      </c>
      <c r="EO7" s="258"/>
      <c r="EP7" s="258" t="s">
        <v>94</v>
      </c>
      <c r="EQ7" s="258"/>
      <c r="ER7" s="256" t="s">
        <v>92</v>
      </c>
      <c r="ES7" s="256"/>
      <c r="ET7" s="256" t="s">
        <v>92</v>
      </c>
      <c r="EU7" s="256"/>
      <c r="EV7" s="256" t="s">
        <v>92</v>
      </c>
      <c r="EW7" s="256"/>
      <c r="EX7" s="257" t="s">
        <v>93</v>
      </c>
      <c r="EY7" s="257"/>
      <c r="EZ7" s="259" t="s">
        <v>95</v>
      </c>
      <c r="FA7" s="259"/>
      <c r="FB7" s="259" t="s">
        <v>95</v>
      </c>
      <c r="FC7" s="259"/>
      <c r="FD7" s="259" t="s">
        <v>95</v>
      </c>
      <c r="FE7" s="259"/>
      <c r="FF7" s="257" t="s">
        <v>93</v>
      </c>
      <c r="FG7" s="257"/>
      <c r="FH7" s="257" t="s">
        <v>93</v>
      </c>
      <c r="FI7" s="257"/>
      <c r="FJ7" s="257" t="s">
        <v>93</v>
      </c>
      <c r="FK7" s="257"/>
      <c r="FL7" s="257" t="s">
        <v>93</v>
      </c>
      <c r="FM7" s="257"/>
    </row>
    <row r="8" spans="1:169" s="24" customFormat="1" ht="30" customHeight="1">
      <c r="B8" s="269"/>
      <c r="C8" s="269"/>
      <c r="D8" s="270" t="s">
        <v>278</v>
      </c>
      <c r="E8" s="271"/>
      <c r="F8" s="269"/>
      <c r="G8" s="269"/>
      <c r="H8" s="270" t="s">
        <v>279</v>
      </c>
      <c r="I8" s="271"/>
      <c r="J8" s="270" t="s">
        <v>280</v>
      </c>
      <c r="K8" s="271"/>
      <c r="L8" s="269"/>
      <c r="M8" s="269"/>
      <c r="N8" s="269"/>
      <c r="O8" s="269"/>
      <c r="P8" s="270" t="s">
        <v>281</v>
      </c>
      <c r="Q8" s="271"/>
      <c r="R8" s="270" t="s">
        <v>282</v>
      </c>
      <c r="S8" s="271"/>
      <c r="T8" s="269"/>
      <c r="U8" s="269"/>
      <c r="V8" s="270" t="s">
        <v>283</v>
      </c>
      <c r="W8" s="271"/>
      <c r="X8" s="270" t="s">
        <v>284</v>
      </c>
      <c r="Y8" s="271"/>
      <c r="Z8" s="270" t="s">
        <v>285</v>
      </c>
      <c r="AA8" s="271"/>
      <c r="AB8" s="270" t="s">
        <v>286</v>
      </c>
      <c r="AC8" s="271"/>
      <c r="AD8" s="269"/>
      <c r="AE8" s="269"/>
      <c r="AF8" s="270" t="s">
        <v>287</v>
      </c>
      <c r="AG8" s="271"/>
      <c r="AH8" s="270" t="s">
        <v>288</v>
      </c>
      <c r="AI8" s="271"/>
      <c r="AJ8" s="270" t="s">
        <v>289</v>
      </c>
      <c r="AK8" s="271"/>
      <c r="AL8" s="270" t="s">
        <v>290</v>
      </c>
      <c r="AM8" s="271"/>
      <c r="AN8" s="270" t="s">
        <v>291</v>
      </c>
      <c r="AO8" s="271"/>
      <c r="AP8" s="270" t="s">
        <v>292</v>
      </c>
      <c r="AQ8" s="271"/>
      <c r="AR8" s="270" t="s">
        <v>293</v>
      </c>
      <c r="AS8" s="271"/>
      <c r="AT8" s="270" t="s">
        <v>294</v>
      </c>
      <c r="AU8" s="271"/>
      <c r="AV8" s="270" t="s">
        <v>295</v>
      </c>
      <c r="AW8" s="271"/>
      <c r="AX8" s="270" t="s">
        <v>296</v>
      </c>
      <c r="AY8" s="271"/>
      <c r="AZ8" s="270" t="s">
        <v>297</v>
      </c>
      <c r="BA8" s="271"/>
      <c r="BB8" s="270" t="s">
        <v>298</v>
      </c>
      <c r="BC8" s="271"/>
      <c r="BD8" s="270"/>
      <c r="BE8" s="271"/>
      <c r="BF8" s="269"/>
      <c r="BG8" s="269"/>
      <c r="BH8" s="270" t="s">
        <v>299</v>
      </c>
      <c r="BI8" s="271"/>
      <c r="BJ8" s="270" t="s">
        <v>300</v>
      </c>
      <c r="BK8" s="271"/>
      <c r="BL8" s="270" t="s">
        <v>301</v>
      </c>
      <c r="BM8" s="271"/>
      <c r="BN8" s="270" t="s">
        <v>302</v>
      </c>
      <c r="BO8" s="271"/>
      <c r="BP8" s="270" t="s">
        <v>303</v>
      </c>
      <c r="BQ8" s="271"/>
      <c r="BR8" s="270" t="s">
        <v>304</v>
      </c>
      <c r="BS8" s="271"/>
      <c r="BT8" s="270" t="s">
        <v>305</v>
      </c>
      <c r="BU8" s="271"/>
      <c r="BV8" s="270" t="s">
        <v>306</v>
      </c>
      <c r="BW8" s="271"/>
      <c r="BX8" s="270" t="s">
        <v>307</v>
      </c>
      <c r="BY8" s="271"/>
      <c r="BZ8" s="269"/>
      <c r="CA8" s="269"/>
      <c r="CB8" s="269"/>
      <c r="CC8" s="269"/>
      <c r="CD8" s="269"/>
      <c r="CE8" s="269"/>
      <c r="CF8" s="269"/>
      <c r="CG8" s="269"/>
      <c r="CH8" s="270" t="s">
        <v>308</v>
      </c>
      <c r="CI8" s="271"/>
      <c r="CJ8" s="270" t="s">
        <v>309</v>
      </c>
      <c r="CK8" s="271"/>
      <c r="CL8" s="270" t="s">
        <v>310</v>
      </c>
      <c r="CM8" s="271"/>
      <c r="CN8" s="269"/>
      <c r="CO8" s="269"/>
      <c r="CP8" s="270" t="s">
        <v>311</v>
      </c>
      <c r="CQ8" s="271"/>
      <c r="CR8" s="270" t="s">
        <v>312</v>
      </c>
      <c r="CS8" s="271"/>
      <c r="CT8" s="270" t="s">
        <v>313</v>
      </c>
      <c r="CU8" s="271"/>
      <c r="CV8" s="270" t="s">
        <v>314</v>
      </c>
      <c r="CW8" s="271"/>
      <c r="CX8" s="270" t="s">
        <v>315</v>
      </c>
      <c r="CY8" s="271"/>
      <c r="CZ8" s="270" t="s">
        <v>316</v>
      </c>
      <c r="DA8" s="271"/>
      <c r="DB8" s="269"/>
      <c r="DC8" s="269"/>
      <c r="DD8" s="270" t="s">
        <v>317</v>
      </c>
      <c r="DE8" s="271"/>
      <c r="DF8" s="270" t="s">
        <v>318</v>
      </c>
      <c r="DG8" s="271"/>
      <c r="DH8" s="270" t="s">
        <v>319</v>
      </c>
      <c r="DI8" s="271"/>
      <c r="DJ8" s="270" t="s">
        <v>320</v>
      </c>
      <c r="DK8" s="271"/>
      <c r="DL8" s="270" t="s">
        <v>321</v>
      </c>
      <c r="DM8" s="271"/>
      <c r="DN8" s="270" t="s">
        <v>322</v>
      </c>
      <c r="DO8" s="271"/>
      <c r="DP8" s="270" t="s">
        <v>323</v>
      </c>
      <c r="DQ8" s="271"/>
      <c r="DR8" s="270" t="s">
        <v>324</v>
      </c>
      <c r="DS8" s="271"/>
      <c r="DT8" s="270" t="s">
        <v>325</v>
      </c>
      <c r="DU8" s="271"/>
      <c r="DV8" s="270" t="s">
        <v>326</v>
      </c>
      <c r="DW8" s="271"/>
      <c r="DX8" s="270" t="s">
        <v>327</v>
      </c>
      <c r="DY8" s="271"/>
      <c r="DZ8" s="270" t="s">
        <v>328</v>
      </c>
      <c r="EA8" s="271"/>
      <c r="EB8" s="270" t="s">
        <v>329</v>
      </c>
      <c r="EC8" s="271"/>
      <c r="ED8" s="270" t="s">
        <v>330</v>
      </c>
      <c r="EE8" s="271"/>
      <c r="EF8" s="270" t="s">
        <v>331</v>
      </c>
      <c r="EG8" s="271"/>
      <c r="EH8" s="270" t="s">
        <v>332</v>
      </c>
      <c r="EI8" s="271"/>
      <c r="EJ8" s="270" t="s">
        <v>333</v>
      </c>
      <c r="EK8" s="271"/>
      <c r="EL8" s="270" t="s">
        <v>334</v>
      </c>
      <c r="EM8" s="271"/>
      <c r="EN8" s="270" t="s">
        <v>335</v>
      </c>
      <c r="EO8" s="271"/>
      <c r="EP8" s="270" t="s">
        <v>336</v>
      </c>
      <c r="EQ8" s="271"/>
      <c r="ER8" s="270" t="s">
        <v>337</v>
      </c>
      <c r="ES8" s="271"/>
      <c r="ET8" s="270" t="s">
        <v>338</v>
      </c>
      <c r="EU8" s="271"/>
      <c r="EV8" s="270" t="s">
        <v>339</v>
      </c>
      <c r="EW8" s="271"/>
      <c r="EX8" s="270" t="s">
        <v>340</v>
      </c>
      <c r="EY8" s="271"/>
      <c r="EZ8" s="270" t="s">
        <v>341</v>
      </c>
      <c r="FA8" s="271"/>
      <c r="FB8" s="270" t="s">
        <v>342</v>
      </c>
      <c r="FC8" s="271"/>
      <c r="FD8" s="270" t="s">
        <v>343</v>
      </c>
      <c r="FE8" s="271"/>
      <c r="FF8" s="270" t="s">
        <v>344</v>
      </c>
      <c r="FG8" s="271"/>
      <c r="FH8" s="270" t="s">
        <v>345</v>
      </c>
      <c r="FI8" s="271"/>
      <c r="FJ8" s="270" t="s">
        <v>346</v>
      </c>
      <c r="FK8" s="271"/>
      <c r="FL8" s="270" t="s">
        <v>347</v>
      </c>
      <c r="FM8" s="271"/>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348</v>
      </c>
      <c r="D2" s="274"/>
      <c r="E2" s="274" t="s">
        <v>349</v>
      </c>
      <c r="F2" s="274"/>
      <c r="G2" s="274" t="s">
        <v>350</v>
      </c>
      <c r="H2" s="274"/>
      <c r="I2" s="274" t="s">
        <v>351</v>
      </c>
      <c r="J2" s="274"/>
      <c r="K2" s="274" t="s">
        <v>352</v>
      </c>
      <c r="L2" s="274"/>
      <c r="M2" s="274" t="s">
        <v>353</v>
      </c>
      <c r="N2" s="274"/>
      <c r="O2" s="274" t="s">
        <v>354</v>
      </c>
      <c r="P2" s="274"/>
      <c r="Q2" s="274" t="s">
        <v>355</v>
      </c>
      <c r="R2" s="274"/>
      <c r="S2" s="274" t="s">
        <v>356</v>
      </c>
      <c r="T2" s="274"/>
      <c r="V2" s="274" t="s">
        <v>357</v>
      </c>
      <c r="W2" s="274"/>
      <c r="X2" s="274" t="s">
        <v>358</v>
      </c>
      <c r="Y2" s="274"/>
      <c r="Z2" s="274" t="s">
        <v>359</v>
      </c>
      <c r="AA2" s="274"/>
      <c r="AB2" s="274" t="s">
        <v>360</v>
      </c>
      <c r="AC2" s="274"/>
      <c r="AD2" s="274" t="s">
        <v>361</v>
      </c>
      <c r="AE2" s="274"/>
      <c r="AF2" s="274" t="s">
        <v>362</v>
      </c>
      <c r="AG2" s="274"/>
      <c r="AH2" s="274" t="s">
        <v>363</v>
      </c>
      <c r="AI2" s="274"/>
      <c r="AJ2" s="274" t="s">
        <v>364</v>
      </c>
      <c r="AK2" s="274"/>
      <c r="AL2" s="274" t="s">
        <v>365</v>
      </c>
      <c r="AM2" s="274"/>
      <c r="AO2" s="274" t="s">
        <v>366</v>
      </c>
      <c r="AP2" s="274"/>
      <c r="AQ2" s="274" t="s">
        <v>367</v>
      </c>
      <c r="AR2" s="274"/>
      <c r="AS2" s="274" t="s">
        <v>368</v>
      </c>
      <c r="AT2" s="274"/>
      <c r="AU2" s="274" t="s">
        <v>369</v>
      </c>
      <c r="AV2" s="274"/>
      <c r="AW2" s="274" t="s">
        <v>370</v>
      </c>
      <c r="AX2" s="274"/>
      <c r="AY2" s="274" t="s">
        <v>371</v>
      </c>
      <c r="AZ2" s="274"/>
      <c r="BA2" s="274" t="s">
        <v>372</v>
      </c>
      <c r="BB2" s="274"/>
      <c r="BC2" s="274" t="s">
        <v>373</v>
      </c>
      <c r="BD2" s="274"/>
      <c r="BE2" s="274" t="s">
        <v>374</v>
      </c>
      <c r="BF2" s="274"/>
      <c r="BH2" s="274" t="s">
        <v>104</v>
      </c>
      <c r="BI2" s="274"/>
      <c r="BJ2" s="274" t="s">
        <v>375</v>
      </c>
      <c r="BK2" s="274"/>
      <c r="BL2" s="274" t="s">
        <v>376</v>
      </c>
      <c r="BM2" s="274"/>
      <c r="BN2" s="274" t="s">
        <v>377</v>
      </c>
      <c r="BO2" s="274"/>
      <c r="BP2" s="274" t="s">
        <v>378</v>
      </c>
      <c r="BQ2" s="274"/>
      <c r="BR2" s="274" t="s">
        <v>379</v>
      </c>
      <c r="BS2" s="274"/>
      <c r="BT2" s="274" t="s">
        <v>380</v>
      </c>
      <c r="BU2" s="274"/>
      <c r="BV2" s="274" t="s">
        <v>381</v>
      </c>
      <c r="BW2" s="274"/>
      <c r="BX2" s="274" t="s">
        <v>382</v>
      </c>
      <c r="BY2" s="274"/>
      <c r="BZ2" s="274" t="s">
        <v>383</v>
      </c>
      <c r="CA2" s="274"/>
      <c r="CB2" s="274" t="s">
        <v>384</v>
      </c>
      <c r="CC2" s="274"/>
      <c r="CD2" s="274" t="s">
        <v>385</v>
      </c>
      <c r="CE2" s="274"/>
      <c r="CF2" s="274" t="s">
        <v>386</v>
      </c>
      <c r="CG2" s="274"/>
      <c r="CH2" s="274" t="s">
        <v>387</v>
      </c>
      <c r="CI2" s="274"/>
      <c r="CJ2" s="274" t="s">
        <v>388</v>
      </c>
      <c r="CK2" s="274"/>
      <c r="CL2" s="274" t="s">
        <v>389</v>
      </c>
      <c r="CM2" s="274"/>
      <c r="CN2" s="274" t="s">
        <v>390</v>
      </c>
      <c r="CO2" s="274"/>
      <c r="CP2" s="274" t="s">
        <v>391</v>
      </c>
      <c r="CQ2" s="274"/>
      <c r="CR2" s="274" t="s">
        <v>392</v>
      </c>
      <c r="CS2" s="274"/>
    </row>
    <row r="3" spans="1:97" s="56" customFormat="1" ht="49.5" customHeight="1">
      <c r="A3" s="118"/>
      <c r="B3" s="70"/>
      <c r="C3" s="272"/>
      <c r="D3" s="272"/>
      <c r="E3" s="275" t="s">
        <v>111</v>
      </c>
      <c r="F3" s="275"/>
      <c r="G3" s="272"/>
      <c r="H3" s="272"/>
      <c r="I3" s="276" t="s">
        <v>113</v>
      </c>
      <c r="J3" s="276"/>
      <c r="K3" s="272"/>
      <c r="L3" s="272"/>
      <c r="M3" s="272"/>
      <c r="N3" s="272"/>
      <c r="O3" s="272"/>
      <c r="P3" s="272"/>
      <c r="Q3" s="273" t="s">
        <v>114</v>
      </c>
      <c r="R3" s="273"/>
      <c r="S3" s="272"/>
      <c r="T3" s="272"/>
      <c r="U3" s="55"/>
      <c r="V3" s="273" t="s">
        <v>109</v>
      </c>
      <c r="W3" s="273"/>
      <c r="X3" s="272"/>
      <c r="Y3" s="272"/>
      <c r="Z3" s="272"/>
      <c r="AA3" s="272"/>
      <c r="AB3" s="272"/>
      <c r="AC3" s="272"/>
      <c r="AD3" s="272"/>
      <c r="AE3" s="272"/>
      <c r="AF3" s="272"/>
      <c r="AG3" s="272"/>
      <c r="AH3" s="272"/>
      <c r="AI3" s="272"/>
      <c r="AJ3" s="272"/>
      <c r="AK3" s="272"/>
      <c r="AL3" s="272"/>
      <c r="AM3" s="272"/>
      <c r="AN3" s="55"/>
      <c r="AO3" s="275" t="s">
        <v>112</v>
      </c>
      <c r="AP3" s="275"/>
      <c r="AQ3" s="272"/>
      <c r="AR3" s="272"/>
      <c r="AS3" s="272"/>
      <c r="AT3" s="272"/>
      <c r="AU3" s="272"/>
      <c r="AV3" s="272"/>
      <c r="AW3" s="272"/>
      <c r="AX3" s="272"/>
      <c r="AY3" s="272"/>
      <c r="AZ3" s="272"/>
      <c r="BA3" s="272"/>
      <c r="BB3" s="272"/>
      <c r="BC3" s="272"/>
      <c r="BD3" s="272"/>
      <c r="BE3" s="272"/>
      <c r="BF3" s="272"/>
      <c r="BG3" s="55"/>
      <c r="BH3" s="275" t="s">
        <v>110</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2023-02-15T03:39:41Z</dcterms:modified>
  <cp:category/>
  <cp:contentStatus/>
</cp:coreProperties>
</file>