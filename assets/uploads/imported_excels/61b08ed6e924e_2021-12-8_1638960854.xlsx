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B32" i="3" l="1"/>
  <c r="L32" i="1"/>
  <c r="K32" i="1"/>
  <c r="B3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3" i="1"/>
  <c r="E2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<sst xmlns="http://schemas.openxmlformats.org/spreadsheetml/2006/main" count="108" uniqueCount="33">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</sst>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E29" sqref="E29:K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12</v>
      </c>
      <c r="D2" s="9">
        <v>2021</v>
      </c>
      <c r="E2" s="20">
        <f>Submetering!E2</f>
        <v>7216.76</v>
      </c>
      <c r="F2" s="16">
        <v>0.12</v>
      </c>
      <c r="G2" s="20">
        <f>Submetering!F2+Submetering!G2</f>
        <v>822.93000000000006</v>
      </c>
      <c r="H2" s="16">
        <v>0.71</v>
      </c>
      <c r="I2" s="20">
        <f>Submetering!J2+Submetering!I2+Submetering!H2</f>
        <v>86</v>
      </c>
      <c r="J2" s="16">
        <v>2.3196172978505634</v>
      </c>
      <c r="K2" s="20">
        <f>Submetering!K2</f>
        <v>66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12</v>
      </c>
      <c r="D3" s="9">
        <v>2021</v>
      </c>
      <c r="E3" s="20">
        <f>Submetering!E3</f>
        <v>7309.05</v>
      </c>
      <c r="F3" s="16">
        <v>0.12</v>
      </c>
      <c r="G3" s="20">
        <f>Submetering!F3+Submetering!G3</f>
        <v>807.96</v>
      </c>
      <c r="H3" s="16">
        <v>0.71</v>
      </c>
      <c r="I3" s="20">
        <f>Submetering!J3+Submetering!I3+Submetering!H3</f>
        <v>88.58</v>
      </c>
      <c r="J3" s="16">
        <v>2.3196172978505634</v>
      </c>
      <c r="K3" s="20">
        <f>Submetering!K3</f>
        <v>91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12</v>
      </c>
      <c r="D4" s="9">
        <v>2021</v>
      </c>
      <c r="E4" s="20">
        <f>Submetering!E4</f>
        <v>7620.15</v>
      </c>
      <c r="F4" s="16">
        <v>0.12</v>
      </c>
      <c r="G4" s="20">
        <f>Submetering!F4+Submetering!G4</f>
        <v>785.62</v>
      </c>
      <c r="H4" s="16">
        <v>0.71</v>
      </c>
      <c r="I4" s="20">
        <f>Submetering!J4+Submetering!I4+Submetering!H4</f>
        <v>91.02</v>
      </c>
      <c r="J4" s="16">
        <v>2.3196172978505634</v>
      </c>
      <c r="K4" s="20">
        <f>Submetering!K4</f>
        <v>101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12</v>
      </c>
      <c r="D5" s="9">
        <v>2021</v>
      </c>
      <c r="E5" s="20">
        <f>Submetering!E5</f>
        <v>7669.09</v>
      </c>
      <c r="F5" s="16">
        <v>0.12</v>
      </c>
      <c r="G5" s="20">
        <f>Submetering!F5+Submetering!G5</f>
        <v>704.49</v>
      </c>
      <c r="H5" s="16">
        <v>0.71</v>
      </c>
      <c r="I5" s="20">
        <f>Submetering!J5+Submetering!I5+Submetering!H5</f>
        <v>99.87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12</v>
      </c>
      <c r="D6" s="9">
        <v>2021</v>
      </c>
      <c r="E6" s="20">
        <f>Submetering!E6</f>
        <v>7244.1</v>
      </c>
      <c r="F6" s="16">
        <v>0.12</v>
      </c>
      <c r="G6" s="20">
        <f>Submetering!F6+Submetering!G6</f>
        <v>797.45</v>
      </c>
      <c r="H6" s="16">
        <v>0.71</v>
      </c>
      <c r="I6" s="20">
        <f>Submetering!J6+Submetering!I6+Submetering!H6</f>
        <v>86.37</v>
      </c>
      <c r="J6" s="16">
        <v>2.3196172978505634</v>
      </c>
      <c r="K6" s="20">
        <f>Submetering!K6</f>
        <v>87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12</v>
      </c>
      <c r="D7" s="9">
        <v>2021</v>
      </c>
      <c r="E7" s="20">
        <f>Submetering!E7</f>
        <v>6930.38</v>
      </c>
      <c r="F7" s="16">
        <v>0.12</v>
      </c>
      <c r="G7" s="20">
        <f>Submetering!F7+Submetering!G7</f>
        <v>806.81</v>
      </c>
      <c r="H7" s="16">
        <v>0.71</v>
      </c>
      <c r="I7" s="20">
        <f>Submetering!J7+Submetering!I7+Submetering!H7</f>
        <v>90.46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12</v>
      </c>
      <c r="D8" s="9">
        <v>2021</v>
      </c>
      <c r="E8" s="20">
        <f>Submetering!E8</f>
        <v>6994.01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0</v>
      </c>
      <c r="J8" s="16">
        <v>2.3196172978505634</v>
      </c>
      <c r="K8" s="20">
        <f>Submetering!K8</f>
        <v>80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12</v>
      </c>
      <c r="D9" s="9">
        <v>2021</v>
      </c>
      <c r="E9" s="20">
        <f>Submetering!E9</f>
        <v>0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12</v>
      </c>
      <c r="D10" s="9">
        <v>2021</v>
      </c>
      <c r="E10" s="20">
        <f>Submetering!E10</f>
        <v>0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12</v>
      </c>
      <c r="D11" s="9">
        <v>2021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12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12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12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12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12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12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12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12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12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12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12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12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12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12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12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12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12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12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12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12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12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8" sqref="K8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12</v>
      </c>
      <c r="D2" s="6">
        <v>2021</v>
      </c>
      <c r="E2" s="20">
        <v>7216.76</v>
      </c>
      <c r="F2" s="36">
        <v>815.71</v>
      </c>
      <c r="G2" s="36">
        <v>7.22</v>
      </c>
      <c r="H2" s="35">
        <v>1.5</v>
      </c>
      <c r="I2" s="35">
        <v>31.5</v>
      </c>
      <c r="J2" s="35">
        <v>53</v>
      </c>
      <c r="K2" s="6">
        <v>66</v>
      </c>
    </row>
    <row r="3" spans="1:12" x14ac:dyDescent="0.25">
      <c r="A3" s="17" t="s">
        <v>32</v>
      </c>
      <c r="B3" s="6">
        <f>B2+1</f>
        <v>2</v>
      </c>
      <c r="C3" s="6">
        <f>C2</f>
        <v>12</v>
      </c>
      <c r="D3" s="6">
        <v>2021</v>
      </c>
      <c r="E3" s="20">
        <v>7309.05</v>
      </c>
      <c r="F3" s="36">
        <v>794.26</v>
      </c>
      <c r="G3" s="36">
        <v>13.7</v>
      </c>
      <c r="H3" s="35">
        <v>1.58</v>
      </c>
      <c r="I3" s="35">
        <v>29.5</v>
      </c>
      <c r="J3" s="35">
        <v>57.5</v>
      </c>
      <c r="K3" s="6">
        <v>91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12</v>
      </c>
      <c r="D4" s="6">
        <v>2021</v>
      </c>
      <c r="E4" s="20">
        <v>7620.15</v>
      </c>
      <c r="F4" s="36">
        <v>773.25</v>
      </c>
      <c r="G4" s="36">
        <v>12.37</v>
      </c>
      <c r="H4" s="35">
        <v>2.02</v>
      </c>
      <c r="I4" s="35">
        <v>36</v>
      </c>
      <c r="J4" s="35">
        <v>53</v>
      </c>
      <c r="K4" s="6">
        <v>101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12</v>
      </c>
      <c r="D5" s="6">
        <v>2021</v>
      </c>
      <c r="E5" s="20">
        <v>7669.09</v>
      </c>
      <c r="F5" s="36">
        <v>689.38</v>
      </c>
      <c r="G5" s="36">
        <v>15.11</v>
      </c>
      <c r="H5" s="35">
        <v>1.87</v>
      </c>
      <c r="I5" s="35">
        <v>36</v>
      </c>
      <c r="J5" s="35">
        <v>62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12</v>
      </c>
      <c r="D6" s="6">
        <v>2021</v>
      </c>
      <c r="E6" s="20">
        <v>7244.1</v>
      </c>
      <c r="F6" s="36">
        <v>781.85</v>
      </c>
      <c r="G6" s="36">
        <v>15.6</v>
      </c>
      <c r="H6" s="35">
        <v>1.87</v>
      </c>
      <c r="I6" s="35">
        <v>30</v>
      </c>
      <c r="J6" s="35">
        <v>54.5</v>
      </c>
      <c r="K6" s="6">
        <v>87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12</v>
      </c>
      <c r="D7" s="6">
        <v>2021</v>
      </c>
      <c r="E7" s="20">
        <v>6930.38</v>
      </c>
      <c r="F7" s="36">
        <v>784.9</v>
      </c>
      <c r="G7" s="36">
        <v>21.91</v>
      </c>
      <c r="H7" s="35">
        <v>5.96</v>
      </c>
      <c r="I7" s="35">
        <v>32.5</v>
      </c>
      <c r="J7" s="35">
        <v>52</v>
      </c>
      <c r="K7" s="6">
        <v>91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12</v>
      </c>
      <c r="D8" s="6">
        <v>2021</v>
      </c>
      <c r="E8" s="20">
        <v>6994.01</v>
      </c>
      <c r="F8" s="36"/>
      <c r="G8" s="36"/>
      <c r="H8" s="35"/>
      <c r="I8" s="35"/>
      <c r="J8" s="35"/>
      <c r="K8" s="6">
        <v>80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12</v>
      </c>
      <c r="D9" s="6">
        <v>2021</v>
      </c>
      <c r="F9" s="36"/>
      <c r="G9" s="36"/>
      <c r="H9" s="35"/>
      <c r="I9" s="35"/>
      <c r="J9" s="35"/>
      <c r="K9" s="6"/>
    </row>
    <row r="10" spans="1:12" x14ac:dyDescent="0.25">
      <c r="A10" s="17" t="s">
        <v>32</v>
      </c>
      <c r="B10" s="6">
        <f t="shared" si="0"/>
        <v>9</v>
      </c>
      <c r="C10" s="6">
        <f t="shared" si="1"/>
        <v>12</v>
      </c>
      <c r="D10" s="6">
        <v>2021</v>
      </c>
      <c r="F10" s="35"/>
      <c r="G10" s="35"/>
      <c r="H10" s="35"/>
      <c r="I10" s="35"/>
      <c r="J10" s="35"/>
      <c r="K10" s="6"/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12</v>
      </c>
      <c r="D11" s="6">
        <v>2021</v>
      </c>
      <c r="F11" s="35"/>
      <c r="G11" s="35"/>
      <c r="H11" s="35"/>
      <c r="I11" s="36"/>
      <c r="J11" s="35"/>
      <c r="K11" s="37"/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12</v>
      </c>
      <c r="D12" s="6">
        <v>2021</v>
      </c>
      <c r="F12" s="35"/>
      <c r="G12" s="35"/>
      <c r="H12" s="35"/>
      <c r="I12" s="36"/>
      <c r="J12" s="35"/>
      <c r="K12" s="6"/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12</v>
      </c>
      <c r="D13" s="6">
        <v>2021</v>
      </c>
      <c r="E13" s="35"/>
      <c r="F13" s="35"/>
      <c r="G13" s="35"/>
      <c r="H13" s="35"/>
      <c r="I13" s="35"/>
      <c r="J13" s="35"/>
      <c r="K13" s="6"/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12</v>
      </c>
      <c r="D14" s="6">
        <v>2021</v>
      </c>
      <c r="E14" s="35"/>
      <c r="F14" s="35"/>
      <c r="G14" s="35"/>
      <c r="H14" s="35"/>
      <c r="I14" s="35"/>
      <c r="J14" s="35"/>
      <c r="K14" s="6"/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12</v>
      </c>
      <c r="D15" s="6">
        <v>2021</v>
      </c>
      <c r="E15" s="35"/>
      <c r="F15" s="35"/>
      <c r="G15" s="35"/>
      <c r="H15" s="35"/>
      <c r="I15" s="35"/>
      <c r="J15" s="35"/>
      <c r="K15" s="6"/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12</v>
      </c>
      <c r="D16" s="6">
        <v>2021</v>
      </c>
      <c r="E16" s="35"/>
      <c r="F16" s="35"/>
      <c r="G16" s="35"/>
      <c r="H16" s="35"/>
      <c r="I16" s="35"/>
      <c r="J16" s="35"/>
      <c r="K16" s="6"/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12</v>
      </c>
      <c r="D17" s="6">
        <v>2021</v>
      </c>
      <c r="E17" s="35"/>
      <c r="F17" s="35"/>
      <c r="G17" s="35"/>
      <c r="H17" s="35"/>
      <c r="I17" s="35"/>
      <c r="J17" s="35"/>
      <c r="K17" s="6"/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12</v>
      </c>
      <c r="D18" s="6">
        <v>2021</v>
      </c>
      <c r="E18" s="35"/>
      <c r="F18" s="35"/>
      <c r="G18" s="35"/>
      <c r="H18" s="35"/>
      <c r="I18" s="35"/>
      <c r="J18" s="35"/>
      <c r="K18" s="6"/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12</v>
      </c>
      <c r="D19" s="6">
        <v>2021</v>
      </c>
      <c r="E19" s="36"/>
      <c r="F19" s="35"/>
      <c r="G19" s="35"/>
      <c r="H19" s="35"/>
      <c r="I19" s="35"/>
      <c r="J19" s="35"/>
      <c r="K19" s="6"/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12</v>
      </c>
      <c r="D20" s="6">
        <v>2021</v>
      </c>
      <c r="E20" s="36"/>
      <c r="F20" s="35"/>
      <c r="G20" s="35"/>
      <c r="H20" s="35"/>
      <c r="I20" s="35"/>
      <c r="J20" s="36"/>
      <c r="K20" s="6"/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12</v>
      </c>
      <c r="D21" s="6">
        <v>2021</v>
      </c>
      <c r="E21" s="36"/>
      <c r="F21" s="35"/>
      <c r="G21" s="35"/>
      <c r="H21" s="35"/>
      <c r="I21" s="35"/>
      <c r="J21" s="35"/>
      <c r="K21" s="6"/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12</v>
      </c>
      <c r="D22" s="6">
        <v>2021</v>
      </c>
      <c r="E22" s="35"/>
      <c r="F22" s="35"/>
      <c r="G22" s="35"/>
      <c r="H22" s="35"/>
      <c r="I22" s="35"/>
      <c r="J22" s="35"/>
      <c r="K22" s="6"/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12</v>
      </c>
      <c r="D23" s="6">
        <v>2021</v>
      </c>
      <c r="E23" s="35"/>
      <c r="F23" s="35"/>
      <c r="G23" s="35"/>
      <c r="H23" s="35"/>
      <c r="I23" s="35"/>
      <c r="J23" s="35"/>
      <c r="K23" s="6"/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12</v>
      </c>
      <c r="D24" s="6">
        <v>2021</v>
      </c>
      <c r="E24" s="35"/>
      <c r="F24" s="35"/>
      <c r="G24" s="35"/>
      <c r="H24" s="35"/>
      <c r="I24" s="35"/>
      <c r="J24" s="35"/>
      <c r="K24" s="6"/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12</v>
      </c>
      <c r="D25" s="6">
        <v>2021</v>
      </c>
      <c r="E25" s="35"/>
      <c r="F25" s="35"/>
      <c r="G25" s="35"/>
      <c r="H25" s="35"/>
      <c r="I25" s="35"/>
      <c r="J25" s="35"/>
      <c r="K25" s="6"/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12</v>
      </c>
      <c r="D26" s="6">
        <v>2021</v>
      </c>
      <c r="E26" s="35"/>
      <c r="F26" s="35"/>
      <c r="G26" s="35"/>
      <c r="H26" s="35"/>
      <c r="I26" s="35"/>
      <c r="J26" s="35"/>
      <c r="K26" s="6"/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12</v>
      </c>
      <c r="D27" s="6">
        <v>2021</v>
      </c>
      <c r="E27" s="35"/>
      <c r="F27" s="35"/>
      <c r="G27" s="35"/>
      <c r="H27" s="35"/>
      <c r="I27" s="35"/>
      <c r="J27" s="35"/>
      <c r="K27" s="6"/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12</v>
      </c>
      <c r="D28" s="6">
        <v>2021</v>
      </c>
      <c r="E28" s="35"/>
      <c r="F28" s="35"/>
      <c r="G28" s="35"/>
      <c r="H28" s="35"/>
      <c r="I28" s="35"/>
      <c r="J28" s="35"/>
      <c r="K28" s="6"/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12</v>
      </c>
      <c r="D29" s="6">
        <v>2021</v>
      </c>
      <c r="E29" s="35"/>
      <c r="F29" s="35"/>
      <c r="G29" s="35"/>
      <c r="H29" s="35"/>
      <c r="I29" s="35"/>
      <c r="J29" s="35"/>
      <c r="K29" s="6"/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12</v>
      </c>
      <c r="D30" s="6">
        <v>2021</v>
      </c>
      <c r="E30" s="35"/>
      <c r="F30" s="35"/>
      <c r="G30" s="35"/>
      <c r="H30" s="35"/>
      <c r="I30" s="35"/>
      <c r="J30" s="35"/>
      <c r="K30" s="6"/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12</v>
      </c>
      <c r="D31" s="6">
        <v>2021</v>
      </c>
      <c r="E31" s="35"/>
      <c r="F31" s="35"/>
      <c r="G31" s="35"/>
      <c r="H31" s="35"/>
      <c r="I31" s="35"/>
      <c r="J31" s="35"/>
      <c r="K31" s="6"/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12</v>
      </c>
      <c r="D32" s="6">
        <v>2021</v>
      </c>
      <c r="E32" s="35"/>
      <c r="F32" s="35"/>
      <c r="G32" s="35"/>
      <c r="H32" s="35"/>
      <c r="I32" s="35"/>
      <c r="J32" s="35"/>
      <c r="K32" s="6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8"/>
      <c r="C1" s="1"/>
      <c r="D1" s="11"/>
      <c r="E1" s="1"/>
      <c r="F1" s="14"/>
      <c r="G1" s="1"/>
      <c r="H1" s="1"/>
      <c r="I1" s="39"/>
      <c r="J1" s="44"/>
      <c r="K1" s="45"/>
      <c r="L1" s="45"/>
      <c r="M1" s="45"/>
      <c r="N1" s="45"/>
      <c r="O1" s="45"/>
      <c r="P1" s="21"/>
      <c r="Q1" s="21"/>
    </row>
    <row r="2" spans="1:17" ht="35.25" customHeight="1" thickBot="1" x14ac:dyDescent="0.3">
      <c r="A2" s="19" t="s">
        <v>15</v>
      </c>
      <c r="B2" s="38"/>
      <c r="C2" s="48" t="s">
        <v>22</v>
      </c>
      <c r="D2" s="49"/>
      <c r="E2" s="42" t="s">
        <v>23</v>
      </c>
      <c r="F2" s="42"/>
      <c r="G2" s="42" t="s">
        <v>24</v>
      </c>
      <c r="H2" s="42"/>
      <c r="I2" s="40"/>
      <c r="J2" s="46" t="s">
        <v>27</v>
      </c>
      <c r="K2" s="47"/>
      <c r="L2" s="50" t="s">
        <v>28</v>
      </c>
      <c r="M2" s="50"/>
      <c r="N2" s="50" t="s">
        <v>29</v>
      </c>
      <c r="O2" s="50"/>
      <c r="P2" s="10"/>
      <c r="Q2" s="10"/>
    </row>
    <row r="3" spans="1:17" ht="44.25" customHeight="1" x14ac:dyDescent="0.25">
      <c r="A3" s="2" t="s">
        <v>0</v>
      </c>
      <c r="B3" s="3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8"/>
      <c r="C4" s="18">
        <v>22342913</v>
      </c>
      <c r="D4" s="43">
        <f>IF((C5-C4&lt;0), "",C5-C4)</f>
        <v>7975</v>
      </c>
      <c r="E4" s="18">
        <v>23837512</v>
      </c>
      <c r="F4" s="51">
        <f>IF((E5-E4&lt;0), "",E5-E4)</f>
        <v>5799</v>
      </c>
      <c r="G4" s="18">
        <v>9975816</v>
      </c>
      <c r="H4" s="43">
        <f>IF((G5-G4&lt;0), "",G5-G4)</f>
        <v>3477</v>
      </c>
      <c r="I4" s="40"/>
      <c r="J4" s="18"/>
      <c r="K4" s="43">
        <v>0</v>
      </c>
      <c r="L4" s="18"/>
      <c r="M4" s="43">
        <v>0</v>
      </c>
      <c r="N4" s="18">
        <v>75776</v>
      </c>
      <c r="O4" s="43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8"/>
      <c r="C5" s="18">
        <v>22350888</v>
      </c>
      <c r="D5" s="43"/>
      <c r="E5" s="18">
        <v>23843311</v>
      </c>
      <c r="F5" s="52"/>
      <c r="G5" s="18">
        <v>9979293</v>
      </c>
      <c r="H5" s="43"/>
      <c r="I5" s="40"/>
      <c r="J5" s="18">
        <v>0</v>
      </c>
      <c r="K5" s="43"/>
      <c r="L5" s="18">
        <v>0</v>
      </c>
      <c r="M5" s="43"/>
      <c r="N5" s="18">
        <v>75809</v>
      </c>
      <c r="O5" s="43"/>
      <c r="P5" s="23"/>
      <c r="Q5" s="23"/>
    </row>
    <row r="6" spans="1:17" ht="45" customHeight="1" x14ac:dyDescent="0.3">
      <c r="A6" s="7">
        <v>43557</v>
      </c>
      <c r="B6" s="3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2021-12-08T10:53:34Z</dcterms:modified>
</cp:coreProperties>
</file>