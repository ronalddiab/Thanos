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20\"/>
    </mc:Choice>
  </mc:AlternateContent>
  <xr:revisionPtr revIDLastSave="1" documentId="11_981D8AC9D2365D27C2F3EFBEFECAE39FB4F75728" xr6:coauthVersionLast="47" xr6:coauthVersionMax="47" xr10:uidLastSave="{97B6FB9A-86CF-4CDC-96C8-9376C8B713D6}"/>
  <bookViews>
    <workbookView xWindow="0" yWindow="0" windowWidth="28800" windowHeight="12435" tabRatio="762" firstSheet="1" xr2:uid="{00000000-000D-0000-FFFF-FFFF00000000}"/>
  </bookViews>
  <sheets>
    <sheet name="TOTAL" sheetId="11" r:id="rId1"/>
    <sheet name="FS Jimbaran January 2020" sheetId="14" r:id="rId2"/>
    <sheet name="RNs &amp; Covers January 2020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V12" i="14"/>
  <c r="J21" i="11" l="1"/>
  <c r="J22" i="11"/>
  <c r="J23" i="11"/>
  <c r="J24" i="11"/>
  <c r="J25" i="11"/>
  <c r="J26" i="11"/>
  <c r="J27" i="11"/>
  <c r="J28" i="11"/>
  <c r="J29" i="11"/>
  <c r="J30" i="11"/>
  <c r="J31" i="11"/>
  <c r="J32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AL31" i="14"/>
  <c r="AL32" i="14"/>
  <c r="AL33" i="14"/>
  <c r="AL34" i="14"/>
  <c r="AL35" i="14"/>
  <c r="AL36" i="14"/>
  <c r="AL37" i="14"/>
  <c r="AL38" i="14"/>
  <c r="AL39" i="14"/>
  <c r="AL40" i="14"/>
  <c r="AL41" i="14"/>
  <c r="AL42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H21" i="11"/>
  <c r="G23" i="11"/>
  <c r="G24" i="11"/>
  <c r="G25" i="11"/>
  <c r="G26" i="11"/>
  <c r="H27" i="11"/>
  <c r="H28" i="11"/>
  <c r="G29" i="11"/>
  <c r="G31" i="11"/>
  <c r="H26" i="11"/>
  <c r="G32" i="11"/>
  <c r="H32" i="11"/>
  <c r="H30" i="11"/>
  <c r="G30" i="11"/>
  <c r="H25" i="11"/>
  <c r="H24" i="11"/>
  <c r="G22" i="11"/>
  <c r="H22" i="11"/>
  <c r="AA31" i="14"/>
  <c r="AB31" i="14" s="1"/>
  <c r="AA32" i="14"/>
  <c r="AA33" i="14"/>
  <c r="AB33" i="14" s="1"/>
  <c r="AA34" i="14"/>
  <c r="AB34" i="14" s="1"/>
  <c r="AA35" i="14"/>
  <c r="AB35" i="14" s="1"/>
  <c r="AA36" i="14"/>
  <c r="AA37" i="14"/>
  <c r="AB37" i="14" s="1"/>
  <c r="AA38" i="14"/>
  <c r="AB38" i="14" s="1"/>
  <c r="AA39" i="14"/>
  <c r="AB39" i="14" s="1"/>
  <c r="AA40" i="14"/>
  <c r="AA41" i="14"/>
  <c r="AA42" i="14"/>
  <c r="AB42" i="14" s="1"/>
  <c r="V31" i="14"/>
  <c r="K21" i="11" s="1"/>
  <c r="V32" i="14"/>
  <c r="K22" i="11" s="1"/>
  <c r="V33" i="14"/>
  <c r="K23" i="11" s="1"/>
  <c r="V34" i="14"/>
  <c r="K24" i="11" s="1"/>
  <c r="V35" i="14"/>
  <c r="K25" i="11" s="1"/>
  <c r="V36" i="14"/>
  <c r="K26" i="11" s="1"/>
  <c r="V37" i="14"/>
  <c r="K27" i="11" s="1"/>
  <c r="V38" i="14"/>
  <c r="K28" i="11" s="1"/>
  <c r="V39" i="14"/>
  <c r="K29" i="11" s="1"/>
  <c r="V40" i="14"/>
  <c r="K30" i="11" s="1"/>
  <c r="V41" i="14"/>
  <c r="K31" i="11" s="1"/>
  <c r="V42" i="14"/>
  <c r="K32" i="11" s="1"/>
  <c r="N31" i="14"/>
  <c r="N32" i="14"/>
  <c r="N33" i="14"/>
  <c r="N34" i="14"/>
  <c r="N35" i="14"/>
  <c r="N36" i="14"/>
  <c r="N37" i="14"/>
  <c r="N38" i="14"/>
  <c r="N39" i="14"/>
  <c r="N40" i="14"/>
  <c r="N41" i="14"/>
  <c r="N42" i="14"/>
  <c r="P42" i="14"/>
  <c r="E32" i="11" s="1"/>
  <c r="I41" i="14"/>
  <c r="P41" i="14"/>
  <c r="E31" i="11" s="1"/>
  <c r="P40" i="14"/>
  <c r="E30" i="11" s="1"/>
  <c r="I39" i="14"/>
  <c r="O39" i="14" s="1"/>
  <c r="P38" i="14"/>
  <c r="E28" i="11" s="1"/>
  <c r="I38" i="14"/>
  <c r="P37" i="14"/>
  <c r="E27" i="11" s="1"/>
  <c r="I37" i="14"/>
  <c r="P36" i="14"/>
  <c r="E26" i="11" s="1"/>
  <c r="I35" i="14"/>
  <c r="O35" i="14" s="1"/>
  <c r="I34" i="14"/>
  <c r="O34" i="14" s="1"/>
  <c r="P33" i="14"/>
  <c r="E23" i="11" s="1"/>
  <c r="I32" i="14"/>
  <c r="O32" i="14" s="1"/>
  <c r="P30" i="14"/>
  <c r="E20" i="11" s="1"/>
  <c r="I29" i="14"/>
  <c r="P29" i="14"/>
  <c r="E19" i="11" s="1"/>
  <c r="P28" i="14"/>
  <c r="E18" i="11" s="1"/>
  <c r="I27" i="14"/>
  <c r="P27" i="14"/>
  <c r="E17" i="11" s="1"/>
  <c r="P26" i="14"/>
  <c r="E16" i="11" s="1"/>
  <c r="I26" i="14"/>
  <c r="I25" i="14"/>
  <c r="P25" i="14"/>
  <c r="E15" i="11" s="1"/>
  <c r="P24" i="14"/>
  <c r="E14" i="11" s="1"/>
  <c r="P23" i="14"/>
  <c r="E13" i="11" s="1"/>
  <c r="P22" i="14"/>
  <c r="E12" i="11" s="1"/>
  <c r="I22" i="14"/>
  <c r="P21" i="14"/>
  <c r="E11" i="11" s="1"/>
  <c r="I20" i="14"/>
  <c r="I19" i="14"/>
  <c r="P19" i="14"/>
  <c r="E9" i="11" s="1"/>
  <c r="I18" i="14"/>
  <c r="I17" i="14"/>
  <c r="P17" i="14"/>
  <c r="E7" i="11" s="1"/>
  <c r="P16" i="14"/>
  <c r="E6" i="11" s="1"/>
  <c r="I15" i="14"/>
  <c r="P15" i="14"/>
  <c r="E5" i="11" s="1"/>
  <c r="I13" i="14"/>
  <c r="P12" i="14"/>
  <c r="E2" i="11" s="1"/>
  <c r="E47" i="14"/>
  <c r="I40" i="14"/>
  <c r="O40" i="14" s="1"/>
  <c r="I42" i="14"/>
  <c r="AB41" i="14"/>
  <c r="P32" i="14"/>
  <c r="E22" i="11" s="1"/>
  <c r="P39" i="14"/>
  <c r="E29" i="11" s="1"/>
  <c r="AB40" i="14"/>
  <c r="AB32" i="14"/>
  <c r="C38" i="10"/>
  <c r="B38" i="10"/>
  <c r="V30" i="14"/>
  <c r="V29" i="14"/>
  <c r="V28" i="14"/>
  <c r="K18" i="11" s="1"/>
  <c r="V27" i="14"/>
  <c r="K17" i="11" s="1"/>
  <c r="V26" i="14"/>
  <c r="K16" i="11" s="1"/>
  <c r="V25" i="14"/>
  <c r="K15" i="11" s="1"/>
  <c r="V24" i="14"/>
  <c r="K14" i="11" s="1"/>
  <c r="V23" i="14"/>
  <c r="V22" i="14"/>
  <c r="K12" i="11" s="1"/>
  <c r="V21" i="14"/>
  <c r="K11" i="11" s="1"/>
  <c r="V20" i="14"/>
  <c r="K10" i="11" s="1"/>
  <c r="V19" i="14"/>
  <c r="K9" i="11" s="1"/>
  <c r="V18" i="14"/>
  <c r="K8" i="11" s="1"/>
  <c r="V17" i="14"/>
  <c r="K7" i="11" s="1"/>
  <c r="V16" i="14"/>
  <c r="K6" i="11" s="1"/>
  <c r="V15" i="14"/>
  <c r="V14" i="14"/>
  <c r="K4" i="11" s="1"/>
  <c r="V13" i="14"/>
  <c r="K3" i="11" s="1"/>
  <c r="K2" i="11"/>
  <c r="AJ47" i="14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H20" i="11"/>
  <c r="N30" i="14"/>
  <c r="I30" i="14"/>
  <c r="O30" i="14" s="1"/>
  <c r="AL29" i="14"/>
  <c r="G19" i="11"/>
  <c r="N29" i="14"/>
  <c r="AL28" i="14"/>
  <c r="G18" i="11"/>
  <c r="N28" i="14"/>
  <c r="I28" i="14"/>
  <c r="O28" i="14" s="1"/>
  <c r="H17" i="11"/>
  <c r="N27" i="14"/>
  <c r="AL26" i="14"/>
  <c r="AI26" i="14"/>
  <c r="G16" i="11"/>
  <c r="AL25" i="14"/>
  <c r="I15" i="11"/>
  <c r="N25" i="14"/>
  <c r="AL24" i="14"/>
  <c r="G14" i="11"/>
  <c r="N24" i="14"/>
  <c r="I24" i="14"/>
  <c r="AL23" i="14"/>
  <c r="H13" i="11"/>
  <c r="N23" i="14"/>
  <c r="G12" i="11"/>
  <c r="N22" i="14"/>
  <c r="H11" i="11"/>
  <c r="N21" i="14"/>
  <c r="AL20" i="14"/>
  <c r="AA20" i="14"/>
  <c r="N20" i="14"/>
  <c r="I9" i="11"/>
  <c r="G9" i="11"/>
  <c r="AA19" i="14"/>
  <c r="AB19" i="14" s="1"/>
  <c r="N19" i="14"/>
  <c r="AL18" i="14"/>
  <c r="H8" i="11"/>
  <c r="P18" i="14"/>
  <c r="E8" i="11" s="1"/>
  <c r="AL17" i="14"/>
  <c r="I7" i="11"/>
  <c r="H7" i="11"/>
  <c r="N17" i="14"/>
  <c r="AL16" i="14"/>
  <c r="N16" i="14"/>
  <c r="AL15" i="14"/>
  <c r="H5" i="11"/>
  <c r="N15" i="14"/>
  <c r="G4" i="11"/>
  <c r="N14" i="14"/>
  <c r="AL13" i="14"/>
  <c r="G3" i="11"/>
  <c r="N13" i="14"/>
  <c r="AI14" i="14"/>
  <c r="AI16" i="14"/>
  <c r="H6" i="11"/>
  <c r="G8" i="11"/>
  <c r="AI22" i="14"/>
  <c r="AI24" i="14"/>
  <c r="AI28" i="14"/>
  <c r="AI30" i="14"/>
  <c r="AI20" i="14"/>
  <c r="H10" i="11"/>
  <c r="AI27" i="14"/>
  <c r="AI25" i="14"/>
  <c r="H15" i="11"/>
  <c r="AI29" i="14"/>
  <c r="G20" i="11"/>
  <c r="G15" i="11"/>
  <c r="J13" i="11"/>
  <c r="J14" i="11"/>
  <c r="AL30" i="14"/>
  <c r="J6" i="11"/>
  <c r="J5" i="11"/>
  <c r="AL27" i="14"/>
  <c r="J17" i="11"/>
  <c r="G13" i="11"/>
  <c r="J4" i="11"/>
  <c r="AL14" i="14"/>
  <c r="AL21" i="14"/>
  <c r="J11" i="11"/>
  <c r="J12" i="11"/>
  <c r="AL22" i="14"/>
  <c r="J47" i="14"/>
  <c r="W47" i="14"/>
  <c r="AA13" i="14"/>
  <c r="AB13" i="14" s="1"/>
  <c r="AA15" i="14"/>
  <c r="AB15" i="14" s="1"/>
  <c r="AA17" i="14"/>
  <c r="AB17" i="14" s="1"/>
  <c r="AA23" i="14"/>
  <c r="AB23" i="14" s="1"/>
  <c r="J16" i="11"/>
  <c r="J8" i="11"/>
  <c r="G6" i="11"/>
  <c r="I12" i="11"/>
  <c r="I4" i="11"/>
  <c r="J15" i="11"/>
  <c r="I18" i="11"/>
  <c r="L47" i="14"/>
  <c r="P14" i="14"/>
  <c r="E4" i="11" s="1"/>
  <c r="P20" i="14"/>
  <c r="E10" i="11" s="1"/>
  <c r="AA29" i="14"/>
  <c r="AB29" i="14" s="1"/>
  <c r="I17" i="11"/>
  <c r="AF47" i="14"/>
  <c r="I10" i="11"/>
  <c r="M47" i="14"/>
  <c r="N18" i="14"/>
  <c r="I21" i="14"/>
  <c r="AA27" i="14"/>
  <c r="AB27" i="14" s="1"/>
  <c r="G10" i="11"/>
  <c r="I16" i="11"/>
  <c r="I8" i="11"/>
  <c r="J19" i="11"/>
  <c r="J3" i="11"/>
  <c r="K47" i="14"/>
  <c r="AA24" i="14"/>
  <c r="AB24" i="14" s="1"/>
  <c r="AA21" i="14"/>
  <c r="AB21" i="14" s="1"/>
  <c r="I23" i="14"/>
  <c r="J18" i="11"/>
  <c r="J10" i="11"/>
  <c r="K13" i="11"/>
  <c r="K5" i="11"/>
  <c r="AA25" i="14"/>
  <c r="AB25" i="14" s="1"/>
  <c r="AA14" i="14"/>
  <c r="AB14" i="14" s="1"/>
  <c r="N26" i="14"/>
  <c r="I14" i="11"/>
  <c r="I6" i="11"/>
  <c r="AA12" i="14"/>
  <c r="L2" i="11" s="1"/>
  <c r="AA18" i="14"/>
  <c r="AA26" i="14"/>
  <c r="AB26" i="14" s="1"/>
  <c r="AA22" i="14"/>
  <c r="AB22" i="14" s="1"/>
  <c r="N12" i="14"/>
  <c r="AA30" i="14"/>
  <c r="AB30" i="14" s="1"/>
  <c r="AA28" i="14"/>
  <c r="AB28" i="14" s="1"/>
  <c r="J2" i="11"/>
  <c r="AC47" i="14"/>
  <c r="AI18" i="14"/>
  <c r="AI19" i="14"/>
  <c r="AI13" i="14"/>
  <c r="AI15" i="14"/>
  <c r="X47" i="14"/>
  <c r="AI21" i="14"/>
  <c r="Y47" i="14"/>
  <c r="AI23" i="14"/>
  <c r="AI17" i="14"/>
  <c r="AL19" i="14"/>
  <c r="J9" i="11"/>
  <c r="AK47" i="14"/>
  <c r="AL47" i="14" s="1"/>
  <c r="AL12" i="14"/>
  <c r="AA16" i="14"/>
  <c r="AB16" i="14" s="1"/>
  <c r="AH47" i="14"/>
  <c r="AI47" i="14" s="1"/>
  <c r="AI12" i="14"/>
  <c r="Z47" i="14"/>
  <c r="U48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L8" i="11" l="1"/>
  <c r="L25" i="11"/>
  <c r="AB12" i="14"/>
  <c r="L26" i="11"/>
  <c r="H19" i="11"/>
  <c r="AG47" i="14"/>
  <c r="G27" i="11"/>
  <c r="G11" i="11"/>
  <c r="H12" i="11"/>
  <c r="O27" i="14"/>
  <c r="O25" i="14"/>
  <c r="L49" i="14"/>
  <c r="O37" i="14"/>
  <c r="F27" i="11" s="1"/>
  <c r="O24" i="14"/>
  <c r="F14" i="11" s="1"/>
  <c r="O20" i="14"/>
  <c r="O26" i="14"/>
  <c r="F16" i="11" s="1"/>
  <c r="O22" i="14"/>
  <c r="F12" i="11" s="1"/>
  <c r="O18" i="14"/>
  <c r="O15" i="14"/>
  <c r="F17" i="11"/>
  <c r="F8" i="11"/>
  <c r="F22" i="11"/>
  <c r="F15" i="11"/>
  <c r="F10" i="11"/>
  <c r="O42" i="14"/>
  <c r="F32" i="11" s="1"/>
  <c r="L15" i="11"/>
  <c r="AB36" i="14"/>
  <c r="L5" i="11"/>
  <c r="L28" i="11"/>
  <c r="AB18" i="14"/>
  <c r="L23" i="11"/>
  <c r="L3" i="11"/>
  <c r="F5" i="11"/>
  <c r="F20" i="11"/>
  <c r="O38" i="14"/>
  <c r="F28" i="11" s="1"/>
  <c r="L6" i="11"/>
  <c r="L9" i="11"/>
  <c r="L21" i="11"/>
  <c r="G21" i="11"/>
  <c r="G47" i="14"/>
  <c r="G49" i="14" s="1"/>
  <c r="N47" i="14"/>
  <c r="O13" i="14"/>
  <c r="G5" i="11"/>
  <c r="H29" i="11"/>
  <c r="L29" i="11"/>
  <c r="P35" i="14"/>
  <c r="E25" i="11" s="1"/>
  <c r="G28" i="11"/>
  <c r="L16" i="11"/>
  <c r="H2" i="11"/>
  <c r="H16" i="11"/>
  <c r="O23" i="14"/>
  <c r="F13" i="11" s="1"/>
  <c r="L19" i="11"/>
  <c r="I12" i="14"/>
  <c r="O12" i="14" s="1"/>
  <c r="I14" i="14"/>
  <c r="O14" i="14" s="1"/>
  <c r="F4" i="11" s="1"/>
  <c r="I16" i="14"/>
  <c r="O16" i="14" s="1"/>
  <c r="F6" i="11" s="1"/>
  <c r="F29" i="11"/>
  <c r="O41" i="14"/>
  <c r="F31" i="11" s="1"/>
  <c r="L32" i="11"/>
  <c r="G17" i="11"/>
  <c r="H14" i="11"/>
  <c r="O17" i="14"/>
  <c r="F7" i="11" s="1"/>
  <c r="O19" i="14"/>
  <c r="F9" i="11" s="1"/>
  <c r="O29" i="14"/>
  <c r="F19" i="11" s="1"/>
  <c r="L20" i="11"/>
  <c r="L31" i="11"/>
  <c r="L27" i="11"/>
  <c r="I31" i="14"/>
  <c r="O31" i="14" s="1"/>
  <c r="F18" i="11"/>
  <c r="F30" i="11"/>
  <c r="L14" i="11"/>
  <c r="G2" i="11"/>
  <c r="O21" i="14"/>
  <c r="F11" i="11" s="1"/>
  <c r="P31" i="14"/>
  <c r="E21" i="11" s="1"/>
  <c r="I33" i="14"/>
  <c r="O33" i="14" s="1"/>
  <c r="F23" i="11" s="1"/>
  <c r="P34" i="14"/>
  <c r="E24" i="11" s="1"/>
  <c r="I36" i="14"/>
  <c r="O36" i="14" s="1"/>
  <c r="F26" i="11" s="1"/>
  <c r="H47" i="14"/>
  <c r="K20" i="11"/>
  <c r="K19" i="11"/>
  <c r="L11" i="11"/>
  <c r="L18" i="11"/>
  <c r="L10" i="11"/>
  <c r="L24" i="11"/>
  <c r="H3" i="11"/>
  <c r="H4" i="11"/>
  <c r="L17" i="11"/>
  <c r="L13" i="11"/>
  <c r="AA47" i="14"/>
  <c r="V47" i="14"/>
  <c r="G7" i="11"/>
  <c r="AB20" i="14"/>
  <c r="L22" i="11"/>
  <c r="H23" i="11"/>
  <c r="H31" i="11"/>
  <c r="L7" i="11"/>
  <c r="L4" i="11"/>
  <c r="L12" i="11"/>
  <c r="P13" i="14"/>
  <c r="H9" i="11"/>
  <c r="H18" i="11"/>
  <c r="L30" i="11"/>
  <c r="F47" i="14"/>
  <c r="AA49" i="14" l="1"/>
  <c r="AB47" i="14"/>
  <c r="F21" i="11"/>
  <c r="I47" i="14"/>
  <c r="F25" i="11"/>
  <c r="F24" i="11"/>
  <c r="F3" i="11"/>
  <c r="E3" i="11"/>
  <c r="P47" i="14"/>
  <c r="O47" i="14"/>
  <c r="F2" i="11"/>
</calcChain>
</file>

<file path=xl/sharedStrings.xml><?xml version="1.0" encoding="utf-8"?>
<sst xmlns="http://schemas.openxmlformats.org/spreadsheetml/2006/main" count="100" uniqueCount="54">
  <si>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</si>
  <si>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</si>
  <si>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</si>
  <si>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</si>
  <si>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</si>
  <si>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</si>
  <si>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</si>
  <si>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</si>
  <si>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</si>
  <si>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</si>
  <si>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</si>
  <si>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</si>
  <si>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</si>
  <si>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</si>
  <si>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</si>
  <si>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</si>
  <si>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</si>
  <si>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JANUARY 2020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</si>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</sst>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Tahoma"/>
      <family val="2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41" fontId="17" fillId="0" borderId="0" applyFont="0" applyFill="0" applyBorder="0" applyAlignment="0" applyProtection="0"/>
    <xf numFmtId="0" fontId="17" fillId="0" borderId="0"/>
  </cellStyleXfs>
  <cellXfs count="266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2" fillId="11" borderId="45" xfId="0" applyFont="1" applyFill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3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3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5" fontId="10" fillId="0" borderId="23" xfId="0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2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5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5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6" fontId="0" fillId="0" borderId="56" xfId="2" applyNumberFormat="1" applyFont="1" applyBorder="1"/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Font="1" applyFill="1" applyBorder="1"/>
    <xf numFmtId="165" fontId="4" fillId="3" borderId="0" xfId="0" applyNumberFormat="1" applyFont="1" applyFill="1"/>
    <xf numFmtId="165" fontId="4" fillId="0" borderId="0" xfId="0" applyNumberFormat="1" applyFont="1"/>
    <xf numFmtId="44" fontId="4" fillId="0" borderId="0" xfId="1" applyFont="1" applyBorder="1"/>
    <xf numFmtId="167" fontId="4" fillId="0" borderId="0" xfId="0" applyNumberFormat="1" applyFont="1"/>
    <xf numFmtId="0" fontId="4" fillId="0" borderId="0" xfId="0" applyFont="1"/>
    <xf numFmtId="0" fontId="0" fillId="3" borderId="61" xfId="0" applyFill="1" applyBorder="1" applyAlignment="1">
      <alignment wrapText="1"/>
    </xf>
    <xf numFmtId="168" fontId="0" fillId="0" borderId="54" xfId="2" applyNumberFormat="1" applyFont="1" applyBorder="1"/>
    <xf numFmtId="168" fontId="0" fillId="0" borderId="38" xfId="2" applyNumberFormat="1" applyFont="1" applyBorder="1"/>
    <xf numFmtId="168" fontId="7" fillId="3" borderId="38" xfId="2" applyNumberFormat="1" applyFont="1" applyFill="1" applyBorder="1" applyAlignment="1">
      <alignment vertical="top" wrapText="1"/>
    </xf>
    <xf numFmtId="0" fontId="7" fillId="3" borderId="38" xfId="4" applyFill="1" applyBorder="1" applyAlignment="1">
      <alignment vertical="top" wrapText="1"/>
    </xf>
    <xf numFmtId="0" fontId="7" fillId="0" borderId="68" xfId="4" quotePrefix="1" applyBorder="1"/>
    <xf numFmtId="164" fontId="0" fillId="3" borderId="47" xfId="2" applyFont="1" applyFill="1" applyBorder="1"/>
    <xf numFmtId="164" fontId="0" fillId="3" borderId="39" xfId="2" applyFont="1" applyFill="1" applyBorder="1"/>
    <xf numFmtId="164" fontId="0" fillId="3" borderId="40" xfId="2" applyFont="1" applyFill="1" applyBorder="1"/>
    <xf numFmtId="164" fontId="0" fillId="3" borderId="53" xfId="2" applyFont="1" applyFill="1" applyBorder="1"/>
    <xf numFmtId="164" fontId="0" fillId="3" borderId="61" xfId="2" applyFont="1" applyFill="1" applyBorder="1"/>
    <xf numFmtId="164" fontId="0" fillId="3" borderId="66" xfId="2" applyFont="1" applyFill="1" applyBorder="1"/>
    <xf numFmtId="164" fontId="0" fillId="3" borderId="54" xfId="2" applyFont="1" applyFill="1" applyBorder="1"/>
    <xf numFmtId="164" fontId="0" fillId="3" borderId="38" xfId="2" applyFont="1" applyFill="1" applyBorder="1"/>
    <xf numFmtId="164" fontId="0" fillId="3" borderId="68" xfId="2" applyFont="1" applyFill="1" applyBorder="1"/>
    <xf numFmtId="0" fontId="7" fillId="3" borderId="61" xfId="4" quotePrefix="1" applyFill="1" applyBorder="1" applyAlignment="1"/>
    <xf numFmtId="168" fontId="18" fillId="3" borderId="38" xfId="2" applyNumberFormat="1" applyFont="1" applyFill="1" applyBorder="1" applyAlignment="1">
      <alignment vertical="top" wrapText="1"/>
    </xf>
    <xf numFmtId="168" fontId="7" fillId="3" borderId="38" xfId="4" quotePrefix="1" applyNumberFormat="1" applyFill="1" applyBorder="1" applyAlignment="1">
      <alignment vertical="top"/>
    </xf>
    <xf numFmtId="0" fontId="18" fillId="3" borderId="0" xfId="0" applyFont="1" applyFill="1"/>
    <xf numFmtId="165" fontId="18" fillId="0" borderId="0" xfId="2" applyNumberFormat="1" applyFont="1"/>
    <xf numFmtId="0" fontId="18" fillId="0" borderId="0" xfId="0" applyFont="1"/>
    <xf numFmtId="164" fontId="19" fillId="0" borderId="0" xfId="2" applyFont="1"/>
    <xf numFmtId="165" fontId="19" fillId="0" borderId="0" xfId="2" applyNumberFormat="1" applyFont="1"/>
    <xf numFmtId="168" fontId="18" fillId="0" borderId="0" xfId="2" applyNumberFormat="1" applyFont="1"/>
    <xf numFmtId="167" fontId="18" fillId="0" borderId="0" xfId="0" applyNumberFormat="1" applyFont="1"/>
    <xf numFmtId="3" fontId="20" fillId="13" borderId="69" xfId="0" applyNumberFormat="1" applyFont="1" applyFill="1" applyBorder="1"/>
    <xf numFmtId="3" fontId="20" fillId="13" borderId="71" xfId="0" applyNumberFormat="1" applyFont="1" applyFill="1" applyBorder="1"/>
    <xf numFmtId="1" fontId="20" fillId="13" borderId="46" xfId="0" applyNumberFormat="1" applyFont="1" applyFill="1" applyBorder="1"/>
    <xf numFmtId="1" fontId="20" fillId="13" borderId="70" xfId="0" applyNumberFormat="1" applyFont="1" applyFill="1" applyBorder="1"/>
    <xf numFmtId="166" fontId="21" fillId="0" borderId="8" xfId="0" applyNumberFormat="1" applyFont="1" applyBorder="1"/>
    <xf numFmtId="37" fontId="21" fillId="0" borderId="8" xfId="0" applyNumberFormat="1" applyFont="1" applyBorder="1"/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1" fillId="10" borderId="27" xfId="0" applyFont="1" applyFill="1" applyBorder="1" applyAlignment="1">
      <alignment horizontal="center" vertical="center" wrapText="1"/>
    </xf>
    <xf numFmtId="0" fontId="11" fillId="10" borderId="39" xfId="0" applyFont="1" applyFill="1" applyBorder="1" applyAlignment="1">
      <alignment horizontal="center" vertical="center" wrapText="1"/>
    </xf>
    <xf numFmtId="0" fontId="11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urrency" xfId="1" builtinId="4"/>
    <cellStyle name="Hyperlink" xfId="4" builtinId="8"/>
    <cellStyle name="Hyperlink 2" xfId="7" xr:uid="{00000000-0005-0000-0000-000006000000}"/>
    <cellStyle name="Normal" xfId="0" builtinId="0"/>
    <cellStyle name="Normal 2" xfId="9" xr:uid="{00000000-0005-0000-0000-000008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221120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3"/>
  <sheetViews>
    <sheetView tabSelected="1" workbookViewId="0">
      <selection activeCell="I2" sqref="I2"/>
    </sheetView>
  </sheetViews>
  <sheetFormatPr defaultColWidth="11.5703125" defaultRowHeight="15"/>
  <cols>
    <col min="1" max="1" width="18.42578125" style="167" customWidth="1"/>
    <col min="2" max="2" width="11.5703125" style="168"/>
    <col min="3" max="3" width="11.5703125" style="169"/>
    <col min="4" max="4" width="13.42578125" style="168" customWidth="1"/>
    <col min="5" max="5" width="12.5703125" style="166" customWidth="1"/>
    <col min="6" max="6" width="12.5703125" style="170" customWidth="1"/>
    <col min="7" max="7" width="11.5703125" style="166"/>
    <col min="8" max="8" width="11.5703125" style="170"/>
    <col min="9" max="9" width="11.5703125" style="171"/>
    <col min="10" max="10" width="11.5703125" style="172"/>
    <col min="11" max="11" width="11.5703125" style="166"/>
    <col min="12" max="12" width="11.5703125" style="172"/>
    <col min="13" max="26" width="11.5703125" style="166"/>
  </cols>
  <sheetData>
    <row r="1" spans="1:15" s="160" customFormat="1" ht="60.75">
      <c r="A1" s="156" t="s">
        <v>0</v>
      </c>
      <c r="B1" s="156" t="s">
        <v>1</v>
      </c>
      <c r="C1" s="157" t="s">
        <v>2</v>
      </c>
      <c r="D1" s="156" t="s">
        <v>3</v>
      </c>
      <c r="E1" s="155" t="s">
        <v>4</v>
      </c>
      <c r="F1" s="158" t="s">
        <v>5</v>
      </c>
      <c r="G1" s="155" t="s">
        <v>6</v>
      </c>
      <c r="H1" s="158" t="s">
        <v>7</v>
      </c>
      <c r="I1" s="155" t="s">
        <v>8</v>
      </c>
      <c r="J1" s="158" t="s">
        <v>9</v>
      </c>
      <c r="K1" s="155" t="s">
        <v>10</v>
      </c>
      <c r="L1" s="159" t="s">
        <v>11</v>
      </c>
      <c r="M1" s="155" t="s">
        <v>12</v>
      </c>
      <c r="N1" s="155" t="s">
        <v>13</v>
      </c>
    </row>
    <row r="2" spans="1:15">
      <c r="A2" s="161" t="s">
        <v>14</v>
      </c>
      <c r="B2" s="162">
        <v>1</v>
      </c>
      <c r="C2" s="163">
        <v>1</v>
      </c>
      <c r="D2" s="162">
        <v>2020</v>
      </c>
      <c r="E2" s="164">
        <f>'FS Jimbaran January 2020'!P12</f>
        <v>13060.000000000016</v>
      </c>
      <c r="F2" s="173">
        <f>'FS Jimbaran January 2020'!O12/'FS Jimbaran January 2020'!P12</f>
        <v>1131.744303215926</v>
      </c>
      <c r="G2" s="164">
        <f>'FS Jimbaran January 2020'!AG12</f>
        <v>126.35836000003985</v>
      </c>
      <c r="H2" s="173">
        <f>'FS Jimbaran January 2020'!AH12/'FS Jimbaran January 2020'!AG12</f>
        <v>9196</v>
      </c>
      <c r="I2" s="164">
        <f>'FS Jimbaran January 2020'!AJ12</f>
        <v>435.59999999999854</v>
      </c>
      <c r="J2" s="165">
        <f>'FS Jimbaran January 2020'!AK12/'FS Jimbaran January 2020'!AJ12</f>
        <v>10500</v>
      </c>
      <c r="K2" s="164">
        <f>'FS Jimbaran January 2020'!V12</f>
        <v>919.37</v>
      </c>
      <c r="L2" s="173">
        <f>'FS Jimbaran January 2020'!AA12/'FS Jimbaran January 2020'!V12</f>
        <v>184.37407550822849</v>
      </c>
      <c r="M2" s="164">
        <v>42</v>
      </c>
      <c r="N2" s="164">
        <v>423</v>
      </c>
    </row>
    <row r="3" spans="1:15">
      <c r="A3" s="161" t="s">
        <v>14</v>
      </c>
      <c r="B3" s="162">
        <f>B2+1</f>
        <v>2</v>
      </c>
      <c r="C3" s="163">
        <v>1</v>
      </c>
      <c r="D3" s="162">
        <v>2020</v>
      </c>
      <c r="E3" s="164">
        <f>'FS Jimbaran January 2020'!P13</f>
        <v>12440.000000000022</v>
      </c>
      <c r="F3" s="173">
        <f>'FS Jimbaran January 2020'!O13/'FS Jimbaran January 2020'!P13</f>
        <v>1124.8704019292602</v>
      </c>
      <c r="G3" s="164">
        <f>'FS Jimbaran January 2020'!AG13</f>
        <v>132.68231999995075</v>
      </c>
      <c r="H3" s="173">
        <f>'FS Jimbaran January 2020'!AH13/'FS Jimbaran January 2020'!AG13</f>
        <v>9196</v>
      </c>
      <c r="I3" s="164">
        <f>'FS Jimbaran January 2020'!AJ13</f>
        <v>510.70999999997002</v>
      </c>
      <c r="J3" s="165">
        <f>'FS Jimbaran January 2020'!AK13/'FS Jimbaran January 2020'!AJ13</f>
        <v>10500</v>
      </c>
      <c r="K3" s="164">
        <f>'FS Jimbaran January 2020'!V13</f>
        <v>967.43</v>
      </c>
      <c r="L3" s="173">
        <f>'FS Jimbaran January 2020'!AA13/'FS Jimbaran January 2020'!V13</f>
        <v>224.81045078196877</v>
      </c>
      <c r="M3" s="164">
        <v>37</v>
      </c>
      <c r="N3" s="164">
        <v>341</v>
      </c>
    </row>
    <row r="4" spans="1:15">
      <c r="A4" s="161" t="s">
        <v>14</v>
      </c>
      <c r="B4" s="162">
        <f t="shared" ref="B4:B31" si="0">B3+1</f>
        <v>3</v>
      </c>
      <c r="C4" s="163">
        <v>1</v>
      </c>
      <c r="D4" s="162">
        <v>2020</v>
      </c>
      <c r="E4" s="164">
        <f>'FS Jimbaran January 2020'!P14</f>
        <v>13107.999999999971</v>
      </c>
      <c r="F4" s="173">
        <f>'FS Jimbaran January 2020'!O14/'FS Jimbaran January 2020'!P14</f>
        <v>1128.0740982606046</v>
      </c>
      <c r="G4" s="164">
        <f>'FS Jimbaran January 2020'!AG14</f>
        <v>351.1674000000117</v>
      </c>
      <c r="H4" s="173">
        <f>'FS Jimbaran January 2020'!AH14/'FS Jimbaran January 2020'!AG14</f>
        <v>10015.973608028507</v>
      </c>
      <c r="I4" s="164">
        <f>'FS Jimbaran January 2020'!AJ14</f>
        <v>491.36000000000058</v>
      </c>
      <c r="J4" s="165">
        <f>'FS Jimbaran January 2020'!AK14/'FS Jimbaran January 2020'!AJ14</f>
        <v>10500</v>
      </c>
      <c r="K4" s="164">
        <f>'FS Jimbaran January 2020'!V14</f>
        <v>935.39</v>
      </c>
      <c r="L4" s="173">
        <f>'FS Jimbaran January 2020'!AA14/'FS Jimbaran January 2020'!V14</f>
        <v>78.627345385347311</v>
      </c>
      <c r="M4" s="164">
        <v>29</v>
      </c>
      <c r="N4" s="164">
        <v>252</v>
      </c>
    </row>
    <row r="5" spans="1:15">
      <c r="A5" s="161" t="s">
        <v>14</v>
      </c>
      <c r="B5" s="162">
        <f t="shared" si="0"/>
        <v>4</v>
      </c>
      <c r="C5" s="163">
        <v>1</v>
      </c>
      <c r="D5" s="162">
        <v>2020</v>
      </c>
      <c r="E5" s="164">
        <f>'FS Jimbaran January 2020'!P15</f>
        <v>13160.000000000044</v>
      </c>
      <c r="F5" s="173">
        <f>'FS Jimbaran January 2020'!O15/'FS Jimbaran January 2020'!P15</f>
        <v>1129.4409574468084</v>
      </c>
      <c r="G5" s="164">
        <f>'FS Jimbaran January 2020'!AG15</f>
        <v>36</v>
      </c>
      <c r="H5" s="173">
        <f>'FS Jimbaran January 2020'!AH15/'FS Jimbaran January 2020'!AG15</f>
        <v>11625</v>
      </c>
      <c r="I5" s="164">
        <f>'FS Jimbaran January 2020'!AJ15</f>
        <v>432.86000000000058</v>
      </c>
      <c r="J5" s="165">
        <f>'FS Jimbaran January 2020'!AK15/'FS Jimbaran January 2020'!AJ15</f>
        <v>10500.000000000002</v>
      </c>
      <c r="K5" s="164">
        <f>'FS Jimbaran January 2020'!V15</f>
        <v>926.49</v>
      </c>
      <c r="L5" s="173">
        <f>'FS Jimbaran January 2020'!AA15/'FS Jimbaran January 2020'!V15</f>
        <v>810.69048991354475</v>
      </c>
      <c r="M5" s="164">
        <v>23</v>
      </c>
      <c r="N5" s="164">
        <v>199</v>
      </c>
    </row>
    <row r="6" spans="1:15">
      <c r="A6" s="161" t="s">
        <v>14</v>
      </c>
      <c r="B6" s="162">
        <f t="shared" si="0"/>
        <v>5</v>
      </c>
      <c r="C6" s="163">
        <v>1</v>
      </c>
      <c r="D6" s="162">
        <v>2020</v>
      </c>
      <c r="E6" s="164">
        <f>'FS Jimbaran January 2020'!P16</f>
        <v>13599.999999999993</v>
      </c>
      <c r="F6" s="173">
        <f>'FS Jimbaran January 2020'!O16/'FS Jimbaran January 2020'!P16</f>
        <v>1123.3643382352939</v>
      </c>
      <c r="G6" s="164">
        <f>'FS Jimbaran January 2020'!AG16</f>
        <v>319.73303999997188</v>
      </c>
      <c r="H6" s="173">
        <f>'FS Jimbaran January 2020'!AH16/'FS Jimbaran January 2020'!AG16</f>
        <v>9985.3960536578325</v>
      </c>
      <c r="I6" s="164">
        <f>'FS Jimbaran January 2020'!AJ16</f>
        <v>467.39999999999782</v>
      </c>
      <c r="J6" s="165">
        <f>'FS Jimbaran January 2020'!AK16/'FS Jimbaran January 2020'!AJ16</f>
        <v>10500</v>
      </c>
      <c r="K6" s="164">
        <f>'FS Jimbaran January 2020'!V16</f>
        <v>937.17000000000007</v>
      </c>
      <c r="L6" s="173">
        <f>'FS Jimbaran January 2020'!AA16/'FS Jimbaran January 2020'!V16</f>
        <v>334.61532763532762</v>
      </c>
      <c r="M6" s="164">
        <v>18</v>
      </c>
      <c r="N6" s="164">
        <v>137</v>
      </c>
    </row>
    <row r="7" spans="1:15">
      <c r="A7" s="161" t="s">
        <v>14</v>
      </c>
      <c r="B7" s="162">
        <f t="shared" si="0"/>
        <v>6</v>
      </c>
      <c r="C7" s="163">
        <v>1</v>
      </c>
      <c r="D7" s="162">
        <v>2020</v>
      </c>
      <c r="E7" s="164">
        <f>'FS Jimbaran January 2020'!P17</f>
        <v>13519.99999999996</v>
      </c>
      <c r="F7" s="173">
        <f>'FS Jimbaran January 2020'!O17/'FS Jimbaran January 2020'!P17</f>
        <v>1123.8825887573967</v>
      </c>
      <c r="G7" s="164">
        <f>'FS Jimbaran January 2020'!AG17</f>
        <v>120.79972000002108</v>
      </c>
      <c r="H7" s="173">
        <f>'FS Jimbaran January 2020'!AH17/'FS Jimbaran January 2020'!AG17</f>
        <v>9196</v>
      </c>
      <c r="I7" s="164">
        <f>'FS Jimbaran January 2020'!AJ17</f>
        <v>387.34000000000015</v>
      </c>
      <c r="J7" s="165">
        <f>'FS Jimbaran January 2020'!AK17/'FS Jimbaran January 2020'!AJ17</f>
        <v>10500</v>
      </c>
      <c r="K7" s="164">
        <f>'FS Jimbaran January 2020'!V17</f>
        <v>833.93</v>
      </c>
      <c r="L7" s="173">
        <f>'FS Jimbaran January 2020'!AA17/'FS Jimbaran January 2020'!V17</f>
        <v>348.85684098185703</v>
      </c>
      <c r="M7" s="164">
        <v>14</v>
      </c>
      <c r="N7" s="164">
        <v>168</v>
      </c>
    </row>
    <row r="8" spans="1:15">
      <c r="A8" s="161" t="s">
        <v>14</v>
      </c>
      <c r="B8" s="162">
        <f t="shared" si="0"/>
        <v>7</v>
      </c>
      <c r="C8" s="163">
        <v>1</v>
      </c>
      <c r="D8" s="162">
        <v>2020</v>
      </c>
      <c r="E8" s="164">
        <f>'FS Jimbaran January 2020'!P18</f>
        <v>14320.00000000004</v>
      </c>
      <c r="F8" s="173">
        <f>'FS Jimbaran January 2020'!O18/'FS Jimbaran January 2020'!P18</f>
        <v>1126.9170670391059</v>
      </c>
      <c r="G8" s="164">
        <f>'FS Jimbaran January 2020'!AG18</f>
        <v>160.02555999995778</v>
      </c>
      <c r="H8" s="173">
        <f>'FS Jimbaran January 2020'!AH18/'FS Jimbaran January 2020'!AG18</f>
        <v>9560.2918043843456</v>
      </c>
      <c r="I8" s="164">
        <f>'FS Jimbaran January 2020'!AJ18</f>
        <v>320.78000000000247</v>
      </c>
      <c r="J8" s="165">
        <f>'FS Jimbaran January 2020'!AK18/'FS Jimbaran January 2020'!AJ18</f>
        <v>10500</v>
      </c>
      <c r="K8" s="164">
        <f>'FS Jimbaran January 2020'!V18</f>
        <v>979.89</v>
      </c>
      <c r="L8" s="173">
        <f>'FS Jimbaran January 2020'!AA18/'FS Jimbaran January 2020'!V18</f>
        <v>73.259237057220716</v>
      </c>
      <c r="M8" s="164">
        <v>14</v>
      </c>
      <c r="N8" s="164">
        <v>131</v>
      </c>
    </row>
    <row r="9" spans="1:15">
      <c r="A9" s="161" t="s">
        <v>14</v>
      </c>
      <c r="B9" s="162">
        <f t="shared" si="0"/>
        <v>8</v>
      </c>
      <c r="C9" s="163">
        <v>1</v>
      </c>
      <c r="D9" s="162">
        <v>2020</v>
      </c>
      <c r="E9" s="164">
        <f>'FS Jimbaran January 2020'!P19</f>
        <v>14239.999999999989</v>
      </c>
      <c r="F9" s="173">
        <f>'FS Jimbaran January 2020'!O19/'FS Jimbaran January 2020'!P19</f>
        <v>1135.4301825842697</v>
      </c>
      <c r="G9" s="164">
        <f>'FS Jimbaran January 2020'!AG19</f>
        <v>665.78216000000464</v>
      </c>
      <c r="H9" s="173">
        <f>'FS Jimbaran January 2020'!AH19/'FS Jimbaran January 2020'!AG19</f>
        <v>10299.129588212449</v>
      </c>
      <c r="I9" s="164">
        <f>'FS Jimbaran January 2020'!AJ19</f>
        <v>445.09000000000015</v>
      </c>
      <c r="J9" s="165">
        <f>'FS Jimbaran January 2020'!AK19/'FS Jimbaran January 2020'!AJ19</f>
        <v>10500</v>
      </c>
      <c r="K9" s="164">
        <f>'FS Jimbaran January 2020'!V19</f>
        <v>968.32</v>
      </c>
      <c r="L9" s="173">
        <f>'FS Jimbaran January 2020'!AA19/'FS Jimbaran January 2020'!V19</f>
        <v>187.28735294117647</v>
      </c>
      <c r="M9" s="164">
        <v>13</v>
      </c>
      <c r="N9" s="164">
        <v>125</v>
      </c>
      <c r="O9" s="166" t="s">
        <v>15</v>
      </c>
    </row>
    <row r="10" spans="1:15">
      <c r="A10" s="161" t="s">
        <v>14</v>
      </c>
      <c r="B10" s="162">
        <f t="shared" si="0"/>
        <v>9</v>
      </c>
      <c r="C10" s="163">
        <v>1</v>
      </c>
      <c r="D10" s="162">
        <v>2020</v>
      </c>
      <c r="E10" s="164">
        <f>'FS Jimbaran January 2020'!P20</f>
        <v>14899.999999999975</v>
      </c>
      <c r="F10" s="173">
        <f>'FS Jimbaran January 2020'!O20/'FS Jimbaran January 2020'!P20</f>
        <v>1125.4549127516777</v>
      </c>
      <c r="G10" s="164">
        <f>'FS Jimbaran January 2020'!AG20</f>
        <v>191.86272000002108</v>
      </c>
      <c r="H10" s="173">
        <f>'FS Jimbaran January 2020'!AH20/'FS Jimbaran January 2020'!AG20</f>
        <v>9685.1414027695919</v>
      </c>
      <c r="I10" s="164">
        <f>'FS Jimbaran January 2020'!AJ20</f>
        <v>756.49000000000888</v>
      </c>
      <c r="J10" s="165">
        <f>'FS Jimbaran January 2020'!AK20/'FS Jimbaran January 2020'!AJ20</f>
        <v>10500</v>
      </c>
      <c r="K10" s="164">
        <f>'FS Jimbaran January 2020'!V20</f>
        <v>941.62</v>
      </c>
      <c r="L10" s="173">
        <f>'FS Jimbaran January 2020'!AA20/'FS Jimbaran January 2020'!V20</f>
        <v>589.83124763705121</v>
      </c>
      <c r="M10" s="164">
        <v>11</v>
      </c>
      <c r="N10" s="164">
        <v>146</v>
      </c>
    </row>
    <row r="11" spans="1:15">
      <c r="A11" s="161" t="s">
        <v>14</v>
      </c>
      <c r="B11" s="162">
        <f t="shared" si="0"/>
        <v>10</v>
      </c>
      <c r="C11" s="163">
        <v>1</v>
      </c>
      <c r="D11" s="162">
        <v>2020</v>
      </c>
      <c r="E11" s="164">
        <f>'FS Jimbaran January 2020'!P21</f>
        <v>15280.000000000065</v>
      </c>
      <c r="F11" s="173">
        <f>'FS Jimbaran January 2020'!O21/'FS Jimbaran January 2020'!P21</f>
        <v>1126.6141099476436</v>
      </c>
      <c r="G11" s="164">
        <f>'FS Jimbaran January 2020'!AG21</f>
        <v>138.51948000001406</v>
      </c>
      <c r="H11" s="173">
        <f>'FS Jimbaran January 2020'!AH21/'FS Jimbaran January 2020'!AG21</f>
        <v>9406.4252773689077</v>
      </c>
      <c r="I11" s="164">
        <f>'FS Jimbaran January 2020'!AJ21</f>
        <v>461.10000000000218</v>
      </c>
      <c r="J11" s="165">
        <f>'FS Jimbaran January 2020'!AK21/'FS Jimbaran January 2020'!AJ21</f>
        <v>10500</v>
      </c>
      <c r="K11" s="164">
        <f>'FS Jimbaran January 2020'!V21</f>
        <v>891.78000000000009</v>
      </c>
      <c r="L11" s="173">
        <f>'FS Jimbaran January 2020'!AA21/'FS Jimbaran January 2020'!V21</f>
        <v>478.74784431137726</v>
      </c>
      <c r="M11" s="164">
        <v>10</v>
      </c>
      <c r="N11" s="164">
        <v>116</v>
      </c>
    </row>
    <row r="12" spans="1:15">
      <c r="A12" s="161" t="s">
        <v>14</v>
      </c>
      <c r="B12" s="162">
        <f t="shared" si="0"/>
        <v>11</v>
      </c>
      <c r="C12" s="163">
        <v>1</v>
      </c>
      <c r="D12" s="162">
        <v>2020</v>
      </c>
      <c r="E12" s="164">
        <f>'FS Jimbaran January 2020'!P22</f>
        <v>15499.999999999924</v>
      </c>
      <c r="F12" s="173">
        <f>'FS Jimbaran January 2020'!O22/'FS Jimbaran January 2020'!P22</f>
        <v>1117.9741548387105</v>
      </c>
      <c r="G12" s="164">
        <f>'FS Jimbaran January 2020'!AG22</f>
        <v>128.93627999997889</v>
      </c>
      <c r="H12" s="173">
        <f>'FS Jimbaran January 2020'!AH22/'FS Jimbaran January 2020'!AG22</f>
        <v>9196</v>
      </c>
      <c r="I12" s="164">
        <f>'FS Jimbaran January 2020'!AJ22</f>
        <v>412.70000000000073</v>
      </c>
      <c r="J12" s="165">
        <f>'FS Jimbaran January 2020'!AK22/'FS Jimbaran January 2020'!AJ22</f>
        <v>10500</v>
      </c>
      <c r="K12" s="164">
        <f>'FS Jimbaran January 2020'!V22</f>
        <v>889.11000000000013</v>
      </c>
      <c r="L12" s="173">
        <f>'FS Jimbaran January 2020'!AA22/'FS Jimbaran January 2020'!V22</f>
        <v>800.01075075075073</v>
      </c>
      <c r="M12" s="164">
        <v>11</v>
      </c>
      <c r="N12" s="164">
        <v>79</v>
      </c>
    </row>
    <row r="13" spans="1:15">
      <c r="A13" s="161" t="s">
        <v>14</v>
      </c>
      <c r="B13" s="162">
        <f t="shared" si="0"/>
        <v>12</v>
      </c>
      <c r="C13" s="163">
        <v>1</v>
      </c>
      <c r="D13" s="162">
        <v>2020</v>
      </c>
      <c r="E13" s="164">
        <f>'FS Jimbaran January 2020'!P23</f>
        <v>12783.999999999998</v>
      </c>
      <c r="F13" s="173">
        <f>'FS Jimbaran January 2020'!O23/'FS Jimbaran January 2020'!P23</f>
        <v>1089.4162922403002</v>
      </c>
      <c r="G13" s="164">
        <f>'FS Jimbaran January 2020'!AG23</f>
        <v>330.0204000000117</v>
      </c>
      <c r="H13" s="173">
        <f>'FS Jimbaran January 2020'!AH23/'FS Jimbaran January 2020'!AG23</f>
        <v>10068.515759631799</v>
      </c>
      <c r="I13" s="164">
        <f>'FS Jimbaran January 2020'!AJ23</f>
        <v>370</v>
      </c>
      <c r="J13" s="165">
        <f>'FS Jimbaran January 2020'!AK23/'FS Jimbaran January 2020'!AJ23</f>
        <v>10500</v>
      </c>
      <c r="K13" s="164">
        <f>'FS Jimbaran January 2020'!V23</f>
        <v>889.1099999999999</v>
      </c>
      <c r="L13" s="173">
        <f>'FS Jimbaran January 2020'!AA23/'FS Jimbaran January 2020'!V23</f>
        <v>440.50252252252261</v>
      </c>
      <c r="M13" s="164">
        <v>10</v>
      </c>
      <c r="N13" s="164">
        <v>85</v>
      </c>
    </row>
    <row r="14" spans="1:15">
      <c r="A14" s="161" t="s">
        <v>14</v>
      </c>
      <c r="B14" s="162">
        <f t="shared" si="0"/>
        <v>13</v>
      </c>
      <c r="C14" s="163">
        <v>1</v>
      </c>
      <c r="D14" s="162">
        <v>2020</v>
      </c>
      <c r="E14" s="164">
        <f>'FS Jimbaran January 2020'!P24</f>
        <v>15136.000000000009</v>
      </c>
      <c r="F14" s="173">
        <f>'FS Jimbaran January 2020'!O24/'FS Jimbaran January 2020'!P24</f>
        <v>1158.8199339323467</v>
      </c>
      <c r="G14" s="164">
        <f>'FS Jimbaran January 2020'!AG24</f>
        <v>124.74716000000467</v>
      </c>
      <c r="H14" s="173">
        <f>'FS Jimbaran January 2020'!AH24/'FS Jimbaran January 2020'!AG24</f>
        <v>9196</v>
      </c>
      <c r="I14" s="164">
        <f>'FS Jimbaran January 2020'!AJ24</f>
        <v>507</v>
      </c>
      <c r="J14" s="165">
        <f>'FS Jimbaran January 2020'!AK24/'FS Jimbaran January 2020'!AJ24</f>
        <v>10500</v>
      </c>
      <c r="K14" s="164">
        <f>'FS Jimbaran January 2020'!V24</f>
        <v>833.04</v>
      </c>
      <c r="L14" s="173">
        <f>'FS Jimbaran January 2020'!AA24/'FS Jimbaran January 2020'!V24</f>
        <v>158.74070512820515</v>
      </c>
      <c r="M14" s="164">
        <v>10</v>
      </c>
      <c r="N14" s="164">
        <v>81</v>
      </c>
    </row>
    <row r="15" spans="1:15">
      <c r="A15" s="161" t="s">
        <v>14</v>
      </c>
      <c r="B15" s="162">
        <f t="shared" si="0"/>
        <v>14</v>
      </c>
      <c r="C15" s="163">
        <v>1</v>
      </c>
      <c r="D15" s="162">
        <v>2020</v>
      </c>
      <c r="E15" s="164">
        <f>'FS Jimbaran January 2020'!P25</f>
        <v>16320.000000000055</v>
      </c>
      <c r="F15" s="173">
        <f>'FS Jimbaran January 2020'!O25/'FS Jimbaran January 2020'!P25</f>
        <v>1108.7669485294116</v>
      </c>
      <c r="G15" s="164">
        <f>'FS Jimbaran January 2020'!AG25</f>
        <v>292.70859999998822</v>
      </c>
      <c r="H15" s="173">
        <f>'FS Jimbaran January 2020'!AH25/'FS Jimbaran January 2020'!AG25</f>
        <v>9958.697098752853</v>
      </c>
      <c r="I15" s="164">
        <f>'FS Jimbaran January 2020'!AJ25</f>
        <v>313.29999999999927</v>
      </c>
      <c r="J15" s="165">
        <f>'FS Jimbaran January 2020'!AK25/'FS Jimbaran January 2020'!AJ25</f>
        <v>10500</v>
      </c>
      <c r="K15" s="164">
        <f>'FS Jimbaran January 2020'!V25</f>
        <v>938.06000000000006</v>
      </c>
      <c r="L15" s="173">
        <f>'FS Jimbaran January 2020'!AA25/'FS Jimbaran January 2020'!V25</f>
        <v>92.636755218216308</v>
      </c>
      <c r="M15" s="164">
        <v>9</v>
      </c>
      <c r="N15" s="164">
        <v>82</v>
      </c>
    </row>
    <row r="16" spans="1:15">
      <c r="A16" s="161" t="s">
        <v>14</v>
      </c>
      <c r="B16" s="162">
        <f t="shared" si="0"/>
        <v>15</v>
      </c>
      <c r="C16" s="163">
        <v>1</v>
      </c>
      <c r="D16" s="162">
        <v>2020</v>
      </c>
      <c r="E16" s="164">
        <f>'FS Jimbaran January 2020'!P26</f>
        <v>14340.000000000022</v>
      </c>
      <c r="F16" s="173">
        <f>'FS Jimbaran January 2020'!O26/'FS Jimbaran January 2020'!P26</f>
        <v>1128.234560669456</v>
      </c>
      <c r="G16" s="164">
        <f>'FS Jimbaran January 2020'!AG26</f>
        <v>145.64904000003045</v>
      </c>
      <c r="H16" s="173">
        <f>'FS Jimbaran January 2020'!AH26/'FS Jimbaran January 2020'!AG26</f>
        <v>9396.12490298593</v>
      </c>
      <c r="I16" s="164">
        <f>'FS Jimbaran January 2020'!AJ26</f>
        <v>486.29999999999927</v>
      </c>
      <c r="J16" s="165">
        <f>'FS Jimbaran January 2020'!AK26/'FS Jimbaran January 2020'!AJ26</f>
        <v>10500</v>
      </c>
      <c r="K16" s="164">
        <f>'FS Jimbaran January 2020'!V26</f>
        <v>922.93</v>
      </c>
      <c r="L16" s="173">
        <f>'FS Jimbaran January 2020'!AA26/'FS Jimbaran January 2020'!V26</f>
        <v>110.53024108003859</v>
      </c>
      <c r="M16" s="164">
        <v>9</v>
      </c>
      <c r="N16" s="164">
        <v>52</v>
      </c>
    </row>
    <row r="17" spans="1:14">
      <c r="A17" s="161" t="s">
        <v>14</v>
      </c>
      <c r="B17" s="162">
        <f t="shared" si="0"/>
        <v>16</v>
      </c>
      <c r="C17" s="163">
        <v>1</v>
      </c>
      <c r="D17" s="162">
        <v>2020</v>
      </c>
      <c r="E17" s="164">
        <f>'FS Jimbaran January 2020'!P27</f>
        <v>14439.999999999945</v>
      </c>
      <c r="F17" s="173">
        <f>'FS Jimbaran January 2020'!O27/'FS Jimbaran January 2020'!P27</f>
        <v>1128.3115927977842</v>
      </c>
      <c r="G17" s="164">
        <f>'FS Jimbaran January 2020'!AG27</f>
        <v>145.49135999998123</v>
      </c>
      <c r="H17" s="173">
        <f>'FS Jimbaran January 2020'!AH27/'FS Jimbaran January 2020'!AG27</f>
        <v>9196</v>
      </c>
      <c r="I17" s="164">
        <f>'FS Jimbaran January 2020'!AJ27</f>
        <v>666.09999999999854</v>
      </c>
      <c r="J17" s="165">
        <f>'FS Jimbaran January 2020'!AK27/'FS Jimbaran January 2020'!AJ27</f>
        <v>10500</v>
      </c>
      <c r="K17" s="164">
        <f>'FS Jimbaran January 2020'!V27</f>
        <v>863.30000000000007</v>
      </c>
      <c r="L17" s="173">
        <f>'FS Jimbaran January 2020'!AA27/'FS Jimbaran January 2020'!V27</f>
        <v>446.82797938144336</v>
      </c>
      <c r="M17" s="164">
        <v>8</v>
      </c>
      <c r="N17" s="164">
        <v>68</v>
      </c>
    </row>
    <row r="18" spans="1:14">
      <c r="A18" s="161" t="s">
        <v>14</v>
      </c>
      <c r="B18" s="162">
        <f t="shared" si="0"/>
        <v>17</v>
      </c>
      <c r="C18" s="163">
        <v>1</v>
      </c>
      <c r="D18" s="162">
        <v>2020</v>
      </c>
      <c r="E18" s="164">
        <f>'FS Jimbaran January 2020'!P28</f>
        <v>12499.999999999947</v>
      </c>
      <c r="F18" s="173">
        <f>'FS Jimbaran January 2020'!O28/'FS Jimbaran January 2020'!P28</f>
        <v>1156.7591040000007</v>
      </c>
      <c r="G18" s="164">
        <f>'FS Jimbaran January 2020'!AG28</f>
        <v>333.64903999997182</v>
      </c>
      <c r="H18" s="173">
        <f>'FS Jimbaran January 2020'!AH28/'FS Jimbaran January 2020'!AG28</f>
        <v>9971.66535183204</v>
      </c>
      <c r="I18" s="164">
        <f>'FS Jimbaran January 2020'!AJ28</f>
        <v>476.7300000000032</v>
      </c>
      <c r="J18" s="165">
        <f>'FS Jimbaran January 2020'!AK28/'FS Jimbaran January 2020'!AJ28</f>
        <v>10500</v>
      </c>
      <c r="K18" s="164">
        <f>'FS Jimbaran January 2020'!V28</f>
        <v>877.54</v>
      </c>
      <c r="L18" s="173">
        <f>'FS Jimbaran January 2020'!AA28/'FS Jimbaran January 2020'!V28</f>
        <v>86.109127789046667</v>
      </c>
      <c r="M18" s="164">
        <v>5</v>
      </c>
      <c r="N18" s="164">
        <v>83</v>
      </c>
    </row>
    <row r="19" spans="1:14">
      <c r="A19" s="161" t="s">
        <v>14</v>
      </c>
      <c r="B19" s="162">
        <f t="shared" si="0"/>
        <v>18</v>
      </c>
      <c r="C19" s="163">
        <v>1</v>
      </c>
      <c r="D19" s="162">
        <v>2020</v>
      </c>
      <c r="E19" s="164">
        <f>'FS Jimbaran January 2020'!P29</f>
        <v>16020.000000000018</v>
      </c>
      <c r="F19" s="173">
        <f>'FS Jimbaran January 2020'!O29/'FS Jimbaran January 2020'!P29</f>
        <v>1136.6424719101121</v>
      </c>
      <c r="G19" s="164">
        <f>'FS Jimbaran January 2020'!AG29</f>
        <v>155.63160000004689</v>
      </c>
      <c r="H19" s="173">
        <f>'FS Jimbaran January 2020'!AH29/'FS Jimbaran January 2020'!AG29</f>
        <v>9757.8653281208535</v>
      </c>
      <c r="I19" s="164">
        <f>'FS Jimbaran January 2020'!AJ29</f>
        <v>424.60000000000582</v>
      </c>
      <c r="J19" s="165">
        <f>'FS Jimbaran January 2020'!AK29/'FS Jimbaran January 2020'!AJ29</f>
        <v>10500</v>
      </c>
      <c r="K19" s="164">
        <f>'FS Jimbaran January 2020'!V29</f>
        <v>837.49</v>
      </c>
      <c r="L19" s="173">
        <f>'FS Jimbaran January 2020'!AA29/'FS Jimbaran January 2020'!V29</f>
        <v>9.0226992561105224</v>
      </c>
      <c r="M19" s="164">
        <v>5</v>
      </c>
      <c r="N19" s="164">
        <v>63</v>
      </c>
    </row>
    <row r="20" spans="1:14">
      <c r="A20" s="161" t="s">
        <v>14</v>
      </c>
      <c r="B20" s="162">
        <f t="shared" si="0"/>
        <v>19</v>
      </c>
      <c r="C20" s="163">
        <v>1</v>
      </c>
      <c r="D20" s="162">
        <v>2020</v>
      </c>
      <c r="E20" s="164">
        <f>'FS Jimbaran January 2020'!P30</f>
        <v>15839.999999999982</v>
      </c>
      <c r="F20" s="173">
        <f>'FS Jimbaran January 2020'!O30/'FS Jimbaran January 2020'!P30</f>
        <v>1125.3645075757574</v>
      </c>
      <c r="G20" s="164">
        <f>'FS Jimbaran January 2020'!AG30</f>
        <v>147.50191999999765</v>
      </c>
      <c r="H20" s="173">
        <f>'FS Jimbaran January 2020'!AH30/'FS Jimbaran January 2020'!AG30</f>
        <v>9393.610987029866</v>
      </c>
      <c r="I20" s="164">
        <f>'FS Jimbaran January 2020'!AJ30</f>
        <v>344</v>
      </c>
      <c r="J20" s="165">
        <f>'FS Jimbaran January 2020'!AK30/'FS Jimbaran January 2020'!AJ30</f>
        <v>10500</v>
      </c>
      <c r="K20" s="164">
        <f>'FS Jimbaran January 2020'!V30</f>
        <v>947.85</v>
      </c>
      <c r="L20" s="173">
        <f>'FS Jimbaran January 2020'!AA30/'FS Jimbaran January 2020'!V30</f>
        <v>11.95825352112676</v>
      </c>
      <c r="M20" s="164">
        <v>4</v>
      </c>
      <c r="N20" s="164">
        <v>26</v>
      </c>
    </row>
    <row r="21" spans="1:14">
      <c r="A21" s="161" t="s">
        <v>14</v>
      </c>
      <c r="B21" s="162">
        <f t="shared" si="0"/>
        <v>20</v>
      </c>
      <c r="C21" s="163">
        <v>1</v>
      </c>
      <c r="D21" s="162">
        <v>2020</v>
      </c>
      <c r="E21" s="164">
        <f>'FS Jimbaran January 2020'!P31</f>
        <v>15340.000000000056</v>
      </c>
      <c r="F21" s="173">
        <f>'FS Jimbaran January 2020'!O31/'FS Jimbaran January 2020'!P31</f>
        <v>1127.6092568448503</v>
      </c>
      <c r="G21" s="164">
        <f>'FS Jimbaran January 2020'!AG31</f>
        <v>159.82759999998825</v>
      </c>
      <c r="H21" s="173">
        <f>'FS Jimbaran January 2020'!AH31/'FS Jimbaran January 2020'!AG31</f>
        <v>9378.371505296971</v>
      </c>
      <c r="I21" s="164">
        <f>'FS Jimbaran January 2020'!AJ31</f>
        <v>328.36999999999534</v>
      </c>
      <c r="J21" s="165">
        <f>'FS Jimbaran January 2020'!AK31/'FS Jimbaran January 2020'!AJ31</f>
        <v>10500</v>
      </c>
      <c r="K21" s="164">
        <f>'FS Jimbaran January 2020'!V31</f>
        <v>947.85</v>
      </c>
      <c r="L21" s="173">
        <f>'FS Jimbaran January 2020'!AA31/'FS Jimbaran January 2020'!V31</f>
        <v>11.95825352112676</v>
      </c>
      <c r="M21" s="164">
        <v>0</v>
      </c>
      <c r="N21" s="164">
        <v>24</v>
      </c>
    </row>
    <row r="22" spans="1:14">
      <c r="A22" s="161" t="s">
        <v>14</v>
      </c>
      <c r="B22" s="162">
        <f t="shared" si="0"/>
        <v>21</v>
      </c>
      <c r="C22" s="163">
        <v>1</v>
      </c>
      <c r="D22" s="162">
        <v>2020</v>
      </c>
      <c r="E22" s="164">
        <f>'FS Jimbaran January 2020'!P32</f>
        <v>19400.000000000015</v>
      </c>
      <c r="F22" s="173">
        <f>'FS Jimbaran January 2020'!O32/'FS Jimbaran January 2020'!P32</f>
        <v>1113.1965463917522</v>
      </c>
      <c r="G22" s="164">
        <f>'FS Jimbaran January 2020'!AG32</f>
        <v>158.89771999996248</v>
      </c>
      <c r="H22" s="173">
        <f>'FS Jimbaran January 2020'!AH32/'FS Jimbaran January 2020'!AG32</f>
        <v>9562.8775108919981</v>
      </c>
      <c r="I22" s="164">
        <f>'FS Jimbaran January 2020'!AJ32</f>
        <v>441</v>
      </c>
      <c r="J22" s="165">
        <f>'FS Jimbaran January 2020'!AK32/'FS Jimbaran January 2020'!AJ32</f>
        <v>10500</v>
      </c>
      <c r="K22" s="164">
        <f>'FS Jimbaran January 2020'!V32</f>
        <v>925.6</v>
      </c>
      <c r="L22" s="173">
        <f>'FS Jimbaran January 2020'!AA32/'FS Jimbaran January 2020'!V32</f>
        <v>522.48369230769231</v>
      </c>
      <c r="M22" s="164">
        <v>2</v>
      </c>
      <c r="N22" s="164">
        <v>28</v>
      </c>
    </row>
    <row r="23" spans="1:14">
      <c r="A23" s="161" t="s">
        <v>14</v>
      </c>
      <c r="B23" s="162">
        <f t="shared" si="0"/>
        <v>22</v>
      </c>
      <c r="C23" s="163">
        <v>1</v>
      </c>
      <c r="D23" s="162">
        <v>2020</v>
      </c>
      <c r="E23" s="164">
        <f>'FS Jimbaran January 2020'!P33</f>
        <v>15779.999999999991</v>
      </c>
      <c r="F23" s="173">
        <f>'FS Jimbaran January 2020'!O33/'FS Jimbaran January 2020'!P33</f>
        <v>1122.4231939163499</v>
      </c>
      <c r="G23" s="164">
        <f>'FS Jimbaran January 2020'!AG33</f>
        <v>141.62448000001405</v>
      </c>
      <c r="H23" s="173">
        <f>'FS Jimbaran January 2020'!AH33/'FS Jimbaran January 2020'!AG33</f>
        <v>9196</v>
      </c>
      <c r="I23" s="164">
        <f>'FS Jimbaran January 2020'!AJ33</f>
        <v>372.20000000000437</v>
      </c>
      <c r="J23" s="165">
        <f>'FS Jimbaran January 2020'!AK33/'FS Jimbaran January 2020'!AJ33</f>
        <v>10500</v>
      </c>
      <c r="K23" s="164">
        <f>'FS Jimbaran January 2020'!V33</f>
        <v>909.58</v>
      </c>
      <c r="L23" s="173">
        <f>'FS Jimbaran January 2020'!AA33/'FS Jimbaran January 2020'!V33</f>
        <v>8.3075929549902163</v>
      </c>
      <c r="M23" s="164">
        <v>2</v>
      </c>
      <c r="N23" s="164">
        <v>28</v>
      </c>
    </row>
    <row r="24" spans="1:14">
      <c r="A24" s="161" t="s">
        <v>14</v>
      </c>
      <c r="B24" s="162">
        <f t="shared" si="0"/>
        <v>23</v>
      </c>
      <c r="C24" s="163">
        <v>1</v>
      </c>
      <c r="D24" s="162">
        <v>2020</v>
      </c>
      <c r="E24" s="164">
        <f>'FS Jimbaran January 2020'!P34</f>
        <v>11880.000000000016</v>
      </c>
      <c r="F24" s="173">
        <f>'FS Jimbaran January 2020'!O34/'FS Jimbaran January 2020'!P34</f>
        <v>1148.2510606060607</v>
      </c>
      <c r="G24" s="164">
        <f>'FS Jimbaran January 2020'!AG34</f>
        <v>289.73132000000936</v>
      </c>
      <c r="H24" s="173">
        <f>'FS Jimbaran January 2020'!AH34/'FS Jimbaran January 2020'!AG34</f>
        <v>9865.9310243711097</v>
      </c>
      <c r="I24" s="164">
        <f>'FS Jimbaran January 2020'!AJ34</f>
        <v>775.5</v>
      </c>
      <c r="J24" s="165">
        <f>'FS Jimbaran January 2020'!AK34/'FS Jimbaran January 2020'!AJ34</f>
        <v>10500</v>
      </c>
      <c r="K24" s="164">
        <f>'FS Jimbaran January 2020'!V34</f>
        <v>925.59999999999991</v>
      </c>
      <c r="L24" s="173">
        <f>'FS Jimbaran January 2020'!AA34/'FS Jimbaran January 2020'!V34</f>
        <v>1783.820884615385</v>
      </c>
      <c r="M24" s="164">
        <v>0</v>
      </c>
      <c r="N24" s="164">
        <v>28</v>
      </c>
    </row>
    <row r="25" spans="1:14">
      <c r="A25" s="161" t="s">
        <v>14</v>
      </c>
      <c r="B25" s="162">
        <f t="shared" si="0"/>
        <v>24</v>
      </c>
      <c r="C25" s="163">
        <v>1</v>
      </c>
      <c r="D25" s="162">
        <v>2020</v>
      </c>
      <c r="E25" s="164">
        <f>'FS Jimbaran January 2020'!P35</f>
        <v>15219.999999999967</v>
      </c>
      <c r="F25" s="173">
        <f>'FS Jimbaran January 2020'!O35/'FS Jimbaran January 2020'!P35</f>
        <v>1129.694349540079</v>
      </c>
      <c r="G25" s="164">
        <f>'FS Jimbaran January 2020'!AG35</f>
        <v>159.86788000002576</v>
      </c>
      <c r="H25" s="173">
        <f>'FS Jimbaran January 2020'!AH35/'FS Jimbaran January 2020'!AG35</f>
        <v>9378.3255553272829</v>
      </c>
      <c r="I25" s="164">
        <f>'FS Jimbaran January 2020'!AJ35</f>
        <v>412.11999999999534</v>
      </c>
      <c r="J25" s="165">
        <f>'FS Jimbaran January 2020'!AK35/'FS Jimbaran January 2020'!AJ35</f>
        <v>10500.000000000002</v>
      </c>
      <c r="K25" s="164">
        <f>'FS Jimbaran January 2020'!V35</f>
        <v>906.02</v>
      </c>
      <c r="L25" s="173">
        <f>'FS Jimbaran January 2020'!AA35/'FS Jimbaran January 2020'!V35</f>
        <v>587.98662082514738</v>
      </c>
      <c r="M25" s="164">
        <v>1</v>
      </c>
      <c r="N25" s="164">
        <v>43</v>
      </c>
    </row>
    <row r="26" spans="1:14">
      <c r="A26" s="161" t="s">
        <v>14</v>
      </c>
      <c r="B26" s="162">
        <f>B25+1</f>
        <v>25</v>
      </c>
      <c r="C26" s="163">
        <v>1</v>
      </c>
      <c r="D26" s="162">
        <v>2020</v>
      </c>
      <c r="E26" s="164">
        <f>'FS Jimbaran January 2020'!P36</f>
        <v>19520.000000000062</v>
      </c>
      <c r="F26" s="173">
        <f>'FS Jimbaran January 2020'!O36/'FS Jimbaran January 2020'!P36</f>
        <v>1111.6593749999997</v>
      </c>
      <c r="G26" s="164">
        <f>'FS Jimbaran January 2020'!AG36</f>
        <v>139.24451999998593</v>
      </c>
      <c r="H26" s="173">
        <f>'FS Jimbaran January 2020'!AH36/'FS Jimbaran January 2020'!AG36</f>
        <v>9405.3296023427192</v>
      </c>
      <c r="I26" s="164">
        <f>'FS Jimbaran January 2020'!AJ36</f>
        <v>457.93000000000029</v>
      </c>
      <c r="J26" s="165">
        <f>'FS Jimbaran January 2020'!AK36/'FS Jimbaran January 2020'!AJ36</f>
        <v>10500</v>
      </c>
      <c r="K26" s="164">
        <f>'FS Jimbaran January 2020'!V36</f>
        <v>954.96999999999991</v>
      </c>
      <c r="L26" s="173">
        <f>'FS Jimbaran January 2020'!AA36/'FS Jimbaran January 2020'!V36</f>
        <v>1323.3588257222741</v>
      </c>
      <c r="M26" s="164">
        <v>3</v>
      </c>
      <c r="N26" s="164">
        <v>25</v>
      </c>
    </row>
    <row r="27" spans="1:14">
      <c r="A27" s="161" t="s">
        <v>14</v>
      </c>
      <c r="B27" s="162">
        <f t="shared" si="0"/>
        <v>26</v>
      </c>
      <c r="C27" s="163">
        <v>1</v>
      </c>
      <c r="D27" s="162">
        <v>2020</v>
      </c>
      <c r="E27" s="164">
        <f>'FS Jimbaran January 2020'!P37</f>
        <v>12839.999999999978</v>
      </c>
      <c r="F27" s="173">
        <f>'FS Jimbaran January 2020'!O37/'FS Jimbaran January 2020'!P37</f>
        <v>1153.555607476635</v>
      </c>
      <c r="G27" s="164">
        <f>'FS Jimbaran January 2020'!AG37</f>
        <v>184.90483999999532</v>
      </c>
      <c r="H27" s="173">
        <f>'FS Jimbaran January 2020'!AH37/'FS Jimbaran January 2020'!AG37</f>
        <v>10141.827053526582</v>
      </c>
      <c r="I27" s="164">
        <f>'FS Jimbaran January 2020'!AJ37</f>
        <v>467.75</v>
      </c>
      <c r="J27" s="165">
        <f>'FS Jimbaran January 2020'!AK37/'FS Jimbaran January 2020'!AJ37</f>
        <v>10500</v>
      </c>
      <c r="K27" s="164">
        <f>'FS Jimbaran January 2020'!V37</f>
        <v>949.63</v>
      </c>
      <c r="L27" s="173">
        <f>'FS Jimbaran January 2020'!AA37/'FS Jimbaran January 2020'!V37</f>
        <v>1063.3059981255858</v>
      </c>
      <c r="M27" s="164">
        <v>3</v>
      </c>
      <c r="N27" s="164">
        <v>47</v>
      </c>
    </row>
    <row r="28" spans="1:14">
      <c r="A28" s="161" t="s">
        <v>14</v>
      </c>
      <c r="B28" s="162">
        <f t="shared" si="0"/>
        <v>27</v>
      </c>
      <c r="C28" s="163">
        <v>1</v>
      </c>
      <c r="D28" s="162">
        <v>2020</v>
      </c>
      <c r="E28" s="164">
        <f>'FS Jimbaran January 2020'!P38</f>
        <v>16459.99999999996</v>
      </c>
      <c r="F28" s="173">
        <f>'FS Jimbaran January 2020'!O38/'FS Jimbaran January 2020'!P38</f>
        <v>1129.5413730255168</v>
      </c>
      <c r="G28" s="164">
        <f>'FS Jimbaran January 2020'!AG38</f>
        <v>131.23224000000701</v>
      </c>
      <c r="H28" s="173">
        <f>'FS Jimbaran January 2020'!AH38/'FS Jimbaran January 2020'!AG38</f>
        <v>9196</v>
      </c>
      <c r="I28" s="164">
        <f>'FS Jimbaran January 2020'!AJ38</f>
        <v>488</v>
      </c>
      <c r="J28" s="165">
        <f>'FS Jimbaran January 2020'!AK38/'FS Jimbaran January 2020'!AJ38</f>
        <v>10500</v>
      </c>
      <c r="K28" s="164">
        <f>'FS Jimbaran January 2020'!V38</f>
        <v>925.59999999999991</v>
      </c>
      <c r="L28" s="173">
        <f>'FS Jimbaran January 2020'!AA38/'FS Jimbaran January 2020'!V38</f>
        <v>2126.1482307692313</v>
      </c>
      <c r="M28" s="164">
        <v>3</v>
      </c>
      <c r="N28" s="164">
        <v>26</v>
      </c>
    </row>
    <row r="29" spans="1:14">
      <c r="A29" s="161" t="s">
        <v>14</v>
      </c>
      <c r="B29" s="162">
        <f t="shared" si="0"/>
        <v>28</v>
      </c>
      <c r="C29" s="163">
        <v>1</v>
      </c>
      <c r="D29" s="162">
        <v>2020</v>
      </c>
      <c r="E29" s="164">
        <f>'FS Jimbaran January 2020'!P39</f>
        <v>19479.999999999949</v>
      </c>
      <c r="F29" s="173">
        <f>'FS Jimbaran January 2020'!O39/'FS Jimbaran January 2020'!P39</f>
        <v>1109.6883264887065</v>
      </c>
      <c r="G29" s="164">
        <f>'FS Jimbaran January 2020'!AG39</f>
        <v>126.19724000000701</v>
      </c>
      <c r="H29" s="173">
        <f>'FS Jimbaran January 2020'!AH39/'FS Jimbaran January 2020'!AG39</f>
        <v>9196</v>
      </c>
      <c r="I29" s="164">
        <f>'FS Jimbaran January 2020'!AJ39</f>
        <v>300.4800000000032</v>
      </c>
      <c r="J29" s="165">
        <f>'FS Jimbaran January 2020'!AK39/'FS Jimbaran January 2020'!AJ39</f>
        <v>10500</v>
      </c>
      <c r="K29" s="164">
        <f>'FS Jimbaran January 2020'!V39</f>
        <v>957.6400000000001</v>
      </c>
      <c r="L29" s="173">
        <f>'FS Jimbaran January 2020'!AA39/'FS Jimbaran January 2020'!V39</f>
        <v>284.06408921933087</v>
      </c>
      <c r="M29" s="164">
        <v>3</v>
      </c>
      <c r="N29" s="164">
        <v>33</v>
      </c>
    </row>
    <row r="30" spans="1:14">
      <c r="A30" s="161" t="s">
        <v>14</v>
      </c>
      <c r="B30" s="162">
        <f t="shared" si="0"/>
        <v>29</v>
      </c>
      <c r="C30" s="163">
        <v>1</v>
      </c>
      <c r="D30" s="162">
        <v>2020</v>
      </c>
      <c r="E30" s="164">
        <f>'FS Jimbaran January 2020'!P40</f>
        <v>16400.000000000044</v>
      </c>
      <c r="F30" s="173">
        <f>'FS Jimbaran January 2020'!O40/'FS Jimbaran January 2020'!P40</f>
        <v>1130.5159756097564</v>
      </c>
      <c r="G30" s="164">
        <f>'FS Jimbaran January 2020'!AG40</f>
        <v>137.1131199999742</v>
      </c>
      <c r="H30" s="173">
        <f>'FS Jimbaran January 2020'!AH40/'FS Jimbaran January 2020'!AG40</f>
        <v>9196</v>
      </c>
      <c r="I30" s="164">
        <f>'FS Jimbaran January 2020'!AJ40</f>
        <v>324.92999999999574</v>
      </c>
      <c r="J30" s="165">
        <f>'FS Jimbaran January 2020'!AK40/'FS Jimbaran January 2020'!AJ40</f>
        <v>10500</v>
      </c>
      <c r="K30" s="164">
        <f>'FS Jimbaran January 2020'!V40</f>
        <v>934.50000000000011</v>
      </c>
      <c r="L30" s="173">
        <f>'FS Jimbaran January 2020'!AA40/'FS Jimbaran January 2020'!V40</f>
        <v>355.7865142857143</v>
      </c>
      <c r="M30" s="164">
        <v>5</v>
      </c>
      <c r="N30" s="164">
        <v>12</v>
      </c>
    </row>
    <row r="31" spans="1:14">
      <c r="A31" s="161" t="s">
        <v>14</v>
      </c>
      <c r="B31" s="162">
        <f t="shared" si="0"/>
        <v>30</v>
      </c>
      <c r="C31" s="163">
        <v>1</v>
      </c>
      <c r="D31" s="162">
        <v>2020</v>
      </c>
      <c r="E31" s="164">
        <f>'FS Jimbaran January 2020'!P41</f>
        <v>12240.00000000004</v>
      </c>
      <c r="F31" s="173">
        <f>'FS Jimbaran January 2020'!O41/'FS Jimbaran January 2020'!P41</f>
        <v>1154.2515686274503</v>
      </c>
      <c r="G31" s="164">
        <f>'FS Jimbaran January 2020'!AG41</f>
        <v>389.21824000000703</v>
      </c>
      <c r="H31" s="173">
        <f>'FS Jimbaran January 2020'!AH41/'FS Jimbaran January 2020'!AG41</f>
        <v>10235.365472697253</v>
      </c>
      <c r="I31" s="164">
        <f>'FS Jimbaran January 2020'!AJ41</f>
        <v>503.09999999999854</v>
      </c>
      <c r="J31" s="165">
        <f>'FS Jimbaran January 2020'!AK41/'FS Jimbaran January 2020'!AJ41</f>
        <v>10500</v>
      </c>
      <c r="K31" s="164">
        <f>'FS Jimbaran January 2020'!V41</f>
        <v>847.28</v>
      </c>
      <c r="L31" s="173">
        <f>'FS Jimbaran January 2020'!AA41/'FS Jimbaran January 2020'!V41</f>
        <v>4.4592226890756308</v>
      </c>
      <c r="M31" s="164">
        <v>5</v>
      </c>
      <c r="N31" s="164">
        <v>56</v>
      </c>
    </row>
    <row r="32" spans="1:14">
      <c r="A32" s="161" t="s">
        <v>14</v>
      </c>
      <c r="B32" s="162">
        <v>31</v>
      </c>
      <c r="C32" s="163">
        <v>1</v>
      </c>
      <c r="D32" s="162">
        <v>2020</v>
      </c>
      <c r="E32" s="164">
        <f>'FS Jimbaran January 2020'!P42</f>
        <v>16920.000000000007</v>
      </c>
      <c r="F32" s="173">
        <f>'FS Jimbaran January 2020'!O42/'FS Jimbaran January 2020'!P42</f>
        <v>1133.113936170213</v>
      </c>
      <c r="G32" s="164">
        <f>'FS Jimbaran January 2020'!AG42</f>
        <v>149.75416000000467</v>
      </c>
      <c r="H32" s="173">
        <f>'FS Jimbaran January 2020'!AH42/'FS Jimbaran January 2020'!AG42</f>
        <v>9585.2780006912544</v>
      </c>
      <c r="I32" s="164">
        <f>'FS Jimbaran January 2020'!AJ42</f>
        <v>424.69999999999709</v>
      </c>
      <c r="J32" s="165">
        <f>'FS Jimbaran January 2020'!AK42/'FS Jimbaran January 2020'!AJ42</f>
        <v>10500</v>
      </c>
      <c r="K32" s="164">
        <f>'FS Jimbaran January 2020'!V42</f>
        <v>903.35</v>
      </c>
      <c r="L32" s="173">
        <f>'FS Jimbaran January 2020'!AA42/'FS Jimbaran January 2020'!V42</f>
        <v>4.1824433497536946</v>
      </c>
      <c r="M32" s="164">
        <v>4</v>
      </c>
      <c r="N32" s="164">
        <v>115</v>
      </c>
    </row>
    <row r="33" spans="5:14">
      <c r="E33" s="171"/>
      <c r="G33" s="171"/>
      <c r="K33" s="171"/>
      <c r="M33" s="171"/>
      <c r="N33" s="17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108"/>
  <sheetViews>
    <sheetView zoomScale="62" zoomScaleNormal="62" workbookViewId="0">
      <pane xSplit="4" ySplit="10" topLeftCell="Y13" activePane="bottomRight" state="frozen"/>
      <selection pane="bottomRight" activeCell="Y12" sqref="Y12:Z42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10.5703125" style="3" customWidth="1"/>
    <col min="4" max="4" width="14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2.85546875" customWidth="1"/>
    <col min="20" max="20" width="17.140625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3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7" customWidth="1"/>
  </cols>
  <sheetData>
    <row r="5" spans="1:39">
      <c r="N5" s="174"/>
      <c r="X5" s="175"/>
    </row>
    <row r="6" spans="1:39" s="26" customFormat="1" ht="18.75">
      <c r="B6" s="26" t="s">
        <v>16</v>
      </c>
      <c r="C6" s="34"/>
      <c r="E6" s="34"/>
      <c r="F6" s="34"/>
      <c r="H6" s="34"/>
      <c r="L6" s="34"/>
      <c r="M6" s="59"/>
      <c r="N6" s="65"/>
      <c r="P6" s="65"/>
      <c r="R6" s="85"/>
      <c r="AD6" s="34"/>
      <c r="AH6" s="34"/>
      <c r="AJ6" s="85"/>
      <c r="AL6" s="37"/>
    </row>
    <row r="7" spans="1:39" s="11" customFormat="1">
      <c r="A7" s="30"/>
      <c r="B7" s="232" t="s">
        <v>17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4"/>
      <c r="AM7" s="30"/>
    </row>
    <row r="8" spans="1:39" s="7" customFormat="1" ht="15.75" customHeight="1">
      <c r="A8" s="27"/>
      <c r="B8" s="235" t="s">
        <v>18</v>
      </c>
      <c r="C8" s="238" t="s">
        <v>19</v>
      </c>
      <c r="D8" s="241" t="s">
        <v>13</v>
      </c>
      <c r="E8" s="244" t="s">
        <v>20</v>
      </c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5"/>
      <c r="V8" s="246" t="s">
        <v>21</v>
      </c>
      <c r="W8" s="247"/>
      <c r="X8" s="247"/>
      <c r="Y8" s="247"/>
      <c r="Z8" s="247"/>
      <c r="AA8" s="247"/>
      <c r="AB8" s="248"/>
      <c r="AC8" s="249" t="s">
        <v>22</v>
      </c>
      <c r="AD8" s="249"/>
      <c r="AE8" s="249"/>
      <c r="AF8" s="249"/>
      <c r="AG8" s="249"/>
      <c r="AH8" s="249"/>
      <c r="AI8" s="249"/>
      <c r="AJ8" s="249"/>
      <c r="AK8" s="249"/>
      <c r="AL8" s="250"/>
      <c r="AM8" s="29"/>
    </row>
    <row r="9" spans="1:39" ht="15" customHeight="1">
      <c r="B9" s="236"/>
      <c r="C9" s="239"/>
      <c r="D9" s="242"/>
      <c r="E9" s="251" t="s">
        <v>23</v>
      </c>
      <c r="F9" s="252"/>
      <c r="G9" s="252"/>
      <c r="H9" s="252"/>
      <c r="I9" s="253"/>
      <c r="J9" s="254" t="s">
        <v>24</v>
      </c>
      <c r="K9" s="254"/>
      <c r="L9" s="254"/>
      <c r="M9" s="254"/>
      <c r="N9" s="255"/>
      <c r="O9" s="241" t="s">
        <v>25</v>
      </c>
      <c r="P9" s="256" t="s">
        <v>26</v>
      </c>
      <c r="Q9" s="258" t="s">
        <v>27</v>
      </c>
      <c r="R9" s="260" t="s">
        <v>28</v>
      </c>
      <c r="S9" s="226" t="s">
        <v>29</v>
      </c>
      <c r="T9" s="228" t="s">
        <v>30</v>
      </c>
      <c r="U9" s="229"/>
      <c r="V9" s="53"/>
      <c r="W9" s="53" t="s">
        <v>31</v>
      </c>
      <c r="X9" s="53"/>
      <c r="Y9" s="54"/>
      <c r="Z9" s="178"/>
      <c r="AA9" s="230" t="s">
        <v>32</v>
      </c>
      <c r="AB9" s="231"/>
      <c r="AC9" s="249" t="s">
        <v>33</v>
      </c>
      <c r="AD9" s="249"/>
      <c r="AE9" s="249"/>
      <c r="AF9" s="249"/>
      <c r="AG9" s="249"/>
      <c r="AH9" s="249"/>
      <c r="AI9" s="250"/>
      <c r="AJ9" s="141" t="s">
        <v>34</v>
      </c>
      <c r="AK9" s="36"/>
      <c r="AL9" s="38"/>
    </row>
    <row r="10" spans="1:39" ht="61.5" customHeight="1">
      <c r="A10" s="28"/>
      <c r="B10" s="237"/>
      <c r="C10" s="240"/>
      <c r="D10" s="243"/>
      <c r="E10" s="99" t="s">
        <v>35</v>
      </c>
      <c r="F10" s="83" t="s">
        <v>36</v>
      </c>
      <c r="G10" s="134" t="s">
        <v>37</v>
      </c>
      <c r="H10" s="17" t="s">
        <v>36</v>
      </c>
      <c r="I10" s="100" t="s">
        <v>38</v>
      </c>
      <c r="J10" s="99" t="s">
        <v>35</v>
      </c>
      <c r="K10" s="84" t="s">
        <v>36</v>
      </c>
      <c r="L10" s="134" t="s">
        <v>37</v>
      </c>
      <c r="M10" s="60" t="s">
        <v>36</v>
      </c>
      <c r="N10" s="92" t="s">
        <v>39</v>
      </c>
      <c r="O10" s="243"/>
      <c r="P10" s="257"/>
      <c r="Q10" s="259"/>
      <c r="R10" s="261"/>
      <c r="S10" s="227"/>
      <c r="T10" s="179" t="s">
        <v>40</v>
      </c>
      <c r="U10" s="23" t="s">
        <v>41</v>
      </c>
      <c r="V10" s="180" t="s">
        <v>42</v>
      </c>
      <c r="W10" s="55" t="s">
        <v>43</v>
      </c>
      <c r="X10" s="55" t="s">
        <v>44</v>
      </c>
      <c r="Y10" s="22" t="s">
        <v>45</v>
      </c>
      <c r="Z10" s="22" t="s">
        <v>46</v>
      </c>
      <c r="AA10" s="22" t="s">
        <v>40</v>
      </c>
      <c r="AB10" s="12" t="s">
        <v>41</v>
      </c>
      <c r="AC10" s="126" t="s">
        <v>47</v>
      </c>
      <c r="AD10" s="48" t="s">
        <v>48</v>
      </c>
      <c r="AE10" s="47" t="s">
        <v>49</v>
      </c>
      <c r="AF10" s="47" t="s">
        <v>50</v>
      </c>
      <c r="AG10" s="47" t="s">
        <v>51</v>
      </c>
      <c r="AH10" s="48" t="s">
        <v>40</v>
      </c>
      <c r="AI10" s="49" t="s">
        <v>41</v>
      </c>
      <c r="AJ10" s="142" t="s">
        <v>52</v>
      </c>
      <c r="AK10" s="47" t="s">
        <v>40</v>
      </c>
      <c r="AL10" s="51" t="s">
        <v>41</v>
      </c>
      <c r="AM10" s="28"/>
    </row>
    <row r="11" spans="1:39">
      <c r="A11" s="28"/>
      <c r="B11" s="57"/>
      <c r="C11" s="101"/>
      <c r="D11" s="181"/>
      <c r="E11" s="182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3"/>
      <c r="R11" s="114"/>
      <c r="S11" s="184"/>
      <c r="T11" s="21"/>
      <c r="U11" s="24"/>
      <c r="V11" s="91"/>
      <c r="W11" s="18"/>
      <c r="X11" s="18"/>
      <c r="Y11" s="20"/>
      <c r="Z11" s="20"/>
      <c r="AA11" s="20"/>
      <c r="AB11" s="102"/>
      <c r="AC11" s="127"/>
      <c r="AD11" s="45"/>
      <c r="AE11" s="42"/>
      <c r="AF11" s="42"/>
      <c r="AG11" s="42"/>
      <c r="AH11" s="45"/>
      <c r="AI11" s="46"/>
      <c r="AJ11" s="143"/>
      <c r="AK11" s="42"/>
      <c r="AL11" s="50"/>
      <c r="AM11" s="28"/>
    </row>
    <row r="12" spans="1:39">
      <c r="A12" s="33"/>
      <c r="B12" s="58">
        <v>1</v>
      </c>
      <c r="C12" s="224">
        <v>134</v>
      </c>
      <c r="D12" s="225">
        <v>955</v>
      </c>
      <c r="E12" s="106">
        <v>9040.00000000002</v>
      </c>
      <c r="F12" s="2">
        <v>9363451.2000000197</v>
      </c>
      <c r="G12" s="35">
        <v>1879.9999999999955</v>
      </c>
      <c r="H12" s="2">
        <v>2920899.5999999931</v>
      </c>
      <c r="I12" s="103">
        <f>F12+H12</f>
        <v>12284350.800000012</v>
      </c>
      <c r="J12" s="106">
        <v>1600.0000000000014</v>
      </c>
      <c r="K12" s="2">
        <v>1657248.0000000014</v>
      </c>
      <c r="L12" s="185">
        <v>540</v>
      </c>
      <c r="M12" s="186">
        <v>838981.8</v>
      </c>
      <c r="N12" s="94">
        <f>K12+M12</f>
        <v>2496229.8000000017</v>
      </c>
      <c r="O12" s="108">
        <f>N12+I12</f>
        <v>14780580.600000013</v>
      </c>
      <c r="P12" s="111">
        <f>L12+J12+G12+E12</f>
        <v>13060.000000000016</v>
      </c>
      <c r="Q12" s="136"/>
      <c r="R12" s="196"/>
      <c r="S12" s="201"/>
      <c r="T12" s="204"/>
      <c r="U12" s="207"/>
      <c r="V12" s="187">
        <f t="shared" ref="V12:V42" si="0">Y12+W12</f>
        <v>919.37</v>
      </c>
      <c r="W12" s="2">
        <v>7.12</v>
      </c>
      <c r="X12" s="2">
        <v>127947.68160000001</v>
      </c>
      <c r="Y12" s="222">
        <v>912.25</v>
      </c>
      <c r="Z12" s="220">
        <v>41560.312200000008</v>
      </c>
      <c r="AA12" s="31">
        <f t="shared" ref="AA12:AA42" si="1">Z12+X12</f>
        <v>169507.99380000003</v>
      </c>
      <c r="AB12" s="129">
        <f t="shared" ref="AB12:AB42" si="2">AA12/$AL$48</f>
        <v>13.063102506224912</v>
      </c>
      <c r="AC12" s="135">
        <v>126.35836000003985</v>
      </c>
      <c r="AD12" s="2">
        <v>0</v>
      </c>
      <c r="AE12" s="2">
        <v>0</v>
      </c>
      <c r="AF12" s="2">
        <v>0</v>
      </c>
      <c r="AG12" s="2">
        <f>SUM(AC12:AF12)</f>
        <v>126.35836000003985</v>
      </c>
      <c r="AH12" s="2">
        <v>1161991.4785603664</v>
      </c>
      <c r="AI12" s="43">
        <f t="shared" ref="AI12:AI42" si="3">AH12/$AL$48</f>
        <v>89.548660541069495</v>
      </c>
      <c r="AJ12" s="144">
        <v>435.59999999999854</v>
      </c>
      <c r="AK12" s="2">
        <v>4573799.9999999851</v>
      </c>
      <c r="AL12" s="39">
        <f t="shared" ref="AL12:AL42" si="4">AK12/$AL$48</f>
        <v>352.4790595626252</v>
      </c>
      <c r="AM12" s="6"/>
    </row>
    <row r="13" spans="1:39">
      <c r="A13" s="33"/>
      <c r="B13" s="58">
        <v>2</v>
      </c>
      <c r="C13" s="224">
        <v>120</v>
      </c>
      <c r="D13" s="225">
        <v>1043</v>
      </c>
      <c r="E13" s="106">
        <v>9160.0000000000255</v>
      </c>
      <c r="F13" s="2">
        <v>9487744.8000000268</v>
      </c>
      <c r="G13" s="35">
        <v>1879.9999999999955</v>
      </c>
      <c r="H13" s="2">
        <v>2920899.5999999931</v>
      </c>
      <c r="I13" s="103">
        <f t="shared" ref="I13:I42" si="5">F13+H13</f>
        <v>12408644.400000021</v>
      </c>
      <c r="J13" s="106">
        <v>1140.0000000000005</v>
      </c>
      <c r="K13" s="2">
        <v>1180789.2000000004</v>
      </c>
      <c r="L13" s="185">
        <v>259.99999999999977</v>
      </c>
      <c r="M13" s="186">
        <v>403954.19999999966</v>
      </c>
      <c r="N13" s="94">
        <f t="shared" ref="N13:N42" si="6">K13+M13</f>
        <v>1584743.4000000001</v>
      </c>
      <c r="O13" s="108">
        <f t="shared" ref="O13:O42" si="7">N13+I13</f>
        <v>13993387.800000021</v>
      </c>
      <c r="P13" s="111">
        <f t="shared" ref="P13:P42" si="8">L13+J13+G13+E13</f>
        <v>12440.000000000022</v>
      </c>
      <c r="Q13" s="195"/>
      <c r="R13" s="197"/>
      <c r="S13" s="202"/>
      <c r="T13" s="205"/>
      <c r="U13" s="208"/>
      <c r="V13" s="187">
        <f t="shared" si="0"/>
        <v>967.43</v>
      </c>
      <c r="W13" s="2">
        <v>9.7900000000000009</v>
      </c>
      <c r="X13" s="2">
        <v>175928.06220000001</v>
      </c>
      <c r="Y13" s="223">
        <v>957.64</v>
      </c>
      <c r="Z13" s="221">
        <v>41560.312200000008</v>
      </c>
      <c r="AA13" s="31">
        <f t="shared" si="1"/>
        <v>217488.37440000003</v>
      </c>
      <c r="AB13" s="129">
        <f t="shared" si="2"/>
        <v>16.760701752222744</v>
      </c>
      <c r="AC13" s="135">
        <v>132.68231999995075</v>
      </c>
      <c r="AD13" s="2">
        <v>0</v>
      </c>
      <c r="AE13" s="2">
        <v>0</v>
      </c>
      <c r="AF13" s="2">
        <v>0</v>
      </c>
      <c r="AG13" s="2">
        <f t="shared" ref="AG13:AG42" si="9">SUM(AC13:AF13)</f>
        <v>132.68231999995075</v>
      </c>
      <c r="AH13" s="2">
        <v>1220146.6147195471</v>
      </c>
      <c r="AI13" s="43">
        <f t="shared" si="3"/>
        <v>94.030375461294355</v>
      </c>
      <c r="AJ13" s="144">
        <v>510.70999999997002</v>
      </c>
      <c r="AK13" s="2">
        <v>5362454.9999996852</v>
      </c>
      <c r="AL13" s="39">
        <f t="shared" si="4"/>
        <v>413.25661273925238</v>
      </c>
      <c r="AM13" s="6"/>
    </row>
    <row r="14" spans="1:39">
      <c r="A14" s="33"/>
      <c r="B14" s="58">
        <v>3</v>
      </c>
      <c r="C14" s="224">
        <v>118</v>
      </c>
      <c r="D14" s="225">
        <v>918</v>
      </c>
      <c r="E14" s="106">
        <v>9479.9999999999618</v>
      </c>
      <c r="F14" s="2">
        <v>9819194.3999999594</v>
      </c>
      <c r="G14" s="35">
        <v>2040.0000000000064</v>
      </c>
      <c r="H14" s="2">
        <v>3169486.8000000101</v>
      </c>
      <c r="I14" s="103">
        <f t="shared" si="5"/>
        <v>12988681.199999969</v>
      </c>
      <c r="J14" s="106">
        <v>1292.0000000000016</v>
      </c>
      <c r="K14" s="2">
        <v>1338227.7600000016</v>
      </c>
      <c r="L14" s="185">
        <v>296.00000000000028</v>
      </c>
      <c r="M14" s="186">
        <v>459886.32000000047</v>
      </c>
      <c r="N14" s="94">
        <f t="shared" si="6"/>
        <v>1798114.0800000022</v>
      </c>
      <c r="O14" s="108">
        <f t="shared" si="7"/>
        <v>14786795.279999971</v>
      </c>
      <c r="P14" s="111">
        <f t="shared" si="8"/>
        <v>13107.999999999971</v>
      </c>
      <c r="Q14" s="195"/>
      <c r="R14" s="197"/>
      <c r="S14" s="202"/>
      <c r="T14" s="205"/>
      <c r="U14" s="208"/>
      <c r="V14" s="187">
        <f t="shared" si="0"/>
        <v>935.39</v>
      </c>
      <c r="W14" s="2">
        <v>1.78</v>
      </c>
      <c r="X14" s="2">
        <v>31986.920400000003</v>
      </c>
      <c r="Y14" s="223">
        <v>933.61</v>
      </c>
      <c r="Z14" s="221">
        <v>41560.312200000008</v>
      </c>
      <c r="AA14" s="31">
        <f t="shared" si="1"/>
        <v>73547.232600000018</v>
      </c>
      <c r="AB14" s="129">
        <f t="shared" si="2"/>
        <v>5.6679040142292489</v>
      </c>
      <c r="AC14" s="135">
        <v>139.1674000000117</v>
      </c>
      <c r="AD14" s="2">
        <v>0</v>
      </c>
      <c r="AE14" s="2">
        <v>200</v>
      </c>
      <c r="AF14" s="2">
        <v>12</v>
      </c>
      <c r="AG14" s="2">
        <f t="shared" si="9"/>
        <v>351.1674000000117</v>
      </c>
      <c r="AH14" s="2">
        <v>3517283.4104001075</v>
      </c>
      <c r="AI14" s="43">
        <f t="shared" si="3"/>
        <v>271.05880202742946</v>
      </c>
      <c r="AJ14" s="144">
        <v>491.36000000000058</v>
      </c>
      <c r="AK14" s="2">
        <v>5159280.0000000065</v>
      </c>
      <c r="AL14" s="39">
        <f t="shared" si="4"/>
        <v>397.59896856449103</v>
      </c>
      <c r="AM14" s="6"/>
    </row>
    <row r="15" spans="1:39">
      <c r="A15" s="33"/>
      <c r="B15" s="58">
        <v>4</v>
      </c>
      <c r="C15" s="224">
        <v>104</v>
      </c>
      <c r="D15" s="225">
        <v>920</v>
      </c>
      <c r="E15" s="106">
        <v>9640.0000000000437</v>
      </c>
      <c r="F15" s="2">
        <v>9984919.2000000458</v>
      </c>
      <c r="G15" s="35">
        <v>2000</v>
      </c>
      <c r="H15" s="2">
        <v>3107340</v>
      </c>
      <c r="I15" s="103">
        <f t="shared" si="5"/>
        <v>13092259.200000046</v>
      </c>
      <c r="J15" s="106">
        <v>1140.0000000000002</v>
      </c>
      <c r="K15" s="2">
        <v>1180789.2000000002</v>
      </c>
      <c r="L15" s="185">
        <v>380</v>
      </c>
      <c r="M15" s="186">
        <v>590394.6</v>
      </c>
      <c r="N15" s="94">
        <f t="shared" si="6"/>
        <v>1771183.8000000003</v>
      </c>
      <c r="O15" s="108">
        <f t="shared" si="7"/>
        <v>14863443.000000047</v>
      </c>
      <c r="P15" s="111">
        <f t="shared" si="8"/>
        <v>13160.000000000044</v>
      </c>
      <c r="Q15" s="195"/>
      <c r="R15" s="197"/>
      <c r="S15" s="202"/>
      <c r="T15" s="205"/>
      <c r="U15" s="208"/>
      <c r="V15" s="187">
        <f t="shared" si="0"/>
        <v>926.49</v>
      </c>
      <c r="W15" s="2">
        <v>10.68</v>
      </c>
      <c r="X15" s="2">
        <v>191921.52239999999</v>
      </c>
      <c r="Y15" s="223">
        <v>915.81000000000006</v>
      </c>
      <c r="Z15" s="221">
        <v>559175.10960000008</v>
      </c>
      <c r="AA15" s="31">
        <f t="shared" si="1"/>
        <v>751096.6320000001</v>
      </c>
      <c r="AB15" s="129">
        <f t="shared" si="2"/>
        <v>57.883124423458845</v>
      </c>
      <c r="AC15" s="135">
        <v>0</v>
      </c>
      <c r="AD15" s="2">
        <v>0</v>
      </c>
      <c r="AE15" s="2">
        <v>0</v>
      </c>
      <c r="AF15" s="2">
        <v>36</v>
      </c>
      <c r="AG15" s="2">
        <f t="shared" si="9"/>
        <v>36</v>
      </c>
      <c r="AH15" s="2">
        <v>418500</v>
      </c>
      <c r="AI15" s="43">
        <f t="shared" si="3"/>
        <v>32.251625874974664</v>
      </c>
      <c r="AJ15" s="144">
        <v>432.86000000000058</v>
      </c>
      <c r="AK15" s="2">
        <v>4545030.0000000065</v>
      </c>
      <c r="AL15" s="39">
        <f t="shared" si="4"/>
        <v>350.26190478025404</v>
      </c>
      <c r="AM15" s="6"/>
    </row>
    <row r="16" spans="1:39">
      <c r="A16" s="33"/>
      <c r="B16" s="58">
        <v>5</v>
      </c>
      <c r="C16" s="224">
        <v>98</v>
      </c>
      <c r="D16" s="225">
        <v>790</v>
      </c>
      <c r="E16" s="106">
        <v>10000</v>
      </c>
      <c r="F16" s="2">
        <v>10357800</v>
      </c>
      <c r="G16" s="35">
        <v>1959.9999999999936</v>
      </c>
      <c r="H16" s="2">
        <v>3045193.1999999904</v>
      </c>
      <c r="I16" s="103">
        <f t="shared" si="5"/>
        <v>13402993.19999999</v>
      </c>
      <c r="J16" s="106">
        <v>1299.9999999999998</v>
      </c>
      <c r="K16" s="2">
        <v>1346513.9999999998</v>
      </c>
      <c r="L16" s="185">
        <v>340</v>
      </c>
      <c r="M16" s="186">
        <v>528247.80000000005</v>
      </c>
      <c r="N16" s="94">
        <f t="shared" si="6"/>
        <v>1874761.7999999998</v>
      </c>
      <c r="O16" s="108">
        <f t="shared" si="7"/>
        <v>15277754.999999989</v>
      </c>
      <c r="P16" s="111">
        <f t="shared" si="8"/>
        <v>13599.999999999993</v>
      </c>
      <c r="Q16" s="195"/>
      <c r="R16" s="197"/>
      <c r="S16" s="202"/>
      <c r="T16" s="205"/>
      <c r="U16" s="208"/>
      <c r="V16" s="187">
        <f t="shared" si="0"/>
        <v>937.17000000000007</v>
      </c>
      <c r="W16" s="2">
        <v>0</v>
      </c>
      <c r="X16" s="2">
        <v>0</v>
      </c>
      <c r="Y16" s="223">
        <v>937.17000000000007</v>
      </c>
      <c r="Z16" s="221">
        <v>313591.44660000002</v>
      </c>
      <c r="AA16" s="31">
        <f t="shared" si="1"/>
        <v>313591.44660000002</v>
      </c>
      <c r="AB16" s="129">
        <f t="shared" si="2"/>
        <v>24.166867415377052</v>
      </c>
      <c r="AC16" s="135">
        <v>145.73303999997185</v>
      </c>
      <c r="AD16" s="2">
        <v>0</v>
      </c>
      <c r="AE16" s="2">
        <v>150</v>
      </c>
      <c r="AF16" s="2">
        <v>24</v>
      </c>
      <c r="AG16" s="2">
        <f t="shared" si="9"/>
        <v>319.73303999997188</v>
      </c>
      <c r="AH16" s="2">
        <v>3192661.0358397411</v>
      </c>
      <c r="AI16" s="43">
        <f t="shared" si="3"/>
        <v>246.04183816848843</v>
      </c>
      <c r="AJ16" s="144">
        <v>467.39999999999782</v>
      </c>
      <c r="AK16" s="2">
        <v>4907699.9999999767</v>
      </c>
      <c r="AL16" s="39">
        <f t="shared" si="4"/>
        <v>378.21100192738925</v>
      </c>
      <c r="AM16" s="6"/>
    </row>
    <row r="17" spans="1:39">
      <c r="A17" s="33"/>
      <c r="B17" s="58">
        <v>6</v>
      </c>
      <c r="C17" s="224">
        <v>89</v>
      </c>
      <c r="D17" s="225">
        <v>668</v>
      </c>
      <c r="E17" s="106">
        <v>9919.99999999996</v>
      </c>
      <c r="F17" s="2">
        <v>10274937.599999959</v>
      </c>
      <c r="G17" s="35">
        <v>2000</v>
      </c>
      <c r="H17" s="2">
        <v>3107340</v>
      </c>
      <c r="I17" s="103">
        <f t="shared" si="5"/>
        <v>13382277.599999959</v>
      </c>
      <c r="J17" s="106">
        <v>1300.0000000000002</v>
      </c>
      <c r="K17" s="2">
        <v>1346514.0000000002</v>
      </c>
      <c r="L17" s="185">
        <v>299.99999999999994</v>
      </c>
      <c r="M17" s="186">
        <v>466100.99999999994</v>
      </c>
      <c r="N17" s="94">
        <f t="shared" si="6"/>
        <v>1812615.0000000002</v>
      </c>
      <c r="O17" s="108">
        <f t="shared" si="7"/>
        <v>15194892.599999959</v>
      </c>
      <c r="P17" s="111">
        <f t="shared" si="8"/>
        <v>13519.99999999996</v>
      </c>
      <c r="Q17" s="195"/>
      <c r="R17" s="197"/>
      <c r="S17" s="202"/>
      <c r="T17" s="205"/>
      <c r="U17" s="208"/>
      <c r="V17" s="187">
        <f t="shared" si="0"/>
        <v>833.93</v>
      </c>
      <c r="W17" s="2">
        <v>0</v>
      </c>
      <c r="X17" s="2">
        <v>0</v>
      </c>
      <c r="Y17" s="223">
        <v>833.93</v>
      </c>
      <c r="Z17" s="221">
        <v>290922.18540000002</v>
      </c>
      <c r="AA17" s="31">
        <f t="shared" si="1"/>
        <v>290922.18540000002</v>
      </c>
      <c r="AB17" s="129">
        <f t="shared" si="2"/>
        <v>22.419864951614855</v>
      </c>
      <c r="AC17" s="135">
        <v>120.79972000002108</v>
      </c>
      <c r="AD17" s="2">
        <v>0</v>
      </c>
      <c r="AE17" s="2">
        <v>0</v>
      </c>
      <c r="AF17" s="2">
        <v>0</v>
      </c>
      <c r="AG17" s="2">
        <f t="shared" si="9"/>
        <v>120.79972000002108</v>
      </c>
      <c r="AH17" s="2">
        <v>1110874.2251201938</v>
      </c>
      <c r="AI17" s="43">
        <f t="shared" si="3"/>
        <v>85.609318763987744</v>
      </c>
      <c r="AJ17" s="144">
        <v>387.34000000000015</v>
      </c>
      <c r="AK17" s="2">
        <v>4067070.0000000014</v>
      </c>
      <c r="AL17" s="39">
        <f t="shared" si="4"/>
        <v>313.42800489207468</v>
      </c>
      <c r="AM17" s="6"/>
    </row>
    <row r="18" spans="1:39">
      <c r="A18" s="33"/>
      <c r="B18" s="58">
        <v>7</v>
      </c>
      <c r="C18" s="224">
        <v>87</v>
      </c>
      <c r="D18" s="225">
        <v>648</v>
      </c>
      <c r="E18" s="106">
        <v>10520.000000000038</v>
      </c>
      <c r="F18" s="2">
        <v>10896405.600000039</v>
      </c>
      <c r="G18" s="35">
        <v>2200.0000000000027</v>
      </c>
      <c r="H18" s="2">
        <v>3418074.0000000042</v>
      </c>
      <c r="I18" s="103">
        <f t="shared" si="5"/>
        <v>14314479.600000042</v>
      </c>
      <c r="J18" s="106">
        <v>1279.9999999999993</v>
      </c>
      <c r="K18" s="2">
        <v>1325798.3999999992</v>
      </c>
      <c r="L18" s="185">
        <v>320.00000000000006</v>
      </c>
      <c r="M18" s="186">
        <v>497174.40000000014</v>
      </c>
      <c r="N18" s="94">
        <f t="shared" si="6"/>
        <v>1822972.7999999993</v>
      </c>
      <c r="O18" s="108">
        <f t="shared" si="7"/>
        <v>16137452.400000041</v>
      </c>
      <c r="P18" s="111">
        <f t="shared" si="8"/>
        <v>14320.00000000004</v>
      </c>
      <c r="Q18" s="195"/>
      <c r="R18" s="197"/>
      <c r="S18" s="202"/>
      <c r="T18" s="205"/>
      <c r="U18" s="208"/>
      <c r="V18" s="187">
        <f t="shared" si="0"/>
        <v>979.89</v>
      </c>
      <c r="W18" s="2">
        <v>0</v>
      </c>
      <c r="X18" s="2">
        <v>0</v>
      </c>
      <c r="Y18" s="223">
        <v>979.89</v>
      </c>
      <c r="Z18" s="221">
        <v>71785.993800000011</v>
      </c>
      <c r="AA18" s="31">
        <f t="shared" si="1"/>
        <v>71785.993800000011</v>
      </c>
      <c r="AB18" s="129">
        <f t="shared" si="2"/>
        <v>5.5321744685802896</v>
      </c>
      <c r="AC18" s="135">
        <v>136.02555999995778</v>
      </c>
      <c r="AD18" s="2">
        <v>0</v>
      </c>
      <c r="AE18" s="2">
        <v>0</v>
      </c>
      <c r="AF18" s="2">
        <v>24</v>
      </c>
      <c r="AG18" s="2">
        <f t="shared" si="9"/>
        <v>160.02555999995778</v>
      </c>
      <c r="AH18" s="2">
        <v>1529891.0497596117</v>
      </c>
      <c r="AI18" s="43">
        <f t="shared" si="3"/>
        <v>117.90077363517143</v>
      </c>
      <c r="AJ18" s="144">
        <v>320.78000000000247</v>
      </c>
      <c r="AK18" s="2">
        <v>3368190.0000000261</v>
      </c>
      <c r="AL18" s="39">
        <f t="shared" si="4"/>
        <v>259.56894565312246</v>
      </c>
      <c r="AM18" s="6"/>
    </row>
    <row r="19" spans="1:39">
      <c r="A19" s="33"/>
      <c r="B19" s="58">
        <v>8</v>
      </c>
      <c r="C19" s="224">
        <v>71</v>
      </c>
      <c r="D19" s="225">
        <v>581</v>
      </c>
      <c r="E19" s="106">
        <v>10199.999999999989</v>
      </c>
      <c r="F19" s="2">
        <v>10564955.999999989</v>
      </c>
      <c r="G19" s="35">
        <v>2359.9999999999995</v>
      </c>
      <c r="H19" s="2">
        <v>3666661.1999999993</v>
      </c>
      <c r="I19" s="103">
        <f t="shared" si="5"/>
        <v>14231617.199999988</v>
      </c>
      <c r="J19" s="106">
        <v>1300.0000000000007</v>
      </c>
      <c r="K19" s="2">
        <v>1346514.0000000007</v>
      </c>
      <c r="L19" s="185">
        <v>379.99999999999989</v>
      </c>
      <c r="M19" s="186">
        <v>590394.59999999986</v>
      </c>
      <c r="N19" s="94">
        <f t="shared" si="6"/>
        <v>1936908.6000000006</v>
      </c>
      <c r="O19" s="108">
        <f t="shared" si="7"/>
        <v>16168525.79999999</v>
      </c>
      <c r="P19" s="111">
        <f t="shared" si="8"/>
        <v>14239.999999999989</v>
      </c>
      <c r="Q19" s="195"/>
      <c r="R19" s="197"/>
      <c r="S19" s="202"/>
      <c r="T19" s="205"/>
      <c r="U19" s="208"/>
      <c r="V19" s="187">
        <f t="shared" si="0"/>
        <v>968.32</v>
      </c>
      <c r="W19" s="2">
        <v>0</v>
      </c>
      <c r="X19" s="2">
        <v>0</v>
      </c>
      <c r="Y19" s="223">
        <v>968.32</v>
      </c>
      <c r="Z19" s="221">
        <v>181354.08960000001</v>
      </c>
      <c r="AA19" s="31">
        <f t="shared" si="1"/>
        <v>181354.08960000001</v>
      </c>
      <c r="AB19" s="129">
        <f t="shared" si="2"/>
        <v>13.976019710097573</v>
      </c>
      <c r="AC19" s="135">
        <v>129.78216000000467</v>
      </c>
      <c r="AD19" s="2">
        <v>0</v>
      </c>
      <c r="AE19" s="2">
        <v>500</v>
      </c>
      <c r="AF19" s="2">
        <v>36</v>
      </c>
      <c r="AG19" s="2">
        <f t="shared" si="9"/>
        <v>665.78216000000464</v>
      </c>
      <c r="AH19" s="2">
        <v>6856976.7433600426</v>
      </c>
      <c r="AI19" s="43">
        <f t="shared" si="3"/>
        <v>528.43165725268875</v>
      </c>
      <c r="AJ19" s="144">
        <v>445.09000000000015</v>
      </c>
      <c r="AK19" s="2">
        <v>4673445.0000000019</v>
      </c>
      <c r="AL19" s="39">
        <f t="shared" si="4"/>
        <v>360.15818324318047</v>
      </c>
      <c r="AM19" s="6"/>
    </row>
    <row r="20" spans="1:39">
      <c r="A20" s="33"/>
      <c r="B20" s="58">
        <v>9</v>
      </c>
      <c r="C20" s="224">
        <v>72</v>
      </c>
      <c r="D20" s="225">
        <v>540</v>
      </c>
      <c r="E20" s="106">
        <v>10959.99999999998</v>
      </c>
      <c r="F20" s="2">
        <v>11352148.799999978</v>
      </c>
      <c r="G20" s="35">
        <v>2239.999999999995</v>
      </c>
      <c r="H20" s="2">
        <v>3480220.7999999924</v>
      </c>
      <c r="I20" s="103">
        <f t="shared" si="5"/>
        <v>14832369.599999972</v>
      </c>
      <c r="J20" s="106">
        <v>1359.9999999999995</v>
      </c>
      <c r="K20" s="2">
        <v>1408660.7999999996</v>
      </c>
      <c r="L20" s="185">
        <v>340.00000000000006</v>
      </c>
      <c r="M20" s="186">
        <v>528247.80000000016</v>
      </c>
      <c r="N20" s="94">
        <f t="shared" si="6"/>
        <v>1936908.5999999996</v>
      </c>
      <c r="O20" s="108">
        <f t="shared" si="7"/>
        <v>16769278.199999971</v>
      </c>
      <c r="P20" s="111">
        <f t="shared" si="8"/>
        <v>14899.999999999975</v>
      </c>
      <c r="Q20" s="195"/>
      <c r="R20" s="197"/>
      <c r="S20" s="202"/>
      <c r="T20" s="205"/>
      <c r="U20" s="208"/>
      <c r="V20" s="187">
        <f t="shared" si="0"/>
        <v>941.62</v>
      </c>
      <c r="W20" s="2">
        <v>0</v>
      </c>
      <c r="X20" s="2">
        <v>0</v>
      </c>
      <c r="Y20" s="223">
        <v>941.62</v>
      </c>
      <c r="Z20" s="221">
        <v>555396.89940000011</v>
      </c>
      <c r="AA20" s="31">
        <f t="shared" si="1"/>
        <v>555396.89940000011</v>
      </c>
      <c r="AB20" s="129">
        <f t="shared" si="2"/>
        <v>42.801560362173824</v>
      </c>
      <c r="AC20" s="135">
        <v>129.86272000002108</v>
      </c>
      <c r="AD20" s="2">
        <v>0</v>
      </c>
      <c r="AE20" s="2">
        <v>50</v>
      </c>
      <c r="AF20" s="2">
        <v>12</v>
      </c>
      <c r="AG20" s="2">
        <f t="shared" si="9"/>
        <v>191.86272000002108</v>
      </c>
      <c r="AH20" s="2">
        <v>1858217.5731201938</v>
      </c>
      <c r="AI20" s="43">
        <f t="shared" si="3"/>
        <v>143.20319704319203</v>
      </c>
      <c r="AJ20" s="144">
        <v>756.49000000000888</v>
      </c>
      <c r="AK20" s="2">
        <v>7943145.0000000931</v>
      </c>
      <c r="AL20" s="39">
        <f t="shared" si="4"/>
        <v>612.13701507927988</v>
      </c>
      <c r="AM20" s="6"/>
    </row>
    <row r="21" spans="1:39">
      <c r="A21" s="33"/>
      <c r="B21" s="58">
        <v>10</v>
      </c>
      <c r="C21" s="224">
        <v>71</v>
      </c>
      <c r="D21" s="225">
        <v>540</v>
      </c>
      <c r="E21" s="106">
        <v>11240.000000000065</v>
      </c>
      <c r="F21" s="2">
        <v>11642167.200000068</v>
      </c>
      <c r="G21" s="35">
        <v>2359.9999999999995</v>
      </c>
      <c r="H21" s="2">
        <v>3666661.1999999993</v>
      </c>
      <c r="I21" s="103">
        <f t="shared" si="5"/>
        <v>15308828.400000067</v>
      </c>
      <c r="J21" s="106">
        <v>1359.9999999999995</v>
      </c>
      <c r="K21" s="2">
        <v>1408660.7999999996</v>
      </c>
      <c r="L21" s="185">
        <v>319.99999999999983</v>
      </c>
      <c r="M21" s="186">
        <v>497174.39999999973</v>
      </c>
      <c r="N21" s="94">
        <f t="shared" si="6"/>
        <v>1905835.1999999993</v>
      </c>
      <c r="O21" s="108">
        <f t="shared" si="7"/>
        <v>17214663.600000069</v>
      </c>
      <c r="P21" s="111">
        <f t="shared" si="8"/>
        <v>15280.000000000065</v>
      </c>
      <c r="Q21" s="195"/>
      <c r="R21" s="197"/>
      <c r="S21" s="202"/>
      <c r="T21" s="205"/>
      <c r="U21" s="208"/>
      <c r="V21" s="187">
        <f t="shared" si="0"/>
        <v>891.78000000000009</v>
      </c>
      <c r="W21" s="2">
        <v>0</v>
      </c>
      <c r="X21" s="2">
        <v>0</v>
      </c>
      <c r="Y21" s="223">
        <v>891.78000000000009</v>
      </c>
      <c r="Z21" s="221">
        <v>426937.75260000007</v>
      </c>
      <c r="AA21" s="31">
        <f t="shared" si="1"/>
        <v>426937.75260000007</v>
      </c>
      <c r="AB21" s="129">
        <f t="shared" si="2"/>
        <v>32.901879734188036</v>
      </c>
      <c r="AC21" s="135">
        <v>126.51948000001406</v>
      </c>
      <c r="AD21" s="2">
        <v>0</v>
      </c>
      <c r="AE21" s="2">
        <v>0</v>
      </c>
      <c r="AF21" s="2">
        <v>12</v>
      </c>
      <c r="AG21" s="2">
        <f t="shared" si="9"/>
        <v>138.51948000001406</v>
      </c>
      <c r="AH21" s="2">
        <v>1302973.1380801292</v>
      </c>
      <c r="AI21" s="43">
        <f t="shared" si="3"/>
        <v>100.41338631900126</v>
      </c>
      <c r="AJ21" s="144">
        <v>461.10000000000218</v>
      </c>
      <c r="AK21" s="2">
        <v>4841550.0000000233</v>
      </c>
      <c r="AL21" s="39">
        <f t="shared" si="4"/>
        <v>373.11316428909043</v>
      </c>
      <c r="AM21" s="6"/>
    </row>
    <row r="22" spans="1:39">
      <c r="A22" s="33"/>
      <c r="B22" s="58">
        <v>11</v>
      </c>
      <c r="C22" s="224">
        <v>64</v>
      </c>
      <c r="D22" s="225">
        <v>583</v>
      </c>
      <c r="E22" s="106">
        <v>11719.999999999913</v>
      </c>
      <c r="F22" s="2">
        <v>12139341.599999908</v>
      </c>
      <c r="G22" s="35">
        <v>2160.0000000000109</v>
      </c>
      <c r="H22" s="2">
        <v>3355927.200000017</v>
      </c>
      <c r="I22" s="103">
        <f t="shared" si="5"/>
        <v>15495268.799999926</v>
      </c>
      <c r="J22" s="106">
        <v>1320.0000000000002</v>
      </c>
      <c r="K22" s="2">
        <v>1367229.6</v>
      </c>
      <c r="L22" s="185">
        <v>300.00000000000028</v>
      </c>
      <c r="M22" s="186">
        <v>466101.00000000047</v>
      </c>
      <c r="N22" s="94">
        <f t="shared" si="6"/>
        <v>1833330.6000000006</v>
      </c>
      <c r="O22" s="108">
        <f t="shared" si="7"/>
        <v>17328599.399999928</v>
      </c>
      <c r="P22" s="111">
        <f t="shared" si="8"/>
        <v>15499.999999999924</v>
      </c>
      <c r="Q22" s="195"/>
      <c r="R22" s="197"/>
      <c r="S22" s="202"/>
      <c r="T22" s="205"/>
      <c r="U22" s="208"/>
      <c r="V22" s="187">
        <f t="shared" si="0"/>
        <v>889.11000000000013</v>
      </c>
      <c r="W22" s="2">
        <v>12.46</v>
      </c>
      <c r="X22" s="2">
        <v>223908.44280000002</v>
      </c>
      <c r="Y22" s="223">
        <v>876.65000000000009</v>
      </c>
      <c r="Z22" s="221">
        <v>487389.11580000003</v>
      </c>
      <c r="AA22" s="31">
        <f t="shared" si="1"/>
        <v>711297.55860000011</v>
      </c>
      <c r="AB22" s="129">
        <f t="shared" si="2"/>
        <v>54.816016118877108</v>
      </c>
      <c r="AC22" s="135">
        <v>128.93627999997889</v>
      </c>
      <c r="AD22" s="2">
        <v>0</v>
      </c>
      <c r="AE22" s="2">
        <v>0</v>
      </c>
      <c r="AF22" s="2">
        <v>0</v>
      </c>
      <c r="AG22" s="2">
        <f t="shared" si="9"/>
        <v>128.93627999997889</v>
      </c>
      <c r="AH22" s="2">
        <v>1185698.0308798058</v>
      </c>
      <c r="AI22" s="43">
        <f t="shared" si="3"/>
        <v>91.375601655029044</v>
      </c>
      <c r="AJ22" s="144">
        <v>412.70000000000073</v>
      </c>
      <c r="AK22" s="2">
        <v>4333350.0000000075</v>
      </c>
      <c r="AL22" s="39">
        <f t="shared" si="4"/>
        <v>333.94882433768629</v>
      </c>
      <c r="AM22" s="6"/>
    </row>
    <row r="23" spans="1:39">
      <c r="A23" s="33"/>
      <c r="B23" s="58">
        <v>12</v>
      </c>
      <c r="C23" s="224">
        <v>66</v>
      </c>
      <c r="D23" s="225">
        <v>593</v>
      </c>
      <c r="E23" s="106">
        <v>10120.000000000004</v>
      </c>
      <c r="F23" s="2">
        <v>10482093.600000003</v>
      </c>
      <c r="G23" s="35">
        <v>983.99999999999466</v>
      </c>
      <c r="H23" s="2">
        <v>1528811.2799999919</v>
      </c>
      <c r="I23" s="103">
        <f t="shared" si="5"/>
        <v>12010904.879999995</v>
      </c>
      <c r="J23" s="106">
        <v>1339.9999999999998</v>
      </c>
      <c r="K23" s="2">
        <v>1387945.1999999997</v>
      </c>
      <c r="L23" s="185">
        <v>339.99999999999989</v>
      </c>
      <c r="M23" s="186">
        <v>528247.79999999981</v>
      </c>
      <c r="N23" s="94">
        <f t="shared" si="6"/>
        <v>1916192.9999999995</v>
      </c>
      <c r="O23" s="108">
        <f t="shared" si="7"/>
        <v>13927097.879999995</v>
      </c>
      <c r="P23" s="111">
        <f t="shared" si="8"/>
        <v>12783.999999999998</v>
      </c>
      <c r="Q23" s="195"/>
      <c r="R23" s="197"/>
      <c r="S23" s="202"/>
      <c r="T23" s="205"/>
      <c r="U23" s="208"/>
      <c r="V23" s="187">
        <f t="shared" si="0"/>
        <v>889.1099999999999</v>
      </c>
      <c r="W23" s="2">
        <v>17.8</v>
      </c>
      <c r="X23" s="2">
        <v>319869.20400000003</v>
      </c>
      <c r="Y23" s="223">
        <v>871.31</v>
      </c>
      <c r="Z23" s="221">
        <v>71785.993800000011</v>
      </c>
      <c r="AA23" s="31">
        <f t="shared" si="1"/>
        <v>391655.19780000002</v>
      </c>
      <c r="AB23" s="129">
        <f t="shared" si="2"/>
        <v>30.182836108565834</v>
      </c>
      <c r="AC23" s="135">
        <v>118.0204000000117</v>
      </c>
      <c r="AD23" s="2">
        <v>0</v>
      </c>
      <c r="AE23" s="2">
        <v>200</v>
      </c>
      <c r="AF23" s="2">
        <v>12</v>
      </c>
      <c r="AG23" s="2">
        <f t="shared" si="9"/>
        <v>330.0204000000117</v>
      </c>
      <c r="AH23" s="2">
        <v>3322815.5984001076</v>
      </c>
      <c r="AI23" s="43">
        <f t="shared" si="3"/>
        <v>256.07217570162567</v>
      </c>
      <c r="AJ23" s="144">
        <v>370</v>
      </c>
      <c r="AK23" s="2">
        <v>3885000</v>
      </c>
      <c r="AL23" s="39">
        <f t="shared" si="4"/>
        <v>299.39681367808021</v>
      </c>
      <c r="AM23" s="6"/>
    </row>
    <row r="24" spans="1:39">
      <c r="A24" s="33"/>
      <c r="B24" s="58">
        <v>13</v>
      </c>
      <c r="C24" s="224">
        <v>62</v>
      </c>
      <c r="D24" s="225">
        <v>466</v>
      </c>
      <c r="E24" s="106">
        <v>10240.000000000009</v>
      </c>
      <c r="F24" s="2">
        <v>10606387.200000009</v>
      </c>
      <c r="G24" s="35">
        <v>3256</v>
      </c>
      <c r="H24" s="2">
        <v>5058749.5200000005</v>
      </c>
      <c r="I24" s="103">
        <f t="shared" si="5"/>
        <v>15665136.72000001</v>
      </c>
      <c r="J24" s="106">
        <v>1300.0000000000007</v>
      </c>
      <c r="K24" s="2">
        <v>1346514.0000000007</v>
      </c>
      <c r="L24" s="185">
        <v>339.99999999999989</v>
      </c>
      <c r="M24" s="186">
        <v>528247.79999999981</v>
      </c>
      <c r="N24" s="94">
        <f t="shared" si="6"/>
        <v>1874761.8000000005</v>
      </c>
      <c r="O24" s="108">
        <f t="shared" si="7"/>
        <v>17539898.520000011</v>
      </c>
      <c r="P24" s="111">
        <f t="shared" si="8"/>
        <v>15136.000000000009</v>
      </c>
      <c r="Q24" s="195"/>
      <c r="R24" s="197"/>
      <c r="S24" s="202"/>
      <c r="T24" s="205"/>
      <c r="U24" s="208"/>
      <c r="V24" s="187">
        <f t="shared" si="0"/>
        <v>833.04</v>
      </c>
      <c r="W24" s="2">
        <v>0</v>
      </c>
      <c r="X24" s="2">
        <v>0</v>
      </c>
      <c r="Y24" s="223">
        <v>833.04</v>
      </c>
      <c r="Z24" s="221">
        <v>132237.35700000002</v>
      </c>
      <c r="AA24" s="31">
        <f t="shared" si="1"/>
        <v>132237.35700000002</v>
      </c>
      <c r="AB24" s="129">
        <f t="shared" si="2"/>
        <v>10.190847705279481</v>
      </c>
      <c r="AC24" s="135">
        <v>124.74716000000467</v>
      </c>
      <c r="AD24" s="2">
        <v>0</v>
      </c>
      <c r="AE24" s="2">
        <v>0</v>
      </c>
      <c r="AF24" s="2">
        <v>0</v>
      </c>
      <c r="AG24" s="2">
        <f t="shared" si="9"/>
        <v>124.74716000000467</v>
      </c>
      <c r="AH24" s="2">
        <v>1147174.8833600429</v>
      </c>
      <c r="AI24" s="43">
        <f t="shared" si="3"/>
        <v>88.406822344792843</v>
      </c>
      <c r="AJ24" s="144">
        <v>507</v>
      </c>
      <c r="AK24" s="2">
        <v>5323500</v>
      </c>
      <c r="AL24" s="39">
        <f t="shared" si="4"/>
        <v>410.25455279672076</v>
      </c>
      <c r="AM24" s="6"/>
    </row>
    <row r="25" spans="1:39">
      <c r="A25" s="33"/>
      <c r="B25" s="58">
        <v>14</v>
      </c>
      <c r="C25" s="224">
        <v>61</v>
      </c>
      <c r="D25" s="225">
        <v>486</v>
      </c>
      <c r="E25" s="106">
        <v>12440.000000000055</v>
      </c>
      <c r="F25" s="2">
        <v>12885103.200000057</v>
      </c>
      <c r="G25" s="35">
        <v>2000</v>
      </c>
      <c r="H25" s="2">
        <v>3107340</v>
      </c>
      <c r="I25" s="103">
        <f t="shared" si="5"/>
        <v>15992443.200000057</v>
      </c>
      <c r="J25" s="106">
        <v>1580</v>
      </c>
      <c r="K25" s="2">
        <v>1636532.4</v>
      </c>
      <c r="L25" s="185">
        <v>300.00000000000028</v>
      </c>
      <c r="M25" s="186">
        <v>466101.00000000047</v>
      </c>
      <c r="N25" s="94">
        <f t="shared" si="6"/>
        <v>2102633.4000000004</v>
      </c>
      <c r="O25" s="108">
        <f t="shared" si="7"/>
        <v>18095076.600000057</v>
      </c>
      <c r="P25" s="111">
        <f t="shared" si="8"/>
        <v>16320.000000000055</v>
      </c>
      <c r="Q25" s="195"/>
      <c r="R25" s="197"/>
      <c r="S25" s="202"/>
      <c r="T25" s="205"/>
      <c r="U25" s="208"/>
      <c r="V25" s="187">
        <f t="shared" si="0"/>
        <v>938.06000000000006</v>
      </c>
      <c r="W25" s="2">
        <v>0</v>
      </c>
      <c r="X25" s="2">
        <v>0</v>
      </c>
      <c r="Y25" s="223">
        <v>938.06000000000006</v>
      </c>
      <c r="Z25" s="221">
        <v>86898.834600000002</v>
      </c>
      <c r="AA25" s="31">
        <f t="shared" si="1"/>
        <v>86898.834600000002</v>
      </c>
      <c r="AB25" s="129">
        <f t="shared" si="2"/>
        <v>6.6968427777550863</v>
      </c>
      <c r="AC25" s="135">
        <v>130.70859999998825</v>
      </c>
      <c r="AD25" s="2">
        <v>0</v>
      </c>
      <c r="AE25" s="2">
        <v>150</v>
      </c>
      <c r="AF25" s="2">
        <v>12</v>
      </c>
      <c r="AG25" s="2">
        <f t="shared" si="9"/>
        <v>292.70859999998822</v>
      </c>
      <c r="AH25" s="2">
        <v>2914996.285599892</v>
      </c>
      <c r="AI25" s="43">
        <f t="shared" si="3"/>
        <v>224.64365503012786</v>
      </c>
      <c r="AJ25" s="144">
        <v>313.29999999999927</v>
      </c>
      <c r="AK25" s="2">
        <v>3289649.9999999925</v>
      </c>
      <c r="AL25" s="39">
        <f t="shared" si="4"/>
        <v>253.51627493335764</v>
      </c>
      <c r="AM25" s="6"/>
    </row>
    <row r="26" spans="1:39">
      <c r="A26" s="33"/>
      <c r="B26" s="58">
        <v>15</v>
      </c>
      <c r="C26" s="224">
        <v>61</v>
      </c>
      <c r="D26" s="225">
        <v>432</v>
      </c>
      <c r="E26" s="106">
        <v>10480.000000000018</v>
      </c>
      <c r="F26" s="2">
        <v>10854974.400000019</v>
      </c>
      <c r="G26" s="35">
        <v>2200.0000000000027</v>
      </c>
      <c r="H26" s="2">
        <v>3418074.0000000042</v>
      </c>
      <c r="I26" s="103">
        <f t="shared" si="5"/>
        <v>14273048.400000023</v>
      </c>
      <c r="J26" s="106">
        <v>1300.0000000000007</v>
      </c>
      <c r="K26" s="2">
        <v>1346514.0000000007</v>
      </c>
      <c r="L26" s="185">
        <v>359.99999999999989</v>
      </c>
      <c r="M26" s="186">
        <v>559321.19999999984</v>
      </c>
      <c r="N26" s="94">
        <f t="shared" si="6"/>
        <v>1905835.2000000007</v>
      </c>
      <c r="O26" s="108">
        <f t="shared" si="7"/>
        <v>16178883.600000024</v>
      </c>
      <c r="P26" s="111">
        <f t="shared" si="8"/>
        <v>14340.000000000022</v>
      </c>
      <c r="Q26" s="195"/>
      <c r="R26" s="197"/>
      <c r="S26" s="202"/>
      <c r="T26" s="205"/>
      <c r="U26" s="208"/>
      <c r="V26" s="187">
        <f t="shared" si="0"/>
        <v>922.93</v>
      </c>
      <c r="W26" s="2">
        <v>0</v>
      </c>
      <c r="X26" s="2">
        <v>0</v>
      </c>
      <c r="Y26" s="223">
        <v>922.93</v>
      </c>
      <c r="Z26" s="221">
        <v>102011.67540000001</v>
      </c>
      <c r="AA26" s="31">
        <f t="shared" si="1"/>
        <v>102011.67540000001</v>
      </c>
      <c r="AB26" s="129">
        <f t="shared" si="2"/>
        <v>7.8615110869298848</v>
      </c>
      <c r="AC26" s="135">
        <v>133.64904000003045</v>
      </c>
      <c r="AD26" s="2">
        <v>0</v>
      </c>
      <c r="AE26" s="2">
        <v>0</v>
      </c>
      <c r="AF26" s="2">
        <v>12</v>
      </c>
      <c r="AG26" s="2">
        <f t="shared" si="9"/>
        <v>145.64904000003045</v>
      </c>
      <c r="AH26" s="2">
        <v>1368536.57184028</v>
      </c>
      <c r="AI26" s="43">
        <f t="shared" si="3"/>
        <v>105.46602033742676</v>
      </c>
      <c r="AJ26" s="144">
        <v>486.29999999999927</v>
      </c>
      <c r="AK26" s="2">
        <v>5106149.9999999925</v>
      </c>
      <c r="AL26" s="39">
        <f t="shared" si="4"/>
        <v>393.50451484229785</v>
      </c>
      <c r="AM26" s="6"/>
    </row>
    <row r="27" spans="1:39">
      <c r="A27" s="33"/>
      <c r="B27" s="58">
        <v>16</v>
      </c>
      <c r="C27" s="224">
        <v>91</v>
      </c>
      <c r="D27" s="225">
        <v>387</v>
      </c>
      <c r="E27" s="106">
        <v>10559.999999999945</v>
      </c>
      <c r="F27" s="2">
        <v>10937836.799999943</v>
      </c>
      <c r="G27" s="35">
        <v>2280.0000000000009</v>
      </c>
      <c r="H27" s="2">
        <v>3542367.6000000015</v>
      </c>
      <c r="I27" s="103">
        <f t="shared" si="5"/>
        <v>14480204.399999944</v>
      </c>
      <c r="J27" s="106">
        <v>1299.9999999999989</v>
      </c>
      <c r="K27" s="2">
        <v>1346513.9999999988</v>
      </c>
      <c r="L27" s="185">
        <v>299.99999999999983</v>
      </c>
      <c r="M27" s="186">
        <v>466100.99999999977</v>
      </c>
      <c r="N27" s="94">
        <f t="shared" si="6"/>
        <v>1812614.9999999986</v>
      </c>
      <c r="O27" s="108">
        <f t="shared" si="7"/>
        <v>16292819.399999943</v>
      </c>
      <c r="P27" s="111">
        <f t="shared" si="8"/>
        <v>14439.999999999945</v>
      </c>
      <c r="Q27" s="195"/>
      <c r="R27" s="197"/>
      <c r="S27" s="202"/>
      <c r="T27" s="205"/>
      <c r="U27" s="208"/>
      <c r="V27" s="187">
        <f t="shared" si="0"/>
        <v>863.30000000000007</v>
      </c>
      <c r="W27" s="2">
        <v>8.01</v>
      </c>
      <c r="X27" s="2">
        <v>143941.14180000001</v>
      </c>
      <c r="Y27" s="223">
        <v>855.29000000000008</v>
      </c>
      <c r="Z27" s="221">
        <v>241805.45280000003</v>
      </c>
      <c r="AA27" s="31">
        <f t="shared" si="1"/>
        <v>385746.59460000007</v>
      </c>
      <c r="AB27" s="129">
        <f t="shared" si="2"/>
        <v>29.727490684790261</v>
      </c>
      <c r="AC27" s="135">
        <v>145.49135999998123</v>
      </c>
      <c r="AD27" s="2">
        <v>0</v>
      </c>
      <c r="AE27" s="2">
        <v>0</v>
      </c>
      <c r="AF27" s="2">
        <v>0</v>
      </c>
      <c r="AG27" s="2">
        <f t="shared" si="9"/>
        <v>145.49135999998123</v>
      </c>
      <c r="AH27" s="2">
        <v>1337938.5465598274</v>
      </c>
      <c r="AI27" s="43">
        <f t="shared" si="3"/>
        <v>103.10798912151715</v>
      </c>
      <c r="AJ27" s="144">
        <v>666.09999999999854</v>
      </c>
      <c r="AK27" s="2">
        <v>6994049.9999999851</v>
      </c>
      <c r="AL27" s="39">
        <f t="shared" si="4"/>
        <v>538.9951826782941</v>
      </c>
      <c r="AM27" s="6"/>
    </row>
    <row r="28" spans="1:39">
      <c r="A28" s="33"/>
      <c r="B28" s="58">
        <v>17</v>
      </c>
      <c r="C28" s="224">
        <v>96</v>
      </c>
      <c r="D28" s="225">
        <v>452</v>
      </c>
      <c r="E28" s="106">
        <v>8559.9999999999454</v>
      </c>
      <c r="F28" s="2">
        <v>8866276.799999943</v>
      </c>
      <c r="G28" s="35">
        <v>2560.0000000000023</v>
      </c>
      <c r="H28" s="2">
        <v>3977395.2000000039</v>
      </c>
      <c r="I28" s="103">
        <f t="shared" si="5"/>
        <v>12843671.999999948</v>
      </c>
      <c r="J28" s="106">
        <v>1019.9999999999995</v>
      </c>
      <c r="K28" s="2">
        <v>1056495.5999999994</v>
      </c>
      <c r="L28" s="185">
        <v>360.00000000000034</v>
      </c>
      <c r="M28" s="186">
        <v>559321.20000000054</v>
      </c>
      <c r="N28" s="94">
        <f t="shared" si="6"/>
        <v>1615816.7999999998</v>
      </c>
      <c r="O28" s="108">
        <f t="shared" si="7"/>
        <v>14459488.799999949</v>
      </c>
      <c r="P28" s="111">
        <f t="shared" si="8"/>
        <v>12499.999999999947</v>
      </c>
      <c r="Q28" s="195"/>
      <c r="R28" s="197"/>
      <c r="S28" s="202"/>
      <c r="T28" s="205"/>
      <c r="U28" s="208"/>
      <c r="V28" s="187">
        <f t="shared" si="0"/>
        <v>877.54</v>
      </c>
      <c r="W28" s="2">
        <v>0</v>
      </c>
      <c r="X28" s="2">
        <v>0</v>
      </c>
      <c r="Y28" s="223">
        <v>877.54</v>
      </c>
      <c r="Z28" s="221">
        <v>75564.204000000012</v>
      </c>
      <c r="AA28" s="31">
        <f t="shared" si="1"/>
        <v>75564.204000000012</v>
      </c>
      <c r="AB28" s="129">
        <f t="shared" si="2"/>
        <v>5.8233415458739888</v>
      </c>
      <c r="AC28" s="135">
        <v>133.64903999997185</v>
      </c>
      <c r="AD28" s="2">
        <v>0</v>
      </c>
      <c r="AE28" s="2">
        <v>200</v>
      </c>
      <c r="AF28" s="2">
        <v>0</v>
      </c>
      <c r="AG28" s="2">
        <f t="shared" si="9"/>
        <v>333.64903999997182</v>
      </c>
      <c r="AH28" s="2">
        <v>3327036.5718397414</v>
      </c>
      <c r="AI28" s="43">
        <f t="shared" si="3"/>
        <v>256.39746424691424</v>
      </c>
      <c r="AJ28" s="144">
        <v>476.7300000000032</v>
      </c>
      <c r="AK28" s="2">
        <v>5005665.0000000335</v>
      </c>
      <c r="AL28" s="39">
        <f t="shared" si="4"/>
        <v>385.7606567155463</v>
      </c>
      <c r="AM28" s="6"/>
    </row>
    <row r="29" spans="1:39">
      <c r="A29" s="33"/>
      <c r="B29" s="58">
        <v>18</v>
      </c>
      <c r="C29" s="224">
        <v>64</v>
      </c>
      <c r="D29" s="225">
        <v>588</v>
      </c>
      <c r="E29" s="106">
        <v>11480.000000000018</v>
      </c>
      <c r="F29" s="2">
        <v>11890754.400000019</v>
      </c>
      <c r="G29" s="35">
        <v>2719.9999999999991</v>
      </c>
      <c r="H29" s="2">
        <v>4225982.3999999985</v>
      </c>
      <c r="I29" s="103">
        <f t="shared" si="5"/>
        <v>16116736.800000018</v>
      </c>
      <c r="J29" s="106">
        <v>1420.0000000000018</v>
      </c>
      <c r="K29" s="2">
        <v>1470807.600000002</v>
      </c>
      <c r="L29" s="185">
        <v>399.99999999999949</v>
      </c>
      <c r="M29" s="186">
        <v>621467.99999999919</v>
      </c>
      <c r="N29" s="94">
        <f t="shared" si="6"/>
        <v>2092275.600000001</v>
      </c>
      <c r="O29" s="108">
        <f t="shared" si="7"/>
        <v>18209012.400000017</v>
      </c>
      <c r="P29" s="111">
        <f t="shared" si="8"/>
        <v>16020.000000000018</v>
      </c>
      <c r="Q29" s="195"/>
      <c r="R29" s="197"/>
      <c r="S29" s="202"/>
      <c r="T29" s="205"/>
      <c r="U29" s="208"/>
      <c r="V29" s="187">
        <f t="shared" si="0"/>
        <v>837.49</v>
      </c>
      <c r="W29" s="2">
        <v>0</v>
      </c>
      <c r="X29" s="2">
        <v>0</v>
      </c>
      <c r="Y29" s="223">
        <v>837.49</v>
      </c>
      <c r="Z29" s="221">
        <v>7556.4204000000009</v>
      </c>
      <c r="AA29" s="31">
        <f t="shared" si="1"/>
        <v>7556.4204000000009</v>
      </c>
      <c r="AB29" s="129">
        <f t="shared" si="2"/>
        <v>0.5823341545873989</v>
      </c>
      <c r="AC29" s="135">
        <v>119.63160000004687</v>
      </c>
      <c r="AD29" s="2">
        <v>0</v>
      </c>
      <c r="AE29" s="2">
        <v>0</v>
      </c>
      <c r="AF29" s="2">
        <v>36</v>
      </c>
      <c r="AG29" s="2">
        <f t="shared" si="9"/>
        <v>155.63160000004689</v>
      </c>
      <c r="AH29" s="2">
        <v>1518632.1936004311</v>
      </c>
      <c r="AI29" s="43">
        <f t="shared" si="3"/>
        <v>117.0331119466982</v>
      </c>
      <c r="AJ29" s="144">
        <v>424.60000000000582</v>
      </c>
      <c r="AK29" s="2">
        <v>4458300.0000000615</v>
      </c>
      <c r="AL29" s="39">
        <f t="shared" si="4"/>
        <v>343.57807321003952</v>
      </c>
      <c r="AM29" s="6"/>
    </row>
    <row r="30" spans="1:39">
      <c r="A30" s="33"/>
      <c r="B30" s="58">
        <v>19</v>
      </c>
      <c r="C30" s="224">
        <v>94</v>
      </c>
      <c r="D30" s="225">
        <v>542</v>
      </c>
      <c r="E30" s="106">
        <v>11759.999999999991</v>
      </c>
      <c r="F30" s="2">
        <v>12180772.79999999</v>
      </c>
      <c r="G30" s="35">
        <v>2399.9999999999914</v>
      </c>
      <c r="H30" s="2">
        <v>3728807.999999987</v>
      </c>
      <c r="I30" s="103">
        <f t="shared" si="5"/>
        <v>15909580.799999977</v>
      </c>
      <c r="J30" s="106">
        <v>1339.9999999999998</v>
      </c>
      <c r="K30" s="2">
        <v>1387945.1999999997</v>
      </c>
      <c r="L30" s="185">
        <v>340.00000000000074</v>
      </c>
      <c r="M30" s="186">
        <v>528247.80000000121</v>
      </c>
      <c r="N30" s="94">
        <f t="shared" si="6"/>
        <v>1916193.0000000009</v>
      </c>
      <c r="O30" s="108">
        <f t="shared" si="7"/>
        <v>17825773.799999978</v>
      </c>
      <c r="P30" s="111">
        <f t="shared" si="8"/>
        <v>15839.999999999982</v>
      </c>
      <c r="Q30" s="195"/>
      <c r="R30" s="197"/>
      <c r="S30" s="202"/>
      <c r="T30" s="205"/>
      <c r="U30" s="208"/>
      <c r="V30" s="187">
        <f t="shared" si="0"/>
        <v>947.85</v>
      </c>
      <c r="W30" s="2">
        <v>0</v>
      </c>
      <c r="X30" s="2">
        <v>0</v>
      </c>
      <c r="Y30" s="223">
        <v>947.85</v>
      </c>
      <c r="Z30" s="221">
        <v>11334.6306</v>
      </c>
      <c r="AA30" s="31">
        <f t="shared" si="1"/>
        <v>11334.6306</v>
      </c>
      <c r="AB30" s="129">
        <f t="shared" si="2"/>
        <v>0.87350123188109829</v>
      </c>
      <c r="AC30" s="135">
        <v>135.50191999999765</v>
      </c>
      <c r="AD30" s="2">
        <v>0</v>
      </c>
      <c r="AE30" s="2">
        <v>0</v>
      </c>
      <c r="AF30" s="2">
        <v>12</v>
      </c>
      <c r="AG30" s="2">
        <f t="shared" si="9"/>
        <v>147.50191999999765</v>
      </c>
      <c r="AH30" s="2">
        <v>1385575.6563199784</v>
      </c>
      <c r="AI30" s="43">
        <f t="shared" si="3"/>
        <v>106.779134263093</v>
      </c>
      <c r="AJ30" s="144">
        <v>344</v>
      </c>
      <c r="AK30" s="2">
        <v>3612000</v>
      </c>
      <c r="AL30" s="39">
        <f t="shared" si="4"/>
        <v>278.35811866286377</v>
      </c>
      <c r="AM30" s="6"/>
    </row>
    <row r="31" spans="1:39">
      <c r="A31" s="33"/>
      <c r="B31" s="58">
        <v>20</v>
      </c>
      <c r="C31" s="224">
        <v>96</v>
      </c>
      <c r="D31" s="225">
        <v>644</v>
      </c>
      <c r="E31" s="106">
        <v>11200.000000000045</v>
      </c>
      <c r="F31" s="2">
        <v>11600736.000000047</v>
      </c>
      <c r="G31" s="35">
        <v>2360.0000000000136</v>
      </c>
      <c r="H31" s="2">
        <v>3666661.2000000211</v>
      </c>
      <c r="I31" s="103">
        <f t="shared" si="5"/>
        <v>15267397.200000068</v>
      </c>
      <c r="J31" s="106">
        <v>1419.9999999999982</v>
      </c>
      <c r="K31" s="2">
        <v>1470807.599999998</v>
      </c>
      <c r="L31" s="185">
        <v>359.99999999999943</v>
      </c>
      <c r="M31" s="186">
        <v>559321.19999999914</v>
      </c>
      <c r="N31" s="94">
        <f t="shared" si="6"/>
        <v>2030128.799999997</v>
      </c>
      <c r="O31" s="108">
        <f t="shared" si="7"/>
        <v>17297526.000000067</v>
      </c>
      <c r="P31" s="111">
        <f t="shared" si="8"/>
        <v>15340.000000000056</v>
      </c>
      <c r="Q31" s="195"/>
      <c r="R31" s="198"/>
      <c r="S31" s="202"/>
      <c r="T31" s="205"/>
      <c r="U31" s="208"/>
      <c r="V31" s="187">
        <f t="shared" si="0"/>
        <v>947.85</v>
      </c>
      <c r="W31" s="2">
        <v>0</v>
      </c>
      <c r="X31" s="2">
        <v>0</v>
      </c>
      <c r="Y31" s="223">
        <v>947.85</v>
      </c>
      <c r="Z31" s="221">
        <v>11334.6306</v>
      </c>
      <c r="AA31" s="31">
        <f t="shared" si="1"/>
        <v>11334.6306</v>
      </c>
      <c r="AB31" s="129">
        <f t="shared" si="2"/>
        <v>0.87350123188109829</v>
      </c>
      <c r="AC31" s="135">
        <v>147.82759999998825</v>
      </c>
      <c r="AD31" s="2">
        <v>0</v>
      </c>
      <c r="AE31" s="2">
        <v>0</v>
      </c>
      <c r="AF31" s="2">
        <v>12</v>
      </c>
      <c r="AG31" s="2">
        <f t="shared" si="9"/>
        <v>159.82759999998825</v>
      </c>
      <c r="AH31" s="2">
        <v>1498922.6095998921</v>
      </c>
      <c r="AI31" s="43">
        <f t="shared" si="3"/>
        <v>115.51419646441201</v>
      </c>
      <c r="AJ31" s="144">
        <v>328.36999999999534</v>
      </c>
      <c r="AK31" s="2">
        <v>3447884.9999999511</v>
      </c>
      <c r="AL31" s="39">
        <f t="shared" si="4"/>
        <v>265.71062623640489</v>
      </c>
      <c r="AM31" s="6"/>
    </row>
    <row r="32" spans="1:39">
      <c r="A32" s="33"/>
      <c r="B32" s="58">
        <v>21</v>
      </c>
      <c r="C32" s="224">
        <v>92</v>
      </c>
      <c r="D32" s="225">
        <v>442</v>
      </c>
      <c r="E32" s="106">
        <v>14600.000000000022</v>
      </c>
      <c r="F32" s="2">
        <v>15122388.000000022</v>
      </c>
      <c r="G32" s="35">
        <v>2479.99999999999</v>
      </c>
      <c r="H32" s="2">
        <v>3853101.5999999847</v>
      </c>
      <c r="I32" s="103">
        <f t="shared" si="5"/>
        <v>18975489.600000009</v>
      </c>
      <c r="J32" s="106">
        <v>1900.000000000002</v>
      </c>
      <c r="K32" s="2">
        <v>1967982.0000000021</v>
      </c>
      <c r="L32" s="185">
        <v>419.99999999999994</v>
      </c>
      <c r="M32" s="186">
        <v>652541.39999999991</v>
      </c>
      <c r="N32" s="94">
        <f t="shared" si="6"/>
        <v>2620523.4000000022</v>
      </c>
      <c r="O32" s="108">
        <f t="shared" si="7"/>
        <v>21596013.000000011</v>
      </c>
      <c r="P32" s="111">
        <f t="shared" si="8"/>
        <v>19400.000000000015</v>
      </c>
      <c r="Q32" s="195"/>
      <c r="R32" s="198"/>
      <c r="S32" s="202"/>
      <c r="T32" s="205"/>
      <c r="U32" s="208"/>
      <c r="V32" s="187">
        <f t="shared" si="0"/>
        <v>925.6</v>
      </c>
      <c r="W32" s="2">
        <v>0</v>
      </c>
      <c r="X32" s="2">
        <v>0</v>
      </c>
      <c r="Y32" s="223">
        <v>925.6</v>
      </c>
      <c r="Z32" s="221">
        <v>483610.90560000006</v>
      </c>
      <c r="AA32" s="31">
        <f t="shared" si="1"/>
        <v>483610.90560000006</v>
      </c>
      <c r="AB32" s="129">
        <f t="shared" si="2"/>
        <v>37.26938589359353</v>
      </c>
      <c r="AC32" s="135">
        <v>134.89771999996248</v>
      </c>
      <c r="AD32" s="2">
        <v>0</v>
      </c>
      <c r="AE32" s="2">
        <v>0</v>
      </c>
      <c r="AF32" s="2">
        <v>24</v>
      </c>
      <c r="AG32" s="2">
        <f t="shared" si="9"/>
        <v>158.89771999996248</v>
      </c>
      <c r="AH32" s="2">
        <v>1519519.4331196549</v>
      </c>
      <c r="AI32" s="43">
        <f t="shared" si="3"/>
        <v>117.10148689779855</v>
      </c>
      <c r="AJ32" s="144">
        <v>441</v>
      </c>
      <c r="AK32" s="2">
        <v>4630500</v>
      </c>
      <c r="AL32" s="39">
        <f t="shared" si="4"/>
        <v>356.84863468117129</v>
      </c>
      <c r="AM32" s="6"/>
    </row>
    <row r="33" spans="1:39">
      <c r="A33" s="33"/>
      <c r="B33" s="58">
        <v>22</v>
      </c>
      <c r="C33" s="224">
        <v>85</v>
      </c>
      <c r="D33" s="225">
        <v>556</v>
      </c>
      <c r="E33" s="106">
        <v>11759.999999999991</v>
      </c>
      <c r="F33" s="2">
        <v>12180772.79999999</v>
      </c>
      <c r="G33" s="35">
        <v>2280.0000000000009</v>
      </c>
      <c r="H33" s="2">
        <v>3542367.6000000015</v>
      </c>
      <c r="I33" s="103">
        <f t="shared" si="5"/>
        <v>15723140.399999991</v>
      </c>
      <c r="J33" s="106">
        <v>1379.9999999999991</v>
      </c>
      <c r="K33" s="2">
        <v>1429376.399999999</v>
      </c>
      <c r="L33" s="185">
        <v>360.00000000000034</v>
      </c>
      <c r="M33" s="186">
        <v>559321.20000000054</v>
      </c>
      <c r="N33" s="94">
        <f t="shared" si="6"/>
        <v>1988697.5999999996</v>
      </c>
      <c r="O33" s="108">
        <f t="shared" si="7"/>
        <v>17711837.999999993</v>
      </c>
      <c r="P33" s="111">
        <f t="shared" si="8"/>
        <v>15779.999999999991</v>
      </c>
      <c r="Q33" s="195"/>
      <c r="R33" s="198"/>
      <c r="S33" s="202"/>
      <c r="T33" s="205"/>
      <c r="U33" s="208"/>
      <c r="V33" s="187">
        <f t="shared" si="0"/>
        <v>909.58</v>
      </c>
      <c r="W33" s="2">
        <v>0</v>
      </c>
      <c r="X33" s="2">
        <v>0</v>
      </c>
      <c r="Y33" s="223">
        <v>909.58</v>
      </c>
      <c r="Z33" s="221">
        <v>7556.4204000000009</v>
      </c>
      <c r="AA33" s="31">
        <f t="shared" si="1"/>
        <v>7556.4204000000009</v>
      </c>
      <c r="AB33" s="129">
        <f t="shared" si="2"/>
        <v>0.5823341545873989</v>
      </c>
      <c r="AC33" s="135">
        <v>141.62448000001405</v>
      </c>
      <c r="AD33" s="2">
        <v>0</v>
      </c>
      <c r="AE33" s="2">
        <v>0</v>
      </c>
      <c r="AF33" s="2">
        <v>0</v>
      </c>
      <c r="AG33" s="2">
        <f t="shared" si="9"/>
        <v>141.62448000001405</v>
      </c>
      <c r="AH33" s="2">
        <v>1302378.7180801292</v>
      </c>
      <c r="AI33" s="43">
        <f t="shared" si="3"/>
        <v>100.36757745053627</v>
      </c>
      <c r="AJ33" s="144">
        <v>372.20000000000437</v>
      </c>
      <c r="AK33" s="2">
        <v>3908100.0000000456</v>
      </c>
      <c r="AL33" s="39">
        <f t="shared" si="4"/>
        <v>301.17701094860206</v>
      </c>
      <c r="AM33" s="6"/>
    </row>
    <row r="34" spans="1:39">
      <c r="A34" s="33"/>
      <c r="B34" s="58">
        <v>23</v>
      </c>
      <c r="C34" s="224">
        <v>90</v>
      </c>
      <c r="D34" s="225">
        <v>684</v>
      </c>
      <c r="E34" s="106">
        <v>8240.0000000000091</v>
      </c>
      <c r="F34" s="2">
        <v>8534827.2000000086</v>
      </c>
      <c r="G34" s="35">
        <v>2240.0000000000091</v>
      </c>
      <c r="H34" s="2">
        <v>3480220.8000000142</v>
      </c>
      <c r="I34" s="103">
        <f t="shared" si="5"/>
        <v>12015048.000000022</v>
      </c>
      <c r="J34" s="106">
        <v>1059.9999999999986</v>
      </c>
      <c r="K34" s="2">
        <v>1097926.7999999986</v>
      </c>
      <c r="L34" s="185">
        <v>339.99999999999989</v>
      </c>
      <c r="M34" s="186">
        <v>528247.79999999981</v>
      </c>
      <c r="N34" s="94">
        <f t="shared" si="6"/>
        <v>1626174.5999999985</v>
      </c>
      <c r="O34" s="108">
        <f t="shared" si="7"/>
        <v>13641222.60000002</v>
      </c>
      <c r="P34" s="111">
        <f t="shared" si="8"/>
        <v>11880.000000000016</v>
      </c>
      <c r="Q34" s="195"/>
      <c r="R34" s="198"/>
      <c r="S34" s="202"/>
      <c r="T34" s="205"/>
      <c r="U34" s="208"/>
      <c r="V34" s="187">
        <f t="shared" si="0"/>
        <v>925.59999999999991</v>
      </c>
      <c r="W34" s="2">
        <v>91.67</v>
      </c>
      <c r="X34" s="2">
        <v>1647326.4006000001</v>
      </c>
      <c r="Y34" s="223">
        <v>833.93</v>
      </c>
      <c r="Z34" s="221">
        <v>3778.2102000000004</v>
      </c>
      <c r="AA34" s="31">
        <f t="shared" si="1"/>
        <v>1651104.6108000001</v>
      </c>
      <c r="AB34" s="129">
        <f t="shared" si="2"/>
        <v>127.24207452321926</v>
      </c>
      <c r="AC34" s="135">
        <v>139.73132000000936</v>
      </c>
      <c r="AD34" s="2">
        <v>0</v>
      </c>
      <c r="AE34" s="2">
        <v>150</v>
      </c>
      <c r="AF34" s="2">
        <v>0</v>
      </c>
      <c r="AG34" s="2">
        <f t="shared" si="9"/>
        <v>289.73132000000936</v>
      </c>
      <c r="AH34" s="2">
        <v>2858469.2187200859</v>
      </c>
      <c r="AI34" s="43">
        <f t="shared" si="3"/>
        <v>220.28740697082756</v>
      </c>
      <c r="AJ34" s="144">
        <v>775.5</v>
      </c>
      <c r="AK34" s="2">
        <v>8142750</v>
      </c>
      <c r="AL34" s="39">
        <f t="shared" si="4"/>
        <v>627.51953785770593</v>
      </c>
      <c r="AM34" s="6"/>
    </row>
    <row r="35" spans="1:39">
      <c r="A35" s="33"/>
      <c r="B35" s="58">
        <v>24</v>
      </c>
      <c r="C35" s="224">
        <v>117</v>
      </c>
      <c r="D35" s="225">
        <v>797</v>
      </c>
      <c r="E35" s="106">
        <v>11039.999999999964</v>
      </c>
      <c r="F35" s="2">
        <v>11435011.199999962</v>
      </c>
      <c r="G35" s="35">
        <v>2280.0000000000009</v>
      </c>
      <c r="H35" s="2">
        <v>3542367.6000000015</v>
      </c>
      <c r="I35" s="103">
        <f t="shared" si="5"/>
        <v>14977378.799999963</v>
      </c>
      <c r="J35" s="106">
        <v>1420.0000000000018</v>
      </c>
      <c r="K35" s="2">
        <v>1470807.600000002</v>
      </c>
      <c r="L35" s="185">
        <v>480.00000000000045</v>
      </c>
      <c r="M35" s="186">
        <v>745761.60000000079</v>
      </c>
      <c r="N35" s="94">
        <f t="shared" si="6"/>
        <v>2216569.200000003</v>
      </c>
      <c r="O35" s="108">
        <f t="shared" si="7"/>
        <v>17193947.999999966</v>
      </c>
      <c r="P35" s="111">
        <f t="shared" si="8"/>
        <v>15219.999999999967</v>
      </c>
      <c r="Q35" s="195"/>
      <c r="R35" s="198"/>
      <c r="S35" s="202"/>
      <c r="T35" s="205"/>
      <c r="U35" s="208"/>
      <c r="V35" s="187">
        <f t="shared" si="0"/>
        <v>906.02</v>
      </c>
      <c r="W35" s="2">
        <v>0</v>
      </c>
      <c r="X35" s="2">
        <v>0</v>
      </c>
      <c r="Y35" s="223">
        <v>906.02</v>
      </c>
      <c r="Z35" s="221">
        <v>532727.63820000004</v>
      </c>
      <c r="AA35" s="31">
        <f t="shared" si="1"/>
        <v>532727.63820000004</v>
      </c>
      <c r="AB35" s="129">
        <f t="shared" si="2"/>
        <v>41.054557898411623</v>
      </c>
      <c r="AC35" s="135">
        <v>147.86788000002576</v>
      </c>
      <c r="AD35" s="2">
        <v>0</v>
      </c>
      <c r="AE35" s="2">
        <v>0</v>
      </c>
      <c r="AF35" s="2">
        <v>12</v>
      </c>
      <c r="AG35" s="2">
        <f t="shared" si="9"/>
        <v>159.86788000002576</v>
      </c>
      <c r="AH35" s="2">
        <v>1499293.0244802369</v>
      </c>
      <c r="AI35" s="43">
        <f t="shared" si="3"/>
        <v>115.54274241934488</v>
      </c>
      <c r="AJ35" s="144">
        <v>412.11999999999534</v>
      </c>
      <c r="AK35" s="2">
        <v>4327259.9999999516</v>
      </c>
      <c r="AL35" s="39">
        <f t="shared" si="4"/>
        <v>333.47949960272712</v>
      </c>
      <c r="AM35" s="6"/>
    </row>
    <row r="36" spans="1:39">
      <c r="A36" s="33"/>
      <c r="B36" s="58">
        <v>25</v>
      </c>
      <c r="C36" s="224">
        <v>130</v>
      </c>
      <c r="D36" s="225">
        <v>806</v>
      </c>
      <c r="E36" s="106">
        <v>14680.000000000064</v>
      </c>
      <c r="F36" s="2">
        <v>15205250.400000066</v>
      </c>
      <c r="G36" s="35">
        <v>2439.9999999999977</v>
      </c>
      <c r="H36" s="2">
        <v>3790954.7999999966</v>
      </c>
      <c r="I36" s="103">
        <f t="shared" si="5"/>
        <v>18996205.200000063</v>
      </c>
      <c r="J36" s="106">
        <v>1980.0000000000005</v>
      </c>
      <c r="K36" s="2">
        <v>2050844.4000000004</v>
      </c>
      <c r="L36" s="185">
        <v>419.99999999999994</v>
      </c>
      <c r="M36" s="186">
        <v>652541.39999999991</v>
      </c>
      <c r="N36" s="94">
        <f t="shared" si="6"/>
        <v>2703385.8000000003</v>
      </c>
      <c r="O36" s="108">
        <f t="shared" si="7"/>
        <v>21699591.000000063</v>
      </c>
      <c r="P36" s="111">
        <f t="shared" si="8"/>
        <v>19520.000000000062</v>
      </c>
      <c r="Q36" s="195"/>
      <c r="R36" s="198"/>
      <c r="S36" s="202"/>
      <c r="T36" s="205"/>
      <c r="U36" s="208"/>
      <c r="V36" s="187">
        <f t="shared" si="0"/>
        <v>954.96999999999991</v>
      </c>
      <c r="W36" s="2">
        <v>40.049999999999997</v>
      </c>
      <c r="X36" s="2">
        <v>719705.70899999992</v>
      </c>
      <c r="Y36" s="223">
        <v>914.92</v>
      </c>
      <c r="Z36" s="221">
        <v>544062.26880000008</v>
      </c>
      <c r="AA36" s="31">
        <f t="shared" si="1"/>
        <v>1263767.9778</v>
      </c>
      <c r="AB36" s="129">
        <f t="shared" si="2"/>
        <v>97.392047820260188</v>
      </c>
      <c r="AC36" s="135">
        <v>127.24451999998593</v>
      </c>
      <c r="AD36" s="2">
        <v>0</v>
      </c>
      <c r="AE36" s="2">
        <v>0</v>
      </c>
      <c r="AF36" s="2">
        <v>12</v>
      </c>
      <c r="AG36" s="2">
        <f t="shared" si="9"/>
        <v>139.24451999998593</v>
      </c>
      <c r="AH36" s="2">
        <v>1309640.6059198705</v>
      </c>
      <c r="AI36" s="43">
        <f t="shared" si="3"/>
        <v>100.92721350729461</v>
      </c>
      <c r="AJ36" s="144">
        <v>457.93000000000029</v>
      </c>
      <c r="AK36" s="2">
        <v>4808265.0000000028</v>
      </c>
      <c r="AL36" s="39">
        <f t="shared" si="4"/>
        <v>370.54806185838743</v>
      </c>
      <c r="AM36" s="6"/>
    </row>
    <row r="37" spans="1:39">
      <c r="A37" s="33"/>
      <c r="B37" s="58">
        <v>26</v>
      </c>
      <c r="C37" s="224">
        <v>124</v>
      </c>
      <c r="D37" s="225">
        <v>881</v>
      </c>
      <c r="E37" s="106">
        <v>8879.9999999999964</v>
      </c>
      <c r="F37" s="2">
        <v>9197726.3999999966</v>
      </c>
      <c r="G37" s="35">
        <v>2519.9999999999818</v>
      </c>
      <c r="H37" s="2">
        <v>3915248.399999972</v>
      </c>
      <c r="I37" s="103">
        <f t="shared" si="5"/>
        <v>13112974.799999969</v>
      </c>
      <c r="J37" s="106">
        <v>1039.9999999999991</v>
      </c>
      <c r="K37" s="2">
        <v>1077211.199999999</v>
      </c>
      <c r="L37" s="185">
        <v>400.00000000000034</v>
      </c>
      <c r="M37" s="186">
        <v>621468.00000000058</v>
      </c>
      <c r="N37" s="94">
        <f t="shared" si="6"/>
        <v>1698679.1999999997</v>
      </c>
      <c r="O37" s="108">
        <f t="shared" si="7"/>
        <v>14811653.999999968</v>
      </c>
      <c r="P37" s="111">
        <f t="shared" si="8"/>
        <v>12839.999999999978</v>
      </c>
      <c r="Q37" s="195"/>
      <c r="R37" s="198"/>
      <c r="S37" s="202"/>
      <c r="T37" s="205"/>
      <c r="U37" s="208"/>
      <c r="V37" s="187">
        <f t="shared" si="0"/>
        <v>949.63</v>
      </c>
      <c r="W37" s="2">
        <v>39.160000000000004</v>
      </c>
      <c r="X37" s="2">
        <v>703712.24880000006</v>
      </c>
      <c r="Y37" s="223">
        <v>910.47</v>
      </c>
      <c r="Z37" s="221">
        <v>306035.02620000002</v>
      </c>
      <c r="AA37" s="31">
        <f t="shared" si="1"/>
        <v>1009747.2750000001</v>
      </c>
      <c r="AB37" s="129">
        <f t="shared" si="2"/>
        <v>77.815988868757856</v>
      </c>
      <c r="AC37" s="135">
        <v>112.9048399999953</v>
      </c>
      <c r="AD37" s="2">
        <v>0</v>
      </c>
      <c r="AE37" s="2">
        <v>0</v>
      </c>
      <c r="AF37" s="2">
        <v>72</v>
      </c>
      <c r="AG37" s="2">
        <f t="shared" si="9"/>
        <v>184.90483999999532</v>
      </c>
      <c r="AH37" s="2">
        <v>1875272.9086399567</v>
      </c>
      <c r="AI37" s="43">
        <f t="shared" si="3"/>
        <v>144.51756335228538</v>
      </c>
      <c r="AJ37" s="144">
        <v>467.75</v>
      </c>
      <c r="AK37" s="2">
        <v>4911375</v>
      </c>
      <c r="AL37" s="39">
        <f t="shared" si="4"/>
        <v>378.49421512951898</v>
      </c>
      <c r="AM37" s="6"/>
    </row>
    <row r="38" spans="1:39">
      <c r="A38" s="33"/>
      <c r="B38" s="58">
        <v>27</v>
      </c>
      <c r="C38" s="224">
        <v>95</v>
      </c>
      <c r="D38" s="225">
        <v>769</v>
      </c>
      <c r="E38" s="106">
        <v>11799.999999999955</v>
      </c>
      <c r="F38" s="2">
        <v>12222203.999999953</v>
      </c>
      <c r="G38" s="35">
        <v>2560.0000000000023</v>
      </c>
      <c r="H38" s="2">
        <v>3977395.2000000039</v>
      </c>
      <c r="I38" s="103">
        <f t="shared" si="5"/>
        <v>16199599.199999958</v>
      </c>
      <c r="J38" s="106">
        <v>1680.0000000000032</v>
      </c>
      <c r="K38" s="2">
        <v>1740110.4000000032</v>
      </c>
      <c r="L38" s="185">
        <v>419.99999999999994</v>
      </c>
      <c r="M38" s="186">
        <v>652541.39999999991</v>
      </c>
      <c r="N38" s="94">
        <f t="shared" si="6"/>
        <v>2392651.8000000031</v>
      </c>
      <c r="O38" s="108">
        <f t="shared" si="7"/>
        <v>18592250.999999963</v>
      </c>
      <c r="P38" s="111">
        <f t="shared" si="8"/>
        <v>16459.99999999996</v>
      </c>
      <c r="Q38" s="195"/>
      <c r="R38" s="198"/>
      <c r="S38" s="202"/>
      <c r="T38" s="205"/>
      <c r="U38" s="208"/>
      <c r="V38" s="187">
        <f t="shared" si="0"/>
        <v>925.59999999999991</v>
      </c>
      <c r="W38" s="2">
        <v>98.79</v>
      </c>
      <c r="X38" s="2">
        <v>1775274.0822000001</v>
      </c>
      <c r="Y38" s="223">
        <v>826.81</v>
      </c>
      <c r="Z38" s="221">
        <v>192688.72020000001</v>
      </c>
      <c r="AA38" s="31">
        <f t="shared" si="1"/>
        <v>1967962.8024000002</v>
      </c>
      <c r="AB38" s="129">
        <f t="shared" si="2"/>
        <v>151.66069304389845</v>
      </c>
      <c r="AC38" s="135">
        <v>131.23224000000701</v>
      </c>
      <c r="AD38" s="2">
        <v>0</v>
      </c>
      <c r="AE38" s="2">
        <v>0</v>
      </c>
      <c r="AF38" s="2">
        <v>0</v>
      </c>
      <c r="AG38" s="2">
        <f t="shared" si="9"/>
        <v>131.23224000000701</v>
      </c>
      <c r="AH38" s="2">
        <v>1206811.6790400646</v>
      </c>
      <c r="AI38" s="43">
        <f t="shared" si="3"/>
        <v>93.002721084707687</v>
      </c>
      <c r="AJ38" s="144">
        <v>488</v>
      </c>
      <c r="AK38" s="2">
        <v>5124000</v>
      </c>
      <c r="AL38" s="39">
        <f t="shared" si="4"/>
        <v>394.88012182406254</v>
      </c>
      <c r="AM38" s="6"/>
    </row>
    <row r="39" spans="1:39">
      <c r="A39" s="33"/>
      <c r="B39" s="58">
        <v>28</v>
      </c>
      <c r="C39" s="224">
        <v>93</v>
      </c>
      <c r="D39" s="225">
        <v>642</v>
      </c>
      <c r="E39" s="106">
        <v>14799.999999999955</v>
      </c>
      <c r="F39" s="2">
        <v>15329543.999999952</v>
      </c>
      <c r="G39" s="35">
        <v>2439.9999999999977</v>
      </c>
      <c r="H39" s="2">
        <v>3790954.7999999966</v>
      </c>
      <c r="I39" s="103">
        <f t="shared" si="5"/>
        <v>19120498.799999949</v>
      </c>
      <c r="J39" s="106">
        <v>1899.9999999999986</v>
      </c>
      <c r="K39" s="2">
        <v>1967981.9999999986</v>
      </c>
      <c r="L39" s="185">
        <v>339.99999999999989</v>
      </c>
      <c r="M39" s="186">
        <v>528247.79999999981</v>
      </c>
      <c r="N39" s="94">
        <f t="shared" si="6"/>
        <v>2496229.7999999984</v>
      </c>
      <c r="O39" s="108">
        <f t="shared" si="7"/>
        <v>21616728.599999946</v>
      </c>
      <c r="P39" s="111">
        <f t="shared" si="8"/>
        <v>19479.999999999949</v>
      </c>
      <c r="Q39" s="195"/>
      <c r="R39" s="211"/>
      <c r="S39" s="202"/>
      <c r="T39" s="205"/>
      <c r="U39" s="208"/>
      <c r="V39" s="187">
        <f t="shared" si="0"/>
        <v>957.6400000000001</v>
      </c>
      <c r="W39" s="2">
        <v>0</v>
      </c>
      <c r="X39" s="2">
        <v>0</v>
      </c>
      <c r="Y39" s="223">
        <v>957.6400000000001</v>
      </c>
      <c r="Z39" s="221">
        <v>272031.13440000004</v>
      </c>
      <c r="AA39" s="31">
        <f t="shared" si="1"/>
        <v>272031.13440000004</v>
      </c>
      <c r="AB39" s="129">
        <f t="shared" si="2"/>
        <v>20.964029565146362</v>
      </c>
      <c r="AC39" s="135">
        <v>126.19724000000701</v>
      </c>
      <c r="AD39" s="2">
        <v>0</v>
      </c>
      <c r="AE39" s="2">
        <v>0</v>
      </c>
      <c r="AF39" s="2">
        <v>0</v>
      </c>
      <c r="AG39" s="2">
        <f t="shared" si="9"/>
        <v>126.19724000000701</v>
      </c>
      <c r="AH39" s="2">
        <v>1160509.8190400645</v>
      </c>
      <c r="AI39" s="43">
        <f t="shared" si="3"/>
        <v>89.434476721421049</v>
      </c>
      <c r="AJ39" s="144">
        <v>300.4800000000032</v>
      </c>
      <c r="AK39" s="2">
        <v>3155040.0000000335</v>
      </c>
      <c r="AL39" s="39">
        <f t="shared" si="4"/>
        <v>243.14257992970406</v>
      </c>
      <c r="AM39" s="6"/>
    </row>
    <row r="40" spans="1:39">
      <c r="A40" s="33"/>
      <c r="B40" s="58">
        <v>29</v>
      </c>
      <c r="C40" s="224">
        <v>94</v>
      </c>
      <c r="D40" s="225">
        <v>579</v>
      </c>
      <c r="E40" s="106">
        <v>11840.000000000033</v>
      </c>
      <c r="F40" s="2">
        <v>12263635.200000033</v>
      </c>
      <c r="G40" s="35">
        <v>2480.0000000000182</v>
      </c>
      <c r="H40" s="2">
        <v>3853101.6000000285</v>
      </c>
      <c r="I40" s="103">
        <f t="shared" si="5"/>
        <v>16116736.80000006</v>
      </c>
      <c r="J40" s="106">
        <v>1559.9999999999952</v>
      </c>
      <c r="K40" s="2">
        <v>1615816.7999999949</v>
      </c>
      <c r="L40" s="185">
        <v>519.99999999999955</v>
      </c>
      <c r="M40" s="186">
        <v>807908.39999999932</v>
      </c>
      <c r="N40" s="94">
        <f t="shared" si="6"/>
        <v>2423725.1999999941</v>
      </c>
      <c r="O40" s="108">
        <f t="shared" si="7"/>
        <v>18540462.000000056</v>
      </c>
      <c r="P40" s="111">
        <f t="shared" si="8"/>
        <v>16400.000000000044</v>
      </c>
      <c r="Q40" s="210"/>
      <c r="R40" s="212"/>
      <c r="S40" s="202"/>
      <c r="T40" s="205"/>
      <c r="U40" s="208"/>
      <c r="V40" s="187">
        <f t="shared" si="0"/>
        <v>934.50000000000011</v>
      </c>
      <c r="W40" s="2">
        <v>0</v>
      </c>
      <c r="X40" s="2">
        <v>0</v>
      </c>
      <c r="Y40" s="223">
        <v>934.50000000000011</v>
      </c>
      <c r="Z40" s="221">
        <v>332482.49760000006</v>
      </c>
      <c r="AA40" s="31">
        <f t="shared" si="1"/>
        <v>332482.49760000006</v>
      </c>
      <c r="AB40" s="129">
        <f t="shared" si="2"/>
        <v>25.622702801845552</v>
      </c>
      <c r="AC40" s="135">
        <v>137.1131199999742</v>
      </c>
      <c r="AD40" s="2">
        <v>0</v>
      </c>
      <c r="AE40" s="2">
        <v>0</v>
      </c>
      <c r="AF40" s="2">
        <v>0</v>
      </c>
      <c r="AG40" s="2">
        <f t="shared" si="9"/>
        <v>137.1131199999742</v>
      </c>
      <c r="AH40" s="2">
        <v>1260892.2515197627</v>
      </c>
      <c r="AI40" s="43">
        <f t="shared" si="3"/>
        <v>97.17043050100321</v>
      </c>
      <c r="AJ40" s="144">
        <v>324.92999999999574</v>
      </c>
      <c r="AK40" s="2">
        <v>3411764.9999999553</v>
      </c>
      <c r="AL40" s="39">
        <f t="shared" si="4"/>
        <v>262.92704504977655</v>
      </c>
      <c r="AM40" s="6"/>
    </row>
    <row r="41" spans="1:39">
      <c r="A41" s="33"/>
      <c r="B41" s="58">
        <v>30</v>
      </c>
      <c r="C41" s="224">
        <v>94</v>
      </c>
      <c r="D41" s="225">
        <v>578</v>
      </c>
      <c r="E41" s="106">
        <v>8200.0000000000455</v>
      </c>
      <c r="F41" s="2">
        <v>8493396.0000000466</v>
      </c>
      <c r="G41" s="35">
        <v>2319.9999999999932</v>
      </c>
      <c r="H41" s="2">
        <v>3604514.3999999897</v>
      </c>
      <c r="I41" s="103">
        <f t="shared" si="5"/>
        <v>12097910.400000036</v>
      </c>
      <c r="J41" s="106">
        <v>1240.000000000002</v>
      </c>
      <c r="K41" s="2">
        <v>1284367.200000002</v>
      </c>
      <c r="L41" s="185">
        <v>480.00000000000045</v>
      </c>
      <c r="M41" s="186">
        <v>745761.60000000079</v>
      </c>
      <c r="N41" s="94">
        <f t="shared" si="6"/>
        <v>2030128.8000000028</v>
      </c>
      <c r="O41" s="108">
        <f t="shared" si="7"/>
        <v>14128039.200000038</v>
      </c>
      <c r="P41" s="111">
        <f t="shared" si="8"/>
        <v>12240.00000000004</v>
      </c>
      <c r="Q41" s="195"/>
      <c r="R41" s="199"/>
      <c r="S41" s="202"/>
      <c r="T41" s="205"/>
      <c r="U41" s="208"/>
      <c r="V41" s="187">
        <f t="shared" si="0"/>
        <v>847.28</v>
      </c>
      <c r="W41" s="2">
        <v>0</v>
      </c>
      <c r="X41" s="2">
        <v>0</v>
      </c>
      <c r="Y41" s="223">
        <v>847.28</v>
      </c>
      <c r="Z41" s="221">
        <v>3778.2102000000004</v>
      </c>
      <c r="AA41" s="31">
        <f t="shared" si="1"/>
        <v>3778.2102000000004</v>
      </c>
      <c r="AB41" s="129">
        <f t="shared" si="2"/>
        <v>0.29116707729369945</v>
      </c>
      <c r="AC41" s="135">
        <v>129.21824000000703</v>
      </c>
      <c r="AD41" s="2">
        <v>0</v>
      </c>
      <c r="AE41" s="2">
        <v>200</v>
      </c>
      <c r="AF41" s="2">
        <v>60</v>
      </c>
      <c r="AG41" s="2">
        <f t="shared" si="9"/>
        <v>389.21824000000703</v>
      </c>
      <c r="AH41" s="2">
        <v>3983790.9350400646</v>
      </c>
      <c r="AI41" s="43">
        <f t="shared" si="3"/>
        <v>307.01011899887135</v>
      </c>
      <c r="AJ41" s="144">
        <v>503.09999999999854</v>
      </c>
      <c r="AK41" s="2">
        <v>5282549.9999999851</v>
      </c>
      <c r="AL41" s="39">
        <f t="shared" si="4"/>
        <v>407.09874854443711</v>
      </c>
      <c r="AM41" s="6"/>
    </row>
    <row r="42" spans="1:39">
      <c r="A42" s="33"/>
      <c r="B42" s="58">
        <v>31</v>
      </c>
      <c r="C42" s="224">
        <v>84</v>
      </c>
      <c r="D42" s="225">
        <v>553</v>
      </c>
      <c r="E42" s="106">
        <v>12120.000000000004</v>
      </c>
      <c r="F42" s="2">
        <v>12553653.600000003</v>
      </c>
      <c r="G42" s="35">
        <v>2680.0000000000068</v>
      </c>
      <c r="H42" s="2">
        <v>4163835.6000000108</v>
      </c>
      <c r="I42" s="103">
        <f t="shared" si="5"/>
        <v>16717489.200000014</v>
      </c>
      <c r="J42" s="106">
        <v>1619.9999999999975</v>
      </c>
      <c r="K42" s="2">
        <v>1677963.5999999973</v>
      </c>
      <c r="L42" s="185">
        <v>500</v>
      </c>
      <c r="M42" s="186">
        <v>776835</v>
      </c>
      <c r="N42" s="94">
        <f t="shared" si="6"/>
        <v>2454798.5999999973</v>
      </c>
      <c r="O42" s="108">
        <f t="shared" si="7"/>
        <v>19172287.800000012</v>
      </c>
      <c r="P42" s="111">
        <f t="shared" si="8"/>
        <v>16920.000000000007</v>
      </c>
      <c r="Q42" s="195"/>
      <c r="R42" s="199"/>
      <c r="S42" s="202"/>
      <c r="T42" s="205"/>
      <c r="U42" s="208"/>
      <c r="V42" s="187">
        <f t="shared" si="0"/>
        <v>903.35</v>
      </c>
      <c r="W42" s="2">
        <v>0</v>
      </c>
      <c r="X42" s="2">
        <v>0</v>
      </c>
      <c r="Y42" s="223">
        <v>903.35</v>
      </c>
      <c r="Z42" s="221">
        <v>3778.2102000000004</v>
      </c>
      <c r="AA42" s="31">
        <f t="shared" si="1"/>
        <v>3778.2102000000004</v>
      </c>
      <c r="AB42" s="129">
        <f t="shared" si="2"/>
        <v>0.29116707729369945</v>
      </c>
      <c r="AC42" s="135">
        <v>125.75416000000467</v>
      </c>
      <c r="AD42" s="2">
        <v>0</v>
      </c>
      <c r="AE42" s="2">
        <v>0</v>
      </c>
      <c r="AF42" s="2">
        <v>24</v>
      </c>
      <c r="AG42" s="2">
        <f t="shared" si="9"/>
        <v>149.75416000000467</v>
      </c>
      <c r="AH42" s="2">
        <v>1435435.2553600429</v>
      </c>
      <c r="AI42" s="43">
        <f t="shared" si="3"/>
        <v>110.62155513409994</v>
      </c>
      <c r="AJ42" s="144">
        <v>424.69999999999709</v>
      </c>
      <c r="AK42" s="2">
        <v>4459349.9999999693</v>
      </c>
      <c r="AL42" s="39">
        <f t="shared" si="4"/>
        <v>343.65899126778322</v>
      </c>
      <c r="AM42" s="6"/>
    </row>
    <row r="43" spans="1:39">
      <c r="A43" s="33"/>
      <c r="B43" s="123"/>
      <c r="C43" s="152"/>
      <c r="D43" s="153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6"/>
      <c r="R43" s="200"/>
      <c r="S43" s="203"/>
      <c r="T43" s="206"/>
      <c r="U43" s="209"/>
      <c r="V43" s="187"/>
      <c r="W43" s="2"/>
      <c r="X43" s="2"/>
      <c r="Y43" s="31"/>
      <c r="Z43" s="31"/>
      <c r="AA43" s="16"/>
      <c r="AB43" s="130"/>
      <c r="AC43" s="128"/>
      <c r="AD43" s="2"/>
      <c r="AE43" s="1"/>
      <c r="AF43" s="1"/>
      <c r="AG43" s="1"/>
      <c r="AH43" s="2"/>
      <c r="AI43" s="43"/>
      <c r="AJ43" s="144"/>
      <c r="AK43" s="2"/>
      <c r="AL43" s="39"/>
      <c r="AM43" s="6"/>
    </row>
    <row r="44" spans="1:39" s="7" customFormat="1" ht="4.5" customHeight="1">
      <c r="B44" s="118"/>
      <c r="C44" s="119"/>
      <c r="D44" s="119"/>
      <c r="E44" s="117"/>
      <c r="F44" s="6"/>
      <c r="H44" s="6"/>
      <c r="L44" s="6"/>
      <c r="M44" s="62"/>
      <c r="N44" s="66"/>
      <c r="P44" s="66"/>
      <c r="R44" s="86"/>
      <c r="S44" s="6"/>
      <c r="U44" s="32"/>
      <c r="V44" s="131"/>
      <c r="AB44" s="32"/>
      <c r="AD44" s="6"/>
      <c r="AJ44" s="86"/>
      <c r="AL44" s="32"/>
    </row>
    <row r="45" spans="1:39" s="7" customFormat="1" ht="6" customHeight="1">
      <c r="B45" s="118"/>
      <c r="C45" s="119"/>
      <c r="D45" s="119"/>
      <c r="E45" s="117"/>
      <c r="F45" s="6"/>
      <c r="H45" s="6"/>
      <c r="L45" s="6"/>
      <c r="M45" s="62"/>
      <c r="N45" s="66"/>
      <c r="P45" s="66"/>
      <c r="R45" s="86"/>
      <c r="S45" s="14"/>
      <c r="T45" s="14"/>
      <c r="U45" s="32"/>
      <c r="V45" s="131"/>
      <c r="AB45" s="132"/>
      <c r="AD45" s="6"/>
      <c r="AH45" s="6"/>
      <c r="AJ45" s="88"/>
      <c r="AK45" s="4"/>
      <c r="AL45" s="40"/>
    </row>
    <row r="46" spans="1:39" s="7" customFormat="1">
      <c r="B46" s="120"/>
      <c r="C46" s="121"/>
      <c r="D46" s="121"/>
      <c r="E46" s="122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88"/>
      <c r="V46" s="133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5"/>
      <c r="AK46" s="79"/>
      <c r="AL46" s="80"/>
    </row>
    <row r="47" spans="1:39">
      <c r="A47" s="25"/>
      <c r="B47" s="69"/>
      <c r="C47" s="70">
        <f>SUM(C12:C43)</f>
        <v>2817</v>
      </c>
      <c r="D47" s="70">
        <f>SUM(D12:D43)</f>
        <v>20063</v>
      </c>
      <c r="E47" s="70">
        <f>SUM(E12:E43)</f>
        <v>336680.00000000012</v>
      </c>
      <c r="F47" s="70">
        <f>SUM(F12:F43)</f>
        <v>348726410.40000004</v>
      </c>
      <c r="G47" s="70">
        <f>SUM(G12:G43)</f>
        <v>70560</v>
      </c>
      <c r="H47" s="70">
        <f t="shared" ref="H47:O47" si="10">SUM(H12:H43)</f>
        <v>109626955.2</v>
      </c>
      <c r="I47" s="70">
        <f t="shared" si="10"/>
        <v>458353365.5999999</v>
      </c>
      <c r="J47" s="70">
        <f t="shared" si="10"/>
        <v>43192.000000000007</v>
      </c>
      <c r="K47" s="70">
        <f t="shared" si="10"/>
        <v>44737409.75999999</v>
      </c>
      <c r="L47" s="70">
        <f t="shared" si="10"/>
        <v>11556</v>
      </c>
      <c r="M47" s="70">
        <f t="shared" si="10"/>
        <v>17954210.520000003</v>
      </c>
      <c r="N47" s="70">
        <f t="shared" si="10"/>
        <v>62691620.280000009</v>
      </c>
      <c r="O47" s="70">
        <f t="shared" si="10"/>
        <v>521044985.87999994</v>
      </c>
      <c r="P47" s="82">
        <f>SUM(P12:P43)</f>
        <v>461988</v>
      </c>
      <c r="Q47" s="189"/>
      <c r="R47" s="124"/>
      <c r="S47" s="116"/>
      <c r="T47" s="113"/>
      <c r="U47" s="138"/>
      <c r="V47" s="177">
        <f>SUM(V12:V42)</f>
        <v>28387.439999999995</v>
      </c>
      <c r="W47" s="52">
        <f>SUM(W12:W42)</f>
        <v>337.31</v>
      </c>
      <c r="X47" s="52">
        <f t="shared" ref="X47:Z47" si="11">SUM(X12:X42)</f>
        <v>6061521.4157999996</v>
      </c>
      <c r="Y47" s="52">
        <f>SUM(Y12:Y42)</f>
        <v>28050.129999999997</v>
      </c>
      <c r="Z47" s="52">
        <f t="shared" si="11"/>
        <v>6434291.9705999997</v>
      </c>
      <c r="AA47" s="137">
        <f>SUM(AA12:AA42)</f>
        <v>12495813.386400005</v>
      </c>
      <c r="AB47" s="125">
        <f>AA47/$AL$48</f>
        <v>962.98757070889644</v>
      </c>
      <c r="AC47" s="44">
        <f>SUM(AC12:AC41)</f>
        <v>3833.1253599999809</v>
      </c>
      <c r="AD47" s="139">
        <f>SUM(AD12:AD41)</f>
        <v>0</v>
      </c>
      <c r="AE47" s="44">
        <f>SUM(AE12:AE42)</f>
        <v>1800</v>
      </c>
      <c r="AF47" s="44">
        <f>SUM(AF12:AF42)</f>
        <v>456</v>
      </c>
      <c r="AG47" s="44">
        <f>SUM(AG12:AG42)</f>
        <v>6214.8795199999859</v>
      </c>
      <c r="AH47" s="149">
        <f>SUM(AH12:AH43)</f>
        <v>60588856.065919861</v>
      </c>
      <c r="AI47" s="150">
        <f>AH47/$AL$48</f>
        <v>4669.2690992371245</v>
      </c>
      <c r="AJ47" s="146">
        <f>SUM(AJ12:AJ43)</f>
        <v>14005.539999999979</v>
      </c>
      <c r="AK47" s="147">
        <f>SUM(AK12:AK43)</f>
        <v>147058169.99999979</v>
      </c>
      <c r="AL47" s="148">
        <f>AK47/AL48</f>
        <v>11333.010945515929</v>
      </c>
      <c r="AM47" s="25"/>
    </row>
    <row r="48" spans="1:39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5"/>
      <c r="S48" s="13"/>
      <c r="T48" s="81" t="s">
        <v>53</v>
      </c>
      <c r="U48" s="154" t="e">
        <f>U47/S47</f>
        <v>#DIV/0!</v>
      </c>
      <c r="V48" s="10"/>
      <c r="W48" s="10"/>
      <c r="X48" s="10"/>
      <c r="Y48" s="140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8"/>
      <c r="AK48" s="10"/>
      <c r="AL48" s="151">
        <v>12976.09</v>
      </c>
      <c r="AM48" s="25"/>
    </row>
    <row r="49" spans="1:39" s="194" customFormat="1">
      <c r="A49" s="190"/>
      <c r="B49" s="190"/>
      <c r="C49" s="15"/>
      <c r="D49" s="191"/>
      <c r="E49" s="15"/>
      <c r="F49" s="15"/>
      <c r="G49" s="15">
        <f>G47+E47</f>
        <v>407240.00000000012</v>
      </c>
      <c r="H49" s="15"/>
      <c r="I49" s="8"/>
      <c r="J49" s="8"/>
      <c r="K49" s="8"/>
      <c r="L49" s="15">
        <f>L47+J47</f>
        <v>54748.000000000007</v>
      </c>
      <c r="M49" s="67"/>
      <c r="N49" s="67"/>
      <c r="O49" s="9"/>
      <c r="P49" s="67"/>
      <c r="Q49" s="9"/>
      <c r="R49" s="115"/>
      <c r="S49" s="13"/>
      <c r="T49" s="15"/>
      <c r="U49" s="192"/>
      <c r="V49" s="191"/>
      <c r="W49" s="191"/>
      <c r="X49" s="191"/>
      <c r="Y49" s="15"/>
      <c r="Z49" s="15"/>
      <c r="AA49" s="191">
        <f>AA47/V47</f>
        <v>440.18810383747206</v>
      </c>
      <c r="AB49" s="191"/>
      <c r="AC49" s="191"/>
      <c r="AD49" s="15"/>
      <c r="AE49" s="191"/>
      <c r="AF49" s="191"/>
      <c r="AG49" s="15"/>
      <c r="AH49" s="15"/>
      <c r="AI49" s="191"/>
      <c r="AJ49" s="115"/>
      <c r="AK49" s="191"/>
      <c r="AL49" s="193"/>
      <c r="AM49" s="190"/>
    </row>
    <row r="50" spans="1:39" s="215" customFormat="1">
      <c r="A50" s="213"/>
      <c r="B50" s="213"/>
      <c r="C50" s="214"/>
      <c r="E50" s="214"/>
      <c r="F50" s="214"/>
      <c r="H50" s="214"/>
      <c r="L50" s="214"/>
      <c r="M50" s="216"/>
      <c r="N50" s="217"/>
      <c r="P50" s="217"/>
      <c r="R50" s="218"/>
      <c r="AD50" s="214"/>
      <c r="AH50" s="214"/>
      <c r="AJ50" s="218"/>
      <c r="AL50" s="219"/>
      <c r="AM50" s="213"/>
    </row>
    <row r="51" spans="1:39" s="215" customFormat="1">
      <c r="A51" s="213"/>
      <c r="B51" s="213"/>
      <c r="C51" s="214"/>
      <c r="E51" s="214"/>
      <c r="F51" s="214"/>
      <c r="H51" s="214"/>
      <c r="L51" s="214"/>
      <c r="M51" s="216"/>
      <c r="N51" s="217"/>
      <c r="P51" s="217"/>
      <c r="R51" s="218"/>
      <c r="AD51" s="214"/>
      <c r="AH51" s="214"/>
      <c r="AJ51" s="218"/>
      <c r="AL51" s="219"/>
      <c r="AM51" s="213"/>
    </row>
    <row r="52" spans="1:39" s="215" customFormat="1">
      <c r="A52" s="213"/>
      <c r="B52" s="213"/>
      <c r="C52" s="214"/>
      <c r="E52" s="214"/>
      <c r="F52" s="214"/>
      <c r="H52" s="214"/>
      <c r="L52" s="214"/>
      <c r="M52" s="216"/>
      <c r="N52" s="217"/>
      <c r="P52" s="217"/>
      <c r="R52" s="218"/>
      <c r="AD52" s="214"/>
      <c r="AH52" s="214"/>
      <c r="AJ52" s="218"/>
      <c r="AL52" s="219"/>
      <c r="AM52" s="213"/>
    </row>
    <row r="53" spans="1:39" s="215" customFormat="1">
      <c r="A53" s="213"/>
      <c r="B53" s="213"/>
      <c r="C53" s="214"/>
      <c r="E53" s="214"/>
      <c r="F53" s="214"/>
      <c r="H53" s="214"/>
      <c r="L53" s="214"/>
      <c r="M53" s="216"/>
      <c r="N53" s="217"/>
      <c r="P53" s="217"/>
      <c r="R53" s="218"/>
      <c r="AD53" s="214"/>
      <c r="AH53" s="214"/>
      <c r="AJ53" s="218"/>
      <c r="AL53" s="219"/>
      <c r="AM53" s="213"/>
    </row>
    <row r="54" spans="1:39" s="215" customFormat="1">
      <c r="A54" s="213"/>
      <c r="B54" s="213"/>
      <c r="C54" s="214"/>
      <c r="E54" s="214"/>
      <c r="F54" s="214"/>
      <c r="H54" s="214"/>
      <c r="L54" s="214"/>
      <c r="M54" s="216"/>
      <c r="N54" s="217"/>
      <c r="P54" s="217"/>
      <c r="R54" s="218"/>
      <c r="AD54" s="214"/>
      <c r="AH54" s="214"/>
      <c r="AJ54" s="218"/>
      <c r="AL54" s="219"/>
      <c r="AM54" s="213"/>
    </row>
    <row r="55" spans="1:39" s="215" customFormat="1">
      <c r="A55" s="213"/>
      <c r="B55" s="213"/>
      <c r="C55" s="214"/>
      <c r="E55" s="214"/>
      <c r="F55" s="214"/>
      <c r="H55" s="214"/>
      <c r="L55" s="214"/>
      <c r="M55" s="216"/>
      <c r="N55" s="217"/>
      <c r="P55" s="217"/>
      <c r="R55" s="218"/>
      <c r="AD55" s="214"/>
      <c r="AH55" s="214"/>
      <c r="AJ55" s="218"/>
      <c r="AL55" s="219"/>
      <c r="AM55" s="213"/>
    </row>
    <row r="56" spans="1:39" s="215" customFormat="1">
      <c r="A56" s="213"/>
      <c r="B56" s="213"/>
      <c r="C56" s="214"/>
      <c r="E56" s="214"/>
      <c r="F56" s="214"/>
      <c r="H56" s="214"/>
      <c r="L56" s="214"/>
      <c r="M56" s="216"/>
      <c r="N56" s="217"/>
      <c r="P56" s="217"/>
      <c r="R56" s="218"/>
      <c r="AD56" s="214"/>
      <c r="AH56" s="214"/>
      <c r="AJ56" s="218"/>
      <c r="AL56" s="219"/>
      <c r="AM56" s="213"/>
    </row>
    <row r="57" spans="1:39" s="215" customFormat="1">
      <c r="A57" s="213"/>
      <c r="B57" s="213"/>
      <c r="C57" s="214"/>
      <c r="E57" s="214"/>
      <c r="F57" s="214"/>
      <c r="H57" s="214"/>
      <c r="L57" s="214"/>
      <c r="M57" s="216"/>
      <c r="N57" s="217"/>
      <c r="P57" s="217"/>
      <c r="R57" s="218"/>
      <c r="AD57" s="214"/>
      <c r="AH57" s="214"/>
      <c r="AJ57" s="218"/>
      <c r="AL57" s="219"/>
      <c r="AM57" s="213"/>
    </row>
    <row r="58" spans="1:39" s="215" customFormat="1">
      <c r="A58" s="213"/>
      <c r="B58" s="213"/>
      <c r="C58" s="214"/>
      <c r="E58" s="214"/>
      <c r="F58" s="214"/>
      <c r="H58" s="214"/>
      <c r="L58" s="214"/>
      <c r="M58" s="216"/>
      <c r="N58" s="217"/>
      <c r="P58" s="217"/>
      <c r="R58" s="218"/>
      <c r="AD58" s="214"/>
      <c r="AH58" s="214"/>
      <c r="AJ58" s="218"/>
      <c r="AL58" s="219"/>
      <c r="AM58" s="213"/>
    </row>
    <row r="59" spans="1:39" s="215" customFormat="1">
      <c r="A59" s="213"/>
      <c r="B59" s="213"/>
      <c r="C59" s="214"/>
      <c r="E59" s="214"/>
      <c r="F59" s="214"/>
      <c r="H59" s="214"/>
      <c r="L59" s="214"/>
      <c r="M59" s="216"/>
      <c r="N59" s="217"/>
      <c r="P59" s="217"/>
      <c r="R59" s="218"/>
      <c r="AD59" s="214"/>
      <c r="AH59" s="214"/>
      <c r="AJ59" s="218"/>
      <c r="AL59" s="219"/>
      <c r="AM59" s="213"/>
    </row>
    <row r="60" spans="1:39" s="215" customFormat="1">
      <c r="A60" s="213"/>
      <c r="B60" s="213"/>
      <c r="C60" s="214"/>
      <c r="E60" s="214"/>
      <c r="F60" s="214"/>
      <c r="H60" s="214"/>
      <c r="L60" s="214"/>
      <c r="M60" s="216"/>
      <c r="N60" s="217"/>
      <c r="P60" s="217"/>
      <c r="R60" s="218"/>
      <c r="AD60" s="214"/>
      <c r="AH60" s="214"/>
      <c r="AJ60" s="218"/>
      <c r="AL60" s="219"/>
      <c r="AM60" s="213"/>
    </row>
    <row r="61" spans="1:39" s="215" customFormat="1">
      <c r="A61" s="213"/>
      <c r="B61" s="213"/>
      <c r="C61" s="214"/>
      <c r="E61" s="214"/>
      <c r="F61" s="214"/>
      <c r="H61" s="214"/>
      <c r="L61" s="214"/>
      <c r="M61" s="216"/>
      <c r="N61" s="217"/>
      <c r="P61" s="217"/>
      <c r="R61" s="218"/>
      <c r="AD61" s="214"/>
      <c r="AH61" s="214"/>
      <c r="AJ61" s="218"/>
      <c r="AL61" s="219"/>
      <c r="AM61" s="213"/>
    </row>
    <row r="62" spans="1:39" s="215" customFormat="1">
      <c r="A62" s="213"/>
      <c r="B62" s="213"/>
      <c r="C62" s="214"/>
      <c r="E62" s="214"/>
      <c r="F62" s="214"/>
      <c r="H62" s="214"/>
      <c r="L62" s="214"/>
      <c r="M62" s="216"/>
      <c r="N62" s="217"/>
      <c r="P62" s="217"/>
      <c r="R62" s="218"/>
      <c r="AD62" s="214"/>
      <c r="AH62" s="214"/>
      <c r="AJ62" s="218"/>
      <c r="AL62" s="219"/>
      <c r="AM62" s="213"/>
    </row>
    <row r="63" spans="1:39" s="215" customFormat="1">
      <c r="A63" s="213"/>
      <c r="B63" s="213"/>
      <c r="C63" s="214"/>
      <c r="E63" s="214"/>
      <c r="F63" s="214"/>
      <c r="H63" s="214"/>
      <c r="L63" s="214"/>
      <c r="M63" s="216"/>
      <c r="N63" s="217"/>
      <c r="P63" s="217"/>
      <c r="R63" s="218"/>
      <c r="AD63" s="214"/>
      <c r="AH63" s="214"/>
      <c r="AJ63" s="218"/>
      <c r="AL63" s="219"/>
      <c r="AM63" s="213"/>
    </row>
    <row r="64" spans="1:39" s="215" customFormat="1">
      <c r="A64" s="213"/>
      <c r="B64" s="213"/>
      <c r="C64" s="214"/>
      <c r="E64" s="214"/>
      <c r="F64" s="214"/>
      <c r="H64" s="214"/>
      <c r="L64" s="214"/>
      <c r="M64" s="216"/>
      <c r="N64" s="217"/>
      <c r="P64" s="217"/>
      <c r="R64" s="218"/>
      <c r="AD64" s="214"/>
      <c r="AH64" s="214"/>
      <c r="AJ64" s="218"/>
      <c r="AL64" s="219"/>
      <c r="AM64" s="213"/>
    </row>
    <row r="65" spans="1:39" s="215" customFormat="1">
      <c r="A65" s="213"/>
      <c r="B65" s="213"/>
      <c r="C65" s="214"/>
      <c r="E65" s="214"/>
      <c r="F65" s="214"/>
      <c r="H65" s="214"/>
      <c r="L65" s="214"/>
      <c r="M65" s="216"/>
      <c r="N65" s="217"/>
      <c r="P65" s="217"/>
      <c r="R65" s="218"/>
      <c r="AD65" s="214"/>
      <c r="AH65" s="214"/>
      <c r="AJ65" s="218"/>
      <c r="AL65" s="219"/>
      <c r="AM65" s="213"/>
    </row>
    <row r="66" spans="1:39" s="215" customFormat="1">
      <c r="A66" s="213"/>
      <c r="B66" s="213"/>
      <c r="C66" s="214"/>
      <c r="E66" s="214"/>
      <c r="F66" s="214"/>
      <c r="H66" s="214"/>
      <c r="L66" s="214"/>
      <c r="M66" s="216"/>
      <c r="N66" s="217"/>
      <c r="P66" s="217"/>
      <c r="R66" s="218"/>
      <c r="AD66" s="214"/>
      <c r="AH66" s="214"/>
      <c r="AJ66" s="218"/>
      <c r="AL66" s="219"/>
      <c r="AM66" s="213"/>
    </row>
    <row r="67" spans="1:39" s="215" customFormat="1">
      <c r="A67" s="213"/>
      <c r="B67" s="213"/>
      <c r="C67" s="214"/>
      <c r="E67" s="214"/>
      <c r="F67" s="214"/>
      <c r="H67" s="214"/>
      <c r="L67" s="214"/>
      <c r="M67" s="216"/>
      <c r="N67" s="217"/>
      <c r="P67" s="217"/>
      <c r="R67" s="218"/>
      <c r="AD67" s="214"/>
      <c r="AH67" s="214"/>
      <c r="AJ67" s="218"/>
      <c r="AL67" s="219"/>
      <c r="AM67" s="213"/>
    </row>
    <row r="68" spans="1:39" s="215" customFormat="1">
      <c r="A68" s="213"/>
      <c r="B68" s="213"/>
      <c r="C68" s="214"/>
      <c r="E68" s="214"/>
      <c r="F68" s="214"/>
      <c r="H68" s="214"/>
      <c r="L68" s="214"/>
      <c r="M68" s="216"/>
      <c r="N68" s="217"/>
      <c r="P68" s="217"/>
      <c r="R68" s="218"/>
      <c r="AD68" s="214"/>
      <c r="AH68" s="214"/>
      <c r="AJ68" s="218"/>
      <c r="AL68" s="219"/>
      <c r="AM68" s="213"/>
    </row>
    <row r="69" spans="1:39" s="215" customFormat="1">
      <c r="A69" s="213"/>
      <c r="B69" s="213"/>
      <c r="C69" s="214"/>
      <c r="E69" s="214"/>
      <c r="F69" s="214"/>
      <c r="H69" s="214"/>
      <c r="L69" s="214"/>
      <c r="M69" s="216"/>
      <c r="N69" s="217"/>
      <c r="P69" s="217"/>
      <c r="R69" s="218"/>
      <c r="AD69" s="214"/>
      <c r="AH69" s="214"/>
      <c r="AJ69" s="218"/>
      <c r="AL69" s="219"/>
      <c r="AM69" s="213"/>
    </row>
    <row r="70" spans="1:39" s="215" customFormat="1">
      <c r="A70" s="213"/>
      <c r="B70" s="213"/>
      <c r="C70" s="214"/>
      <c r="E70" s="214"/>
      <c r="F70" s="214"/>
      <c r="H70" s="214"/>
      <c r="L70" s="214"/>
      <c r="M70" s="216"/>
      <c r="N70" s="217"/>
      <c r="P70" s="217"/>
      <c r="R70" s="218"/>
      <c r="AD70" s="214"/>
      <c r="AH70" s="214"/>
      <c r="AJ70" s="218"/>
      <c r="AL70" s="219"/>
      <c r="AM70" s="213"/>
    </row>
    <row r="71" spans="1:39" s="215" customFormat="1">
      <c r="A71" s="213"/>
      <c r="B71" s="213"/>
      <c r="C71" s="214"/>
      <c r="E71" s="214"/>
      <c r="F71" s="214"/>
      <c r="H71" s="214"/>
      <c r="L71" s="214"/>
      <c r="M71" s="216"/>
      <c r="N71" s="217"/>
      <c r="P71" s="217"/>
      <c r="R71" s="218"/>
      <c r="AD71" s="214"/>
      <c r="AH71" s="214"/>
      <c r="AJ71" s="218"/>
      <c r="AL71" s="219"/>
      <c r="AM71" s="213"/>
    </row>
    <row r="72" spans="1:39" s="215" customFormat="1">
      <c r="A72" s="213"/>
      <c r="B72" s="213"/>
      <c r="C72" s="214"/>
      <c r="E72" s="214"/>
      <c r="F72" s="214"/>
      <c r="H72" s="214"/>
      <c r="L72" s="214"/>
      <c r="M72" s="216"/>
      <c r="N72" s="217"/>
      <c r="P72" s="217"/>
      <c r="R72" s="218"/>
      <c r="AD72" s="214"/>
      <c r="AH72" s="214"/>
      <c r="AJ72" s="218"/>
      <c r="AL72" s="219"/>
      <c r="AM72" s="213"/>
    </row>
    <row r="73" spans="1:39" s="215" customFormat="1">
      <c r="A73" s="213"/>
      <c r="B73" s="213"/>
      <c r="C73" s="214"/>
      <c r="E73" s="214"/>
      <c r="F73" s="214"/>
      <c r="H73" s="214"/>
      <c r="L73" s="214"/>
      <c r="M73" s="216"/>
      <c r="N73" s="217"/>
      <c r="P73" s="217"/>
      <c r="R73" s="218"/>
      <c r="AD73" s="214"/>
      <c r="AH73" s="214"/>
      <c r="AJ73" s="218"/>
      <c r="AL73" s="219"/>
      <c r="AM73" s="213"/>
    </row>
    <row r="74" spans="1:39" s="215" customFormat="1">
      <c r="A74" s="213"/>
      <c r="B74" s="213"/>
      <c r="C74" s="214"/>
      <c r="E74" s="214"/>
      <c r="F74" s="214"/>
      <c r="H74" s="214"/>
      <c r="L74" s="214"/>
      <c r="M74" s="216"/>
      <c r="N74" s="217"/>
      <c r="P74" s="217"/>
      <c r="R74" s="218"/>
      <c r="AD74" s="214"/>
      <c r="AH74" s="214"/>
      <c r="AJ74" s="218"/>
      <c r="AL74" s="219"/>
      <c r="AM74" s="213"/>
    </row>
    <row r="75" spans="1:39" s="215" customFormat="1">
      <c r="A75" s="213"/>
      <c r="B75" s="213"/>
      <c r="C75" s="214"/>
      <c r="E75" s="214"/>
      <c r="F75" s="214"/>
      <c r="H75" s="214"/>
      <c r="L75" s="214"/>
      <c r="M75" s="216"/>
      <c r="N75" s="217"/>
      <c r="P75" s="217"/>
      <c r="R75" s="218"/>
      <c r="AD75" s="214"/>
      <c r="AH75" s="214"/>
      <c r="AJ75" s="218"/>
      <c r="AL75" s="219"/>
      <c r="AM75" s="213"/>
    </row>
    <row r="76" spans="1:39" s="215" customFormat="1">
      <c r="A76" s="213"/>
      <c r="B76" s="213"/>
      <c r="C76" s="214"/>
      <c r="E76" s="214"/>
      <c r="F76" s="214"/>
      <c r="H76" s="214"/>
      <c r="L76" s="214"/>
      <c r="M76" s="216"/>
      <c r="N76" s="217"/>
      <c r="P76" s="217"/>
      <c r="R76" s="218"/>
      <c r="AD76" s="214"/>
      <c r="AH76" s="214"/>
      <c r="AJ76" s="218"/>
      <c r="AL76" s="219"/>
      <c r="AM76" s="213"/>
    </row>
    <row r="77" spans="1:39" s="215" customFormat="1">
      <c r="A77" s="213"/>
      <c r="B77" s="213"/>
      <c r="C77" s="214"/>
      <c r="E77" s="214"/>
      <c r="F77" s="214"/>
      <c r="H77" s="214"/>
      <c r="L77" s="214"/>
      <c r="M77" s="216"/>
      <c r="N77" s="217"/>
      <c r="P77" s="217"/>
      <c r="R77" s="218"/>
      <c r="AD77" s="214"/>
      <c r="AH77" s="214"/>
      <c r="AJ77" s="218"/>
      <c r="AL77" s="219"/>
      <c r="AM77" s="213"/>
    </row>
    <row r="78" spans="1:39" s="215" customFormat="1">
      <c r="A78" s="213"/>
      <c r="B78" s="213"/>
      <c r="C78" s="214"/>
      <c r="E78" s="214"/>
      <c r="F78" s="214"/>
      <c r="H78" s="214"/>
      <c r="L78" s="214"/>
      <c r="M78" s="216"/>
      <c r="N78" s="217"/>
      <c r="P78" s="217"/>
      <c r="R78" s="218"/>
      <c r="AD78" s="214"/>
      <c r="AH78" s="214"/>
      <c r="AJ78" s="218"/>
      <c r="AL78" s="219"/>
      <c r="AM78" s="213"/>
    </row>
    <row r="79" spans="1:39" s="215" customFormat="1">
      <c r="A79" s="213"/>
      <c r="B79" s="213"/>
      <c r="C79" s="214"/>
      <c r="E79" s="214"/>
      <c r="F79" s="214"/>
      <c r="H79" s="214"/>
      <c r="L79" s="214"/>
      <c r="M79" s="216"/>
      <c r="N79" s="217"/>
      <c r="P79" s="217"/>
      <c r="R79" s="218"/>
      <c r="AD79" s="214"/>
      <c r="AH79" s="214"/>
      <c r="AJ79" s="218"/>
      <c r="AL79" s="219"/>
      <c r="AM79" s="213"/>
    </row>
    <row r="80" spans="1:39" s="215" customFormat="1">
      <c r="A80" s="213"/>
      <c r="B80" s="213"/>
      <c r="C80" s="214"/>
      <c r="E80" s="214"/>
      <c r="F80" s="214"/>
      <c r="H80" s="214"/>
      <c r="L80" s="214"/>
      <c r="M80" s="216"/>
      <c r="N80" s="217"/>
      <c r="P80" s="217"/>
      <c r="R80" s="218"/>
      <c r="AD80" s="214"/>
      <c r="AH80" s="214"/>
      <c r="AJ80" s="218"/>
      <c r="AL80" s="219"/>
      <c r="AM80" s="213"/>
    </row>
    <row r="81" spans="1:39" s="215" customFormat="1">
      <c r="A81" s="213"/>
      <c r="B81" s="213"/>
      <c r="C81" s="214"/>
      <c r="E81" s="214"/>
      <c r="F81" s="214"/>
      <c r="H81" s="214"/>
      <c r="L81" s="214"/>
      <c r="M81" s="216"/>
      <c r="N81" s="217"/>
      <c r="P81" s="217"/>
      <c r="R81" s="218"/>
      <c r="AD81" s="214"/>
      <c r="AH81" s="214"/>
      <c r="AJ81" s="218"/>
      <c r="AL81" s="219"/>
      <c r="AM81" s="213"/>
    </row>
    <row r="82" spans="1:39" s="215" customFormat="1">
      <c r="A82" s="213"/>
      <c r="B82" s="213"/>
      <c r="C82" s="214"/>
      <c r="E82" s="214"/>
      <c r="F82" s="214"/>
      <c r="H82" s="214"/>
      <c r="L82" s="214"/>
      <c r="M82" s="216"/>
      <c r="N82" s="217"/>
      <c r="P82" s="217"/>
      <c r="R82" s="218"/>
      <c r="AD82" s="214"/>
      <c r="AH82" s="214"/>
      <c r="AJ82" s="218"/>
      <c r="AL82" s="219"/>
      <c r="AM82" s="213"/>
    </row>
    <row r="83" spans="1:39" s="215" customFormat="1">
      <c r="A83" s="213"/>
      <c r="B83" s="213"/>
      <c r="C83" s="214"/>
      <c r="E83" s="214"/>
      <c r="F83" s="214"/>
      <c r="H83" s="214"/>
      <c r="L83" s="214"/>
      <c r="M83" s="216"/>
      <c r="N83" s="217"/>
      <c r="P83" s="217"/>
      <c r="R83" s="218"/>
      <c r="AD83" s="214"/>
      <c r="AH83" s="214"/>
      <c r="AJ83" s="218"/>
      <c r="AL83" s="219"/>
      <c r="AM83" s="213"/>
    </row>
    <row r="84" spans="1:39" s="215" customFormat="1">
      <c r="A84" s="213"/>
      <c r="B84" s="213"/>
      <c r="C84" s="214"/>
      <c r="E84" s="214"/>
      <c r="F84" s="214"/>
      <c r="H84" s="214"/>
      <c r="L84" s="214"/>
      <c r="M84" s="216"/>
      <c r="N84" s="217"/>
      <c r="P84" s="217"/>
      <c r="R84" s="218"/>
      <c r="AD84" s="214"/>
      <c r="AH84" s="214"/>
      <c r="AJ84" s="218"/>
      <c r="AL84" s="219"/>
      <c r="AM84" s="213"/>
    </row>
    <row r="85" spans="1:39" s="215" customFormat="1">
      <c r="A85" s="213"/>
      <c r="B85" s="213"/>
      <c r="C85" s="214"/>
      <c r="E85" s="214"/>
      <c r="F85" s="214"/>
      <c r="H85" s="214"/>
      <c r="L85" s="214"/>
      <c r="M85" s="216"/>
      <c r="N85" s="217"/>
      <c r="P85" s="217"/>
      <c r="R85" s="218"/>
      <c r="AD85" s="214"/>
      <c r="AH85" s="214"/>
      <c r="AJ85" s="218"/>
      <c r="AL85" s="219"/>
      <c r="AM85" s="213"/>
    </row>
    <row r="86" spans="1:39" s="215" customFormat="1">
      <c r="A86" s="213"/>
      <c r="B86" s="213"/>
      <c r="C86" s="214"/>
      <c r="E86" s="214"/>
      <c r="F86" s="214"/>
      <c r="H86" s="214"/>
      <c r="L86" s="214"/>
      <c r="M86" s="216"/>
      <c r="N86" s="217"/>
      <c r="P86" s="217"/>
      <c r="R86" s="218"/>
      <c r="AD86" s="214"/>
      <c r="AH86" s="214"/>
      <c r="AJ86" s="218"/>
      <c r="AL86" s="219"/>
      <c r="AM86" s="213"/>
    </row>
    <row r="87" spans="1:39" s="215" customFormat="1">
      <c r="A87" s="213"/>
      <c r="B87" s="213"/>
      <c r="C87" s="214"/>
      <c r="E87" s="214"/>
      <c r="F87" s="214"/>
      <c r="H87" s="214"/>
      <c r="L87" s="214"/>
      <c r="M87" s="216"/>
      <c r="N87" s="217"/>
      <c r="P87" s="217"/>
      <c r="R87" s="218"/>
      <c r="AD87" s="214"/>
      <c r="AH87" s="214"/>
      <c r="AJ87" s="218"/>
      <c r="AL87" s="219"/>
      <c r="AM87" s="213"/>
    </row>
    <row r="88" spans="1:39" s="215" customFormat="1">
      <c r="A88" s="213"/>
      <c r="B88" s="213"/>
      <c r="C88" s="214"/>
      <c r="E88" s="214"/>
      <c r="F88" s="214"/>
      <c r="H88" s="214"/>
      <c r="L88" s="214"/>
      <c r="M88" s="216"/>
      <c r="N88" s="217"/>
      <c r="P88" s="217"/>
      <c r="R88" s="218"/>
      <c r="AD88" s="214"/>
      <c r="AH88" s="214"/>
      <c r="AJ88" s="218"/>
      <c r="AL88" s="219"/>
      <c r="AM88" s="213"/>
    </row>
    <row r="89" spans="1:39" s="215" customFormat="1">
      <c r="A89" s="213"/>
      <c r="B89" s="213"/>
      <c r="C89" s="214"/>
      <c r="E89" s="214"/>
      <c r="F89" s="214"/>
      <c r="H89" s="214"/>
      <c r="L89" s="214"/>
      <c r="M89" s="216"/>
      <c r="N89" s="217"/>
      <c r="P89" s="217"/>
      <c r="R89" s="218"/>
      <c r="AD89" s="214"/>
      <c r="AH89" s="214"/>
      <c r="AJ89" s="218"/>
      <c r="AL89" s="219"/>
      <c r="AM89" s="213"/>
    </row>
    <row r="90" spans="1:39" s="215" customFormat="1">
      <c r="A90" s="213"/>
      <c r="B90" s="213"/>
      <c r="C90" s="214"/>
      <c r="E90" s="214"/>
      <c r="F90" s="214"/>
      <c r="H90" s="214"/>
      <c r="L90" s="214"/>
      <c r="M90" s="216"/>
      <c r="N90" s="217"/>
      <c r="P90" s="217"/>
      <c r="R90" s="218"/>
      <c r="AD90" s="214"/>
      <c r="AH90" s="214"/>
      <c r="AJ90" s="218"/>
      <c r="AL90" s="219"/>
      <c r="AM90" s="213"/>
    </row>
    <row r="91" spans="1:39" s="215" customFormat="1">
      <c r="A91" s="213"/>
      <c r="B91" s="213"/>
      <c r="C91" s="214"/>
      <c r="E91" s="214"/>
      <c r="F91" s="214"/>
      <c r="H91" s="214"/>
      <c r="L91" s="214"/>
      <c r="M91" s="216"/>
      <c r="N91" s="217"/>
      <c r="P91" s="217"/>
      <c r="R91" s="218"/>
      <c r="AD91" s="214"/>
      <c r="AH91" s="214"/>
      <c r="AJ91" s="218"/>
      <c r="AL91" s="219"/>
      <c r="AM91" s="213"/>
    </row>
    <row r="92" spans="1:39" s="215" customFormat="1">
      <c r="A92" s="213"/>
      <c r="B92" s="213"/>
      <c r="C92" s="214"/>
      <c r="E92" s="214"/>
      <c r="F92" s="214"/>
      <c r="H92" s="214"/>
      <c r="L92" s="214"/>
      <c r="M92" s="216"/>
      <c r="N92" s="217"/>
      <c r="P92" s="217"/>
      <c r="R92" s="218"/>
      <c r="AD92" s="214"/>
      <c r="AH92" s="214"/>
      <c r="AJ92" s="218"/>
      <c r="AL92" s="219"/>
      <c r="AM92" s="213"/>
    </row>
    <row r="93" spans="1:39" s="215" customFormat="1">
      <c r="A93" s="213"/>
      <c r="B93" s="213"/>
      <c r="C93" s="214"/>
      <c r="E93" s="214"/>
      <c r="F93" s="214"/>
      <c r="H93" s="214"/>
      <c r="L93" s="214"/>
      <c r="M93" s="216"/>
      <c r="N93" s="217"/>
      <c r="P93" s="217"/>
      <c r="R93" s="218"/>
      <c r="AD93" s="214"/>
      <c r="AH93" s="214"/>
      <c r="AJ93" s="218"/>
      <c r="AL93" s="219"/>
      <c r="AM93" s="213"/>
    </row>
    <row r="94" spans="1:39" s="215" customFormat="1">
      <c r="A94" s="213"/>
      <c r="B94" s="213"/>
      <c r="C94" s="214"/>
      <c r="E94" s="214"/>
      <c r="F94" s="214"/>
      <c r="H94" s="214"/>
      <c r="L94" s="214"/>
      <c r="M94" s="216"/>
      <c r="N94" s="217"/>
      <c r="P94" s="217"/>
      <c r="R94" s="218"/>
      <c r="AD94" s="214"/>
      <c r="AH94" s="214"/>
      <c r="AJ94" s="218"/>
      <c r="AL94" s="219"/>
      <c r="AM94" s="213"/>
    </row>
    <row r="95" spans="1:39" s="215" customFormat="1">
      <c r="A95" s="213"/>
      <c r="B95" s="213"/>
      <c r="C95" s="214"/>
      <c r="E95" s="214"/>
      <c r="F95" s="214"/>
      <c r="H95" s="214"/>
      <c r="L95" s="214"/>
      <c r="M95" s="216"/>
      <c r="N95" s="217"/>
      <c r="P95" s="217"/>
      <c r="R95" s="218"/>
      <c r="AD95" s="214"/>
      <c r="AH95" s="214"/>
      <c r="AJ95" s="218"/>
      <c r="AL95" s="219"/>
      <c r="AM95" s="213"/>
    </row>
    <row r="96" spans="1:39" s="215" customFormat="1">
      <c r="A96" s="213"/>
      <c r="B96" s="213"/>
      <c r="C96" s="214"/>
      <c r="E96" s="214"/>
      <c r="F96" s="214"/>
      <c r="H96" s="214"/>
      <c r="L96" s="214"/>
      <c r="M96" s="216"/>
      <c r="N96" s="217"/>
      <c r="P96" s="217"/>
      <c r="R96" s="218"/>
      <c r="AD96" s="214"/>
      <c r="AH96" s="214"/>
      <c r="AJ96" s="218"/>
      <c r="AL96" s="219"/>
      <c r="AM96" s="213"/>
    </row>
    <row r="97" spans="1:39" s="215" customFormat="1">
      <c r="A97" s="213"/>
      <c r="B97" s="213"/>
      <c r="C97" s="214"/>
      <c r="E97" s="214"/>
      <c r="F97" s="214"/>
      <c r="H97" s="214"/>
      <c r="L97" s="214"/>
      <c r="M97" s="216"/>
      <c r="N97" s="217"/>
      <c r="P97" s="217"/>
      <c r="R97" s="218"/>
      <c r="AD97" s="214"/>
      <c r="AH97" s="214"/>
      <c r="AJ97" s="218"/>
      <c r="AL97" s="219"/>
      <c r="AM97" s="213"/>
    </row>
    <row r="98" spans="1:39" s="215" customFormat="1">
      <c r="A98" s="213"/>
      <c r="B98" s="213"/>
      <c r="C98" s="214"/>
      <c r="E98" s="214"/>
      <c r="F98" s="214"/>
      <c r="H98" s="214"/>
      <c r="L98" s="214"/>
      <c r="M98" s="216"/>
      <c r="N98" s="217"/>
      <c r="P98" s="217"/>
      <c r="R98" s="218"/>
      <c r="AD98" s="214"/>
      <c r="AH98" s="214"/>
      <c r="AJ98" s="218"/>
      <c r="AL98" s="219"/>
      <c r="AM98" s="213"/>
    </row>
    <row r="99" spans="1:39" s="215" customFormat="1">
      <c r="A99" s="213"/>
      <c r="B99" s="213"/>
      <c r="C99" s="214"/>
      <c r="E99" s="214"/>
      <c r="F99" s="214"/>
      <c r="H99" s="214"/>
      <c r="L99" s="214"/>
      <c r="M99" s="216"/>
      <c r="N99" s="217"/>
      <c r="P99" s="217"/>
      <c r="R99" s="218"/>
      <c r="AD99" s="214"/>
      <c r="AH99" s="214"/>
      <c r="AJ99" s="218"/>
      <c r="AL99" s="219"/>
      <c r="AM99" s="213"/>
    </row>
    <row r="100" spans="1:39" s="215" customFormat="1">
      <c r="A100" s="213"/>
      <c r="B100" s="213"/>
      <c r="C100" s="214"/>
      <c r="E100" s="214"/>
      <c r="F100" s="214"/>
      <c r="H100" s="214"/>
      <c r="L100" s="214"/>
      <c r="M100" s="216"/>
      <c r="N100" s="217"/>
      <c r="P100" s="217"/>
      <c r="R100" s="218"/>
      <c r="AD100" s="214"/>
      <c r="AH100" s="214"/>
      <c r="AJ100" s="218"/>
      <c r="AL100" s="219"/>
      <c r="AM100" s="213"/>
    </row>
    <row r="101" spans="1:39" s="215" customFormat="1">
      <c r="A101" s="213"/>
      <c r="B101" s="213"/>
      <c r="C101" s="214"/>
      <c r="E101" s="214"/>
      <c r="F101" s="214"/>
      <c r="H101" s="214"/>
      <c r="L101" s="214"/>
      <c r="M101" s="216"/>
      <c r="N101" s="217"/>
      <c r="P101" s="217"/>
      <c r="R101" s="218"/>
      <c r="AD101" s="214"/>
      <c r="AH101" s="214"/>
      <c r="AJ101" s="218"/>
      <c r="AL101" s="219"/>
      <c r="AM101" s="213"/>
    </row>
    <row r="102" spans="1:39" s="215" customFormat="1">
      <c r="A102" s="213"/>
      <c r="B102" s="213"/>
      <c r="C102" s="214"/>
      <c r="E102" s="214"/>
      <c r="F102" s="214"/>
      <c r="H102" s="214"/>
      <c r="L102" s="214"/>
      <c r="M102" s="216"/>
      <c r="N102" s="217"/>
      <c r="P102" s="217"/>
      <c r="R102" s="218"/>
      <c r="AD102" s="214"/>
      <c r="AH102" s="214"/>
      <c r="AJ102" s="218"/>
      <c r="AL102" s="219"/>
      <c r="AM102" s="213"/>
    </row>
    <row r="103" spans="1:39" s="215" customFormat="1">
      <c r="A103" s="213"/>
      <c r="B103" s="213"/>
      <c r="C103" s="214"/>
      <c r="E103" s="214"/>
      <c r="F103" s="214"/>
      <c r="H103" s="214"/>
      <c r="L103" s="214"/>
      <c r="M103" s="216"/>
      <c r="N103" s="217"/>
      <c r="P103" s="217"/>
      <c r="R103" s="218"/>
      <c r="AD103" s="214"/>
      <c r="AH103" s="214"/>
      <c r="AJ103" s="218"/>
      <c r="AL103" s="219"/>
      <c r="AM103" s="213"/>
    </row>
    <row r="104" spans="1:39" s="215" customFormat="1">
      <c r="A104" s="213"/>
      <c r="B104" s="213"/>
      <c r="C104" s="214"/>
      <c r="E104" s="214"/>
      <c r="F104" s="214"/>
      <c r="H104" s="214"/>
      <c r="L104" s="214"/>
      <c r="M104" s="216"/>
      <c r="N104" s="217"/>
      <c r="P104" s="217"/>
      <c r="R104" s="218"/>
      <c r="AD104" s="214"/>
      <c r="AH104" s="214"/>
      <c r="AJ104" s="218"/>
      <c r="AL104" s="219"/>
      <c r="AM104" s="213"/>
    </row>
    <row r="105" spans="1:39" s="215" customFormat="1">
      <c r="A105" s="213"/>
      <c r="B105" s="213"/>
      <c r="C105" s="214"/>
      <c r="E105" s="214"/>
      <c r="F105" s="214"/>
      <c r="H105" s="214"/>
      <c r="L105" s="214"/>
      <c r="M105" s="216"/>
      <c r="N105" s="217"/>
      <c r="P105" s="217"/>
      <c r="R105" s="218"/>
      <c r="AD105" s="214"/>
      <c r="AH105" s="214"/>
      <c r="AJ105" s="218"/>
      <c r="AL105" s="219"/>
      <c r="AM105" s="213"/>
    </row>
    <row r="106" spans="1:39" s="215" customFormat="1">
      <c r="A106" s="213"/>
      <c r="B106" s="213"/>
      <c r="C106" s="214"/>
      <c r="E106" s="214"/>
      <c r="F106" s="214"/>
      <c r="H106" s="214"/>
      <c r="L106" s="214"/>
      <c r="M106" s="216"/>
      <c r="N106" s="217"/>
      <c r="P106" s="217"/>
      <c r="R106" s="218"/>
      <c r="AD106" s="214"/>
      <c r="AH106" s="214"/>
      <c r="AJ106" s="218"/>
      <c r="AL106" s="219"/>
      <c r="AM106" s="213"/>
    </row>
    <row r="107" spans="1:39" s="215" customFormat="1">
      <c r="A107" s="213"/>
      <c r="B107" s="213"/>
      <c r="C107" s="214"/>
      <c r="E107" s="214"/>
      <c r="F107" s="214"/>
      <c r="H107" s="214"/>
      <c r="L107" s="214"/>
      <c r="M107" s="216"/>
      <c r="N107" s="217"/>
      <c r="P107" s="217"/>
      <c r="R107" s="218"/>
      <c r="AD107" s="214"/>
      <c r="AH107" s="214"/>
      <c r="AJ107" s="218"/>
      <c r="AL107" s="219"/>
      <c r="AM107" s="213"/>
    </row>
    <row r="108" spans="1:39" s="215" customFormat="1">
      <c r="A108" s="213"/>
      <c r="B108" s="213"/>
      <c r="C108" s="214"/>
      <c r="E108" s="214"/>
      <c r="F108" s="214"/>
      <c r="H108" s="214"/>
      <c r="L108" s="214"/>
      <c r="M108" s="216"/>
      <c r="N108" s="217"/>
      <c r="P108" s="217"/>
      <c r="R108" s="218"/>
      <c r="AD108" s="214"/>
      <c r="AH108" s="214"/>
      <c r="AJ108" s="218"/>
      <c r="AL108" s="219"/>
      <c r="AM108" s="213"/>
    </row>
  </sheetData>
  <mergeCells count="17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8" activePane="bottomRight" state="frozen"/>
      <selection pane="bottomRight" activeCell="H33" sqref="H33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>
      <c r="A1" s="26" t="s">
        <v>16</v>
      </c>
    </row>
    <row r="2" spans="1:3" ht="18.75">
      <c r="A2" s="262">
        <v>43831</v>
      </c>
      <c r="B2" s="263"/>
      <c r="C2" s="263"/>
    </row>
    <row r="3" spans="1:3">
      <c r="A3" s="265" t="s">
        <v>18</v>
      </c>
      <c r="B3" s="264" t="s">
        <v>19</v>
      </c>
      <c r="C3" s="264" t="s">
        <v>13</v>
      </c>
    </row>
    <row r="4" spans="1:3">
      <c r="A4" s="265"/>
      <c r="B4" s="264"/>
      <c r="C4" s="264"/>
    </row>
    <row r="5" spans="1:3">
      <c r="A5" s="265"/>
      <c r="B5" s="264"/>
      <c r="C5" s="264"/>
    </row>
    <row r="6" spans="1:3">
      <c r="A6" s="1">
        <v>1</v>
      </c>
      <c r="B6" s="1">
        <v>134</v>
      </c>
      <c r="C6" s="1">
        <v>955</v>
      </c>
    </row>
    <row r="7" spans="1:3">
      <c r="A7" s="1">
        <v>2</v>
      </c>
      <c r="B7" s="1">
        <v>120</v>
      </c>
      <c r="C7" s="1">
        <v>1043</v>
      </c>
    </row>
    <row r="8" spans="1:3">
      <c r="A8" s="1">
        <f>A7+1</f>
        <v>3</v>
      </c>
      <c r="B8" s="1">
        <v>118</v>
      </c>
      <c r="C8" s="1">
        <v>918</v>
      </c>
    </row>
    <row r="9" spans="1:3">
      <c r="A9" s="1">
        <f>A8+1</f>
        <v>4</v>
      </c>
      <c r="B9" s="1">
        <v>104</v>
      </c>
      <c r="C9" s="1">
        <v>920</v>
      </c>
    </row>
    <row r="10" spans="1:3">
      <c r="A10" s="1">
        <f t="shared" ref="A10:A36" si="0">A9+1</f>
        <v>5</v>
      </c>
      <c r="B10" s="1">
        <v>98</v>
      </c>
      <c r="C10" s="1">
        <v>790</v>
      </c>
    </row>
    <row r="11" spans="1:3">
      <c r="A11" s="1">
        <f t="shared" si="0"/>
        <v>6</v>
      </c>
      <c r="B11" s="1">
        <v>89</v>
      </c>
      <c r="C11" s="1">
        <v>668</v>
      </c>
    </row>
    <row r="12" spans="1:3">
      <c r="A12" s="1">
        <f t="shared" si="0"/>
        <v>7</v>
      </c>
      <c r="B12" s="1">
        <v>87</v>
      </c>
      <c r="C12" s="1">
        <v>648</v>
      </c>
    </row>
    <row r="13" spans="1:3">
      <c r="A13" s="1">
        <f t="shared" si="0"/>
        <v>8</v>
      </c>
      <c r="B13" s="1">
        <v>71</v>
      </c>
      <c r="C13" s="1">
        <v>581</v>
      </c>
    </row>
    <row r="14" spans="1:3">
      <c r="A14" s="1">
        <f t="shared" si="0"/>
        <v>9</v>
      </c>
      <c r="B14" s="1">
        <v>72</v>
      </c>
      <c r="C14" s="1">
        <v>540</v>
      </c>
    </row>
    <row r="15" spans="1:3">
      <c r="A15" s="1">
        <f t="shared" si="0"/>
        <v>10</v>
      </c>
      <c r="B15" s="1">
        <v>71</v>
      </c>
      <c r="C15" s="1">
        <v>540</v>
      </c>
    </row>
    <row r="16" spans="1:3">
      <c r="A16" s="1">
        <f t="shared" si="0"/>
        <v>11</v>
      </c>
      <c r="B16" s="1">
        <v>64</v>
      </c>
      <c r="C16" s="1">
        <v>583</v>
      </c>
    </row>
    <row r="17" spans="1:3">
      <c r="A17" s="1">
        <f t="shared" si="0"/>
        <v>12</v>
      </c>
      <c r="B17" s="1">
        <v>66</v>
      </c>
      <c r="C17" s="1">
        <v>593</v>
      </c>
    </row>
    <row r="18" spans="1:3">
      <c r="A18" s="1">
        <f t="shared" si="0"/>
        <v>13</v>
      </c>
      <c r="B18" s="1">
        <v>62</v>
      </c>
      <c r="C18" s="1">
        <v>466</v>
      </c>
    </row>
    <row r="19" spans="1:3">
      <c r="A19" s="1">
        <f t="shared" si="0"/>
        <v>14</v>
      </c>
      <c r="B19" s="1">
        <v>61</v>
      </c>
      <c r="C19" s="1">
        <v>486</v>
      </c>
    </row>
    <row r="20" spans="1:3">
      <c r="A20" s="1">
        <f t="shared" si="0"/>
        <v>15</v>
      </c>
      <c r="B20" s="1">
        <v>61</v>
      </c>
      <c r="C20" s="1">
        <v>432</v>
      </c>
    </row>
    <row r="21" spans="1:3">
      <c r="A21" s="1">
        <f t="shared" si="0"/>
        <v>16</v>
      </c>
      <c r="B21" s="1">
        <v>91</v>
      </c>
      <c r="C21" s="1">
        <v>387</v>
      </c>
    </row>
    <row r="22" spans="1:3">
      <c r="A22" s="1">
        <f t="shared" si="0"/>
        <v>17</v>
      </c>
      <c r="B22" s="1">
        <v>96</v>
      </c>
      <c r="C22" s="1">
        <v>452</v>
      </c>
    </row>
    <row r="23" spans="1:3">
      <c r="A23" s="1">
        <f t="shared" si="0"/>
        <v>18</v>
      </c>
      <c r="B23" s="1">
        <v>64</v>
      </c>
      <c r="C23" s="1">
        <v>588</v>
      </c>
    </row>
    <row r="24" spans="1:3">
      <c r="A24" s="1">
        <f t="shared" si="0"/>
        <v>19</v>
      </c>
      <c r="B24" s="1">
        <v>94</v>
      </c>
      <c r="C24" s="1">
        <v>542</v>
      </c>
    </row>
    <row r="25" spans="1:3">
      <c r="A25" s="1">
        <f t="shared" si="0"/>
        <v>20</v>
      </c>
      <c r="B25" s="1">
        <v>96</v>
      </c>
      <c r="C25" s="1">
        <v>644</v>
      </c>
    </row>
    <row r="26" spans="1:3">
      <c r="A26" s="1">
        <f t="shared" si="0"/>
        <v>21</v>
      </c>
      <c r="B26" s="1">
        <v>92</v>
      </c>
      <c r="C26" s="1">
        <v>442</v>
      </c>
    </row>
    <row r="27" spans="1:3">
      <c r="A27" s="1">
        <f t="shared" si="0"/>
        <v>22</v>
      </c>
      <c r="B27" s="1">
        <v>85</v>
      </c>
      <c r="C27" s="1">
        <v>556</v>
      </c>
    </row>
    <row r="28" spans="1:3">
      <c r="A28" s="1">
        <f t="shared" si="0"/>
        <v>23</v>
      </c>
      <c r="B28" s="1">
        <v>90</v>
      </c>
      <c r="C28" s="1">
        <v>684</v>
      </c>
    </row>
    <row r="29" spans="1:3">
      <c r="A29" s="1">
        <f t="shared" si="0"/>
        <v>24</v>
      </c>
      <c r="B29" s="1">
        <v>117</v>
      </c>
      <c r="C29" s="1">
        <v>797</v>
      </c>
    </row>
    <row r="30" spans="1:3">
      <c r="A30" s="1">
        <f t="shared" si="0"/>
        <v>25</v>
      </c>
      <c r="B30" s="1">
        <v>130</v>
      </c>
      <c r="C30" s="1">
        <v>806</v>
      </c>
    </row>
    <row r="31" spans="1:3">
      <c r="A31" s="1">
        <f t="shared" si="0"/>
        <v>26</v>
      </c>
      <c r="B31" s="1">
        <v>124</v>
      </c>
      <c r="C31" s="1">
        <v>881</v>
      </c>
    </row>
    <row r="32" spans="1:3">
      <c r="A32" s="1">
        <f t="shared" si="0"/>
        <v>27</v>
      </c>
      <c r="B32" s="1">
        <v>95</v>
      </c>
      <c r="C32" s="1">
        <v>769</v>
      </c>
    </row>
    <row r="33" spans="1:3">
      <c r="A33" s="1">
        <f t="shared" si="0"/>
        <v>28</v>
      </c>
      <c r="B33" s="1">
        <v>93</v>
      </c>
      <c r="C33" s="1">
        <v>642</v>
      </c>
    </row>
    <row r="34" spans="1:3">
      <c r="A34" s="1">
        <f t="shared" si="0"/>
        <v>29</v>
      </c>
      <c r="B34" s="1">
        <v>94</v>
      </c>
      <c r="C34" s="1">
        <v>579</v>
      </c>
    </row>
    <row r="35" spans="1:3">
      <c r="A35" s="1">
        <f t="shared" si="0"/>
        <v>30</v>
      </c>
      <c r="B35" s="1">
        <v>94</v>
      </c>
      <c r="C35" s="1">
        <v>578</v>
      </c>
    </row>
    <row r="36" spans="1:3">
      <c r="A36" s="1">
        <f t="shared" si="0"/>
        <v>31</v>
      </c>
      <c r="B36" s="1">
        <v>84</v>
      </c>
      <c r="C36" s="1">
        <v>553</v>
      </c>
    </row>
    <row r="38" spans="1:3">
      <c r="B38" s="5">
        <f>SUM(B6:B36)</f>
        <v>2817</v>
      </c>
      <c r="C38" s="5">
        <f>SUM(C6:C36)</f>
        <v>20063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D81E0BFF-5859-4AD5-B4D6-AA844FBE6D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2023-02-18T04:34:21Z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1891600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