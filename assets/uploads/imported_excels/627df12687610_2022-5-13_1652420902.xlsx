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42" documentId="13_ncr:1_{76C55D63-F869-4AF5-AAA3-3D809A91432B}" xr6:coauthVersionLast="47" xr6:coauthVersionMax="47" xr10:uidLastSave="{E8AE514C-7704-42E4-8BB8-69E4EA5ADD9E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6" i="27" l="1"/>
  <c r="J17" i="27"/>
  <c r="J15" i="27"/>
  <c r="J14" i="27"/>
  <c r="J13" i="27"/>
  <c r="J12" i="27"/>
  <c r="J11" i="27"/>
  <c r="J10" i="27"/>
  <c r="J9" i="27"/>
  <c r="J8" i="27"/>
  <c r="J7" i="27"/>
  <c r="J6" i="27"/>
  <c r="J5" i="27"/>
  <c r="L3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<sst xmlns="http://schemas.openxmlformats.org/spreadsheetml/2006/main" count="72" uniqueCount="33">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</sst>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22139.99999999487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3928</v>
      </c>
      <c r="J12" s="83">
        <v>0.21186441</v>
      </c>
      <c r="K12" s="11">
        <f>IF('Water, Gas, Diesel'!F16&lt;0,0,'Water, Gas, Diesel'!F16)</f>
        <v>315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12220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89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H20" sqref="H20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10049.999999996544</v>
      </c>
      <c r="D18" s="78">
        <v>15563.964</v>
      </c>
      <c r="E18" s="70">
        <f t="shared" si="1"/>
        <v>12089.999999998327</v>
      </c>
      <c r="F18" s="51">
        <f t="shared" si="2"/>
        <v>22139.99999999487</v>
      </c>
      <c r="G18" s="67">
        <f t="shared" si="3"/>
        <v>2063.4479999995219</v>
      </c>
      <c r="H18" s="103">
        <v>85</v>
      </c>
    </row>
    <row r="19" spans="1:8" ht="30.95" customHeight="1">
      <c r="A19" s="102">
        <v>12</v>
      </c>
      <c r="B19" s="77">
        <v>15171.576999999999</v>
      </c>
      <c r="C19" s="39">
        <f t="shared" si="0"/>
        <v>-37928942.5</v>
      </c>
      <c r="D19" s="104">
        <v>15568.8</v>
      </c>
      <c r="E19" s="39">
        <f t="shared" si="1"/>
        <v>-38922000</v>
      </c>
      <c r="F19" s="47">
        <f t="shared" si="2"/>
        <v>-76850942.5</v>
      </c>
      <c r="G19" s="67">
        <f t="shared" si="3"/>
        <v>-7162507.841</v>
      </c>
      <c r="H19" s="103">
        <v>89</v>
      </c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4" activePane="bottomLeft" state="frozen"/>
      <selection pane="bottomLeft" activeCell="O19" sqref="O1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6807457</v>
      </c>
      <c r="C16" s="53">
        <f>B17-B16</f>
        <v>3928</v>
      </c>
      <c r="D16" s="46">
        <f t="shared" si="7"/>
        <v>832.20340248000002</v>
      </c>
      <c r="E16" s="47">
        <v>528639</v>
      </c>
      <c r="F16" s="54">
        <f>E17-E16</f>
        <v>315</v>
      </c>
      <c r="G16" s="43">
        <f t="shared" si="4"/>
        <v>266.94990000000001</v>
      </c>
      <c r="H16" s="43">
        <f t="shared" si="5"/>
        <v>266.94990000000001</v>
      </c>
      <c r="I16" s="49">
        <f t="shared" si="2"/>
        <v>533.89980000000003</v>
      </c>
      <c r="J16" s="37">
        <f>5780+6440</f>
        <v>12220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6811385</v>
      </c>
      <c r="C17" s="55">
        <f t="shared" ref="C17:C35" si="8">B18-B17</f>
        <v>-6811385</v>
      </c>
      <c r="D17" s="46">
        <f t="shared" si="7"/>
        <v>-1443090.0643078501</v>
      </c>
      <c r="E17" s="47">
        <v>528954</v>
      </c>
      <c r="F17" s="56">
        <f t="shared" ref="F17:F35" si="9">E18-E17</f>
        <v>-528954</v>
      </c>
      <c r="G17" s="48">
        <f t="shared" si="4"/>
        <v>-448267.35684000002</v>
      </c>
      <c r="H17" s="48">
        <f t="shared" si="5"/>
        <v>-448267.35684000002</v>
      </c>
      <c r="I17" s="49">
        <f t="shared" si="2"/>
        <v>-896534.71368000004</v>
      </c>
      <c r="J17" s="37">
        <f>5780+6440</f>
        <v>12220</v>
      </c>
      <c r="K17" s="38">
        <f t="shared" si="3"/>
        <v>12220</v>
      </c>
      <c r="L17" s="39">
        <f t="shared" si="6"/>
        <v>8554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2022-05-13T05:44:05Z</dcterms:modified>
  <cp:category/>
  <cp:contentStatus/>
</cp:coreProperties>
</file>