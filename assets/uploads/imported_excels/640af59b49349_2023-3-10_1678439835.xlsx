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5"/>
  <workbookPr/>
  <mc:AlternateContent xmlns:mc="http://schemas.openxmlformats.org/markup-compatibility/2006">
    <mc:Choice Requires="x15">
      <x15ac:absPath xmlns:x15ac="http://schemas.microsoft.com/office/spreadsheetml/2010/11/ac" url="C:\Local D\HEP\2019\"/>
    </mc:Choice>
  </mc:AlternateContent>
  <xr:revisionPtr revIDLastSave="0" documentId="13_ncr:1_{BCFA2B08-10A2-4026-B662-AF77CAB67EE5}" xr6:coauthVersionLast="36" xr6:coauthVersionMax="36" xr10:uidLastSave="{00000000-0000-0000-0000-000000000000}"/>
  <bookViews>
    <workbookView xWindow="0" yWindow="0" windowWidth="20490" windowHeight="7545" xr2:uid="{00000000-000D-0000-FFFF-FFFF00000000}"/>
  </bookViews>
  <sheets>
    <sheet name="TOTAL" sheetId="4" r:id="rId1"/>
    <sheet name="Electricity" sheetId="1" r:id="rId2"/>
    <sheet name="Water" sheetId="2" r:id="rId3"/>
  </sheets>
  <definedNames>
    <definedName name="_xlnm.Print_Area" localSheetId="1">Electricity!$B$1:$R$53</definedName>
    <definedName name="_xlnm.Print_Area" localSheetId="2">Water!$A$1:$H$35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3" i="4" l="1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2" i="4"/>
  <c r="O4" i="4"/>
  <c r="O5" i="4"/>
  <c r="O6" i="4"/>
  <c r="O7" i="4"/>
  <c r="O8" i="4" s="1"/>
  <c r="O9" i="4" s="1"/>
  <c r="O10" i="4" s="1"/>
  <c r="O11" i="4" s="1"/>
  <c r="O12" i="4" s="1"/>
  <c r="O13" i="4" s="1"/>
  <c r="O14" i="4" s="1"/>
  <c r="O15" i="4" s="1"/>
  <c r="O16" i="4" s="1"/>
  <c r="O17" i="4" s="1"/>
  <c r="O18" i="4" s="1"/>
  <c r="O19" i="4" s="1"/>
  <c r="O20" i="4" s="1"/>
  <c r="O21" i="4" s="1"/>
  <c r="O22" i="4" s="1"/>
  <c r="O23" i="4" s="1"/>
  <c r="O24" i="4" s="1"/>
  <c r="O25" i="4" s="1"/>
  <c r="O26" i="4" s="1"/>
  <c r="O27" i="4" s="1"/>
  <c r="O28" i="4" s="1"/>
  <c r="O29" i="4" s="1"/>
  <c r="O30" i="4" s="1"/>
  <c r="O31" i="4" s="1"/>
  <c r="O3" i="4"/>
  <c r="O2" i="4"/>
  <c r="L3" i="4"/>
  <c r="L4" i="4"/>
  <c r="N4" i="4" s="1"/>
  <c r="L5" i="4"/>
  <c r="N5" i="4" s="1"/>
  <c r="L6" i="4"/>
  <c r="N6" i="4" s="1"/>
  <c r="L7" i="4"/>
  <c r="L8" i="4"/>
  <c r="L9" i="4"/>
  <c r="L10" i="4"/>
  <c r="N10" i="4" s="1"/>
  <c r="L11" i="4"/>
  <c r="N11" i="4" s="1"/>
  <c r="L12" i="4"/>
  <c r="N12" i="4" s="1"/>
  <c r="L13" i="4"/>
  <c r="L14" i="4"/>
  <c r="L15" i="4"/>
  <c r="L16" i="4"/>
  <c r="N16" i="4" s="1"/>
  <c r="L17" i="4"/>
  <c r="N17" i="4" s="1"/>
  <c r="L18" i="4"/>
  <c r="N18" i="4" s="1"/>
  <c r="L19" i="4"/>
  <c r="L20" i="4"/>
  <c r="L21" i="4"/>
  <c r="L22" i="4"/>
  <c r="N22" i="4" s="1"/>
  <c r="L23" i="4"/>
  <c r="N23" i="4" s="1"/>
  <c r="L24" i="4"/>
  <c r="N24" i="4" s="1"/>
  <c r="L25" i="4"/>
  <c r="L26" i="4"/>
  <c r="L27" i="4"/>
  <c r="L28" i="4"/>
  <c r="N28" i="4" s="1"/>
  <c r="L29" i="4"/>
  <c r="N29" i="4" s="1"/>
  <c r="L30" i="4"/>
  <c r="N30" i="4" s="1"/>
  <c r="L31" i="4"/>
  <c r="L2" i="4"/>
  <c r="N2" i="4"/>
  <c r="N3" i="4"/>
  <c r="N7" i="4"/>
  <c r="N8" i="4"/>
  <c r="N9" i="4"/>
  <c r="N13" i="4"/>
  <c r="N14" i="4"/>
  <c r="N15" i="4"/>
  <c r="N19" i="4"/>
  <c r="N20" i="4"/>
  <c r="N21" i="4"/>
  <c r="N25" i="4"/>
  <c r="N26" i="4"/>
  <c r="N27" i="4"/>
  <c r="N31" i="4"/>
  <c r="F35" i="2" l="1"/>
  <c r="E35" i="2"/>
  <c r="D2" i="4"/>
  <c r="D3" i="4" s="1"/>
  <c r="D4" i="4" s="1"/>
  <c r="D5" i="4" s="1"/>
  <c r="D6" i="4" s="1"/>
  <c r="D7" i="4" s="1"/>
  <c r="D8" i="4" s="1"/>
  <c r="D9" i="4" s="1"/>
  <c r="D10" i="4" s="1"/>
  <c r="D11" i="4" s="1"/>
  <c r="D12" i="4" s="1"/>
  <c r="D13" i="4" s="1"/>
  <c r="D14" i="4" s="1"/>
  <c r="D15" i="4" s="1"/>
  <c r="D16" i="4" s="1"/>
  <c r="D17" i="4" s="1"/>
  <c r="D18" i="4" s="1"/>
  <c r="D19" i="4" s="1"/>
  <c r="D20" i="4" s="1"/>
  <c r="D21" i="4" s="1"/>
  <c r="D22" i="4" s="1"/>
  <c r="D23" i="4" s="1"/>
  <c r="D24" i="4" s="1"/>
  <c r="D25" i="4" s="1"/>
  <c r="D26" i="4" s="1"/>
  <c r="D27" i="4" s="1"/>
  <c r="D28" i="4" s="1"/>
  <c r="D29" i="4" s="1"/>
  <c r="D30" i="4" s="1"/>
  <c r="D31" i="4" s="1"/>
  <c r="D6" i="2"/>
  <c r="D7" i="2" s="1"/>
  <c r="D8" i="2" s="1"/>
  <c r="D9" i="2" s="1"/>
  <c r="D10" i="2" s="1"/>
  <c r="D11" i="2" s="1"/>
  <c r="D12" i="2" s="1"/>
  <c r="D13" i="2" s="1"/>
  <c r="D14" i="2" s="1"/>
  <c r="D15" i="2" s="1"/>
  <c r="D16" i="2" s="1"/>
  <c r="D17" i="2" s="1"/>
  <c r="D18" i="2" s="1"/>
  <c r="D19" i="2" s="1"/>
  <c r="D20" i="2" s="1"/>
  <c r="D21" i="2" s="1"/>
  <c r="D22" i="2" s="1"/>
  <c r="D23" i="2" s="1"/>
  <c r="D24" i="2" s="1"/>
  <c r="D25" i="2" s="1"/>
  <c r="D26" i="2" s="1"/>
  <c r="D27" i="2" s="1"/>
  <c r="D28" i="2" s="1"/>
  <c r="D29" i="2" s="1"/>
  <c r="D30" i="2" s="1"/>
  <c r="D31" i="2" s="1"/>
  <c r="D32" i="2" s="1"/>
  <c r="D33" i="2" s="1"/>
  <c r="D34" i="2" s="1"/>
  <c r="C7" i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E36" i="1" l="1"/>
  <c r="G31" i="4" l="1"/>
  <c r="F31" i="4"/>
  <c r="G35" i="1" l="1"/>
  <c r="E31" i="4" s="1"/>
  <c r="H35" i="1"/>
  <c r="I35" i="1"/>
  <c r="J35" i="1" l="1"/>
  <c r="K35" i="1" s="1"/>
  <c r="L35" i="1" s="1"/>
  <c r="J31" i="4" s="1"/>
  <c r="G6" i="2" l="1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5" i="2"/>
  <c r="G35" i="2" l="1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2" i="4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2" i="4"/>
  <c r="F36" i="1"/>
  <c r="I6" i="1"/>
  <c r="H6" i="1"/>
  <c r="G34" i="1"/>
  <c r="E30" i="4" s="1"/>
  <c r="H34" i="1"/>
  <c r="I34" i="1"/>
  <c r="J34" i="1" l="1"/>
  <c r="K34" i="1" s="1"/>
  <c r="L34" i="1" l="1"/>
  <c r="J30" i="4" s="1"/>
  <c r="C36" i="1"/>
  <c r="G6" i="1"/>
  <c r="E2" i="4" l="1"/>
  <c r="G39" i="2"/>
  <c r="G45" i="2" s="1"/>
  <c r="H31" i="1" l="1"/>
  <c r="I31" i="1"/>
  <c r="H32" i="1"/>
  <c r="I32" i="1"/>
  <c r="H33" i="1"/>
  <c r="I33" i="1"/>
  <c r="G31" i="1"/>
  <c r="E27" i="4" s="1"/>
  <c r="G32" i="1"/>
  <c r="E28" i="4" s="1"/>
  <c r="G33" i="1"/>
  <c r="E29" i="4" s="1"/>
  <c r="J32" i="1" l="1"/>
  <c r="K32" i="1" s="1"/>
  <c r="J33" i="1"/>
  <c r="K33" i="1" s="1"/>
  <c r="J31" i="1"/>
  <c r="K31" i="1" s="1"/>
  <c r="L31" i="1" l="1"/>
  <c r="J27" i="4" s="1"/>
  <c r="L32" i="1"/>
  <c r="J28" i="4" s="1"/>
  <c r="L33" i="1"/>
  <c r="J29" i="4" s="1"/>
  <c r="G27" i="1" l="1"/>
  <c r="E23" i="4" s="1"/>
  <c r="G28" i="1"/>
  <c r="E24" i="4" s="1"/>
  <c r="G29" i="1"/>
  <c r="E25" i="4" s="1"/>
  <c r="G30" i="1"/>
  <c r="E26" i="4" s="1"/>
  <c r="H9" i="1" l="1"/>
  <c r="H26" i="1"/>
  <c r="H18" i="1"/>
  <c r="H10" i="1"/>
  <c r="H7" i="1"/>
  <c r="H17" i="1"/>
  <c r="H16" i="1"/>
  <c r="H22" i="1"/>
  <c r="H14" i="1"/>
  <c r="H29" i="1"/>
  <c r="H21" i="1"/>
  <c r="H13" i="1"/>
  <c r="H25" i="1"/>
  <c r="H8" i="1"/>
  <c r="H23" i="1"/>
  <c r="H20" i="1"/>
  <c r="H12" i="1"/>
  <c r="H24" i="1"/>
  <c r="H15" i="1"/>
  <c r="H30" i="1"/>
  <c r="H28" i="1"/>
  <c r="H27" i="1"/>
  <c r="H19" i="1"/>
  <c r="H11" i="1"/>
  <c r="H36" i="1" l="1"/>
  <c r="I30" i="1"/>
  <c r="I29" i="1"/>
  <c r="I28" i="1"/>
  <c r="I27" i="1"/>
  <c r="G26" i="1"/>
  <c r="E22" i="4" s="1"/>
  <c r="I26" i="1"/>
  <c r="G25" i="1"/>
  <c r="E21" i="4" s="1"/>
  <c r="I25" i="1"/>
  <c r="G24" i="1"/>
  <c r="E20" i="4" s="1"/>
  <c r="I24" i="1"/>
  <c r="G23" i="1"/>
  <c r="E19" i="4" s="1"/>
  <c r="I23" i="1"/>
  <c r="G22" i="1"/>
  <c r="E18" i="4" s="1"/>
  <c r="I22" i="1"/>
  <c r="G21" i="1"/>
  <c r="E17" i="4" s="1"/>
  <c r="I21" i="1"/>
  <c r="G20" i="1"/>
  <c r="E16" i="4" s="1"/>
  <c r="I20" i="1"/>
  <c r="G19" i="1"/>
  <c r="E15" i="4" s="1"/>
  <c r="I19" i="1"/>
  <c r="G18" i="1"/>
  <c r="E14" i="4" s="1"/>
  <c r="I18" i="1"/>
  <c r="G17" i="1"/>
  <c r="E13" i="4" s="1"/>
  <c r="I17" i="1"/>
  <c r="G16" i="1"/>
  <c r="E12" i="4" s="1"/>
  <c r="I16" i="1"/>
  <c r="G15" i="1"/>
  <c r="E11" i="4" s="1"/>
  <c r="I15" i="1"/>
  <c r="G14" i="1"/>
  <c r="E10" i="4" s="1"/>
  <c r="I14" i="1"/>
  <c r="G13" i="1"/>
  <c r="E9" i="4" s="1"/>
  <c r="I13" i="1"/>
  <c r="G12" i="1"/>
  <c r="E8" i="4" s="1"/>
  <c r="I12" i="1"/>
  <c r="G11" i="1"/>
  <c r="E7" i="4" s="1"/>
  <c r="I11" i="1"/>
  <c r="G10" i="1"/>
  <c r="E6" i="4" s="1"/>
  <c r="I10" i="1"/>
  <c r="G9" i="1"/>
  <c r="E5" i="4" s="1"/>
  <c r="I9" i="1"/>
  <c r="G8" i="1"/>
  <c r="E4" i="4" s="1"/>
  <c r="I8" i="1"/>
  <c r="G7" i="1"/>
  <c r="I7" i="1"/>
  <c r="I36" i="1" l="1"/>
  <c r="E3" i="4"/>
  <c r="G36" i="1"/>
  <c r="J29" i="1"/>
  <c r="K29" i="1" s="1"/>
  <c r="J19" i="1"/>
  <c r="K19" i="1" s="1"/>
  <c r="J27" i="1"/>
  <c r="K27" i="1" s="1"/>
  <c r="J25" i="1"/>
  <c r="K25" i="1" s="1"/>
  <c r="J7" i="1"/>
  <c r="K7" i="1" s="1"/>
  <c r="J22" i="1"/>
  <c r="K22" i="1" s="1"/>
  <c r="J8" i="1"/>
  <c r="K8" i="1" s="1"/>
  <c r="J16" i="1"/>
  <c r="K16" i="1" s="1"/>
  <c r="J9" i="1"/>
  <c r="K9" i="1" s="1"/>
  <c r="J30" i="1"/>
  <c r="K30" i="1" s="1"/>
  <c r="J28" i="1"/>
  <c r="K28" i="1" s="1"/>
  <c r="J26" i="1"/>
  <c r="K26" i="1" s="1"/>
  <c r="J24" i="1"/>
  <c r="K24" i="1" s="1"/>
  <c r="J23" i="1"/>
  <c r="K23" i="1" s="1"/>
  <c r="J21" i="1"/>
  <c r="K21" i="1" s="1"/>
  <c r="J20" i="1"/>
  <c r="K20" i="1" s="1"/>
  <c r="J18" i="1"/>
  <c r="K18" i="1" s="1"/>
  <c r="J17" i="1"/>
  <c r="K17" i="1" s="1"/>
  <c r="J15" i="1"/>
  <c r="K15" i="1" s="1"/>
  <c r="J14" i="1"/>
  <c r="K14" i="1" s="1"/>
  <c r="J13" i="1"/>
  <c r="K13" i="1" s="1"/>
  <c r="J12" i="1"/>
  <c r="K12" i="1" s="1"/>
  <c r="J11" i="1"/>
  <c r="K11" i="1" s="1"/>
  <c r="J10" i="1"/>
  <c r="K10" i="1" s="1"/>
  <c r="J6" i="1"/>
  <c r="K6" i="1" l="1"/>
  <c r="K36" i="1" s="1"/>
  <c r="J36" i="1"/>
  <c r="L21" i="1"/>
  <c r="J17" i="4" s="1"/>
  <c r="L12" i="1"/>
  <c r="J8" i="4" s="1"/>
  <c r="L30" i="1"/>
  <c r="J26" i="4" s="1"/>
  <c r="L27" i="1"/>
  <c r="J23" i="4" s="1"/>
  <c r="L24" i="1"/>
  <c r="J20" i="4" s="1"/>
  <c r="L8" i="1"/>
  <c r="J4" i="4" s="1"/>
  <c r="L29" i="1"/>
  <c r="J25" i="4" s="1"/>
  <c r="L20" i="1"/>
  <c r="J16" i="4" s="1"/>
  <c r="L25" i="1"/>
  <c r="J21" i="4" s="1"/>
  <c r="L13" i="1"/>
  <c r="J9" i="4" s="1"/>
  <c r="L9" i="1"/>
  <c r="J5" i="4" s="1"/>
  <c r="L14" i="1"/>
  <c r="J10" i="4" s="1"/>
  <c r="L23" i="1"/>
  <c r="J19" i="4" s="1"/>
  <c r="L16" i="1"/>
  <c r="J12" i="4" s="1"/>
  <c r="L19" i="1"/>
  <c r="J15" i="4" s="1"/>
  <c r="L15" i="1"/>
  <c r="J11" i="4" s="1"/>
  <c r="L10" i="1"/>
  <c r="J6" i="4" s="1"/>
  <c r="L17" i="1"/>
  <c r="J13" i="4" s="1"/>
  <c r="L22" i="1"/>
  <c r="J18" i="4" s="1"/>
  <c r="L11" i="1"/>
  <c r="J7" i="4" s="1"/>
  <c r="L18" i="1"/>
  <c r="J14" i="4" s="1"/>
  <c r="L28" i="1"/>
  <c r="J24" i="4" s="1"/>
  <c r="L7" i="1"/>
  <c r="J3" i="4" s="1"/>
  <c r="L26" i="1"/>
  <c r="J22" i="4" s="1"/>
  <c r="L6" i="1" l="1"/>
  <c r="L36" i="1" l="1"/>
  <c r="J2" i="4"/>
</calcChain>
</file>

<file path=xl/sharedStrings.xml><?xml version="1.0" encoding="utf-8"?>
<sst xmlns="http://schemas.openxmlformats.org/spreadsheetml/2006/main" count="115" uniqueCount="45">
  <si>
    <t>Date</t>
  </si>
  <si>
    <t>Total (Rp)</t>
  </si>
  <si>
    <t>TOTAL BILL</t>
  </si>
  <si>
    <t xml:space="preserve">WATER METER READING </t>
  </si>
  <si>
    <t xml:space="preserve">Unit Price </t>
  </si>
  <si>
    <t>Total Bill</t>
  </si>
  <si>
    <t xml:space="preserve"> </t>
  </si>
  <si>
    <t>Peak Hour</t>
  </si>
  <si>
    <t>Low Peak Hour</t>
  </si>
  <si>
    <t>Cost per  kWh in Rupiah ( Rp)</t>
  </si>
  <si>
    <t>kWh</t>
  </si>
  <si>
    <t>Rupiah</t>
  </si>
  <si>
    <t xml:space="preserve"> ( 17:01-22:00)</t>
  </si>
  <si>
    <t xml:space="preserve">Low Peak Hour </t>
  </si>
  <si>
    <t>( 22:01 -17:00)</t>
  </si>
  <si>
    <t>24 Hour</t>
  </si>
  <si>
    <t>Total  Metering</t>
  </si>
  <si>
    <t xml:space="preserve">Total Cost </t>
  </si>
  <si>
    <t>Total Metering</t>
  </si>
  <si>
    <t>Rupiah ( Rp)</t>
  </si>
  <si>
    <t>Total Electricity Kwh</t>
  </si>
  <si>
    <t>Year</t>
  </si>
  <si>
    <t>Month</t>
  </si>
  <si>
    <t>Day</t>
  </si>
  <si>
    <t>Site Name</t>
  </si>
  <si>
    <t xml:space="preserve">Peak hour  Kwh </t>
  </si>
  <si>
    <t xml:space="preserve">Low Peak Hour Kwh </t>
  </si>
  <si>
    <t>Electricity  Total  Tariff (Rupiah)</t>
  </si>
  <si>
    <t>1035.78</t>
  </si>
  <si>
    <t>Water Utility Supply (m3) m3</t>
  </si>
  <si>
    <t>Metering 1</t>
  </si>
  <si>
    <t>M3</t>
  </si>
  <si>
    <t>Metering 2</t>
  </si>
  <si>
    <t>Total Unit 
235</t>
  </si>
  <si>
    <t>OCC unit Apt</t>
  </si>
  <si>
    <t>Tax for public  service 2.4%</t>
  </si>
  <si>
    <t>Water Utility Supply (Rupiah)</t>
  </si>
  <si>
    <t>Electricity Distribution 2019</t>
  </si>
  <si>
    <t>DAILY ELECTRICITY METER</t>
  </si>
  <si>
    <t>Electricity Tariff Peak Hour ($/Kwh)</t>
  </si>
  <si>
    <t>Electricity Tariff Low Peak Hour ($/Kwh)</t>
  </si>
  <si>
    <t>Electricity Tariff ($/Kwh)</t>
  </si>
  <si>
    <t>Water Utility Supply (m3) $/m3</t>
  </si>
  <si>
    <t>Room Nights</t>
  </si>
  <si>
    <t>Jakarta Private Residences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</si>
</sst>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2" formatCode="_-&quot;Rp&quot;* #,##0_-;\-&quot;Rp&quot;* #,##0_-;_-&quot;Rp&quot;* &quot;-&quot;_-;_-@_-"/>
    <numFmt numFmtId="41" formatCode="_-* #,##0_-;\-* #,##0_-;_-* &quot;-&quot;_-;_-@_-"/>
    <numFmt numFmtId="43" formatCode="_-* #,##0.00_-;\-* #,##0.00_-;_-* &quot;-&quot;??_-;_-@_-"/>
    <numFmt numFmtId="164" formatCode="_(* #,##0_);_(* \(#,##0\);_(* &quot;-&quot;_);_(@_)"/>
    <numFmt numFmtId="165" formatCode="_(&quot;Rp&quot;* #,##0_);_(&quot;Rp&quot;* \(#,##0\);_(&quot;Rp&quot;* &quot;-&quot;_);_(@_)"/>
    <numFmt numFmtId="166" formatCode="#.00"/>
    <numFmt numFmtId="167" formatCode="_(* #.##0_);_(* \(#.##0\);_(* &quot;-&quot;_);_(@_)"/>
    <numFmt numFmtId="168" formatCode="0.00;[Red]0.00"/>
    <numFmt numFmtId="169" formatCode="0;[Red]0"/>
    <numFmt numFmtId="170" formatCode="_(* #,##0.00_);_(* \(#,##0.00\);_(* &quot;-&quot;_);_(@_)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name val="Calibri"/>
      <family val="2"/>
      <scheme val="minor"/>
    </font>
    <font>
      <b/>
      <sz val="14"/>
      <name val="Calibri"/>
      <family val="2"/>
      <scheme val="minor"/>
    </font>
    <font>
      <sz val="12"/>
      <color theme="1"/>
      <name val="Calibri"/>
      <family val="2"/>
      <charset val="1"/>
      <scheme val="minor"/>
    </font>
    <font>
      <b/>
      <sz val="1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charset val="1"/>
      <scheme val="minor"/>
    </font>
    <font>
      <b/>
      <sz val="20"/>
      <color theme="1"/>
      <name val="Calibri"/>
      <family val="2"/>
      <scheme val="minor"/>
    </font>
    <font>
      <sz val="10"/>
      <color rgb="FFFF0000"/>
      <name val="Arial"/>
      <family val="2"/>
    </font>
    <font>
      <sz val="10"/>
      <name val="Arial"/>
      <family val="2"/>
    </font>
    <font>
      <b/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92D050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medium">
        <color indexed="64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22">
    <xf numFmtId="0" fontId="0" fillId="0" borderId="0"/>
    <xf numFmtId="164" fontId="9" fillId="0" borderId="0" applyFont="0" applyFill="0" applyBorder="0" applyAlignment="0" applyProtection="0"/>
    <xf numFmtId="0" fontId="5" fillId="0" borderId="0"/>
    <xf numFmtId="0" fontId="5" fillId="0" borderId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0" fontId="3" fillId="0" borderId="0"/>
    <xf numFmtId="9" fontId="9" fillId="0" borderId="0" applyFont="0" applyFill="0" applyBorder="0" applyAlignment="0" applyProtection="0"/>
    <xf numFmtId="0" fontId="9" fillId="0" borderId="0"/>
    <xf numFmtId="0" fontId="1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2" fontId="1" fillId="0" borderId="0" applyFont="0" applyFill="0" applyBorder="0" applyAlignment="0" applyProtection="0"/>
    <xf numFmtId="0" fontId="9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40">
    <xf numFmtId="0" fontId="0" fillId="0" borderId="0" xfId="0"/>
    <xf numFmtId="0" fontId="5" fillId="2" borderId="0" xfId="2" applyFill="1" applyAlignment="1">
      <alignment vertical="center"/>
    </xf>
    <xf numFmtId="0" fontId="5" fillId="2" borderId="0" xfId="2" applyFill="1" applyBorder="1" applyAlignment="1">
      <alignment vertical="center"/>
    </xf>
    <xf numFmtId="0" fontId="5" fillId="0" borderId="0" xfId="2" applyAlignment="1">
      <alignment vertical="center"/>
    </xf>
    <xf numFmtId="0" fontId="7" fillId="2" borderId="0" xfId="2" applyFont="1" applyFill="1" applyBorder="1" applyAlignment="1">
      <alignment horizontal="center" vertical="center"/>
    </xf>
    <xf numFmtId="14" fontId="5" fillId="0" borderId="3" xfId="3" applyNumberFormat="1" applyBorder="1" applyAlignment="1">
      <alignment horizontal="center" vertical="center"/>
    </xf>
    <xf numFmtId="166" fontId="5" fillId="2" borderId="0" xfId="2" applyNumberFormat="1" applyFill="1" applyBorder="1" applyAlignment="1">
      <alignment vertical="center"/>
    </xf>
    <xf numFmtId="0" fontId="5" fillId="2" borderId="0" xfId="3" applyFill="1" applyAlignment="1">
      <alignment vertical="center"/>
    </xf>
    <xf numFmtId="1" fontId="4" fillId="2" borderId="0" xfId="4" applyNumberFormat="1" applyFill="1" applyAlignment="1">
      <alignment vertical="center"/>
    </xf>
    <xf numFmtId="1" fontId="5" fillId="2" borderId="0" xfId="3" applyNumberFormat="1" applyFill="1" applyAlignment="1">
      <alignment vertical="center"/>
    </xf>
    <xf numFmtId="1" fontId="5" fillId="2" borderId="0" xfId="2" applyNumberFormat="1" applyFill="1" applyAlignment="1">
      <alignment vertical="center"/>
    </xf>
    <xf numFmtId="0" fontId="4" fillId="2" borderId="0" xfId="3" applyFont="1" applyFill="1" applyAlignment="1">
      <alignment vertical="center"/>
    </xf>
    <xf numFmtId="0" fontId="5" fillId="2" borderId="0" xfId="2" applyFill="1"/>
    <xf numFmtId="0" fontId="5" fillId="0" borderId="0" xfId="2"/>
    <xf numFmtId="1" fontId="11" fillId="2" borderId="0" xfId="0" applyNumberFormat="1" applyFont="1" applyFill="1" applyAlignment="1">
      <alignment horizontal="center"/>
    </xf>
    <xf numFmtId="164" fontId="6" fillId="2" borderId="0" xfId="1" applyFont="1" applyFill="1"/>
    <xf numFmtId="0" fontId="1" fillId="2" borderId="0" xfId="2" applyFont="1" applyFill="1" applyAlignment="1">
      <alignment vertical="center"/>
    </xf>
    <xf numFmtId="0" fontId="7" fillId="0" borderId="3" xfId="2" applyFont="1" applyBorder="1" applyAlignment="1">
      <alignment horizontal="center" vertical="center"/>
    </xf>
    <xf numFmtId="0" fontId="7" fillId="0" borderId="5" xfId="2" applyFont="1" applyBorder="1" applyAlignment="1">
      <alignment horizontal="center" vertical="center"/>
    </xf>
    <xf numFmtId="0" fontId="7" fillId="0" borderId="7" xfId="2" applyFont="1" applyBorder="1" applyAlignment="1">
      <alignment horizontal="center" vertical="center"/>
    </xf>
    <xf numFmtId="0" fontId="17" fillId="2" borderId="13" xfId="2" applyFont="1" applyFill="1" applyBorder="1" applyAlignment="1">
      <alignment horizontal="center" vertical="center" wrapText="1"/>
    </xf>
    <xf numFmtId="0" fontId="13" fillId="2" borderId="0" xfId="2" applyFont="1" applyFill="1" applyBorder="1" applyAlignment="1">
      <alignment vertical="center"/>
    </xf>
    <xf numFmtId="0" fontId="13" fillId="2" borderId="0" xfId="2" applyFont="1" applyFill="1" applyAlignment="1">
      <alignment vertical="center"/>
    </xf>
    <xf numFmtId="0" fontId="13" fillId="0" borderId="0" xfId="2" applyFont="1" applyAlignment="1">
      <alignment vertical="center"/>
    </xf>
    <xf numFmtId="0" fontId="17" fillId="2" borderId="4" xfId="2" applyFont="1" applyFill="1" applyBorder="1" applyAlignment="1">
      <alignment horizontal="center" vertical="center" wrapText="1"/>
    </xf>
    <xf numFmtId="0" fontId="7" fillId="0" borderId="8" xfId="2" applyFont="1" applyBorder="1" applyAlignment="1">
      <alignment horizontal="center" vertical="center"/>
    </xf>
    <xf numFmtId="0" fontId="5" fillId="2" borderId="19" xfId="2" applyFill="1" applyBorder="1" applyAlignment="1">
      <alignment vertical="center"/>
    </xf>
    <xf numFmtId="0" fontId="6" fillId="2" borderId="19" xfId="2" applyFont="1" applyFill="1" applyBorder="1" applyAlignment="1">
      <alignment horizontal="left" vertical="center"/>
    </xf>
    <xf numFmtId="0" fontId="6" fillId="2" borderId="19" xfId="2" applyFont="1" applyFill="1" applyBorder="1" applyAlignment="1">
      <alignment horizontal="center" vertical="center"/>
    </xf>
    <xf numFmtId="0" fontId="5" fillId="2" borderId="19" xfId="2" applyFill="1" applyBorder="1" applyAlignment="1">
      <alignment horizontal="center" vertical="center"/>
    </xf>
    <xf numFmtId="0" fontId="5" fillId="2" borderId="0" xfId="3" applyFill="1" applyAlignment="1">
      <alignment horizontal="center" vertical="center"/>
    </xf>
    <xf numFmtId="1" fontId="4" fillId="2" borderId="0" xfId="4" applyNumberFormat="1" applyFill="1" applyAlignment="1">
      <alignment horizontal="center" vertical="center"/>
    </xf>
    <xf numFmtId="0" fontId="5" fillId="2" borderId="0" xfId="2" applyFill="1" applyAlignment="1">
      <alignment horizontal="center" vertical="center"/>
    </xf>
    <xf numFmtId="1" fontId="4" fillId="2" borderId="0" xfId="4" applyNumberFormat="1" applyFill="1" applyBorder="1" applyAlignment="1">
      <alignment horizontal="center" vertical="center"/>
    </xf>
    <xf numFmtId="1" fontId="6" fillId="2" borderId="0" xfId="3" applyNumberFormat="1" applyFont="1" applyFill="1" applyAlignment="1">
      <alignment horizontal="center" vertical="center"/>
    </xf>
    <xf numFmtId="168" fontId="5" fillId="2" borderId="0" xfId="3" applyNumberFormat="1" applyFill="1" applyAlignment="1">
      <alignment horizontal="center" vertical="center"/>
    </xf>
    <xf numFmtId="165" fontId="5" fillId="2" borderId="0" xfId="3" applyNumberFormat="1" applyFill="1" applyAlignment="1">
      <alignment horizontal="center" vertical="center"/>
    </xf>
    <xf numFmtId="0" fontId="5" fillId="2" borderId="0" xfId="2" applyFill="1" applyAlignment="1">
      <alignment horizontal="center"/>
    </xf>
    <xf numFmtId="165" fontId="5" fillId="2" borderId="0" xfId="3" applyNumberFormat="1" applyFill="1" applyAlignment="1">
      <alignment horizontal="center"/>
    </xf>
    <xf numFmtId="0" fontId="5" fillId="2" borderId="0" xfId="3" applyFill="1" applyAlignment="1">
      <alignment horizontal="center"/>
    </xf>
    <xf numFmtId="0" fontId="5" fillId="0" borderId="0" xfId="2" applyAlignment="1">
      <alignment horizontal="center"/>
    </xf>
    <xf numFmtId="9" fontId="5" fillId="2" borderId="0" xfId="7" applyFont="1" applyFill="1" applyBorder="1" applyAlignment="1">
      <alignment vertical="center"/>
    </xf>
    <xf numFmtId="0" fontId="9" fillId="0" borderId="0" xfId="8"/>
    <xf numFmtId="1" fontId="9" fillId="0" borderId="0" xfId="8" applyNumberFormat="1" applyAlignment="1">
      <alignment horizontal="center"/>
    </xf>
    <xf numFmtId="0" fontId="9" fillId="0" borderId="0" xfId="8" applyAlignment="1">
      <alignment horizontal="center"/>
    </xf>
    <xf numFmtId="1" fontId="19" fillId="0" borderId="0" xfId="8" applyNumberFormat="1" applyFont="1" applyAlignment="1">
      <alignment horizontal="center"/>
    </xf>
    <xf numFmtId="0" fontId="19" fillId="0" borderId="0" xfId="8" applyFont="1" applyAlignment="1">
      <alignment horizontal="center"/>
    </xf>
    <xf numFmtId="2" fontId="9" fillId="0" borderId="0" xfId="8" applyNumberFormat="1" applyAlignment="1">
      <alignment horizontal="center"/>
    </xf>
    <xf numFmtId="0" fontId="20" fillId="0" borderId="0" xfId="8" applyFont="1" applyAlignment="1">
      <alignment horizontal="center"/>
    </xf>
    <xf numFmtId="0" fontId="6" fillId="0" borderId="0" xfId="8" applyFont="1"/>
    <xf numFmtId="1" fontId="6" fillId="0" borderId="24" xfId="8" applyNumberFormat="1" applyFont="1" applyBorder="1" applyAlignment="1">
      <alignment horizontal="center" wrapText="1"/>
    </xf>
    <xf numFmtId="0" fontId="6" fillId="0" borderId="24" xfId="8" applyFont="1" applyBorder="1" applyAlignment="1">
      <alignment horizontal="center" wrapText="1"/>
    </xf>
    <xf numFmtId="0" fontId="7" fillId="0" borderId="25" xfId="2" applyFont="1" applyBorder="1" applyAlignment="1">
      <alignment horizontal="center" vertical="center"/>
    </xf>
    <xf numFmtId="0" fontId="7" fillId="6" borderId="25" xfId="2" applyFont="1" applyFill="1" applyBorder="1" applyAlignment="1">
      <alignment horizontal="center" vertical="center"/>
    </xf>
    <xf numFmtId="169" fontId="6" fillId="0" borderId="24" xfId="8" applyNumberFormat="1" applyFont="1" applyBorder="1" applyAlignment="1">
      <alignment horizontal="center" wrapText="1"/>
    </xf>
    <xf numFmtId="1" fontId="0" fillId="2" borderId="0" xfId="0" applyNumberFormat="1" applyFont="1" applyFill="1"/>
    <xf numFmtId="1" fontId="22" fillId="2" borderId="5" xfId="0" applyNumberFormat="1" applyFont="1" applyFill="1" applyBorder="1" applyAlignment="1">
      <alignment horizontal="center"/>
    </xf>
    <xf numFmtId="1" fontId="0" fillId="0" borderId="0" xfId="1" applyNumberFormat="1" applyFont="1" applyAlignment="1">
      <alignment horizontal="center"/>
    </xf>
    <xf numFmtId="1" fontId="9" fillId="0" borderId="0" xfId="1" applyNumberFormat="1" applyAlignment="1">
      <alignment horizontal="center"/>
    </xf>
    <xf numFmtId="1" fontId="23" fillId="0" borderId="5" xfId="0" applyNumberFormat="1" applyFont="1" applyBorder="1" applyAlignment="1">
      <alignment horizontal="center" vertical="center"/>
    </xf>
    <xf numFmtId="1" fontId="0" fillId="0" borderId="0" xfId="0" applyNumberFormat="1" applyFont="1"/>
    <xf numFmtId="1" fontId="16" fillId="2" borderId="0" xfId="0" applyNumberFormat="1" applyFont="1" applyFill="1"/>
    <xf numFmtId="1" fontId="12" fillId="3" borderId="5" xfId="0" applyNumberFormat="1" applyFont="1" applyFill="1" applyBorder="1" applyAlignment="1">
      <alignment horizontal="center" vertical="center"/>
    </xf>
    <xf numFmtId="1" fontId="16" fillId="0" borderId="0" xfId="0" applyNumberFormat="1" applyFont="1"/>
    <xf numFmtId="1" fontId="14" fillId="2" borderId="0" xfId="0" applyNumberFormat="1" applyFont="1" applyFill="1"/>
    <xf numFmtId="1" fontId="0" fillId="2" borderId="0" xfId="0" applyNumberFormat="1" applyFont="1" applyFill="1" applyAlignment="1">
      <alignment horizontal="center"/>
    </xf>
    <xf numFmtId="1" fontId="0" fillId="2" borderId="0" xfId="1" applyNumberFormat="1" applyFont="1" applyFill="1"/>
    <xf numFmtId="1" fontId="11" fillId="3" borderId="16" xfId="0" applyNumberFormat="1" applyFont="1" applyFill="1" applyBorder="1" applyAlignment="1">
      <alignment horizontal="center"/>
    </xf>
    <xf numFmtId="1" fontId="6" fillId="2" borderId="0" xfId="0" applyNumberFormat="1" applyFont="1" applyFill="1"/>
    <xf numFmtId="1" fontId="0" fillId="3" borderId="0" xfId="0" applyNumberFormat="1" applyFont="1" applyFill="1" applyAlignment="1">
      <alignment horizontal="center"/>
    </xf>
    <xf numFmtId="1" fontId="7" fillId="2" borderId="0" xfId="0" applyNumberFormat="1" applyFont="1" applyFill="1"/>
    <xf numFmtId="1" fontId="0" fillId="3" borderId="0" xfId="1" applyNumberFormat="1" applyFont="1" applyFill="1" applyAlignment="1">
      <alignment horizontal="center"/>
    </xf>
    <xf numFmtId="1" fontId="6" fillId="2" borderId="0" xfId="1" applyNumberFormat="1" applyFont="1" applyFill="1"/>
    <xf numFmtId="164" fontId="6" fillId="2" borderId="0" xfId="1" applyFont="1" applyFill="1" applyAlignment="1">
      <alignment vertical="center"/>
    </xf>
    <xf numFmtId="3" fontId="18" fillId="3" borderId="16" xfId="0" applyNumberFormat="1" applyFont="1" applyFill="1" applyBorder="1" applyAlignment="1">
      <alignment horizontal="center" vertical="center"/>
    </xf>
    <xf numFmtId="1" fontId="12" fillId="3" borderId="5" xfId="0" applyNumberFormat="1" applyFont="1" applyFill="1" applyBorder="1" applyAlignment="1">
      <alignment horizontal="center" vertical="center"/>
    </xf>
    <xf numFmtId="1" fontId="12" fillId="3" borderId="5" xfId="0" quotePrefix="1" applyNumberFormat="1" applyFont="1" applyFill="1" applyBorder="1" applyAlignment="1">
      <alignment horizontal="center" vertical="center"/>
    </xf>
    <xf numFmtId="1" fontId="12" fillId="3" borderId="4" xfId="0" applyNumberFormat="1" applyFont="1" applyFill="1" applyBorder="1" applyAlignment="1">
      <alignment horizontal="center" vertical="center"/>
    </xf>
    <xf numFmtId="1" fontId="13" fillId="2" borderId="5" xfId="0" applyNumberFormat="1" applyFont="1" applyFill="1" applyBorder="1" applyAlignment="1">
      <alignment horizontal="center" vertical="center"/>
    </xf>
    <xf numFmtId="1" fontId="0" fillId="2" borderId="0" xfId="0" applyNumberFormat="1" applyFont="1" applyFill="1" applyAlignment="1">
      <alignment horizontal="left"/>
    </xf>
    <xf numFmtId="164" fontId="5" fillId="2" borderId="5" xfId="1" applyFont="1" applyFill="1" applyBorder="1" applyAlignment="1">
      <alignment horizontal="center" vertical="center"/>
    </xf>
    <xf numFmtId="164" fontId="5" fillId="0" borderId="5" xfId="1" applyFont="1" applyBorder="1" applyAlignment="1">
      <alignment horizontal="center" vertical="center"/>
    </xf>
    <xf numFmtId="164" fontId="1" fillId="2" borderId="0" xfId="1" applyFont="1" applyFill="1" applyAlignment="1">
      <alignment horizontal="center" vertical="center"/>
    </xf>
    <xf numFmtId="164" fontId="5" fillId="2" borderId="0" xfId="1" applyFont="1" applyFill="1" applyAlignment="1">
      <alignment vertical="center"/>
    </xf>
    <xf numFmtId="164" fontId="5" fillId="2" borderId="0" xfId="1" applyFont="1" applyFill="1"/>
    <xf numFmtId="164" fontId="5" fillId="0" borderId="0" xfId="1" applyFont="1"/>
    <xf numFmtId="170" fontId="10" fillId="5" borderId="4" xfId="1" applyNumberFormat="1" applyFont="1" applyFill="1" applyBorder="1" applyAlignment="1">
      <alignment horizontal="center" vertical="center" wrapText="1"/>
    </xf>
    <xf numFmtId="170" fontId="16" fillId="4" borderId="4" xfId="1" applyNumberFormat="1" applyFont="1" applyFill="1" applyBorder="1" applyAlignment="1">
      <alignment horizontal="center" vertical="center" wrapText="1"/>
    </xf>
    <xf numFmtId="170" fontId="0" fillId="2" borderId="0" xfId="1" applyNumberFormat="1" applyFont="1" applyFill="1" applyAlignment="1">
      <alignment horizontal="right" vertical="center"/>
    </xf>
    <xf numFmtId="170" fontId="0" fillId="2" borderId="0" xfId="1" applyNumberFormat="1" applyFont="1" applyFill="1" applyAlignment="1">
      <alignment vertical="center"/>
    </xf>
    <xf numFmtId="170" fontId="5" fillId="2" borderId="0" xfId="1" applyNumberFormat="1" applyFont="1" applyFill="1" applyAlignment="1">
      <alignment vertical="center"/>
    </xf>
    <xf numFmtId="170" fontId="5" fillId="2" borderId="0" xfId="1" applyNumberFormat="1" applyFont="1" applyFill="1"/>
    <xf numFmtId="170" fontId="5" fillId="0" borderId="0" xfId="1" applyNumberFormat="1" applyFont="1"/>
    <xf numFmtId="164" fontId="5" fillId="2" borderId="19" xfId="1" applyFont="1" applyFill="1" applyBorder="1" applyAlignment="1">
      <alignment vertical="center"/>
    </xf>
    <xf numFmtId="164" fontId="7" fillId="0" borderId="5" xfId="1" applyFont="1" applyBorder="1" applyAlignment="1">
      <alignment horizontal="center" vertical="center"/>
    </xf>
    <xf numFmtId="164" fontId="4" fillId="2" borderId="0" xfId="1" applyFont="1" applyFill="1" applyAlignment="1">
      <alignment horizontal="right" vertical="center"/>
    </xf>
    <xf numFmtId="164" fontId="5" fillId="2" borderId="0" xfId="1" applyFont="1" applyFill="1" applyAlignment="1">
      <alignment horizontal="right" vertical="center"/>
    </xf>
    <xf numFmtId="164" fontId="2" fillId="2" borderId="0" xfId="1" applyFont="1" applyFill="1" applyAlignment="1">
      <alignment horizontal="right" vertical="center"/>
    </xf>
    <xf numFmtId="164" fontId="1" fillId="2" borderId="0" xfId="1" applyFont="1" applyFill="1" applyAlignment="1">
      <alignment horizontal="right" vertical="center"/>
    </xf>
    <xf numFmtId="164" fontId="6" fillId="2" borderId="0" xfId="1" applyFont="1" applyFill="1" applyAlignment="1">
      <alignment horizontal="right" vertical="center"/>
    </xf>
    <xf numFmtId="164" fontId="15" fillId="2" borderId="0" xfId="1" applyFont="1" applyFill="1" applyAlignment="1">
      <alignment vertical="center"/>
    </xf>
    <xf numFmtId="164" fontId="7" fillId="0" borderId="4" xfId="1" applyFont="1" applyBorder="1" applyAlignment="1">
      <alignment horizontal="center" vertical="center" wrapText="1"/>
    </xf>
    <xf numFmtId="164" fontId="5" fillId="2" borderId="20" xfId="1" applyFont="1" applyFill="1" applyBorder="1" applyAlignment="1">
      <alignment vertical="center"/>
    </xf>
    <xf numFmtId="164" fontId="7" fillId="0" borderId="6" xfId="1" applyFont="1" applyBorder="1" applyAlignment="1">
      <alignment horizontal="center" vertical="center"/>
    </xf>
    <xf numFmtId="164" fontId="5" fillId="0" borderId="6" xfId="1" applyFont="1" applyBorder="1" applyAlignment="1">
      <alignment horizontal="center" vertical="center"/>
    </xf>
    <xf numFmtId="164" fontId="10" fillId="2" borderId="0" xfId="1" applyFont="1" applyFill="1" applyAlignment="1">
      <alignment vertical="center"/>
    </xf>
    <xf numFmtId="164" fontId="9" fillId="0" borderId="0" xfId="1" applyAlignment="1">
      <alignment horizontal="center"/>
    </xf>
    <xf numFmtId="0" fontId="5" fillId="0" borderId="0" xfId="2" applyAlignment="1">
      <alignment horizontal="center" vertical="center"/>
    </xf>
    <xf numFmtId="1" fontId="1" fillId="0" borderId="4" xfId="1" applyNumberFormat="1" applyFont="1" applyBorder="1" applyAlignment="1">
      <alignment horizontal="center"/>
    </xf>
    <xf numFmtId="1" fontId="1" fillId="2" borderId="4" xfId="1" applyNumberFormat="1" applyFont="1" applyFill="1" applyBorder="1" applyAlignment="1">
      <alignment horizontal="center"/>
    </xf>
    <xf numFmtId="0" fontId="6" fillId="0" borderId="24" xfId="8" applyFont="1" applyBorder="1" applyAlignment="1">
      <alignment horizontal="center" vertical="center"/>
    </xf>
    <xf numFmtId="0" fontId="21" fillId="0" borderId="24" xfId="8" applyFont="1" applyBorder="1" applyAlignment="1">
      <alignment horizontal="center" vertical="center"/>
    </xf>
    <xf numFmtId="1" fontId="21" fillId="0" borderId="24" xfId="8" applyNumberFormat="1" applyFont="1" applyBorder="1" applyAlignment="1">
      <alignment horizontal="center" vertical="center"/>
    </xf>
    <xf numFmtId="164" fontId="1" fillId="0" borderId="5" xfId="1" applyFont="1" applyBorder="1" applyAlignment="1">
      <alignment horizontal="center" vertical="center"/>
    </xf>
    <xf numFmtId="37" fontId="0" fillId="0" borderId="4" xfId="1" applyNumberFormat="1" applyFont="1" applyBorder="1" applyAlignment="1">
      <alignment horizontal="center"/>
    </xf>
    <xf numFmtId="37" fontId="0" fillId="0" borderId="5" xfId="1" applyNumberFormat="1" applyFont="1" applyBorder="1" applyAlignment="1">
      <alignment horizontal="center"/>
    </xf>
    <xf numFmtId="164" fontId="7" fillId="0" borderId="9" xfId="1" applyFont="1" applyBorder="1" applyAlignment="1">
      <alignment horizontal="center" vertical="center" wrapText="1"/>
    </xf>
    <xf numFmtId="164" fontId="7" fillId="0" borderId="12" xfId="1" applyFont="1" applyBorder="1" applyAlignment="1">
      <alignment horizontal="center" vertical="center" wrapText="1"/>
    </xf>
    <xf numFmtId="164" fontId="7" fillId="0" borderId="15" xfId="1" applyFont="1" applyBorder="1" applyAlignment="1">
      <alignment horizontal="center" vertical="center"/>
    </xf>
    <xf numFmtId="164" fontId="7" fillId="0" borderId="14" xfId="1" applyFont="1" applyBorder="1" applyAlignment="1">
      <alignment horizontal="center" vertical="center"/>
    </xf>
    <xf numFmtId="0" fontId="6" fillId="2" borderId="17" xfId="2" applyFont="1" applyFill="1" applyBorder="1" applyAlignment="1">
      <alignment horizontal="center" vertical="center"/>
    </xf>
    <xf numFmtId="0" fontId="6" fillId="2" borderId="18" xfId="2" applyFont="1" applyFill="1" applyBorder="1" applyAlignment="1">
      <alignment horizontal="center" vertical="center"/>
    </xf>
    <xf numFmtId="0" fontId="7" fillId="0" borderId="1" xfId="2" applyFont="1" applyBorder="1" applyAlignment="1">
      <alignment horizontal="center" vertical="center"/>
    </xf>
    <xf numFmtId="0" fontId="7" fillId="0" borderId="11" xfId="2" applyFont="1" applyBorder="1" applyAlignment="1">
      <alignment horizontal="center" vertical="center"/>
    </xf>
    <xf numFmtId="0" fontId="7" fillId="0" borderId="3" xfId="2" applyFont="1" applyBorder="1" applyAlignment="1">
      <alignment horizontal="center" vertical="center"/>
    </xf>
    <xf numFmtId="170" fontId="7" fillId="0" borderId="2" xfId="1" applyNumberFormat="1" applyFont="1" applyBorder="1" applyAlignment="1">
      <alignment horizontal="center" vertical="center" wrapText="1"/>
    </xf>
    <xf numFmtId="170" fontId="7" fillId="0" borderId="12" xfId="1" applyNumberFormat="1" applyFont="1" applyBorder="1" applyAlignment="1">
      <alignment horizontal="center" vertical="center" wrapText="1"/>
    </xf>
    <xf numFmtId="170" fontId="7" fillId="0" borderId="4" xfId="1" applyNumberFormat="1" applyFont="1" applyBorder="1" applyAlignment="1">
      <alignment horizontal="center" vertical="center" wrapText="1"/>
    </xf>
    <xf numFmtId="0" fontId="8" fillId="3" borderId="21" xfId="2" applyFont="1" applyFill="1" applyBorder="1" applyAlignment="1">
      <alignment horizontal="center" vertical="center" wrapText="1"/>
    </xf>
    <xf numFmtId="0" fontId="8" fillId="3" borderId="22" xfId="2" applyFont="1" applyFill="1" applyBorder="1" applyAlignment="1">
      <alignment horizontal="center" vertical="center" wrapText="1"/>
    </xf>
    <xf numFmtId="0" fontId="8" fillId="3" borderId="23" xfId="2" applyFont="1" applyFill="1" applyBorder="1" applyAlignment="1">
      <alignment horizontal="center" vertical="center" wrapText="1"/>
    </xf>
    <xf numFmtId="0" fontId="17" fillId="2" borderId="7" xfId="2" applyFont="1" applyFill="1" applyBorder="1" applyAlignment="1">
      <alignment horizontal="center" vertical="center" wrapText="1"/>
    </xf>
    <xf numFmtId="0" fontId="17" fillId="2" borderId="10" xfId="2" applyFont="1" applyFill="1" applyBorder="1" applyAlignment="1">
      <alignment horizontal="center" vertical="center" wrapText="1"/>
    </xf>
    <xf numFmtId="0" fontId="17" fillId="2" borderId="8" xfId="2" applyFont="1" applyFill="1" applyBorder="1" applyAlignment="1">
      <alignment horizontal="center" vertical="center" wrapText="1"/>
    </xf>
    <xf numFmtId="0" fontId="7" fillId="0" borderId="26" xfId="2" applyFont="1" applyBorder="1" applyAlignment="1">
      <alignment horizontal="center" vertical="center" wrapText="1"/>
    </xf>
    <xf numFmtId="0" fontId="7" fillId="0" borderId="27" xfId="2" applyFont="1" applyBorder="1" applyAlignment="1">
      <alignment horizontal="center" vertical="center"/>
    </xf>
    <xf numFmtId="1" fontId="11" fillId="2" borderId="0" xfId="0" applyNumberFormat="1" applyFont="1" applyFill="1" applyBorder="1" applyAlignment="1">
      <alignment horizontal="center" vertical="center"/>
    </xf>
    <xf numFmtId="1" fontId="12" fillId="3" borderId="5" xfId="0" applyNumberFormat="1" applyFont="1" applyFill="1" applyBorder="1" applyAlignment="1">
      <alignment horizontal="center" vertical="center"/>
    </xf>
    <xf numFmtId="1" fontId="12" fillId="3" borderId="9" xfId="0" applyNumberFormat="1" applyFont="1" applyFill="1" applyBorder="1" applyAlignment="1">
      <alignment horizontal="center" vertical="center"/>
    </xf>
    <xf numFmtId="1" fontId="12" fillId="3" borderId="4" xfId="0" applyNumberFormat="1" applyFont="1" applyFill="1" applyBorder="1" applyAlignment="1">
      <alignment horizontal="center" vertical="center"/>
    </xf>
  </cellXfs>
  <cellStyles count="22">
    <cellStyle name="Comma [0]" xfId="1" builtinId="6"/>
    <cellStyle name="Comma [0] 2" xfId="11" xr:uid="{00000000-0005-0000-0000-000001000000}"/>
    <cellStyle name="Comma [0] 2 4" xfId="5" xr:uid="{00000000-0005-0000-0000-000002000000}"/>
    <cellStyle name="Comma [0] 5" xfId="4" xr:uid="{00000000-0005-0000-0000-000003000000}"/>
    <cellStyle name="Comma 2" xfId="12" xr:uid="{00000000-0005-0000-0000-000004000000}"/>
    <cellStyle name="Comma 3" xfId="10" xr:uid="{00000000-0005-0000-0000-000005000000}"/>
    <cellStyle name="Comma 4" xfId="18" xr:uid="{00000000-0005-0000-0000-000006000000}"/>
    <cellStyle name="Comma 5" xfId="19" xr:uid="{00000000-0005-0000-0000-000007000000}"/>
    <cellStyle name="Comma 6" xfId="20" xr:uid="{00000000-0005-0000-0000-000008000000}"/>
    <cellStyle name="Comma 7" xfId="21" xr:uid="{00000000-0005-0000-0000-000009000000}"/>
    <cellStyle name="Currency [0] 2" xfId="13" xr:uid="{00000000-0005-0000-0000-00000A000000}"/>
    <cellStyle name="Normal" xfId="0" builtinId="0"/>
    <cellStyle name="Normal 2" xfId="6" xr:uid="{00000000-0005-0000-0000-00000C000000}"/>
    <cellStyle name="Normal 2 2" xfId="14" xr:uid="{00000000-0005-0000-0000-00000D000000}"/>
    <cellStyle name="Normal 2 4" xfId="3" xr:uid="{00000000-0005-0000-0000-00000E000000}"/>
    <cellStyle name="Normal 2 4 2" xfId="15" xr:uid="{00000000-0005-0000-0000-00000F000000}"/>
    <cellStyle name="Normal 3" xfId="9" xr:uid="{00000000-0005-0000-0000-000010000000}"/>
    <cellStyle name="Normal 4" xfId="8" xr:uid="{00000000-0005-0000-0000-000011000000}"/>
    <cellStyle name="Normal 5" xfId="2" xr:uid="{00000000-0005-0000-0000-000012000000}"/>
    <cellStyle name="Normal 5 2" xfId="16" xr:uid="{00000000-0005-0000-0000-000013000000}"/>
    <cellStyle name="Percent" xfId="7" builtinId="5"/>
    <cellStyle name="Percent 2" xfId="17" xr:uid="{00000000-0005-0000-0000-000015000000}"/>
  </cellStyles>
  <dxfs count="6">
    <dxf>
      <font>
        <b/>
        <i val="0"/>
        <color theme="8" tint="-0.499984740745262"/>
      </font>
      <fill>
        <patternFill>
          <bgColor theme="7" tint="0.39994506668294322"/>
        </patternFill>
      </fill>
    </dxf>
    <dxf>
      <font>
        <b/>
        <i val="0"/>
        <color rgb="FF7030A0"/>
      </font>
      <fill>
        <patternFill>
          <bgColor theme="9" tint="0.59996337778862885"/>
        </patternFill>
      </fill>
    </dxf>
    <dxf>
      <font>
        <b/>
        <i val="0"/>
        <color theme="8" tint="-0.499984740745262"/>
      </font>
      <fill>
        <patternFill>
          <bgColor theme="7" tint="0.39994506668294322"/>
        </patternFill>
      </fill>
    </dxf>
    <dxf>
      <font>
        <b/>
        <i val="0"/>
        <color rgb="FF7030A0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0"/>
        </patternFill>
      </fill>
    </dxf>
    <dxf>
      <font>
        <color rgb="FF9C0006"/>
      </font>
      <fill>
        <patternFill>
          <bgColor theme="0"/>
        </patternFill>
      </fill>
    </dxf>
  </dxfs>
  <tableStyles count="0" defaultTableStyle="TableStyleMedium2" defaultPivotStyle="PivotStyleLight16"/>
  <colors>
    <mruColors>
      <color rgb="FFFFCCFF"/>
      <color rgb="FFFF99FF"/>
      <color rgb="FFCC00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3"/>
  <sheetViews>
    <sheetView tabSelected="1" zoomScale="90" zoomScaleNormal="90" workbookViewId="0">
      <selection activeCell="K2" sqref="K2:K31"/>
    </sheetView>
  </sheetViews>
  <sheetFormatPr defaultColWidth="11.5703125" defaultRowHeight="15" x14ac:dyDescent="0.25"/>
  <cols>
    <col min="1" max="1" width="25.42578125" style="44" bestFit="1" customWidth="1"/>
    <col min="2" max="3" width="11.5703125" style="46"/>
    <col min="4" max="4" width="13.42578125" style="45" customWidth="1"/>
    <col min="5" max="8" width="12.5703125" style="43" customWidth="1"/>
    <col min="9" max="10" width="12.5703125" style="44" customWidth="1"/>
    <col min="11" max="12" width="11.5703125" style="44"/>
    <col min="13" max="13" width="12.28515625" style="44" customWidth="1"/>
    <col min="14" max="14" width="11.5703125" style="43"/>
    <col min="15" max="257" width="11.5703125" style="42"/>
    <col min="258" max="258" width="12.42578125" style="42" customWidth="1"/>
    <col min="259" max="260" width="11.5703125" style="42"/>
    <col min="261" max="261" width="13.42578125" style="42" customWidth="1"/>
    <col min="262" max="263" width="12.5703125" style="42" customWidth="1"/>
    <col min="264" max="269" width="11.5703125" style="42"/>
    <col min="270" max="270" width="0" style="42" hidden="1" customWidth="1"/>
    <col min="271" max="513" width="11.5703125" style="42"/>
    <col min="514" max="514" width="12.42578125" style="42" customWidth="1"/>
    <col min="515" max="516" width="11.5703125" style="42"/>
    <col min="517" max="517" width="13.42578125" style="42" customWidth="1"/>
    <col min="518" max="519" width="12.5703125" style="42" customWidth="1"/>
    <col min="520" max="525" width="11.5703125" style="42"/>
    <col min="526" max="526" width="0" style="42" hidden="1" customWidth="1"/>
    <col min="527" max="769" width="11.5703125" style="42"/>
    <col min="770" max="770" width="12.42578125" style="42" customWidth="1"/>
    <col min="771" max="772" width="11.5703125" style="42"/>
    <col min="773" max="773" width="13.42578125" style="42" customWidth="1"/>
    <col min="774" max="775" width="12.5703125" style="42" customWidth="1"/>
    <col min="776" max="781" width="11.5703125" style="42"/>
    <col min="782" max="782" width="0" style="42" hidden="1" customWidth="1"/>
    <col min="783" max="1025" width="11.5703125" style="42"/>
    <col min="1026" max="1026" width="12.42578125" style="42" customWidth="1"/>
    <col min="1027" max="1028" width="11.5703125" style="42"/>
    <col min="1029" max="1029" width="13.42578125" style="42" customWidth="1"/>
    <col min="1030" max="1031" width="12.5703125" style="42" customWidth="1"/>
    <col min="1032" max="1037" width="11.5703125" style="42"/>
    <col min="1038" max="1038" width="0" style="42" hidden="1" customWidth="1"/>
    <col min="1039" max="1281" width="11.5703125" style="42"/>
    <col min="1282" max="1282" width="12.42578125" style="42" customWidth="1"/>
    <col min="1283" max="1284" width="11.5703125" style="42"/>
    <col min="1285" max="1285" width="13.42578125" style="42" customWidth="1"/>
    <col min="1286" max="1287" width="12.5703125" style="42" customWidth="1"/>
    <col min="1288" max="1293" width="11.5703125" style="42"/>
    <col min="1294" max="1294" width="0" style="42" hidden="1" customWidth="1"/>
    <col min="1295" max="1537" width="11.5703125" style="42"/>
    <col min="1538" max="1538" width="12.42578125" style="42" customWidth="1"/>
    <col min="1539" max="1540" width="11.5703125" style="42"/>
    <col min="1541" max="1541" width="13.42578125" style="42" customWidth="1"/>
    <col min="1542" max="1543" width="12.5703125" style="42" customWidth="1"/>
    <col min="1544" max="1549" width="11.5703125" style="42"/>
    <col min="1550" max="1550" width="0" style="42" hidden="1" customWidth="1"/>
    <col min="1551" max="1793" width="11.5703125" style="42"/>
    <col min="1794" max="1794" width="12.42578125" style="42" customWidth="1"/>
    <col min="1795" max="1796" width="11.5703125" style="42"/>
    <col min="1797" max="1797" width="13.42578125" style="42" customWidth="1"/>
    <col min="1798" max="1799" width="12.5703125" style="42" customWidth="1"/>
    <col min="1800" max="1805" width="11.5703125" style="42"/>
    <col min="1806" max="1806" width="0" style="42" hidden="1" customWidth="1"/>
    <col min="1807" max="2049" width="11.5703125" style="42"/>
    <col min="2050" max="2050" width="12.42578125" style="42" customWidth="1"/>
    <col min="2051" max="2052" width="11.5703125" style="42"/>
    <col min="2053" max="2053" width="13.42578125" style="42" customWidth="1"/>
    <col min="2054" max="2055" width="12.5703125" style="42" customWidth="1"/>
    <col min="2056" max="2061" width="11.5703125" style="42"/>
    <col min="2062" max="2062" width="0" style="42" hidden="1" customWidth="1"/>
    <col min="2063" max="2305" width="11.5703125" style="42"/>
    <col min="2306" max="2306" width="12.42578125" style="42" customWidth="1"/>
    <col min="2307" max="2308" width="11.5703125" style="42"/>
    <col min="2309" max="2309" width="13.42578125" style="42" customWidth="1"/>
    <col min="2310" max="2311" width="12.5703125" style="42" customWidth="1"/>
    <col min="2312" max="2317" width="11.5703125" style="42"/>
    <col min="2318" max="2318" width="0" style="42" hidden="1" customWidth="1"/>
    <col min="2319" max="2561" width="11.5703125" style="42"/>
    <col min="2562" max="2562" width="12.42578125" style="42" customWidth="1"/>
    <col min="2563" max="2564" width="11.5703125" style="42"/>
    <col min="2565" max="2565" width="13.42578125" style="42" customWidth="1"/>
    <col min="2566" max="2567" width="12.5703125" style="42" customWidth="1"/>
    <col min="2568" max="2573" width="11.5703125" style="42"/>
    <col min="2574" max="2574" width="0" style="42" hidden="1" customWidth="1"/>
    <col min="2575" max="2817" width="11.5703125" style="42"/>
    <col min="2818" max="2818" width="12.42578125" style="42" customWidth="1"/>
    <col min="2819" max="2820" width="11.5703125" style="42"/>
    <col min="2821" max="2821" width="13.42578125" style="42" customWidth="1"/>
    <col min="2822" max="2823" width="12.5703125" style="42" customWidth="1"/>
    <col min="2824" max="2829" width="11.5703125" style="42"/>
    <col min="2830" max="2830" width="0" style="42" hidden="1" customWidth="1"/>
    <col min="2831" max="3073" width="11.5703125" style="42"/>
    <col min="3074" max="3074" width="12.42578125" style="42" customWidth="1"/>
    <col min="3075" max="3076" width="11.5703125" style="42"/>
    <col min="3077" max="3077" width="13.42578125" style="42" customWidth="1"/>
    <col min="3078" max="3079" width="12.5703125" style="42" customWidth="1"/>
    <col min="3080" max="3085" width="11.5703125" style="42"/>
    <col min="3086" max="3086" width="0" style="42" hidden="1" customWidth="1"/>
    <col min="3087" max="3329" width="11.5703125" style="42"/>
    <col min="3330" max="3330" width="12.42578125" style="42" customWidth="1"/>
    <col min="3331" max="3332" width="11.5703125" style="42"/>
    <col min="3333" max="3333" width="13.42578125" style="42" customWidth="1"/>
    <col min="3334" max="3335" width="12.5703125" style="42" customWidth="1"/>
    <col min="3336" max="3341" width="11.5703125" style="42"/>
    <col min="3342" max="3342" width="0" style="42" hidden="1" customWidth="1"/>
    <col min="3343" max="3585" width="11.5703125" style="42"/>
    <col min="3586" max="3586" width="12.42578125" style="42" customWidth="1"/>
    <col min="3587" max="3588" width="11.5703125" style="42"/>
    <col min="3589" max="3589" width="13.42578125" style="42" customWidth="1"/>
    <col min="3590" max="3591" width="12.5703125" style="42" customWidth="1"/>
    <col min="3592" max="3597" width="11.5703125" style="42"/>
    <col min="3598" max="3598" width="0" style="42" hidden="1" customWidth="1"/>
    <col min="3599" max="3841" width="11.5703125" style="42"/>
    <col min="3842" max="3842" width="12.42578125" style="42" customWidth="1"/>
    <col min="3843" max="3844" width="11.5703125" style="42"/>
    <col min="3845" max="3845" width="13.42578125" style="42" customWidth="1"/>
    <col min="3846" max="3847" width="12.5703125" style="42" customWidth="1"/>
    <col min="3848" max="3853" width="11.5703125" style="42"/>
    <col min="3854" max="3854" width="0" style="42" hidden="1" customWidth="1"/>
    <col min="3855" max="4097" width="11.5703125" style="42"/>
    <col min="4098" max="4098" width="12.42578125" style="42" customWidth="1"/>
    <col min="4099" max="4100" width="11.5703125" style="42"/>
    <col min="4101" max="4101" width="13.42578125" style="42" customWidth="1"/>
    <col min="4102" max="4103" width="12.5703125" style="42" customWidth="1"/>
    <col min="4104" max="4109" width="11.5703125" style="42"/>
    <col min="4110" max="4110" width="0" style="42" hidden="1" customWidth="1"/>
    <col min="4111" max="4353" width="11.5703125" style="42"/>
    <col min="4354" max="4354" width="12.42578125" style="42" customWidth="1"/>
    <col min="4355" max="4356" width="11.5703125" style="42"/>
    <col min="4357" max="4357" width="13.42578125" style="42" customWidth="1"/>
    <col min="4358" max="4359" width="12.5703125" style="42" customWidth="1"/>
    <col min="4360" max="4365" width="11.5703125" style="42"/>
    <col min="4366" max="4366" width="0" style="42" hidden="1" customWidth="1"/>
    <col min="4367" max="4609" width="11.5703125" style="42"/>
    <col min="4610" max="4610" width="12.42578125" style="42" customWidth="1"/>
    <col min="4611" max="4612" width="11.5703125" style="42"/>
    <col min="4613" max="4613" width="13.42578125" style="42" customWidth="1"/>
    <col min="4614" max="4615" width="12.5703125" style="42" customWidth="1"/>
    <col min="4616" max="4621" width="11.5703125" style="42"/>
    <col min="4622" max="4622" width="0" style="42" hidden="1" customWidth="1"/>
    <col min="4623" max="4865" width="11.5703125" style="42"/>
    <col min="4866" max="4866" width="12.42578125" style="42" customWidth="1"/>
    <col min="4867" max="4868" width="11.5703125" style="42"/>
    <col min="4869" max="4869" width="13.42578125" style="42" customWidth="1"/>
    <col min="4870" max="4871" width="12.5703125" style="42" customWidth="1"/>
    <col min="4872" max="4877" width="11.5703125" style="42"/>
    <col min="4878" max="4878" width="0" style="42" hidden="1" customWidth="1"/>
    <col min="4879" max="5121" width="11.5703125" style="42"/>
    <col min="5122" max="5122" width="12.42578125" style="42" customWidth="1"/>
    <col min="5123" max="5124" width="11.5703125" style="42"/>
    <col min="5125" max="5125" width="13.42578125" style="42" customWidth="1"/>
    <col min="5126" max="5127" width="12.5703125" style="42" customWidth="1"/>
    <col min="5128" max="5133" width="11.5703125" style="42"/>
    <col min="5134" max="5134" width="0" style="42" hidden="1" customWidth="1"/>
    <col min="5135" max="5377" width="11.5703125" style="42"/>
    <col min="5378" max="5378" width="12.42578125" style="42" customWidth="1"/>
    <col min="5379" max="5380" width="11.5703125" style="42"/>
    <col min="5381" max="5381" width="13.42578125" style="42" customWidth="1"/>
    <col min="5382" max="5383" width="12.5703125" style="42" customWidth="1"/>
    <col min="5384" max="5389" width="11.5703125" style="42"/>
    <col min="5390" max="5390" width="0" style="42" hidden="1" customWidth="1"/>
    <col min="5391" max="5633" width="11.5703125" style="42"/>
    <col min="5634" max="5634" width="12.42578125" style="42" customWidth="1"/>
    <col min="5635" max="5636" width="11.5703125" style="42"/>
    <col min="5637" max="5637" width="13.42578125" style="42" customWidth="1"/>
    <col min="5638" max="5639" width="12.5703125" style="42" customWidth="1"/>
    <col min="5640" max="5645" width="11.5703125" style="42"/>
    <col min="5646" max="5646" width="0" style="42" hidden="1" customWidth="1"/>
    <col min="5647" max="5889" width="11.5703125" style="42"/>
    <col min="5890" max="5890" width="12.42578125" style="42" customWidth="1"/>
    <col min="5891" max="5892" width="11.5703125" style="42"/>
    <col min="5893" max="5893" width="13.42578125" style="42" customWidth="1"/>
    <col min="5894" max="5895" width="12.5703125" style="42" customWidth="1"/>
    <col min="5896" max="5901" width="11.5703125" style="42"/>
    <col min="5902" max="5902" width="0" style="42" hidden="1" customWidth="1"/>
    <col min="5903" max="6145" width="11.5703125" style="42"/>
    <col min="6146" max="6146" width="12.42578125" style="42" customWidth="1"/>
    <col min="6147" max="6148" width="11.5703125" style="42"/>
    <col min="6149" max="6149" width="13.42578125" style="42" customWidth="1"/>
    <col min="6150" max="6151" width="12.5703125" style="42" customWidth="1"/>
    <col min="6152" max="6157" width="11.5703125" style="42"/>
    <col min="6158" max="6158" width="0" style="42" hidden="1" customWidth="1"/>
    <col min="6159" max="6401" width="11.5703125" style="42"/>
    <col min="6402" max="6402" width="12.42578125" style="42" customWidth="1"/>
    <col min="6403" max="6404" width="11.5703125" style="42"/>
    <col min="6405" max="6405" width="13.42578125" style="42" customWidth="1"/>
    <col min="6406" max="6407" width="12.5703125" style="42" customWidth="1"/>
    <col min="6408" max="6413" width="11.5703125" style="42"/>
    <col min="6414" max="6414" width="0" style="42" hidden="1" customWidth="1"/>
    <col min="6415" max="6657" width="11.5703125" style="42"/>
    <col min="6658" max="6658" width="12.42578125" style="42" customWidth="1"/>
    <col min="6659" max="6660" width="11.5703125" style="42"/>
    <col min="6661" max="6661" width="13.42578125" style="42" customWidth="1"/>
    <col min="6662" max="6663" width="12.5703125" style="42" customWidth="1"/>
    <col min="6664" max="6669" width="11.5703125" style="42"/>
    <col min="6670" max="6670" width="0" style="42" hidden="1" customWidth="1"/>
    <col min="6671" max="6913" width="11.5703125" style="42"/>
    <col min="6914" max="6914" width="12.42578125" style="42" customWidth="1"/>
    <col min="6915" max="6916" width="11.5703125" style="42"/>
    <col min="6917" max="6917" width="13.42578125" style="42" customWidth="1"/>
    <col min="6918" max="6919" width="12.5703125" style="42" customWidth="1"/>
    <col min="6920" max="6925" width="11.5703125" style="42"/>
    <col min="6926" max="6926" width="0" style="42" hidden="1" customWidth="1"/>
    <col min="6927" max="7169" width="11.5703125" style="42"/>
    <col min="7170" max="7170" width="12.42578125" style="42" customWidth="1"/>
    <col min="7171" max="7172" width="11.5703125" style="42"/>
    <col min="7173" max="7173" width="13.42578125" style="42" customWidth="1"/>
    <col min="7174" max="7175" width="12.5703125" style="42" customWidth="1"/>
    <col min="7176" max="7181" width="11.5703125" style="42"/>
    <col min="7182" max="7182" width="0" style="42" hidden="1" customWidth="1"/>
    <col min="7183" max="7425" width="11.5703125" style="42"/>
    <col min="7426" max="7426" width="12.42578125" style="42" customWidth="1"/>
    <col min="7427" max="7428" width="11.5703125" style="42"/>
    <col min="7429" max="7429" width="13.42578125" style="42" customWidth="1"/>
    <col min="7430" max="7431" width="12.5703125" style="42" customWidth="1"/>
    <col min="7432" max="7437" width="11.5703125" style="42"/>
    <col min="7438" max="7438" width="0" style="42" hidden="1" customWidth="1"/>
    <col min="7439" max="7681" width="11.5703125" style="42"/>
    <col min="7682" max="7682" width="12.42578125" style="42" customWidth="1"/>
    <col min="7683" max="7684" width="11.5703125" style="42"/>
    <col min="7685" max="7685" width="13.42578125" style="42" customWidth="1"/>
    <col min="7686" max="7687" width="12.5703125" style="42" customWidth="1"/>
    <col min="7688" max="7693" width="11.5703125" style="42"/>
    <col min="7694" max="7694" width="0" style="42" hidden="1" customWidth="1"/>
    <col min="7695" max="7937" width="11.5703125" style="42"/>
    <col min="7938" max="7938" width="12.42578125" style="42" customWidth="1"/>
    <col min="7939" max="7940" width="11.5703125" style="42"/>
    <col min="7941" max="7941" width="13.42578125" style="42" customWidth="1"/>
    <col min="7942" max="7943" width="12.5703125" style="42" customWidth="1"/>
    <col min="7944" max="7949" width="11.5703125" style="42"/>
    <col min="7950" max="7950" width="0" style="42" hidden="1" customWidth="1"/>
    <col min="7951" max="8193" width="11.5703125" style="42"/>
    <col min="8194" max="8194" width="12.42578125" style="42" customWidth="1"/>
    <col min="8195" max="8196" width="11.5703125" style="42"/>
    <col min="8197" max="8197" width="13.42578125" style="42" customWidth="1"/>
    <col min="8198" max="8199" width="12.5703125" style="42" customWidth="1"/>
    <col min="8200" max="8205" width="11.5703125" style="42"/>
    <col min="8206" max="8206" width="0" style="42" hidden="1" customWidth="1"/>
    <col min="8207" max="8449" width="11.5703125" style="42"/>
    <col min="8450" max="8450" width="12.42578125" style="42" customWidth="1"/>
    <col min="8451" max="8452" width="11.5703125" style="42"/>
    <col min="8453" max="8453" width="13.42578125" style="42" customWidth="1"/>
    <col min="8454" max="8455" width="12.5703125" style="42" customWidth="1"/>
    <col min="8456" max="8461" width="11.5703125" style="42"/>
    <col min="8462" max="8462" width="0" style="42" hidden="1" customWidth="1"/>
    <col min="8463" max="8705" width="11.5703125" style="42"/>
    <col min="8706" max="8706" width="12.42578125" style="42" customWidth="1"/>
    <col min="8707" max="8708" width="11.5703125" style="42"/>
    <col min="8709" max="8709" width="13.42578125" style="42" customWidth="1"/>
    <col min="8710" max="8711" width="12.5703125" style="42" customWidth="1"/>
    <col min="8712" max="8717" width="11.5703125" style="42"/>
    <col min="8718" max="8718" width="0" style="42" hidden="1" customWidth="1"/>
    <col min="8719" max="8961" width="11.5703125" style="42"/>
    <col min="8962" max="8962" width="12.42578125" style="42" customWidth="1"/>
    <col min="8963" max="8964" width="11.5703125" style="42"/>
    <col min="8965" max="8965" width="13.42578125" style="42" customWidth="1"/>
    <col min="8966" max="8967" width="12.5703125" style="42" customWidth="1"/>
    <col min="8968" max="8973" width="11.5703125" style="42"/>
    <col min="8974" max="8974" width="0" style="42" hidden="1" customWidth="1"/>
    <col min="8975" max="9217" width="11.5703125" style="42"/>
    <col min="9218" max="9218" width="12.42578125" style="42" customWidth="1"/>
    <col min="9219" max="9220" width="11.5703125" style="42"/>
    <col min="9221" max="9221" width="13.42578125" style="42" customWidth="1"/>
    <col min="9222" max="9223" width="12.5703125" style="42" customWidth="1"/>
    <col min="9224" max="9229" width="11.5703125" style="42"/>
    <col min="9230" max="9230" width="0" style="42" hidden="1" customWidth="1"/>
    <col min="9231" max="9473" width="11.5703125" style="42"/>
    <col min="9474" max="9474" width="12.42578125" style="42" customWidth="1"/>
    <col min="9475" max="9476" width="11.5703125" style="42"/>
    <col min="9477" max="9477" width="13.42578125" style="42" customWidth="1"/>
    <col min="9478" max="9479" width="12.5703125" style="42" customWidth="1"/>
    <col min="9480" max="9485" width="11.5703125" style="42"/>
    <col min="9486" max="9486" width="0" style="42" hidden="1" customWidth="1"/>
    <col min="9487" max="9729" width="11.5703125" style="42"/>
    <col min="9730" max="9730" width="12.42578125" style="42" customWidth="1"/>
    <col min="9731" max="9732" width="11.5703125" style="42"/>
    <col min="9733" max="9733" width="13.42578125" style="42" customWidth="1"/>
    <col min="9734" max="9735" width="12.5703125" style="42" customWidth="1"/>
    <col min="9736" max="9741" width="11.5703125" style="42"/>
    <col min="9742" max="9742" width="0" style="42" hidden="1" customWidth="1"/>
    <col min="9743" max="9985" width="11.5703125" style="42"/>
    <col min="9986" max="9986" width="12.42578125" style="42" customWidth="1"/>
    <col min="9987" max="9988" width="11.5703125" style="42"/>
    <col min="9989" max="9989" width="13.42578125" style="42" customWidth="1"/>
    <col min="9990" max="9991" width="12.5703125" style="42" customWidth="1"/>
    <col min="9992" max="9997" width="11.5703125" style="42"/>
    <col min="9998" max="9998" width="0" style="42" hidden="1" customWidth="1"/>
    <col min="9999" max="10241" width="11.5703125" style="42"/>
    <col min="10242" max="10242" width="12.42578125" style="42" customWidth="1"/>
    <col min="10243" max="10244" width="11.5703125" style="42"/>
    <col min="10245" max="10245" width="13.42578125" style="42" customWidth="1"/>
    <col min="10246" max="10247" width="12.5703125" style="42" customWidth="1"/>
    <col min="10248" max="10253" width="11.5703125" style="42"/>
    <col min="10254" max="10254" width="0" style="42" hidden="1" customWidth="1"/>
    <col min="10255" max="10497" width="11.5703125" style="42"/>
    <col min="10498" max="10498" width="12.42578125" style="42" customWidth="1"/>
    <col min="10499" max="10500" width="11.5703125" style="42"/>
    <col min="10501" max="10501" width="13.42578125" style="42" customWidth="1"/>
    <col min="10502" max="10503" width="12.5703125" style="42" customWidth="1"/>
    <col min="10504" max="10509" width="11.5703125" style="42"/>
    <col min="10510" max="10510" width="0" style="42" hidden="1" customWidth="1"/>
    <col min="10511" max="10753" width="11.5703125" style="42"/>
    <col min="10754" max="10754" width="12.42578125" style="42" customWidth="1"/>
    <col min="10755" max="10756" width="11.5703125" style="42"/>
    <col min="10757" max="10757" width="13.42578125" style="42" customWidth="1"/>
    <col min="10758" max="10759" width="12.5703125" style="42" customWidth="1"/>
    <col min="10760" max="10765" width="11.5703125" style="42"/>
    <col min="10766" max="10766" width="0" style="42" hidden="1" customWidth="1"/>
    <col min="10767" max="11009" width="11.5703125" style="42"/>
    <col min="11010" max="11010" width="12.42578125" style="42" customWidth="1"/>
    <col min="11011" max="11012" width="11.5703125" style="42"/>
    <col min="11013" max="11013" width="13.42578125" style="42" customWidth="1"/>
    <col min="11014" max="11015" width="12.5703125" style="42" customWidth="1"/>
    <col min="11016" max="11021" width="11.5703125" style="42"/>
    <col min="11022" max="11022" width="0" style="42" hidden="1" customWidth="1"/>
    <col min="11023" max="11265" width="11.5703125" style="42"/>
    <col min="11266" max="11266" width="12.42578125" style="42" customWidth="1"/>
    <col min="11267" max="11268" width="11.5703125" style="42"/>
    <col min="11269" max="11269" width="13.42578125" style="42" customWidth="1"/>
    <col min="11270" max="11271" width="12.5703125" style="42" customWidth="1"/>
    <col min="11272" max="11277" width="11.5703125" style="42"/>
    <col min="11278" max="11278" width="0" style="42" hidden="1" customWidth="1"/>
    <col min="11279" max="11521" width="11.5703125" style="42"/>
    <col min="11522" max="11522" width="12.42578125" style="42" customWidth="1"/>
    <col min="11523" max="11524" width="11.5703125" style="42"/>
    <col min="11525" max="11525" width="13.42578125" style="42" customWidth="1"/>
    <col min="11526" max="11527" width="12.5703125" style="42" customWidth="1"/>
    <col min="11528" max="11533" width="11.5703125" style="42"/>
    <col min="11534" max="11534" width="0" style="42" hidden="1" customWidth="1"/>
    <col min="11535" max="11777" width="11.5703125" style="42"/>
    <col min="11778" max="11778" width="12.42578125" style="42" customWidth="1"/>
    <col min="11779" max="11780" width="11.5703125" style="42"/>
    <col min="11781" max="11781" width="13.42578125" style="42" customWidth="1"/>
    <col min="11782" max="11783" width="12.5703125" style="42" customWidth="1"/>
    <col min="11784" max="11789" width="11.5703125" style="42"/>
    <col min="11790" max="11790" width="0" style="42" hidden="1" customWidth="1"/>
    <col min="11791" max="12033" width="11.5703125" style="42"/>
    <col min="12034" max="12034" width="12.42578125" style="42" customWidth="1"/>
    <col min="12035" max="12036" width="11.5703125" style="42"/>
    <col min="12037" max="12037" width="13.42578125" style="42" customWidth="1"/>
    <col min="12038" max="12039" width="12.5703125" style="42" customWidth="1"/>
    <col min="12040" max="12045" width="11.5703125" style="42"/>
    <col min="12046" max="12046" width="0" style="42" hidden="1" customWidth="1"/>
    <col min="12047" max="12289" width="11.5703125" style="42"/>
    <col min="12290" max="12290" width="12.42578125" style="42" customWidth="1"/>
    <col min="12291" max="12292" width="11.5703125" style="42"/>
    <col min="12293" max="12293" width="13.42578125" style="42" customWidth="1"/>
    <col min="12294" max="12295" width="12.5703125" style="42" customWidth="1"/>
    <col min="12296" max="12301" width="11.5703125" style="42"/>
    <col min="12302" max="12302" width="0" style="42" hidden="1" customWidth="1"/>
    <col min="12303" max="12545" width="11.5703125" style="42"/>
    <col min="12546" max="12546" width="12.42578125" style="42" customWidth="1"/>
    <col min="12547" max="12548" width="11.5703125" style="42"/>
    <col min="12549" max="12549" width="13.42578125" style="42" customWidth="1"/>
    <col min="12550" max="12551" width="12.5703125" style="42" customWidth="1"/>
    <col min="12552" max="12557" width="11.5703125" style="42"/>
    <col min="12558" max="12558" width="0" style="42" hidden="1" customWidth="1"/>
    <col min="12559" max="12801" width="11.5703125" style="42"/>
    <col min="12802" max="12802" width="12.42578125" style="42" customWidth="1"/>
    <col min="12803" max="12804" width="11.5703125" style="42"/>
    <col min="12805" max="12805" width="13.42578125" style="42" customWidth="1"/>
    <col min="12806" max="12807" width="12.5703125" style="42" customWidth="1"/>
    <col min="12808" max="12813" width="11.5703125" style="42"/>
    <col min="12814" max="12814" width="0" style="42" hidden="1" customWidth="1"/>
    <col min="12815" max="13057" width="11.5703125" style="42"/>
    <col min="13058" max="13058" width="12.42578125" style="42" customWidth="1"/>
    <col min="13059" max="13060" width="11.5703125" style="42"/>
    <col min="13061" max="13061" width="13.42578125" style="42" customWidth="1"/>
    <col min="13062" max="13063" width="12.5703125" style="42" customWidth="1"/>
    <col min="13064" max="13069" width="11.5703125" style="42"/>
    <col min="13070" max="13070" width="0" style="42" hidden="1" customWidth="1"/>
    <col min="13071" max="13313" width="11.5703125" style="42"/>
    <col min="13314" max="13314" width="12.42578125" style="42" customWidth="1"/>
    <col min="13315" max="13316" width="11.5703125" style="42"/>
    <col min="13317" max="13317" width="13.42578125" style="42" customWidth="1"/>
    <col min="13318" max="13319" width="12.5703125" style="42" customWidth="1"/>
    <col min="13320" max="13325" width="11.5703125" style="42"/>
    <col min="13326" max="13326" width="0" style="42" hidden="1" customWidth="1"/>
    <col min="13327" max="13569" width="11.5703125" style="42"/>
    <col min="13570" max="13570" width="12.42578125" style="42" customWidth="1"/>
    <col min="13571" max="13572" width="11.5703125" style="42"/>
    <col min="13573" max="13573" width="13.42578125" style="42" customWidth="1"/>
    <col min="13574" max="13575" width="12.5703125" style="42" customWidth="1"/>
    <col min="13576" max="13581" width="11.5703125" style="42"/>
    <col min="13582" max="13582" width="0" style="42" hidden="1" customWidth="1"/>
    <col min="13583" max="13825" width="11.5703125" style="42"/>
    <col min="13826" max="13826" width="12.42578125" style="42" customWidth="1"/>
    <col min="13827" max="13828" width="11.5703125" style="42"/>
    <col min="13829" max="13829" width="13.42578125" style="42" customWidth="1"/>
    <col min="13830" max="13831" width="12.5703125" style="42" customWidth="1"/>
    <col min="13832" max="13837" width="11.5703125" style="42"/>
    <col min="13838" max="13838" width="0" style="42" hidden="1" customWidth="1"/>
    <col min="13839" max="14081" width="11.5703125" style="42"/>
    <col min="14082" max="14082" width="12.42578125" style="42" customWidth="1"/>
    <col min="14083" max="14084" width="11.5703125" style="42"/>
    <col min="14085" max="14085" width="13.42578125" style="42" customWidth="1"/>
    <col min="14086" max="14087" width="12.5703125" style="42" customWidth="1"/>
    <col min="14088" max="14093" width="11.5703125" style="42"/>
    <col min="14094" max="14094" width="0" style="42" hidden="1" customWidth="1"/>
    <col min="14095" max="14337" width="11.5703125" style="42"/>
    <col min="14338" max="14338" width="12.42578125" style="42" customWidth="1"/>
    <col min="14339" max="14340" width="11.5703125" style="42"/>
    <col min="14341" max="14341" width="13.42578125" style="42" customWidth="1"/>
    <col min="14342" max="14343" width="12.5703125" style="42" customWidth="1"/>
    <col min="14344" max="14349" width="11.5703125" style="42"/>
    <col min="14350" max="14350" width="0" style="42" hidden="1" customWidth="1"/>
    <col min="14351" max="14593" width="11.5703125" style="42"/>
    <col min="14594" max="14594" width="12.42578125" style="42" customWidth="1"/>
    <col min="14595" max="14596" width="11.5703125" style="42"/>
    <col min="14597" max="14597" width="13.42578125" style="42" customWidth="1"/>
    <col min="14598" max="14599" width="12.5703125" style="42" customWidth="1"/>
    <col min="14600" max="14605" width="11.5703125" style="42"/>
    <col min="14606" max="14606" width="0" style="42" hidden="1" customWidth="1"/>
    <col min="14607" max="14849" width="11.5703125" style="42"/>
    <col min="14850" max="14850" width="12.42578125" style="42" customWidth="1"/>
    <col min="14851" max="14852" width="11.5703125" style="42"/>
    <col min="14853" max="14853" width="13.42578125" style="42" customWidth="1"/>
    <col min="14854" max="14855" width="12.5703125" style="42" customWidth="1"/>
    <col min="14856" max="14861" width="11.5703125" style="42"/>
    <col min="14862" max="14862" width="0" style="42" hidden="1" customWidth="1"/>
    <col min="14863" max="15105" width="11.5703125" style="42"/>
    <col min="15106" max="15106" width="12.42578125" style="42" customWidth="1"/>
    <col min="15107" max="15108" width="11.5703125" style="42"/>
    <col min="15109" max="15109" width="13.42578125" style="42" customWidth="1"/>
    <col min="15110" max="15111" width="12.5703125" style="42" customWidth="1"/>
    <col min="15112" max="15117" width="11.5703125" style="42"/>
    <col min="15118" max="15118" width="0" style="42" hidden="1" customWidth="1"/>
    <col min="15119" max="15361" width="11.5703125" style="42"/>
    <col min="15362" max="15362" width="12.42578125" style="42" customWidth="1"/>
    <col min="15363" max="15364" width="11.5703125" style="42"/>
    <col min="15365" max="15365" width="13.42578125" style="42" customWidth="1"/>
    <col min="15366" max="15367" width="12.5703125" style="42" customWidth="1"/>
    <col min="15368" max="15373" width="11.5703125" style="42"/>
    <col min="15374" max="15374" width="0" style="42" hidden="1" customWidth="1"/>
    <col min="15375" max="15617" width="11.5703125" style="42"/>
    <col min="15618" max="15618" width="12.42578125" style="42" customWidth="1"/>
    <col min="15619" max="15620" width="11.5703125" style="42"/>
    <col min="15621" max="15621" width="13.42578125" style="42" customWidth="1"/>
    <col min="15622" max="15623" width="12.5703125" style="42" customWidth="1"/>
    <col min="15624" max="15629" width="11.5703125" style="42"/>
    <col min="15630" max="15630" width="0" style="42" hidden="1" customWidth="1"/>
    <col min="15631" max="15873" width="11.5703125" style="42"/>
    <col min="15874" max="15874" width="12.42578125" style="42" customWidth="1"/>
    <col min="15875" max="15876" width="11.5703125" style="42"/>
    <col min="15877" max="15877" width="13.42578125" style="42" customWidth="1"/>
    <col min="15878" max="15879" width="12.5703125" style="42" customWidth="1"/>
    <col min="15880" max="15885" width="11.5703125" style="42"/>
    <col min="15886" max="15886" width="0" style="42" hidden="1" customWidth="1"/>
    <col min="15887" max="16129" width="11.5703125" style="42"/>
    <col min="16130" max="16130" width="12.42578125" style="42" customWidth="1"/>
    <col min="16131" max="16132" width="11.5703125" style="42"/>
    <col min="16133" max="16133" width="13.42578125" style="42" customWidth="1"/>
    <col min="16134" max="16135" width="12.5703125" style="42" customWidth="1"/>
    <col min="16136" max="16141" width="11.5703125" style="42"/>
    <col min="16142" max="16142" width="0" style="42" hidden="1" customWidth="1"/>
    <col min="16143" max="16384" width="11.5703125" style="42"/>
  </cols>
  <sheetData>
    <row r="1" spans="1:15" s="49" customFormat="1" ht="60.75" thickBot="1" x14ac:dyDescent="0.3">
      <c r="A1" s="110" t="s">
        <v>24</v>
      </c>
      <c r="B1" s="111" t="s">
        <v>23</v>
      </c>
      <c r="C1" s="111" t="s">
        <v>22</v>
      </c>
      <c r="D1" s="112" t="s">
        <v>21</v>
      </c>
      <c r="E1" s="50" t="s">
        <v>20</v>
      </c>
      <c r="F1" s="50" t="s">
        <v>25</v>
      </c>
      <c r="G1" s="50" t="s">
        <v>26</v>
      </c>
      <c r="H1" s="50" t="s">
        <v>39</v>
      </c>
      <c r="I1" s="50" t="s">
        <v>40</v>
      </c>
      <c r="J1" s="51" t="s">
        <v>27</v>
      </c>
      <c r="K1" s="54" t="s">
        <v>41</v>
      </c>
      <c r="L1" s="54" t="s">
        <v>29</v>
      </c>
      <c r="M1" s="54" t="s">
        <v>42</v>
      </c>
      <c r="N1" s="54" t="s">
        <v>36</v>
      </c>
      <c r="O1" s="50" t="s">
        <v>43</v>
      </c>
    </row>
    <row r="2" spans="1:15" x14ac:dyDescent="0.25">
      <c r="A2" s="48" t="s">
        <v>44</v>
      </c>
      <c r="B2" s="45">
        <v>1</v>
      </c>
      <c r="C2" s="45">
        <v>6</v>
      </c>
      <c r="D2" s="45">
        <f>Water!D5</f>
        <v>2019</v>
      </c>
      <c r="E2" s="43">
        <f>Electricity!G6</f>
        <v>25399.999999997817</v>
      </c>
      <c r="F2" s="43">
        <f>Electricity!E6</f>
        <v>4319.999999999709</v>
      </c>
      <c r="G2" s="43">
        <f>Electricity!F6</f>
        <v>21079.999999998108</v>
      </c>
      <c r="H2" s="47">
        <v>1553.67</v>
      </c>
      <c r="I2" s="57" t="s">
        <v>28</v>
      </c>
      <c r="J2" s="106">
        <f>Electricity!L6</f>
        <v>29231203.123197529</v>
      </c>
      <c r="K2" s="43">
        <f>J2/E2</f>
        <v>1150.8347686299228</v>
      </c>
      <c r="L2" s="43">
        <f>Water!G5</f>
        <v>360</v>
      </c>
      <c r="M2" s="58">
        <v>12550</v>
      </c>
      <c r="N2" s="106">
        <f>TOTAL!L2*TOTAL!M2</f>
        <v>4518000</v>
      </c>
      <c r="O2" s="43">
        <f>Electricity!C6</f>
        <v>164</v>
      </c>
    </row>
    <row r="3" spans="1:15" x14ac:dyDescent="0.25">
      <c r="A3" s="48" t="s">
        <v>44</v>
      </c>
      <c r="B3" s="45">
        <v>2</v>
      </c>
      <c r="C3" s="45">
        <v>6</v>
      </c>
      <c r="D3" s="45">
        <f>D2</f>
        <v>2019</v>
      </c>
      <c r="E3" s="43">
        <f>Electricity!G7</f>
        <v>16200.000000003456</v>
      </c>
      <c r="F3" s="43">
        <f>Electricity!E7</f>
        <v>5039.9999999999636</v>
      </c>
      <c r="G3" s="43">
        <f>Electricity!F7</f>
        <v>11160.000000003492</v>
      </c>
      <c r="H3" s="47">
        <v>1553.67</v>
      </c>
      <c r="I3" s="57" t="s">
        <v>28</v>
      </c>
      <c r="J3" s="106">
        <f>Electricity!L7</f>
        <v>19855156.83840365</v>
      </c>
      <c r="K3" s="43">
        <f t="shared" ref="K3:K31" si="0">J3/E3</f>
        <v>1225.6269653332972</v>
      </c>
      <c r="L3" s="43">
        <f>Water!G6</f>
        <v>203</v>
      </c>
      <c r="M3" s="58">
        <v>12550</v>
      </c>
      <c r="N3" s="106">
        <f>TOTAL!L3*TOTAL!M3</f>
        <v>2547650</v>
      </c>
      <c r="O3" s="43">
        <f>O2</f>
        <v>164</v>
      </c>
    </row>
    <row r="4" spans="1:15" x14ac:dyDescent="0.25">
      <c r="A4" s="48" t="s">
        <v>44</v>
      </c>
      <c r="B4" s="45">
        <v>3</v>
      </c>
      <c r="C4" s="45">
        <v>6</v>
      </c>
      <c r="D4" s="45">
        <f t="shared" ref="D4:D31" si="1">D3</f>
        <v>2019</v>
      </c>
      <c r="E4" s="43">
        <f>Electricity!G8</f>
        <v>32999.999999997272</v>
      </c>
      <c r="F4" s="43">
        <f>Electricity!E8</f>
        <v>3640.0000000003274</v>
      </c>
      <c r="G4" s="43">
        <f>Electricity!F8</f>
        <v>29359.999999996944</v>
      </c>
      <c r="H4" s="47">
        <v>1553.67</v>
      </c>
      <c r="I4" s="57" t="s">
        <v>28</v>
      </c>
      <c r="J4" s="106">
        <f>Electricity!L8</f>
        <v>36931440.230397277</v>
      </c>
      <c r="K4" s="43">
        <f t="shared" si="0"/>
        <v>1119.1345524363737</v>
      </c>
      <c r="L4" s="43">
        <f>Water!G7</f>
        <v>207</v>
      </c>
      <c r="M4" s="58">
        <v>12550</v>
      </c>
      <c r="N4" s="106">
        <f>TOTAL!L4*TOTAL!M4</f>
        <v>2597850</v>
      </c>
      <c r="O4" s="43">
        <f t="shared" ref="O4:O31" si="2">O3</f>
        <v>164</v>
      </c>
    </row>
    <row r="5" spans="1:15" x14ac:dyDescent="0.25">
      <c r="A5" s="48" t="s">
        <v>44</v>
      </c>
      <c r="B5" s="45">
        <v>4</v>
      </c>
      <c r="C5" s="45">
        <v>6</v>
      </c>
      <c r="D5" s="45">
        <f t="shared" si="1"/>
        <v>2019</v>
      </c>
      <c r="E5" s="43">
        <f>Electricity!G9</f>
        <v>23200.000000002547</v>
      </c>
      <c r="F5" s="43">
        <f>Electricity!E9</f>
        <v>4559.9999999994907</v>
      </c>
      <c r="G5" s="43">
        <f>Electricity!F9</f>
        <v>18640.000000003056</v>
      </c>
      <c r="H5" s="47">
        <v>1553.67</v>
      </c>
      <c r="I5" s="57" t="s">
        <v>28</v>
      </c>
      <c r="J5" s="106">
        <f>Electricity!L9</f>
        <v>27025074.585602432</v>
      </c>
      <c r="K5" s="43">
        <f t="shared" si="0"/>
        <v>1164.8739045517011</v>
      </c>
      <c r="L5" s="43">
        <f>Water!G8</f>
        <v>203</v>
      </c>
      <c r="M5" s="58">
        <v>12550</v>
      </c>
      <c r="N5" s="106">
        <f>TOTAL!L5*TOTAL!M5</f>
        <v>2547650</v>
      </c>
      <c r="O5" s="43">
        <f t="shared" si="2"/>
        <v>164</v>
      </c>
    </row>
    <row r="6" spans="1:15" x14ac:dyDescent="0.25">
      <c r="A6" s="48" t="s">
        <v>44</v>
      </c>
      <c r="B6" s="45">
        <v>5</v>
      </c>
      <c r="C6" s="45">
        <v>6</v>
      </c>
      <c r="D6" s="45">
        <f t="shared" si="1"/>
        <v>2019</v>
      </c>
      <c r="E6" s="43">
        <f>Electricity!G10</f>
        <v>25599.999999998545</v>
      </c>
      <c r="F6" s="43">
        <f>Electricity!E10</f>
        <v>4520.0000000004366</v>
      </c>
      <c r="G6" s="43">
        <f>Electricity!F10</f>
        <v>21079.999999998108</v>
      </c>
      <c r="H6" s="47">
        <v>1553.67</v>
      </c>
      <c r="I6" s="57" t="s">
        <v>28</v>
      </c>
      <c r="J6" s="106">
        <f>Electricity!L10</f>
        <v>29549394.739198685</v>
      </c>
      <c r="K6" s="43">
        <f t="shared" si="0"/>
        <v>1154.2732320000143</v>
      </c>
      <c r="L6" s="43">
        <f>Water!G9</f>
        <v>196</v>
      </c>
      <c r="M6" s="58">
        <v>12550</v>
      </c>
      <c r="N6" s="106">
        <f>TOTAL!L6*TOTAL!M6</f>
        <v>2459800</v>
      </c>
      <c r="O6" s="43">
        <f t="shared" si="2"/>
        <v>164</v>
      </c>
    </row>
    <row r="7" spans="1:15" x14ac:dyDescent="0.25">
      <c r="A7" s="48" t="s">
        <v>44</v>
      </c>
      <c r="B7" s="45">
        <v>6</v>
      </c>
      <c r="C7" s="45">
        <v>6</v>
      </c>
      <c r="D7" s="45">
        <f t="shared" si="1"/>
        <v>2019</v>
      </c>
      <c r="E7" s="43">
        <f>Electricity!G11</f>
        <v>24680.000000001201</v>
      </c>
      <c r="F7" s="43">
        <f>Electricity!E11</f>
        <v>4800.0000000001819</v>
      </c>
      <c r="G7" s="43">
        <f>Electricity!F11</f>
        <v>19880.000000001019</v>
      </c>
      <c r="H7" s="47">
        <v>1553.67</v>
      </c>
      <c r="I7" s="57" t="s">
        <v>28</v>
      </c>
      <c r="J7" s="106">
        <f>Electricity!L11</f>
        <v>28722096.537601367</v>
      </c>
      <c r="K7" s="43">
        <f t="shared" si="0"/>
        <v>1163.7802486871949</v>
      </c>
      <c r="L7" s="43">
        <f>Water!G10</f>
        <v>201</v>
      </c>
      <c r="M7" s="58">
        <v>12550</v>
      </c>
      <c r="N7" s="106">
        <f>TOTAL!L7*TOTAL!M7</f>
        <v>2522550</v>
      </c>
      <c r="O7" s="43">
        <f t="shared" si="2"/>
        <v>164</v>
      </c>
    </row>
    <row r="8" spans="1:15" x14ac:dyDescent="0.25">
      <c r="A8" s="48" t="s">
        <v>44</v>
      </c>
      <c r="B8" s="45">
        <v>7</v>
      </c>
      <c r="C8" s="45">
        <v>6</v>
      </c>
      <c r="D8" s="45">
        <f t="shared" si="1"/>
        <v>2019</v>
      </c>
      <c r="E8" s="43">
        <f>Electricity!G12</f>
        <v>24679.999999999382</v>
      </c>
      <c r="F8" s="43">
        <f>Electricity!E12</f>
        <v>4359.9999999996726</v>
      </c>
      <c r="G8" s="43">
        <f>Electricity!F12</f>
        <v>20319.999999999709</v>
      </c>
      <c r="H8" s="47">
        <v>1553.67</v>
      </c>
      <c r="I8" s="57" t="s">
        <v>28</v>
      </c>
      <c r="J8" s="106">
        <f>Electricity!L12</f>
        <v>28488756.019199174</v>
      </c>
      <c r="K8" s="43">
        <f t="shared" si="0"/>
        <v>1154.325608557532</v>
      </c>
      <c r="L8" s="43">
        <f>Water!G11</f>
        <v>206</v>
      </c>
      <c r="M8" s="58">
        <v>12550</v>
      </c>
      <c r="N8" s="106">
        <f>TOTAL!L8*TOTAL!M8</f>
        <v>2585300</v>
      </c>
      <c r="O8" s="43">
        <f t="shared" si="2"/>
        <v>164</v>
      </c>
    </row>
    <row r="9" spans="1:15" x14ac:dyDescent="0.25">
      <c r="A9" s="48" t="s">
        <v>44</v>
      </c>
      <c r="B9" s="45">
        <v>8</v>
      </c>
      <c r="C9" s="45">
        <v>6</v>
      </c>
      <c r="D9" s="45">
        <f t="shared" si="1"/>
        <v>2019</v>
      </c>
      <c r="E9" s="43">
        <f>Electricity!G13</f>
        <v>23319.99999999789</v>
      </c>
      <c r="F9" s="43">
        <f>Electricity!E13</f>
        <v>3920.0000000000728</v>
      </c>
      <c r="G9" s="43">
        <f>Electricity!F13</f>
        <v>19399.999999997817</v>
      </c>
      <c r="H9" s="47">
        <v>1553.67</v>
      </c>
      <c r="I9" s="57" t="s">
        <v>28</v>
      </c>
      <c r="J9" s="106">
        <f>Electricity!L13</f>
        <v>26812946.841597803</v>
      </c>
      <c r="K9" s="43">
        <f t="shared" si="0"/>
        <v>1149.7833122470081</v>
      </c>
      <c r="L9" s="43">
        <f>Water!G12</f>
        <v>189</v>
      </c>
      <c r="M9" s="58">
        <v>12550</v>
      </c>
      <c r="N9" s="106">
        <f>TOTAL!L9*TOTAL!M9</f>
        <v>2371950</v>
      </c>
      <c r="O9" s="43">
        <f t="shared" si="2"/>
        <v>164</v>
      </c>
    </row>
    <row r="10" spans="1:15" x14ac:dyDescent="0.25">
      <c r="A10" s="48" t="s">
        <v>44</v>
      </c>
      <c r="B10" s="45">
        <v>9</v>
      </c>
      <c r="C10" s="45">
        <v>6</v>
      </c>
      <c r="D10" s="45">
        <f t="shared" si="1"/>
        <v>2019</v>
      </c>
      <c r="E10" s="43">
        <f>Electricity!G14</f>
        <v>24960.000000001855</v>
      </c>
      <c r="F10" s="43">
        <f>Electricity!E14</f>
        <v>5199.9999999998181</v>
      </c>
      <c r="G10" s="43">
        <f>Electricity!F14</f>
        <v>19760.000000002037</v>
      </c>
      <c r="H10" s="47">
        <v>1553.67</v>
      </c>
      <c r="I10" s="57" t="s">
        <v>28</v>
      </c>
      <c r="J10" s="106">
        <f>Electricity!L14</f>
        <v>29231203.123201869</v>
      </c>
      <c r="K10" s="43">
        <f t="shared" si="0"/>
        <v>1171.1219199999878</v>
      </c>
      <c r="L10" s="43">
        <f>Water!G13</f>
        <v>196</v>
      </c>
      <c r="M10" s="58">
        <v>12550</v>
      </c>
      <c r="N10" s="106">
        <f>TOTAL!L10*TOTAL!M10</f>
        <v>2459800</v>
      </c>
      <c r="O10" s="43">
        <f t="shared" si="2"/>
        <v>164</v>
      </c>
    </row>
    <row r="11" spans="1:15" x14ac:dyDescent="0.25">
      <c r="A11" s="48" t="s">
        <v>44</v>
      </c>
      <c r="B11" s="45">
        <v>10</v>
      </c>
      <c r="C11" s="45">
        <v>6</v>
      </c>
      <c r="D11" s="45">
        <f t="shared" si="1"/>
        <v>2019</v>
      </c>
      <c r="E11" s="43">
        <f>Electricity!G15</f>
        <v>25200.000000001637</v>
      </c>
      <c r="F11" s="43">
        <f>Electricity!E15</f>
        <v>4640.0000000003274</v>
      </c>
      <c r="G11" s="43">
        <f>Electricity!F15</f>
        <v>20560.00000000131</v>
      </c>
      <c r="H11" s="47">
        <v>1553.67</v>
      </c>
      <c r="I11" s="57" t="s">
        <v>28</v>
      </c>
      <c r="J11" s="106">
        <f>Electricity!L15</f>
        <v>29188777.574401908</v>
      </c>
      <c r="K11" s="43">
        <f t="shared" si="0"/>
        <v>1158.2848243809528</v>
      </c>
      <c r="L11" s="43">
        <f>Water!G14</f>
        <v>206</v>
      </c>
      <c r="M11" s="58">
        <v>12550</v>
      </c>
      <c r="N11" s="106">
        <f>TOTAL!L11*TOTAL!M11</f>
        <v>2585300</v>
      </c>
      <c r="O11" s="43">
        <f t="shared" si="2"/>
        <v>164</v>
      </c>
    </row>
    <row r="12" spans="1:15" x14ac:dyDescent="0.25">
      <c r="A12" s="48" t="s">
        <v>44</v>
      </c>
      <c r="B12" s="45">
        <v>11</v>
      </c>
      <c r="C12" s="45">
        <v>6</v>
      </c>
      <c r="D12" s="45">
        <f t="shared" si="1"/>
        <v>2019</v>
      </c>
      <c r="E12" s="43">
        <f>Electricity!G16</f>
        <v>24199.99999999709</v>
      </c>
      <c r="F12" s="43">
        <f>Electricity!E16</f>
        <v>2639.9999999994179</v>
      </c>
      <c r="G12" s="43">
        <f>Electricity!F16</f>
        <v>21559.999999997672</v>
      </c>
      <c r="H12" s="47">
        <v>1553.67</v>
      </c>
      <c r="I12" s="57" t="s">
        <v>28</v>
      </c>
      <c r="J12" s="106">
        <f>Electricity!L16</f>
        <v>27067500.134396601</v>
      </c>
      <c r="K12" s="43">
        <f t="shared" si="0"/>
        <v>1118.4917410909031</v>
      </c>
      <c r="L12" s="43">
        <f>Water!G15</f>
        <v>222</v>
      </c>
      <c r="M12" s="58">
        <v>12550</v>
      </c>
      <c r="N12" s="106">
        <f>TOTAL!L12*TOTAL!M12</f>
        <v>2786100</v>
      </c>
      <c r="O12" s="43">
        <f t="shared" si="2"/>
        <v>164</v>
      </c>
    </row>
    <row r="13" spans="1:15" x14ac:dyDescent="0.25">
      <c r="A13" s="48" t="s">
        <v>44</v>
      </c>
      <c r="B13" s="45">
        <v>12</v>
      </c>
      <c r="C13" s="45">
        <v>6</v>
      </c>
      <c r="D13" s="45">
        <f t="shared" si="1"/>
        <v>2019</v>
      </c>
      <c r="E13" s="43">
        <f>Electricity!G17</f>
        <v>25840.000000001965</v>
      </c>
      <c r="F13" s="43">
        <f>Electricity!E17</f>
        <v>7600.0000000003638</v>
      </c>
      <c r="G13" s="43">
        <f>Electricity!F17</f>
        <v>18240.000000001601</v>
      </c>
      <c r="H13" s="47">
        <v>1553.67</v>
      </c>
      <c r="I13" s="57" t="s">
        <v>28</v>
      </c>
      <c r="J13" s="106">
        <f>Electricity!L17</f>
        <v>31437331.660802275</v>
      </c>
      <c r="K13" s="43">
        <f t="shared" si="0"/>
        <v>1216.6150023529367</v>
      </c>
      <c r="L13" s="43">
        <f>Water!G16</f>
        <v>216</v>
      </c>
      <c r="M13" s="58">
        <v>12550</v>
      </c>
      <c r="N13" s="106">
        <f>TOTAL!L13*TOTAL!M13</f>
        <v>2710800</v>
      </c>
      <c r="O13" s="43">
        <f t="shared" si="2"/>
        <v>164</v>
      </c>
    </row>
    <row r="14" spans="1:15" x14ac:dyDescent="0.25">
      <c r="A14" s="48" t="s">
        <v>44</v>
      </c>
      <c r="B14" s="45">
        <v>13</v>
      </c>
      <c r="C14" s="45">
        <v>6</v>
      </c>
      <c r="D14" s="45">
        <f t="shared" si="1"/>
        <v>2019</v>
      </c>
      <c r="E14" s="43">
        <f>Electricity!G18</f>
        <v>27559.999999997672</v>
      </c>
      <c r="F14" s="43">
        <f>Electricity!E18</f>
        <v>4159.9999999998545</v>
      </c>
      <c r="G14" s="43">
        <f>Electricity!F18</f>
        <v>23399.999999997817</v>
      </c>
      <c r="H14" s="47">
        <v>1553.67</v>
      </c>
      <c r="I14" s="57" t="s">
        <v>28</v>
      </c>
      <c r="J14" s="106">
        <f>Electricity!L18</f>
        <v>31437331.660797454</v>
      </c>
      <c r="K14" s="43">
        <f t="shared" si="0"/>
        <v>1140.6869252830229</v>
      </c>
      <c r="L14" s="43">
        <f>Water!G17</f>
        <v>250</v>
      </c>
      <c r="M14" s="58">
        <v>12550</v>
      </c>
      <c r="N14" s="106">
        <f>TOTAL!L14*TOTAL!M14</f>
        <v>3137500</v>
      </c>
      <c r="O14" s="43">
        <f t="shared" si="2"/>
        <v>164</v>
      </c>
    </row>
    <row r="15" spans="1:15" x14ac:dyDescent="0.25">
      <c r="A15" s="48" t="s">
        <v>44</v>
      </c>
      <c r="B15" s="45">
        <v>14</v>
      </c>
      <c r="C15" s="45">
        <v>6</v>
      </c>
      <c r="D15" s="45">
        <f t="shared" si="1"/>
        <v>2019</v>
      </c>
      <c r="E15" s="43">
        <f>Electricity!G19</f>
        <v>26080.000000001746</v>
      </c>
      <c r="F15" s="43">
        <f>Electricity!E19</f>
        <v>4520.0000000004366</v>
      </c>
      <c r="G15" s="43">
        <f>Electricity!F19</f>
        <v>21560.00000000131</v>
      </c>
      <c r="H15" s="47">
        <v>1553.67</v>
      </c>
      <c r="I15" s="57" t="s">
        <v>28</v>
      </c>
      <c r="J15" s="106">
        <f>Electricity!L19</f>
        <v>30058501.324802086</v>
      </c>
      <c r="K15" s="43">
        <f t="shared" si="0"/>
        <v>1152.5498974233158</v>
      </c>
      <c r="L15" s="43">
        <f>Water!G18</f>
        <v>390</v>
      </c>
      <c r="M15" s="58">
        <v>12550</v>
      </c>
      <c r="N15" s="106">
        <f>TOTAL!L15*TOTAL!M15</f>
        <v>4894500</v>
      </c>
      <c r="O15" s="43">
        <f t="shared" si="2"/>
        <v>164</v>
      </c>
    </row>
    <row r="16" spans="1:15" x14ac:dyDescent="0.25">
      <c r="A16" s="48" t="s">
        <v>44</v>
      </c>
      <c r="B16" s="45">
        <v>15</v>
      </c>
      <c r="C16" s="45">
        <v>6</v>
      </c>
      <c r="D16" s="45">
        <f t="shared" si="1"/>
        <v>2019</v>
      </c>
      <c r="E16" s="43">
        <f>Electricity!G20</f>
        <v>27039.999999999964</v>
      </c>
      <c r="F16" s="43">
        <f>Electricity!E20</f>
        <v>5519.9999999995271</v>
      </c>
      <c r="G16" s="43">
        <f>Electricity!F20</f>
        <v>21520.000000000437</v>
      </c>
      <c r="H16" s="47">
        <v>1553.67</v>
      </c>
      <c r="I16" s="57" t="s">
        <v>28</v>
      </c>
      <c r="J16" s="106">
        <f>Electricity!L20</f>
        <v>31607033.855999712</v>
      </c>
      <c r="K16" s="43">
        <f t="shared" si="0"/>
        <v>1168.8991810650796</v>
      </c>
      <c r="L16" s="43">
        <f>Water!G19</f>
        <v>210</v>
      </c>
      <c r="M16" s="58">
        <v>12550</v>
      </c>
      <c r="N16" s="106">
        <f>TOTAL!L16*TOTAL!M16</f>
        <v>2635500</v>
      </c>
      <c r="O16" s="43">
        <f t="shared" si="2"/>
        <v>164</v>
      </c>
    </row>
    <row r="17" spans="1:15" x14ac:dyDescent="0.25">
      <c r="A17" s="48" t="s">
        <v>44</v>
      </c>
      <c r="B17" s="45">
        <v>16</v>
      </c>
      <c r="C17" s="45">
        <v>6</v>
      </c>
      <c r="D17" s="45">
        <f t="shared" si="1"/>
        <v>2019</v>
      </c>
      <c r="E17" s="43">
        <f>Electricity!G21</f>
        <v>27599.999999999454</v>
      </c>
      <c r="F17" s="43">
        <f>Electricity!E21</f>
        <v>3800.0000000001819</v>
      </c>
      <c r="G17" s="43">
        <f>Electricity!F21</f>
        <v>23799.999999999272</v>
      </c>
      <c r="H17" s="47">
        <v>1553.67</v>
      </c>
      <c r="I17" s="57" t="s">
        <v>28</v>
      </c>
      <c r="J17" s="106">
        <f>Electricity!L21</f>
        <v>31288842.239999518</v>
      </c>
      <c r="K17" s="43">
        <f t="shared" si="0"/>
        <v>1133.6537043478311</v>
      </c>
      <c r="L17" s="43">
        <f>Water!G20</f>
        <v>224</v>
      </c>
      <c r="M17" s="58">
        <v>12550</v>
      </c>
      <c r="N17" s="106">
        <f>TOTAL!L17*TOTAL!M17</f>
        <v>2811200</v>
      </c>
      <c r="O17" s="43">
        <f t="shared" si="2"/>
        <v>164</v>
      </c>
    </row>
    <row r="18" spans="1:15" x14ac:dyDescent="0.25">
      <c r="A18" s="48" t="s">
        <v>44</v>
      </c>
      <c r="B18" s="45">
        <v>17</v>
      </c>
      <c r="C18" s="45">
        <v>6</v>
      </c>
      <c r="D18" s="45">
        <f t="shared" si="1"/>
        <v>2019</v>
      </c>
      <c r="E18" s="43">
        <f>Electricity!G22</f>
        <v>25320.000000000618</v>
      </c>
      <c r="F18" s="43">
        <f>Electricity!E22</f>
        <v>5960.0000000000364</v>
      </c>
      <c r="G18" s="43">
        <f>Electricity!F22</f>
        <v>19360.000000000582</v>
      </c>
      <c r="H18" s="47">
        <v>1553.67</v>
      </c>
      <c r="I18" s="57" t="s">
        <v>28</v>
      </c>
      <c r="J18" s="106">
        <f>Electricity!L22</f>
        <v>30016075.776000671</v>
      </c>
      <c r="K18" s="43">
        <f t="shared" si="0"/>
        <v>1185.4690274881491</v>
      </c>
      <c r="L18" s="43">
        <f>Water!G21</f>
        <v>222</v>
      </c>
      <c r="M18" s="58">
        <v>12550</v>
      </c>
      <c r="N18" s="106">
        <f>TOTAL!L18*TOTAL!M18</f>
        <v>2786100</v>
      </c>
      <c r="O18" s="43">
        <f t="shared" si="2"/>
        <v>164</v>
      </c>
    </row>
    <row r="19" spans="1:15" x14ac:dyDescent="0.25">
      <c r="A19" s="48" t="s">
        <v>44</v>
      </c>
      <c r="B19" s="45">
        <v>18</v>
      </c>
      <c r="C19" s="45">
        <v>6</v>
      </c>
      <c r="D19" s="45">
        <f t="shared" si="1"/>
        <v>2019</v>
      </c>
      <c r="E19" s="43">
        <f>Electricity!G23</f>
        <v>27479.999999998654</v>
      </c>
      <c r="F19" s="43">
        <f>Electricity!E23</f>
        <v>5359.9999999996726</v>
      </c>
      <c r="G19" s="43">
        <f>Electricity!F23</f>
        <v>22119.999999998981</v>
      </c>
      <c r="H19" s="47">
        <v>1553.67</v>
      </c>
      <c r="I19" s="57" t="s">
        <v>28</v>
      </c>
      <c r="J19" s="106">
        <f>Electricity!L23</f>
        <v>31988863.795198396</v>
      </c>
      <c r="K19" s="43">
        <f t="shared" si="0"/>
        <v>1164.0780129257628</v>
      </c>
      <c r="L19" s="43">
        <f>Water!G22</f>
        <v>308</v>
      </c>
      <c r="M19" s="58">
        <v>12550</v>
      </c>
      <c r="N19" s="106">
        <f>TOTAL!L19*TOTAL!M19</f>
        <v>3865400</v>
      </c>
      <c r="O19" s="43">
        <f t="shared" si="2"/>
        <v>164</v>
      </c>
    </row>
    <row r="20" spans="1:15" x14ac:dyDescent="0.25">
      <c r="A20" s="48" t="s">
        <v>44</v>
      </c>
      <c r="B20" s="45">
        <v>19</v>
      </c>
      <c r="C20" s="45">
        <v>6</v>
      </c>
      <c r="D20" s="45">
        <f t="shared" si="1"/>
        <v>2019</v>
      </c>
      <c r="E20" s="43">
        <f>Electricity!G24</f>
        <v>26319.999999999709</v>
      </c>
      <c r="F20" s="43">
        <f>Electricity!E24</f>
        <v>4520.0000000004366</v>
      </c>
      <c r="G20" s="43">
        <f>Electricity!F24</f>
        <v>21799.999999999272</v>
      </c>
      <c r="H20" s="47">
        <v>1553.67</v>
      </c>
      <c r="I20" s="57" t="s">
        <v>28</v>
      </c>
      <c r="J20" s="106">
        <f>Electricity!L24</f>
        <v>30313054.617599923</v>
      </c>
      <c r="K20" s="43">
        <f t="shared" si="0"/>
        <v>1151.711801580557</v>
      </c>
      <c r="L20" s="43">
        <f>Water!G23</f>
        <v>389</v>
      </c>
      <c r="M20" s="58">
        <v>12550</v>
      </c>
      <c r="N20" s="106">
        <f>TOTAL!L20*TOTAL!M20</f>
        <v>4881950</v>
      </c>
      <c r="O20" s="43">
        <f t="shared" si="2"/>
        <v>164</v>
      </c>
    </row>
    <row r="21" spans="1:15" x14ac:dyDescent="0.25">
      <c r="A21" s="48" t="s">
        <v>44</v>
      </c>
      <c r="B21" s="45">
        <v>20</v>
      </c>
      <c r="C21" s="45">
        <v>6</v>
      </c>
      <c r="D21" s="45">
        <f t="shared" si="1"/>
        <v>2019</v>
      </c>
      <c r="E21" s="43">
        <f>Electricity!G25</f>
        <v>27120.00000000171</v>
      </c>
      <c r="F21" s="43">
        <f>Electricity!E25</f>
        <v>5359.9999999996726</v>
      </c>
      <c r="G21" s="43">
        <f>Electricity!F25</f>
        <v>21760.000000002037</v>
      </c>
      <c r="H21" s="47">
        <v>1553.67</v>
      </c>
      <c r="I21" s="57" t="s">
        <v>28</v>
      </c>
      <c r="J21" s="106">
        <f>Electricity!L25</f>
        <v>31607033.856001642</v>
      </c>
      <c r="K21" s="43">
        <f t="shared" si="0"/>
        <v>1165.4511008849429</v>
      </c>
      <c r="L21" s="43">
        <f>Water!G24</f>
        <v>220</v>
      </c>
      <c r="M21" s="58">
        <v>12550</v>
      </c>
      <c r="N21" s="106">
        <f>TOTAL!L21*TOTAL!M21</f>
        <v>2761000</v>
      </c>
      <c r="O21" s="43">
        <f t="shared" si="2"/>
        <v>164</v>
      </c>
    </row>
    <row r="22" spans="1:15" x14ac:dyDescent="0.25">
      <c r="A22" s="48" t="s">
        <v>44</v>
      </c>
      <c r="B22" s="45">
        <v>21</v>
      </c>
      <c r="C22" s="45">
        <v>6</v>
      </c>
      <c r="D22" s="45">
        <f t="shared" si="1"/>
        <v>2019</v>
      </c>
      <c r="E22" s="43">
        <f>Electricity!G26</f>
        <v>26800.000000000182</v>
      </c>
      <c r="F22" s="43">
        <f>Electricity!E26</f>
        <v>4800.0000000001819</v>
      </c>
      <c r="G22" s="43">
        <f>Electricity!F26</f>
        <v>22000</v>
      </c>
      <c r="H22" s="47">
        <v>1553.67</v>
      </c>
      <c r="I22" s="57" t="s">
        <v>28</v>
      </c>
      <c r="J22" s="106">
        <f>Electricity!L26</f>
        <v>30970650.624000289</v>
      </c>
      <c r="K22" s="43">
        <f t="shared" si="0"/>
        <v>1155.6212919403015</v>
      </c>
      <c r="L22" s="43">
        <f>Water!G25</f>
        <v>241</v>
      </c>
      <c r="M22" s="58">
        <v>12550</v>
      </c>
      <c r="N22" s="106">
        <f>TOTAL!L22*TOTAL!M22</f>
        <v>3024550</v>
      </c>
      <c r="O22" s="43">
        <f t="shared" si="2"/>
        <v>164</v>
      </c>
    </row>
    <row r="23" spans="1:15" x14ac:dyDescent="0.25">
      <c r="A23" s="48" t="s">
        <v>44</v>
      </c>
      <c r="B23" s="45">
        <v>22</v>
      </c>
      <c r="C23" s="45">
        <v>6</v>
      </c>
      <c r="D23" s="45">
        <f t="shared" si="1"/>
        <v>2019</v>
      </c>
      <c r="E23" s="43">
        <f>Electricity!G27</f>
        <v>27279.999999997926</v>
      </c>
      <c r="F23" s="43">
        <f>Electricity!E27</f>
        <v>5359.9999999996726</v>
      </c>
      <c r="G23" s="43">
        <f>Electricity!F27</f>
        <v>21919.999999998254</v>
      </c>
      <c r="H23" s="47">
        <v>1553.67</v>
      </c>
      <c r="I23" s="57" t="s">
        <v>28</v>
      </c>
      <c r="J23" s="106">
        <f>Electricity!L27</f>
        <v>31776736.051197626</v>
      </c>
      <c r="K23" s="43">
        <f t="shared" si="0"/>
        <v>1164.836365513198</v>
      </c>
      <c r="L23" s="43">
        <f>Water!G26</f>
        <v>474</v>
      </c>
      <c r="M23" s="58">
        <v>12550</v>
      </c>
      <c r="N23" s="106">
        <f>TOTAL!L23*TOTAL!M23</f>
        <v>5948700</v>
      </c>
      <c r="O23" s="43">
        <f t="shared" si="2"/>
        <v>164</v>
      </c>
    </row>
    <row r="24" spans="1:15" x14ac:dyDescent="0.25">
      <c r="A24" s="48" t="s">
        <v>44</v>
      </c>
      <c r="B24" s="45">
        <v>23</v>
      </c>
      <c r="C24" s="45">
        <v>6</v>
      </c>
      <c r="D24" s="45">
        <f t="shared" si="1"/>
        <v>2019</v>
      </c>
      <c r="E24" s="43">
        <f>Electricity!G28</f>
        <v>25400.000000002365</v>
      </c>
      <c r="F24" s="43">
        <f>Electricity!E28</f>
        <v>4160.000000000764</v>
      </c>
      <c r="G24" s="43">
        <f>Electricity!F28</f>
        <v>21240.000000001601</v>
      </c>
      <c r="H24" s="47">
        <v>1553.67</v>
      </c>
      <c r="I24" s="57" t="s">
        <v>28</v>
      </c>
      <c r="J24" s="106">
        <f>Electricity!L28</f>
        <v>29146352.025602914</v>
      </c>
      <c r="K24" s="43">
        <f t="shared" si="0"/>
        <v>1147.4941742362284</v>
      </c>
      <c r="L24" s="43">
        <f>Water!G27</f>
        <v>221</v>
      </c>
      <c r="M24" s="58">
        <v>12550</v>
      </c>
      <c r="N24" s="106">
        <f>TOTAL!L24*TOTAL!M24</f>
        <v>2773550</v>
      </c>
      <c r="O24" s="43">
        <f t="shared" si="2"/>
        <v>164</v>
      </c>
    </row>
    <row r="25" spans="1:15" x14ac:dyDescent="0.25">
      <c r="A25" s="48" t="s">
        <v>44</v>
      </c>
      <c r="B25" s="45">
        <v>24</v>
      </c>
      <c r="C25" s="45">
        <v>6</v>
      </c>
      <c r="D25" s="45">
        <f t="shared" si="1"/>
        <v>2019</v>
      </c>
      <c r="E25" s="43">
        <f>Electricity!G29</f>
        <v>25999.999999998181</v>
      </c>
      <c r="F25" s="43">
        <f>Electricity!E29</f>
        <v>4719.9999999993452</v>
      </c>
      <c r="G25" s="43">
        <f>Electricity!F29</f>
        <v>21279.999999998836</v>
      </c>
      <c r="H25" s="47">
        <v>1553.67</v>
      </c>
      <c r="I25" s="57" t="s">
        <v>28</v>
      </c>
      <c r="J25" s="106">
        <f>Electricity!L29</f>
        <v>30079714.099197723</v>
      </c>
      <c r="K25" s="43">
        <f t="shared" si="0"/>
        <v>1156.912080738455</v>
      </c>
      <c r="L25" s="43">
        <f>Water!G28</f>
        <v>222</v>
      </c>
      <c r="M25" s="58">
        <v>12550</v>
      </c>
      <c r="N25" s="106">
        <f>TOTAL!L25*TOTAL!M25</f>
        <v>2786100</v>
      </c>
      <c r="O25" s="43">
        <f t="shared" si="2"/>
        <v>164</v>
      </c>
    </row>
    <row r="26" spans="1:15" x14ac:dyDescent="0.25">
      <c r="A26" s="48" t="s">
        <v>44</v>
      </c>
      <c r="B26" s="45">
        <v>25</v>
      </c>
      <c r="C26" s="45">
        <v>6</v>
      </c>
      <c r="D26" s="45">
        <f t="shared" si="1"/>
        <v>2019</v>
      </c>
      <c r="E26" s="43">
        <f>Electricity!G30</f>
        <v>26119.999999998981</v>
      </c>
      <c r="F26" s="43">
        <f>Electricity!E30</f>
        <v>4840.0000000001455</v>
      </c>
      <c r="G26" s="43">
        <f>Electricity!F30</f>
        <v>21279.999999998836</v>
      </c>
      <c r="H26" s="47">
        <v>1553.67</v>
      </c>
      <c r="I26" s="57" t="s">
        <v>28</v>
      </c>
      <c r="J26" s="106">
        <f>Electricity!L30</f>
        <v>30270629.068798997</v>
      </c>
      <c r="K26" s="43">
        <f t="shared" si="0"/>
        <v>1158.9061664931155</v>
      </c>
      <c r="L26" s="43">
        <f>Water!G29</f>
        <v>243</v>
      </c>
      <c r="M26" s="58">
        <v>12550</v>
      </c>
      <c r="N26" s="106">
        <f>TOTAL!L26*TOTAL!M26</f>
        <v>3049650</v>
      </c>
      <c r="O26" s="43">
        <f t="shared" si="2"/>
        <v>164</v>
      </c>
    </row>
    <row r="27" spans="1:15" x14ac:dyDescent="0.25">
      <c r="A27" s="48" t="s">
        <v>44</v>
      </c>
      <c r="B27" s="45">
        <v>26</v>
      </c>
      <c r="C27" s="45">
        <v>6</v>
      </c>
      <c r="D27" s="45">
        <f t="shared" si="1"/>
        <v>2019</v>
      </c>
      <c r="E27" s="43">
        <f>Electricity!G31</f>
        <v>17880.000000001019</v>
      </c>
      <c r="F27" s="43">
        <f>Electricity!E31</f>
        <v>1319.999999999709</v>
      </c>
      <c r="G27" s="43">
        <f>Electricity!F31</f>
        <v>16560.00000000131</v>
      </c>
      <c r="H27" s="47">
        <v>1553.67</v>
      </c>
      <c r="I27" s="57" t="s">
        <v>28</v>
      </c>
      <c r="J27" s="106">
        <f>Electricity!L31</f>
        <v>19664241.868800927</v>
      </c>
      <c r="K27" s="43">
        <f t="shared" si="0"/>
        <v>1099.7898136912643</v>
      </c>
      <c r="L27" s="43">
        <f>Water!G30</f>
        <v>402</v>
      </c>
      <c r="M27" s="58">
        <v>12550</v>
      </c>
      <c r="N27" s="106">
        <f>TOTAL!L27*TOTAL!M27</f>
        <v>5045100</v>
      </c>
      <c r="O27" s="43">
        <f t="shared" si="2"/>
        <v>164</v>
      </c>
    </row>
    <row r="28" spans="1:15" x14ac:dyDescent="0.25">
      <c r="A28" s="48" t="s">
        <v>44</v>
      </c>
      <c r="B28" s="45">
        <v>27</v>
      </c>
      <c r="C28" s="45">
        <v>6</v>
      </c>
      <c r="D28" s="45">
        <f t="shared" si="1"/>
        <v>2019</v>
      </c>
      <c r="E28" s="43">
        <f>Electricity!G32</f>
        <v>34599.999999999454</v>
      </c>
      <c r="F28" s="43">
        <f>Electricity!E32</f>
        <v>8960.0000000000364</v>
      </c>
      <c r="G28" s="43">
        <f>Electricity!F32</f>
        <v>25639.999999999418</v>
      </c>
      <c r="H28" s="47">
        <v>1553.67</v>
      </c>
      <c r="I28" s="57" t="s">
        <v>28</v>
      </c>
      <c r="J28" s="106">
        <f>Electricity!L32</f>
        <v>41449761.177599445</v>
      </c>
      <c r="K28" s="43">
        <f t="shared" si="0"/>
        <v>1197.9699762312168</v>
      </c>
      <c r="L28" s="43">
        <f>Water!G31</f>
        <v>324</v>
      </c>
      <c r="M28" s="58">
        <v>12550</v>
      </c>
      <c r="N28" s="106">
        <f>TOTAL!L28*TOTAL!M28</f>
        <v>4066200</v>
      </c>
      <c r="O28" s="43">
        <f t="shared" si="2"/>
        <v>164</v>
      </c>
    </row>
    <row r="29" spans="1:15" x14ac:dyDescent="0.25">
      <c r="A29" s="48" t="s">
        <v>44</v>
      </c>
      <c r="B29" s="45">
        <v>28</v>
      </c>
      <c r="C29" s="45">
        <v>6</v>
      </c>
      <c r="D29" s="45">
        <f t="shared" si="1"/>
        <v>2019</v>
      </c>
      <c r="E29" s="43">
        <f>Electricity!G33</f>
        <v>20560.0000000004</v>
      </c>
      <c r="F29" s="43">
        <f>Electricity!E33</f>
        <v>6240.0000000006912</v>
      </c>
      <c r="G29" s="43">
        <f>Electricity!F33</f>
        <v>14319.999999999709</v>
      </c>
      <c r="H29" s="47">
        <v>1553.67</v>
      </c>
      <c r="I29" s="57" t="s">
        <v>28</v>
      </c>
      <c r="J29" s="106">
        <f>Electricity!L33</f>
        <v>25115924.889600791</v>
      </c>
      <c r="K29" s="43">
        <f t="shared" si="0"/>
        <v>1221.5916775097423</v>
      </c>
      <c r="L29" s="43">
        <f>Water!G32</f>
        <v>238</v>
      </c>
      <c r="M29" s="58">
        <v>12550</v>
      </c>
      <c r="N29" s="106">
        <f>TOTAL!L29*TOTAL!M29</f>
        <v>2986900</v>
      </c>
      <c r="O29" s="43">
        <f t="shared" si="2"/>
        <v>164</v>
      </c>
    </row>
    <row r="30" spans="1:15" s="43" customFormat="1" x14ac:dyDescent="0.25">
      <c r="A30" s="48" t="s">
        <v>44</v>
      </c>
      <c r="B30" s="45">
        <v>29</v>
      </c>
      <c r="C30" s="45">
        <v>6</v>
      </c>
      <c r="D30" s="45">
        <f t="shared" si="1"/>
        <v>2019</v>
      </c>
      <c r="E30" s="43">
        <f>Electricity!G34</f>
        <v>32039.999999999964</v>
      </c>
      <c r="F30" s="43">
        <f>Electricity!E34</f>
        <v>1359.9999999996726</v>
      </c>
      <c r="G30" s="43">
        <f>Electricity!F34</f>
        <v>30680.000000000291</v>
      </c>
      <c r="H30" s="47">
        <v>1553.67</v>
      </c>
      <c r="I30" s="57" t="s">
        <v>28</v>
      </c>
      <c r="J30" s="106">
        <f>Electricity!L34</f>
        <v>34704098.918399788</v>
      </c>
      <c r="K30" s="43">
        <f t="shared" si="0"/>
        <v>1083.149154756549</v>
      </c>
      <c r="L30" s="43">
        <f>Water!G33</f>
        <v>299</v>
      </c>
      <c r="M30" s="58">
        <v>12550</v>
      </c>
      <c r="N30" s="106">
        <f>TOTAL!L30*TOTAL!M30</f>
        <v>3752450</v>
      </c>
      <c r="O30" s="43">
        <f t="shared" si="2"/>
        <v>164</v>
      </c>
    </row>
    <row r="31" spans="1:15" s="43" customFormat="1" x14ac:dyDescent="0.25">
      <c r="A31" s="48" t="s">
        <v>44</v>
      </c>
      <c r="B31" s="45">
        <v>30</v>
      </c>
      <c r="C31" s="45">
        <v>6</v>
      </c>
      <c r="D31" s="45">
        <f t="shared" si="1"/>
        <v>2019</v>
      </c>
      <c r="E31" s="43">
        <f>Electricity!G35</f>
        <v>23880.000000001019</v>
      </c>
      <c r="F31" s="43">
        <f>Electricity!E35</f>
        <v>5520.0000000004366</v>
      </c>
      <c r="G31" s="43">
        <f>Electricity!F35</f>
        <v>18360.000000000582</v>
      </c>
      <c r="H31" s="47">
        <v>1553.67</v>
      </c>
      <c r="I31" s="57" t="s">
        <v>28</v>
      </c>
      <c r="J31" s="106">
        <f>Electricity!L35</f>
        <v>28255415.500801314</v>
      </c>
      <c r="K31" s="43">
        <f t="shared" si="0"/>
        <v>1183.2251047236227</v>
      </c>
      <c r="L31" s="43">
        <f>Water!G34</f>
        <v>249</v>
      </c>
      <c r="M31" s="58">
        <v>12550</v>
      </c>
      <c r="N31" s="106">
        <f>TOTAL!L31*TOTAL!M31</f>
        <v>3124950</v>
      </c>
      <c r="O31" s="43">
        <f t="shared" si="2"/>
        <v>164</v>
      </c>
    </row>
    <row r="32" spans="1:15" s="43" customFormat="1" x14ac:dyDescent="0.25">
      <c r="A32" s="44"/>
      <c r="B32" s="46"/>
      <c r="C32" s="46"/>
      <c r="D32" s="45"/>
      <c r="I32" s="47"/>
      <c r="J32" s="47"/>
      <c r="K32" s="47"/>
      <c r="L32" s="47"/>
      <c r="M32" s="47"/>
    </row>
    <row r="33" spans="1:13" s="43" customFormat="1" x14ac:dyDescent="0.25">
      <c r="A33" s="44"/>
      <c r="B33" s="46"/>
      <c r="C33" s="46"/>
      <c r="D33" s="45"/>
      <c r="I33" s="47"/>
      <c r="J33" s="47"/>
      <c r="K33" s="47"/>
      <c r="L33" s="47"/>
      <c r="M33" s="47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Q67"/>
  <sheetViews>
    <sheetView view="pageBreakPreview" zoomScale="80" zoomScaleNormal="80" zoomScaleSheetLayoutView="80" workbookViewId="0">
      <pane ySplit="4" topLeftCell="A5" activePane="bottomLeft" state="frozen"/>
      <selection pane="bottomLeft" activeCell="E2" sqref="E2:L2"/>
    </sheetView>
  </sheetViews>
  <sheetFormatPr defaultRowHeight="15" x14ac:dyDescent="0.25"/>
  <cols>
    <col min="1" max="1" width="2.28515625" style="13" customWidth="1"/>
    <col min="2" max="3" width="16.28515625" style="13" customWidth="1"/>
    <col min="4" max="4" width="16.28515625" style="92" customWidth="1"/>
    <col min="5" max="6" width="17.7109375" style="107" customWidth="1"/>
    <col min="7" max="7" width="22.5703125" style="40" customWidth="1"/>
    <col min="8" max="8" width="21.5703125" style="13" bestFit="1" customWidth="1"/>
    <col min="9" max="9" width="24.85546875" style="13" customWidth="1"/>
    <col min="10" max="10" width="29.7109375" style="85" customWidth="1"/>
    <col min="11" max="11" width="20.5703125" style="85" bestFit="1" customWidth="1"/>
    <col min="12" max="12" width="23.42578125" style="85" customWidth="1"/>
    <col min="13" max="13" width="11" style="12" customWidth="1"/>
    <col min="14" max="14" width="16.5703125" style="12" customWidth="1"/>
    <col min="15" max="17" width="9.140625" style="12"/>
    <col min="18" max="16384" width="9.140625" style="13"/>
  </cols>
  <sheetData>
    <row r="1" spans="2:17" s="1" customFormat="1" ht="15.75" thickBot="1" x14ac:dyDescent="0.3">
      <c r="B1" s="120" t="s">
        <v>37</v>
      </c>
      <c r="C1" s="121"/>
      <c r="D1" s="121"/>
      <c r="E1" s="28"/>
      <c r="F1" s="29"/>
      <c r="G1" s="29"/>
      <c r="H1" s="27"/>
      <c r="I1" s="26"/>
      <c r="J1" s="93"/>
      <c r="K1" s="93"/>
      <c r="L1" s="102"/>
      <c r="M1" s="2"/>
      <c r="N1" s="2"/>
    </row>
    <row r="2" spans="2:17" s="3" customFormat="1" ht="63" customHeight="1" x14ac:dyDescent="0.25">
      <c r="B2" s="122" t="s">
        <v>0</v>
      </c>
      <c r="C2" s="134" t="s">
        <v>33</v>
      </c>
      <c r="D2" s="125" t="s">
        <v>9</v>
      </c>
      <c r="E2" s="128" t="s">
        <v>38</v>
      </c>
      <c r="F2" s="129"/>
      <c r="G2" s="129"/>
      <c r="H2" s="129"/>
      <c r="I2" s="129"/>
      <c r="J2" s="129"/>
      <c r="K2" s="129"/>
      <c r="L2" s="130"/>
      <c r="M2" s="2"/>
      <c r="N2" s="2"/>
      <c r="O2" s="1"/>
      <c r="P2" s="1"/>
      <c r="Q2" s="1"/>
    </row>
    <row r="3" spans="2:17" s="23" customFormat="1" ht="25.5" customHeight="1" x14ac:dyDescent="0.25">
      <c r="B3" s="123"/>
      <c r="C3" s="135"/>
      <c r="D3" s="126"/>
      <c r="E3" s="20" t="s">
        <v>7</v>
      </c>
      <c r="F3" s="24" t="s">
        <v>13</v>
      </c>
      <c r="G3" s="24" t="s">
        <v>16</v>
      </c>
      <c r="H3" s="131" t="s">
        <v>17</v>
      </c>
      <c r="I3" s="132"/>
      <c r="J3" s="133"/>
      <c r="K3" s="116" t="s">
        <v>35</v>
      </c>
      <c r="L3" s="118" t="s">
        <v>2</v>
      </c>
      <c r="M3" s="21"/>
      <c r="N3" s="21"/>
      <c r="O3" s="22"/>
      <c r="P3" s="22"/>
      <c r="Q3" s="22"/>
    </row>
    <row r="4" spans="2:17" s="3" customFormat="1" ht="29.25" customHeight="1" x14ac:dyDescent="0.25">
      <c r="B4" s="124"/>
      <c r="C4" s="52"/>
      <c r="D4" s="127"/>
      <c r="E4" s="19" t="s">
        <v>12</v>
      </c>
      <c r="F4" s="18" t="s">
        <v>14</v>
      </c>
      <c r="G4" s="18" t="s">
        <v>15</v>
      </c>
      <c r="H4" s="25" t="s">
        <v>7</v>
      </c>
      <c r="I4" s="18" t="s">
        <v>8</v>
      </c>
      <c r="J4" s="94" t="s">
        <v>1</v>
      </c>
      <c r="K4" s="117"/>
      <c r="L4" s="119"/>
      <c r="M4" s="2"/>
      <c r="N4" s="4"/>
      <c r="O4" s="1"/>
      <c r="P4" s="1"/>
      <c r="Q4" s="1"/>
    </row>
    <row r="5" spans="2:17" s="3" customFormat="1" ht="35.25" customHeight="1" x14ac:dyDescent="0.25">
      <c r="B5" s="17"/>
      <c r="C5" s="53" t="s">
        <v>34</v>
      </c>
      <c r="D5" s="86">
        <v>1035.78</v>
      </c>
      <c r="E5" s="18" t="s">
        <v>10</v>
      </c>
      <c r="F5" s="18" t="s">
        <v>10</v>
      </c>
      <c r="G5" s="18" t="s">
        <v>10</v>
      </c>
      <c r="H5" s="18" t="s">
        <v>11</v>
      </c>
      <c r="I5" s="18" t="s">
        <v>11</v>
      </c>
      <c r="J5" s="94" t="s">
        <v>11</v>
      </c>
      <c r="K5" s="101" t="s">
        <v>11</v>
      </c>
      <c r="L5" s="103" t="s">
        <v>11</v>
      </c>
      <c r="M5" s="2"/>
      <c r="N5" s="4"/>
      <c r="O5" s="1"/>
      <c r="P5" s="1"/>
      <c r="Q5" s="1"/>
    </row>
    <row r="6" spans="2:17" s="3" customFormat="1" ht="50.1" customHeight="1" x14ac:dyDescent="0.25">
      <c r="B6" s="5">
        <v>43617</v>
      </c>
      <c r="C6" s="59">
        <v>164</v>
      </c>
      <c r="D6" s="87">
        <v>1035.78</v>
      </c>
      <c r="E6" s="113">
        <v>4319.999999999709</v>
      </c>
      <c r="F6" s="113">
        <v>21079.999999998108</v>
      </c>
      <c r="G6" s="80">
        <f>F6+E6</f>
        <v>25399.999999997817</v>
      </c>
      <c r="H6" s="81">
        <f t="shared" ref="H6:H33" si="0">E6*1.5*D6</f>
        <v>6711854.3999995477</v>
      </c>
      <c r="I6" s="81">
        <f t="shared" ref="I6:I33" si="1">F6*D6</f>
        <v>21834242.399998039</v>
      </c>
      <c r="J6" s="81">
        <f t="shared" ref="J6:J30" si="2">I6+H6</f>
        <v>28546096.799997587</v>
      </c>
      <c r="K6" s="81">
        <f>J6*0.024</f>
        <v>685106.32319994213</v>
      </c>
      <c r="L6" s="104">
        <f>J6+K6</f>
        <v>29231203.123197529</v>
      </c>
      <c r="M6" s="1"/>
      <c r="N6" s="6"/>
      <c r="O6" s="1"/>
      <c r="P6" s="1"/>
      <c r="Q6" s="1"/>
    </row>
    <row r="7" spans="2:17" s="3" customFormat="1" ht="50.1" customHeight="1" x14ac:dyDescent="0.25">
      <c r="B7" s="5">
        <v>43618</v>
      </c>
      <c r="C7" s="59">
        <f>C6</f>
        <v>164</v>
      </c>
      <c r="D7" s="87">
        <v>1035.78</v>
      </c>
      <c r="E7" s="113">
        <v>5039.9999999999636</v>
      </c>
      <c r="F7" s="113">
        <v>11160.000000003492</v>
      </c>
      <c r="G7" s="80">
        <f t="shared" ref="G7:G33" si="3">F7+E7</f>
        <v>16200.000000003456</v>
      </c>
      <c r="H7" s="81">
        <f t="shared" si="0"/>
        <v>7830496.799999943</v>
      </c>
      <c r="I7" s="81">
        <f t="shared" si="1"/>
        <v>11559304.800003618</v>
      </c>
      <c r="J7" s="81">
        <f t="shared" si="2"/>
        <v>19389801.600003563</v>
      </c>
      <c r="K7" s="81">
        <f t="shared" ref="K7:K35" si="4">J7*0.024</f>
        <v>465355.23840008554</v>
      </c>
      <c r="L7" s="104">
        <f>J7+K7</f>
        <v>19855156.83840365</v>
      </c>
      <c r="M7" s="1"/>
      <c r="N7" s="41"/>
      <c r="O7" s="1"/>
      <c r="P7" s="1"/>
      <c r="Q7" s="1"/>
    </row>
    <row r="8" spans="2:17" s="3" customFormat="1" ht="50.1" customHeight="1" x14ac:dyDescent="0.25">
      <c r="B8" s="5">
        <v>43619</v>
      </c>
      <c r="C8" s="59">
        <f t="shared" ref="C8:C35" si="5">C7</f>
        <v>164</v>
      </c>
      <c r="D8" s="87">
        <v>1035.78</v>
      </c>
      <c r="E8" s="113">
        <v>3640.0000000003274</v>
      </c>
      <c r="F8" s="113">
        <v>29359.999999996944</v>
      </c>
      <c r="G8" s="80">
        <f t="shared" si="3"/>
        <v>32999.999999997272</v>
      </c>
      <c r="H8" s="81">
        <f t="shared" si="0"/>
        <v>5655358.8000005083</v>
      </c>
      <c r="I8" s="81">
        <f t="shared" si="1"/>
        <v>30410500.799996834</v>
      </c>
      <c r="J8" s="81">
        <f t="shared" si="2"/>
        <v>36065859.599997342</v>
      </c>
      <c r="K8" s="81">
        <f t="shared" si="4"/>
        <v>865580.63039993623</v>
      </c>
      <c r="L8" s="104">
        <f t="shared" ref="L8:L30" si="6">J8+K8</f>
        <v>36931440.230397277</v>
      </c>
      <c r="M8" s="1"/>
      <c r="N8" s="2"/>
      <c r="O8" s="1"/>
      <c r="P8" s="1"/>
      <c r="Q8" s="1"/>
    </row>
    <row r="9" spans="2:17" s="3" customFormat="1" ht="50.1" customHeight="1" x14ac:dyDescent="0.25">
      <c r="B9" s="5">
        <v>43620</v>
      </c>
      <c r="C9" s="59">
        <f t="shared" si="5"/>
        <v>164</v>
      </c>
      <c r="D9" s="87">
        <v>1035.78</v>
      </c>
      <c r="E9" s="113">
        <v>4559.9999999994907</v>
      </c>
      <c r="F9" s="113">
        <v>18640.000000003056</v>
      </c>
      <c r="G9" s="80">
        <f t="shared" si="3"/>
        <v>23200.000000002547</v>
      </c>
      <c r="H9" s="81">
        <f t="shared" si="0"/>
        <v>7084735.1999992086</v>
      </c>
      <c r="I9" s="81">
        <f t="shared" si="1"/>
        <v>19306939.200003166</v>
      </c>
      <c r="J9" s="81">
        <f t="shared" si="2"/>
        <v>26391674.400002375</v>
      </c>
      <c r="K9" s="81">
        <f t="shared" si="4"/>
        <v>633400.18560005701</v>
      </c>
      <c r="L9" s="104">
        <f t="shared" si="6"/>
        <v>27025074.585602432</v>
      </c>
      <c r="M9" s="1"/>
      <c r="N9" s="2"/>
      <c r="O9" s="1"/>
      <c r="P9" s="1"/>
      <c r="Q9" s="1"/>
    </row>
    <row r="10" spans="2:17" s="3" customFormat="1" ht="50.1" customHeight="1" x14ac:dyDescent="0.25">
      <c r="B10" s="5">
        <v>43621</v>
      </c>
      <c r="C10" s="59">
        <f t="shared" si="5"/>
        <v>164</v>
      </c>
      <c r="D10" s="87">
        <v>1035.78</v>
      </c>
      <c r="E10" s="113">
        <v>4520.0000000004366</v>
      </c>
      <c r="F10" s="113">
        <v>21079.999999998108</v>
      </c>
      <c r="G10" s="80">
        <f t="shared" si="3"/>
        <v>25599.999999998545</v>
      </c>
      <c r="H10" s="81">
        <f t="shared" si="0"/>
        <v>7022588.4000006784</v>
      </c>
      <c r="I10" s="81">
        <f t="shared" si="1"/>
        <v>21834242.399998039</v>
      </c>
      <c r="J10" s="81">
        <f t="shared" si="2"/>
        <v>28856830.799998716</v>
      </c>
      <c r="K10" s="81">
        <f t="shared" si="4"/>
        <v>692563.93919996917</v>
      </c>
      <c r="L10" s="104">
        <f t="shared" si="6"/>
        <v>29549394.739198685</v>
      </c>
      <c r="M10" s="1"/>
      <c r="N10" s="2"/>
      <c r="O10" s="1"/>
      <c r="P10" s="1"/>
      <c r="Q10" s="1"/>
    </row>
    <row r="11" spans="2:17" s="3" customFormat="1" ht="50.1" customHeight="1" x14ac:dyDescent="0.25">
      <c r="B11" s="5">
        <v>43622</v>
      </c>
      <c r="C11" s="59">
        <f t="shared" si="5"/>
        <v>164</v>
      </c>
      <c r="D11" s="87">
        <v>1035.78</v>
      </c>
      <c r="E11" s="113">
        <v>4800.0000000001819</v>
      </c>
      <c r="F11" s="113">
        <v>19880.000000001019</v>
      </c>
      <c r="G11" s="80">
        <f t="shared" si="3"/>
        <v>24680.000000001201</v>
      </c>
      <c r="H11" s="81">
        <f t="shared" si="0"/>
        <v>7457616.0000002822</v>
      </c>
      <c r="I11" s="81">
        <f t="shared" si="1"/>
        <v>20591306.400001053</v>
      </c>
      <c r="J11" s="81">
        <f t="shared" si="2"/>
        <v>28048922.400001336</v>
      </c>
      <c r="K11" s="81">
        <f t="shared" si="4"/>
        <v>673174.13760003203</v>
      </c>
      <c r="L11" s="104">
        <f t="shared" si="6"/>
        <v>28722096.537601367</v>
      </c>
      <c r="M11" s="1"/>
      <c r="N11" s="2"/>
      <c r="O11" s="1"/>
      <c r="P11" s="1"/>
      <c r="Q11" s="1"/>
    </row>
    <row r="12" spans="2:17" s="3" customFormat="1" ht="50.1" customHeight="1" x14ac:dyDescent="0.25">
      <c r="B12" s="5">
        <v>43623</v>
      </c>
      <c r="C12" s="59">
        <f t="shared" si="5"/>
        <v>164</v>
      </c>
      <c r="D12" s="87">
        <v>1035.78</v>
      </c>
      <c r="E12" s="113">
        <v>4359.9999999996726</v>
      </c>
      <c r="F12" s="113">
        <v>20319.999999999709</v>
      </c>
      <c r="G12" s="80">
        <f t="shared" si="3"/>
        <v>24679.999999999382</v>
      </c>
      <c r="H12" s="81">
        <f t="shared" si="0"/>
        <v>6774001.1999994908</v>
      </c>
      <c r="I12" s="81">
        <f t="shared" si="1"/>
        <v>21047049.5999997</v>
      </c>
      <c r="J12" s="81">
        <f t="shared" si="2"/>
        <v>27821050.799999192</v>
      </c>
      <c r="K12" s="81">
        <f t="shared" si="4"/>
        <v>667705.21919998061</v>
      </c>
      <c r="L12" s="104">
        <f t="shared" si="6"/>
        <v>28488756.019199174</v>
      </c>
      <c r="M12" s="1"/>
      <c r="N12" s="2"/>
      <c r="O12" s="1"/>
      <c r="P12" s="1"/>
      <c r="Q12" s="1"/>
    </row>
    <row r="13" spans="2:17" s="3" customFormat="1" ht="50.1" customHeight="1" x14ac:dyDescent="0.25">
      <c r="B13" s="5">
        <v>43624</v>
      </c>
      <c r="C13" s="59">
        <f t="shared" si="5"/>
        <v>164</v>
      </c>
      <c r="D13" s="87">
        <v>1035.78</v>
      </c>
      <c r="E13" s="113">
        <v>3920.0000000000728</v>
      </c>
      <c r="F13" s="113">
        <v>19399.999999997817</v>
      </c>
      <c r="G13" s="80">
        <f t="shared" si="3"/>
        <v>23319.99999999789</v>
      </c>
      <c r="H13" s="81">
        <f t="shared" si="0"/>
        <v>6090386.4000001131</v>
      </c>
      <c r="I13" s="81">
        <f t="shared" si="1"/>
        <v>20094131.999997739</v>
      </c>
      <c r="J13" s="81">
        <f t="shared" si="2"/>
        <v>26184518.399997853</v>
      </c>
      <c r="K13" s="81">
        <f t="shared" si="4"/>
        <v>628428.44159994845</v>
      </c>
      <c r="L13" s="104">
        <f t="shared" si="6"/>
        <v>26812946.841597803</v>
      </c>
      <c r="M13" s="2"/>
      <c r="N13" s="2"/>
      <c r="O13" s="1"/>
      <c r="P13" s="1"/>
      <c r="Q13" s="1"/>
    </row>
    <row r="14" spans="2:17" s="3" customFormat="1" ht="50.1" customHeight="1" x14ac:dyDescent="0.25">
      <c r="B14" s="5">
        <v>43625</v>
      </c>
      <c r="C14" s="59">
        <f t="shared" si="5"/>
        <v>164</v>
      </c>
      <c r="D14" s="87">
        <v>1035.78</v>
      </c>
      <c r="E14" s="113">
        <v>5199.9999999998181</v>
      </c>
      <c r="F14" s="113">
        <v>19760.000000002037</v>
      </c>
      <c r="G14" s="80">
        <f t="shared" si="3"/>
        <v>24960.000000001855</v>
      </c>
      <c r="H14" s="81">
        <f t="shared" si="0"/>
        <v>8079083.9999997169</v>
      </c>
      <c r="I14" s="81">
        <f t="shared" si="1"/>
        <v>20467012.800002109</v>
      </c>
      <c r="J14" s="81">
        <f t="shared" si="2"/>
        <v>28546096.800001826</v>
      </c>
      <c r="K14" s="81">
        <f t="shared" si="4"/>
        <v>685106.32320004387</v>
      </c>
      <c r="L14" s="104">
        <f t="shared" si="6"/>
        <v>29231203.123201869</v>
      </c>
      <c r="M14" s="1"/>
      <c r="N14" s="1"/>
      <c r="O14" s="1"/>
      <c r="P14" s="1"/>
      <c r="Q14" s="1"/>
    </row>
    <row r="15" spans="2:17" s="3" customFormat="1" ht="50.1" customHeight="1" x14ac:dyDescent="0.25">
      <c r="B15" s="5">
        <v>43626</v>
      </c>
      <c r="C15" s="59">
        <f t="shared" si="5"/>
        <v>164</v>
      </c>
      <c r="D15" s="87">
        <v>1035.78</v>
      </c>
      <c r="E15" s="113">
        <v>4640.0000000003274</v>
      </c>
      <c r="F15" s="113">
        <v>20560.00000000131</v>
      </c>
      <c r="G15" s="80">
        <f t="shared" si="3"/>
        <v>25200.000000001637</v>
      </c>
      <c r="H15" s="81">
        <f t="shared" si="0"/>
        <v>7209028.8000005083</v>
      </c>
      <c r="I15" s="81">
        <f t="shared" si="1"/>
        <v>21295636.800001357</v>
      </c>
      <c r="J15" s="81">
        <f t="shared" si="2"/>
        <v>28504665.600001864</v>
      </c>
      <c r="K15" s="81">
        <f t="shared" si="4"/>
        <v>684111.97440004477</v>
      </c>
      <c r="L15" s="104">
        <f t="shared" si="6"/>
        <v>29188777.574401908</v>
      </c>
      <c r="M15" s="1"/>
      <c r="N15" s="1"/>
      <c r="O15" s="1"/>
      <c r="P15" s="1"/>
      <c r="Q15" s="1"/>
    </row>
    <row r="16" spans="2:17" s="3" customFormat="1" ht="50.1" customHeight="1" x14ac:dyDescent="0.25">
      <c r="B16" s="5">
        <v>43627</v>
      </c>
      <c r="C16" s="59">
        <f t="shared" si="5"/>
        <v>164</v>
      </c>
      <c r="D16" s="87">
        <v>1035.78</v>
      </c>
      <c r="E16" s="113">
        <v>2639.9999999994179</v>
      </c>
      <c r="F16" s="113">
        <v>21559.999999997672</v>
      </c>
      <c r="G16" s="80">
        <f t="shared" si="3"/>
        <v>24199.99999999709</v>
      </c>
      <c r="H16" s="81">
        <f t="shared" si="0"/>
        <v>4101688.7999990955</v>
      </c>
      <c r="I16" s="81">
        <f t="shared" si="1"/>
        <v>22331416.799997587</v>
      </c>
      <c r="J16" s="81">
        <f t="shared" si="2"/>
        <v>26433105.599996682</v>
      </c>
      <c r="K16" s="81">
        <f t="shared" si="4"/>
        <v>634394.53439992038</v>
      </c>
      <c r="L16" s="104">
        <f t="shared" si="6"/>
        <v>27067500.134396601</v>
      </c>
      <c r="M16" s="1"/>
      <c r="N16" s="1"/>
      <c r="O16" s="1"/>
      <c r="P16" s="1"/>
      <c r="Q16" s="1"/>
    </row>
    <row r="17" spans="2:17" s="3" customFormat="1" ht="50.1" customHeight="1" x14ac:dyDescent="0.25">
      <c r="B17" s="5">
        <v>43628</v>
      </c>
      <c r="C17" s="59">
        <f t="shared" si="5"/>
        <v>164</v>
      </c>
      <c r="D17" s="87">
        <v>1035.78</v>
      </c>
      <c r="E17" s="113">
        <v>7600.0000000003638</v>
      </c>
      <c r="F17" s="113">
        <v>18240.000000001601</v>
      </c>
      <c r="G17" s="80">
        <f t="shared" si="3"/>
        <v>25840.000000001965</v>
      </c>
      <c r="H17" s="81">
        <f t="shared" si="0"/>
        <v>11807892.000000564</v>
      </c>
      <c r="I17" s="81">
        <f t="shared" si="1"/>
        <v>18892627.200001657</v>
      </c>
      <c r="J17" s="81">
        <f t="shared" si="2"/>
        <v>30700519.200002223</v>
      </c>
      <c r="K17" s="81">
        <f t="shared" si="4"/>
        <v>736812.46080005332</v>
      </c>
      <c r="L17" s="104">
        <f t="shared" si="6"/>
        <v>31437331.660802275</v>
      </c>
      <c r="M17" s="1"/>
      <c r="N17" s="1"/>
      <c r="O17" s="1"/>
      <c r="P17" s="1"/>
      <c r="Q17" s="1"/>
    </row>
    <row r="18" spans="2:17" s="3" customFormat="1" ht="50.1" customHeight="1" x14ac:dyDescent="0.25">
      <c r="B18" s="5">
        <v>43629</v>
      </c>
      <c r="C18" s="59">
        <f t="shared" si="5"/>
        <v>164</v>
      </c>
      <c r="D18" s="87">
        <v>1035.78</v>
      </c>
      <c r="E18" s="113">
        <v>4159.9999999998545</v>
      </c>
      <c r="F18" s="113">
        <v>23399.999999997817</v>
      </c>
      <c r="G18" s="80">
        <f t="shared" si="3"/>
        <v>27559.999999997672</v>
      </c>
      <c r="H18" s="81">
        <f t="shared" si="0"/>
        <v>6463267.1999997739</v>
      </c>
      <c r="I18" s="81">
        <f t="shared" si="1"/>
        <v>24237251.999997739</v>
      </c>
      <c r="J18" s="81">
        <f t="shared" si="2"/>
        <v>30700519.199997514</v>
      </c>
      <c r="K18" s="81">
        <f t="shared" si="4"/>
        <v>736812.4607999404</v>
      </c>
      <c r="L18" s="104">
        <f t="shared" si="6"/>
        <v>31437331.660797454</v>
      </c>
      <c r="M18" s="1"/>
      <c r="N18" s="1"/>
      <c r="O18" s="1"/>
      <c r="P18" s="1"/>
      <c r="Q18" s="1"/>
    </row>
    <row r="19" spans="2:17" s="3" customFormat="1" ht="50.1" customHeight="1" x14ac:dyDescent="0.25">
      <c r="B19" s="5">
        <v>43630</v>
      </c>
      <c r="C19" s="59">
        <f t="shared" si="5"/>
        <v>164</v>
      </c>
      <c r="D19" s="87">
        <v>1035.78</v>
      </c>
      <c r="E19" s="113">
        <v>4520.0000000004366</v>
      </c>
      <c r="F19" s="113">
        <v>21560.00000000131</v>
      </c>
      <c r="G19" s="80">
        <f t="shared" si="3"/>
        <v>26080.000000001746</v>
      </c>
      <c r="H19" s="81">
        <f t="shared" si="0"/>
        <v>7022588.4000006784</v>
      </c>
      <c r="I19" s="81">
        <f t="shared" si="1"/>
        <v>22331416.800001357</v>
      </c>
      <c r="J19" s="81">
        <f t="shared" si="2"/>
        <v>29354005.200002037</v>
      </c>
      <c r="K19" s="81">
        <f t="shared" si="4"/>
        <v>704496.12480004888</v>
      </c>
      <c r="L19" s="104">
        <f t="shared" si="6"/>
        <v>30058501.324802086</v>
      </c>
      <c r="M19" s="1"/>
      <c r="N19" s="1"/>
      <c r="O19" s="1"/>
      <c r="P19" s="1"/>
      <c r="Q19" s="1"/>
    </row>
    <row r="20" spans="2:17" s="3" customFormat="1" ht="50.1" customHeight="1" x14ac:dyDescent="0.25">
      <c r="B20" s="5">
        <v>43631</v>
      </c>
      <c r="C20" s="59">
        <f t="shared" si="5"/>
        <v>164</v>
      </c>
      <c r="D20" s="87">
        <v>1035.78</v>
      </c>
      <c r="E20" s="113">
        <v>5519.9999999995271</v>
      </c>
      <c r="F20" s="113">
        <v>21520.000000000437</v>
      </c>
      <c r="G20" s="80">
        <f t="shared" si="3"/>
        <v>27039.999999999964</v>
      </c>
      <c r="H20" s="81">
        <f t="shared" si="0"/>
        <v>8576258.3999992646</v>
      </c>
      <c r="I20" s="81">
        <f t="shared" si="1"/>
        <v>22289985.600000452</v>
      </c>
      <c r="J20" s="81">
        <f t="shared" si="2"/>
        <v>30866243.999999717</v>
      </c>
      <c r="K20" s="81">
        <f t="shared" si="4"/>
        <v>740789.85599999328</v>
      </c>
      <c r="L20" s="104">
        <f t="shared" si="6"/>
        <v>31607033.855999712</v>
      </c>
      <c r="M20" s="1"/>
      <c r="N20" s="1"/>
      <c r="O20" s="1"/>
      <c r="P20" s="1"/>
      <c r="Q20" s="1"/>
    </row>
    <row r="21" spans="2:17" s="3" customFormat="1" ht="50.1" customHeight="1" x14ac:dyDescent="0.25">
      <c r="B21" s="5">
        <v>43632</v>
      </c>
      <c r="C21" s="59">
        <f t="shared" si="5"/>
        <v>164</v>
      </c>
      <c r="D21" s="87">
        <v>1035.78</v>
      </c>
      <c r="E21" s="113">
        <v>3800.0000000001819</v>
      </c>
      <c r="F21" s="113">
        <v>23799.999999999272</v>
      </c>
      <c r="G21" s="80">
        <f t="shared" si="3"/>
        <v>27599.999999999454</v>
      </c>
      <c r="H21" s="81">
        <f t="shared" si="0"/>
        <v>5903946.0000002822</v>
      </c>
      <c r="I21" s="81">
        <f t="shared" si="1"/>
        <v>24651563.999999247</v>
      </c>
      <c r="J21" s="81">
        <f t="shared" si="2"/>
        <v>30555509.999999531</v>
      </c>
      <c r="K21" s="81">
        <f t="shared" si="4"/>
        <v>733332.2399999887</v>
      </c>
      <c r="L21" s="104">
        <f t="shared" si="6"/>
        <v>31288842.239999518</v>
      </c>
      <c r="M21" s="1"/>
      <c r="N21" s="1"/>
      <c r="O21" s="1"/>
      <c r="P21" s="1"/>
      <c r="Q21" s="1"/>
    </row>
    <row r="22" spans="2:17" s="3" customFormat="1" ht="50.1" customHeight="1" x14ac:dyDescent="0.25">
      <c r="B22" s="5">
        <v>43633</v>
      </c>
      <c r="C22" s="59">
        <f t="shared" si="5"/>
        <v>164</v>
      </c>
      <c r="D22" s="87">
        <v>1035.78</v>
      </c>
      <c r="E22" s="113">
        <v>5960.0000000000364</v>
      </c>
      <c r="F22" s="113">
        <v>19360.000000000582</v>
      </c>
      <c r="G22" s="80">
        <f t="shared" si="3"/>
        <v>25320.000000000618</v>
      </c>
      <c r="H22" s="81">
        <f t="shared" si="0"/>
        <v>9259873.200000057</v>
      </c>
      <c r="I22" s="81">
        <f t="shared" si="1"/>
        <v>20052700.800000601</v>
      </c>
      <c r="J22" s="81">
        <f t="shared" si="2"/>
        <v>29312574.000000656</v>
      </c>
      <c r="K22" s="81">
        <f t="shared" si="4"/>
        <v>703501.77600001579</v>
      </c>
      <c r="L22" s="104">
        <f t="shared" si="6"/>
        <v>30016075.776000671</v>
      </c>
      <c r="M22" s="1"/>
      <c r="N22" s="1"/>
      <c r="O22" s="1"/>
      <c r="P22" s="1"/>
      <c r="Q22" s="1"/>
    </row>
    <row r="23" spans="2:17" s="3" customFormat="1" ht="50.1" customHeight="1" x14ac:dyDescent="0.25">
      <c r="B23" s="5">
        <v>43634</v>
      </c>
      <c r="C23" s="59">
        <f t="shared" si="5"/>
        <v>164</v>
      </c>
      <c r="D23" s="87">
        <v>1035.78</v>
      </c>
      <c r="E23" s="113">
        <v>5359.9999999996726</v>
      </c>
      <c r="F23" s="113">
        <v>22119.999999998981</v>
      </c>
      <c r="G23" s="80">
        <f t="shared" si="3"/>
        <v>27479.999999998654</v>
      </c>
      <c r="H23" s="81">
        <f t="shared" si="0"/>
        <v>8327671.1999994908</v>
      </c>
      <c r="I23" s="81">
        <f t="shared" si="1"/>
        <v>22911453.599998944</v>
      </c>
      <c r="J23" s="81">
        <f t="shared" si="2"/>
        <v>31239124.799998432</v>
      </c>
      <c r="K23" s="81">
        <f t="shared" si="4"/>
        <v>749738.9951999624</v>
      </c>
      <c r="L23" s="104">
        <f t="shared" si="6"/>
        <v>31988863.795198396</v>
      </c>
      <c r="M23" s="1"/>
      <c r="N23" s="1"/>
      <c r="O23" s="1"/>
      <c r="P23" s="1"/>
      <c r="Q23" s="1"/>
    </row>
    <row r="24" spans="2:17" s="3" customFormat="1" ht="50.1" customHeight="1" x14ac:dyDescent="0.25">
      <c r="B24" s="5">
        <v>43635</v>
      </c>
      <c r="C24" s="59">
        <f t="shared" si="5"/>
        <v>164</v>
      </c>
      <c r="D24" s="87">
        <v>1035.78</v>
      </c>
      <c r="E24" s="113">
        <v>4520.0000000004366</v>
      </c>
      <c r="F24" s="113">
        <v>21799.999999999272</v>
      </c>
      <c r="G24" s="80">
        <f t="shared" si="3"/>
        <v>26319.999999999709</v>
      </c>
      <c r="H24" s="81">
        <f t="shared" si="0"/>
        <v>7022588.4000006784</v>
      </c>
      <c r="I24" s="81">
        <f t="shared" si="1"/>
        <v>22580003.999999247</v>
      </c>
      <c r="J24" s="81">
        <f t="shared" si="2"/>
        <v>29602592.399999924</v>
      </c>
      <c r="K24" s="81">
        <f t="shared" si="4"/>
        <v>710462.21759999823</v>
      </c>
      <c r="L24" s="104">
        <f t="shared" si="6"/>
        <v>30313054.617599923</v>
      </c>
      <c r="M24" s="1"/>
      <c r="N24" s="1"/>
      <c r="O24" s="1"/>
      <c r="P24" s="1"/>
      <c r="Q24" s="1"/>
    </row>
    <row r="25" spans="2:17" s="3" customFormat="1" ht="50.1" customHeight="1" x14ac:dyDescent="0.25">
      <c r="B25" s="5">
        <v>43636</v>
      </c>
      <c r="C25" s="59">
        <f t="shared" si="5"/>
        <v>164</v>
      </c>
      <c r="D25" s="87">
        <v>1035.78</v>
      </c>
      <c r="E25" s="113">
        <v>5359.9999999996726</v>
      </c>
      <c r="F25" s="113">
        <v>21760.000000002037</v>
      </c>
      <c r="G25" s="80">
        <f t="shared" si="3"/>
        <v>27120.00000000171</v>
      </c>
      <c r="H25" s="81">
        <f t="shared" si="0"/>
        <v>8327671.1999994908</v>
      </c>
      <c r="I25" s="81">
        <f t="shared" si="1"/>
        <v>22538572.800002109</v>
      </c>
      <c r="J25" s="81">
        <f t="shared" si="2"/>
        <v>30866244.000001602</v>
      </c>
      <c r="K25" s="81">
        <f t="shared" si="4"/>
        <v>740789.85600003845</v>
      </c>
      <c r="L25" s="104">
        <f t="shared" si="6"/>
        <v>31607033.856001642</v>
      </c>
      <c r="M25" s="1"/>
      <c r="N25" s="1"/>
      <c r="O25" s="1"/>
      <c r="P25" s="1"/>
      <c r="Q25" s="1"/>
    </row>
    <row r="26" spans="2:17" s="3" customFormat="1" ht="50.1" customHeight="1" x14ac:dyDescent="0.25">
      <c r="B26" s="5">
        <v>43637</v>
      </c>
      <c r="C26" s="59">
        <f t="shared" si="5"/>
        <v>164</v>
      </c>
      <c r="D26" s="87">
        <v>1035.78</v>
      </c>
      <c r="E26" s="113">
        <v>4800.0000000001819</v>
      </c>
      <c r="F26" s="113">
        <v>22000</v>
      </c>
      <c r="G26" s="80">
        <f t="shared" si="3"/>
        <v>26800.000000000182</v>
      </c>
      <c r="H26" s="81">
        <f t="shared" si="0"/>
        <v>7457616.0000002822</v>
      </c>
      <c r="I26" s="81">
        <f t="shared" si="1"/>
        <v>22787160</v>
      </c>
      <c r="J26" s="81">
        <f t="shared" si="2"/>
        <v>30244776.000000283</v>
      </c>
      <c r="K26" s="81">
        <f t="shared" si="4"/>
        <v>725874.62400000682</v>
      </c>
      <c r="L26" s="104">
        <f>J26+K26</f>
        <v>30970650.624000289</v>
      </c>
      <c r="M26" s="1"/>
      <c r="N26" s="1"/>
      <c r="O26" s="1"/>
      <c r="P26" s="1"/>
      <c r="Q26" s="1"/>
    </row>
    <row r="27" spans="2:17" s="3" customFormat="1" ht="50.1" customHeight="1" x14ac:dyDescent="0.25">
      <c r="B27" s="5">
        <v>43638</v>
      </c>
      <c r="C27" s="59">
        <f t="shared" si="5"/>
        <v>164</v>
      </c>
      <c r="D27" s="87">
        <v>1035.78</v>
      </c>
      <c r="E27" s="113">
        <v>5359.9999999996726</v>
      </c>
      <c r="F27" s="113">
        <v>21919.999999998254</v>
      </c>
      <c r="G27" s="80">
        <f t="shared" si="3"/>
        <v>27279.999999997926</v>
      </c>
      <c r="H27" s="81">
        <f t="shared" si="0"/>
        <v>8327671.1999994908</v>
      </c>
      <c r="I27" s="81">
        <f t="shared" si="1"/>
        <v>22704297.599998191</v>
      </c>
      <c r="J27" s="81">
        <f t="shared" si="2"/>
        <v>31031968.79999768</v>
      </c>
      <c r="K27" s="81">
        <f t="shared" si="4"/>
        <v>744767.25119994429</v>
      </c>
      <c r="L27" s="104">
        <f t="shared" si="6"/>
        <v>31776736.051197626</v>
      </c>
      <c r="M27" s="1"/>
      <c r="N27" s="1"/>
      <c r="O27" s="1"/>
      <c r="P27" s="1"/>
      <c r="Q27" s="1"/>
    </row>
    <row r="28" spans="2:17" s="3" customFormat="1" ht="50.1" customHeight="1" x14ac:dyDescent="0.25">
      <c r="B28" s="5">
        <v>43639</v>
      </c>
      <c r="C28" s="59">
        <f t="shared" si="5"/>
        <v>164</v>
      </c>
      <c r="D28" s="87">
        <v>1035.78</v>
      </c>
      <c r="E28" s="113">
        <v>4160.000000000764</v>
      </c>
      <c r="F28" s="113">
        <v>21240.000000001601</v>
      </c>
      <c r="G28" s="80">
        <f t="shared" si="3"/>
        <v>25400.000000002365</v>
      </c>
      <c r="H28" s="81">
        <f t="shared" si="0"/>
        <v>6463267.2000011867</v>
      </c>
      <c r="I28" s="81">
        <f t="shared" si="1"/>
        <v>21999967.200001657</v>
      </c>
      <c r="J28" s="81">
        <f t="shared" si="2"/>
        <v>28463234.400002845</v>
      </c>
      <c r="K28" s="81">
        <f t="shared" si="4"/>
        <v>683117.62560006825</v>
      </c>
      <c r="L28" s="104">
        <f t="shared" si="6"/>
        <v>29146352.025602914</v>
      </c>
      <c r="M28" s="1"/>
      <c r="N28" s="1"/>
      <c r="O28" s="1"/>
      <c r="P28" s="1"/>
      <c r="Q28" s="1"/>
    </row>
    <row r="29" spans="2:17" s="3" customFormat="1" ht="50.1" customHeight="1" x14ac:dyDescent="0.25">
      <c r="B29" s="5">
        <v>43640</v>
      </c>
      <c r="C29" s="59">
        <f t="shared" si="5"/>
        <v>164</v>
      </c>
      <c r="D29" s="87">
        <v>1035.78</v>
      </c>
      <c r="E29" s="113">
        <v>4719.9999999993452</v>
      </c>
      <c r="F29" s="113">
        <v>21279.999999998836</v>
      </c>
      <c r="G29" s="80">
        <f t="shared" si="3"/>
        <v>25999.999999998181</v>
      </c>
      <c r="H29" s="81">
        <f t="shared" si="0"/>
        <v>7333322.3999989824</v>
      </c>
      <c r="I29" s="81">
        <f t="shared" si="1"/>
        <v>22041398.399998795</v>
      </c>
      <c r="J29" s="81">
        <f t="shared" si="2"/>
        <v>29374720.799997777</v>
      </c>
      <c r="K29" s="81">
        <f t="shared" si="4"/>
        <v>704993.29919994669</v>
      </c>
      <c r="L29" s="104">
        <f t="shared" si="6"/>
        <v>30079714.099197723</v>
      </c>
      <c r="M29" s="1"/>
      <c r="N29" s="1"/>
      <c r="O29" s="1"/>
      <c r="P29" s="1"/>
      <c r="Q29" s="1"/>
    </row>
    <row r="30" spans="2:17" s="3" customFormat="1" ht="50.1" customHeight="1" x14ac:dyDescent="0.25">
      <c r="B30" s="5">
        <v>43641</v>
      </c>
      <c r="C30" s="59">
        <f t="shared" si="5"/>
        <v>164</v>
      </c>
      <c r="D30" s="87">
        <v>1035.78</v>
      </c>
      <c r="E30" s="113">
        <v>4840.0000000001455</v>
      </c>
      <c r="F30" s="113">
        <v>21279.999999998836</v>
      </c>
      <c r="G30" s="80">
        <f t="shared" si="3"/>
        <v>26119.999999998981</v>
      </c>
      <c r="H30" s="81">
        <f t="shared" si="0"/>
        <v>7519762.8000002261</v>
      </c>
      <c r="I30" s="81">
        <f t="shared" si="1"/>
        <v>22041398.399998795</v>
      </c>
      <c r="J30" s="81">
        <f t="shared" si="2"/>
        <v>29561161.19999902</v>
      </c>
      <c r="K30" s="81">
        <f t="shared" si="4"/>
        <v>709467.86879997654</v>
      </c>
      <c r="L30" s="104">
        <f t="shared" si="6"/>
        <v>30270629.068798997</v>
      </c>
      <c r="M30" s="1"/>
      <c r="N30" s="1"/>
      <c r="O30" s="1"/>
      <c r="P30" s="1"/>
      <c r="Q30" s="1"/>
    </row>
    <row r="31" spans="2:17" s="3" customFormat="1" ht="50.1" customHeight="1" x14ac:dyDescent="0.25">
      <c r="B31" s="5">
        <v>43642</v>
      </c>
      <c r="C31" s="59">
        <f t="shared" si="5"/>
        <v>164</v>
      </c>
      <c r="D31" s="87">
        <v>1035.78</v>
      </c>
      <c r="E31" s="113">
        <v>1319.999999999709</v>
      </c>
      <c r="F31" s="113">
        <v>16560.00000000131</v>
      </c>
      <c r="G31" s="80">
        <f t="shared" si="3"/>
        <v>17880.000000001019</v>
      </c>
      <c r="H31" s="81">
        <f t="shared" si="0"/>
        <v>2050844.3999995477</v>
      </c>
      <c r="I31" s="81">
        <f t="shared" si="1"/>
        <v>17152516.800001357</v>
      </c>
      <c r="J31" s="81">
        <f t="shared" ref="J31:J33" si="7">I31+H31</f>
        <v>19203361.200000905</v>
      </c>
      <c r="K31" s="81">
        <f t="shared" si="4"/>
        <v>460880.6688000217</v>
      </c>
      <c r="L31" s="104">
        <f t="shared" ref="L31:L33" si="8">J31+K31</f>
        <v>19664241.868800927</v>
      </c>
      <c r="M31" s="1"/>
      <c r="N31" s="1"/>
      <c r="O31" s="1"/>
      <c r="P31" s="1"/>
      <c r="Q31" s="1"/>
    </row>
    <row r="32" spans="2:17" s="3" customFormat="1" ht="50.1" customHeight="1" x14ac:dyDescent="0.25">
      <c r="B32" s="5">
        <v>43643</v>
      </c>
      <c r="C32" s="59">
        <f t="shared" si="5"/>
        <v>164</v>
      </c>
      <c r="D32" s="87">
        <v>1035.78</v>
      </c>
      <c r="E32" s="113">
        <v>8960.0000000000364</v>
      </c>
      <c r="F32" s="113">
        <v>25639.999999999418</v>
      </c>
      <c r="G32" s="80">
        <f t="shared" si="3"/>
        <v>34599.999999999454</v>
      </c>
      <c r="H32" s="81">
        <f t="shared" si="0"/>
        <v>13920883.200000057</v>
      </c>
      <c r="I32" s="81">
        <f t="shared" si="1"/>
        <v>26557399.199999396</v>
      </c>
      <c r="J32" s="81">
        <f t="shared" si="7"/>
        <v>40478282.399999455</v>
      </c>
      <c r="K32" s="81">
        <f t="shared" si="4"/>
        <v>971478.77759998688</v>
      </c>
      <c r="L32" s="104">
        <f t="shared" si="8"/>
        <v>41449761.177599445</v>
      </c>
      <c r="M32" s="1"/>
      <c r="N32" s="1"/>
      <c r="O32" s="1"/>
      <c r="P32" s="1"/>
      <c r="Q32" s="1"/>
    </row>
    <row r="33" spans="2:17" s="3" customFormat="1" ht="50.1" customHeight="1" x14ac:dyDescent="0.25">
      <c r="B33" s="5">
        <v>43644</v>
      </c>
      <c r="C33" s="59">
        <f t="shared" si="5"/>
        <v>164</v>
      </c>
      <c r="D33" s="87">
        <v>1035.78</v>
      </c>
      <c r="E33" s="113">
        <v>6240.0000000006912</v>
      </c>
      <c r="F33" s="113">
        <v>14319.999999999709</v>
      </c>
      <c r="G33" s="80">
        <f t="shared" si="3"/>
        <v>20560.0000000004</v>
      </c>
      <c r="H33" s="81">
        <f t="shared" si="0"/>
        <v>9694900.8000010736</v>
      </c>
      <c r="I33" s="81">
        <f t="shared" si="1"/>
        <v>14832369.599999698</v>
      </c>
      <c r="J33" s="81">
        <f t="shared" si="7"/>
        <v>24527270.400000773</v>
      </c>
      <c r="K33" s="81">
        <f t="shared" si="4"/>
        <v>588654.4896000186</v>
      </c>
      <c r="L33" s="104">
        <f t="shared" si="8"/>
        <v>25115924.889600791</v>
      </c>
      <c r="M33" s="1"/>
      <c r="N33" s="1"/>
      <c r="O33" s="1"/>
      <c r="P33" s="1"/>
      <c r="Q33" s="1"/>
    </row>
    <row r="34" spans="2:17" s="3" customFormat="1" ht="50.1" customHeight="1" x14ac:dyDescent="0.25">
      <c r="B34" s="5">
        <v>43645</v>
      </c>
      <c r="C34" s="59">
        <f t="shared" si="5"/>
        <v>164</v>
      </c>
      <c r="D34" s="87">
        <v>1035.78</v>
      </c>
      <c r="E34" s="113">
        <v>1359.9999999996726</v>
      </c>
      <c r="F34" s="113">
        <v>30680.000000000291</v>
      </c>
      <c r="G34" s="80">
        <f t="shared" ref="G34" si="9">F34+E34</f>
        <v>32039.999999999964</v>
      </c>
      <c r="H34" s="81">
        <f t="shared" ref="H34" si="10">E34*1.5*D34</f>
        <v>2112991.1999994912</v>
      </c>
      <c r="I34" s="81">
        <f t="shared" ref="I34" si="11">F34*D34</f>
        <v>31777730.4000003</v>
      </c>
      <c r="J34" s="81">
        <f t="shared" ref="J34" si="12">I34+H34</f>
        <v>33890721.599999793</v>
      </c>
      <c r="K34" s="81">
        <f t="shared" si="4"/>
        <v>813377.3183999951</v>
      </c>
      <c r="L34" s="104">
        <f t="shared" ref="L34" si="13">J34+K34</f>
        <v>34704098.918399788</v>
      </c>
      <c r="M34" s="1"/>
      <c r="N34" s="1"/>
      <c r="O34" s="1"/>
      <c r="P34" s="1"/>
      <c r="Q34" s="1"/>
    </row>
    <row r="35" spans="2:17" s="3" customFormat="1" ht="50.1" customHeight="1" x14ac:dyDescent="0.25">
      <c r="B35" s="5">
        <v>43646</v>
      </c>
      <c r="C35" s="59">
        <f t="shared" si="5"/>
        <v>164</v>
      </c>
      <c r="D35" s="87">
        <v>1035.78</v>
      </c>
      <c r="E35" s="113">
        <v>5520.0000000004366</v>
      </c>
      <c r="F35" s="113">
        <v>18360.000000000582</v>
      </c>
      <c r="G35" s="80">
        <f t="shared" ref="G35" si="14">F35+E35</f>
        <v>23880.000000001019</v>
      </c>
      <c r="H35" s="81">
        <f t="shared" ref="H35" si="15">E35*1.5*D35</f>
        <v>8576258.4000006784</v>
      </c>
      <c r="I35" s="81">
        <f t="shared" ref="I35" si="16">F35*D35</f>
        <v>19016920.800000604</v>
      </c>
      <c r="J35" s="81">
        <f t="shared" ref="J35" si="17">I35+H35</f>
        <v>27593179.200001284</v>
      </c>
      <c r="K35" s="81">
        <f t="shared" si="4"/>
        <v>662236.30080003082</v>
      </c>
      <c r="L35" s="104">
        <f t="shared" ref="L35" si="18">J35+K35</f>
        <v>28255415.500801314</v>
      </c>
      <c r="M35" s="1"/>
      <c r="N35" s="1"/>
      <c r="O35" s="1"/>
      <c r="P35" s="1"/>
      <c r="Q35" s="1"/>
    </row>
    <row r="36" spans="2:17" s="1" customFormat="1" x14ac:dyDescent="0.25">
      <c r="B36" s="7"/>
      <c r="C36" s="9">
        <f>SUM(C6:C33)</f>
        <v>4592</v>
      </c>
      <c r="D36" s="88"/>
      <c r="E36" s="82">
        <f t="shared" ref="E36:L36" si="19">SUM(E6:E35)</f>
        <v>141720.00000000026</v>
      </c>
      <c r="F36" s="82">
        <f t="shared" si="19"/>
        <v>629639.99999999942</v>
      </c>
      <c r="G36" s="82">
        <f t="shared" si="19"/>
        <v>771359.99999999965</v>
      </c>
      <c r="H36" s="82">
        <f t="shared" si="19"/>
        <v>220186112.40000039</v>
      </c>
      <c r="I36" s="82">
        <f t="shared" si="19"/>
        <v>652168519.19999933</v>
      </c>
      <c r="J36" s="82">
        <f t="shared" si="19"/>
        <v>872354631.59999979</v>
      </c>
      <c r="K36" s="82">
        <f t="shared" si="19"/>
        <v>20936511.158399992</v>
      </c>
      <c r="L36" s="82">
        <f t="shared" si="19"/>
        <v>893291142.75839984</v>
      </c>
    </row>
    <row r="37" spans="2:17" s="1" customFormat="1" x14ac:dyDescent="0.25">
      <c r="B37" s="7"/>
      <c r="C37" s="7"/>
      <c r="D37" s="88"/>
      <c r="E37" s="31"/>
      <c r="F37" s="31"/>
      <c r="G37" s="32"/>
      <c r="H37" s="9"/>
      <c r="J37" s="95"/>
      <c r="K37" s="15"/>
      <c r="L37" s="83"/>
    </row>
    <row r="38" spans="2:17" s="1" customFormat="1" x14ac:dyDescent="0.25">
      <c r="B38" s="7"/>
      <c r="C38" s="7"/>
      <c r="D38" s="89"/>
      <c r="E38" s="33"/>
      <c r="F38" s="33"/>
      <c r="G38" s="32"/>
      <c r="H38" s="8"/>
      <c r="I38" s="10"/>
      <c r="J38" s="95"/>
      <c r="K38" s="15"/>
      <c r="L38" s="73"/>
      <c r="N38" s="7"/>
    </row>
    <row r="39" spans="2:17" s="1" customFormat="1" x14ac:dyDescent="0.25">
      <c r="B39" s="7"/>
      <c r="C39" s="7"/>
      <c r="D39" s="90"/>
      <c r="E39" s="33"/>
      <c r="F39" s="33"/>
      <c r="G39" s="32"/>
      <c r="H39" s="9"/>
      <c r="J39" s="96"/>
      <c r="K39" s="83"/>
      <c r="L39" s="73"/>
      <c r="N39" s="7"/>
    </row>
    <row r="40" spans="2:17" s="1" customFormat="1" x14ac:dyDescent="0.25">
      <c r="B40" s="7"/>
      <c r="C40" s="7"/>
      <c r="D40" s="90"/>
      <c r="E40" s="33"/>
      <c r="F40" s="33"/>
      <c r="G40" s="32"/>
      <c r="H40" s="9"/>
      <c r="J40" s="97"/>
      <c r="K40" s="73"/>
      <c r="L40" s="83"/>
      <c r="N40" s="7"/>
    </row>
    <row r="41" spans="2:17" s="1" customFormat="1" x14ac:dyDescent="0.25">
      <c r="B41" s="7"/>
      <c r="C41" s="7"/>
      <c r="D41" s="90"/>
      <c r="E41" s="33"/>
      <c r="F41" s="33"/>
      <c r="G41" s="32"/>
      <c r="H41" s="9"/>
      <c r="J41" s="98"/>
      <c r="K41" s="73"/>
      <c r="L41" s="83"/>
      <c r="N41" s="7"/>
    </row>
    <row r="42" spans="2:17" s="1" customFormat="1" x14ac:dyDescent="0.25">
      <c r="B42" s="7"/>
      <c r="C42" s="7"/>
      <c r="D42" s="89"/>
      <c r="E42" s="33"/>
      <c r="F42" s="33"/>
      <c r="G42" s="32"/>
      <c r="H42" s="9"/>
      <c r="J42" s="96"/>
      <c r="K42" s="15"/>
      <c r="L42" s="83"/>
      <c r="N42" s="7"/>
    </row>
    <row r="43" spans="2:17" s="1" customFormat="1" x14ac:dyDescent="0.25">
      <c r="B43" s="7"/>
      <c r="C43" s="7"/>
      <c r="D43" s="90"/>
      <c r="E43" s="33"/>
      <c r="F43" s="33"/>
      <c r="G43" s="32"/>
      <c r="J43" s="99"/>
      <c r="K43" s="73"/>
      <c r="L43" s="73"/>
      <c r="N43" s="7"/>
    </row>
    <row r="44" spans="2:17" s="1" customFormat="1" x14ac:dyDescent="0.25">
      <c r="B44" s="7"/>
      <c r="C44" s="7"/>
      <c r="D44" s="89"/>
      <c r="E44" s="33"/>
      <c r="F44" s="33"/>
      <c r="G44" s="34" t="s">
        <v>6</v>
      </c>
      <c r="H44" s="9"/>
      <c r="J44" s="96"/>
      <c r="K44" s="83"/>
      <c r="L44" s="83"/>
      <c r="M44" s="11"/>
      <c r="N44" s="7"/>
    </row>
    <row r="45" spans="2:17" s="1" customFormat="1" ht="21" x14ac:dyDescent="0.25">
      <c r="B45" s="7"/>
      <c r="C45" s="7"/>
      <c r="D45" s="90"/>
      <c r="E45" s="33"/>
      <c r="F45" s="33"/>
      <c r="G45" s="35"/>
      <c r="H45" s="7"/>
      <c r="J45" s="100"/>
      <c r="K45" s="83"/>
      <c r="L45" s="105"/>
      <c r="N45" s="7"/>
    </row>
    <row r="46" spans="2:17" s="1" customFormat="1" x14ac:dyDescent="0.25">
      <c r="D46" s="89"/>
      <c r="E46" s="33"/>
      <c r="F46" s="33"/>
      <c r="G46" s="30"/>
      <c r="J46" s="83"/>
      <c r="K46" s="83"/>
      <c r="L46" s="83"/>
      <c r="M46" s="16"/>
      <c r="N46" s="7"/>
    </row>
    <row r="47" spans="2:17" s="1" customFormat="1" x14ac:dyDescent="0.25">
      <c r="D47" s="90"/>
      <c r="E47" s="33"/>
      <c r="F47" s="33"/>
      <c r="G47" s="30"/>
      <c r="J47" s="83"/>
      <c r="K47" s="83"/>
      <c r="L47" s="83"/>
    </row>
    <row r="48" spans="2:17" s="1" customFormat="1" x14ac:dyDescent="0.25">
      <c r="D48" s="90"/>
      <c r="E48" s="33"/>
      <c r="F48" s="33"/>
      <c r="G48" s="36"/>
      <c r="J48" s="83"/>
      <c r="K48" s="83"/>
      <c r="L48" s="83"/>
    </row>
    <row r="49" spans="2:12" s="1" customFormat="1" x14ac:dyDescent="0.25">
      <c r="B49" s="12"/>
      <c r="C49" s="12"/>
      <c r="D49" s="91"/>
      <c r="E49" s="33"/>
      <c r="F49" s="33"/>
      <c r="G49" s="38"/>
      <c r="H49" s="12"/>
      <c r="I49" s="12"/>
      <c r="J49" s="84"/>
      <c r="K49" s="84"/>
      <c r="L49" s="84"/>
    </row>
    <row r="50" spans="2:12" s="12" customFormat="1" x14ac:dyDescent="0.25">
      <c r="D50" s="91"/>
      <c r="E50" s="33"/>
      <c r="F50" s="33"/>
      <c r="G50" s="39"/>
      <c r="J50" s="84"/>
      <c r="K50" s="84"/>
      <c r="L50" s="84"/>
    </row>
    <row r="51" spans="2:12" s="12" customFormat="1" x14ac:dyDescent="0.25">
      <c r="D51" s="91"/>
      <c r="E51" s="33"/>
      <c r="F51" s="33"/>
      <c r="G51" s="37"/>
      <c r="J51" s="84"/>
      <c r="K51" s="84"/>
      <c r="L51" s="84"/>
    </row>
    <row r="52" spans="2:12" s="12" customFormat="1" x14ac:dyDescent="0.25">
      <c r="D52" s="91"/>
      <c r="E52" s="33"/>
      <c r="F52" s="33"/>
      <c r="G52" s="39"/>
      <c r="J52" s="84"/>
      <c r="K52" s="84"/>
      <c r="L52" s="84"/>
    </row>
    <row r="53" spans="2:12" s="12" customFormat="1" x14ac:dyDescent="0.25">
      <c r="D53" s="91"/>
      <c r="E53" s="33"/>
      <c r="F53" s="33"/>
      <c r="G53" s="37"/>
      <c r="J53" s="84"/>
      <c r="K53" s="84"/>
      <c r="L53" s="84"/>
    </row>
    <row r="54" spans="2:12" s="12" customFormat="1" x14ac:dyDescent="0.25">
      <c r="B54" s="13"/>
      <c r="C54" s="13"/>
      <c r="D54" s="92"/>
      <c r="E54" s="33"/>
      <c r="F54" s="33"/>
      <c r="G54" s="40"/>
      <c r="H54" s="13"/>
      <c r="I54" s="13"/>
      <c r="J54" s="85"/>
      <c r="K54" s="85"/>
      <c r="L54" s="85"/>
    </row>
    <row r="55" spans="2:12" x14ac:dyDescent="0.25">
      <c r="E55" s="33"/>
      <c r="F55" s="33"/>
    </row>
    <row r="56" spans="2:12" x14ac:dyDescent="0.25">
      <c r="E56" s="33"/>
      <c r="F56" s="33"/>
    </row>
    <row r="57" spans="2:12" x14ac:dyDescent="0.25">
      <c r="E57" s="33"/>
      <c r="F57" s="33"/>
    </row>
    <row r="58" spans="2:12" x14ac:dyDescent="0.25">
      <c r="E58" s="33"/>
      <c r="F58" s="33"/>
    </row>
    <row r="59" spans="2:12" x14ac:dyDescent="0.25">
      <c r="E59" s="33"/>
      <c r="F59" s="33"/>
    </row>
    <row r="60" spans="2:12" x14ac:dyDescent="0.25">
      <c r="E60" s="33"/>
      <c r="F60" s="33"/>
    </row>
    <row r="61" spans="2:12" x14ac:dyDescent="0.25">
      <c r="E61" s="33"/>
      <c r="F61" s="33"/>
    </row>
    <row r="62" spans="2:12" x14ac:dyDescent="0.25">
      <c r="E62" s="33"/>
      <c r="F62" s="33"/>
    </row>
    <row r="63" spans="2:12" x14ac:dyDescent="0.25">
      <c r="E63" s="33"/>
      <c r="F63" s="33"/>
    </row>
    <row r="64" spans="2:12" x14ac:dyDescent="0.25">
      <c r="E64" s="33"/>
      <c r="F64" s="33"/>
    </row>
    <row r="65" spans="5:6" x14ac:dyDescent="0.25">
      <c r="E65" s="33"/>
      <c r="F65" s="33"/>
    </row>
    <row r="66" spans="5:6" x14ac:dyDescent="0.25">
      <c r="E66" s="33"/>
      <c r="F66" s="33"/>
    </row>
    <row r="67" spans="5:6" x14ac:dyDescent="0.25">
      <c r="E67" s="33"/>
      <c r="F67" s="33"/>
    </row>
  </sheetData>
  <mergeCells count="8">
    <mergeCell ref="K3:K4"/>
    <mergeCell ref="L3:L4"/>
    <mergeCell ref="B1:D1"/>
    <mergeCell ref="B2:B4"/>
    <mergeCell ref="D2:D4"/>
    <mergeCell ref="E2:L2"/>
    <mergeCell ref="H3:J3"/>
    <mergeCell ref="C2:C3"/>
  </mergeCells>
  <conditionalFormatting sqref="G7:G35">
    <cfRule type="cellIs" dxfId="5" priority="139" operator="greaterThan">
      <formula>$G$46</formula>
    </cfRule>
  </conditionalFormatting>
  <conditionalFormatting sqref="G6:G35">
    <cfRule type="cellIs" dxfId="4" priority="138" operator="greaterThan">
      <formula>$G$46</formula>
    </cfRule>
  </conditionalFormatting>
  <conditionalFormatting sqref="E6:E29">
    <cfRule type="cellIs" dxfId="3" priority="9" operator="greaterThan">
      <formula>#REF!</formula>
    </cfRule>
  </conditionalFormatting>
  <conditionalFormatting sqref="F6:F29">
    <cfRule type="cellIs" dxfId="2" priority="8" operator="greaterThan">
      <formula>$D$46</formula>
    </cfRule>
  </conditionalFormatting>
  <conditionalFormatting sqref="E30:E35">
    <cfRule type="cellIs" dxfId="1" priority="7" operator="greaterThan">
      <formula>#REF!</formula>
    </cfRule>
  </conditionalFormatting>
  <conditionalFormatting sqref="F30:F35">
    <cfRule type="cellIs" dxfId="0" priority="6" operator="greaterThan">
      <formula>$D$46</formula>
    </cfRule>
  </conditionalFormatting>
  <pageMargins left="0.23622047244094491" right="0.23622047244094491" top="0.74803149606299213" bottom="0.74803149606299213" header="0.31496062992125984" footer="0.31496062992125984"/>
  <pageSetup paperSize="8" scale="34" fitToHeight="0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Q45"/>
  <sheetViews>
    <sheetView zoomScaleNormal="100" workbookViewId="0">
      <selection activeCell="F5" sqref="F5:F34"/>
    </sheetView>
  </sheetViews>
  <sheetFormatPr defaultRowHeight="15" x14ac:dyDescent="0.25"/>
  <cols>
    <col min="1" max="4" width="9.140625" style="55"/>
    <col min="5" max="5" width="19.28515625" style="55" customWidth="1"/>
    <col min="6" max="6" width="29" style="55" customWidth="1"/>
    <col min="7" max="7" width="33.140625" style="65" customWidth="1"/>
    <col min="8" max="8" width="13.42578125" style="55" bestFit="1" customWidth="1"/>
    <col min="9" max="9" width="11.5703125" style="55" bestFit="1" customWidth="1"/>
    <col min="10" max="43" width="9.140625" style="55"/>
    <col min="44" max="16384" width="9.140625" style="60"/>
  </cols>
  <sheetData>
    <row r="1" spans="1:43" ht="15" customHeight="1" x14ac:dyDescent="0.25">
      <c r="B1" s="136" t="s">
        <v>3</v>
      </c>
      <c r="C1" s="136"/>
      <c r="D1" s="136"/>
      <c r="E1" s="136"/>
      <c r="F1" s="136"/>
      <c r="G1" s="136"/>
    </row>
    <row r="2" spans="1:43" ht="15" customHeight="1" x14ac:dyDescent="0.25">
      <c r="B2" s="136"/>
      <c r="C2" s="136"/>
      <c r="D2" s="136"/>
      <c r="E2" s="136"/>
      <c r="F2" s="136"/>
      <c r="G2" s="136"/>
    </row>
    <row r="3" spans="1:43" s="63" customFormat="1" ht="27" customHeight="1" x14ac:dyDescent="0.3">
      <c r="A3" s="61"/>
      <c r="B3" s="137" t="s">
        <v>0</v>
      </c>
      <c r="C3" s="137" t="s">
        <v>22</v>
      </c>
      <c r="D3" s="138" t="s">
        <v>21</v>
      </c>
      <c r="E3" s="75" t="s">
        <v>30</v>
      </c>
      <c r="F3" s="62" t="s">
        <v>32</v>
      </c>
      <c r="G3" s="76" t="s">
        <v>18</v>
      </c>
      <c r="H3" s="61"/>
      <c r="I3" s="61"/>
      <c r="J3" s="61"/>
      <c r="K3" s="61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1"/>
      <c r="AP3" s="61"/>
      <c r="AQ3" s="61"/>
    </row>
    <row r="4" spans="1:43" s="63" customFormat="1" ht="27" customHeight="1" x14ac:dyDescent="0.3">
      <c r="A4" s="61"/>
      <c r="B4" s="137"/>
      <c r="C4" s="137"/>
      <c r="D4" s="139"/>
      <c r="E4" s="77" t="s">
        <v>31</v>
      </c>
      <c r="F4" s="62" t="s">
        <v>31</v>
      </c>
      <c r="G4" s="62" t="s">
        <v>31</v>
      </c>
      <c r="H4" s="61"/>
      <c r="I4" s="61"/>
      <c r="J4" s="61"/>
      <c r="K4" s="61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1"/>
      <c r="AP4" s="61"/>
      <c r="AQ4" s="61"/>
    </row>
    <row r="5" spans="1:43" ht="15.75" x14ac:dyDescent="0.25">
      <c r="B5" s="78">
        <v>1</v>
      </c>
      <c r="C5" s="78">
        <v>6</v>
      </c>
      <c r="D5" s="78">
        <v>2019</v>
      </c>
      <c r="E5" s="114">
        <v>60</v>
      </c>
      <c r="F5" s="108">
        <v>300</v>
      </c>
      <c r="G5" s="56">
        <f>E5+F5</f>
        <v>360</v>
      </c>
    </row>
    <row r="6" spans="1:43" ht="15.75" x14ac:dyDescent="0.25">
      <c r="B6" s="78">
        <v>2</v>
      </c>
      <c r="C6" s="78">
        <v>6</v>
      </c>
      <c r="D6" s="78">
        <f>D5</f>
        <v>2019</v>
      </c>
      <c r="E6" s="115">
        <v>38</v>
      </c>
      <c r="F6" s="108">
        <v>165</v>
      </c>
      <c r="G6" s="56">
        <f t="shared" ref="G6:G34" si="0">E6+F6</f>
        <v>203</v>
      </c>
    </row>
    <row r="7" spans="1:43" ht="15.75" x14ac:dyDescent="0.25">
      <c r="B7" s="78">
        <v>3</v>
      </c>
      <c r="C7" s="78">
        <v>6</v>
      </c>
      <c r="D7" s="78">
        <f t="shared" ref="D7:D34" si="1">D6</f>
        <v>2019</v>
      </c>
      <c r="E7" s="115">
        <v>40</v>
      </c>
      <c r="F7" s="108">
        <v>167</v>
      </c>
      <c r="G7" s="56">
        <f t="shared" si="0"/>
        <v>207</v>
      </c>
    </row>
    <row r="8" spans="1:43" ht="15.75" x14ac:dyDescent="0.25">
      <c r="B8" s="78">
        <v>4</v>
      </c>
      <c r="C8" s="78">
        <v>6</v>
      </c>
      <c r="D8" s="78">
        <f t="shared" si="1"/>
        <v>2019</v>
      </c>
      <c r="E8" s="115">
        <v>38</v>
      </c>
      <c r="F8" s="108">
        <v>165</v>
      </c>
      <c r="G8" s="56">
        <f t="shared" si="0"/>
        <v>203</v>
      </c>
    </row>
    <row r="9" spans="1:43" ht="15.75" x14ac:dyDescent="0.25">
      <c r="B9" s="78">
        <v>5</v>
      </c>
      <c r="C9" s="78">
        <v>6</v>
      </c>
      <c r="D9" s="78">
        <f t="shared" si="1"/>
        <v>2019</v>
      </c>
      <c r="E9" s="115">
        <v>38</v>
      </c>
      <c r="F9" s="109">
        <v>158</v>
      </c>
      <c r="G9" s="56">
        <f t="shared" si="0"/>
        <v>196</v>
      </c>
    </row>
    <row r="10" spans="1:43" ht="15.75" x14ac:dyDescent="0.25">
      <c r="B10" s="78">
        <v>6</v>
      </c>
      <c r="C10" s="78">
        <v>6</v>
      </c>
      <c r="D10" s="78">
        <f t="shared" si="1"/>
        <v>2019</v>
      </c>
      <c r="E10" s="115">
        <v>39</v>
      </c>
      <c r="F10" s="108">
        <v>162</v>
      </c>
      <c r="G10" s="56">
        <f t="shared" si="0"/>
        <v>201</v>
      </c>
    </row>
    <row r="11" spans="1:43" ht="15.75" x14ac:dyDescent="0.25">
      <c r="B11" s="78">
        <v>7</v>
      </c>
      <c r="C11" s="78">
        <v>6</v>
      </c>
      <c r="D11" s="78">
        <f t="shared" si="1"/>
        <v>2019</v>
      </c>
      <c r="E11" s="115">
        <v>41</v>
      </c>
      <c r="F11" s="108">
        <v>165</v>
      </c>
      <c r="G11" s="56">
        <f t="shared" si="0"/>
        <v>206</v>
      </c>
    </row>
    <row r="12" spans="1:43" ht="15.75" x14ac:dyDescent="0.25">
      <c r="B12" s="78">
        <v>8</v>
      </c>
      <c r="C12" s="78">
        <v>6</v>
      </c>
      <c r="D12" s="78">
        <f t="shared" si="1"/>
        <v>2019</v>
      </c>
      <c r="E12" s="115">
        <v>37</v>
      </c>
      <c r="F12" s="108">
        <v>152</v>
      </c>
      <c r="G12" s="56">
        <f t="shared" si="0"/>
        <v>189</v>
      </c>
    </row>
    <row r="13" spans="1:43" ht="15.75" x14ac:dyDescent="0.25">
      <c r="B13" s="78">
        <v>9</v>
      </c>
      <c r="C13" s="78">
        <v>6</v>
      </c>
      <c r="D13" s="78">
        <f t="shared" si="1"/>
        <v>2019</v>
      </c>
      <c r="E13" s="115">
        <v>39</v>
      </c>
      <c r="F13" s="108">
        <v>157</v>
      </c>
      <c r="G13" s="56">
        <f t="shared" si="0"/>
        <v>196</v>
      </c>
    </row>
    <row r="14" spans="1:43" ht="15.75" x14ac:dyDescent="0.25">
      <c r="B14" s="78">
        <v>10</v>
      </c>
      <c r="C14" s="78">
        <v>6</v>
      </c>
      <c r="D14" s="78">
        <f t="shared" si="1"/>
        <v>2019</v>
      </c>
      <c r="E14" s="115">
        <v>41</v>
      </c>
      <c r="F14" s="108">
        <v>165</v>
      </c>
      <c r="G14" s="56">
        <f t="shared" si="0"/>
        <v>206</v>
      </c>
    </row>
    <row r="15" spans="1:43" ht="15.75" x14ac:dyDescent="0.25">
      <c r="B15" s="78">
        <v>11</v>
      </c>
      <c r="C15" s="78">
        <v>6</v>
      </c>
      <c r="D15" s="78">
        <f t="shared" si="1"/>
        <v>2019</v>
      </c>
      <c r="E15" s="115">
        <v>44</v>
      </c>
      <c r="F15" s="109">
        <v>178</v>
      </c>
      <c r="G15" s="56">
        <f t="shared" si="0"/>
        <v>222</v>
      </c>
    </row>
    <row r="16" spans="1:43" ht="15.75" x14ac:dyDescent="0.25">
      <c r="B16" s="78">
        <v>12</v>
      </c>
      <c r="C16" s="78">
        <v>6</v>
      </c>
      <c r="D16" s="78">
        <f t="shared" si="1"/>
        <v>2019</v>
      </c>
      <c r="E16" s="115">
        <v>43</v>
      </c>
      <c r="F16" s="109">
        <v>173</v>
      </c>
      <c r="G16" s="56">
        <f t="shared" si="0"/>
        <v>216</v>
      </c>
    </row>
    <row r="17" spans="2:7" ht="15.75" x14ac:dyDescent="0.25">
      <c r="B17" s="78">
        <v>13</v>
      </c>
      <c r="C17" s="78">
        <v>6</v>
      </c>
      <c r="D17" s="78">
        <f t="shared" si="1"/>
        <v>2019</v>
      </c>
      <c r="E17" s="115">
        <v>50</v>
      </c>
      <c r="F17" s="109">
        <v>200</v>
      </c>
      <c r="G17" s="56">
        <f t="shared" si="0"/>
        <v>250</v>
      </c>
    </row>
    <row r="18" spans="2:7" ht="15.75" x14ac:dyDescent="0.25">
      <c r="B18" s="78">
        <v>14</v>
      </c>
      <c r="C18" s="78">
        <v>6</v>
      </c>
      <c r="D18" s="78">
        <f t="shared" si="1"/>
        <v>2019</v>
      </c>
      <c r="E18" s="115">
        <v>78</v>
      </c>
      <c r="F18" s="109">
        <v>312</v>
      </c>
      <c r="G18" s="56">
        <f t="shared" si="0"/>
        <v>390</v>
      </c>
    </row>
    <row r="19" spans="2:7" ht="15.75" x14ac:dyDescent="0.25">
      <c r="B19" s="78">
        <v>15</v>
      </c>
      <c r="C19" s="78">
        <v>6</v>
      </c>
      <c r="D19" s="78">
        <f t="shared" si="1"/>
        <v>2019</v>
      </c>
      <c r="E19" s="115">
        <v>42</v>
      </c>
      <c r="F19" s="108">
        <v>168</v>
      </c>
      <c r="G19" s="56">
        <f t="shared" si="0"/>
        <v>210</v>
      </c>
    </row>
    <row r="20" spans="2:7" ht="15.75" x14ac:dyDescent="0.25">
      <c r="B20" s="78">
        <v>16</v>
      </c>
      <c r="C20" s="78">
        <v>6</v>
      </c>
      <c r="D20" s="78">
        <f t="shared" si="1"/>
        <v>2019</v>
      </c>
      <c r="E20" s="115">
        <v>45</v>
      </c>
      <c r="F20" s="108">
        <v>179</v>
      </c>
      <c r="G20" s="56">
        <f t="shared" si="0"/>
        <v>224</v>
      </c>
    </row>
    <row r="21" spans="2:7" ht="15.75" x14ac:dyDescent="0.25">
      <c r="B21" s="78">
        <v>17</v>
      </c>
      <c r="C21" s="78">
        <v>6</v>
      </c>
      <c r="D21" s="78">
        <f t="shared" si="1"/>
        <v>2019</v>
      </c>
      <c r="E21" s="115">
        <v>45</v>
      </c>
      <c r="F21" s="108">
        <v>177</v>
      </c>
      <c r="G21" s="56">
        <f t="shared" si="0"/>
        <v>222</v>
      </c>
    </row>
    <row r="22" spans="2:7" ht="15.75" x14ac:dyDescent="0.25">
      <c r="B22" s="78">
        <v>18</v>
      </c>
      <c r="C22" s="78">
        <v>6</v>
      </c>
      <c r="D22" s="78">
        <f t="shared" si="1"/>
        <v>2019</v>
      </c>
      <c r="E22" s="115">
        <v>62</v>
      </c>
      <c r="F22" s="108">
        <v>246</v>
      </c>
      <c r="G22" s="56">
        <f t="shared" si="0"/>
        <v>308</v>
      </c>
    </row>
    <row r="23" spans="2:7" ht="15.75" x14ac:dyDescent="0.25">
      <c r="B23" s="78">
        <v>19</v>
      </c>
      <c r="C23" s="78">
        <v>6</v>
      </c>
      <c r="D23" s="78">
        <f t="shared" si="1"/>
        <v>2019</v>
      </c>
      <c r="E23" s="115">
        <v>78</v>
      </c>
      <c r="F23" s="109">
        <v>311</v>
      </c>
      <c r="G23" s="56">
        <f t="shared" si="0"/>
        <v>389</v>
      </c>
    </row>
    <row r="24" spans="2:7" ht="15.75" x14ac:dyDescent="0.25">
      <c r="B24" s="78">
        <v>20</v>
      </c>
      <c r="C24" s="78">
        <v>6</v>
      </c>
      <c r="D24" s="78">
        <f t="shared" si="1"/>
        <v>2019</v>
      </c>
      <c r="E24" s="115">
        <v>38</v>
      </c>
      <c r="F24" s="108">
        <v>182</v>
      </c>
      <c r="G24" s="56">
        <f t="shared" si="0"/>
        <v>220</v>
      </c>
    </row>
    <row r="25" spans="2:7" ht="15.75" x14ac:dyDescent="0.25">
      <c r="B25" s="78">
        <v>21</v>
      </c>
      <c r="C25" s="78">
        <v>6</v>
      </c>
      <c r="D25" s="78">
        <f t="shared" si="1"/>
        <v>2019</v>
      </c>
      <c r="E25" s="115">
        <v>56</v>
      </c>
      <c r="F25" s="108">
        <v>185</v>
      </c>
      <c r="G25" s="56">
        <f t="shared" si="0"/>
        <v>241</v>
      </c>
    </row>
    <row r="26" spans="2:7" ht="15.75" x14ac:dyDescent="0.25">
      <c r="B26" s="78">
        <v>22</v>
      </c>
      <c r="C26" s="78">
        <v>6</v>
      </c>
      <c r="D26" s="78">
        <f t="shared" si="1"/>
        <v>2019</v>
      </c>
      <c r="E26" s="115">
        <v>96</v>
      </c>
      <c r="F26" s="108">
        <v>378</v>
      </c>
      <c r="G26" s="56">
        <f t="shared" si="0"/>
        <v>474</v>
      </c>
    </row>
    <row r="27" spans="2:7" ht="15.75" x14ac:dyDescent="0.25">
      <c r="B27" s="78">
        <v>23</v>
      </c>
      <c r="C27" s="78">
        <v>6</v>
      </c>
      <c r="D27" s="78">
        <f t="shared" si="1"/>
        <v>2019</v>
      </c>
      <c r="E27" s="115">
        <v>44</v>
      </c>
      <c r="F27" s="108">
        <v>177</v>
      </c>
      <c r="G27" s="56">
        <f t="shared" si="0"/>
        <v>221</v>
      </c>
    </row>
    <row r="28" spans="2:7" ht="15.75" x14ac:dyDescent="0.25">
      <c r="B28" s="78">
        <v>24</v>
      </c>
      <c r="C28" s="78">
        <v>6</v>
      </c>
      <c r="D28" s="78">
        <f t="shared" si="1"/>
        <v>2019</v>
      </c>
      <c r="E28" s="115">
        <v>45</v>
      </c>
      <c r="F28" s="108">
        <v>177</v>
      </c>
      <c r="G28" s="56">
        <f t="shared" si="0"/>
        <v>222</v>
      </c>
    </row>
    <row r="29" spans="2:7" ht="15.75" x14ac:dyDescent="0.25">
      <c r="B29" s="78">
        <v>25</v>
      </c>
      <c r="C29" s="78">
        <v>6</v>
      </c>
      <c r="D29" s="78">
        <f t="shared" si="1"/>
        <v>2019</v>
      </c>
      <c r="E29" s="115">
        <v>49</v>
      </c>
      <c r="F29" s="108">
        <v>194</v>
      </c>
      <c r="G29" s="56">
        <f t="shared" si="0"/>
        <v>243</v>
      </c>
    </row>
    <row r="30" spans="2:7" ht="15.75" x14ac:dyDescent="0.25">
      <c r="B30" s="78">
        <v>26</v>
      </c>
      <c r="C30" s="78">
        <v>6</v>
      </c>
      <c r="D30" s="78">
        <f t="shared" si="1"/>
        <v>2019</v>
      </c>
      <c r="E30" s="115">
        <v>82</v>
      </c>
      <c r="F30" s="109">
        <v>320</v>
      </c>
      <c r="G30" s="56">
        <f t="shared" si="0"/>
        <v>402</v>
      </c>
    </row>
    <row r="31" spans="2:7" ht="15.75" x14ac:dyDescent="0.25">
      <c r="B31" s="78">
        <v>27</v>
      </c>
      <c r="C31" s="78">
        <v>6</v>
      </c>
      <c r="D31" s="78">
        <f t="shared" si="1"/>
        <v>2019</v>
      </c>
      <c r="E31" s="115">
        <v>66</v>
      </c>
      <c r="F31" s="108">
        <v>258</v>
      </c>
      <c r="G31" s="56">
        <f t="shared" si="0"/>
        <v>324</v>
      </c>
    </row>
    <row r="32" spans="2:7" ht="15.75" x14ac:dyDescent="0.25">
      <c r="B32" s="78">
        <v>28</v>
      </c>
      <c r="C32" s="78">
        <v>6</v>
      </c>
      <c r="D32" s="78">
        <f t="shared" si="1"/>
        <v>2019</v>
      </c>
      <c r="E32" s="115">
        <v>49</v>
      </c>
      <c r="F32" s="108">
        <v>189</v>
      </c>
      <c r="G32" s="56">
        <f t="shared" si="0"/>
        <v>238</v>
      </c>
    </row>
    <row r="33" spans="2:9" ht="15.75" x14ac:dyDescent="0.25">
      <c r="B33" s="78">
        <v>29</v>
      </c>
      <c r="C33" s="78">
        <v>6</v>
      </c>
      <c r="D33" s="78">
        <f t="shared" si="1"/>
        <v>2019</v>
      </c>
      <c r="E33" s="115">
        <v>60</v>
      </c>
      <c r="F33" s="108">
        <v>239</v>
      </c>
      <c r="G33" s="56">
        <f t="shared" si="0"/>
        <v>299</v>
      </c>
    </row>
    <row r="34" spans="2:9" ht="15.75" x14ac:dyDescent="0.25">
      <c r="B34" s="78">
        <v>30</v>
      </c>
      <c r="C34" s="78">
        <v>6</v>
      </c>
      <c r="D34" s="78">
        <f t="shared" si="1"/>
        <v>2019</v>
      </c>
      <c r="E34" s="115">
        <v>52</v>
      </c>
      <c r="F34" s="108">
        <v>197</v>
      </c>
      <c r="G34" s="56">
        <f t="shared" si="0"/>
        <v>249</v>
      </c>
    </row>
    <row r="35" spans="2:9" ht="21" x14ac:dyDescent="0.35">
      <c r="B35" s="64"/>
      <c r="C35" s="64"/>
      <c r="D35" s="64"/>
      <c r="E35" s="14">
        <f>SUM(E5:E34)</f>
        <v>1535</v>
      </c>
      <c r="F35" s="14">
        <f>SUM(F5:F34)</f>
        <v>6196</v>
      </c>
      <c r="G35" s="14">
        <f>SUM(G5:G34)</f>
        <v>7731</v>
      </c>
    </row>
    <row r="36" spans="2:9" x14ac:dyDescent="0.25">
      <c r="I36" s="66"/>
    </row>
    <row r="37" spans="2:9" x14ac:dyDescent="0.25">
      <c r="I37" s="66"/>
    </row>
    <row r="38" spans="2:9" ht="15.75" thickBot="1" x14ac:dyDescent="0.3"/>
    <row r="39" spans="2:9" ht="21.75" thickBot="1" x14ac:dyDescent="0.4">
      <c r="C39" s="70"/>
      <c r="D39" s="70"/>
      <c r="F39" s="70"/>
      <c r="G39" s="67">
        <f>E35+F35</f>
        <v>7731</v>
      </c>
      <c r="H39" s="68"/>
    </row>
    <row r="40" spans="2:9" ht="15.75" x14ac:dyDescent="0.25">
      <c r="B40" s="70"/>
      <c r="C40" s="70"/>
      <c r="D40" s="70"/>
      <c r="E40" s="70"/>
      <c r="F40" s="70"/>
      <c r="G40" s="69"/>
      <c r="H40" s="68"/>
    </row>
    <row r="41" spans="2:9" ht="15.75" x14ac:dyDescent="0.25">
      <c r="B41" s="70"/>
      <c r="C41" s="70"/>
      <c r="D41" s="70"/>
      <c r="E41" s="70"/>
      <c r="F41" s="70"/>
      <c r="G41" s="69"/>
      <c r="H41" s="68"/>
    </row>
    <row r="42" spans="2:9" ht="15.75" x14ac:dyDescent="0.25">
      <c r="B42" s="70" t="s">
        <v>4</v>
      </c>
      <c r="C42" s="70"/>
      <c r="D42" s="70"/>
      <c r="F42" s="79" t="s">
        <v>19</v>
      </c>
      <c r="G42" s="71">
        <v>12550</v>
      </c>
      <c r="H42" s="72"/>
    </row>
    <row r="43" spans="2:9" x14ac:dyDescent="0.25">
      <c r="G43" s="69"/>
    </row>
    <row r="44" spans="2:9" ht="15.75" thickBot="1" x14ac:dyDescent="0.3">
      <c r="G44" s="69"/>
    </row>
    <row r="45" spans="2:9" ht="27" thickBot="1" x14ac:dyDescent="0.3">
      <c r="F45" s="70" t="s">
        <v>5</v>
      </c>
      <c r="G45" s="74">
        <f>G39*G42</f>
        <v>97024050</v>
      </c>
    </row>
  </sheetData>
  <mergeCells count="4">
    <mergeCell ref="B1:G2"/>
    <mergeCell ref="B3:B4"/>
    <mergeCell ref="D3:D4"/>
    <mergeCell ref="C3:C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TOTAL</vt:lpstr>
      <vt:lpstr>Electricity</vt:lpstr>
      <vt:lpstr>Water</vt:lpstr>
      <vt:lpstr>Electricity!Print_Area</vt:lpstr>
      <vt:lpstr>Water!Print_Area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Andhini Paramitha</dc:creator>
  <cp:lastModifiedBy>Heru Nugroho</cp:lastModifiedBy>
  <cp:lastPrinted>2020-01-30T09:39:19Z</cp:lastPrinted>
  <dcterms:created xsi:type="dcterms:W3CDTF">2017-12-04T02:44:15Z</dcterms:created>
  <dcterms:modified xsi:type="dcterms:W3CDTF">2023-03-10T09:00:20Z</dcterms:modified>
</cp:coreProperties>
</file>