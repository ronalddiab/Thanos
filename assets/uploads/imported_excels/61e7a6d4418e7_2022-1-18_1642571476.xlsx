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HLP Report\HLP 2022\"/>
    </mc:Choice>
  </mc:AlternateContent>
  <xr:revisionPtr revIDLastSave="0" documentId="13_ncr:1_{4D684F45-9394-4954-8E18-E07BE91D363F}" xr6:coauthVersionLast="47" xr6:coauthVersionMax="47" xr10:uidLastSave="{00000000-0000-0000-0000-000000000000}"/>
  <bookViews>
    <workbookView xWindow="30" yWindow="30" windowWidth="20460" windowHeight="10890" tabRatio="915" firstSheet="1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50" i="10"/>
  <c r="F148" i="33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F8" i="40"/>
  <c r="F8" i="27"/>
  <c r="F7" i="28"/>
  <c r="E156" i="31"/>
  <c r="G156" i="31" s="1"/>
  <c r="E157" i="31"/>
  <c r="G157" i="31" s="1"/>
  <c r="H157" i="31" s="1"/>
  <c r="E158" i="31"/>
  <c r="G158" i="31" s="1"/>
  <c r="H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F156" i="30" l="1"/>
  <c r="E157" i="30"/>
  <c r="G157" i="30" s="1"/>
  <c r="E158" i="30"/>
  <c r="G158" i="30" s="1"/>
  <c r="G157" i="29"/>
  <c r="E158" i="29"/>
  <c r="G158" i="29" s="1"/>
  <c r="G157" i="24"/>
  <c r="H157" i="24" s="1"/>
  <c r="G158" i="24"/>
  <c r="H158" i="24" s="1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E156" i="25"/>
  <c r="G156" i="25" s="1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25" l="1"/>
  <c r="H158" i="40" s="1"/>
  <c r="H158" i="27" s="1"/>
  <c r="H158" i="28" s="1"/>
  <c r="H157" i="25"/>
  <c r="H157" i="40" s="1"/>
  <c r="H157" i="27" s="1"/>
  <c r="H157" i="28" s="1"/>
  <c r="H158" i="22"/>
  <c r="J158" i="22" s="1"/>
  <c r="H157" i="22"/>
  <c r="J157" i="22" s="1"/>
  <c r="G158" i="16"/>
  <c r="H158" i="16" s="1"/>
  <c r="J158" i="16" s="1"/>
  <c r="G157" i="16"/>
  <c r="H157" i="16" s="1"/>
  <c r="J157" i="16" s="1"/>
  <c r="G15" i="15"/>
  <c r="H157" i="17" l="1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17" l="1"/>
  <c r="H158" i="18"/>
  <c r="J157" i="17"/>
  <c r="H157" i="18"/>
  <c r="E50" i="11"/>
  <c r="E51" i="11"/>
  <c r="E52" i="11"/>
  <c r="E53" i="11"/>
  <c r="E54" i="11"/>
  <c r="E55" i="11"/>
  <c r="E56" i="11"/>
  <c r="E57" i="11"/>
  <c r="E58" i="11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18" l="1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E156" i="40"/>
  <c r="G156" i="40" s="1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G159" i="17" s="1"/>
  <c r="H159" i="17" s="1"/>
  <c r="J159" i="17" s="1"/>
  <c r="E156" i="16"/>
  <c r="G156" i="16" s="1"/>
  <c r="E155" i="16"/>
  <c r="G155" i="16" s="1"/>
  <c r="G159" i="16" s="1"/>
  <c r="E156" i="15"/>
  <c r="G156" i="15" s="1"/>
  <c r="E155" i="15"/>
  <c r="G155" i="15" s="1"/>
  <c r="G159" i="15" s="1"/>
  <c r="G156" i="14"/>
  <c r="G155" i="14"/>
  <c r="G159" i="14" s="1"/>
  <c r="E156" i="13"/>
  <c r="G156" i="13" s="1"/>
  <c r="E155" i="13"/>
  <c r="G155" i="13" s="1"/>
  <c r="G159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3" i="10"/>
  <c r="E52" i="10"/>
  <c r="E51" i="10"/>
  <c r="E46" i="10"/>
  <c r="E45" i="10"/>
  <c r="E44" i="10"/>
  <c r="E43" i="10"/>
  <c r="E42" i="10"/>
  <c r="E41" i="10"/>
  <c r="E40" i="10"/>
  <c r="E36" i="10"/>
  <c r="E24" i="10"/>
  <c r="E23" i="10"/>
  <c r="E22" i="10"/>
  <c r="E12" i="10"/>
  <c r="E11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F18" i="20" s="1"/>
  <c r="E18" i="21" s="1"/>
  <c r="F18" i="21" s="1"/>
  <c r="E18" i="22" s="1"/>
  <c r="F18" i="22" s="1"/>
  <c r="E18" i="23" s="1"/>
  <c r="F18" i="23" s="1"/>
  <c r="E18" i="24" s="1"/>
  <c r="F18" i="24" s="1"/>
  <c r="E18" i="25" s="1"/>
  <c r="F18" i="25" s="1"/>
  <c r="E18" i="40" s="1"/>
  <c r="F18" i="40" s="1"/>
  <c r="E18" i="27" s="1"/>
  <c r="F18" i="27" s="1"/>
  <c r="E18" i="28" s="1"/>
  <c r="F18" i="28" s="1"/>
  <c r="E18" i="29" s="1"/>
  <c r="F18" i="29" s="1"/>
  <c r="E18" i="30" s="1"/>
  <c r="F18" i="30" s="1"/>
  <c r="E18" i="43" s="1"/>
  <c r="F18" i="43" s="1"/>
  <c r="E18" i="31" s="1"/>
  <c r="F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E24" i="19"/>
  <c r="G24" i="19"/>
  <c r="E29" i="19" s="1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7" l="1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G188" i="29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Z28" i="44" s="1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Z24" i="44" s="1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Z20" i="44" s="1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Z15" i="44" s="1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Z14" i="44" s="1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Z12" i="44" s="1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60" i="19" s="1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AZ23" i="44" l="1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AZ5" i="44" s="1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H59" i="2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G18" i="50"/>
  <c r="E18" i="50"/>
  <c r="G15" i="50"/>
  <c r="K9" i="50"/>
  <c r="G9" i="50"/>
  <c r="M8" i="50"/>
  <c r="H19" i="7" l="1"/>
  <c r="AZ11" i="44"/>
  <c r="E28" i="8"/>
  <c r="G28" i="8" s="1"/>
  <c r="H15" i="8"/>
  <c r="H47" i="2"/>
  <c r="G60" i="2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H60" i="2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G71" i="50"/>
  <c r="G121" i="50"/>
  <c r="I88" i="50"/>
  <c r="G119" i="50"/>
  <c r="G123" i="50"/>
  <c r="G59" i="50"/>
  <c r="G64" i="50"/>
  <c r="E28" i="50"/>
  <c r="G28" i="50" s="1"/>
  <c r="I90" i="50"/>
  <c r="G47" i="50"/>
  <c r="H15" i="9" l="1"/>
  <c r="E10" i="19"/>
  <c r="E10" i="20" s="1"/>
  <c r="G15" i="19"/>
  <c r="H20" i="7"/>
  <c r="G19" i="8"/>
  <c r="F15" i="20"/>
  <c r="E15" i="21" s="1"/>
  <c r="F15" i="21" s="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G10" i="19" l="1"/>
  <c r="H10" i="19" s="1"/>
  <c r="G79" i="19"/>
  <c r="G80" i="19" s="1"/>
  <c r="H80" i="19" s="1"/>
  <c r="E28" i="19"/>
  <c r="G28" i="19" s="1"/>
  <c r="E19" i="9"/>
  <c r="G19" i="9" s="1"/>
  <c r="E8" i="10"/>
  <c r="G8" i="10" s="1"/>
  <c r="E27" i="10" s="1"/>
  <c r="G27" i="10" s="1"/>
  <c r="G187" i="8"/>
  <c r="E30" i="8"/>
  <c r="G30" i="8" s="1"/>
  <c r="G20" i="8"/>
  <c r="H20" i="8" s="1"/>
  <c r="H19" i="8"/>
  <c r="G15" i="10"/>
  <c r="E15" i="22"/>
  <c r="F15" i="22" s="1"/>
  <c r="G15" i="21"/>
  <c r="G15" i="20"/>
  <c r="H79" i="9"/>
  <c r="F10" i="20"/>
  <c r="G10" i="20" s="1"/>
  <c r="G95" i="9"/>
  <c r="H95" i="9" s="1"/>
  <c r="G97" i="9"/>
  <c r="H97" i="9" s="1"/>
  <c r="G105" i="9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05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30" i="9" s="1"/>
  <c r="H19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7" i="11" l="1"/>
  <c r="G7" i="11" s="1"/>
  <c r="H7" i="11" s="1"/>
  <c r="H32" i="9"/>
  <c r="G19" i="10"/>
  <c r="H19" i="10" s="1"/>
  <c r="E15" i="24"/>
  <c r="F15" i="24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F10" i="21"/>
  <c r="G10" i="21" s="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F15" i="25" s="1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79" i="12" s="1"/>
  <c r="H27" i="11"/>
  <c r="E9" i="13"/>
  <c r="G9" i="12"/>
  <c r="H9" i="12" s="1"/>
  <c r="F10" i="22"/>
  <c r="G10" i="22" s="1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8" i="12" l="1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F10" i="23"/>
  <c r="G10" i="23" s="1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F10" i="24" s="1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F15" i="29" s="1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F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G15" i="30"/>
  <c r="H135" i="43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F10" i="25"/>
  <c r="G10" i="25" s="1"/>
  <c r="H10" i="25" s="1"/>
  <c r="E8" i="17"/>
  <c r="G8" i="16"/>
  <c r="E27" i="16" s="1"/>
  <c r="G27" i="16" s="1"/>
  <c r="G79" i="30"/>
  <c r="G80" i="30" s="1"/>
  <c r="E28" i="30"/>
  <c r="G28" i="30" s="1"/>
  <c r="E15" i="43"/>
  <c r="F15" i="43" s="1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E10" i="40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F10" i="40"/>
  <c r="G10" i="40" s="1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F15" i="31"/>
  <c r="G15" i="31" s="1"/>
  <c r="E8" i="20"/>
  <c r="F8" i="20" s="1"/>
  <c r="G8" i="19"/>
  <c r="E27" i="19" s="1"/>
  <c r="G27" i="19" s="1"/>
  <c r="H9" i="19"/>
  <c r="E9" i="20"/>
  <c r="F9" i="20" s="1"/>
  <c r="E7" i="20"/>
  <c r="F7" i="20" s="1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E10" i="27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F9" i="21" s="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F10" i="27"/>
  <c r="G10" i="27" s="1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F10" i="28" s="1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F8" i="21"/>
  <c r="E8" i="22" s="1"/>
  <c r="F8" i="22" s="1"/>
  <c r="G7" i="21"/>
  <c r="E7" i="22"/>
  <c r="F7" i="22" s="1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F8" i="28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F9" i="22"/>
  <c r="E9" i="23" s="1"/>
  <c r="F9" i="23" s="1"/>
  <c r="G7" i="22"/>
  <c r="E7" i="23"/>
  <c r="F7" i="23" s="1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F8" i="23" s="1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F8" i="29"/>
  <c r="G8" i="29" s="1"/>
  <c r="G9" i="23"/>
  <c r="E9" i="24"/>
  <c r="F9" i="24" s="1"/>
  <c r="F10" i="29"/>
  <c r="G10" i="29" s="1"/>
  <c r="H10" i="29" s="1"/>
  <c r="G8" i="23"/>
  <c r="E27" i="23" s="1"/>
  <c r="G27" i="23" s="1"/>
  <c r="E8" i="24"/>
  <c r="F8" i="24" s="1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F9" i="25" s="1"/>
  <c r="G8" i="24"/>
  <c r="E27" i="24" s="1"/>
  <c r="G27" i="24" s="1"/>
  <c r="E8" i="25"/>
  <c r="F8" i="25" s="1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E9" i="40"/>
  <c r="F9" i="40" s="1"/>
  <c r="G7" i="25"/>
  <c r="E7" i="40"/>
  <c r="F7" i="40" s="1"/>
  <c r="F10" i="30"/>
  <c r="G10" i="30" s="1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F8" i="30"/>
  <c r="G8" i="30" s="1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F8" i="43" s="1"/>
  <c r="E8" i="31" s="1"/>
  <c r="F8" i="31" s="1"/>
  <c r="E19" i="20"/>
  <c r="F19" i="20" s="1"/>
  <c r="G19" i="19"/>
  <c r="H30" i="18"/>
  <c r="E10" i="43"/>
  <c r="G7" i="40"/>
  <c r="E7" i="27"/>
  <c r="F7" i="27" s="1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E9" i="27"/>
  <c r="F9" i="27" s="1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F9" i="28" s="1"/>
  <c r="G95" i="27"/>
  <c r="I59" i="27"/>
  <c r="G97" i="27"/>
  <c r="G101" i="27"/>
  <c r="G105" i="27"/>
  <c r="G103" i="27"/>
  <c r="G99" i="27"/>
  <c r="F7" i="29"/>
  <c r="O10" i="29" s="1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F10" i="43"/>
  <c r="G8" i="43"/>
  <c r="E27" i="43" s="1"/>
  <c r="G27" i="43" s="1"/>
  <c r="E8" i="50"/>
  <c r="G8" i="50" s="1"/>
  <c r="E27" i="50" s="1"/>
  <c r="G27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32" i="20" s="1"/>
  <c r="H32" i="20" s="1"/>
  <c r="F19" i="21"/>
  <c r="G19" i="21" s="1"/>
  <c r="G7" i="29"/>
  <c r="I59" i="29" s="1"/>
  <c r="H95" i="27"/>
  <c r="H95" i="28" s="1"/>
  <c r="H103" i="27"/>
  <c r="H103" i="28" s="1"/>
  <c r="E9" i="29"/>
  <c r="F9" i="29" s="1"/>
  <c r="G9" i="28"/>
  <c r="G10" i="43"/>
  <c r="H10" i="43" s="1"/>
  <c r="E10" i="50"/>
  <c r="G10" i="50" s="1"/>
  <c r="E10" i="31"/>
  <c r="F10" i="31" s="1"/>
  <c r="G10" i="31" s="1"/>
  <c r="H101" i="27"/>
  <c r="H101" i="28" s="1"/>
  <c r="H97" i="27"/>
  <c r="H97" i="28" s="1"/>
  <c r="H27" i="43"/>
  <c r="H27" i="31" s="1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9" i="28" l="1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F19" i="22" s="1"/>
  <c r="G19" i="22" s="1"/>
  <c r="H30" i="20"/>
  <c r="G187" i="21"/>
  <c r="H187" i="21" s="1"/>
  <c r="J187" i="21" s="1"/>
  <c r="E30" i="21"/>
  <c r="G30" i="21" s="1"/>
  <c r="G32" i="21" s="1"/>
  <c r="H32" i="21" s="1"/>
  <c r="G20" i="21"/>
  <c r="H20" i="21" s="1"/>
  <c r="H19" i="21"/>
  <c r="H10" i="31"/>
  <c r="G9" i="29"/>
  <c r="E9" i="30"/>
  <c r="F9" i="30" s="1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9" i="29" l="1"/>
  <c r="H9" i="30" s="1"/>
  <c r="E19" i="23"/>
  <c r="F19" i="23" s="1"/>
  <c r="G19" i="23" s="1"/>
  <c r="H19" i="22"/>
  <c r="E9" i="43"/>
  <c r="F9" i="43" s="1"/>
  <c r="G9" i="43" s="1"/>
  <c r="H30" i="21"/>
  <c r="E30" i="22"/>
  <c r="G30" i="22" s="1"/>
  <c r="G32" i="22" s="1"/>
  <c r="H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9" i="43" l="1"/>
  <c r="E19" i="24"/>
  <c r="H30" i="22"/>
  <c r="G20" i="23"/>
  <c r="H20" i="23" s="1"/>
  <c r="G187" i="23"/>
  <c r="H187" i="23" s="1"/>
  <c r="J187" i="23" s="1"/>
  <c r="E30" i="23"/>
  <c r="G30" i="23" s="1"/>
  <c r="G32" i="23" s="1"/>
  <c r="H32" i="23" s="1"/>
  <c r="H19" i="23"/>
  <c r="E9" i="31"/>
  <c r="F9" i="31" s="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9" i="31" l="1"/>
  <c r="H30" i="23"/>
  <c r="F19" i="24"/>
  <c r="G19" i="24" s="1"/>
  <c r="AB25" i="49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F19" i="25" s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F19" i="40" l="1"/>
  <c r="G19" i="40" s="1"/>
  <c r="H30" i="25"/>
  <c r="AD36" i="44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F19" i="27"/>
  <c r="G19" i="27" s="1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F19" i="28" l="1"/>
  <c r="G19" i="28" s="1"/>
  <c r="G32" i="27"/>
  <c r="H32" i="27" s="1"/>
  <c r="H30" i="27"/>
  <c r="N34" i="1"/>
  <c r="G32" i="47"/>
  <c r="AT35" i="44"/>
  <c r="AT32" i="49"/>
  <c r="BB32" i="49"/>
  <c r="AS32" i="49"/>
  <c r="BA32" i="49"/>
  <c r="E19" i="29" l="1"/>
  <c r="F19" i="29" s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F19" i="30" s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F19" i="43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19" i="50"/>
  <c r="G19" i="50" s="1"/>
  <c r="E19" i="31"/>
  <c r="F19" i="31" s="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0" i="50"/>
  <c r="E30" i="50"/>
  <c r="G30" i="50" s="1"/>
  <c r="G32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0" i="50"/>
  <c r="J130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6" i="44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28"/>
  <c r="G13" i="9"/>
  <c r="G13" i="21"/>
  <c r="G13" i="27"/>
  <c r="G13" i="33"/>
  <c r="H13" i="33" s="1"/>
  <c r="H11" i="19" l="1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H10" i="50"/>
  <c r="J10" i="50" s="1"/>
  <c r="J10" i="43"/>
  <c r="J9" i="31"/>
  <c r="H9" i="50"/>
  <c r="J9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1" i="21" l="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3" i="50"/>
  <c r="J13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J11" i="30"/>
  <c r="J8" i="24"/>
  <c r="H8" i="25"/>
  <c r="H11" i="31" l="1"/>
  <c r="J11" i="31" s="1"/>
  <c r="H11" i="50"/>
  <c r="J11" i="50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<sst xmlns="http://schemas.openxmlformats.org/spreadsheetml/2006/main" count="10762" uniqueCount="372">
  <si>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</si>
  <si>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</si>
  <si>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</si>
  <si>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</si>
  <si>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</si>
  <si>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</si>
  <si>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</si>
  <si>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</si>
  <si>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</si>
  <si>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</si>
  <si>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</si>
  <si>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</si>
  <si>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</si>
  <si>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</si>
  <si>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</si>
  <si>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</si>
  <si>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</si>
  <si>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</si>
  <si>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</si>
  <si>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</si>
  <si>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</si>
  <si>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</si>
  <si>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</si>
  <si>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</si>
  <si>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</si>
  <si>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</si>
  <si>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</si>
  <si>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</si>
  <si>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</si>
  <si>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</si>
  <si>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</si>
  <si>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</si>
  <si>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</si>
  <si>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</si>
  <si>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</si>
  <si>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</si>
  <si>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</si>
  <si>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</si>
  <si>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</si>
  <si>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</si>
  <si>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</si>
  <si>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</si>
  <si>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</si>
  <si>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</si>
  <si>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</si>
  <si>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</si>
  <si>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</si>
  <si>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</si>
  <si>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</si>
  <si>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</si>
  <si>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</si>
  <si>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</si>
  <si>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</si>
  <si>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</si>
  <si>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</si>
  <si>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</si>
  <si>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</si>
  <si>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</si>
  <si>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</si>
  <si>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</si>
  <si>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</si>
  <si>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</si>
  <si>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</si>
  <si>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</si>
  <si>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</si>
  <si>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</si>
  <si>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</si>
  <si>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</si>
  <si>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</si>
  <si>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</si>
  <si>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</si>
  <si>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</si>
  <si>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</si>
  <si>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</si>
  <si>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</si>
  <si>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</si>
  <si>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</si>
  <si>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</si>
  <si>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</si>
  <si>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</si>
  <si>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</si>
  <si>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</si>
  <si>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</si>
  <si>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</si>
  <si>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</si>
  <si>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</si>
  <si>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</si>
  <si>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</si>
  <si>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</si>
  <si>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</si>
  <si>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</si>
  <si>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</si>
  <si>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</si>
  <si>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</si>
  <si>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</si>
  <si>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</si>
  <si>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</si>
  <si>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</si>
  <si>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</si>
  <si>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</si>
  <si>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</si>
  <si>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</si>
  <si>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</si>
  <si>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</si>
  <si>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</si>
  <si>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</si>
  <si>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</si>
  <si>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</si>
  <si>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</si>
  <si>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</si>
  <si>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</si>
  <si>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</si>
  <si>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</si>
  <si>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</si>
  <si>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</si>
  <si>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</si>
  <si>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</si>
  <si>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</si>
  <si>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</si>
  <si>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</si>
  <si>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</si>
  <si>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</si>
  <si>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</si>
  <si>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</si>
  <si>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</si>
  <si>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</si>
  <si>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</si>
  <si>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</si>
  <si>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</si>
  <si>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</si>
  <si>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</si>
  <si>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</si>
  <si>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</si>
  <si>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</si>
  <si>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</si>
  <si>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</si>
  <si>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</si>
  <si>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</si>
  <si>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</si>
  <si>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</si>
  <si>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</si>
  <si>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</si>
  <si>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</si>
  <si>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</si>
  <si>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</si>
  <si>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</si>
  <si>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</si>
  <si>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</si>
  <si>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</si>
  <si>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</si>
  <si>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</si>
  <si>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</si>
  <si>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</si>
  <si>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</si>
  <si>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</si>
  <si>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</si>
  <si>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</si>
  <si>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</si>
  <si>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</si>
  <si>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</si>
  <si>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</si>
  <si>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</si>
  <si>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</si>
  <si>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</si>
  <si>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</si>
  <si>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</si>
  <si>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</si>
  <si>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</si>
  <si>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</si>
  <si>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</si>
  <si>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</si>
  <si>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</si>
  <si>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</si>
  <si>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</si>
  <si>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</si>
  <si>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</si>
  <si>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</si>
  <si>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</si>
  <si>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</si>
  <si>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</si>
  <si>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</si>
  <si>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</si>
  <si>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</si>
  <si>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</si>
  <si>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</si>
  <si>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</si>
  <si>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</si>
  <si>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</si>
  <si>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</si>
  <si>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</si>
  <si>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</si>
  <si>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</si>
  <si>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</si>
  <si>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</si>
  <si>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</si>
  <si>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</si>
  <si>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</si>
  <si>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</si>
  <si>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</si>
  <si>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</si>
  <si>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</si>
  <si>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</si>
  <si>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</si>
  <si>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</si>
  <si>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</si>
  <si>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</si>
  <si>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</si>
  <si>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</si>
  <si>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</si>
  <si>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</si>
  <si>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</si>
  <si>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</si>
  <si>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</si>
  <si>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</si>
  <si>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</si>
  <si>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</si>
  <si>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</si>
  <si>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</si>
  <si>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</si>
  <si>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</si>
  <si>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</si>
  <si>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</si>
  <si>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</si>
  <si>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</si>
  <si>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</si>
  <si>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</si>
  <si>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</si>
  <si>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</si>
  <si>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</si>
  <si>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</si>
  <si>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</si>
  <si>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</si>
  <si>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</si>
  <si>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</si>
  <si>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</si>
  <si>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</si>
  <si>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</si>
  <si>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</si>
  <si>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</si>
  <si>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</si>
  <si>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</si>
  <si>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</si>
  <si>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</si>
  <si>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</si>
  <si>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</si>
  <si>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</si>
  <si>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</si>
  <si>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</si>
  <si>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</si>
  <si>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</si>
  <si>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</si>
  <si>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</si>
  <si>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</si>
  <si>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</si>
  <si>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</si>
  <si>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</si>
  <si>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</si>
  <si>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</si>
  <si>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</si>
  <si>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</si>
  <si>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</si>
  <si>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</si>
  <si>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</si>
  <si>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</si>
  <si>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</si>
  <si>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</si>
  <si>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</si>
  <si>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</si>
  <si>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</si>
  <si>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</si>
  <si>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</si>
  <si>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</si>
  <si>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</si>
  <si>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</si>
  <si>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</si>
  <si>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</si>
  <si>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</si>
  <si>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</si>
  <si>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</si>
  <si>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</si>
  <si>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</si>
  <si>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</si>
  <si>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</si>
  <si>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</si>
  <si>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</si>
  <si>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</si>
  <si>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</si>
  <si>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</si>
  <si>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</si>
  <si>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</si>
  <si>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</si>
  <si>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</si>
  <si>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</si>
  <si>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</si>
  <si>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</si>
  <si>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</si>
  <si>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</si>
  <si>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</si>
  <si>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</si>
  <si>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</si>
  <si>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</si>
  <si>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</si>
  <si>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</si>
  <si>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</si>
  <si>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</si>
  <si>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</si>
  <si>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</si>
  <si>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</si>
  <si>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</si>
  <si>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</si>
  <si>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</si>
  <si>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</si>
  <si>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</si>
  <si>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</si>
  <si>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</si>
  <si>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</si>
  <si>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</si>
  <si>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</si>
  <si>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</si>
  <si>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</si>
  <si>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</si>
  <si>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</si>
  <si>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</si>
  <si>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</si>
  <si>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</si>
  <si>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</si>
  <si>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</si>
  <si>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</si>
  <si>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</si>
  <si>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</si>
  <si>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</si>
  <si>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</si>
  <si>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</si>
  <si>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</si>
  <si>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</si>
  <si>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</si>
  <si>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</si>
  <si>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</si>
  <si>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</si>
  <si>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</si>
  <si>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</si>
  <si>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</si>
  <si>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</si>
  <si>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</si>
  <si>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</si>
  <si>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</si>
  <si>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</si>
  <si>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</si>
  <si>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</si>
  <si>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</si>
  <si>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</si>
  <si>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</si>
  <si>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</si>
  <si>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</si>
  <si>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</si>
  <si>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</si>
  <si>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</si>
  <si>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</si>
  <si>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</si>
  <si>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</si>
  <si>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</si>
  <si>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</si>
  <si>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</si>
  <si>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</si>
  <si>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</si>
  <si>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</si>
  <si>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</si>
  <si>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Need to check</t>
  </si>
  <si>
    <t>meter need to check</t>
  </si>
  <si>
    <t>Yesterday.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</si>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</sst>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3" fillId="0" borderId="0" applyFont="0" applyFill="0" applyBorder="0" applyAlignment="0" applyProtection="0"/>
  </cellStyleXfs>
  <cellXfs count="92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5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165" fontId="78" fillId="2" borderId="0" xfId="3" applyNumberFormat="1" applyFont="1" applyFill="1" applyBorder="1" applyAlignment="1">
      <alignment horizontal="center"/>
    </xf>
    <xf numFmtId="165" fontId="79" fillId="2" borderId="0" xfId="3" applyNumberFormat="1" applyFont="1" applyFill="1" applyBorder="1" applyAlignment="1">
      <alignment horizontal="center" vertical="center" wrapText="1" shrinkToFit="1"/>
    </xf>
    <xf numFmtId="0" fontId="79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9" fillId="2" borderId="0" xfId="5" applyNumberFormat="1" applyFont="1" applyFill="1" applyBorder="1" applyAlignment="1" applyProtection="1">
      <alignment horizontal="center"/>
    </xf>
    <xf numFmtId="0" fontId="79" fillId="2" borderId="0" xfId="3" applyFont="1" applyFill="1" applyBorder="1" applyAlignment="1">
      <alignment horizontal="center"/>
    </xf>
    <xf numFmtId="0" fontId="79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9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9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1" fontId="40" fillId="2" borderId="1" xfId="0" applyNumberFormat="1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2" fillId="0" borderId="16" xfId="1" applyFont="1" applyFill="1" applyBorder="1" applyAlignment="1">
      <alignment vertical="top" wrapText="1"/>
    </xf>
    <xf numFmtId="0" fontId="82" fillId="0" borderId="1" xfId="1" applyFont="1" applyFill="1" applyBorder="1" applyAlignment="1">
      <alignment horizontal="center" vertical="top" wrapText="1"/>
    </xf>
    <xf numFmtId="0" fontId="8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1" fontId="79" fillId="17" borderId="3" xfId="3" applyNumberFormat="1" applyFont="1" applyFill="1" applyBorder="1" applyAlignment="1">
      <alignment horizontal="center"/>
    </xf>
    <xf numFmtId="1" fontId="79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5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64" fontId="45" fillId="8" borderId="1" xfId="19" applyFont="1" applyFill="1" applyBorder="1" applyAlignment="1" applyProtection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80" fillId="17" borderId="13" xfId="3" applyFont="1" applyFill="1" applyBorder="1" applyAlignment="1">
      <alignment horizontal="center" vertical="center"/>
    </xf>
    <xf numFmtId="0" fontId="80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-721.99999999999727</c:v>
                </c:pt>
                <c:pt idx="19">
                  <c:v>24</c:v>
                </c:pt>
                <c:pt idx="20">
                  <c:v>24.369999999999891</c:v>
                </c:pt>
                <c:pt idx="21">
                  <c:v>24</c:v>
                </c:pt>
                <c:pt idx="22">
                  <c:v>23.630000000000109</c:v>
                </c:pt>
                <c:pt idx="23">
                  <c:v>24</c:v>
                </c:pt>
                <c:pt idx="24">
                  <c:v>24</c:v>
                </c:pt>
                <c:pt idx="25">
                  <c:v>24.319999999999936</c:v>
                </c:pt>
                <c:pt idx="26">
                  <c:v>23.680000000000064</c:v>
                </c:pt>
                <c:pt idx="27">
                  <c:v>23.449999999997544</c:v>
                </c:pt>
                <c:pt idx="28">
                  <c:v>23.600000000001728</c:v>
                </c:pt>
                <c:pt idx="29">
                  <c:v>25.900000000000091</c:v>
                </c:pt>
                <c:pt idx="30">
                  <c:v>23.739999999997963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46413056"/>
        <c:axId val="146414592"/>
      </c:lineChart>
      <c:catAx>
        <c:axId val="1464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14592"/>
        <c:crosses val="autoZero"/>
        <c:auto val="1"/>
        <c:lblAlgn val="ctr"/>
        <c:lblOffset val="100"/>
        <c:noMultiLvlLbl val="0"/>
      </c:catAx>
      <c:valAx>
        <c:axId val="1464145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464130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-412.49000000000888</c:v>
                </c:pt>
                <c:pt idx="19">
                  <c:v>17.840000000003783</c:v>
                </c:pt>
                <c:pt idx="20">
                  <c:v>16.939999999995052</c:v>
                </c:pt>
                <c:pt idx="21">
                  <c:v>15.67000000000553</c:v>
                </c:pt>
                <c:pt idx="22">
                  <c:v>15.959999999991851</c:v>
                </c:pt>
                <c:pt idx="23">
                  <c:v>14.930000000011205</c:v>
                </c:pt>
                <c:pt idx="24">
                  <c:v>16.879999999990105</c:v>
                </c:pt>
                <c:pt idx="25">
                  <c:v>16.889999999999418</c:v>
                </c:pt>
                <c:pt idx="26">
                  <c:v>16.460000000006403</c:v>
                </c:pt>
                <c:pt idx="27">
                  <c:v>15.739999999990687</c:v>
                </c:pt>
                <c:pt idx="28">
                  <c:v>14.610000000007858</c:v>
                </c:pt>
                <c:pt idx="29">
                  <c:v>14.650000000001455</c:v>
                </c:pt>
                <c:pt idx="30">
                  <c:v>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6435456"/>
        <c:axId val="146437248"/>
      </c:lineChart>
      <c:catAx>
        <c:axId val="14643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37248"/>
        <c:crosses val="autoZero"/>
        <c:auto val="1"/>
        <c:lblAlgn val="ctr"/>
        <c:lblOffset val="100"/>
        <c:noMultiLvlLbl val="0"/>
      </c:catAx>
      <c:valAx>
        <c:axId val="14643724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354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38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204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275</c:v>
                </c:pt>
                <c:pt idx="19">
                  <c:v>395</c:v>
                </c:pt>
                <c:pt idx="20">
                  <c:v>515</c:v>
                </c:pt>
                <c:pt idx="21">
                  <c:v>635</c:v>
                </c:pt>
                <c:pt idx="22">
                  <c:v>755</c:v>
                </c:pt>
                <c:pt idx="23">
                  <c:v>875</c:v>
                </c:pt>
                <c:pt idx="24">
                  <c:v>995</c:v>
                </c:pt>
                <c:pt idx="25">
                  <c:v>1115</c:v>
                </c:pt>
                <c:pt idx="26">
                  <c:v>1235</c:v>
                </c:pt>
                <c:pt idx="27">
                  <c:v>1355</c:v>
                </c:pt>
                <c:pt idx="28">
                  <c:v>1475</c:v>
                </c:pt>
                <c:pt idx="29">
                  <c:v>1595</c:v>
                </c:pt>
                <c:pt idx="30">
                  <c:v>1715</c:v>
                </c:pt>
                <c:pt idx="31">
                  <c:v>15809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46474880"/>
        <c:axId val="146476416"/>
      </c:lineChart>
      <c:catAx>
        <c:axId val="1464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76416"/>
        <c:crosses val="autoZero"/>
        <c:auto val="1"/>
        <c:lblAlgn val="ctr"/>
        <c:lblOffset val="100"/>
        <c:noMultiLvlLbl val="0"/>
      </c:catAx>
      <c:valAx>
        <c:axId val="14647641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7488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11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30092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88704"/>
        <c:axId val="146502784"/>
      </c:lineChart>
      <c:catAx>
        <c:axId val="1464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02784"/>
        <c:crosses val="autoZero"/>
        <c:auto val="1"/>
        <c:lblAlgn val="ctr"/>
        <c:lblOffset val="100"/>
        <c:noMultiLvlLbl val="0"/>
      </c:catAx>
      <c:valAx>
        <c:axId val="1465027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8870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40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352421.46</c:v>
                </c:pt>
                <c:pt idx="19">
                  <c:v>2849.679999999993</c:v>
                </c:pt>
                <c:pt idx="20">
                  <c:v>2810.5999999999767</c:v>
                </c:pt>
                <c:pt idx="21">
                  <c:v>2775.9200000000419</c:v>
                </c:pt>
                <c:pt idx="22">
                  <c:v>2743.8499999999767</c:v>
                </c:pt>
                <c:pt idx="23">
                  <c:v>2746</c:v>
                </c:pt>
                <c:pt idx="24">
                  <c:v>2850</c:v>
                </c:pt>
                <c:pt idx="25">
                  <c:v>2728</c:v>
                </c:pt>
                <c:pt idx="26">
                  <c:v>2857</c:v>
                </c:pt>
                <c:pt idx="27">
                  <c:v>2740.429999999993</c:v>
                </c:pt>
                <c:pt idx="28">
                  <c:v>2727.320000000007</c:v>
                </c:pt>
                <c:pt idx="29">
                  <c:v>2712.25</c:v>
                </c:pt>
                <c:pt idx="30">
                  <c:v>2762</c:v>
                </c:pt>
                <c:pt idx="31">
                  <c:v>432761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46544896"/>
        <c:axId val="146546688"/>
      </c:lineChart>
      <c:catAx>
        <c:axId val="1465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46688"/>
        <c:crosses val="autoZero"/>
        <c:auto val="1"/>
        <c:lblAlgn val="ctr"/>
        <c:lblOffset val="100"/>
        <c:noMultiLvlLbl val="0"/>
      </c:catAx>
      <c:valAx>
        <c:axId val="14654668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4489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117487.46999999999</c:v>
                </c:pt>
                <c:pt idx="19">
                  <c:v>1742.8000000000175</c:v>
                </c:pt>
                <c:pt idx="20">
                  <c:v>1616.5499999999884</c:v>
                </c:pt>
                <c:pt idx="21">
                  <c:v>1523.0299999999988</c:v>
                </c:pt>
                <c:pt idx="22">
                  <c:v>1488.7900000000081</c:v>
                </c:pt>
                <c:pt idx="23">
                  <c:v>1535</c:v>
                </c:pt>
                <c:pt idx="24">
                  <c:v>1650</c:v>
                </c:pt>
                <c:pt idx="25">
                  <c:v>1816</c:v>
                </c:pt>
                <c:pt idx="26">
                  <c:v>1834</c:v>
                </c:pt>
                <c:pt idx="27">
                  <c:v>1836.2699999999895</c:v>
                </c:pt>
                <c:pt idx="28">
                  <c:v>1871.7200000000012</c:v>
                </c:pt>
                <c:pt idx="29">
                  <c:v>2062.0100000000093</c:v>
                </c:pt>
                <c:pt idx="30">
                  <c:v>1893</c:v>
                </c:pt>
                <c:pt idx="31">
                  <c:v>168042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34784"/>
        <c:axId val="146536320"/>
      </c:lineChart>
      <c:catAx>
        <c:axId val="14653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36320"/>
        <c:crosses val="autoZero"/>
        <c:auto val="1"/>
        <c:lblAlgn val="ctr"/>
        <c:lblOffset val="100"/>
        <c:noMultiLvlLbl val="0"/>
      </c:catAx>
      <c:valAx>
        <c:axId val="14653632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34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0.85</c:v>
                </c:pt>
                <c:pt idx="23">
                  <c:v>0.9</c:v>
                </c:pt>
                <c:pt idx="24">
                  <c:v>0.9</c:v>
                </c:pt>
                <c:pt idx="25">
                  <c:v>0.83</c:v>
                </c:pt>
                <c:pt idx="26">
                  <c:v>0.76</c:v>
                </c:pt>
                <c:pt idx="27">
                  <c:v>0.92</c:v>
                </c:pt>
                <c:pt idx="28">
                  <c:v>0.45</c:v>
                </c:pt>
                <c:pt idx="29">
                  <c:v>0.61</c:v>
                </c:pt>
                <c:pt idx="30">
                  <c:v>25</c:v>
                </c:pt>
                <c:pt idx="31">
                  <c:v>1.4609967741935483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81376"/>
        <c:axId val="146582912"/>
      </c:lineChart>
      <c:catAx>
        <c:axId val="14658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82912"/>
        <c:crosses val="autoZero"/>
        <c:auto val="1"/>
        <c:lblAlgn val="ctr"/>
        <c:lblOffset val="100"/>
        <c:noMultiLvlLbl val="0"/>
      </c:catAx>
      <c:valAx>
        <c:axId val="146582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6581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23500</c:v>
                </c:pt>
                <c:pt idx="19">
                  <c:v>23500</c:v>
                </c:pt>
                <c:pt idx="20">
                  <c:v>23500.000000000058</c:v>
                </c:pt>
                <c:pt idx="21">
                  <c:v>23500</c:v>
                </c:pt>
                <c:pt idx="22">
                  <c:v>23500</c:v>
                </c:pt>
                <c:pt idx="23">
                  <c:v>23500</c:v>
                </c:pt>
                <c:pt idx="24">
                  <c:v>23500</c:v>
                </c:pt>
                <c:pt idx="25">
                  <c:v>23500</c:v>
                </c:pt>
                <c:pt idx="26">
                  <c:v>23500</c:v>
                </c:pt>
                <c:pt idx="27">
                  <c:v>23500</c:v>
                </c:pt>
                <c:pt idx="28">
                  <c:v>23500</c:v>
                </c:pt>
                <c:pt idx="29">
                  <c:v>23500</c:v>
                </c:pt>
                <c:pt idx="30">
                  <c:v>23500</c:v>
                </c:pt>
                <c:pt idx="31">
                  <c:v>640412.83000000007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6624512"/>
        <c:axId val="146626048"/>
      </c:lineChart>
      <c:catAx>
        <c:axId val="14662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26048"/>
        <c:crosses val="autoZero"/>
        <c:auto val="1"/>
        <c:lblAlgn val="ctr"/>
        <c:lblOffset val="100"/>
        <c:noMultiLvlLbl val="0"/>
      </c:catAx>
      <c:valAx>
        <c:axId val="14662604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245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-319.06999999999971</c:v>
                </c:pt>
                <c:pt idx="19">
                  <c:v>11.139999999999418</c:v>
                </c:pt>
                <c:pt idx="20">
                  <c:v>11.170000000000073</c:v>
                </c:pt>
                <c:pt idx="21">
                  <c:v>11.440000000000509</c:v>
                </c:pt>
                <c:pt idx="22">
                  <c:v>10.729999999999563</c:v>
                </c:pt>
                <c:pt idx="23">
                  <c:v>10.260000000000218</c:v>
                </c:pt>
                <c:pt idx="24">
                  <c:v>11.679999999999836</c:v>
                </c:pt>
                <c:pt idx="25">
                  <c:v>11</c:v>
                </c:pt>
                <c:pt idx="26">
                  <c:v>11</c:v>
                </c:pt>
                <c:pt idx="27">
                  <c:v>11.680000000000291</c:v>
                </c:pt>
                <c:pt idx="28">
                  <c:v>11.449999999999818</c:v>
                </c:pt>
                <c:pt idx="29">
                  <c:v>10.869999999999891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42048"/>
        <c:axId val="146643584"/>
      </c:lineChart>
      <c:catAx>
        <c:axId val="14664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43584"/>
        <c:crosses val="autoZero"/>
        <c:auto val="1"/>
        <c:lblAlgn val="ctr"/>
        <c:lblOffset val="100"/>
        <c:noMultiLvlLbl val="0"/>
      </c:catAx>
      <c:valAx>
        <c:axId val="14664358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42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943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-9110.8399999999674</c:v>
                </c:pt>
                <c:pt idx="16">
                  <c:v>318.68999999994412</c:v>
                </c:pt>
                <c:pt idx="17">
                  <c:v>321.20999999996275</c:v>
                </c:pt>
                <c:pt idx="18">
                  <c:v>332.31000000005588</c:v>
                </c:pt>
                <c:pt idx="19">
                  <c:v>301.47999999998137</c:v>
                </c:pt>
                <c:pt idx="20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13920.749999999953</c:v>
                </c:pt>
                <c:pt idx="16">
                  <c:v>606.26000000007116</c:v>
                </c:pt>
                <c:pt idx="17">
                  <c:v>611.31000000002678</c:v>
                </c:pt>
                <c:pt idx="18">
                  <c:v>626.01999999996406</c:v>
                </c:pt>
                <c:pt idx="19">
                  <c:v>635.92000000000917</c:v>
                </c:pt>
                <c:pt idx="20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-2823.7999999999884</c:v>
                </c:pt>
                <c:pt idx="16">
                  <c:v>127.04999999998836</c:v>
                </c:pt>
                <c:pt idx="17">
                  <c:v>111.48000000001048</c:v>
                </c:pt>
                <c:pt idx="18">
                  <c:v>92.069999999977881</c:v>
                </c:pt>
                <c:pt idx="19">
                  <c:v>120.20000000001164</c:v>
                </c:pt>
                <c:pt idx="2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14016"/>
        <c:axId val="147015552"/>
      </c:lineChart>
      <c:catAx>
        <c:axId val="1470140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7015552"/>
        <c:crosses val="autoZero"/>
        <c:auto val="1"/>
        <c:lblAlgn val="ctr"/>
        <c:lblOffset val="100"/>
        <c:noMultiLvlLbl val="0"/>
      </c:catAx>
      <c:valAx>
        <c:axId val="1470155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7014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12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4580480"/>
        <c:axId val="19458201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83552"/>
        <c:axId val="194597632"/>
      </c:lineChart>
      <c:catAx>
        <c:axId val="1945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582016"/>
        <c:crosses val="autoZero"/>
        <c:auto val="1"/>
        <c:lblAlgn val="ctr"/>
        <c:lblOffset val="100"/>
        <c:noMultiLvlLbl val="0"/>
      </c:catAx>
      <c:valAx>
        <c:axId val="19458201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580480"/>
        <c:crosses val="autoZero"/>
        <c:crossBetween val="between"/>
        <c:minorUnit val="50"/>
      </c:valAx>
      <c:catAx>
        <c:axId val="194583552"/>
        <c:scaling>
          <c:orientation val="minMax"/>
        </c:scaling>
        <c:delete val="1"/>
        <c:axPos val="b"/>
        <c:majorTickMark val="out"/>
        <c:minorTickMark val="none"/>
        <c:tickLblPos val="none"/>
        <c:crossAx val="194597632"/>
        <c:crosses val="autoZero"/>
        <c:auto val="1"/>
        <c:lblAlgn val="ctr"/>
        <c:lblOffset val="100"/>
        <c:noMultiLvlLbl val="0"/>
      </c:catAx>
      <c:valAx>
        <c:axId val="19459763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58355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38592"/>
        <c:axId val="194640128"/>
      </c:lineChart>
      <c:catAx>
        <c:axId val="1946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640128"/>
        <c:crosses val="autoZero"/>
        <c:auto val="1"/>
        <c:lblAlgn val="ctr"/>
        <c:lblOffset val="100"/>
        <c:noMultiLvlLbl val="0"/>
      </c:catAx>
      <c:valAx>
        <c:axId val="1946401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6385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94808448"/>
        <c:axId val="194826624"/>
      </c:lineChart>
      <c:catAx>
        <c:axId val="19480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826624"/>
        <c:crosses val="autoZero"/>
        <c:auto val="1"/>
        <c:lblAlgn val="ctr"/>
        <c:lblOffset val="100"/>
        <c:noMultiLvlLbl val="0"/>
      </c:catAx>
      <c:valAx>
        <c:axId val="19482662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808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87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69824"/>
        <c:axId val="19507136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73152"/>
        <c:axId val="195074688"/>
      </c:lineChart>
      <c:catAx>
        <c:axId val="1950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71360"/>
        <c:crosses val="autoZero"/>
        <c:auto val="1"/>
        <c:lblAlgn val="ctr"/>
        <c:lblOffset val="100"/>
        <c:noMultiLvlLbl val="0"/>
      </c:catAx>
      <c:valAx>
        <c:axId val="19507136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69824"/>
        <c:crosses val="autoZero"/>
        <c:crossBetween val="between"/>
      </c:valAx>
      <c:catAx>
        <c:axId val="195073152"/>
        <c:scaling>
          <c:orientation val="minMax"/>
        </c:scaling>
        <c:delete val="1"/>
        <c:axPos val="b"/>
        <c:majorTickMark val="out"/>
        <c:minorTickMark val="none"/>
        <c:tickLblPos val="none"/>
        <c:crossAx val="195074688"/>
        <c:crosses val="autoZero"/>
        <c:auto val="1"/>
        <c:lblAlgn val="ctr"/>
        <c:lblOffset val="100"/>
        <c:noMultiLvlLbl val="0"/>
      </c:catAx>
      <c:valAx>
        <c:axId val="1950746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073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13728"/>
        <c:axId val="19511526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33440"/>
        <c:axId val="195134976"/>
      </c:lineChart>
      <c:catAx>
        <c:axId val="19511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15264"/>
        <c:crosses val="autoZero"/>
        <c:auto val="1"/>
        <c:lblAlgn val="ctr"/>
        <c:lblOffset val="100"/>
        <c:noMultiLvlLbl val="0"/>
      </c:catAx>
      <c:valAx>
        <c:axId val="19511526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13728"/>
        <c:crosses val="autoZero"/>
        <c:crossBetween val="between"/>
        <c:majorUnit val="2"/>
      </c:valAx>
      <c:catAx>
        <c:axId val="195133440"/>
        <c:scaling>
          <c:orientation val="minMax"/>
        </c:scaling>
        <c:delete val="1"/>
        <c:axPos val="b"/>
        <c:majorTickMark val="out"/>
        <c:minorTickMark val="none"/>
        <c:tickLblPos val="none"/>
        <c:crossAx val="195134976"/>
        <c:crosses val="autoZero"/>
        <c:auto val="1"/>
        <c:lblAlgn val="ctr"/>
        <c:lblOffset val="100"/>
        <c:noMultiLvlLbl val="0"/>
      </c:catAx>
      <c:valAx>
        <c:axId val="1951349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334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D22" sqref="D2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204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23500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275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23500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395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23500.000000000058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515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23500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635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23500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755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23500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875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23500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995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23500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1115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23500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1235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23500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1355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23500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1475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23500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1595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23500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1715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 x14ac:dyDescent="0.2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 x14ac:dyDescent="0.2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 x14ac:dyDescent="0.2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 x14ac:dyDescent="0.2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204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 x14ac:dyDescent="0.2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 x14ac:dyDescent="0.2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 x14ac:dyDescent="0.2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 x14ac:dyDescent="0.2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 x14ac:dyDescent="0.2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 x14ac:dyDescent="0.2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 x14ac:dyDescent="0.2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 x14ac:dyDescent="0.2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42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358770.81</v>
      </c>
      <c r="F20" s="294">
        <f>(IF('Section Load'!G23&gt;0,'Section Load'!G23,0))</f>
        <v>161367.85999999999</v>
      </c>
      <c r="G20" s="294">
        <f>(IF('Section Load'!H23&gt;0,'Section Load'!H23,0))</f>
        <v>193488.47</v>
      </c>
      <c r="H20" s="294">
        <f>(IF('Section Load'!I23&gt;0,'Section Load'!I23,0))</f>
        <v>352421.46</v>
      </c>
      <c r="I20" s="294">
        <f>(IF('Section Load'!J23&gt;0,'Section Load'!J23,0))</f>
        <v>0</v>
      </c>
      <c r="J20" s="294">
        <f>(IF('Section Load'!K23&gt;0,'Section Load'!K23,0))</f>
        <v>0</v>
      </c>
      <c r="K20" s="294">
        <f>(IF('Section Load'!L23&gt;0,'Section Load'!L23,0))</f>
        <v>0</v>
      </c>
      <c r="L20" s="294">
        <f>(IF('Section Load'!M23&gt;0,'Section Load'!M23,0))</f>
        <v>0</v>
      </c>
      <c r="M20" s="294">
        <f>(IF('Section Load'!N23&gt;0,'Section Load'!N23,0))</f>
        <v>0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0</v>
      </c>
      <c r="Q20" s="294">
        <f>(IF('Section Load'!R23&gt;0,'Section Load'!R23,0))</f>
        <v>0</v>
      </c>
      <c r="R20" s="294">
        <f>(IF('Section Load'!S23&gt;0,'Section Load'!S23,0))</f>
        <v>0</v>
      </c>
      <c r="S20" s="294">
        <f>(IF('Section Load'!T23&gt;0,'Section Load'!T23,0))</f>
        <v>0</v>
      </c>
      <c r="T20" s="294">
        <f>(IF('Section Load'!U23&gt;0,'Section Load'!U23,0))</f>
        <v>0</v>
      </c>
      <c r="U20" s="294">
        <f>(IF('Section Load'!V23&gt;0,'Section Load'!V23,0))</f>
        <v>0</v>
      </c>
      <c r="V20" s="294">
        <f>(IF('Section Load'!W23&gt;0,'Section Load'!W23,0))</f>
        <v>0</v>
      </c>
      <c r="W20" s="294">
        <f>(IF('Section Load'!X23&gt;0,'Section Load'!X23,0))</f>
        <v>0</v>
      </c>
      <c r="X20" s="294">
        <f>(IF('Section Load'!Y23&gt;0,'Section Load'!Y23,0))</f>
        <v>87532.97</v>
      </c>
      <c r="Y20" s="294">
        <f>(IF('Section Load'!Z23&gt;0,'Section Load'!Z23,0))</f>
        <v>0</v>
      </c>
      <c r="Z20" s="294">
        <f>(IF('Section Load'!AA23&gt;0,'Section Load'!AA23,0))</f>
        <v>0</v>
      </c>
      <c r="AA20" s="294">
        <f>(IF('Section Load'!AB23&gt;0,'Section Load'!AB23,0))</f>
        <v>0</v>
      </c>
      <c r="AB20" s="294">
        <f>(IF('Section Load'!AC23&gt;0,'Section Load'!AC23,0))</f>
        <v>0</v>
      </c>
      <c r="AC20" s="294">
        <f>(IF('Section Load'!AD23&gt;0,'Section Load'!AD23,0))</f>
        <v>0</v>
      </c>
      <c r="AD20" s="294">
        <f>(IF('Section Load'!AE23&gt;0,'Section Load'!AE23,0))</f>
        <v>0</v>
      </c>
      <c r="AE20" s="294">
        <f>(IF('Section Load'!AF23&gt;0,'Section Load'!AF23,0))</f>
        <v>0</v>
      </c>
      <c r="AF20" s="294">
        <f>(IF('Section Load'!AG23&gt;0,'Section Load'!AG23,0))</f>
        <v>0</v>
      </c>
      <c r="AG20" s="294">
        <f>(IF('Section Load'!AH23&gt;0,'Section Load'!AH23,0))</f>
        <v>0</v>
      </c>
      <c r="AH20" s="294">
        <f>(IF('Section Load'!AI23&gt;0,'Section Load'!AI23,0))</f>
        <v>0</v>
      </c>
      <c r="AI20" s="294">
        <f>(IF('Section Load'!AJ23&gt;0,'Section Load'!AJ23,0))</f>
        <v>0</v>
      </c>
      <c r="AJ20" s="294">
        <f>(IF('Section Load'!AK23&gt;0,'Section Load'!AK23,0))</f>
        <v>0</v>
      </c>
      <c r="AK20" s="294">
        <f>(IF('Section Load'!AL23&gt;0,'Section Load'!AL23,0))</f>
        <v>0</v>
      </c>
      <c r="AL20" s="294">
        <f>(IF('Section Load'!AM23&gt;0,'Section Load'!AM23,0))</f>
        <v>0</v>
      </c>
      <c r="AM20" s="295">
        <f>(IF('Water Report'!$V$7&gt;0,'Water Report'!$V$7,0))</f>
        <v>0</v>
      </c>
      <c r="AN20" s="295">
        <f>(IF('Water Report'!$V$8&gt;0,'Water Report'!$V$8,0))</f>
        <v>0</v>
      </c>
      <c r="AO20" s="295">
        <f>(IF('Water Report'!$V$9&gt;0,'Water Report'!$V$9,0))</f>
        <v>0</v>
      </c>
      <c r="AP20" s="295">
        <f>(IF('Water Report'!$V$10&gt;0,'Water Report'!$V$10,0))</f>
        <v>0</v>
      </c>
      <c r="AQ20" s="295">
        <f>(IF('Water Report'!$V$11&gt;0,'Water Report'!$V$11,0))</f>
        <v>0</v>
      </c>
      <c r="AR20" s="295">
        <f>(IF('Water Report'!$V$13&gt;0,'Water Report'!$V$13,0))</f>
        <v>0</v>
      </c>
      <c r="AS20" s="295">
        <f>(IF('Water Report'!$V$14&gt;0,'Water Report'!$V$14,0))</f>
        <v>0</v>
      </c>
      <c r="AT20" s="295">
        <f>(IF('Water Report'!$V$15&gt;0,'Water Report'!$V$15,0))</f>
        <v>0</v>
      </c>
      <c r="AU20" s="295">
        <f>(IF('Water Report'!$V$17&gt;0,'Water Report'!$V$17,0))</f>
        <v>0</v>
      </c>
      <c r="AV20" s="295">
        <f>(IF('Water Report'!$V$18&gt;0,'Water Report'!$V$18,0))</f>
        <v>0</v>
      </c>
      <c r="AW20" s="295">
        <f>(IF('Water Report'!$V$19&gt;0,'Water Report'!$V$19,0))</f>
        <v>0</v>
      </c>
      <c r="AX20" s="301">
        <f>(IF('Water Report'!$V$21&gt;0,'Water Report'!$V$21,0))</f>
        <v>0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0</v>
      </c>
      <c r="BB20" s="301">
        <f>(IF('Water Report'!$V$15&gt;0,'Water Report'!$V$15,0))</f>
        <v>0</v>
      </c>
      <c r="BC20" s="301">
        <f>(IF('Water Report'!$V$13&gt;0,'Water Report'!$V$13,0))</f>
        <v>0</v>
      </c>
      <c r="BD20" s="301">
        <f>(IF('Water Report'!$V$24&gt;0,'Water Report'!$V$24,0))</f>
        <v>275</v>
      </c>
      <c r="BE20" s="301">
        <f>(IF('Water Report'!$V$25&gt;0,'Water Report'!$V$25,0))</f>
        <v>0</v>
      </c>
      <c r="BF20" s="301">
        <f>(IF('Water Report'!$V$27&gt;0,'Water Report'!$V$27,0))</f>
        <v>0</v>
      </c>
      <c r="BG20" s="296">
        <f>(IF('Section Load'!AN23&gt;0,'Section Load'!AN23,0))</f>
        <v>1100</v>
      </c>
      <c r="BH20" s="296">
        <f>(IF('Section Load'!AO23&gt;0,'Section Load'!AO23,0))</f>
        <v>0</v>
      </c>
      <c r="BI20" s="296">
        <f>(IF('Section Load'!AP23&gt;0,'Section Load'!AP23,0))</f>
        <v>243.88999999999942</v>
      </c>
      <c r="BJ20" s="296">
        <f>(IF('Section Load'!AQ23&gt;0,'Section Load'!AQ23,0))</f>
        <v>0</v>
      </c>
      <c r="BK20" s="296">
        <f>(IF('Section Load'!AR23&gt;0,'Section Load'!AR23,0))</f>
        <v>0</v>
      </c>
      <c r="BL20" s="296">
        <f>(IF('Section Load'!AS23&gt;0,'Section Load'!AS23,0))</f>
        <v>0</v>
      </c>
      <c r="BM20" s="296">
        <f>(IF('Section Load'!AT23&gt;0,'Section Load'!AT23,0))</f>
        <v>13920.749999999953</v>
      </c>
    </row>
    <row r="21" spans="1:65" x14ac:dyDescent="0.2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3485.5800000000163</v>
      </c>
      <c r="F21" s="294">
        <f>(IF('Section Load'!G24&gt;0,'Section Load'!G24,0))</f>
        <v>1629.820000000007</v>
      </c>
      <c r="G21" s="294">
        <f>(IF('Section Load'!H24&gt;0,'Section Load'!H24,0))</f>
        <v>1975.1000000000058</v>
      </c>
      <c r="H21" s="294">
        <f>(IF('Section Load'!I24&gt;0,'Section Load'!I24,0))</f>
        <v>2849.679999999993</v>
      </c>
      <c r="I21" s="294">
        <f>(IF('Section Load'!J24&gt;0,'Section Load'!J24,0))</f>
        <v>4532.2599999999984</v>
      </c>
      <c r="J21" s="294">
        <f>(IF('Section Load'!K24&gt;0,'Section Load'!K24,0))</f>
        <v>2718.9600000000009</v>
      </c>
      <c r="K21" s="294">
        <f>(IF('Section Load'!L24&gt;0,'Section Load'!L24,0))</f>
        <v>1114.7100000000009</v>
      </c>
      <c r="L21" s="294">
        <f>(IF('Section Load'!M24&gt;0,'Section Load'!M24,0))</f>
        <v>926.36000000000058</v>
      </c>
      <c r="M21" s="294">
        <f>(IF('Section Load'!N24&gt;0,'Section Load'!N24,0))</f>
        <v>111</v>
      </c>
      <c r="N21" s="294">
        <f>(IF('Section Load'!O24&gt;0,'Section Load'!O24,0))</f>
        <v>1</v>
      </c>
      <c r="O21" s="294">
        <f>(IF('Section Load'!P24&gt;0,'Section Load'!P24,0))</f>
        <v>1.8000000000029104</v>
      </c>
      <c r="P21" s="294">
        <f>(IF('Section Load'!Q24&gt;0,'Section Load'!Q24,0))</f>
        <v>205.81999999999971</v>
      </c>
      <c r="Q21" s="294">
        <f>(IF('Section Load'!R24&gt;0,'Section Load'!R24,0))</f>
        <v>69.990000000001601</v>
      </c>
      <c r="R21" s="294">
        <f>(IF('Section Load'!S24&gt;0,'Section Load'!S24,0))</f>
        <v>28.069999999999709</v>
      </c>
      <c r="S21" s="294">
        <f>(IF('Section Load'!T24&gt;0,'Section Load'!T24,0))</f>
        <v>467</v>
      </c>
      <c r="T21" s="294">
        <f>(IF('Section Load'!U24&gt;0,'Section Load'!U24,0))</f>
        <v>238</v>
      </c>
      <c r="U21" s="294">
        <f>(IF('Section Load'!V24&gt;0,'Section Load'!V24,0))</f>
        <v>376.08000000007451</v>
      </c>
      <c r="V21" s="294">
        <f>(IF('Section Load'!W24&gt;0,'Section Load'!W24,0))</f>
        <v>279.65000000002328</v>
      </c>
      <c r="W21" s="294">
        <f>(IF('Section Load'!X24&gt;0,'Section Load'!X24,0))</f>
        <v>29.5</v>
      </c>
      <c r="X21" s="294">
        <f>(IF('Section Load'!Y24&gt;0,'Section Load'!Y24,0))</f>
        <v>227.41999999999825</v>
      </c>
      <c r="Y21" s="294">
        <f>(IF('Section Load'!Z24&gt;0,'Section Load'!Z24,0))</f>
        <v>233</v>
      </c>
      <c r="Z21" s="294">
        <f>(IF('Section Load'!AA24&gt;0,'Section Load'!AA24,0))</f>
        <v>2.8800000000046566</v>
      </c>
      <c r="AA21" s="294">
        <f>(IF('Section Load'!AB24&gt;0,'Section Load'!AB24,0))</f>
        <v>32.30000000000291</v>
      </c>
      <c r="AB21" s="294">
        <f>(IF('Section Load'!AC24&gt;0,'Section Load'!AC24,0))</f>
        <v>0</v>
      </c>
      <c r="AC21" s="294">
        <f>(IF('Section Load'!AD24&gt;0,'Section Load'!AD24,0))</f>
        <v>71.600000000005821</v>
      </c>
      <c r="AD21" s="294">
        <f>(IF('Section Load'!AE24&gt;0,'Section Load'!AE24,0))</f>
        <v>0</v>
      </c>
      <c r="AE21" s="294">
        <f>(IF('Section Load'!AF24&gt;0,'Section Load'!AF24,0))</f>
        <v>27.980000000000018</v>
      </c>
      <c r="AF21" s="294">
        <f>(IF('Section Load'!AG24&gt;0,'Section Load'!AG24,0))</f>
        <v>418.83999999999651</v>
      </c>
      <c r="AG21" s="294">
        <f>(IF('Section Load'!AH24&gt;0,'Section Load'!AH24,0))</f>
        <v>437.40000000002328</v>
      </c>
      <c r="AH21" s="294">
        <f>(IF('Section Load'!AI24&gt;0,'Section Load'!AI24,0))</f>
        <v>425.5099999999984</v>
      </c>
      <c r="AI21" s="294">
        <f>(IF('Section Load'!AJ24&gt;0,'Section Load'!AJ24,0))</f>
        <v>777.71000000002095</v>
      </c>
      <c r="AJ21" s="294">
        <f>(IF('Section Load'!AK24&gt;0,'Section Load'!AK24,0))</f>
        <v>263.63000000000466</v>
      </c>
      <c r="AK21" s="294">
        <f>(IF('Section Load'!AL24&gt;0,'Section Load'!AL24,0))</f>
        <v>362.27999999999884</v>
      </c>
      <c r="AL21" s="294">
        <f>(IF('Section Load'!AM24&gt;0,'Section Load'!AM24,0))</f>
        <v>846.91000000000349</v>
      </c>
      <c r="AM21" s="295">
        <f>(IF('Water Report'!$W$7&gt;0,'Water Report'!$W$7,0))</f>
        <v>124</v>
      </c>
      <c r="AN21" s="295">
        <f>(IF('Water Report'!$W$8&gt;0,'Water Report'!$W$8,0))</f>
        <v>119</v>
      </c>
      <c r="AO21" s="295">
        <f>(IF('Water Report'!$W$9&gt;0,'Water Report'!$W$9,0))</f>
        <v>77</v>
      </c>
      <c r="AP21" s="295">
        <f>(IF('Water Report'!$W$10&gt;0,'Water Report'!$W$10,0))</f>
        <v>17</v>
      </c>
      <c r="AQ21" s="295">
        <f>(IF('Water Report'!$W$11&gt;0,'Water Report'!$W$11,0))</f>
        <v>26</v>
      </c>
      <c r="AR21" s="295">
        <f>(IF('Water Report'!$W$13&gt;0,'Water Report'!$W$13,0))</f>
        <v>68</v>
      </c>
      <c r="AS21" s="295">
        <f>(IF('Water Report'!$W$14&gt;0,'Water Report'!$W$14,0))</f>
        <v>7</v>
      </c>
      <c r="AT21" s="295">
        <f>(IF('Water Report'!$W$15&gt;0,'Water Report'!$W$15,0))</f>
        <v>9</v>
      </c>
      <c r="AU21" s="295">
        <f>(IF('Water Report'!$W$17&gt;0,'Water Report'!$W$17,0))</f>
        <v>0</v>
      </c>
      <c r="AV21" s="295">
        <f>(IF('Water Report'!$W$18&gt;0,'Water Report'!$W$18,0))</f>
        <v>17</v>
      </c>
      <c r="AW21" s="295">
        <f>(IF('Water Report'!$W$19&gt;0,'Water Report'!$W$19,0))</f>
        <v>12</v>
      </c>
      <c r="AX21" s="301">
        <f>(IF('Water Report'!$W$21&gt;0,'Water Report'!$W$21,0))</f>
        <v>67</v>
      </c>
      <c r="AY21" s="301">
        <f>(IF('Water Report'!$W$22&gt;0,'Water Report'!$W$22,0))</f>
        <v>0</v>
      </c>
      <c r="AZ21" s="301">
        <f>(IF('Water Report'!$W$23&gt;0,'Water Report'!$W$23,0))</f>
        <v>1</v>
      </c>
      <c r="BA21" s="301">
        <f>(IF('Water Report'!$W$14&gt;0,'Water Report'!$W$14,0))</f>
        <v>7</v>
      </c>
      <c r="BB21" s="301">
        <f>(IF('Water Report'!$W$15&gt;0,'Water Report'!$W$15,0))</f>
        <v>9</v>
      </c>
      <c r="BC21" s="301">
        <f>(IF('Water Report'!$W$13&gt;0,'Water Report'!$W$13,0))</f>
        <v>68</v>
      </c>
      <c r="BD21" s="301">
        <f>(IF('Water Report'!$W$24&gt;0,'Water Report'!$W$24,0))</f>
        <v>395</v>
      </c>
      <c r="BE21" s="301">
        <f>(IF('Water Report'!$W$25&gt;0,'Water Report'!$W$25,0))</f>
        <v>136</v>
      </c>
      <c r="BF21" s="301">
        <f>(IF('Water Report'!$W$27&gt;0,'Water Report'!$W$27,0))</f>
        <v>136</v>
      </c>
      <c r="BG21" s="296">
        <f>(IF('Section Load'!AN24&gt;0,'Section Load'!AN24,0))</f>
        <v>1100</v>
      </c>
      <c r="BH21" s="296">
        <f>(IF('Section Load'!AO24&gt;0,'Section Load'!AO24,0))</f>
        <v>318.68999999994412</v>
      </c>
      <c r="BI21" s="296">
        <f>(IF('Section Load'!AP24&gt;0,'Section Load'!AP24,0))</f>
        <v>0</v>
      </c>
      <c r="BJ21" s="296">
        <f>(IF('Section Load'!AQ24&gt;0,'Section Load'!AQ24,0))</f>
        <v>127.04999999998836</v>
      </c>
      <c r="BK21" s="296">
        <f>(IF('Section Load'!AR24&gt;0,'Section Load'!AR24,0))</f>
        <v>46.69999999999709</v>
      </c>
      <c r="BL21" s="296">
        <f>(IF('Section Load'!AS24&gt;0,'Section Load'!AS24,0))</f>
        <v>1.2999999999992724</v>
      </c>
      <c r="BM21" s="296">
        <f>(IF('Section Load'!AT24&gt;0,'Section Load'!AT24,0))</f>
        <v>606.26000000007116</v>
      </c>
    </row>
    <row r="22" spans="1:65" x14ac:dyDescent="0.2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3149.2099999999627</v>
      </c>
      <c r="F22" s="294">
        <f>(IF('Section Load'!G25&gt;0,'Section Load'!G25,0))</f>
        <v>1625.5</v>
      </c>
      <c r="G22" s="294">
        <f>(IF('Section Load'!H25&gt;0,'Section Load'!H25,0))</f>
        <v>1893.8399999999965</v>
      </c>
      <c r="H22" s="294">
        <f>(IF('Section Load'!I25&gt;0,'Section Load'!I25,0))</f>
        <v>2810.5999999999767</v>
      </c>
      <c r="I22" s="294">
        <f>(IF('Section Load'!J25&gt;0,'Section Load'!J25,0))</f>
        <v>4666.0799999999981</v>
      </c>
      <c r="J22" s="294">
        <f>(IF('Section Load'!K25&gt;0,'Section Load'!K25,0))</f>
        <v>2692.16</v>
      </c>
      <c r="K22" s="294">
        <f>(IF('Section Load'!L25&gt;0,'Section Load'!L25,0))</f>
        <v>1116.6799999999985</v>
      </c>
      <c r="L22" s="294">
        <f>(IF('Section Load'!M25&gt;0,'Section Load'!M25,0))</f>
        <v>1038.0299999999988</v>
      </c>
      <c r="M22" s="294">
        <f>(IF('Section Load'!N25&gt;0,'Section Load'!N25,0))</f>
        <v>91</v>
      </c>
      <c r="N22" s="294">
        <f>(IF('Section Load'!O25&gt;0,'Section Load'!O25,0))</f>
        <v>3</v>
      </c>
      <c r="O22" s="294">
        <f>(IF('Section Load'!P25&gt;0,'Section Load'!P25,0))</f>
        <v>0.59999999999126885</v>
      </c>
      <c r="P22" s="294">
        <f>(IF('Section Load'!Q25&gt;0,'Section Load'!Q25,0))</f>
        <v>199.97000000000116</v>
      </c>
      <c r="Q22" s="294">
        <f>(IF('Section Load'!R25&gt;0,'Section Load'!R25,0))</f>
        <v>73.220000000001164</v>
      </c>
      <c r="R22" s="294">
        <f>(IF('Section Load'!S25&gt;0,'Section Load'!S25,0))</f>
        <v>23.890000000000327</v>
      </c>
      <c r="S22" s="294">
        <f>(IF('Section Load'!T25&gt;0,'Section Load'!T25,0))</f>
        <v>497</v>
      </c>
      <c r="T22" s="294">
        <f>(IF('Section Load'!U25&gt;0,'Section Load'!U25,0))</f>
        <v>242</v>
      </c>
      <c r="U22" s="294">
        <f>(IF('Section Load'!V25&gt;0,'Section Load'!V25,0))</f>
        <v>406.95999999996275</v>
      </c>
      <c r="V22" s="294">
        <f>(IF('Section Load'!W25&gt;0,'Section Load'!W25,0))</f>
        <v>278.07999999995809</v>
      </c>
      <c r="W22" s="294">
        <f>(IF('Section Load'!X25&gt;0,'Section Load'!X25,0))</f>
        <v>25.529999999999745</v>
      </c>
      <c r="X22" s="294">
        <f>(IF('Section Load'!Y25&gt;0,'Section Load'!Y25,0))</f>
        <v>221.16000000000349</v>
      </c>
      <c r="Y22" s="294">
        <f>(IF('Section Load'!Z25&gt;0,'Section Load'!Z25,0))</f>
        <v>214</v>
      </c>
      <c r="Z22" s="294">
        <f>(IF('Section Load'!AA25&gt;0,'Section Load'!AA25,0))</f>
        <v>2.9600000000209548</v>
      </c>
      <c r="AA22" s="294">
        <f>(IF('Section Load'!AB25&gt;0,'Section Load'!AB25,0))</f>
        <v>33.69999999999709</v>
      </c>
      <c r="AB22" s="294">
        <f>(IF('Section Load'!AC25&gt;0,'Section Load'!AC25,0))</f>
        <v>0</v>
      </c>
      <c r="AC22" s="294">
        <f>(IF('Section Load'!AD25&gt;0,'Section Load'!AD25,0))</f>
        <v>85.199999999994361</v>
      </c>
      <c r="AD22" s="294">
        <f>(IF('Section Load'!AE25&gt;0,'Section Load'!AE25,0))</f>
        <v>0</v>
      </c>
      <c r="AE22" s="294">
        <f>(IF('Section Load'!AF25&gt;0,'Section Load'!AF25,0))</f>
        <v>25.7800000000002</v>
      </c>
      <c r="AF22" s="294">
        <f>(IF('Section Load'!AG25&gt;0,'Section Load'!AG25,0))</f>
        <v>412.89999999999418</v>
      </c>
      <c r="AG22" s="294">
        <f>(IF('Section Load'!AH25&gt;0,'Section Load'!AH25,0))</f>
        <v>426.22000000000116</v>
      </c>
      <c r="AH22" s="294">
        <f>(IF('Section Load'!AI25&gt;0,'Section Load'!AI25,0))</f>
        <v>416.88999999999942</v>
      </c>
      <c r="AI22" s="294">
        <f>(IF('Section Load'!AJ25&gt;0,'Section Load'!AJ25,0))</f>
        <v>783.79999999998836</v>
      </c>
      <c r="AJ22" s="294">
        <f>(IF('Section Load'!AK25&gt;0,'Section Load'!AK25,0))</f>
        <v>257.5</v>
      </c>
      <c r="AK22" s="294">
        <f>(IF('Section Load'!AL25&gt;0,'Section Load'!AL25,0))</f>
        <v>384.54999999998836</v>
      </c>
      <c r="AL22" s="294">
        <f>(IF('Section Load'!AM25&gt;0,'Section Load'!AM25,0))</f>
        <v>706.69000000000233</v>
      </c>
      <c r="AM22" s="295">
        <f>(IF('Water Report'!$X$7&gt;0,'Water Report'!$X$7,0))</f>
        <v>117</v>
      </c>
      <c r="AN22" s="295">
        <f>(IF('Water Report'!$X$8&gt;0,'Water Report'!$X$8,0))</f>
        <v>72</v>
      </c>
      <c r="AO22" s="295">
        <f>(IF('Water Report'!$X$9&gt;0,'Water Report'!$X$9,0))</f>
        <v>97</v>
      </c>
      <c r="AP22" s="295">
        <f>(IF('Water Report'!$X$10&gt;0,'Water Report'!$X$10,0))</f>
        <v>17</v>
      </c>
      <c r="AQ22" s="295">
        <f>(IF('Water Report'!$X$11&gt;0,'Water Report'!$X$11,0))</f>
        <v>27</v>
      </c>
      <c r="AR22" s="295">
        <f>(IF('Water Report'!$X$13&gt;0,'Water Report'!$X$13,0))</f>
        <v>35</v>
      </c>
      <c r="AS22" s="295">
        <f>(IF('Water Report'!$X$14&gt;0,'Water Report'!$X$14,0))</f>
        <v>9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60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9</v>
      </c>
      <c r="BB22" s="301">
        <f>(IF('Water Report'!$X$15&gt;0,'Water Report'!$X$15,0))</f>
        <v>8</v>
      </c>
      <c r="BC22" s="301">
        <f>(IF('Water Report'!$X$13&gt;0,'Water Report'!$X$13,0))</f>
        <v>35</v>
      </c>
      <c r="BD22" s="301">
        <f>(IF('Water Report'!$X$24&gt;0,'Water Report'!$X$24,0))</f>
        <v>515</v>
      </c>
      <c r="BE22" s="301">
        <f>(IF('Water Report'!$X$25&gt;0,'Water Report'!$X$25,0))</f>
        <v>158</v>
      </c>
      <c r="BF22" s="301">
        <f>(IF('Water Report'!$X$27&gt;0,'Water Report'!$X$27,0))</f>
        <v>106</v>
      </c>
      <c r="BG22" s="296">
        <f>(IF('Section Load'!AN25&gt;0,'Section Load'!AN25,0))</f>
        <v>1100</v>
      </c>
      <c r="BH22" s="296">
        <f>(IF('Section Load'!AO25&gt;0,'Section Load'!AO25,0))</f>
        <v>321.20999999996275</v>
      </c>
      <c r="BI22" s="296">
        <f>(IF('Section Load'!AP25&gt;0,'Section Load'!AP25,0))</f>
        <v>0</v>
      </c>
      <c r="BJ22" s="296">
        <f>(IF('Section Load'!AQ25&gt;0,'Section Load'!AQ25,0))</f>
        <v>111.48000000001048</v>
      </c>
      <c r="BK22" s="296">
        <f>(IF('Section Load'!AR25&gt;0,'Section Load'!AR25,0))</f>
        <v>55</v>
      </c>
      <c r="BL22" s="296">
        <f>(IF('Section Load'!AS25&gt;0,'Section Load'!AS25,0))</f>
        <v>1</v>
      </c>
      <c r="BM22" s="296">
        <f>(IF('Section Load'!AT25&gt;0,'Section Load'!AT25,0))</f>
        <v>611.31000000002678</v>
      </c>
    </row>
    <row r="23" spans="1:65" x14ac:dyDescent="0.2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3084.4900000000198</v>
      </c>
      <c r="F23" s="294">
        <f>(IF('Section Load'!G26&gt;0,'Section Load'!G26,0))</f>
        <v>1590.140000000014</v>
      </c>
      <c r="G23" s="294">
        <f>(IF('Section Load'!H26&gt;0,'Section Load'!H26,0))</f>
        <v>1914.5800000000163</v>
      </c>
      <c r="H23" s="294">
        <f>(IF('Section Load'!I26&gt;0,'Section Load'!I26,0))</f>
        <v>2775.9200000000419</v>
      </c>
      <c r="I23" s="294">
        <f>(IF('Section Load'!J26&gt;0,'Section Load'!J26,0))</f>
        <v>4737.3100000000049</v>
      </c>
      <c r="J23" s="294">
        <f>(IF('Section Load'!K26&gt;0,'Section Load'!K26,0))</f>
        <v>2692.75</v>
      </c>
      <c r="K23" s="294">
        <f>(IF('Section Load'!L26&gt;0,'Section Load'!L26,0))</f>
        <v>1108.0100000000002</v>
      </c>
      <c r="L23" s="294">
        <f>(IF('Section Load'!M26&gt;0,'Section Load'!M26,0))</f>
        <v>919.97000000000116</v>
      </c>
      <c r="M23" s="294">
        <f>(IF('Section Load'!N26&gt;0,'Section Load'!N26,0))</f>
        <v>109</v>
      </c>
      <c r="N23" s="294">
        <f>(IF('Section Load'!O26&gt;0,'Section Load'!O26,0))</f>
        <v>4</v>
      </c>
      <c r="O23" s="294">
        <f>(IF('Section Load'!P26&gt;0,'Section Load'!P26,0))</f>
        <v>1.1999999999970896</v>
      </c>
      <c r="P23" s="294">
        <f>(IF('Section Load'!Q26&gt;0,'Section Load'!Q26,0))</f>
        <v>197.43999999999505</v>
      </c>
      <c r="Q23" s="294">
        <f>(IF('Section Load'!R26&gt;0,'Section Load'!R26,0))</f>
        <v>74.379999999997381</v>
      </c>
      <c r="R23" s="294">
        <f>(IF('Section Load'!S26&gt;0,'Section Load'!S26,0))</f>
        <v>25.139999999999418</v>
      </c>
      <c r="S23" s="294">
        <f>(IF('Section Load'!T26&gt;0,'Section Load'!T26,0))</f>
        <v>500</v>
      </c>
      <c r="T23" s="294">
        <f>(IF('Section Load'!U26&gt;0,'Section Load'!U26,0))</f>
        <v>251</v>
      </c>
      <c r="U23" s="294">
        <f>(IF('Section Load'!V26&gt;0,'Section Load'!V26,0))</f>
        <v>402.64000000001397</v>
      </c>
      <c r="V23" s="294">
        <f>(IF('Section Load'!W26&gt;0,'Section Load'!W26,0))</f>
        <v>297.76000000000931</v>
      </c>
      <c r="W23" s="294">
        <f>(IF('Section Load'!X26&gt;0,'Section Load'!X26,0))</f>
        <v>27.420000000000073</v>
      </c>
      <c r="X23" s="294">
        <f>(IF('Section Load'!Y26&gt;0,'Section Load'!Y26,0))</f>
        <v>215.00999999999476</v>
      </c>
      <c r="Y23" s="294">
        <f>(IF('Section Load'!Z26&gt;0,'Section Load'!Z26,0))</f>
        <v>225</v>
      </c>
      <c r="Z23" s="294">
        <f>(IF('Section Load'!AA26&gt;0,'Section Load'!AA26,0))</f>
        <v>2.279999999969732</v>
      </c>
      <c r="AA23" s="294">
        <f>(IF('Section Load'!AB26&gt;0,'Section Load'!AB26,0))</f>
        <v>41</v>
      </c>
      <c r="AB23" s="294">
        <f>(IF('Section Load'!AC26&gt;0,'Section Load'!AC26,0))</f>
        <v>0</v>
      </c>
      <c r="AC23" s="294">
        <f>(IF('Section Load'!AD26&gt;0,'Section Load'!AD26,0))</f>
        <v>84.69999999999709</v>
      </c>
      <c r="AD23" s="294">
        <f>(IF('Section Load'!AE26&gt;0,'Section Load'!AE26,0))</f>
        <v>0</v>
      </c>
      <c r="AE23" s="294">
        <f>(IF('Section Load'!AF26&gt;0,'Section Load'!AF26,0))</f>
        <v>14.989999999999782</v>
      </c>
      <c r="AF23" s="294">
        <f>(IF('Section Load'!AG26&gt;0,'Section Load'!AG26,0))</f>
        <v>405.70000000001164</v>
      </c>
      <c r="AG23" s="294">
        <f>(IF('Section Load'!AH26&gt;0,'Section Load'!AH26,0))</f>
        <v>427.51999999998952</v>
      </c>
      <c r="AH23" s="294">
        <f>(IF('Section Load'!AI26&gt;0,'Section Load'!AI26,0))</f>
        <v>412.20999999999913</v>
      </c>
      <c r="AI23" s="294">
        <f>(IF('Section Load'!AJ26&gt;0,'Section Load'!AJ26,0))</f>
        <v>776.8399999999674</v>
      </c>
      <c r="AJ23" s="294">
        <f>(IF('Section Load'!AK26&gt;0,'Section Load'!AK26,0))</f>
        <v>235.58000000000175</v>
      </c>
      <c r="AK23" s="294">
        <f>(IF('Section Load'!AL26&gt;0,'Section Load'!AL26,0))</f>
        <v>354.81000000002678</v>
      </c>
      <c r="AL23" s="294">
        <f>(IF('Section Load'!AM26&gt;0,'Section Load'!AM26,0))</f>
        <v>649.09999999999127</v>
      </c>
      <c r="AM23" s="295">
        <f>(IF('Water Report'!$Y$7&gt;0,'Water Report'!$Y$7,0))</f>
        <v>120</v>
      </c>
      <c r="AN23" s="295">
        <f>(IF('Water Report'!$Y$8&gt;0,'Water Report'!$Y$8,0))</f>
        <v>80</v>
      </c>
      <c r="AO23" s="295">
        <f>(IF('Water Report'!$Y$9&gt;0,'Water Report'!$Y$9,0))</f>
        <v>105</v>
      </c>
      <c r="AP23" s="295">
        <f>(IF('Water Report'!$Y$10&gt;0,'Water Report'!$Y$10,0))</f>
        <v>18</v>
      </c>
      <c r="AQ23" s="295">
        <f>(IF('Water Report'!$Y$11&gt;0,'Water Report'!$Y$11,0))</f>
        <v>27</v>
      </c>
      <c r="AR23" s="295">
        <f>(IF('Water Report'!$Y$13&gt;0,'Water Report'!$Y$13,0))</f>
        <v>32</v>
      </c>
      <c r="AS23" s="295">
        <f>(IF('Water Report'!$Y$14&gt;0,'Water Report'!$Y$14,0))</f>
        <v>8</v>
      </c>
      <c r="AT23" s="295">
        <f>(IF('Water Report'!$Y$15&gt;0,'Water Report'!$Y$15,0))</f>
        <v>9</v>
      </c>
      <c r="AU23" s="295">
        <f>(IF('Water Report'!$Y$17&gt;0,'Water Report'!$Y$17,0))</f>
        <v>16</v>
      </c>
      <c r="AV23" s="295">
        <f>(IF('Water Report'!$Y$18&gt;0,'Water Report'!$Y$18,0))</f>
        <v>14</v>
      </c>
      <c r="AW23" s="295">
        <f>(IF('Water Report'!$Y$19&gt;0,'Water Report'!$Y$19,0))</f>
        <v>10</v>
      </c>
      <c r="AX23" s="301">
        <f>(IF('Water Report'!$Y$21&gt;0,'Water Report'!$Y$21,0))</f>
        <v>57</v>
      </c>
      <c r="AY23" s="301">
        <f>(IF('Water Report'!$Y$22&gt;0,'Water Report'!$Y$22,0))</f>
        <v>0</v>
      </c>
      <c r="AZ23" s="301">
        <f>(IF('Water Report'!$Y$23&gt;0,'Water Report'!$Y$23,0))</f>
        <v>12</v>
      </c>
      <c r="BA23" s="301">
        <f>(IF('Water Report'!$Y$14&gt;0,'Water Report'!$Y$14,0))</f>
        <v>8</v>
      </c>
      <c r="BB23" s="301">
        <f>(IF('Water Report'!$Y$15&gt;0,'Water Report'!$Y$15,0))</f>
        <v>9</v>
      </c>
      <c r="BC23" s="301">
        <f>(IF('Water Report'!$Y$13&gt;0,'Water Report'!$Y$13,0))</f>
        <v>32</v>
      </c>
      <c r="BD23" s="301">
        <f>(IF('Water Report'!$Y$24&gt;0,'Water Report'!$Y$24,0))</f>
        <v>635</v>
      </c>
      <c r="BE23" s="301">
        <f>(IF('Water Report'!$Y$25&gt;0,'Water Report'!$Y$25,0))</f>
        <v>167</v>
      </c>
      <c r="BF23" s="301">
        <f>(IF('Water Report'!$Y$27&gt;0,'Water Report'!$Y$27,0))</f>
        <v>101</v>
      </c>
      <c r="BG23" s="296">
        <f>(IF('Section Load'!AN26&gt;0,'Section Load'!AN26,0))</f>
        <v>1100</v>
      </c>
      <c r="BH23" s="296">
        <f>(IF('Section Load'!AO26&gt;0,'Section Load'!AO26,0))</f>
        <v>332.31000000005588</v>
      </c>
      <c r="BI23" s="296">
        <f>(IF('Section Load'!AP26&gt;0,'Section Load'!AP26,0))</f>
        <v>0</v>
      </c>
      <c r="BJ23" s="296">
        <f>(IF('Section Load'!AQ26&gt;0,'Section Load'!AQ26,0))</f>
        <v>92.069999999977881</v>
      </c>
      <c r="BK23" s="296">
        <f>(IF('Section Load'!AR26&gt;0,'Section Load'!AR26,0))</f>
        <v>47.900000000001455</v>
      </c>
      <c r="BL23" s="296">
        <f>(IF('Section Load'!AS26&gt;0,'Section Load'!AS26,0))</f>
        <v>1.7000000000007276</v>
      </c>
      <c r="BM23" s="296">
        <f>(IF('Section Load'!AT26&gt;0,'Section Load'!AT26,0))</f>
        <v>626.01999999996406</v>
      </c>
    </row>
    <row r="24" spans="1:65" x14ac:dyDescent="0.2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3026.2200000000012</v>
      </c>
      <c r="F24" s="294">
        <f>(IF('Section Load'!G27&gt;0,'Section Load'!G27,0))</f>
        <v>1586.7099999999919</v>
      </c>
      <c r="G24" s="294">
        <f>(IF('Section Load'!H27&gt;0,'Section Load'!H27,0))</f>
        <v>1933.5499999999884</v>
      </c>
      <c r="H24" s="294">
        <f>(IF('Section Load'!I27&gt;0,'Section Load'!I27,0))</f>
        <v>2743.8499999999767</v>
      </c>
      <c r="I24" s="294">
        <f>(IF('Section Load'!J27&gt;0,'Section Load'!J27,0))</f>
        <v>4454.0999999999985</v>
      </c>
      <c r="J24" s="294">
        <f>(IF('Section Load'!K27&gt;0,'Section Load'!K27,0))</f>
        <v>2677.5</v>
      </c>
      <c r="K24" s="294">
        <f>(IF('Section Load'!L27&gt;0,'Section Load'!L27,0))</f>
        <v>1077.1100000000006</v>
      </c>
      <c r="L24" s="294">
        <f>(IF('Section Load'!M27&gt;0,'Section Load'!M27,0))</f>
        <v>821.63999999999942</v>
      </c>
      <c r="M24" s="294">
        <f>(IF('Section Load'!N27&gt;0,'Section Load'!N27,0))</f>
        <v>125</v>
      </c>
      <c r="N24" s="294">
        <f>(IF('Section Load'!O27&gt;0,'Section Load'!O27,0))</f>
        <v>14</v>
      </c>
      <c r="O24" s="294">
        <f>(IF('Section Load'!P27&gt;0,'Section Load'!P27,0))</f>
        <v>0</v>
      </c>
      <c r="P24" s="294">
        <f>(IF('Section Load'!Q27&gt;0,'Section Load'!Q27,0))</f>
        <v>198.9800000000032</v>
      </c>
      <c r="Q24" s="294">
        <f>(IF('Section Load'!R27&gt;0,'Section Load'!R27,0))</f>
        <v>71.31000000000131</v>
      </c>
      <c r="R24" s="294">
        <f>(IF('Section Load'!S27&gt;0,'Section Load'!S27,0))</f>
        <v>24.930000000000291</v>
      </c>
      <c r="S24" s="294">
        <f>(IF('Section Load'!T27&gt;0,'Section Load'!T27,0))</f>
        <v>482</v>
      </c>
      <c r="T24" s="294">
        <f>(IF('Section Load'!U27&gt;0,'Section Load'!U27,0))</f>
        <v>234</v>
      </c>
      <c r="U24" s="294">
        <f>(IF('Section Load'!V27&gt;0,'Section Load'!V27,0))</f>
        <v>373.88000000000466</v>
      </c>
      <c r="V24" s="294">
        <f>(IF('Section Load'!W27&gt;0,'Section Load'!W27,0))</f>
        <v>263.76000000000931</v>
      </c>
      <c r="W24" s="294">
        <f>(IF('Section Load'!X27&gt;0,'Section Load'!X27,0))</f>
        <v>21.980000000000018</v>
      </c>
      <c r="X24" s="294">
        <f>(IF('Section Load'!Y27&gt;0,'Section Load'!Y27,0))</f>
        <v>235.9600000000064</v>
      </c>
      <c r="Y24" s="294">
        <f>(IF('Section Load'!Z27&gt;0,'Section Load'!Z27,0))</f>
        <v>212</v>
      </c>
      <c r="Z24" s="294">
        <f>(IF('Section Load'!AA27&gt;0,'Section Load'!AA27,0))</f>
        <v>0</v>
      </c>
      <c r="AA24" s="294">
        <f>(IF('Section Load'!AB27&gt;0,'Section Load'!AB27,0))</f>
        <v>37.5</v>
      </c>
      <c r="AB24" s="294">
        <f>(IF('Section Load'!AC27&gt;0,'Section Load'!AC27,0))</f>
        <v>0</v>
      </c>
      <c r="AC24" s="294">
        <f>(IF('Section Load'!AD27&gt;0,'Section Load'!AD27,0))</f>
        <v>63.500000000005457</v>
      </c>
      <c r="AD24" s="294">
        <f>(IF('Section Load'!AE27&gt;0,'Section Load'!AE27,0))</f>
        <v>0</v>
      </c>
      <c r="AE24" s="294">
        <f>(IF('Section Load'!AF27&gt;0,'Section Load'!AF27,0))</f>
        <v>15.070000000000164</v>
      </c>
      <c r="AF24" s="294">
        <f>(IF('Section Load'!AG27&gt;0,'Section Load'!AG27,0))</f>
        <v>376.10999999998603</v>
      </c>
      <c r="AG24" s="294">
        <f>(IF('Section Load'!AH27&gt;0,'Section Load'!AH27,0))</f>
        <v>438.02999999999884</v>
      </c>
      <c r="AH24" s="294">
        <f>(IF('Section Load'!AI27&gt;0,'Section Load'!AI27,0))</f>
        <v>435.4900000000016</v>
      </c>
      <c r="AI24" s="294">
        <f>(IF('Section Load'!AJ27&gt;0,'Section Load'!AJ27,0))</f>
        <v>758.65000000002328</v>
      </c>
      <c r="AJ24" s="294">
        <f>(IF('Section Load'!AK27&gt;0,'Section Load'!AK27,0))</f>
        <v>191.2899999999936</v>
      </c>
      <c r="AK24" s="294">
        <f>(IF('Section Load'!AL27&gt;0,'Section Load'!AL27,0))</f>
        <v>351.35999999998603</v>
      </c>
      <c r="AL24" s="294">
        <f>(IF('Section Load'!AM27&gt;0,'Section Load'!AM27,0))</f>
        <v>663.94000000000233</v>
      </c>
      <c r="AM24" s="295">
        <f>(IF('Water Report'!$Z$7&gt;0,'Water Report'!$Z$7,0))</f>
        <v>120</v>
      </c>
      <c r="AN24" s="295">
        <f>(IF('Water Report'!$Z$8&gt;0,'Water Report'!$Z$8,0))</f>
        <v>66</v>
      </c>
      <c r="AO24" s="295">
        <f>(IF('Water Report'!$Z$9&gt;0,'Water Report'!$Z$9,0))</f>
        <v>99</v>
      </c>
      <c r="AP24" s="295">
        <f>(IF('Water Report'!$Z$10&gt;0,'Water Report'!$Z$10,0))</f>
        <v>25</v>
      </c>
      <c r="AQ24" s="295">
        <f>(IF('Water Report'!$Z$11&gt;0,'Water Report'!$Z$11,0))</f>
        <v>28</v>
      </c>
      <c r="AR24" s="295">
        <f>(IF('Water Report'!$Z$13&gt;0,'Water Report'!$Z$13,0))</f>
        <v>29</v>
      </c>
      <c r="AS24" s="295">
        <f>(IF('Water Report'!$Z$14&gt;0,'Water Report'!$Z$14,0))</f>
        <v>11</v>
      </c>
      <c r="AT24" s="295">
        <f>(IF('Water Report'!$Z$15&gt;0,'Water Report'!$Z$15,0))</f>
        <v>11</v>
      </c>
      <c r="AU24" s="295">
        <f>(IF('Water Report'!$Z$17&gt;0,'Water Report'!$Z$17,0))</f>
        <v>0</v>
      </c>
      <c r="AV24" s="295">
        <f>(IF('Water Report'!$Z$18&gt;0,'Water Report'!$Z$18,0))</f>
        <v>15</v>
      </c>
      <c r="AW24" s="295">
        <f>(IF('Water Report'!$Z$19&gt;0,'Water Report'!$Z$19,0))</f>
        <v>12</v>
      </c>
      <c r="AX24" s="301">
        <f>(IF('Water Report'!$Z$21&gt;0,'Water Report'!$Z$21,0))</f>
        <v>56</v>
      </c>
      <c r="AY24" s="301">
        <f>(IF('Water Report'!$Z$22&gt;0,'Water Report'!$Z$22,0))</f>
        <v>0</v>
      </c>
      <c r="AZ24" s="301">
        <f>(IF('Water Report'!$Z$23&gt;0,'Water Report'!$Z$23,0))</f>
        <v>7</v>
      </c>
      <c r="BA24" s="301">
        <f>(IF('Water Report'!$Z$14&gt;0,'Water Report'!$Z$14,0))</f>
        <v>11</v>
      </c>
      <c r="BB24" s="301">
        <f>(IF('Water Report'!$Z$15&gt;0,'Water Report'!$Z$15,0))</f>
        <v>11</v>
      </c>
      <c r="BC24" s="301">
        <f>(IF('Water Report'!$Z$13&gt;0,'Water Report'!$Z$13,0))</f>
        <v>29</v>
      </c>
      <c r="BD24" s="301">
        <f>(IF('Water Report'!$Z$24&gt;0,'Water Report'!$Z$24,0))</f>
        <v>755</v>
      </c>
      <c r="BE24" s="301">
        <f>(IF('Water Report'!$Z$25&gt;0,'Water Report'!$Z$25,0))</f>
        <v>174</v>
      </c>
      <c r="BF24" s="301">
        <f>(IF('Water Report'!$Z$27&gt;0,'Water Report'!$Z$27,0))</f>
        <v>92</v>
      </c>
      <c r="BG24" s="296">
        <f>(IF('Section Load'!AN27&gt;0,'Section Load'!AN27,0))</f>
        <v>1100</v>
      </c>
      <c r="BH24" s="296">
        <f>(IF('Section Load'!AO27&gt;0,'Section Load'!AO27,0))</f>
        <v>301.47999999998137</v>
      </c>
      <c r="BI24" s="296">
        <f>(IF('Section Load'!AP27&gt;0,'Section Load'!AP27,0))</f>
        <v>0</v>
      </c>
      <c r="BJ24" s="296">
        <f>(IF('Section Load'!AQ27&gt;0,'Section Load'!AQ27,0))</f>
        <v>120.20000000001164</v>
      </c>
      <c r="BK24" s="296">
        <f>(IF('Section Load'!AR27&gt;0,'Section Load'!AR27,0))</f>
        <v>41.099999999998545</v>
      </c>
      <c r="BL24" s="296">
        <f>(IF('Section Load'!AS27&gt;0,'Section Load'!AS27,0))</f>
        <v>1.2999999999992724</v>
      </c>
      <c r="BM24" s="296">
        <f>(IF('Section Load'!AT27&gt;0,'Section Load'!AT27,0))</f>
        <v>635.92000000000917</v>
      </c>
    </row>
    <row r="25" spans="1:65" x14ac:dyDescent="0.2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3095</v>
      </c>
      <c r="F25" s="294">
        <f>(IF('Section Load'!G28&gt;0,'Section Load'!G28,0))</f>
        <v>1616</v>
      </c>
      <c r="G25" s="294">
        <f>(IF('Section Load'!H28&gt;0,'Section Load'!H28,0))</f>
        <v>1954</v>
      </c>
      <c r="H25" s="294">
        <f>(IF('Section Load'!I28&gt;0,'Section Load'!I28,0))</f>
        <v>2746</v>
      </c>
      <c r="I25" s="294">
        <f>(IF('Section Load'!J28&gt;0,'Section Load'!J28,0))</f>
        <v>4621</v>
      </c>
      <c r="J25" s="294">
        <f>(IF('Section Load'!K28&gt;0,'Section Load'!K28,0))</f>
        <v>2687</v>
      </c>
      <c r="K25" s="294">
        <f>(IF('Section Load'!L28&gt;0,'Section Load'!L28,0))</f>
        <v>1032</v>
      </c>
      <c r="L25" s="294">
        <f>(IF('Section Load'!M28&gt;0,'Section Load'!M28,0))</f>
        <v>955</v>
      </c>
      <c r="M25" s="294">
        <f>(IF('Section Load'!N28&gt;0,'Section Load'!N28,0))</f>
        <v>118</v>
      </c>
      <c r="N25" s="294">
        <f>(IF('Section Load'!O28&gt;0,'Section Load'!O28,0))</f>
        <v>7</v>
      </c>
      <c r="O25" s="294">
        <f>(IF('Section Load'!P28&gt;0,'Section Load'!P28,0))</f>
        <v>0</v>
      </c>
      <c r="P25" s="294">
        <f>(IF('Section Load'!Q28&gt;0,'Section Load'!Q28,0))</f>
        <v>208</v>
      </c>
      <c r="Q25" s="294">
        <f>(IF('Section Load'!R28&gt;0,'Section Load'!R28,0))</f>
        <v>78</v>
      </c>
      <c r="R25" s="294">
        <f>(IF('Section Load'!S28&gt;0,'Section Load'!S28,0))</f>
        <v>20</v>
      </c>
      <c r="S25" s="294">
        <f>(IF('Section Load'!T28&gt;0,'Section Load'!T28,0))</f>
        <v>448</v>
      </c>
      <c r="T25" s="294">
        <f>(IF('Section Load'!U28&gt;0,'Section Load'!U28,0))</f>
        <v>245</v>
      </c>
      <c r="U25" s="294">
        <f>(IF('Section Load'!V28&gt;0,'Section Load'!V28,0))</f>
        <v>380</v>
      </c>
      <c r="V25" s="294">
        <f>(IF('Section Load'!W28&gt;0,'Section Load'!W28,0))</f>
        <v>285</v>
      </c>
      <c r="W25" s="294">
        <f>(IF('Section Load'!X28&gt;0,'Section Load'!X28,0))</f>
        <v>23</v>
      </c>
      <c r="X25" s="294">
        <f>(IF('Section Load'!Y28&gt;0,'Section Load'!Y28,0))</f>
        <v>218</v>
      </c>
      <c r="Y25" s="294">
        <f>(IF('Section Load'!Z28&gt;0,'Section Load'!Z28,0))</f>
        <v>247</v>
      </c>
      <c r="Z25" s="294">
        <f>(IF('Section Load'!AA28&gt;0,'Section Load'!AA28,0))</f>
        <v>0</v>
      </c>
      <c r="AA25" s="294">
        <f>(IF('Section Load'!AB28&gt;0,'Section Load'!AB28,0))</f>
        <v>31</v>
      </c>
      <c r="AB25" s="294">
        <f>(IF('Section Load'!AC28&gt;0,'Section Load'!AC28,0))</f>
        <v>2.4400000000023283</v>
      </c>
      <c r="AC25" s="294">
        <f>(IF('Section Load'!AD28&gt;0,'Section Load'!AD28,0))</f>
        <v>67</v>
      </c>
      <c r="AD25" s="294">
        <f>(IF('Section Load'!AE28&gt;0,'Section Load'!AE28,0))</f>
        <v>0</v>
      </c>
      <c r="AE25" s="294">
        <f>(IF('Section Load'!AF28&gt;0,'Section Load'!AF28,0))</f>
        <v>15</v>
      </c>
      <c r="AF25" s="294">
        <f>(IF('Section Load'!AG28&gt;0,'Section Load'!AG28,0))</f>
        <v>388</v>
      </c>
      <c r="AG25" s="294">
        <f>(IF('Section Load'!AH28&gt;0,'Section Load'!AH28,0))</f>
        <v>417</v>
      </c>
      <c r="AH25" s="294">
        <f>(IF('Section Load'!AI28&gt;0,'Section Load'!AI28,0))</f>
        <v>438</v>
      </c>
      <c r="AI25" s="294">
        <f>(IF('Section Load'!AJ28&gt;0,'Section Load'!AJ28,0))</f>
        <v>794</v>
      </c>
      <c r="AJ25" s="294">
        <f>(IF('Section Load'!AK28&gt;0,'Section Load'!AK28,0))</f>
        <v>191</v>
      </c>
      <c r="AK25" s="294">
        <f>(IF('Section Load'!AL28&gt;0,'Section Load'!AL28,0))</f>
        <v>348</v>
      </c>
      <c r="AL25" s="294">
        <f>(IF('Section Load'!AM28&gt;0,'Section Load'!AM28,0))</f>
        <v>679</v>
      </c>
      <c r="AM25" s="295">
        <f>(IF('Water Report'!$AA$7&gt;0,'Water Report'!$AA$7,0))</f>
        <v>110</v>
      </c>
      <c r="AN25" s="295">
        <f>(IF('Water Report'!$AA$8&gt;0,'Water Report'!$AA$8,0))</f>
        <v>71</v>
      </c>
      <c r="AO25" s="295">
        <f>(IF('Water Report'!$AA$9&gt;0,'Water Report'!$AA$9,0))</f>
        <v>89</v>
      </c>
      <c r="AP25" s="295">
        <f>(IF('Water Report'!$AA$10&gt;0,'Water Report'!$AA$10,0))</f>
        <v>20</v>
      </c>
      <c r="AQ25" s="295">
        <f>(IF('Water Report'!$AA$11&gt;0,'Water Report'!$AA$11,0))</f>
        <v>31</v>
      </c>
      <c r="AR25" s="295">
        <f>(IF('Water Report'!$AA$13&gt;0,'Water Report'!$AA$13,0))</f>
        <v>41</v>
      </c>
      <c r="AS25" s="295">
        <f>(IF('Water Report'!$AA$14&gt;0,'Water Report'!$AA$14,0))</f>
        <v>12</v>
      </c>
      <c r="AT25" s="295">
        <f>(IF('Water Report'!$AA$15&gt;0,'Water Report'!$AA$15,0))</f>
        <v>10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11</v>
      </c>
      <c r="AX25" s="301">
        <f>(IF('Water Report'!$AA$21&gt;0,'Water Report'!$AA$21,0))</f>
        <v>99</v>
      </c>
      <c r="AY25" s="301">
        <f>(IF('Water Report'!$AA$22&gt;0,'Water Report'!$AA$22,0))</f>
        <v>0</v>
      </c>
      <c r="AZ25" s="301">
        <f>(IF('Water Report'!$AA$23&gt;0,'Water Report'!$AA$23,0))</f>
        <v>9</v>
      </c>
      <c r="BA25" s="301">
        <f>(IF('Water Report'!$AA$14&gt;0,'Water Report'!$AA$14,0))</f>
        <v>12</v>
      </c>
      <c r="BB25" s="301">
        <f>(IF('Water Report'!$AA$15&gt;0,'Water Report'!$AA$15,0))</f>
        <v>10</v>
      </c>
      <c r="BC25" s="301">
        <f>(IF('Water Report'!$AA$13&gt;0,'Water Report'!$AA$13,0))</f>
        <v>41</v>
      </c>
      <c r="BD25" s="301">
        <f>(IF('Water Report'!$AA$24&gt;0,'Water Report'!$AA$24,0))</f>
        <v>875</v>
      </c>
      <c r="BE25" s="301">
        <f>(IF('Water Report'!$AA$25&gt;0,'Water Report'!$AA$25,0))</f>
        <v>162</v>
      </c>
      <c r="BF25" s="301">
        <f>(IF('Water Report'!$AA$27&gt;0,'Water Report'!$AA$27,0))</f>
        <v>149</v>
      </c>
      <c r="BG25" s="296">
        <f>(IF('Section Load'!AN28&gt;0,'Section Load'!AN28,0))</f>
        <v>1100</v>
      </c>
      <c r="BH25" s="296">
        <f>(IF('Section Load'!AO28&gt;0,'Section Load'!AO28,0))</f>
        <v>299</v>
      </c>
      <c r="BI25" s="296">
        <f>(IF('Section Load'!AP28&gt;0,'Section Load'!AP28,0))</f>
        <v>0</v>
      </c>
      <c r="BJ25" s="296">
        <f>(IF('Section Load'!AQ28&gt;0,'Section Load'!AQ28,0))</f>
        <v>121</v>
      </c>
      <c r="BK25" s="296">
        <f>(IF('Section Load'!AR28&gt;0,'Section Load'!AR28,0))</f>
        <v>43</v>
      </c>
      <c r="BL25" s="296">
        <f>(IF('Section Load'!AS28&gt;0,'Section Load'!AS28,0))</f>
        <v>2</v>
      </c>
      <c r="BM25" s="296">
        <f>(IF('Section Load'!AT28&gt;0,'Section Load'!AT28,0))</f>
        <v>635</v>
      </c>
    </row>
    <row r="26" spans="1:65" x14ac:dyDescent="0.2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3243</v>
      </c>
      <c r="F26" s="294">
        <f>(IF('Section Load'!G29&gt;0,'Section Load'!G29,0))</f>
        <v>1632</v>
      </c>
      <c r="G26" s="294">
        <f>(IF('Section Load'!H29&gt;0,'Section Load'!H29,0))</f>
        <v>2035</v>
      </c>
      <c r="H26" s="294">
        <f>(IF('Section Load'!I29&gt;0,'Section Load'!I29,0))</f>
        <v>2850</v>
      </c>
      <c r="I26" s="294">
        <f>(IF('Section Load'!J29&gt;0,'Section Load'!J29,0))</f>
        <v>4992</v>
      </c>
      <c r="J26" s="294">
        <f>(IF('Section Load'!K29&gt;0,'Section Load'!K29,0))</f>
        <v>2685</v>
      </c>
      <c r="K26" s="294">
        <f>(IF('Section Load'!L29&gt;0,'Section Load'!L29,0))</f>
        <v>1393</v>
      </c>
      <c r="L26" s="294">
        <f>(IF('Section Load'!M29&gt;0,'Section Load'!M29,0))</f>
        <v>1168</v>
      </c>
      <c r="M26" s="294">
        <f>(IF('Section Load'!N29&gt;0,'Section Load'!N29,0))</f>
        <v>137</v>
      </c>
      <c r="N26" s="294">
        <f>(IF('Section Load'!O29&gt;0,'Section Load'!O29,0))</f>
        <v>39</v>
      </c>
      <c r="O26" s="294">
        <f>(IF('Section Load'!P29&gt;0,'Section Load'!P29,0))</f>
        <v>0</v>
      </c>
      <c r="P26" s="294">
        <f>(IF('Section Load'!Q29&gt;0,'Section Load'!Q29,0))</f>
        <v>222</v>
      </c>
      <c r="Q26" s="294">
        <f>(IF('Section Load'!R29&gt;0,'Section Load'!R29,0))</f>
        <v>82</v>
      </c>
      <c r="R26" s="294">
        <f>(IF('Section Load'!S29&gt;0,'Section Load'!S29,0))</f>
        <v>15</v>
      </c>
      <c r="S26" s="294">
        <f>(IF('Section Load'!T29&gt;0,'Section Load'!T29,0))</f>
        <v>629</v>
      </c>
      <c r="T26" s="294">
        <f>(IF('Section Load'!U29&gt;0,'Section Load'!U29,0))</f>
        <v>242</v>
      </c>
      <c r="U26" s="294">
        <f>(IF('Section Load'!V29&gt;0,'Section Load'!V29,0))</f>
        <v>474</v>
      </c>
      <c r="V26" s="294">
        <f>(IF('Section Load'!W29&gt;0,'Section Load'!W29,0))</f>
        <v>398</v>
      </c>
      <c r="W26" s="294">
        <f>(IF('Section Load'!X29&gt;0,'Section Load'!X29,0))</f>
        <v>24</v>
      </c>
      <c r="X26" s="294">
        <f>(IF('Section Load'!Y29&gt;0,'Section Load'!Y29,0))</f>
        <v>212</v>
      </c>
      <c r="Y26" s="294">
        <f>(IF('Section Load'!Z29&gt;0,'Section Load'!Z29,0))</f>
        <v>245</v>
      </c>
      <c r="Z26" s="294">
        <f>(IF('Section Load'!AA29&gt;0,'Section Load'!AA29,0))</f>
        <v>0</v>
      </c>
      <c r="AA26" s="294">
        <f>(IF('Section Load'!AB29&gt;0,'Section Load'!AB29,0))</f>
        <v>19</v>
      </c>
      <c r="AB26" s="294">
        <f>(IF('Section Load'!AC29&gt;0,'Section Load'!AC29,0))</f>
        <v>9.0299999999988358</v>
      </c>
      <c r="AC26" s="294">
        <f>(IF('Section Load'!AD29&gt;0,'Section Load'!AD29,0))</f>
        <v>39</v>
      </c>
      <c r="AD26" s="294">
        <f>(IF('Section Load'!AE29&gt;0,'Section Load'!AE29,0))</f>
        <v>0</v>
      </c>
      <c r="AE26" s="294">
        <f>(IF('Section Load'!AF29&gt;0,'Section Load'!AF29,0))</f>
        <v>32</v>
      </c>
      <c r="AF26" s="294">
        <f>(IF('Section Load'!AG29&gt;0,'Section Load'!AG29,0))</f>
        <v>343</v>
      </c>
      <c r="AG26" s="294">
        <f>(IF('Section Load'!AH29&gt;0,'Section Load'!AH29,0))</f>
        <v>425</v>
      </c>
      <c r="AH26" s="294">
        <f>(IF('Section Load'!AI29&gt;0,'Section Load'!AI29,0))</f>
        <v>416</v>
      </c>
      <c r="AI26" s="294">
        <f>(IF('Section Load'!AJ29&gt;0,'Section Load'!AJ29,0))</f>
        <v>829</v>
      </c>
      <c r="AJ26" s="294">
        <f>(IF('Section Load'!AK29&gt;0,'Section Load'!AK29,0))</f>
        <v>202</v>
      </c>
      <c r="AK26" s="294">
        <f>(IF('Section Load'!AL29&gt;0,'Section Load'!AL29,0))</f>
        <v>360</v>
      </c>
      <c r="AL26" s="294">
        <f>(IF('Section Load'!AM29&gt;0,'Section Load'!AM29,0))</f>
        <v>702</v>
      </c>
      <c r="AM26" s="295">
        <f>(IF('Water Report'!$AB$7&gt;0,'Water Report'!$AB$7,0))</f>
        <v>121</v>
      </c>
      <c r="AN26" s="295">
        <f>(IF('Water Report'!$AB$8&gt;0,'Water Report'!$AB$8,0))</f>
        <v>125</v>
      </c>
      <c r="AO26" s="295">
        <f>(IF('Water Report'!$AB$9&gt;0,'Water Report'!$AB$9,0))</f>
        <v>91</v>
      </c>
      <c r="AP26" s="295">
        <f>(IF('Water Report'!$AB$10&gt;0,'Water Report'!$AB$10,0))</f>
        <v>24</v>
      </c>
      <c r="AQ26" s="295">
        <f>(IF('Water Report'!$AB$11&gt;0,'Water Report'!$AB$11,0))</f>
        <v>38</v>
      </c>
      <c r="AR26" s="295">
        <f>(IF('Water Report'!$AB$13&gt;0,'Water Report'!$AB$13,0))</f>
        <v>28</v>
      </c>
      <c r="AS26" s="295">
        <f>(IF('Water Report'!$AB$14&gt;0,'Water Report'!$AB$14,0))</f>
        <v>14</v>
      </c>
      <c r="AT26" s="295">
        <f>(IF('Water Report'!$AB$15&gt;0,'Water Report'!$AB$15,0))</f>
        <v>10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13</v>
      </c>
      <c r="AX26" s="301">
        <f>(IF('Water Report'!$AB$21&gt;0,'Water Report'!$AB$21,0))</f>
        <v>85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14</v>
      </c>
      <c r="BB26" s="301">
        <f>(IF('Water Report'!$AB$15&gt;0,'Water Report'!$AB$15,0))</f>
        <v>10</v>
      </c>
      <c r="BC26" s="301">
        <f>(IF('Water Report'!$AB$13&gt;0,'Water Report'!$AB$13,0))</f>
        <v>28</v>
      </c>
      <c r="BD26" s="301">
        <f>(IF('Water Report'!$AB$24&gt;0,'Water Report'!$AB$24,0))</f>
        <v>995</v>
      </c>
      <c r="BE26" s="301">
        <f>(IF('Water Report'!$AB$25&gt;0,'Water Report'!$AB$25,0))</f>
        <v>177</v>
      </c>
      <c r="BF26" s="301">
        <f>(IF('Water Report'!$AB$27&gt;0,'Water Report'!$AB$27,0))</f>
        <v>124</v>
      </c>
      <c r="BG26" s="296">
        <f>(IF('Section Load'!AN29&gt;0,'Section Load'!AN29,0))</f>
        <v>1100</v>
      </c>
      <c r="BH26" s="296">
        <f>(IF('Section Load'!AO29&gt;0,'Section Load'!AO29,0))</f>
        <v>329</v>
      </c>
      <c r="BI26" s="296">
        <f>(IF('Section Load'!AP29&gt;0,'Section Load'!AP29,0))</f>
        <v>0</v>
      </c>
      <c r="BJ26" s="296">
        <f>(IF('Section Load'!AQ29&gt;0,'Section Load'!AQ29,0))</f>
        <v>123</v>
      </c>
      <c r="BK26" s="296">
        <f>(IF('Section Load'!AR29&gt;0,'Section Load'!AR29,0))</f>
        <v>83</v>
      </c>
      <c r="BL26" s="296">
        <f>(IF('Section Load'!AS29&gt;0,'Section Load'!AS29,0))</f>
        <v>4</v>
      </c>
      <c r="BM26" s="296">
        <f>(IF('Section Load'!AT29&gt;0,'Section Load'!AT29,0))</f>
        <v>561</v>
      </c>
    </row>
    <row r="27" spans="1:65" x14ac:dyDescent="0.2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3343</v>
      </c>
      <c r="F27" s="294">
        <f>(IF('Section Load'!G30&gt;0,'Section Load'!G30,0))</f>
        <v>1597</v>
      </c>
      <c r="G27" s="294">
        <f>(IF('Section Load'!H30&gt;0,'Section Load'!H30,0))</f>
        <v>1966</v>
      </c>
      <c r="H27" s="294">
        <f>(IF('Section Load'!I30&gt;0,'Section Load'!I30,0))</f>
        <v>2728</v>
      </c>
      <c r="I27" s="294">
        <f>(IF('Section Load'!J30&gt;0,'Section Load'!J30,0))</f>
        <v>5089</v>
      </c>
      <c r="J27" s="294">
        <f>(IF('Section Load'!K30&gt;0,'Section Load'!K30,0))</f>
        <v>2682</v>
      </c>
      <c r="K27" s="294">
        <f>(IF('Section Load'!L30&gt;0,'Section Load'!L30,0))</f>
        <v>1428</v>
      </c>
      <c r="L27" s="294">
        <f>(IF('Section Load'!M30&gt;0,'Section Load'!M30,0))</f>
        <v>1268</v>
      </c>
      <c r="M27" s="294">
        <f>(IF('Section Load'!N30&gt;0,'Section Load'!N30,0))</f>
        <v>118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201</v>
      </c>
      <c r="Q27" s="294">
        <f>(IF('Section Load'!R30&gt;0,'Section Load'!R30,0))</f>
        <v>73</v>
      </c>
      <c r="R27" s="294">
        <f>(IF('Section Load'!S30&gt;0,'Section Load'!S30,0))</f>
        <v>17</v>
      </c>
      <c r="S27" s="294">
        <f>(IF('Section Load'!T30&gt;0,'Section Load'!T30,0))</f>
        <v>465</v>
      </c>
      <c r="T27" s="294">
        <f>(IF('Section Load'!U30&gt;0,'Section Load'!U30,0))</f>
        <v>248</v>
      </c>
      <c r="U27" s="294">
        <f>(IF('Section Load'!V30&gt;0,'Section Load'!V30,0))</f>
        <v>874</v>
      </c>
      <c r="V27" s="294">
        <f>(IF('Section Load'!W30&gt;0,'Section Load'!W30,0))</f>
        <v>347</v>
      </c>
      <c r="W27" s="294">
        <f>(IF('Section Load'!X30&gt;0,'Section Load'!X30,0))</f>
        <v>22</v>
      </c>
      <c r="X27" s="294">
        <f>(IF('Section Load'!Y30&gt;0,'Section Load'!Y30,0))</f>
        <v>250</v>
      </c>
      <c r="Y27" s="294">
        <f>(IF('Section Load'!Z30&gt;0,'Section Load'!Z30,0))</f>
        <v>225</v>
      </c>
      <c r="Z27" s="294">
        <f>(IF('Section Load'!AA30&gt;0,'Section Load'!AA30,0))</f>
        <v>0</v>
      </c>
      <c r="AA27" s="294">
        <f>(IF('Section Load'!AB30&gt;0,'Section Load'!AB30,0))</f>
        <v>14</v>
      </c>
      <c r="AB27" s="294">
        <f>(IF('Section Load'!AC30&gt;0,'Section Load'!AC30,0))</f>
        <v>11</v>
      </c>
      <c r="AC27" s="294">
        <f>(IF('Section Load'!AD30&gt;0,'Section Load'!AD30,0))</f>
        <v>36</v>
      </c>
      <c r="AD27" s="294">
        <f>(IF('Section Load'!AE30&gt;0,'Section Load'!AE30,0))</f>
        <v>0</v>
      </c>
      <c r="AE27" s="294">
        <f>(IF('Section Load'!AF30&gt;0,'Section Load'!AF30,0))</f>
        <v>41</v>
      </c>
      <c r="AF27" s="294">
        <f>(IF('Section Load'!AG30&gt;0,'Section Load'!AG30,0))</f>
        <v>340</v>
      </c>
      <c r="AG27" s="294">
        <f>(IF('Section Load'!AH30&gt;0,'Section Load'!AH30,0))</f>
        <v>434</v>
      </c>
      <c r="AH27" s="294">
        <f>(IF('Section Load'!AI30&gt;0,'Section Load'!AI30,0))</f>
        <v>409</v>
      </c>
      <c r="AI27" s="294">
        <f>(IF('Section Load'!AJ30&gt;0,'Section Load'!AJ30,0))</f>
        <v>773</v>
      </c>
      <c r="AJ27" s="294">
        <f>(IF('Section Load'!AK30&gt;0,'Section Load'!AK30,0))</f>
        <v>231</v>
      </c>
      <c r="AK27" s="294">
        <f>(IF('Section Load'!AL30&gt;0,'Section Load'!AL30,0))</f>
        <v>355</v>
      </c>
      <c r="AL27" s="294">
        <f>(IF('Section Load'!AM30&gt;0,'Section Load'!AM30,0))</f>
        <v>673</v>
      </c>
      <c r="AM27" s="295">
        <f>(IF('Water Report'!$AC$7&gt;0,'Water Report'!$AC$7,0))</f>
        <v>145</v>
      </c>
      <c r="AN27" s="295">
        <f>(IF('Water Report'!$AC$8&gt;0,'Water Report'!$AC$8,0))</f>
        <v>94</v>
      </c>
      <c r="AO27" s="295">
        <f>(IF('Water Report'!$AC$9&gt;0,'Water Report'!$AC$9,0))</f>
        <v>117</v>
      </c>
      <c r="AP27" s="295">
        <f>(IF('Water Report'!$AC$10&gt;0,'Water Report'!$AC$10,0))</f>
        <v>28</v>
      </c>
      <c r="AQ27" s="295">
        <f>(IF('Water Report'!$AC$11&gt;0,'Water Report'!$AC$11,0))</f>
        <v>31</v>
      </c>
      <c r="AR27" s="295">
        <f>(IF('Water Report'!$AC$13&gt;0,'Water Report'!$AC$13,0))</f>
        <v>32</v>
      </c>
      <c r="AS27" s="295">
        <f>(IF('Water Report'!$AC$14&gt;0,'Water Report'!$AC$14,0))</f>
        <v>19</v>
      </c>
      <c r="AT27" s="295">
        <f>(IF('Water Report'!$AC$15&gt;0,'Water Report'!$AC$15,0))</f>
        <v>12</v>
      </c>
      <c r="AU27" s="295">
        <f>(IF('Water Report'!$AC$17&gt;0,'Water Report'!$AC$17,0))</f>
        <v>0</v>
      </c>
      <c r="AV27" s="295">
        <f>(IF('Water Report'!$AC$18&gt;0,'Water Report'!$AC$18,0))</f>
        <v>16</v>
      </c>
      <c r="AW27" s="295">
        <f>(IF('Water Report'!$AC$19&gt;0,'Water Report'!$AC$19,0))</f>
        <v>12</v>
      </c>
      <c r="AX27" s="301">
        <f>(IF('Water Report'!$AC$21&gt;0,'Water Report'!$AC$21,0))</f>
        <v>64</v>
      </c>
      <c r="AY27" s="301">
        <f>(IF('Water Report'!$AC$22&gt;0,'Water Report'!$AC$22,0))</f>
        <v>0</v>
      </c>
      <c r="AZ27" s="301">
        <f>(IF('Water Report'!$AC$23&gt;0,'Water Report'!$AC$23,0))</f>
        <v>1</v>
      </c>
      <c r="BA27" s="301">
        <f>(IF('Water Report'!$AC$14&gt;0,'Water Report'!$AC$14,0))</f>
        <v>19</v>
      </c>
      <c r="BB27" s="301">
        <f>(IF('Water Report'!$AC$15&gt;0,'Water Report'!$AC$15,0))</f>
        <v>12</v>
      </c>
      <c r="BC27" s="301">
        <f>(IF('Water Report'!$AC$13&gt;0,'Water Report'!$AC$13,0))</f>
        <v>32</v>
      </c>
      <c r="BD27" s="301">
        <f>(IF('Water Report'!$AC$24&gt;0,'Water Report'!$AC$24,0))</f>
        <v>1115</v>
      </c>
      <c r="BE27" s="301">
        <f>(IF('Water Report'!$AC$25&gt;0,'Water Report'!$AC$25,0))</f>
        <v>207</v>
      </c>
      <c r="BF27" s="301">
        <f>(IF('Water Report'!$AC$27&gt;0,'Water Report'!$AC$27,0))</f>
        <v>97</v>
      </c>
      <c r="BG27" s="296">
        <f>(IF('Section Load'!AN30&gt;0,'Section Load'!AN30,0))</f>
        <v>1100</v>
      </c>
      <c r="BH27" s="296">
        <f>(IF('Section Load'!AO30&gt;0,'Section Load'!AO30,0))</f>
        <v>336</v>
      </c>
      <c r="BI27" s="296">
        <f>(IF('Section Load'!AP30&gt;0,'Section Load'!AP30,0))</f>
        <v>0</v>
      </c>
      <c r="BJ27" s="296">
        <f>(IF('Section Load'!AQ30&gt;0,'Section Load'!AQ30,0))</f>
        <v>130</v>
      </c>
      <c r="BK27" s="296">
        <f>(IF('Section Load'!AR30&gt;0,'Section Load'!AR30,0))</f>
        <v>46</v>
      </c>
      <c r="BL27" s="296">
        <f>(IF('Section Load'!AS30&gt;0,'Section Load'!AS30,0))</f>
        <v>2</v>
      </c>
      <c r="BM27" s="296">
        <f>(IF('Section Load'!AT30&gt;0,'Section Load'!AT30,0))</f>
        <v>586</v>
      </c>
    </row>
    <row r="28" spans="1:65" x14ac:dyDescent="0.2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3365</v>
      </c>
      <c r="F28" s="294">
        <f>(IF('Section Load'!G31&gt;0,'Section Load'!G31,0))</f>
        <v>1580</v>
      </c>
      <c r="G28" s="294">
        <f>(IF('Section Load'!H31&gt;0,'Section Load'!H31,0))</f>
        <v>1959</v>
      </c>
      <c r="H28" s="294">
        <f>(IF('Section Load'!I31&gt;0,'Section Load'!I31,0))</f>
        <v>2857</v>
      </c>
      <c r="I28" s="294">
        <f>(IF('Section Load'!J31&gt;0,'Section Load'!J31,0))</f>
        <v>4970</v>
      </c>
      <c r="J28" s="294">
        <f>(IF('Section Load'!K31&gt;0,'Section Load'!K31,0))</f>
        <v>2703</v>
      </c>
      <c r="K28" s="294">
        <f>(IF('Section Load'!L31&gt;0,'Section Load'!L31,0))</f>
        <v>1298</v>
      </c>
      <c r="L28" s="294">
        <f>(IF('Section Load'!M31&gt;0,'Section Load'!M31,0))</f>
        <v>880</v>
      </c>
      <c r="M28" s="294">
        <f>(IF('Section Load'!N31&gt;0,'Section Load'!N31,0))</f>
        <v>100</v>
      </c>
      <c r="N28" s="294">
        <f>(IF('Section Load'!O31&gt;0,'Section Load'!O31,0))</f>
        <v>17</v>
      </c>
      <c r="O28" s="294">
        <f>(IF('Section Load'!P31&gt;0,'Section Load'!P31,0))</f>
        <v>0</v>
      </c>
      <c r="P28" s="294">
        <f>(IF('Section Load'!Q31&gt;0,'Section Load'!Q31,0))</f>
        <v>203</v>
      </c>
      <c r="Q28" s="294">
        <f>(IF('Section Load'!R31&gt;0,'Section Load'!R31,0))</f>
        <v>71</v>
      </c>
      <c r="R28" s="294">
        <f>(IF('Section Load'!S31&gt;0,'Section Load'!S31,0))</f>
        <v>15</v>
      </c>
      <c r="S28" s="294">
        <f>(IF('Section Load'!T31&gt;0,'Section Load'!T31,0))</f>
        <v>488</v>
      </c>
      <c r="T28" s="294">
        <f>(IF('Section Load'!U31&gt;0,'Section Load'!U31,0))</f>
        <v>236</v>
      </c>
      <c r="U28" s="294">
        <f>(IF('Section Load'!V31&gt;0,'Section Load'!V31,0))</f>
        <v>6</v>
      </c>
      <c r="V28" s="294">
        <f>(IF('Section Load'!W31&gt;0,'Section Load'!W31,0))</f>
        <v>278</v>
      </c>
      <c r="W28" s="294">
        <f>(IF('Section Load'!X31&gt;0,'Section Load'!X31,0))</f>
        <v>22</v>
      </c>
      <c r="X28" s="294">
        <f>(IF('Section Load'!Y31&gt;0,'Section Load'!Y31,0))</f>
        <v>223</v>
      </c>
      <c r="Y28" s="294">
        <f>(IF('Section Load'!Z31&gt;0,'Section Load'!Z31,0))</f>
        <v>211</v>
      </c>
      <c r="Z28" s="294">
        <f>(IF('Section Load'!AA31&gt;0,'Section Load'!AA31,0))</f>
        <v>2</v>
      </c>
      <c r="AA28" s="294">
        <f>(IF('Section Load'!AB31&gt;0,'Section Load'!AB31,0))</f>
        <v>30</v>
      </c>
      <c r="AB28" s="294">
        <f>(IF('Section Load'!AC31&gt;0,'Section Load'!AC31,0))</f>
        <v>11</v>
      </c>
      <c r="AC28" s="294">
        <f>(IF('Section Load'!AD31&gt;0,'Section Load'!AD31,0))</f>
        <v>98</v>
      </c>
      <c r="AD28" s="294">
        <f>(IF('Section Load'!AE31&gt;0,'Section Load'!AE31,0))</f>
        <v>0</v>
      </c>
      <c r="AE28" s="294">
        <f>(IF('Section Load'!AF31&gt;0,'Section Load'!AF31,0))</f>
        <v>20</v>
      </c>
      <c r="AF28" s="294">
        <f>(IF('Section Load'!AG31&gt;0,'Section Load'!AG31,0))</f>
        <v>416</v>
      </c>
      <c r="AG28" s="294">
        <f>(IF('Section Load'!AH31&gt;0,'Section Load'!AH31,0))</f>
        <v>423</v>
      </c>
      <c r="AH28" s="294">
        <f>(IF('Section Load'!AI31&gt;0,'Section Load'!AI31,0))</f>
        <v>406</v>
      </c>
      <c r="AI28" s="294">
        <f>(IF('Section Load'!AJ31&gt;0,'Section Load'!AJ31,0))</f>
        <v>791</v>
      </c>
      <c r="AJ28" s="294">
        <f>(IF('Section Load'!AK31&gt;0,'Section Load'!AK31,0))</f>
        <v>220</v>
      </c>
      <c r="AK28" s="294">
        <f>(IF('Section Load'!AL31&gt;0,'Section Load'!AL31,0))</f>
        <v>348</v>
      </c>
      <c r="AL28" s="294">
        <f>(IF('Section Load'!AM31&gt;0,'Section Load'!AM31,0))</f>
        <v>657</v>
      </c>
      <c r="AM28" s="295">
        <f>(IF('Water Report'!$AD$7&gt;0,'Water Report'!$AD$7,0))</f>
        <v>123</v>
      </c>
      <c r="AN28" s="295">
        <f>(IF('Water Report'!$AD$8&gt;0,'Water Report'!$AD$8,0))</f>
        <v>58</v>
      </c>
      <c r="AO28" s="295">
        <f>(IF('Water Report'!$AD$9&gt;0,'Water Report'!$AD$9,0))</f>
        <v>95</v>
      </c>
      <c r="AP28" s="295">
        <f>(IF('Water Report'!$AD$10&gt;0,'Water Report'!AD$10,0))</f>
        <v>19</v>
      </c>
      <c r="AQ28" s="295">
        <f>(IF('Water Report'!$AD$11&gt;0,'Water Report'!AE$11,0))</f>
        <v>26</v>
      </c>
      <c r="AR28" s="295">
        <f>(IF('Water Report'!$AD$13&gt;0,'Water Report'!AF$13,0))</f>
        <v>40</v>
      </c>
      <c r="AS28" s="295">
        <f>(IF('Water Report'!$AD$14&gt;0,'Water Report'!AG$14,0))</f>
        <v>12</v>
      </c>
      <c r="AT28" s="295">
        <f>(IF('Water Report'!$AD$15&gt;0,'Water Report'!AH$15,0))</f>
        <v>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311</v>
      </c>
      <c r="BI28" s="296">
        <f>(IF('Section Load'!AP31&gt;0,'Section Load'!AP31,0))</f>
        <v>0</v>
      </c>
      <c r="BJ28" s="296">
        <f>(IF('Section Load'!AQ31&gt;0,'Section Load'!AQ31,0))</f>
        <v>109</v>
      </c>
      <c r="BK28" s="296">
        <f>(IF('Section Load'!AR31&gt;0,'Section Load'!AR31,0))</f>
        <v>48</v>
      </c>
      <c r="BL28" s="296">
        <f>(IF('Section Load'!AS31&gt;0,'Section Load'!AS31,0))</f>
        <v>1</v>
      </c>
      <c r="BM28" s="296">
        <f>(IF('Section Load'!AT31&gt;0,'Section Load'!AT31,0))</f>
        <v>631</v>
      </c>
    </row>
    <row r="29" spans="1:65" x14ac:dyDescent="0.2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3320.6799999999639</v>
      </c>
      <c r="F29" s="294">
        <f>(IF('Section Load'!G32&gt;0,'Section Load'!G32,0))</f>
        <v>1536.2300000000105</v>
      </c>
      <c r="G29" s="294">
        <f>(IF('Section Load'!H32&gt;0,'Section Load'!H32,0))</f>
        <v>1967.4899999999907</v>
      </c>
      <c r="H29" s="294">
        <f>(IF('Section Load'!I32&gt;0,'Section Load'!I32,0))</f>
        <v>2740.429999999993</v>
      </c>
      <c r="I29" s="294">
        <f>(IF('Section Load'!J32&gt;0,'Section Load'!J32,0))</f>
        <v>4561.429999999993</v>
      </c>
      <c r="J29" s="294">
        <f>(IF('Section Load'!K32&gt;0,'Section Load'!K32,0))</f>
        <v>2482.0699999999997</v>
      </c>
      <c r="K29" s="294">
        <f>(IF('Section Load'!L32&gt;0,'Section Load'!L32,0))</f>
        <v>1148.2000000000007</v>
      </c>
      <c r="L29" s="294">
        <f>(IF('Section Load'!M32&gt;0,'Section Load'!M32,0))</f>
        <v>766.93999999999869</v>
      </c>
      <c r="M29" s="294">
        <f>(IF('Section Load'!N32&gt;0,'Section Load'!N32,0))</f>
        <v>127</v>
      </c>
      <c r="N29" s="294">
        <f>(IF('Section Load'!O32&gt;0,'Section Load'!O32,0))</f>
        <v>2</v>
      </c>
      <c r="O29" s="294">
        <f>(IF('Section Load'!P32&gt;0,'Section Load'!P32,0))</f>
        <v>0</v>
      </c>
      <c r="P29" s="294">
        <f>(IF('Section Load'!Q32&gt;0,'Section Load'!Q32,0))</f>
        <v>183.37999999999738</v>
      </c>
      <c r="Q29" s="294">
        <f>(IF('Section Load'!R32&gt;0,'Section Load'!R32,0))</f>
        <v>81.340000000000146</v>
      </c>
      <c r="R29" s="294">
        <f>(IF('Section Load'!S32&gt;0,'Section Load'!S32,0))</f>
        <v>12.779999999999745</v>
      </c>
      <c r="S29" s="294">
        <f>(IF('Section Load'!T32&gt;0,'Section Load'!T32,0))</f>
        <v>480</v>
      </c>
      <c r="T29" s="294">
        <f>(IF('Section Load'!U32&gt;0,'Section Load'!U32,0))</f>
        <v>244</v>
      </c>
      <c r="U29" s="294">
        <f>(IF('Section Load'!V32&gt;0,'Section Load'!V32,0))</f>
        <v>430.76000000000931</v>
      </c>
      <c r="V29" s="294">
        <f>(IF('Section Load'!W32&gt;0,'Section Load'!W32,0))</f>
        <v>256.07999999995809</v>
      </c>
      <c r="W29" s="294">
        <f>(IF('Section Load'!X32&gt;0,'Section Load'!X32,0))</f>
        <v>24.889999999999873</v>
      </c>
      <c r="X29" s="294">
        <f>(IF('Section Load'!Y32&gt;0,'Section Load'!Y32,0))</f>
        <v>218.32000000000698</v>
      </c>
      <c r="Y29" s="294">
        <f>(IF('Section Load'!Z32&gt;0,'Section Load'!Z32,0))</f>
        <v>256</v>
      </c>
      <c r="Z29" s="294">
        <f>(IF('Section Load'!AA32&gt;0,'Section Load'!AA32,0))</f>
        <v>1</v>
      </c>
      <c r="AA29" s="294">
        <f>(IF('Section Load'!AB32&gt;0,'Section Load'!AB32,0))</f>
        <v>27.19999999999709</v>
      </c>
      <c r="AB29" s="294">
        <f>(IF('Section Load'!AC32&gt;0,'Section Load'!AC32,0))</f>
        <v>1.8699999999989814</v>
      </c>
      <c r="AC29" s="294">
        <f>(IF('Section Load'!AD32&gt;0,'Section Load'!AD32,0))</f>
        <v>99.899999999994179</v>
      </c>
      <c r="AD29" s="294">
        <f>(IF('Section Load'!AE32&gt;0,'Section Load'!AE32,0))</f>
        <v>0</v>
      </c>
      <c r="AE29" s="294">
        <f>(IF('Section Load'!AF32&gt;0,'Section Load'!AF32,0))</f>
        <v>21.059999999999945</v>
      </c>
      <c r="AF29" s="294">
        <f>(IF('Section Load'!AG32&gt;0,'Section Load'!AG32,0))</f>
        <v>426.67000000001281</v>
      </c>
      <c r="AG29" s="294">
        <f>(IF('Section Load'!AH32&gt;0,'Section Load'!AH32,0))</f>
        <v>424.25</v>
      </c>
      <c r="AH29" s="294">
        <f>(IF('Section Load'!AI32&gt;0,'Section Load'!AI32,0))</f>
        <v>414.63999999999942</v>
      </c>
      <c r="AI29" s="294">
        <f>(IF('Section Load'!AJ32&gt;0,'Section Load'!AJ32,0))</f>
        <v>799.14100000000326</v>
      </c>
      <c r="AJ29" s="294">
        <f>(IF('Section Load'!AK32&gt;0,'Section Load'!AK32,0))</f>
        <v>228.52000000000407</v>
      </c>
      <c r="AK29" s="294">
        <f>(IF('Section Load'!AL32&gt;0,'Section Load'!AL32,0))</f>
        <v>347.63000000000466</v>
      </c>
      <c r="AL29" s="294">
        <f>(IF('Section Load'!AM32&gt;0,'Section Load'!AM32,0))</f>
        <v>658.92999999999302</v>
      </c>
      <c r="AM29" s="295">
        <f>(IF('Water Report'!$AE$7&gt;0,'Water Report'!$AE$7,0))</f>
        <v>138</v>
      </c>
      <c r="AN29" s="295">
        <f>(IF('Water Report'!$AE$8&gt;0,'Water Report'!$AE$8,0))</f>
        <v>104.10000000000582</v>
      </c>
      <c r="AO29" s="295">
        <f>(IF('Water Report'!$AE$9&gt;0,'Water Report'!$AE$9,0))</f>
        <v>134</v>
      </c>
      <c r="AP29" s="295">
        <f>(IF('Water Report'!$AE$10&gt;0,'Water Report'!$AE$10,0))</f>
        <v>16</v>
      </c>
      <c r="AQ29" s="295">
        <f>(IF('Water Report'!$AE$11&gt;0,'Water Report'!$AE$11,0))</f>
        <v>26</v>
      </c>
      <c r="AR29" s="295">
        <f>(IF('Water Report'!$AE$13&gt;0,'Water Report'!$AE$13,0))</f>
        <v>40</v>
      </c>
      <c r="AS29" s="295">
        <f>(IF('Water Report'!$AE$14&gt;0,'Water Report'!$AE$14,0))</f>
        <v>17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11</v>
      </c>
      <c r="AX29" s="301">
        <f>(IF('Water Report'!$AE$21&gt;0,'Water Report'!$AE$21,0))</f>
        <v>64</v>
      </c>
      <c r="AY29" s="301">
        <f>(IF('Water Report'!$AE$22&gt;0,'Water Report'!$AE$22,0))</f>
        <v>0</v>
      </c>
      <c r="AZ29" s="301">
        <f>(IF('Water Report'!$AE$23&gt;0,'Water Report'!$AE$23,0))</f>
        <v>6</v>
      </c>
      <c r="BA29" s="301">
        <f>(IF('Water Report'!$AE$14&gt;0,'Water Report'!$AE$14,0))</f>
        <v>17</v>
      </c>
      <c r="BB29" s="301">
        <f>(IF('Water Report'!$AE$15&gt;0,'Water Report'!$AE$15,0))</f>
        <v>6</v>
      </c>
      <c r="BC29" s="301">
        <f>(IF('Water Report'!$AE$13&gt;0,'Water Report'!$AE$13,0))</f>
        <v>40</v>
      </c>
      <c r="BD29" s="301">
        <f>(IF('Water Report'!$AE$24&gt;0,'Water Report'!$AE$24,0))</f>
        <v>1355</v>
      </c>
      <c r="BE29" s="301">
        <f>(IF('Water Report'!$AE$25&gt;0,'Water Report'!$AE$25,0))</f>
        <v>199</v>
      </c>
      <c r="BF29" s="301">
        <f>(IF('Water Report'!$AE$27&gt;0,'Water Report'!$AE$27,0))</f>
        <v>110</v>
      </c>
      <c r="BG29" s="296">
        <f>(IF('Section Load'!AN32&gt;0,'Section Load'!AN32,0))</f>
        <v>1100</v>
      </c>
      <c r="BH29" s="296">
        <f>(IF('Section Load'!AO32&gt;0,'Section Load'!AO32,0))</f>
        <v>325.92099999997299</v>
      </c>
      <c r="BI29" s="296">
        <f>(IF('Section Load'!AP32&gt;0,'Section Load'!AP32,0))</f>
        <v>0</v>
      </c>
      <c r="BJ29" s="296">
        <f>(IF('Section Load'!AQ32&gt;0,'Section Load'!AQ32,0))</f>
        <v>85.940000000002328</v>
      </c>
      <c r="BK29" s="296">
        <f>(IF('Section Load'!AR32&gt;0,'Section Load'!AR32,0))</f>
        <v>30</v>
      </c>
      <c r="BL29" s="296">
        <f>(IF('Section Load'!AS32&gt;0,'Section Load'!AS32,0))</f>
        <v>0.8999999999996362</v>
      </c>
      <c r="BM29" s="296">
        <f>(IF('Section Load'!AT32&gt;0,'Section Load'!AT32,0))</f>
        <v>657.23900000002504</v>
      </c>
    </row>
    <row r="30" spans="1:65" x14ac:dyDescent="0.2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3305.5600000000268</v>
      </c>
      <c r="F30" s="294">
        <f>(IF('Section Load'!G33&gt;0,'Section Load'!G33,0))</f>
        <v>1544.4799999999814</v>
      </c>
      <c r="G30" s="294">
        <f>(IF('Section Load'!H33&gt;0,'Section Load'!H33,0))</f>
        <v>1870.5800000000163</v>
      </c>
      <c r="H30" s="294">
        <f>(IF('Section Load'!I33&gt;0,'Section Load'!I33,0))</f>
        <v>2727.320000000007</v>
      </c>
      <c r="I30" s="294">
        <f>(IF('Section Load'!J33&gt;0,'Section Load'!J33,0))</f>
        <v>4224.9400000000023</v>
      </c>
      <c r="J30" s="294">
        <f>(IF('Section Load'!K33&gt;0,'Section Load'!K33,0))</f>
        <v>2459.9199999999983</v>
      </c>
      <c r="K30" s="294">
        <f>(IF('Section Load'!L33&gt;0,'Section Load'!L33,0))</f>
        <v>950.39999999999782</v>
      </c>
      <c r="L30" s="294">
        <f>(IF('Section Load'!M33&gt;0,'Section Load'!M33,0))</f>
        <v>817.22999999999956</v>
      </c>
      <c r="M30" s="294">
        <f>(IF('Section Load'!N33&gt;0,'Section Load'!N33,0))</f>
        <v>104</v>
      </c>
      <c r="N30" s="294">
        <f>(IF('Section Load'!O33&gt;0,'Section Load'!O33,0))</f>
        <v>1</v>
      </c>
      <c r="O30" s="294">
        <f>(IF('Section Load'!P33&gt;0,'Section Load'!P33,0))</f>
        <v>0</v>
      </c>
      <c r="P30" s="294">
        <f>(IF('Section Load'!Q33&gt;0,'Section Load'!Q33,0))</f>
        <v>180.20000000000437</v>
      </c>
      <c r="Q30" s="294">
        <f>(IF('Section Load'!R33&gt;0,'Section Load'!R33,0))</f>
        <v>72.400000000001455</v>
      </c>
      <c r="R30" s="294">
        <f>(IF('Section Load'!S33&gt;0,'Section Load'!S33,0))</f>
        <v>11.220000000000255</v>
      </c>
      <c r="S30" s="294">
        <f>(IF('Section Load'!T33&gt;0,'Section Load'!T33,0))</f>
        <v>443</v>
      </c>
      <c r="T30" s="294">
        <f>(IF('Section Load'!U33&gt;0,'Section Load'!U33,0))</f>
        <v>247</v>
      </c>
      <c r="U30" s="294">
        <f>(IF('Section Load'!V33&gt;0,'Section Load'!V33,0))</f>
        <v>371.52000000001863</v>
      </c>
      <c r="V30" s="294">
        <f>(IF('Section Load'!W33&gt;0,'Section Load'!W33,0))</f>
        <v>246.88000000000466</v>
      </c>
      <c r="W30" s="294">
        <f>(IF('Section Load'!X33&gt;0,'Section Load'!X33,0))</f>
        <v>24.010000000000218</v>
      </c>
      <c r="X30" s="294">
        <f>(IF('Section Load'!Y33&gt;0,'Section Load'!Y33,0))</f>
        <v>181.27999999999884</v>
      </c>
      <c r="Y30" s="294">
        <f>(IF('Section Load'!Z33&gt;0,'Section Load'!Z33,0))</f>
        <v>223</v>
      </c>
      <c r="Z30" s="294">
        <f>(IF('Section Load'!AA33&gt;0,'Section Load'!AA33,0))</f>
        <v>3.9999999979045242E-2</v>
      </c>
      <c r="AA30" s="294">
        <f>(IF('Section Load'!AB33&gt;0,'Section Load'!AB33,0))</f>
        <v>30.400000000008731</v>
      </c>
      <c r="AB30" s="294">
        <f>(IF('Section Load'!AC33&gt;0,'Section Load'!AC33,0))</f>
        <v>0.19000000000232831</v>
      </c>
      <c r="AC30" s="294">
        <f>(IF('Section Load'!AD33&gt;0,'Section Load'!AD33,0))</f>
        <v>114.10000000000855</v>
      </c>
      <c r="AD30" s="294">
        <f>(IF('Section Load'!AE33&gt;0,'Section Load'!AE33,0))</f>
        <v>0</v>
      </c>
      <c r="AE30" s="294">
        <f>(IF('Section Load'!AF33&gt;0,'Section Load'!AF33,0))</f>
        <v>20.950000000000273</v>
      </c>
      <c r="AF30" s="294">
        <f>(IF('Section Load'!AG33&gt;0,'Section Load'!AG33,0))</f>
        <v>440.03999999997905</v>
      </c>
      <c r="AG30" s="294">
        <f>(IF('Section Load'!AH33&gt;0,'Section Load'!AH33,0))</f>
        <v>389.04000000000815</v>
      </c>
      <c r="AH30" s="294">
        <f>(IF('Section Load'!AI33&gt;0,'Section Load'!AI33,0))</f>
        <v>401.86999999999898</v>
      </c>
      <c r="AI30" s="294">
        <f>(IF('Section Load'!AJ33&gt;0,'Section Load'!AJ33,0))</f>
        <v>739.46899999998277</v>
      </c>
      <c r="AJ30" s="294">
        <f>(IF('Section Load'!AK33&gt;0,'Section Load'!AK33,0))</f>
        <v>218.55000000000291</v>
      </c>
      <c r="AK30" s="294">
        <f>(IF('Section Load'!AL33&gt;0,'Section Load'!AL33,0))</f>
        <v>349</v>
      </c>
      <c r="AL30" s="294">
        <f>(IF('Section Load'!AM33&gt;0,'Section Load'!AM33,0))</f>
        <v>707.36000000000058</v>
      </c>
      <c r="AM30" s="295">
        <f>(IF('Water Report'!$AF$7&gt;0,'Water Report'!$AF$7,0))</f>
        <v>131</v>
      </c>
      <c r="AN30" s="295">
        <f>(IF('Water Report'!$AF$8&gt;0,'Water Report'!$AF$8,0))</f>
        <v>75.899999999994179</v>
      </c>
      <c r="AO30" s="295">
        <f>(IF('Water Report'!$AF$9&gt;0,'Water Report'!$AF$9,0))</f>
        <v>104</v>
      </c>
      <c r="AP30" s="295">
        <f>(IF('Water Report'!$AF$10&gt;0,'Water Report'!$AF$10,0))</f>
        <v>20</v>
      </c>
      <c r="AQ30" s="295">
        <f>(IF('Water Report'!$AF$11&gt;0,'Water Report'!$AF$11,0))</f>
        <v>28</v>
      </c>
      <c r="AR30" s="295">
        <f>(IF('Water Report'!$AF$13&gt;0,'Water Report'!$AF$13,0))</f>
        <v>40</v>
      </c>
      <c r="AS30" s="295">
        <f>(IF('Water Report'!$AF$14&gt;0,'Water Report'!$AF$14,0))</f>
        <v>18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10</v>
      </c>
      <c r="AW30" s="295">
        <f>(IF('Water Report'!$AF$19&gt;0,'Water Report'!$AF$19,0))</f>
        <v>12</v>
      </c>
      <c r="AX30" s="301">
        <f>(IF('Water Report'!$AF$21&gt;0,'Water Report'!$AF$21,0))</f>
        <v>95</v>
      </c>
      <c r="AY30" s="301">
        <f>(IF('Water Report'!$AF$22&gt;0,'Water Report'!$AF$22,0))</f>
        <v>0</v>
      </c>
      <c r="AZ30" s="301">
        <f>(IF('Water Report'!$AF$23&gt;0,'Water Report'!$AF$23,0))</f>
        <v>8</v>
      </c>
      <c r="BA30" s="301">
        <f>(IF('Water Report'!$AF$14&gt;0,'Water Report'!$AF$14,0))</f>
        <v>18</v>
      </c>
      <c r="BB30" s="301">
        <f>(IF('Water Report'!$AF$15&gt;0,'Water Report'!$AF$15,0))</f>
        <v>6</v>
      </c>
      <c r="BC30" s="301">
        <f>(IF('Water Report'!$AF$13&gt;0,'Water Report'!$AF$13,0))</f>
        <v>40</v>
      </c>
      <c r="BD30" s="301">
        <f>(IF('Water Report'!$AF$24&gt;0,'Water Report'!$AF$24,0))</f>
        <v>1475</v>
      </c>
      <c r="BE30" s="301">
        <f>(IF('Water Report'!$AF$25&gt;0,'Water Report'!$AF$25,0))</f>
        <v>176</v>
      </c>
      <c r="BF30" s="301">
        <f>(IF('Water Report'!$AF$27&gt;0,'Water Report'!$AF$27,0))</f>
        <v>143</v>
      </c>
      <c r="BG30" s="296">
        <f>(IF('Section Load'!AN33&gt;0,'Section Load'!AN33,0))</f>
        <v>1100</v>
      </c>
      <c r="BH30" s="296">
        <f>(IF('Section Load'!AO33&gt;0,'Section Load'!AO33,0))</f>
        <v>326.39899999997579</v>
      </c>
      <c r="BI30" s="296">
        <f>(IF('Section Load'!AP33&gt;0,'Section Load'!AP33,0))</f>
        <v>0</v>
      </c>
      <c r="BJ30" s="296">
        <f>(IF('Section Load'!AQ33&gt;0,'Section Load'!AQ33,0))</f>
        <v>93.589999999996508</v>
      </c>
      <c r="BK30" s="296">
        <f>(IF('Section Load'!AR33&gt;0,'Section Load'!AR33,0))</f>
        <v>36</v>
      </c>
      <c r="BL30" s="296">
        <f>(IF('Section Load'!AS33&gt;0,'Section Load'!AS33,0))</f>
        <v>1.3000000000010914</v>
      </c>
      <c r="BM30" s="296">
        <f>(IF('Section Load'!AT33&gt;0,'Section Load'!AT33,0))</f>
        <v>642.71100000002662</v>
      </c>
    </row>
    <row r="31" spans="1:65" x14ac:dyDescent="0.2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3495.7600000000093</v>
      </c>
      <c r="F31" s="294">
        <f>(IF('Section Load'!G34&gt;0,'Section Load'!G34,0))</f>
        <v>1598.2900000000081</v>
      </c>
      <c r="G31" s="294">
        <f>(IF('Section Load'!H34&gt;0,'Section Load'!H34,0))</f>
        <v>1908.929999999993</v>
      </c>
      <c r="H31" s="294">
        <f>(IF('Section Load'!I34&gt;0,'Section Load'!I34,0))</f>
        <v>2712.25</v>
      </c>
      <c r="I31" s="294">
        <f>(IF('Section Load'!J34&gt;0,'Section Load'!J34,0))</f>
        <v>4162.6300000000047</v>
      </c>
      <c r="J31" s="294">
        <f>(IF('Section Load'!K34&gt;0,'Section Load'!K34,0))</f>
        <v>2662.010000000002</v>
      </c>
      <c r="K31" s="294">
        <f>(IF('Section Load'!L34&gt;0,'Section Load'!L34,0))</f>
        <v>1046.4000000000015</v>
      </c>
      <c r="L31" s="294">
        <f>(IF('Section Load'!M34&gt;0,'Section Load'!M34,0))</f>
        <v>847.83000000000175</v>
      </c>
      <c r="M31" s="294">
        <f>(IF('Section Load'!N34&gt;0,'Section Load'!N34,0))</f>
        <v>96</v>
      </c>
      <c r="N31" s="294">
        <f>(IF('Section Load'!O34&gt;0,'Section Load'!O34,0))</f>
        <v>1</v>
      </c>
      <c r="O31" s="294">
        <f>(IF('Section Load'!P34&gt;0,'Section Load'!P34,0))</f>
        <v>0</v>
      </c>
      <c r="P31" s="294">
        <f>(IF('Section Load'!Q34&gt;0,'Section Load'!Q34,0))</f>
        <v>179.41999999999825</v>
      </c>
      <c r="Q31" s="294">
        <f>(IF('Section Load'!R34&gt;0,'Section Load'!R34,0))</f>
        <v>75.259999999998399</v>
      </c>
      <c r="R31" s="294">
        <f>(IF('Section Load'!S34&gt;0,'Section Load'!S34,0))</f>
        <v>14</v>
      </c>
      <c r="S31" s="294">
        <f>(IF('Section Load'!T34&gt;0,'Section Load'!T34,0))</f>
        <v>481</v>
      </c>
      <c r="T31" s="294">
        <f>(IF('Section Load'!U34&gt;0,'Section Load'!U34,0))</f>
        <v>228</v>
      </c>
      <c r="U31" s="294">
        <f>(IF('Section Load'!V34&gt;0,'Section Load'!V34,0))</f>
        <v>404.71999999997206</v>
      </c>
      <c r="V31" s="294">
        <f>(IF('Section Load'!W34&gt;0,'Section Load'!W34,0))</f>
        <v>282.04000000003725</v>
      </c>
      <c r="W31" s="294">
        <f>(IF('Section Load'!X34&gt;0,'Section Load'!X34,0))</f>
        <v>23.099999999999909</v>
      </c>
      <c r="X31" s="294">
        <f>(IF('Section Load'!Y34&gt;0,'Section Load'!Y34,0))</f>
        <v>187.39999999999418</v>
      </c>
      <c r="Y31" s="294">
        <f>(IF('Section Load'!Z34&gt;0,'Section Load'!Z34,0))</f>
        <v>241</v>
      </c>
      <c r="Z31" s="294">
        <f>(IF('Section Load'!AA34&gt;0,'Section Load'!AA34,0))</f>
        <v>0.96000000002095476</v>
      </c>
      <c r="AA31" s="294">
        <f>(IF('Section Load'!AB34&gt;0,'Section Load'!AB34,0))</f>
        <v>33.399999999994179</v>
      </c>
      <c r="AB31" s="294">
        <f>(IF('Section Load'!AC34&gt;0,'Section Load'!AC34,0))</f>
        <v>0</v>
      </c>
      <c r="AC31" s="294">
        <f>(IF('Section Load'!AD34&gt;0,'Section Load'!AD34,0))</f>
        <v>37.999999999997272</v>
      </c>
      <c r="AD31" s="294">
        <f>(IF('Section Load'!AE34&gt;0,'Section Load'!AE34,0))</f>
        <v>0</v>
      </c>
      <c r="AE31" s="294">
        <f>(IF('Section Load'!AF34&gt;0,'Section Load'!AF34,0))</f>
        <v>21.989999999999782</v>
      </c>
      <c r="AF31" s="294">
        <f>(IF('Section Load'!AG34&gt;0,'Section Load'!AG34,0))</f>
        <v>363.29000000000815</v>
      </c>
      <c r="AG31" s="294">
        <f>(IF('Section Load'!AH34&gt;0,'Section Load'!AH34,0))</f>
        <v>408.70999999999185</v>
      </c>
      <c r="AH31" s="294">
        <f>(IF('Section Load'!AI34&gt;0,'Section Load'!AI34,0))</f>
        <v>421.4900000000016</v>
      </c>
      <c r="AI31" s="294">
        <f>(IF('Section Load'!AJ34&gt;0,'Section Load'!AJ34,0))</f>
        <v>771.39000000001397</v>
      </c>
      <c r="AJ31" s="294">
        <f>(IF('Section Load'!AK34&gt;0,'Section Load'!AK34,0))</f>
        <v>215.92999999999302</v>
      </c>
      <c r="AK31" s="294">
        <f>(IF('Section Load'!AL34&gt;0,'Section Load'!AL34,0))</f>
        <v>324.36999999999534</v>
      </c>
      <c r="AL31" s="294">
        <f>(IF('Section Load'!AM34&gt;0,'Section Load'!AM34,0))</f>
        <v>587.7100000000064</v>
      </c>
      <c r="AM31" s="295">
        <f>(IF('Water Report'!$AG$7&gt;0,'Water Report'!$AG$7,0))</f>
        <v>120</v>
      </c>
      <c r="AN31" s="295">
        <f>(IF('Water Report'!$AG$8&gt;0,'Water Report'!$AG$8,0))</f>
        <v>97</v>
      </c>
      <c r="AO31" s="295">
        <f>(IF('Water Report'!$AG$9&gt;0,'Water Report'!$AG$9,0))</f>
        <v>103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306.68000000005122</v>
      </c>
      <c r="BI31" s="296">
        <f>(IF('Section Load'!AP34&gt;0,'Section Load'!AP34,0))</f>
        <v>0</v>
      </c>
      <c r="BJ31" s="296">
        <f>(IF('Section Load'!AQ34&gt;0,'Section Load'!AQ34,0))</f>
        <v>92.470000000001164</v>
      </c>
      <c r="BK31" s="296">
        <f>(IF('Section Load'!AR34&gt;0,'Section Load'!AR34,0))</f>
        <v>41</v>
      </c>
      <c r="BL31" s="296">
        <f>(IF('Section Load'!AS34&gt;0,'Section Load'!AS34,0))</f>
        <v>0.7999999999992724</v>
      </c>
      <c r="BM31" s="296">
        <f>(IF('Section Load'!AT34&gt;0,'Section Load'!AT34,0))</f>
        <v>659.04999999994834</v>
      </c>
    </row>
    <row r="32" spans="1:65" x14ac:dyDescent="0.2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3325</v>
      </c>
      <c r="F32" s="294">
        <f>(IF('Section Load'!G35&gt;0,'Section Load'!G35,0))</f>
        <v>1605</v>
      </c>
      <c r="G32" s="294">
        <f>(IF('Section Load'!H35&gt;0,'Section Load'!H35,0))</f>
        <v>1751</v>
      </c>
      <c r="H32" s="294">
        <f>(IF('Section Load'!I35&gt;0,'Section Load'!I35,0))</f>
        <v>2762</v>
      </c>
      <c r="I32" s="294">
        <f>(IF('Section Load'!J35&gt;0,'Section Load'!J35,0))</f>
        <v>3511</v>
      </c>
      <c r="J32" s="294">
        <f>(IF('Section Load'!K35&gt;0,'Section Load'!K35,0))</f>
        <v>2607</v>
      </c>
      <c r="K32" s="294">
        <f>(IF('Section Load'!L35&gt;0,'Section Load'!L35,0))</f>
        <v>1079</v>
      </c>
      <c r="L32" s="294">
        <f>(IF('Section Load'!M35&gt;0,'Section Load'!M35,0))</f>
        <v>857</v>
      </c>
      <c r="M32" s="294">
        <f>(IF('Section Load'!N35&gt;0,'Section Load'!N35,0))</f>
        <v>102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208</v>
      </c>
      <c r="Q32" s="294">
        <f>(IF('Section Load'!R35&gt;0,'Section Load'!R35,0))</f>
        <v>78</v>
      </c>
      <c r="R32" s="294">
        <f>(IF('Section Load'!S35&gt;0,'Section Load'!S35,0))</f>
        <v>14</v>
      </c>
      <c r="S32" s="294">
        <f>(IF('Section Load'!T35&gt;0,'Section Load'!T35,0))</f>
        <v>462</v>
      </c>
      <c r="T32" s="294">
        <f>(IF('Section Load'!U35&gt;0,'Section Load'!U35,0))</f>
        <v>229</v>
      </c>
      <c r="U32" s="294">
        <f>(IF('Section Load'!V35&gt;0,'Section Load'!V35,0))</f>
        <v>427</v>
      </c>
      <c r="V32" s="294">
        <f>(IF('Section Load'!W35&gt;0,'Section Load'!W35,0))</f>
        <v>300.11999999999534</v>
      </c>
      <c r="W32" s="294">
        <f>(IF('Section Load'!X35&gt;0,'Section Load'!X35,0))</f>
        <v>21</v>
      </c>
      <c r="X32" s="294">
        <f>(IF('Section Load'!Y35&gt;0,'Section Load'!Y35,0))</f>
        <v>214</v>
      </c>
      <c r="Y32" s="294">
        <f>(IF('Section Load'!Z35&gt;0,'Section Load'!Z35,0))</f>
        <v>273</v>
      </c>
      <c r="Z32" s="294">
        <f>(IF('Section Load'!AA35&gt;0,'Section Load'!AA35,0))</f>
        <v>10.159999999974389</v>
      </c>
      <c r="AA32" s="294">
        <f>(IF('Section Load'!AB35&gt;0,'Section Load'!AB35,0))</f>
        <v>25</v>
      </c>
      <c r="AB32" s="294">
        <f>(IF('Section Load'!AC35&gt;0,'Section Load'!AC35,0))</f>
        <v>2</v>
      </c>
      <c r="AC32" s="294">
        <f>(IF('Section Load'!AD35&gt;0,'Section Load'!AD35,0))</f>
        <v>34</v>
      </c>
      <c r="AD32" s="294">
        <f>(IF('Section Load'!AE35&gt;0,'Section Load'!AE35,0))</f>
        <v>0</v>
      </c>
      <c r="AE32" s="294">
        <f>(IF('Section Load'!AF35&gt;0,'Section Load'!AF35,0))</f>
        <v>21</v>
      </c>
      <c r="AF32" s="294">
        <f>(IF('Section Load'!AG35&gt;0,'Section Load'!AG35,0))</f>
        <v>353</v>
      </c>
      <c r="AG32" s="294">
        <f>(IF('Section Load'!AH35&gt;0,'Section Load'!AH35,0))</f>
        <v>424</v>
      </c>
      <c r="AH32" s="294">
        <f>(IF('Section Load'!AI35&gt;0,'Section Load'!AI35,0))</f>
        <v>413</v>
      </c>
      <c r="AI32" s="294">
        <f>(IF('Section Load'!AJ35&gt;0,'Section Load'!AJ35,0))</f>
        <v>799</v>
      </c>
      <c r="AJ32" s="294">
        <f>(IF('Section Load'!AK35&gt;0,'Section Load'!AK35,0))</f>
        <v>246</v>
      </c>
      <c r="AK32" s="294">
        <f>(IF('Section Load'!AL35&gt;0,'Section Load'!AL35,0))</f>
        <v>338</v>
      </c>
      <c r="AL32" s="294">
        <f>(IF('Section Load'!AM35&gt;0,'Section Load'!AM35,0))</f>
        <v>647</v>
      </c>
      <c r="AM32" s="295">
        <f>(IF('Water Report'!$AH$7&gt;0,'Water Report'!$AH$7,0))</f>
        <v>6</v>
      </c>
      <c r="AN32" s="295">
        <f>(IF('Water Report'!$AH$8&gt;0,'Water Report'!$AH$8,0))</f>
        <v>86</v>
      </c>
      <c r="AO32" s="295">
        <f>(IF('Water Report'!$AH$9&gt;0,'Water Report'!$AH$9,0))</f>
        <v>94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269</v>
      </c>
      <c r="BI32" s="296">
        <f>(IF('Section Load'!AP35&gt;0,'Section Load'!AP35,0))</f>
        <v>0</v>
      </c>
      <c r="BJ32" s="296">
        <f>(IF('Section Load'!AQ35&gt;0,'Section Load'!AQ35,0))</f>
        <v>114</v>
      </c>
      <c r="BK32" s="296">
        <f>(IF('Section Load'!AR35&gt;0,'Section Load'!AR35,0))</f>
        <v>49</v>
      </c>
      <c r="BL32" s="296">
        <f>(IF('Section Load'!AS35&gt;0,'Section Load'!AS35,0))</f>
        <v>4</v>
      </c>
      <c r="BM32" s="296">
        <f>(IF('Section Load'!AT35&gt;0,'Section Load'!AT35,0))</f>
        <v>664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09"/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9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9"/>
      <c r="AT1" s="709"/>
      <c r="AU1" s="709"/>
      <c r="AV1" s="709"/>
      <c r="AW1" s="709"/>
      <c r="AX1" s="709"/>
      <c r="AY1" s="709"/>
      <c r="AZ1" s="709"/>
      <c r="BA1" s="709"/>
      <c r="BB1" s="709"/>
      <c r="BC1" s="709"/>
      <c r="BD1" s="709"/>
      <c r="BE1" s="709"/>
      <c r="BF1" s="709"/>
      <c r="BG1" s="709"/>
      <c r="BH1" s="709"/>
      <c r="BI1" s="709"/>
      <c r="BJ1" s="709"/>
      <c r="BK1" s="709"/>
      <c r="BL1" s="709"/>
      <c r="BM1" s="709"/>
      <c r="BN1" s="709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10" t="s">
        <v>5</v>
      </c>
      <c r="I2" s="710"/>
      <c r="J2" s="710"/>
      <c r="K2" s="44"/>
      <c r="L2" s="711" t="s">
        <v>6</v>
      </c>
      <c r="M2" s="711"/>
      <c r="N2" s="711"/>
      <c r="O2" s="712" t="s">
        <v>7</v>
      </c>
      <c r="P2" s="712"/>
      <c r="Q2" s="712"/>
      <c r="R2" s="44" t="s">
        <v>8</v>
      </c>
      <c r="S2" s="713" t="s">
        <v>9</v>
      </c>
      <c r="T2" s="713"/>
      <c r="U2" s="713"/>
      <c r="V2" s="714" t="s">
        <v>10</v>
      </c>
      <c r="W2" s="715"/>
      <c r="X2" s="716"/>
      <c r="Y2" s="263"/>
      <c r="Z2" s="717" t="s">
        <v>11</v>
      </c>
      <c r="AA2" s="717"/>
      <c r="AB2" s="717"/>
      <c r="AC2" s="717"/>
      <c r="AD2" s="264"/>
      <c r="AE2" s="264" t="s">
        <v>12</v>
      </c>
      <c r="AF2" s="264" t="s">
        <v>13</v>
      </c>
      <c r="AG2" s="717" t="s">
        <v>14</v>
      </c>
      <c r="AH2" s="717"/>
      <c r="AI2" s="717"/>
      <c r="AJ2" s="264" t="s">
        <v>15</v>
      </c>
      <c r="AK2" s="717" t="s">
        <v>16</v>
      </c>
      <c r="AL2" s="717"/>
      <c r="AM2" s="717"/>
      <c r="AN2" s="264" t="s">
        <v>17</v>
      </c>
      <c r="AO2" s="5" t="s">
        <v>18</v>
      </c>
      <c r="AP2" s="718" t="s">
        <v>19</v>
      </c>
      <c r="AQ2" s="719"/>
      <c r="AR2" s="719"/>
      <c r="AS2" s="719"/>
      <c r="AT2" s="719"/>
      <c r="AU2" s="719"/>
      <c r="AV2" s="719"/>
      <c r="AW2" s="719"/>
      <c r="AX2" s="719"/>
      <c r="AY2" s="720"/>
      <c r="AZ2" s="718" t="s">
        <v>20</v>
      </c>
      <c r="BA2" s="719"/>
      <c r="BB2" s="719"/>
      <c r="BC2" s="719"/>
      <c r="BD2" s="719"/>
      <c r="BE2" s="719"/>
      <c r="BF2" s="719"/>
      <c r="BG2" s="719"/>
      <c r="BH2" s="71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204</v>
      </c>
      <c r="P9" s="19">
        <v>108</v>
      </c>
      <c r="Q9" s="46">
        <f t="shared" si="0"/>
        <v>22032</v>
      </c>
      <c r="R9" s="47">
        <f t="shared" si="1"/>
        <v>129.47448591012946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260855.46000000261</v>
      </c>
      <c r="BO9" s="38">
        <f t="shared" si="17"/>
        <v>6559.0200000000041</v>
      </c>
      <c r="BP9">
        <f t="shared" si="18"/>
        <v>0.9695807710500024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 x14ac:dyDescent="0.25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767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5650</v>
      </c>
      <c r="BP13">
        <f t="shared" si="18"/>
        <v>0.84112427797295664</v>
      </c>
    </row>
    <row r="14" spans="1:69" x14ac:dyDescent="0.25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 x14ac:dyDescent="0.25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 x14ac:dyDescent="0.25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250</v>
      </c>
      <c r="T21" s="19">
        <v>69</v>
      </c>
      <c r="U21" s="48">
        <f t="shared" si="6"/>
        <v>17250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246018.52739999763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23500</v>
      </c>
      <c r="H22" s="19">
        <f>'19'!G8</f>
        <v>23500</v>
      </c>
      <c r="I22" s="19">
        <v>9</v>
      </c>
      <c r="J22" s="49">
        <f t="shared" si="3"/>
        <v>211500</v>
      </c>
      <c r="K22" s="45">
        <f t="shared" si="4"/>
        <v>116.33663366336634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275</v>
      </c>
      <c r="P22" s="19">
        <v>108</v>
      </c>
      <c r="Q22" s="46">
        <f t="shared" si="0"/>
        <v>29700</v>
      </c>
      <c r="R22" s="47">
        <f t="shared" si="1"/>
        <v>146.41709384963019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-2447</v>
      </c>
      <c r="W22" s="22">
        <f>'19'!G66</f>
        <v>-546</v>
      </c>
      <c r="X22" s="22">
        <f>'19'!G67</f>
        <v>-772</v>
      </c>
      <c r="Y22" s="22">
        <f t="shared" si="7"/>
        <v>-3765</v>
      </c>
      <c r="Z22" s="19">
        <f>'19'!G84</f>
        <v>0.13999999999941792</v>
      </c>
      <c r="AA22" s="19">
        <f>'19'!G85</f>
        <v>-252.55000000000018</v>
      </c>
      <c r="AB22" s="19">
        <f>'19'!G86</f>
        <v>-469.58999999999651</v>
      </c>
      <c r="AC22" s="19">
        <f>'19'!G87</f>
        <v>0</v>
      </c>
      <c r="AD22" s="19">
        <f t="shared" si="8"/>
        <v>-721.99999999999727</v>
      </c>
      <c r="AE22" s="23">
        <f t="shared" si="2"/>
        <v>-106596.04000000001</v>
      </c>
      <c r="AF22" s="23">
        <f t="shared" si="9"/>
        <v>147.63994459833853</v>
      </c>
      <c r="AG22" s="19">
        <f>'19'!G88</f>
        <v>-55.630000000001019</v>
      </c>
      <c r="AH22" s="19">
        <f>'19'!G89</f>
        <v>-188.09999999999854</v>
      </c>
      <c r="AI22" s="19">
        <f>'19'!G90</f>
        <v>-168.76000000000931</v>
      </c>
      <c r="AJ22" s="19">
        <f t="shared" si="10"/>
        <v>-412.49000000000888</v>
      </c>
      <c r="AK22" s="19">
        <f>'19'!G91</f>
        <v>0</v>
      </c>
      <c r="AL22" s="19">
        <f>'19'!G92</f>
        <v>-319.06999999999971</v>
      </c>
      <c r="AM22" s="19"/>
      <c r="AN22" s="19">
        <f t="shared" si="11"/>
        <v>-319.06999999999971</v>
      </c>
      <c r="AO22" s="52">
        <f>'19'!G74</f>
        <v>-9110.8399999999674</v>
      </c>
      <c r="AP22" s="55">
        <f>'19'!G35</f>
        <v>117487.46999999999</v>
      </c>
      <c r="AQ22" s="19">
        <f>'19'!G37</f>
        <v>161367.85999999999</v>
      </c>
      <c r="AR22" s="19">
        <f>'19'!G38</f>
        <v>193488.47</v>
      </c>
      <c r="AS22" s="19">
        <f>'19'!G39</f>
        <v>352421.46</v>
      </c>
      <c r="AT22" s="19">
        <f>'19'!G40</f>
        <v>-13054.789999999999</v>
      </c>
      <c r="AU22" s="19">
        <f>'19'!G41</f>
        <v>0</v>
      </c>
      <c r="AV22" s="19">
        <f>'19'!G42</f>
        <v>-48756.350000000006</v>
      </c>
      <c r="AW22" s="19">
        <f>'19'!G43</f>
        <v>-71869.51999999999</v>
      </c>
      <c r="AX22" s="23">
        <f>'19'!G44</f>
        <v>0</v>
      </c>
      <c r="AY22" s="56">
        <f>'19'!G36</f>
        <v>-23814.36</v>
      </c>
      <c r="AZ22" s="55">
        <f>'19'!G49</f>
        <v>241283.34000000003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-2016.6</v>
      </c>
      <c r="BE22" s="19">
        <f>'19'!G55</f>
        <v>-57839.69</v>
      </c>
      <c r="BF22" s="19">
        <f>'19'!G56</f>
        <v>0</v>
      </c>
      <c r="BG22" s="19">
        <f>'19'!G57</f>
        <v>0</v>
      </c>
      <c r="BH22" s="56">
        <f>'19'!G50</f>
        <v>-31187.440000000002</v>
      </c>
      <c r="BI22" s="60">
        <f t="shared" si="12"/>
        <v>-106596.04000000001</v>
      </c>
      <c r="BJ22" s="60">
        <f>'19'!G133</f>
        <v>-19059.039999999994</v>
      </c>
      <c r="BK22" s="23">
        <f t="shared" si="13"/>
        <v>767.25638297872342</v>
      </c>
      <c r="BL22" s="23">
        <f t="shared" si="14"/>
        <v>1499.6657872340427</v>
      </c>
      <c r="BM22" s="24">
        <f t="shared" si="15"/>
        <v>8.2335519148936172</v>
      </c>
      <c r="BN22" s="25">
        <f t="shared" si="16"/>
        <v>303020</v>
      </c>
      <c r="BO22" s="38">
        <f t="shared" si="17"/>
        <v>-197524.59999999998</v>
      </c>
      <c r="BP22">
        <f t="shared" si="18"/>
        <v>0.97707063711911712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23500</v>
      </c>
      <c r="H23" s="19">
        <f>'20'!G8</f>
        <v>23500</v>
      </c>
      <c r="I23" s="19">
        <v>9</v>
      </c>
      <c r="J23" s="49">
        <f t="shared" si="3"/>
        <v>211500</v>
      </c>
      <c r="K23" s="45">
        <f t="shared" si="4"/>
        <v>116.33663366336634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395</v>
      </c>
      <c r="P23" s="19">
        <v>108</v>
      </c>
      <c r="Q23" s="46">
        <f t="shared" si="0"/>
        <v>42660</v>
      </c>
      <c r="R23" s="47">
        <f t="shared" si="1"/>
        <v>195.54455445544554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77</v>
      </c>
      <c r="W23" s="22">
        <f>'20'!G66</f>
        <v>17</v>
      </c>
      <c r="X23" s="22">
        <f>'20'!G67</f>
        <v>26</v>
      </c>
      <c r="Y23" s="22">
        <f t="shared" si="7"/>
        <v>120</v>
      </c>
      <c r="Z23" s="19">
        <f>'20'!G84</f>
        <v>0</v>
      </c>
      <c r="AA23" s="19">
        <f>'20'!G85</f>
        <v>24</v>
      </c>
      <c r="AB23" s="19">
        <f>'20'!G86</f>
        <v>0</v>
      </c>
      <c r="AC23" s="19">
        <f>'20'!G87</f>
        <v>0</v>
      </c>
      <c r="AD23" s="19">
        <f t="shared" si="8"/>
        <v>24</v>
      </c>
      <c r="AE23" s="23">
        <f t="shared" si="2"/>
        <v>4532.2599999999984</v>
      </c>
      <c r="AF23" s="23">
        <f t="shared" si="9"/>
        <v>188.84416666666661</v>
      </c>
      <c r="AG23" s="19">
        <f>'20'!G88</f>
        <v>0</v>
      </c>
      <c r="AH23" s="19">
        <f>'20'!G89</f>
        <v>11.680000000000291</v>
      </c>
      <c r="AI23" s="19">
        <f>'20'!G90</f>
        <v>6.1600000000034925</v>
      </c>
      <c r="AJ23" s="19">
        <f t="shared" si="10"/>
        <v>17.840000000003783</v>
      </c>
      <c r="AK23" s="19">
        <f>'20'!G91</f>
        <v>0</v>
      </c>
      <c r="AL23" s="19">
        <f>'20'!G92</f>
        <v>11.139999999999418</v>
      </c>
      <c r="AM23" s="19"/>
      <c r="AN23" s="19">
        <f t="shared" si="11"/>
        <v>11.139999999999418</v>
      </c>
      <c r="AO23" s="52">
        <f>'20'!G74</f>
        <v>318.68999999994412</v>
      </c>
      <c r="AP23" s="55">
        <f>'20'!G35</f>
        <v>1742.8000000000175</v>
      </c>
      <c r="AQ23" s="19">
        <f>'20'!G37</f>
        <v>1629.820000000007</v>
      </c>
      <c r="AR23" s="19">
        <f>'20'!G38</f>
        <v>1975.1000000000058</v>
      </c>
      <c r="AS23" s="19">
        <f>'20'!G39</f>
        <v>2849.679999999993</v>
      </c>
      <c r="AT23" s="19">
        <f>'20'!G40</f>
        <v>158.48000000000002</v>
      </c>
      <c r="AU23" s="19">
        <f>'20'!G41</f>
        <v>0</v>
      </c>
      <c r="AV23" s="19">
        <f>'20'!G42</f>
        <v>4532.2599999999984</v>
      </c>
      <c r="AW23" s="19">
        <f>'20'!G43</f>
        <v>2718.9600000000009</v>
      </c>
      <c r="AX23" s="23">
        <f>'20'!G44</f>
        <v>0</v>
      </c>
      <c r="AY23" s="56">
        <f>'20'!G36</f>
        <v>926.36000000000058</v>
      </c>
      <c r="AZ23" s="55">
        <f>'20'!G49</f>
        <v>1742.7799999999988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4.4600000000000364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1114.7100000000009</v>
      </c>
      <c r="BI23" s="60">
        <f t="shared" si="12"/>
        <v>4532.2599999999984</v>
      </c>
      <c r="BJ23" s="60">
        <f>'20'!G133</f>
        <v>846.91000000000349</v>
      </c>
      <c r="BK23" s="23">
        <f t="shared" si="13"/>
        <v>45.688510638297942</v>
      </c>
      <c r="BL23" s="23">
        <f t="shared" si="14"/>
        <v>12.126297872340396</v>
      </c>
      <c r="BM23" s="24">
        <f t="shared" si="15"/>
        <v>8.4046808510638546E-2</v>
      </c>
      <c r="BN23" s="25">
        <f t="shared" si="16"/>
        <v>315980</v>
      </c>
      <c r="BO23" s="38">
        <f t="shared" si="17"/>
        <v>8098.1300000000028</v>
      </c>
      <c r="BP23">
        <f t="shared" si="18"/>
        <v>1.2050788690476195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23500</v>
      </c>
      <c r="H24" s="19">
        <f>'21'!G8</f>
        <v>23500.000000000058</v>
      </c>
      <c r="I24" s="19">
        <v>9</v>
      </c>
      <c r="J24" s="49">
        <f t="shared" si="3"/>
        <v>211500.00000000052</v>
      </c>
      <c r="K24" s="45">
        <f t="shared" si="4"/>
        <v>116.33663366336663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515</v>
      </c>
      <c r="P24" s="19">
        <v>108</v>
      </c>
      <c r="Q24" s="46">
        <f t="shared" si="0"/>
        <v>55620</v>
      </c>
      <c r="R24" s="47">
        <f t="shared" si="1"/>
        <v>318.68811881188111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97</v>
      </c>
      <c r="W24" s="22">
        <f>'21'!G66</f>
        <v>17</v>
      </c>
      <c r="X24" s="22">
        <f>'21'!G67</f>
        <v>27</v>
      </c>
      <c r="Y24" s="22">
        <f t="shared" si="7"/>
        <v>141</v>
      </c>
      <c r="Z24" s="19">
        <f>'21'!G84</f>
        <v>0</v>
      </c>
      <c r="AA24" s="19">
        <f>'21'!G85</f>
        <v>24.369999999999891</v>
      </c>
      <c r="AB24" s="19">
        <f>'21'!G86</f>
        <v>0</v>
      </c>
      <c r="AC24" s="19">
        <f>'21'!G87</f>
        <v>0</v>
      </c>
      <c r="AD24" s="19">
        <f t="shared" si="8"/>
        <v>24.369999999999891</v>
      </c>
      <c r="AE24" s="23">
        <f t="shared" si="2"/>
        <v>4666.0799999999981</v>
      </c>
      <c r="AF24" s="23">
        <f t="shared" si="9"/>
        <v>191.4681986048428</v>
      </c>
      <c r="AG24" s="19">
        <f>'21'!G88</f>
        <v>0</v>
      </c>
      <c r="AH24" s="19">
        <f>'21'!G89</f>
        <v>10.629999999997381</v>
      </c>
      <c r="AI24" s="19">
        <f>'21'!G90</f>
        <v>6.3099999999976717</v>
      </c>
      <c r="AJ24" s="19">
        <f t="shared" si="10"/>
        <v>16.939999999995052</v>
      </c>
      <c r="AK24" s="19">
        <f>'21'!G91</f>
        <v>0</v>
      </c>
      <c r="AL24" s="19">
        <f>'21'!G92</f>
        <v>11.170000000000073</v>
      </c>
      <c r="AM24" s="19"/>
      <c r="AN24" s="19">
        <f t="shared" si="11"/>
        <v>11.170000000000073</v>
      </c>
      <c r="AO24" s="52">
        <f>'21'!G74</f>
        <v>321.20999999996275</v>
      </c>
      <c r="AP24" s="55">
        <f>'21'!G35</f>
        <v>1616.5499999999884</v>
      </c>
      <c r="AQ24" s="19">
        <f>'21'!G37</f>
        <v>1625.5</v>
      </c>
      <c r="AR24" s="19">
        <f>'21'!G38</f>
        <v>1893.8399999999965</v>
      </c>
      <c r="AS24" s="19">
        <f>'21'!G39</f>
        <v>2810.5999999999767</v>
      </c>
      <c r="AT24" s="19">
        <f>'21'!G40</f>
        <v>656.36999999999989</v>
      </c>
      <c r="AU24" s="19">
        <f>'21'!G41</f>
        <v>0</v>
      </c>
      <c r="AV24" s="19">
        <f>'21'!G42</f>
        <v>4666.0799999999981</v>
      </c>
      <c r="AW24" s="19">
        <f>'21'!G43</f>
        <v>2692.16</v>
      </c>
      <c r="AX24" s="23">
        <f>'21'!G44</f>
        <v>0</v>
      </c>
      <c r="AY24" s="56">
        <f>'21'!G36</f>
        <v>1038.0299999999988</v>
      </c>
      <c r="AZ24" s="55">
        <f>'21'!G49</f>
        <v>1532.6599999999744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4.4800000000000182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1116.6799999999985</v>
      </c>
      <c r="BI24" s="60">
        <f t="shared" si="12"/>
        <v>4666.0799999999981</v>
      </c>
      <c r="BJ24" s="60">
        <f>'21'!G133</f>
        <v>706.69000000000233</v>
      </c>
      <c r="BK24" s="23">
        <f t="shared" si="13"/>
        <v>44.712553191489086</v>
      </c>
      <c r="BL24" s="23">
        <f t="shared" si="14"/>
        <v>11.959999999999871</v>
      </c>
      <c r="BM24" s="24">
        <f t="shared" si="15"/>
        <v>8.0588936170212414E-2</v>
      </c>
      <c r="BN24" s="25">
        <f t="shared" si="16"/>
        <v>328940.00000000052</v>
      </c>
      <c r="BO24" s="38">
        <f t="shared" si="17"/>
        <v>8064.93</v>
      </c>
      <c r="BP24">
        <f t="shared" si="18"/>
        <v>1.1819171698223865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23500</v>
      </c>
      <c r="H25" s="19">
        <f>'22'!G8</f>
        <v>23500</v>
      </c>
      <c r="I25" s="19">
        <v>9</v>
      </c>
      <c r="J25" s="49">
        <f t="shared" si="3"/>
        <v>211500</v>
      </c>
      <c r="K25" s="45">
        <f t="shared" si="4"/>
        <v>116.33663366336634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635</v>
      </c>
      <c r="P25" s="19">
        <v>108</v>
      </c>
      <c r="Q25" s="46">
        <f t="shared" si="0"/>
        <v>68580</v>
      </c>
      <c r="R25" s="47">
        <f t="shared" si="1"/>
        <v>324.07879963254055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18</v>
      </c>
      <c r="X25" s="22">
        <f>'22'!G67</f>
        <v>27</v>
      </c>
      <c r="Y25" s="22">
        <f t="shared" si="7"/>
        <v>150</v>
      </c>
      <c r="Z25" s="19">
        <f>'22'!G84</f>
        <v>0</v>
      </c>
      <c r="AA25" s="19">
        <f>'22'!G85</f>
        <v>24</v>
      </c>
      <c r="AB25" s="19">
        <f>'22'!G86</f>
        <v>0</v>
      </c>
      <c r="AC25" s="19">
        <f>'22'!G87</f>
        <v>0</v>
      </c>
      <c r="AD25" s="19">
        <f t="shared" si="8"/>
        <v>24</v>
      </c>
      <c r="AE25" s="23">
        <f t="shared" si="2"/>
        <v>4737.3100000000049</v>
      </c>
      <c r="AF25" s="23">
        <f t="shared" si="9"/>
        <v>197.38791666666688</v>
      </c>
      <c r="AG25" s="19">
        <f>'22'!G88</f>
        <v>0</v>
      </c>
      <c r="AH25" s="19">
        <f>'22'!G89</f>
        <v>10.010000000002037</v>
      </c>
      <c r="AI25" s="19">
        <f>'22'!G90</f>
        <v>5.6600000000034925</v>
      </c>
      <c r="AJ25" s="19">
        <f t="shared" si="10"/>
        <v>15.67000000000553</v>
      </c>
      <c r="AK25" s="19">
        <f>'22'!G91</f>
        <v>0</v>
      </c>
      <c r="AL25" s="19">
        <f>'22'!G92</f>
        <v>11.440000000000509</v>
      </c>
      <c r="AM25" s="19"/>
      <c r="AN25" s="19">
        <f t="shared" si="11"/>
        <v>11.440000000000509</v>
      </c>
      <c r="AO25" s="52">
        <f>'22'!G74</f>
        <v>332.31000000005588</v>
      </c>
      <c r="AP25" s="55">
        <f>'22'!G35</f>
        <v>1523.0299999999988</v>
      </c>
      <c r="AQ25" s="19">
        <f>'22'!G37</f>
        <v>1590.140000000014</v>
      </c>
      <c r="AR25" s="19">
        <f>'22'!G38</f>
        <v>1914.5800000000163</v>
      </c>
      <c r="AS25" s="19">
        <f>'22'!G39</f>
        <v>2775.9200000000419</v>
      </c>
      <c r="AT25" s="19">
        <f>'22'!G40</f>
        <v>365.56999999999994</v>
      </c>
      <c r="AU25" s="19">
        <f>'22'!G41</f>
        <v>0</v>
      </c>
      <c r="AV25" s="19">
        <f>'22'!G42</f>
        <v>4737.3100000000049</v>
      </c>
      <c r="AW25" s="19">
        <f>'22'!G43</f>
        <v>2692.75</v>
      </c>
      <c r="AX25" s="23">
        <f>'22'!G44</f>
        <v>0</v>
      </c>
      <c r="AY25" s="56">
        <f>'22'!G36</f>
        <v>919.97000000000116</v>
      </c>
      <c r="AZ25" s="55">
        <f>'22'!G49</f>
        <v>1561.460000000021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4.4399999999995998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1108.0100000000002</v>
      </c>
      <c r="BI25" s="60">
        <f t="shared" si="12"/>
        <v>4737.3100000000049</v>
      </c>
      <c r="BJ25" s="60">
        <f>'22'!G133</f>
        <v>649.09999999999127</v>
      </c>
      <c r="BK25" s="23">
        <f t="shared" si="13"/>
        <v>44.742765957446913</v>
      </c>
      <c r="BL25" s="23">
        <f t="shared" si="14"/>
        <v>11.812425531915071</v>
      </c>
      <c r="BM25" s="24">
        <f t="shared" si="15"/>
        <v>8.1471489361702815E-2</v>
      </c>
      <c r="BN25" s="25">
        <f t="shared" si="16"/>
        <v>341900</v>
      </c>
      <c r="BO25" s="38">
        <f t="shared" si="17"/>
        <v>8079.1599999999962</v>
      </c>
      <c r="BP25">
        <f t="shared" si="18"/>
        <v>1.2022559523809517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23500</v>
      </c>
      <c r="H26" s="19">
        <f>'23'!G8</f>
        <v>23500</v>
      </c>
      <c r="I26" s="19">
        <v>9</v>
      </c>
      <c r="J26" s="49">
        <f t="shared" si="3"/>
        <v>211500</v>
      </c>
      <c r="K26" s="45">
        <f t="shared" si="4"/>
        <v>116.33663366336634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755</v>
      </c>
      <c r="P26" s="19">
        <v>108</v>
      </c>
      <c r="Q26" s="46">
        <f t="shared" si="0"/>
        <v>81540</v>
      </c>
      <c r="R26" s="47">
        <f t="shared" si="1"/>
        <v>439.72044263249859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99</v>
      </c>
      <c r="W26" s="22">
        <f>'23'!G66</f>
        <v>25</v>
      </c>
      <c r="X26" s="22">
        <f>'23'!G67</f>
        <v>28</v>
      </c>
      <c r="Y26" s="22">
        <f t="shared" si="7"/>
        <v>152</v>
      </c>
      <c r="Z26" s="19">
        <f>'23'!G84</f>
        <v>0</v>
      </c>
      <c r="AA26" s="19">
        <f>'23'!G85</f>
        <v>23.630000000000109</v>
      </c>
      <c r="AB26" s="19">
        <f>'23'!G86</f>
        <v>0</v>
      </c>
      <c r="AC26" s="19">
        <f>'23'!G87</f>
        <v>0</v>
      </c>
      <c r="AD26" s="19">
        <f t="shared" si="8"/>
        <v>23.630000000000109</v>
      </c>
      <c r="AE26" s="23">
        <f t="shared" si="2"/>
        <v>4454.0999999999985</v>
      </c>
      <c r="AF26" s="23">
        <f t="shared" si="9"/>
        <v>188.49344054168336</v>
      </c>
      <c r="AG26" s="19">
        <f>'23'!G88</f>
        <v>0</v>
      </c>
      <c r="AH26" s="19">
        <f>'23'!G89</f>
        <v>10.419999999998254</v>
      </c>
      <c r="AI26" s="19">
        <f>'23'!G90</f>
        <v>5.5399999999935972</v>
      </c>
      <c r="AJ26" s="19">
        <f t="shared" si="10"/>
        <v>15.959999999991851</v>
      </c>
      <c r="AK26" s="19">
        <f>'23'!G91</f>
        <v>0</v>
      </c>
      <c r="AL26" s="19">
        <f>'23'!G92</f>
        <v>10.729999999999563</v>
      </c>
      <c r="AM26" s="19"/>
      <c r="AN26" s="19">
        <f t="shared" si="11"/>
        <v>10.729999999999563</v>
      </c>
      <c r="AO26" s="52">
        <f>'23'!G74</f>
        <v>301.47999999998137</v>
      </c>
      <c r="AP26" s="55">
        <f>'23'!G35</f>
        <v>1488.7900000000081</v>
      </c>
      <c r="AQ26" s="19">
        <f>'23'!G37</f>
        <v>1586.7099999999919</v>
      </c>
      <c r="AR26" s="19">
        <f>'23'!G38</f>
        <v>1933.5499999999884</v>
      </c>
      <c r="AS26" s="19">
        <f>'23'!G39</f>
        <v>2743.8499999999767</v>
      </c>
      <c r="AT26" s="19">
        <f>'23'!G40</f>
        <v>588.38000000000011</v>
      </c>
      <c r="AU26" s="19">
        <f>'23'!G41</f>
        <v>0</v>
      </c>
      <c r="AV26" s="19">
        <f>'23'!G42</f>
        <v>4454.0999999999985</v>
      </c>
      <c r="AW26" s="19">
        <f>'23'!G43</f>
        <v>2677.5</v>
      </c>
      <c r="AX26" s="23">
        <f>'23'!G44</f>
        <v>0</v>
      </c>
      <c r="AY26" s="56">
        <f>'23'!G36</f>
        <v>821.63999999999942</v>
      </c>
      <c r="AZ26" s="55">
        <f>'23'!G49</f>
        <v>1537.429999999993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3.8000000000001819</v>
      </c>
      <c r="BE26" s="19">
        <f>'23'!G55</f>
        <v>0</v>
      </c>
      <c r="BF26" s="19">
        <f>'23'!G56</f>
        <v>0</v>
      </c>
      <c r="BG26" s="19">
        <f>'23'!G57</f>
        <v>0</v>
      </c>
      <c r="BH26" s="56">
        <f>'23'!G50</f>
        <v>1077.1100000000006</v>
      </c>
      <c r="BI26" s="60">
        <f t="shared" si="12"/>
        <v>4454.0999999999985</v>
      </c>
      <c r="BJ26" s="60">
        <f>'23'!G133</f>
        <v>663.94000000000233</v>
      </c>
      <c r="BK26" s="23">
        <f t="shared" si="13"/>
        <v>43.224765957446806</v>
      </c>
      <c r="BL26" s="23">
        <f t="shared" si="14"/>
        <v>11.675957446808411</v>
      </c>
      <c r="BM26" s="24">
        <f t="shared" si="15"/>
        <v>8.2278723404254822E-2</v>
      </c>
      <c r="BN26" s="25">
        <f t="shared" si="16"/>
        <v>354860</v>
      </c>
      <c r="BO26" s="38">
        <f t="shared" si="17"/>
        <v>7795.5400000000009</v>
      </c>
      <c r="BP26">
        <f t="shared" si="18"/>
        <v>1.178214739133058</v>
      </c>
    </row>
    <row r="27" spans="1:68" x14ac:dyDescent="0.25">
      <c r="A27" s="16">
        <v>24</v>
      </c>
      <c r="B27" s="17">
        <v>24</v>
      </c>
      <c r="C27" s="28"/>
      <c r="D27" s="19">
        <f>'24'!D3</f>
        <v>24</v>
      </c>
      <c r="E27" s="50">
        <f>'24'!D4</f>
        <v>0.77</v>
      </c>
      <c r="F27" s="50">
        <f>'24'!D2</f>
        <v>0.9</v>
      </c>
      <c r="G27" s="19">
        <f>'24'!G7</f>
        <v>23500</v>
      </c>
      <c r="H27" s="19">
        <f>'24'!G8</f>
        <v>23500</v>
      </c>
      <c r="I27" s="19">
        <v>9</v>
      </c>
      <c r="J27" s="49">
        <f t="shared" si="3"/>
        <v>211500</v>
      </c>
      <c r="K27" s="45">
        <f t="shared" si="4"/>
        <v>116.33663366336634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875</v>
      </c>
      <c r="P27" s="19">
        <v>108</v>
      </c>
      <c r="Q27" s="46">
        <f t="shared" si="0"/>
        <v>94500</v>
      </c>
      <c r="R27" s="47">
        <f t="shared" si="1"/>
        <v>481.2981298129813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89</v>
      </c>
      <c r="W27" s="22">
        <f>'24'!G66</f>
        <v>20</v>
      </c>
      <c r="X27" s="22">
        <f>'24'!G67</f>
        <v>31</v>
      </c>
      <c r="Y27" s="22">
        <f t="shared" si="7"/>
        <v>140</v>
      </c>
      <c r="Z27" s="19">
        <f>'24'!G84</f>
        <v>0</v>
      </c>
      <c r="AA27" s="19">
        <f>'24'!G85</f>
        <v>24</v>
      </c>
      <c r="AB27" s="19">
        <f>'24'!G86</f>
        <v>0</v>
      </c>
      <c r="AC27" s="19">
        <f>'24'!G87</f>
        <v>0</v>
      </c>
      <c r="AD27" s="19">
        <f t="shared" si="8"/>
        <v>24</v>
      </c>
      <c r="AE27" s="23">
        <f t="shared" si="2"/>
        <v>4621</v>
      </c>
      <c r="AF27" s="23">
        <f t="shared" si="9"/>
        <v>192.54166666666666</v>
      </c>
      <c r="AG27" s="19">
        <f>'24'!G88</f>
        <v>2.4400000000023283</v>
      </c>
      <c r="AH27" s="19">
        <f>'24'!G89</f>
        <v>7.3100000000013097</v>
      </c>
      <c r="AI27" s="19">
        <f>'24'!G90</f>
        <v>5.180000000007567</v>
      </c>
      <c r="AJ27" s="19">
        <f t="shared" si="10"/>
        <v>14.930000000011205</v>
      </c>
      <c r="AK27" s="19">
        <f>'24'!G91</f>
        <v>0</v>
      </c>
      <c r="AL27" s="19">
        <f>'24'!G92</f>
        <v>10.260000000000218</v>
      </c>
      <c r="AM27" s="19"/>
      <c r="AN27" s="19">
        <f t="shared" si="11"/>
        <v>10.260000000000218</v>
      </c>
      <c r="AO27" s="52">
        <f>'24'!G74</f>
        <v>299</v>
      </c>
      <c r="AP27" s="55">
        <f>'24'!G35</f>
        <v>1535</v>
      </c>
      <c r="AQ27" s="19">
        <f>'24'!G37</f>
        <v>1616</v>
      </c>
      <c r="AR27" s="19">
        <f>'24'!G38</f>
        <v>1954</v>
      </c>
      <c r="AS27" s="19">
        <f>'24'!G39</f>
        <v>2746</v>
      </c>
      <c r="AT27" s="19">
        <f>'24'!G40</f>
        <v>589</v>
      </c>
      <c r="AU27" s="19">
        <f>'24'!G41</f>
        <v>0</v>
      </c>
      <c r="AV27" s="19">
        <f>'24'!G42</f>
        <v>4621</v>
      </c>
      <c r="AW27" s="19">
        <f>'24'!G43</f>
        <v>2687</v>
      </c>
      <c r="AX27" s="23">
        <f>'24'!G44</f>
        <v>0</v>
      </c>
      <c r="AY27" s="56">
        <f>'24'!G36</f>
        <v>955</v>
      </c>
      <c r="AZ27" s="55">
        <f>'24'!G49</f>
        <v>1560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</v>
      </c>
      <c r="BE27" s="19">
        <f>'24'!G55</f>
        <v>0</v>
      </c>
      <c r="BF27" s="19">
        <f>'24'!G56</f>
        <v>0</v>
      </c>
      <c r="BG27" s="19">
        <f>'24'!G57</f>
        <v>0</v>
      </c>
      <c r="BH27" s="56">
        <f>'24'!G50</f>
        <v>1032</v>
      </c>
      <c r="BI27" s="60">
        <f t="shared" si="12"/>
        <v>4621</v>
      </c>
      <c r="BJ27" s="60">
        <f>'24'!G133</f>
        <v>679</v>
      </c>
      <c r="BK27" s="23">
        <f t="shared" si="13"/>
        <v>44.268085106382976</v>
      </c>
      <c r="BL27" s="23">
        <f t="shared" si="14"/>
        <v>11.685106382978724</v>
      </c>
      <c r="BM27" s="24">
        <f t="shared" si="15"/>
        <v>8.3148936170212767E-2</v>
      </c>
      <c r="BN27" s="25">
        <f t="shared" si="16"/>
        <v>367820</v>
      </c>
      <c r="BO27" s="38">
        <f t="shared" si="17"/>
        <v>7987</v>
      </c>
      <c r="BP27">
        <f t="shared" si="18"/>
        <v>1.1885416666666666</v>
      </c>
    </row>
    <row r="28" spans="1:68" x14ac:dyDescent="0.25">
      <c r="A28" s="16">
        <v>25</v>
      </c>
      <c r="B28" s="26">
        <v>25</v>
      </c>
      <c r="C28" s="28"/>
      <c r="D28" s="19">
        <f>'25'!D3</f>
        <v>24</v>
      </c>
      <c r="E28" s="50">
        <f>'25'!D4</f>
        <v>0.77</v>
      </c>
      <c r="F28" s="50">
        <f>'25'!D2</f>
        <v>0.9</v>
      </c>
      <c r="G28" s="19">
        <f>'25'!G7</f>
        <v>23500</v>
      </c>
      <c r="H28" s="19">
        <f>'25'!G8</f>
        <v>23500</v>
      </c>
      <c r="I28" s="19">
        <v>9</v>
      </c>
      <c r="J28" s="49">
        <f t="shared" si="3"/>
        <v>211500</v>
      </c>
      <c r="K28" s="45">
        <f t="shared" si="4"/>
        <v>116.33663366336634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995</v>
      </c>
      <c r="P28" s="19">
        <v>108</v>
      </c>
      <c r="Q28" s="46">
        <f t="shared" si="0"/>
        <v>107460</v>
      </c>
      <c r="R28" s="47">
        <f t="shared" si="1"/>
        <v>547.30473047304724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91</v>
      </c>
      <c r="W28" s="22">
        <f>'25'!G66</f>
        <v>24</v>
      </c>
      <c r="X28" s="22">
        <f>'25'!G67</f>
        <v>38</v>
      </c>
      <c r="Y28" s="22">
        <f t="shared" si="7"/>
        <v>153</v>
      </c>
      <c r="Z28" s="19">
        <f>'25'!G84</f>
        <v>0</v>
      </c>
      <c r="AA28" s="19">
        <f>'25'!G85</f>
        <v>24</v>
      </c>
      <c r="AB28" s="19">
        <f>'25'!G86</f>
        <v>0</v>
      </c>
      <c r="AC28" s="19">
        <f>'25'!G87</f>
        <v>0</v>
      </c>
      <c r="AD28" s="19">
        <f t="shared" si="8"/>
        <v>24</v>
      </c>
      <c r="AE28" s="23">
        <f t="shared" si="2"/>
        <v>0</v>
      </c>
      <c r="AF28" s="23">
        <f t="shared" si="9"/>
        <v>0</v>
      </c>
      <c r="AG28" s="19">
        <f>'25'!G88</f>
        <v>9.0299999999988358</v>
      </c>
      <c r="AH28" s="19">
        <f>'25'!G89</f>
        <v>0</v>
      </c>
      <c r="AI28" s="19">
        <f>'25'!G90</f>
        <v>7.8499999999912689</v>
      </c>
      <c r="AJ28" s="19">
        <f t="shared" si="10"/>
        <v>16.879999999990105</v>
      </c>
      <c r="AK28" s="19">
        <f>'25'!G91</f>
        <v>-0.32000000000016371</v>
      </c>
      <c r="AL28" s="19">
        <f>'25'!G92</f>
        <v>12</v>
      </c>
      <c r="AM28" s="19"/>
      <c r="AN28" s="19">
        <f t="shared" si="11"/>
        <v>11.679999999999836</v>
      </c>
      <c r="AO28" s="52">
        <f>'25'!G74</f>
        <v>329</v>
      </c>
      <c r="AP28" s="55">
        <f>'25'!G35</f>
        <v>1650</v>
      </c>
      <c r="AQ28" s="19">
        <f>'25'!G37</f>
        <v>1632</v>
      </c>
      <c r="AR28" s="19">
        <f>'25'!G38</f>
        <v>2035</v>
      </c>
      <c r="AS28" s="19">
        <f>'25'!G39</f>
        <v>2850</v>
      </c>
      <c r="AT28" s="19">
        <f>'25'!G40</f>
        <v>481</v>
      </c>
      <c r="AU28" s="19">
        <f>'25'!G41</f>
        <v>0</v>
      </c>
      <c r="AV28" s="19"/>
      <c r="AW28" s="19">
        <f>'25'!G43</f>
        <v>2685</v>
      </c>
      <c r="AX28" s="23">
        <f>'25'!G44</f>
        <v>0</v>
      </c>
      <c r="AY28" s="56">
        <f>'25'!G36</f>
        <v>1168</v>
      </c>
      <c r="AZ28" s="55">
        <f>'25'!G49</f>
        <v>1593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1393</v>
      </c>
      <c r="BI28" s="60">
        <f t="shared" si="12"/>
        <v>0</v>
      </c>
      <c r="BJ28" s="60">
        <f>'25'!G133</f>
        <v>702</v>
      </c>
      <c r="BK28" s="23">
        <f t="shared" si="13"/>
        <v>25.225531914893619</v>
      </c>
      <c r="BL28" s="23">
        <f t="shared" si="14"/>
        <v>12.127659574468085</v>
      </c>
      <c r="BM28" s="24">
        <f t="shared" si="15"/>
        <v>8.6595744680851058E-2</v>
      </c>
      <c r="BN28" s="25">
        <f t="shared" si="16"/>
        <v>380780</v>
      </c>
      <c r="BO28" s="38">
        <f t="shared" si="17"/>
        <v>3387</v>
      </c>
      <c r="BP28">
        <f t="shared" si="18"/>
        <v>0.50401785714285718</v>
      </c>
    </row>
    <row r="29" spans="1:68" x14ac:dyDescent="0.25">
      <c r="A29" s="16">
        <v>26</v>
      </c>
      <c r="B29" s="26">
        <v>26</v>
      </c>
      <c r="C29" s="29"/>
      <c r="D29" s="19">
        <f>'26'!D3</f>
        <v>24</v>
      </c>
      <c r="E29" s="50">
        <f>'26'!D4</f>
        <v>0.77</v>
      </c>
      <c r="F29" s="50">
        <f>'26'!D2</f>
        <v>0.83</v>
      </c>
      <c r="G29" s="19">
        <f>'26'!G7</f>
        <v>23500</v>
      </c>
      <c r="H29" s="19">
        <f>'26'!G8</f>
        <v>23500</v>
      </c>
      <c r="I29" s="19">
        <v>9</v>
      </c>
      <c r="J29" s="49">
        <f t="shared" si="3"/>
        <v>211500</v>
      </c>
      <c r="K29" s="45">
        <f t="shared" si="4"/>
        <v>116.33663366336634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1115</v>
      </c>
      <c r="P29" s="19">
        <v>108</v>
      </c>
      <c r="Q29" s="46">
        <f t="shared" si="0"/>
        <v>120420</v>
      </c>
      <c r="R29" s="47">
        <f t="shared" si="1"/>
        <v>665.03638315638796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117</v>
      </c>
      <c r="W29" s="22">
        <f>'26'!G66</f>
        <v>28</v>
      </c>
      <c r="X29" s="22">
        <f>'26'!G67</f>
        <v>31</v>
      </c>
      <c r="Y29" s="22">
        <f t="shared" si="7"/>
        <v>176</v>
      </c>
      <c r="Z29" s="19">
        <f>'26'!G84</f>
        <v>0</v>
      </c>
      <c r="AA29" s="19">
        <f>'26'!G85</f>
        <v>24.319999999999936</v>
      </c>
      <c r="AB29" s="19">
        <f>'26'!G86</f>
        <v>0</v>
      </c>
      <c r="AC29" s="19">
        <f>'26'!G87</f>
        <v>0</v>
      </c>
      <c r="AD29" s="19">
        <f t="shared" si="8"/>
        <v>24.319999999999936</v>
      </c>
      <c r="AE29" s="23">
        <f t="shared" si="2"/>
        <v>5089</v>
      </c>
      <c r="AF29" s="23">
        <f t="shared" si="9"/>
        <v>209.25164473684265</v>
      </c>
      <c r="AG29" s="19">
        <f>'26'!G88</f>
        <v>11</v>
      </c>
      <c r="AH29" s="19">
        <f>'26'!G89</f>
        <v>0</v>
      </c>
      <c r="AI29" s="19">
        <f>'26'!G90</f>
        <v>5.8899999999994179</v>
      </c>
      <c r="AJ29" s="19">
        <f t="shared" si="10"/>
        <v>16.889999999999418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336</v>
      </c>
      <c r="AP29" s="55">
        <f>'26'!G35</f>
        <v>1816</v>
      </c>
      <c r="AQ29" s="19">
        <f>'26'!G37</f>
        <v>1597</v>
      </c>
      <c r="AR29" s="19">
        <f>'26'!G38</f>
        <v>1966</v>
      </c>
      <c r="AS29" s="19">
        <f>'26'!G39</f>
        <v>2728</v>
      </c>
      <c r="AT29" s="19">
        <f>'26'!G40</f>
        <v>424</v>
      </c>
      <c r="AU29" s="19">
        <f>'26'!G41</f>
        <v>0</v>
      </c>
      <c r="AV29" s="19">
        <f>'26'!G42</f>
        <v>5089</v>
      </c>
      <c r="AW29" s="19">
        <f>'26'!G43</f>
        <v>2682</v>
      </c>
      <c r="AX29" s="23">
        <f>'26'!G44</f>
        <v>0</v>
      </c>
      <c r="AY29" s="56">
        <f>'26'!G36</f>
        <v>1268</v>
      </c>
      <c r="AZ29" s="55">
        <f>'26'!G49</f>
        <v>1527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1428</v>
      </c>
      <c r="BI29" s="60">
        <f t="shared" si="12"/>
        <v>5089</v>
      </c>
      <c r="BJ29" s="60">
        <f>'26'!G133</f>
        <v>673</v>
      </c>
      <c r="BK29" s="23">
        <f t="shared" si="13"/>
        <v>47.293617021276596</v>
      </c>
      <c r="BL29" s="23">
        <f t="shared" si="14"/>
        <v>11.608510638297872</v>
      </c>
      <c r="BM29" s="24">
        <f t="shared" si="15"/>
        <v>8.3659574468085113E-2</v>
      </c>
      <c r="BN29" s="25">
        <f t="shared" si="16"/>
        <v>393740</v>
      </c>
      <c r="BO29" s="38">
        <f t="shared" si="17"/>
        <v>8444</v>
      </c>
      <c r="BP29">
        <f t="shared" si="18"/>
        <v>1.2400140977443641</v>
      </c>
    </row>
    <row r="30" spans="1:68" x14ac:dyDescent="0.25">
      <c r="A30" s="16">
        <v>27</v>
      </c>
      <c r="B30" s="17">
        <v>27</v>
      </c>
      <c r="C30" s="28"/>
      <c r="D30" s="19">
        <f>'27'!D3</f>
        <v>25</v>
      </c>
      <c r="E30" s="50">
        <f>'27'!D4</f>
        <v>0.77</v>
      </c>
      <c r="F30" s="50">
        <f>'27'!D2</f>
        <v>0.76</v>
      </c>
      <c r="G30" s="19">
        <f>'27'!G7</f>
        <v>23500</v>
      </c>
      <c r="H30" s="19">
        <f>'27'!G8</f>
        <v>23500</v>
      </c>
      <c r="I30" s="19">
        <v>9</v>
      </c>
      <c r="J30" s="49">
        <f t="shared" si="3"/>
        <v>211500</v>
      </c>
      <c r="K30" s="45">
        <f t="shared" si="4"/>
        <v>116.33663366336634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1235</v>
      </c>
      <c r="P30" s="19">
        <v>108</v>
      </c>
      <c r="Q30" s="46">
        <f t="shared" si="0"/>
        <v>133380</v>
      </c>
      <c r="R30" s="47">
        <f t="shared" si="1"/>
        <v>804.45544554455444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95</v>
      </c>
      <c r="W30" s="22">
        <f>'27'!G66</f>
        <v>19</v>
      </c>
      <c r="X30" s="22">
        <f>'27'!G67</f>
        <v>28</v>
      </c>
      <c r="Y30" s="22">
        <f t="shared" si="7"/>
        <v>142</v>
      </c>
      <c r="Z30" s="19">
        <f>'27'!G84</f>
        <v>0</v>
      </c>
      <c r="AA30" s="19">
        <f>'27'!G85</f>
        <v>23.680000000000064</v>
      </c>
      <c r="AB30" s="19">
        <f>'27'!G86</f>
        <v>0</v>
      </c>
      <c r="AC30" s="19">
        <f>'27'!G87</f>
        <v>0</v>
      </c>
      <c r="AD30" s="19">
        <f t="shared" si="8"/>
        <v>23.680000000000064</v>
      </c>
      <c r="AE30" s="23">
        <f t="shared" si="2"/>
        <v>4970</v>
      </c>
      <c r="AF30" s="23">
        <f t="shared" si="9"/>
        <v>209.8817567567562</v>
      </c>
      <c r="AG30" s="19">
        <f>'27'!G88</f>
        <v>11</v>
      </c>
      <c r="AH30" s="19">
        <f>'27'!G89</f>
        <v>0</v>
      </c>
      <c r="AI30" s="19">
        <f>'27'!G90</f>
        <v>5.4600000000064028</v>
      </c>
      <c r="AJ30" s="19">
        <f t="shared" si="10"/>
        <v>16.460000000006403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311</v>
      </c>
      <c r="AP30" s="55">
        <f>'27'!G35</f>
        <v>1834</v>
      </c>
      <c r="AQ30" s="19">
        <f>'27'!G37</f>
        <v>1580</v>
      </c>
      <c r="AR30" s="19">
        <f>'27'!G38</f>
        <v>1959</v>
      </c>
      <c r="AS30" s="19">
        <f>'27'!G39</f>
        <v>2857</v>
      </c>
      <c r="AT30" s="19">
        <f>'27'!G40</f>
        <v>773</v>
      </c>
      <c r="AU30" s="19">
        <f>'27'!G41</f>
        <v>0</v>
      </c>
      <c r="AV30" s="19">
        <f>'27'!G42</f>
        <v>4970</v>
      </c>
      <c r="AW30" s="19">
        <f>'27'!G43</f>
        <v>2703</v>
      </c>
      <c r="AX30" s="23">
        <f>'27'!G44</f>
        <v>0</v>
      </c>
      <c r="AY30" s="56">
        <f>'27'!G36</f>
        <v>880</v>
      </c>
      <c r="AZ30" s="55">
        <f>'27'!G49</f>
        <v>1531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1298</v>
      </c>
      <c r="BI30" s="60">
        <f t="shared" si="12"/>
        <v>4970</v>
      </c>
      <c r="BJ30" s="60">
        <f>'27'!G133</f>
        <v>657</v>
      </c>
      <c r="BK30" s="23">
        <f t="shared" si="13"/>
        <v>46.970212765957449</v>
      </c>
      <c r="BL30" s="23">
        <f t="shared" si="14"/>
        <v>12.157446808510638</v>
      </c>
      <c r="BM30" s="24">
        <f t="shared" si="15"/>
        <v>8.3361702127659573E-2</v>
      </c>
      <c r="BN30" s="25">
        <f t="shared" si="16"/>
        <v>406700</v>
      </c>
      <c r="BO30" s="38">
        <f t="shared" si="17"/>
        <v>8330</v>
      </c>
      <c r="BP30">
        <f t="shared" si="18"/>
        <v>1.2563344594594561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30714</v>
      </c>
      <c r="H31" s="19">
        <f>'28'!G8</f>
        <v>23500</v>
      </c>
      <c r="I31" s="19">
        <v>9</v>
      </c>
      <c r="J31" s="49">
        <f t="shared" si="3"/>
        <v>211500</v>
      </c>
      <c r="K31" s="45">
        <f t="shared" si="4"/>
        <v>116.33663366336634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1355</v>
      </c>
      <c r="P31" s="19">
        <v>108</v>
      </c>
      <c r="Q31" s="46">
        <f t="shared" si="0"/>
        <v>146340</v>
      </c>
      <c r="R31" s="47">
        <f t="shared" si="1"/>
        <v>729.12182522600085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134</v>
      </c>
      <c r="W31" s="22">
        <f>'28'!G66</f>
        <v>16</v>
      </c>
      <c r="X31" s="22">
        <f>'28'!G67</f>
        <v>26</v>
      </c>
      <c r="Y31" s="22">
        <f t="shared" si="7"/>
        <v>176</v>
      </c>
      <c r="Z31" s="19">
        <f>'28'!G84</f>
        <v>-0.15000000000145519</v>
      </c>
      <c r="AA31" s="19">
        <f>'28'!G85</f>
        <v>24.070000000000164</v>
      </c>
      <c r="AB31" s="19">
        <f>'28'!G86</f>
        <v>-0.47000000000116415</v>
      </c>
      <c r="AC31" s="19">
        <f>'28'!G87</f>
        <v>0</v>
      </c>
      <c r="AD31" s="19">
        <f t="shared" si="8"/>
        <v>23.449999999997544</v>
      </c>
      <c r="AE31" s="23">
        <f t="shared" si="2"/>
        <v>4561.429999999993</v>
      </c>
      <c r="AF31" s="23">
        <f t="shared" si="9"/>
        <v>194.51727078893265</v>
      </c>
      <c r="AG31" s="19">
        <f>'28'!G88</f>
        <v>1.8699999999989814</v>
      </c>
      <c r="AH31" s="19">
        <f>'28'!G89</f>
        <v>7.9399999999986903</v>
      </c>
      <c r="AI31" s="19">
        <f>'28'!G90</f>
        <v>5.9299999999930151</v>
      </c>
      <c r="AJ31" s="19">
        <f t="shared" si="10"/>
        <v>15.739999999990687</v>
      </c>
      <c r="AK31" s="19">
        <f>'28'!G91</f>
        <v>0</v>
      </c>
      <c r="AL31" s="19">
        <f>'28'!G92</f>
        <v>11.680000000000291</v>
      </c>
      <c r="AM31" s="19"/>
      <c r="AN31" s="19">
        <f t="shared" si="11"/>
        <v>11.680000000000291</v>
      </c>
      <c r="AO31" s="52">
        <f>'28'!G74</f>
        <v>325.92099999997299</v>
      </c>
      <c r="AP31" s="55">
        <f>'28'!G35</f>
        <v>1836.2699999999895</v>
      </c>
      <c r="AQ31" s="19">
        <f>'28'!G37</f>
        <v>1536.2300000000105</v>
      </c>
      <c r="AR31" s="19">
        <f>'28'!G38</f>
        <v>1967.4899999999907</v>
      </c>
      <c r="AS31" s="19">
        <f>'28'!G39</f>
        <v>2740.429999999993</v>
      </c>
      <c r="AT31" s="19">
        <f>'28'!G40</f>
        <v>982.77000000000044</v>
      </c>
      <c r="AU31" s="19">
        <f>'28'!G41</f>
        <v>0</v>
      </c>
      <c r="AV31" s="19">
        <f>'28'!G42</f>
        <v>4561.429999999993</v>
      </c>
      <c r="AW31" s="86">
        <f>'28'!G43</f>
        <v>2482.0699999999997</v>
      </c>
      <c r="AX31" s="23">
        <f>'28'!G44</f>
        <v>0</v>
      </c>
      <c r="AY31" s="56">
        <f>'28'!G36</f>
        <v>766.93999999999869</v>
      </c>
      <c r="AZ31" s="55">
        <f>'28'!G49</f>
        <v>1484.4099999999744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4.4000000000000909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1148.2000000000007</v>
      </c>
      <c r="BI31" s="60">
        <f t="shared" si="12"/>
        <v>4561.429999999993</v>
      </c>
      <c r="BJ31" s="60">
        <f>'28'!G133</f>
        <v>658.92999999999302</v>
      </c>
      <c r="BK31" s="23">
        <f>SUM(AP31,AU31,AV31,AW31,AZ31,BE31,BF31,BG31)/H31%</f>
        <v>44.102893617021095</v>
      </c>
      <c r="BL31" s="23">
        <f t="shared" si="14"/>
        <v>11.66140425531912</v>
      </c>
      <c r="BM31" s="24">
        <f t="shared" si="15"/>
        <v>8.3722978723403854E-2</v>
      </c>
      <c r="BN31" s="25">
        <f t="shared" si="16"/>
        <v>419660</v>
      </c>
      <c r="BO31" s="38">
        <f t="shared" si="17"/>
        <v>7702.4299999999857</v>
      </c>
      <c r="BP31">
        <f t="shared" si="18"/>
        <v>1.1730779774597613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0.45</v>
      </c>
      <c r="G32" s="19">
        <f>'29'!G7</f>
        <v>23500</v>
      </c>
      <c r="H32" s="19">
        <f>'29'!G8</f>
        <v>23500</v>
      </c>
      <c r="I32" s="19">
        <v>9</v>
      </c>
      <c r="J32" s="49">
        <f t="shared" si="3"/>
        <v>211500</v>
      </c>
      <c r="K32" s="45">
        <f t="shared" si="4"/>
        <v>116.33663366336634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1475</v>
      </c>
      <c r="P32" s="19">
        <v>108</v>
      </c>
      <c r="Q32" s="46">
        <f t="shared" si="0"/>
        <v>159300</v>
      </c>
      <c r="R32" s="47">
        <f t="shared" si="1"/>
        <v>1622.6622662266227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20</v>
      </c>
      <c r="X32" s="22">
        <f>'29'!G67</f>
        <v>28</v>
      </c>
      <c r="Y32" s="22">
        <f t="shared" si="7"/>
        <v>152</v>
      </c>
      <c r="Z32" s="19">
        <f>'29'!G84</f>
        <v>1.0000000002037268E-2</v>
      </c>
      <c r="AA32" s="19">
        <f>'29'!G85</f>
        <v>23.519999999999982</v>
      </c>
      <c r="AB32" s="19">
        <f>'29'!G86</f>
        <v>6.9999999999708962E-2</v>
      </c>
      <c r="AC32" s="19">
        <f>'29'!G87</f>
        <v>0</v>
      </c>
      <c r="AD32" s="19">
        <f t="shared" si="8"/>
        <v>23.600000000001728</v>
      </c>
      <c r="AE32" s="23">
        <f t="shared" si="2"/>
        <v>4224.9400000000023</v>
      </c>
      <c r="AF32" s="23">
        <f t="shared" si="9"/>
        <v>179.0228813559192</v>
      </c>
      <c r="AG32" s="19">
        <f>'29'!G88</f>
        <v>0.19000000000232831</v>
      </c>
      <c r="AH32" s="19">
        <f>'29'!G89</f>
        <v>9.319999999999709</v>
      </c>
      <c r="AI32" s="19">
        <f>'29'!G90</f>
        <v>5.1000000000058208</v>
      </c>
      <c r="AJ32" s="19">
        <f t="shared" si="10"/>
        <v>14.610000000007858</v>
      </c>
      <c r="AK32" s="19">
        <f>'29'!G91</f>
        <v>0</v>
      </c>
      <c r="AL32" s="19">
        <f>'29'!G92</f>
        <v>11.449999999999818</v>
      </c>
      <c r="AM32" s="19"/>
      <c r="AN32" s="19">
        <f t="shared" si="11"/>
        <v>11.449999999999818</v>
      </c>
      <c r="AO32" s="52">
        <f>'29'!G74</f>
        <v>326.39899999997579</v>
      </c>
      <c r="AP32" s="55">
        <f>'29'!G35</f>
        <v>1871.7200000000012</v>
      </c>
      <c r="AQ32" s="19">
        <f>'29'!G37</f>
        <v>1544.4799999999814</v>
      </c>
      <c r="AR32" s="19">
        <f>'29'!G38</f>
        <v>1870.5800000000163</v>
      </c>
      <c r="AS32" s="19">
        <f>'29'!G39</f>
        <v>2727.320000000007</v>
      </c>
      <c r="AT32" s="19">
        <f>'29'!G40</f>
        <v>381.89999999999964</v>
      </c>
      <c r="AU32" s="19">
        <f>'29'!G41</f>
        <v>0</v>
      </c>
      <c r="AV32" s="19">
        <f>'29'!G42</f>
        <v>4224.9400000000023</v>
      </c>
      <c r="AW32" s="19">
        <f>'29'!G43</f>
        <v>2459.9199999999983</v>
      </c>
      <c r="AX32" s="23">
        <f>'29'!G44</f>
        <v>0</v>
      </c>
      <c r="AY32" s="56">
        <f>'29'!G36</f>
        <v>817.22999999999956</v>
      </c>
      <c r="AZ32" s="55">
        <f>'29'!G49</f>
        <v>1433.8400000000256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4.3600000000001273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950.39999999999782</v>
      </c>
      <c r="BI32" s="60">
        <f t="shared" si="12"/>
        <v>4224.9400000000023</v>
      </c>
      <c r="BJ32" s="60">
        <f>'29'!G133</f>
        <v>707.36000000000058</v>
      </c>
      <c r="BK32" s="23">
        <f t="shared" si="13"/>
        <v>42.512425531915007</v>
      </c>
      <c r="BL32" s="23">
        <f t="shared" si="14"/>
        <v>11.605617021276625</v>
      </c>
      <c r="BM32" s="24">
        <f t="shared" si="15"/>
        <v>7.9599148936170913E-2</v>
      </c>
      <c r="BN32" s="25">
        <f t="shared" si="16"/>
        <v>432620</v>
      </c>
      <c r="BO32" s="38">
        <f t="shared" si="17"/>
        <v>7392.2200000000012</v>
      </c>
      <c r="BP32">
        <f t="shared" si="18"/>
        <v>1.1186773607747367</v>
      </c>
    </row>
    <row r="33" spans="1:68" x14ac:dyDescent="0.25">
      <c r="A33" s="16">
        <v>30</v>
      </c>
      <c r="B33" s="27">
        <v>30</v>
      </c>
      <c r="C33" s="28"/>
      <c r="D33" s="19">
        <f>'30'!D3</f>
        <v>25</v>
      </c>
      <c r="E33" s="50">
        <f>'30'!D4</f>
        <v>0.8</v>
      </c>
      <c r="F33" s="50">
        <f>'30'!D2</f>
        <v>0.61</v>
      </c>
      <c r="G33" s="19">
        <f>'30'!G7</f>
        <v>23500</v>
      </c>
      <c r="H33" s="19">
        <f>'30'!G8</f>
        <v>23500</v>
      </c>
      <c r="I33" s="19">
        <v>9</v>
      </c>
      <c r="J33" s="49">
        <f t="shared" si="3"/>
        <v>211500</v>
      </c>
      <c r="K33" s="45">
        <f t="shared" si="4"/>
        <v>116.33663366336634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1595</v>
      </c>
      <c r="P33" s="19">
        <v>108</v>
      </c>
      <c r="Q33" s="46">
        <f t="shared" si="0"/>
        <v>172260</v>
      </c>
      <c r="R33" s="47">
        <f t="shared" si="1"/>
        <v>1294.4327219607208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18</v>
      </c>
      <c r="X33" s="22">
        <f>'30'!G67</f>
        <v>35</v>
      </c>
      <c r="Y33" s="22">
        <f t="shared" si="7"/>
        <v>156</v>
      </c>
      <c r="Z33" s="19">
        <f>'30'!G84</f>
        <v>0</v>
      </c>
      <c r="AA33" s="19">
        <f>'30'!G85</f>
        <v>12.9699999999998</v>
      </c>
      <c r="AB33" s="19">
        <f>'30'!G86</f>
        <v>12.930000000000291</v>
      </c>
      <c r="AC33" s="19">
        <f>'30'!G87</f>
        <v>0</v>
      </c>
      <c r="AD33" s="19">
        <f t="shared" si="8"/>
        <v>25.900000000000091</v>
      </c>
      <c r="AE33" s="23">
        <f t="shared" si="2"/>
        <v>4162.6300000000047</v>
      </c>
      <c r="AF33" s="23">
        <f t="shared" si="9"/>
        <v>160.71930501930464</v>
      </c>
      <c r="AG33" s="19">
        <f>'30'!G88</f>
        <v>-6.0000000001309672E-2</v>
      </c>
      <c r="AH33" s="19">
        <f>'30'!G89</f>
        <v>9.7400000000016007</v>
      </c>
      <c r="AI33" s="19">
        <f>'30'!G90</f>
        <v>4.9700000000011642</v>
      </c>
      <c r="AJ33" s="19">
        <f t="shared" si="10"/>
        <v>14.650000000001455</v>
      </c>
      <c r="AK33" s="19">
        <f>'30'!G91</f>
        <v>0</v>
      </c>
      <c r="AL33" s="19">
        <f>'30'!G92</f>
        <v>10.869999999999891</v>
      </c>
      <c r="AM33" s="19"/>
      <c r="AN33" s="19">
        <f t="shared" si="11"/>
        <v>10.869999999999891</v>
      </c>
      <c r="AO33" s="52">
        <f>'30'!G74</f>
        <v>306.68000000005122</v>
      </c>
      <c r="AP33" s="55">
        <f>'30'!G35</f>
        <v>2062.0100000000093</v>
      </c>
      <c r="AQ33" s="19">
        <f>'30'!G37</f>
        <v>1598.2900000000081</v>
      </c>
      <c r="AR33" s="19">
        <f>'30'!G38</f>
        <v>1908.929999999993</v>
      </c>
      <c r="AS33" s="19">
        <f>'30'!G39</f>
        <v>2712.25</v>
      </c>
      <c r="AT33" s="19">
        <f>'30'!G40</f>
        <v>160.32999999999993</v>
      </c>
      <c r="AU33" s="19">
        <f>'30'!G41</f>
        <v>0</v>
      </c>
      <c r="AV33" s="19">
        <f>'30'!G42</f>
        <v>1908.6300000000047</v>
      </c>
      <c r="AW33" s="19">
        <f>'30'!G43</f>
        <v>2662.010000000002</v>
      </c>
      <c r="AX33" s="23">
        <f>'30'!G44</f>
        <v>0</v>
      </c>
      <c r="AY33" s="56">
        <f>'30'!G36</f>
        <v>847.83000000000175</v>
      </c>
      <c r="AZ33" s="55">
        <f>'30'!G49</f>
        <v>1433.75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4.2399999999997817</v>
      </c>
      <c r="BE33" s="19">
        <f>'30'!G55</f>
        <v>2254</v>
      </c>
      <c r="BF33" s="19">
        <f>'30'!G56</f>
        <v>0</v>
      </c>
      <c r="BG33" s="19">
        <f>'30'!G57</f>
        <v>0</v>
      </c>
      <c r="BH33" s="56">
        <f>'30'!G50</f>
        <v>1046.4000000000015</v>
      </c>
      <c r="BI33" s="60">
        <f t="shared" ref="BI33" si="19">SUM(AU33,AV33,BE33,BF33)</f>
        <v>4162.6300000000047</v>
      </c>
      <c r="BJ33" s="60">
        <f>'30'!G133</f>
        <v>587.7100000000064</v>
      </c>
      <c r="BK33" s="23">
        <f t="shared" si="13"/>
        <v>43.916595744680919</v>
      </c>
      <c r="BL33" s="23">
        <f t="shared" si="14"/>
        <v>11.541489361702128</v>
      </c>
      <c r="BM33" s="24">
        <f t="shared" si="15"/>
        <v>8.123106382978694E-2</v>
      </c>
      <c r="BN33" s="25">
        <f t="shared" si="16"/>
        <v>445580</v>
      </c>
      <c r="BO33" s="38">
        <f t="shared" si="17"/>
        <v>7412.3500000000131</v>
      </c>
      <c r="BP33">
        <f t="shared" si="18"/>
        <v>1.0221111417539972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25</v>
      </c>
      <c r="G34" s="19">
        <f>'31'!G7</f>
        <v>23500</v>
      </c>
      <c r="H34" s="19">
        <f>'31'!G8</f>
        <v>23500</v>
      </c>
      <c r="I34" s="19">
        <v>9</v>
      </c>
      <c r="J34" s="49">
        <f t="shared" si="3"/>
        <v>211500</v>
      </c>
      <c r="K34" s="45">
        <f t="shared" ref="K34" si="20">H34/202</f>
        <v>116.33663366336634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1715</v>
      </c>
      <c r="P34" s="19">
        <v>108</v>
      </c>
      <c r="Q34" s="46">
        <f t="shared" ref="Q34" si="22">O34*P34</f>
        <v>185220</v>
      </c>
      <c r="R34" s="47">
        <f t="shared" si="1"/>
        <v>33.960396039603964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94</v>
      </c>
      <c r="W34" s="22">
        <f>'31'!G66</f>
        <v>19</v>
      </c>
      <c r="X34" s="22">
        <f>'31'!G67</f>
        <v>31</v>
      </c>
      <c r="Y34" s="22">
        <f t="shared" ref="Y34" si="24">V34+W34+X34</f>
        <v>144</v>
      </c>
      <c r="Z34" s="19">
        <f>'31'!G84</f>
        <v>-0.26000000000203727</v>
      </c>
      <c r="AA34" s="19">
        <f>'31'!G85</f>
        <v>0</v>
      </c>
      <c r="AB34" s="19">
        <f>'31'!G86</f>
        <v>24</v>
      </c>
      <c r="AC34" s="19">
        <f>'31'!G87</f>
        <v>0</v>
      </c>
      <c r="AD34" s="19">
        <f t="shared" ref="AD34" si="25">Z34+AA34+AB34+AC34</f>
        <v>23.739999999997963</v>
      </c>
      <c r="AE34" s="23">
        <f t="shared" ref="AE34" si="26">AU34+AV34+BE34+BF34</f>
        <v>3511</v>
      </c>
      <c r="AF34" s="23">
        <f t="shared" ref="AF34" si="27">AE34/AD34</f>
        <v>147.89385004213568</v>
      </c>
      <c r="AG34" s="19">
        <f>'31'!G88</f>
        <v>6</v>
      </c>
      <c r="AH34" s="19">
        <f>'31'!G89</f>
        <v>2</v>
      </c>
      <c r="AI34" s="19">
        <f>'31'!G90</f>
        <v>7</v>
      </c>
      <c r="AJ34" s="19">
        <f t="shared" ref="AJ34" si="28">AG34+AH34+AI34</f>
        <v>15</v>
      </c>
      <c r="AK34" s="19">
        <f>'31'!G91</f>
        <v>0.32000000000016371</v>
      </c>
      <c r="AL34" s="19">
        <f>'31'!G92</f>
        <v>9</v>
      </c>
      <c r="AM34" s="19"/>
      <c r="AN34" s="19">
        <f t="shared" ref="AN34" si="29">AK34+AL34</f>
        <v>9.3200000000001637</v>
      </c>
      <c r="AO34" s="52">
        <f>'31'!G74</f>
        <v>269</v>
      </c>
      <c r="AP34" s="55">
        <f>'31'!G35</f>
        <v>1893</v>
      </c>
      <c r="AQ34" s="19">
        <f>'31'!G37</f>
        <v>1605</v>
      </c>
      <c r="AR34" s="19">
        <f>'31'!G38</f>
        <v>1751</v>
      </c>
      <c r="AS34" s="19">
        <f>'31'!G39</f>
        <v>2762</v>
      </c>
      <c r="AT34" s="19">
        <f>'31'!G40</f>
        <v>1</v>
      </c>
      <c r="AU34" s="19">
        <f>'31'!G41</f>
        <v>0</v>
      </c>
      <c r="AV34" s="19">
        <f>'31'!G42</f>
        <v>0</v>
      </c>
      <c r="AW34" s="19">
        <f>'31'!G43</f>
        <v>2607</v>
      </c>
      <c r="AX34" s="23">
        <f>'31'!G44</f>
        <v>0</v>
      </c>
      <c r="AY34" s="56">
        <f>'31'!G36</f>
        <v>857</v>
      </c>
      <c r="AZ34" s="55">
        <f>'31'!G49</f>
        <v>1432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</v>
      </c>
      <c r="BE34" s="19">
        <f>'31'!G55</f>
        <v>3511</v>
      </c>
      <c r="BF34" s="19">
        <f>'31'!G56</f>
        <v>0</v>
      </c>
      <c r="BG34" s="19">
        <f>'31'!G57</f>
        <v>0</v>
      </c>
      <c r="BH34" s="56">
        <f>'31'!G50</f>
        <v>1079</v>
      </c>
      <c r="BI34" s="60">
        <f t="shared" ref="BI34" si="30">SUM(AU34,AV34,BE34,BF34)</f>
        <v>3511</v>
      </c>
      <c r="BJ34" s="60">
        <f>'31'!G133</f>
        <v>647</v>
      </c>
      <c r="BK34" s="23">
        <f t="shared" ref="BK34" si="31">SUM(AP34,AU34,AV34,AW34,AZ34,BE34,BF34,BG34)/H34%</f>
        <v>40.182978723404254</v>
      </c>
      <c r="BL34" s="23">
        <f t="shared" ref="BL34" si="32">SUM(AS34,BC34)/H34%</f>
        <v>11.753191489361702</v>
      </c>
      <c r="BM34" s="24">
        <f t="shared" ref="BM34" si="33">(AR34+BB34)/H34</f>
        <v>7.4510638297872342E-2</v>
      </c>
      <c r="BN34" s="25">
        <f t="shared" ref="BN34" si="34">J34+N34+Q34+U34</f>
        <v>458540</v>
      </c>
      <c r="BO34" s="38">
        <f t="shared" ref="BO34" si="35">SUM(AU34,AV34,AW34,BE34,BF34,BG34,BJ34)</f>
        <v>6765</v>
      </c>
      <c r="BP34">
        <f t="shared" ref="BP34" si="36">BO34/(AD34*280)</f>
        <v>1.0177217475027953</v>
      </c>
    </row>
    <row r="35" spans="1:68" x14ac:dyDescent="0.25">
      <c r="A35" s="16" t="s">
        <v>196</v>
      </c>
      <c r="B35" s="30"/>
      <c r="C35" s="31"/>
      <c r="D35" s="32">
        <f>AVERAGE(D4:D34)</f>
        <v>25.225806451612904</v>
      </c>
      <c r="E35" s="33"/>
      <c r="F35" s="73">
        <f>AVERAGE(F4:F34)</f>
        <v>1.4609967741935483</v>
      </c>
      <c r="G35" s="34">
        <f>SUM(G4:G34)</f>
        <v>642326</v>
      </c>
      <c r="H35" s="34">
        <f t="shared" ref="H35:BN35" si="37">SUM(H4:H34)</f>
        <v>640412.83000000007</v>
      </c>
      <c r="I35" s="19">
        <v>9</v>
      </c>
      <c r="J35" s="34">
        <f t="shared" si="37"/>
        <v>5763715.4700000007</v>
      </c>
      <c r="K35" s="34">
        <f t="shared" si="37"/>
        <v>3170.3605445544545</v>
      </c>
      <c r="L35" s="34">
        <f t="shared" si="37"/>
        <v>30092</v>
      </c>
      <c r="M35" s="34">
        <f t="shared" si="37"/>
        <v>1742.200000000001</v>
      </c>
      <c r="N35" s="34">
        <f t="shared" si="37"/>
        <v>1691170.4</v>
      </c>
      <c r="O35" s="34">
        <f t="shared" si="37"/>
        <v>15809</v>
      </c>
      <c r="P35" s="34">
        <f t="shared" si="37"/>
        <v>3348</v>
      </c>
      <c r="Q35" s="34">
        <f t="shared" si="37"/>
        <v>1707372</v>
      </c>
      <c r="R35" s="34">
        <f t="shared" si="37"/>
        <v>10405.989760693685</v>
      </c>
      <c r="S35" s="34">
        <f t="shared" si="37"/>
        <v>250</v>
      </c>
      <c r="T35" s="34">
        <f t="shared" si="37"/>
        <v>2140</v>
      </c>
      <c r="U35" s="34">
        <f t="shared" si="37"/>
        <v>17250</v>
      </c>
      <c r="V35" s="34">
        <f t="shared" si="37"/>
        <v>432712</v>
      </c>
      <c r="W35" s="34">
        <f t="shared" si="37"/>
        <v>0</v>
      </c>
      <c r="X35" s="34">
        <f t="shared" si="37"/>
        <v>0</v>
      </c>
      <c r="Y35" s="34">
        <f t="shared" si="37"/>
        <v>432712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-2738</v>
      </c>
      <c r="AF35" s="34">
        <f t="shared" si="37"/>
        <v>4464.5610466078851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168042</v>
      </c>
      <c r="AQ35" s="34">
        <f t="shared" si="37"/>
        <v>207605</v>
      </c>
      <c r="AR35" s="34">
        <f t="shared" si="37"/>
        <v>245682</v>
      </c>
      <c r="AS35" s="34">
        <f t="shared" si="37"/>
        <v>432761</v>
      </c>
      <c r="AT35" s="34">
        <f t="shared" si="37"/>
        <v>540.14999999999964</v>
      </c>
      <c r="AU35" s="34">
        <f t="shared" si="37"/>
        <v>0</v>
      </c>
      <c r="AV35" s="34">
        <f t="shared" si="37"/>
        <v>-4992</v>
      </c>
      <c r="AW35" s="34">
        <f t="shared" si="37"/>
        <v>3.637978807091713E-12</v>
      </c>
      <c r="AX35" s="34">
        <f t="shared" si="37"/>
        <v>0</v>
      </c>
      <c r="AY35" s="34">
        <f t="shared" si="37"/>
        <v>0</v>
      </c>
      <c r="AZ35" s="34">
        <f t="shared" si="37"/>
        <v>285361.00000000006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4951.08</v>
      </c>
      <c r="BE35" s="34">
        <f t="shared" si="37"/>
        <v>2254</v>
      </c>
      <c r="BF35" s="34">
        <f t="shared" si="37"/>
        <v>0</v>
      </c>
      <c r="BG35" s="34">
        <f t="shared" si="37"/>
        <v>0</v>
      </c>
      <c r="BH35" s="34">
        <f t="shared" si="37"/>
        <v>-1.8189894035458565E-12</v>
      </c>
      <c r="BI35" s="34">
        <f t="shared" si="37"/>
        <v>-2738</v>
      </c>
      <c r="BJ35" s="34">
        <f t="shared" si="37"/>
        <v>641.38000000000466</v>
      </c>
      <c r="BK35" s="34">
        <f t="shared" si="37"/>
        <v>2085.3246694913873</v>
      </c>
      <c r="BL35" s="34">
        <f t="shared" si="37"/>
        <v>1894.9767096878988</v>
      </c>
      <c r="BM35" s="34">
        <f t="shared" si="37"/>
        <v>10.785449433854851</v>
      </c>
      <c r="BN35" s="34">
        <f t="shared" si="37"/>
        <v>9179507.870000001</v>
      </c>
      <c r="BO35" s="38">
        <f t="shared" si="17"/>
        <v>-2096.6199999999917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 x14ac:dyDescent="0.25">
      <c r="F37" s="38">
        <f>AVERAGE(F4:F35)</f>
        <v>1.4609967741935483</v>
      </c>
      <c r="G37" s="38"/>
      <c r="H37" s="38">
        <f>AVERAGE(H4:H35)</f>
        <v>40025.801875000005</v>
      </c>
    </row>
    <row r="38" spans="1:68" x14ac:dyDescent="0.25">
      <c r="B38" s="36" t="s">
        <v>66</v>
      </c>
      <c r="F38" s="72">
        <f>AVERAGE(F4:F35)</f>
        <v>1.4609967741935483</v>
      </c>
      <c r="G38" s="72"/>
    </row>
    <row r="41" spans="1:68" x14ac:dyDescent="0.25">
      <c r="BI41">
        <f>(BI31+BJ31)/400</f>
        <v>13.050899999999965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L14" sqref="L14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4" t="s">
        <v>355</v>
      </c>
    </row>
    <row r="2" spans="1:17" x14ac:dyDescent="0.25">
      <c r="A2" s="248">
        <v>1</v>
      </c>
      <c r="B2" s="465">
        <f>C2/202%</f>
        <v>77.227722772277232</v>
      </c>
      <c r="C2" s="465">
        <v>156</v>
      </c>
      <c r="D2" s="465">
        <v>5</v>
      </c>
      <c r="E2" s="465">
        <v>80</v>
      </c>
      <c r="F2" s="466">
        <v>614</v>
      </c>
      <c r="G2" s="466">
        <f>C2+D2</f>
        <v>161</v>
      </c>
      <c r="H2" s="467">
        <f>C2/202%</f>
        <v>77.227722772277232</v>
      </c>
      <c r="I2" s="468"/>
      <c r="J2" s="467">
        <f>'Section Load'!C5/G2</f>
        <v>127.01242236024845</v>
      </c>
      <c r="K2">
        <f>10/202</f>
        <v>4.9504950495049507E-2</v>
      </c>
    </row>
    <row r="3" spans="1:17" x14ac:dyDescent="0.25">
      <c r="A3" s="248">
        <v>2</v>
      </c>
      <c r="B3" s="465">
        <f t="shared" ref="B3:B32" si="0">C3/202%</f>
        <v>53.465346534653463</v>
      </c>
      <c r="C3" s="465">
        <v>108</v>
      </c>
      <c r="D3" s="465">
        <v>5</v>
      </c>
      <c r="E3" s="465">
        <v>56</v>
      </c>
      <c r="F3" s="466">
        <v>516</v>
      </c>
      <c r="G3" s="466">
        <f t="shared" ref="G3:G31" si="1">C3+D3</f>
        <v>113</v>
      </c>
      <c r="H3" s="467">
        <f t="shared" ref="H3:H32" si="2">C3/202%</f>
        <v>53.465346534653463</v>
      </c>
      <c r="I3" s="468"/>
      <c r="J3" s="467">
        <f>'Section Load'!C6/G3</f>
        <v>176.04424778761063</v>
      </c>
    </row>
    <row r="4" spans="1:17" x14ac:dyDescent="0.25">
      <c r="A4" s="248">
        <v>3</v>
      </c>
      <c r="B4" s="465">
        <f t="shared" si="0"/>
        <v>54.455445544554458</v>
      </c>
      <c r="C4" s="465">
        <v>110</v>
      </c>
      <c r="D4" s="465">
        <v>5</v>
      </c>
      <c r="E4" s="465">
        <v>57</v>
      </c>
      <c r="F4" s="466">
        <v>306</v>
      </c>
      <c r="G4" s="466">
        <f t="shared" si="1"/>
        <v>115</v>
      </c>
      <c r="H4" s="467">
        <f t="shared" si="2"/>
        <v>54.455445544554458</v>
      </c>
      <c r="I4" s="468"/>
      <c r="J4" s="467">
        <f>'Section Load'!C7/G4</f>
        <v>169.81739130434784</v>
      </c>
      <c r="Q4" s="487">
        <f>C2/202</f>
        <v>0.7722772277227723</v>
      </c>
    </row>
    <row r="5" spans="1:17" x14ac:dyDescent="0.25">
      <c r="A5" s="248">
        <v>4</v>
      </c>
      <c r="B5" s="465">
        <f t="shared" si="0"/>
        <v>62.376237623762378</v>
      </c>
      <c r="C5" s="465">
        <v>126</v>
      </c>
      <c r="D5" s="465">
        <v>6</v>
      </c>
      <c r="E5" s="465">
        <v>65</v>
      </c>
      <c r="F5" s="466">
        <v>385</v>
      </c>
      <c r="G5" s="466">
        <f t="shared" si="1"/>
        <v>132</v>
      </c>
      <c r="H5" s="467">
        <f t="shared" si="2"/>
        <v>62.376237623762378</v>
      </c>
      <c r="I5" s="468"/>
      <c r="J5" s="467">
        <f>'Section Load'!C8/G5</f>
        <v>153.17386363636373</v>
      </c>
    </row>
    <row r="6" spans="1:17" x14ac:dyDescent="0.25">
      <c r="A6" s="248">
        <v>5</v>
      </c>
      <c r="B6" s="465">
        <f t="shared" si="0"/>
        <v>59.900990099009903</v>
      </c>
      <c r="C6" s="465">
        <v>121</v>
      </c>
      <c r="D6" s="465">
        <v>6</v>
      </c>
      <c r="E6" s="465">
        <v>63</v>
      </c>
      <c r="F6" s="466">
        <v>417</v>
      </c>
      <c r="G6" s="466">
        <f t="shared" si="1"/>
        <v>127</v>
      </c>
      <c r="H6" s="467">
        <f t="shared" si="2"/>
        <v>59.900990099009903</v>
      </c>
      <c r="I6" s="468"/>
      <c r="J6" s="467">
        <f>'Section Load'!C9/G6</f>
        <v>160.11850393700777</v>
      </c>
    </row>
    <row r="7" spans="1:17" x14ac:dyDescent="0.25">
      <c r="A7" s="248">
        <v>6</v>
      </c>
      <c r="B7" s="465">
        <f t="shared" si="0"/>
        <v>58.415841584158414</v>
      </c>
      <c r="C7" s="465">
        <v>118</v>
      </c>
      <c r="D7" s="465">
        <v>10</v>
      </c>
      <c r="E7" s="465">
        <v>63</v>
      </c>
      <c r="F7" s="466">
        <v>477</v>
      </c>
      <c r="G7" s="466">
        <f t="shared" si="1"/>
        <v>128</v>
      </c>
      <c r="H7" s="467">
        <f t="shared" si="2"/>
        <v>58.415841584158414</v>
      </c>
      <c r="I7" s="468"/>
      <c r="J7" s="467">
        <f>'Section Load'!C10/G7</f>
        <v>161.78125</v>
      </c>
    </row>
    <row r="8" spans="1:17" x14ac:dyDescent="0.25">
      <c r="A8" s="248">
        <v>7</v>
      </c>
      <c r="B8" s="465">
        <f t="shared" si="0"/>
        <v>50.990099009900987</v>
      </c>
      <c r="C8" s="465">
        <v>103</v>
      </c>
      <c r="D8" s="465">
        <v>12</v>
      </c>
      <c r="E8" s="465">
        <v>57</v>
      </c>
      <c r="F8" s="466">
        <v>355</v>
      </c>
      <c r="G8" s="466">
        <f t="shared" si="1"/>
        <v>115</v>
      </c>
      <c r="H8" s="467">
        <f t="shared" si="2"/>
        <v>50.990099009900987</v>
      </c>
      <c r="I8" s="468"/>
      <c r="J8" s="467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5">
        <f t="shared" si="0"/>
        <v>50.495049504950494</v>
      </c>
      <c r="C9" s="465">
        <v>102</v>
      </c>
      <c r="D9" s="465">
        <v>10</v>
      </c>
      <c r="E9" s="465">
        <v>55</v>
      </c>
      <c r="F9" s="466">
        <v>301</v>
      </c>
      <c r="G9" s="466">
        <f t="shared" si="1"/>
        <v>112</v>
      </c>
      <c r="H9" s="467">
        <f t="shared" si="2"/>
        <v>50.495049504950494</v>
      </c>
      <c r="I9" s="468"/>
      <c r="J9" s="467">
        <f>'Section Load'!C12/G9</f>
        <v>175.41964285714286</v>
      </c>
    </row>
    <row r="10" spans="1:17" x14ac:dyDescent="0.25">
      <c r="A10" s="248">
        <v>9</v>
      </c>
      <c r="B10" s="465">
        <f t="shared" si="0"/>
        <v>49.009900990099013</v>
      </c>
      <c r="C10" s="465">
        <v>99</v>
      </c>
      <c r="D10" s="465">
        <v>11</v>
      </c>
      <c r="E10" s="465">
        <v>54</v>
      </c>
      <c r="F10" s="466">
        <v>349</v>
      </c>
      <c r="G10" s="466">
        <f t="shared" si="1"/>
        <v>110</v>
      </c>
      <c r="H10" s="467">
        <f t="shared" si="2"/>
        <v>49.009900990099013</v>
      </c>
      <c r="I10" s="468"/>
      <c r="J10" s="467">
        <f>'Section Load'!C13/G10</f>
        <v>163.73636363636365</v>
      </c>
    </row>
    <row r="11" spans="1:17" x14ac:dyDescent="0.25">
      <c r="A11" s="248">
        <v>10</v>
      </c>
      <c r="B11" s="465">
        <f t="shared" si="0"/>
        <v>45.544554455445542</v>
      </c>
      <c r="C11" s="465">
        <v>92</v>
      </c>
      <c r="D11" s="465">
        <v>11</v>
      </c>
      <c r="E11" s="465">
        <v>51</v>
      </c>
      <c r="F11" s="466">
        <v>280</v>
      </c>
      <c r="G11" s="466">
        <f t="shared" si="1"/>
        <v>103</v>
      </c>
      <c r="H11" s="467">
        <f t="shared" si="2"/>
        <v>45.544554455445542</v>
      </c>
      <c r="I11" s="468"/>
      <c r="J11" s="467">
        <f>'Section Load'!C14/G11</f>
        <v>165.66019417475729</v>
      </c>
    </row>
    <row r="12" spans="1:17" x14ac:dyDescent="0.25">
      <c r="A12" s="248">
        <v>11</v>
      </c>
      <c r="B12" s="465">
        <f t="shared" si="0"/>
        <v>35.148514851485146</v>
      </c>
      <c r="C12" s="465">
        <v>71</v>
      </c>
      <c r="D12" s="465">
        <v>11</v>
      </c>
      <c r="E12" s="465">
        <v>41</v>
      </c>
      <c r="F12" s="466">
        <v>290</v>
      </c>
      <c r="G12" s="466">
        <f t="shared" si="1"/>
        <v>82</v>
      </c>
      <c r="H12" s="467">
        <f t="shared" si="2"/>
        <v>35.148514851485146</v>
      </c>
      <c r="I12" s="468"/>
      <c r="J12" s="467">
        <f>'Section Load'!C15/G12</f>
        <v>210.51219512195121</v>
      </c>
    </row>
    <row r="13" spans="1:17" x14ac:dyDescent="0.25">
      <c r="A13" s="248">
        <v>12</v>
      </c>
      <c r="B13" s="465">
        <f t="shared" si="0"/>
        <v>35.643564356435647</v>
      </c>
      <c r="C13" s="465">
        <v>72</v>
      </c>
      <c r="D13" s="465">
        <v>11</v>
      </c>
      <c r="E13" s="465">
        <v>41</v>
      </c>
      <c r="F13" s="465">
        <v>302</v>
      </c>
      <c r="G13" s="466">
        <f t="shared" si="1"/>
        <v>83</v>
      </c>
      <c r="H13" s="467">
        <f t="shared" si="2"/>
        <v>35.643564356435647</v>
      </c>
      <c r="I13" s="468"/>
      <c r="J13" s="467">
        <f>'Section Load'!C16/G13</f>
        <v>201.36144578313252</v>
      </c>
    </row>
    <row r="14" spans="1:17" x14ac:dyDescent="0.25">
      <c r="A14" s="248">
        <v>13</v>
      </c>
      <c r="B14" s="465">
        <f t="shared" si="0"/>
        <v>38.118811881188115</v>
      </c>
      <c r="C14" s="465">
        <v>77</v>
      </c>
      <c r="D14" s="465">
        <v>11</v>
      </c>
      <c r="E14" s="465">
        <f t="shared" ref="E14:E31" si="3">SUM(C14:D14)/202%</f>
        <v>43.564356435643568</v>
      </c>
      <c r="F14" s="465">
        <v>249</v>
      </c>
      <c r="G14" s="466">
        <f t="shared" si="1"/>
        <v>88</v>
      </c>
      <c r="H14" s="467">
        <f t="shared" si="2"/>
        <v>38.118811881188115</v>
      </c>
      <c r="I14" s="468"/>
      <c r="J14" s="467">
        <f>'Section Load'!C17/G14</f>
        <v>193.75</v>
      </c>
    </row>
    <row r="15" spans="1:17" x14ac:dyDescent="0.25">
      <c r="A15" s="248">
        <v>14</v>
      </c>
      <c r="B15" s="465">
        <f t="shared" si="0"/>
        <v>42.079207920792079</v>
      </c>
      <c r="C15" s="465">
        <v>85</v>
      </c>
      <c r="D15" s="465">
        <v>10</v>
      </c>
      <c r="E15" s="465">
        <f t="shared" si="3"/>
        <v>47.029702970297031</v>
      </c>
      <c r="F15" s="465">
        <v>224</v>
      </c>
      <c r="G15" s="466">
        <f t="shared" si="1"/>
        <v>95</v>
      </c>
      <c r="H15" s="467">
        <f t="shared" si="2"/>
        <v>42.079207920792079</v>
      </c>
      <c r="I15" s="468"/>
      <c r="J15" s="467">
        <f>'Section Load'!C18/G15</f>
        <v>183.47368421052633</v>
      </c>
    </row>
    <row r="16" spans="1:17" x14ac:dyDescent="0.25">
      <c r="A16" s="248">
        <v>15</v>
      </c>
      <c r="B16" s="465">
        <f t="shared" si="0"/>
        <v>55.445544554455445</v>
      </c>
      <c r="C16" s="465">
        <v>112</v>
      </c>
      <c r="D16" s="465">
        <v>9</v>
      </c>
      <c r="E16" s="465">
        <f t="shared" si="3"/>
        <v>59.900990099009903</v>
      </c>
      <c r="F16" s="465">
        <v>338</v>
      </c>
      <c r="G16" s="466">
        <f t="shared" si="1"/>
        <v>121</v>
      </c>
      <c r="H16" s="467">
        <f t="shared" si="2"/>
        <v>55.445544554455445</v>
      </c>
      <c r="I16" s="468"/>
      <c r="J16" s="467">
        <f>'Section Load'!C19/G16</f>
        <v>143.21247933884314</v>
      </c>
    </row>
    <row r="17" spans="1:10" x14ac:dyDescent="0.25">
      <c r="A17" s="248">
        <v>16</v>
      </c>
      <c r="B17" s="465">
        <f t="shared" si="0"/>
        <v>40.099009900990097</v>
      </c>
      <c r="C17" s="465">
        <v>81</v>
      </c>
      <c r="D17" s="465">
        <v>8</v>
      </c>
      <c r="E17" s="465">
        <f>SUM(C17:D17)/202%</f>
        <v>44.059405940594061</v>
      </c>
      <c r="F17" s="465">
        <v>309</v>
      </c>
      <c r="G17" s="466">
        <f t="shared" si="1"/>
        <v>89</v>
      </c>
      <c r="H17" s="467">
        <f t="shared" si="2"/>
        <v>40.099009900990097</v>
      </c>
      <c r="I17" s="468"/>
      <c r="J17" s="467">
        <f>'Section Load'!C20/G17</f>
        <v>195.57629213483122</v>
      </c>
    </row>
    <row r="18" spans="1:10" x14ac:dyDescent="0.25">
      <c r="A18" s="248">
        <v>17</v>
      </c>
      <c r="B18" s="465">
        <f t="shared" si="0"/>
        <v>42.079207920792079</v>
      </c>
      <c r="C18" s="465">
        <v>85</v>
      </c>
      <c r="D18" s="465">
        <v>9</v>
      </c>
      <c r="E18" s="465">
        <f t="shared" si="3"/>
        <v>46.534653465346537</v>
      </c>
      <c r="F18" s="465">
        <v>204</v>
      </c>
      <c r="G18" s="466">
        <f t="shared" si="1"/>
        <v>94</v>
      </c>
      <c r="H18" s="467">
        <f t="shared" si="2"/>
        <v>42.079207920792079</v>
      </c>
      <c r="I18" s="468"/>
      <c r="J18" s="467">
        <f>'Section Load'!C21/G18</f>
        <v>186.62765957446808</v>
      </c>
    </row>
    <row r="19" spans="1:10" x14ac:dyDescent="0.25">
      <c r="A19" s="248">
        <v>18</v>
      </c>
      <c r="B19" s="465">
        <f t="shared" si="0"/>
        <v>47.524752475247524</v>
      </c>
      <c r="C19" s="469">
        <v>96</v>
      </c>
      <c r="D19" s="469">
        <v>9</v>
      </c>
      <c r="E19" s="465">
        <f t="shared" si="3"/>
        <v>51.980198019801982</v>
      </c>
      <c r="F19" s="469">
        <v>325</v>
      </c>
      <c r="G19" s="466">
        <f t="shared" si="1"/>
        <v>105</v>
      </c>
      <c r="H19" s="467">
        <f t="shared" si="2"/>
        <v>47.524752475247524</v>
      </c>
      <c r="I19" s="468"/>
      <c r="J19" s="467">
        <f>'Section Load'!C22/G19</f>
        <v>172.04600000000016</v>
      </c>
    </row>
    <row r="20" spans="1:10" x14ac:dyDescent="0.25">
      <c r="A20" s="248">
        <v>19</v>
      </c>
      <c r="B20" s="465">
        <f t="shared" si="0"/>
        <v>0</v>
      </c>
      <c r="C20" s="465"/>
      <c r="D20" s="465"/>
      <c r="E20" s="465">
        <f t="shared" si="3"/>
        <v>0</v>
      </c>
      <c r="F20" s="465"/>
      <c r="G20" s="466">
        <f t="shared" si="1"/>
        <v>0</v>
      </c>
      <c r="H20" s="467">
        <f t="shared" si="2"/>
        <v>0</v>
      </c>
      <c r="I20" s="468"/>
      <c r="J20" s="467" t="e">
        <f>'Section Load'!C23/G20</f>
        <v>#DIV/0!</v>
      </c>
    </row>
    <row r="21" spans="1:10" x14ac:dyDescent="0.25">
      <c r="A21" s="248">
        <v>20</v>
      </c>
      <c r="B21" s="465">
        <f t="shared" si="0"/>
        <v>0</v>
      </c>
      <c r="C21" s="465"/>
      <c r="D21" s="465"/>
      <c r="E21" s="465">
        <f t="shared" si="3"/>
        <v>0</v>
      </c>
      <c r="F21" s="465"/>
      <c r="G21" s="466">
        <f t="shared" si="1"/>
        <v>0</v>
      </c>
      <c r="H21" s="467">
        <f t="shared" si="2"/>
        <v>0</v>
      </c>
      <c r="I21" s="468"/>
      <c r="J21" s="467" t="e">
        <f>'Section Load'!C24/G21</f>
        <v>#DIV/0!</v>
      </c>
    </row>
    <row r="22" spans="1:10" x14ac:dyDescent="0.25">
      <c r="A22" s="248">
        <v>21</v>
      </c>
      <c r="B22" s="465">
        <f t="shared" si="0"/>
        <v>0</v>
      </c>
      <c r="C22" s="465"/>
      <c r="D22" s="465"/>
      <c r="E22" s="465">
        <f t="shared" si="3"/>
        <v>0</v>
      </c>
      <c r="F22" s="465"/>
      <c r="G22" s="466">
        <f t="shared" si="1"/>
        <v>0</v>
      </c>
      <c r="H22" s="467">
        <f t="shared" si="2"/>
        <v>0</v>
      </c>
      <c r="I22" s="468"/>
      <c r="J22" s="467" t="e">
        <f>'Section Load'!C25/G22</f>
        <v>#DIV/0!</v>
      </c>
    </row>
    <row r="23" spans="1:10" x14ac:dyDescent="0.25">
      <c r="A23" s="248">
        <v>22</v>
      </c>
      <c r="B23" s="465">
        <v>83</v>
      </c>
      <c r="C23" s="465"/>
      <c r="D23" s="465"/>
      <c r="E23" s="465">
        <f t="shared" si="3"/>
        <v>0</v>
      </c>
      <c r="F23" s="465"/>
      <c r="G23" s="466">
        <f t="shared" si="1"/>
        <v>0</v>
      </c>
      <c r="H23" s="467">
        <f t="shared" si="2"/>
        <v>0</v>
      </c>
      <c r="I23" s="468"/>
      <c r="J23" s="467" t="e">
        <f>'Section Load'!C26/G23</f>
        <v>#DIV/0!</v>
      </c>
    </row>
    <row r="24" spans="1:10" x14ac:dyDescent="0.25">
      <c r="A24" s="248">
        <v>23</v>
      </c>
      <c r="B24" s="465">
        <v>98</v>
      </c>
      <c r="C24" s="465"/>
      <c r="D24" s="465"/>
      <c r="E24" s="465">
        <f t="shared" si="3"/>
        <v>0</v>
      </c>
      <c r="F24" s="465"/>
      <c r="G24" s="466">
        <f t="shared" si="1"/>
        <v>0</v>
      </c>
      <c r="H24" s="467">
        <f t="shared" si="2"/>
        <v>0</v>
      </c>
      <c r="I24" s="468"/>
      <c r="J24" s="467" t="e">
        <f>'Section Load'!C27/G24</f>
        <v>#DIV/0!</v>
      </c>
    </row>
    <row r="25" spans="1:10" x14ac:dyDescent="0.25">
      <c r="A25" s="248">
        <v>24</v>
      </c>
      <c r="B25" s="465">
        <f t="shared" si="0"/>
        <v>0</v>
      </c>
      <c r="C25" s="465"/>
      <c r="D25" s="465"/>
      <c r="E25" s="465">
        <f t="shared" si="3"/>
        <v>0</v>
      </c>
      <c r="F25" s="465"/>
      <c r="G25" s="466">
        <f t="shared" si="1"/>
        <v>0</v>
      </c>
      <c r="H25" s="467">
        <f t="shared" si="2"/>
        <v>0</v>
      </c>
      <c r="I25" s="468"/>
      <c r="J25" s="467" t="e">
        <f>'Section Load'!C28/G25</f>
        <v>#DIV/0!</v>
      </c>
    </row>
    <row r="26" spans="1:10" x14ac:dyDescent="0.25">
      <c r="A26" s="248">
        <v>25</v>
      </c>
      <c r="B26" s="465">
        <f t="shared" si="0"/>
        <v>0</v>
      </c>
      <c r="C26" s="465"/>
      <c r="D26" s="465"/>
      <c r="E26" s="465">
        <f t="shared" si="3"/>
        <v>0</v>
      </c>
      <c r="F26" s="465"/>
      <c r="G26" s="466">
        <f t="shared" si="1"/>
        <v>0</v>
      </c>
      <c r="H26" s="467">
        <f t="shared" si="2"/>
        <v>0</v>
      </c>
      <c r="I26" s="468"/>
      <c r="J26" s="467" t="e">
        <f>'Section Load'!C29/G26</f>
        <v>#DIV/0!</v>
      </c>
    </row>
    <row r="27" spans="1:10" x14ac:dyDescent="0.25">
      <c r="A27" s="248">
        <v>26</v>
      </c>
      <c r="B27" s="465">
        <f t="shared" si="0"/>
        <v>0</v>
      </c>
      <c r="C27" s="465"/>
      <c r="D27" s="465"/>
      <c r="E27" s="465">
        <f t="shared" si="3"/>
        <v>0</v>
      </c>
      <c r="F27" s="465"/>
      <c r="G27" s="466">
        <f t="shared" si="1"/>
        <v>0</v>
      </c>
      <c r="H27" s="467">
        <f t="shared" si="2"/>
        <v>0</v>
      </c>
      <c r="I27" s="468"/>
      <c r="J27" s="467" t="e">
        <f>'Section Load'!C30/G27</f>
        <v>#DIV/0!</v>
      </c>
    </row>
    <row r="28" spans="1:10" x14ac:dyDescent="0.25">
      <c r="A28" s="248">
        <v>27</v>
      </c>
      <c r="B28" s="465">
        <f t="shared" si="0"/>
        <v>0</v>
      </c>
      <c r="C28" s="465"/>
      <c r="D28" s="465"/>
      <c r="E28" s="465">
        <f t="shared" si="3"/>
        <v>0</v>
      </c>
      <c r="F28" s="465"/>
      <c r="G28" s="466">
        <f t="shared" si="1"/>
        <v>0</v>
      </c>
      <c r="H28" s="467">
        <f t="shared" si="2"/>
        <v>0</v>
      </c>
      <c r="I28" s="468"/>
      <c r="J28" s="467" t="e">
        <f>'Section Load'!C31/G28</f>
        <v>#DIV/0!</v>
      </c>
    </row>
    <row r="29" spans="1:10" x14ac:dyDescent="0.25">
      <c r="A29" s="248">
        <v>28</v>
      </c>
      <c r="B29" s="465">
        <f t="shared" si="0"/>
        <v>0</v>
      </c>
      <c r="C29" s="465"/>
      <c r="D29" s="465"/>
      <c r="E29" s="465">
        <f t="shared" si="3"/>
        <v>0</v>
      </c>
      <c r="F29" s="465"/>
      <c r="G29" s="466">
        <f t="shared" si="1"/>
        <v>0</v>
      </c>
      <c r="H29" s="467">
        <f t="shared" si="2"/>
        <v>0</v>
      </c>
      <c r="I29" s="468"/>
      <c r="J29" s="467" t="e">
        <f>'Section Load'!C32/G29</f>
        <v>#DIV/0!</v>
      </c>
    </row>
    <row r="30" spans="1:10" x14ac:dyDescent="0.25">
      <c r="A30" s="248">
        <v>29</v>
      </c>
      <c r="B30" s="465">
        <f>C30/202%</f>
        <v>0</v>
      </c>
      <c r="C30" s="465"/>
      <c r="D30" s="465"/>
      <c r="E30" s="465">
        <f t="shared" si="3"/>
        <v>0</v>
      </c>
      <c r="F30" s="465"/>
      <c r="G30" s="466">
        <f t="shared" si="1"/>
        <v>0</v>
      </c>
      <c r="H30" s="467">
        <f>C30/202%</f>
        <v>0</v>
      </c>
      <c r="I30" s="468"/>
      <c r="J30" s="467" t="e">
        <f>'Section Load'!C33/G30</f>
        <v>#DIV/0!</v>
      </c>
    </row>
    <row r="31" spans="1:10" x14ac:dyDescent="0.25">
      <c r="A31" s="248">
        <v>30</v>
      </c>
      <c r="B31" s="465">
        <f t="shared" si="0"/>
        <v>0</v>
      </c>
      <c r="C31" s="465"/>
      <c r="D31" s="465"/>
      <c r="E31" s="465">
        <f t="shared" si="3"/>
        <v>0</v>
      </c>
      <c r="F31" s="465"/>
      <c r="G31" s="470">
        <f t="shared" si="1"/>
        <v>0</v>
      </c>
      <c r="H31" s="467">
        <f t="shared" si="2"/>
        <v>0</v>
      </c>
      <c r="I31" s="468"/>
      <c r="J31" s="467" t="e">
        <f>'Section Load'!C34/G31</f>
        <v>#DIV/0!</v>
      </c>
    </row>
    <row r="32" spans="1:10" x14ac:dyDescent="0.25">
      <c r="A32" s="248">
        <v>31</v>
      </c>
      <c r="B32" s="465">
        <f t="shared" si="0"/>
        <v>0</v>
      </c>
      <c r="C32" s="465"/>
      <c r="D32" s="465"/>
      <c r="E32" s="465"/>
      <c r="F32" s="465"/>
      <c r="G32" s="470"/>
      <c r="H32" s="467">
        <f t="shared" si="2"/>
        <v>0</v>
      </c>
      <c r="I32" s="468"/>
      <c r="J32" s="467" t="e">
        <f>'Section Load'!C35/G32</f>
        <v>#DIV/0!</v>
      </c>
    </row>
    <row r="33" spans="1:8" x14ac:dyDescent="0.25">
      <c r="A33" t="s">
        <v>316</v>
      </c>
      <c r="B33" s="275">
        <f>AVERAGE(B2:B31)</f>
        <v>35.967326732673264</v>
      </c>
      <c r="C33" s="275">
        <f t="shared" ref="C33:H33" si="4">AVERAGE(C2:C31)</f>
        <v>100.77777777777777</v>
      </c>
      <c r="D33" s="275">
        <f t="shared" si="4"/>
        <v>8.8333333333333339</v>
      </c>
      <c r="E33" s="275">
        <f t="shared" si="4"/>
        <v>32.535643564356441</v>
      </c>
      <c r="F33" s="275">
        <f t="shared" si="4"/>
        <v>346.72222222222223</v>
      </c>
      <c r="G33" s="275">
        <f t="shared" si="4"/>
        <v>65.766666666666666</v>
      </c>
      <c r="H33" s="275">
        <f t="shared" si="4"/>
        <v>29.933993399339929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C1" zoomScale="90" zoomScaleNormal="90" workbookViewId="0">
      <selection activeCell="T18" sqref="T18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160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220</v>
      </c>
      <c r="W5" s="91">
        <f>'20'!G18</f>
        <v>340</v>
      </c>
      <c r="X5" s="91">
        <f>'21'!G18</f>
        <v>460</v>
      </c>
      <c r="Y5" s="91">
        <f>'22'!G18</f>
        <v>580</v>
      </c>
      <c r="Z5" s="91">
        <f>'23'!G18</f>
        <v>700</v>
      </c>
      <c r="AA5" s="91">
        <f>'24'!G18</f>
        <v>820</v>
      </c>
      <c r="AB5" s="91">
        <f>'25'!G18</f>
        <v>940</v>
      </c>
      <c r="AC5" s="91">
        <f>'26'!G18</f>
        <v>1060</v>
      </c>
      <c r="AD5" s="91">
        <f>'27'!G18</f>
        <v>1180</v>
      </c>
      <c r="AE5" s="91">
        <f>'28'!G18</f>
        <v>1300</v>
      </c>
      <c r="AF5" s="91">
        <f>'29'!G18</f>
        <v>1420</v>
      </c>
      <c r="AG5" s="91">
        <f>'30'!G18</f>
        <v>1540</v>
      </c>
      <c r="AH5" s="91">
        <f>'31'!G18</f>
        <v>1660</v>
      </c>
      <c r="AI5" s="90"/>
    </row>
    <row r="6" spans="2:35" x14ac:dyDescent="0.2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55</v>
      </c>
      <c r="W6" s="91">
        <f>'20'!G19</f>
        <v>55</v>
      </c>
      <c r="X6" s="91">
        <f>'21'!G19</f>
        <v>55</v>
      </c>
      <c r="Y6" s="91">
        <f>'22'!G19</f>
        <v>55</v>
      </c>
      <c r="Z6" s="91">
        <f>'23'!G19</f>
        <v>55</v>
      </c>
      <c r="AA6" s="91">
        <f>'24'!G19</f>
        <v>55</v>
      </c>
      <c r="AB6" s="91">
        <f>'25'!G19</f>
        <v>55</v>
      </c>
      <c r="AC6" s="91">
        <f>'26'!G19</f>
        <v>55</v>
      </c>
      <c r="AD6" s="91">
        <f>'27'!G19</f>
        <v>55</v>
      </c>
      <c r="AE6" s="91">
        <f>'28'!G19</f>
        <v>55</v>
      </c>
      <c r="AF6" s="91">
        <f>'29'!G19</f>
        <v>55</v>
      </c>
      <c r="AG6" s="91">
        <f>'30'!G19</f>
        <v>55</v>
      </c>
      <c r="AH6" s="91">
        <f>'31'!G19</f>
        <v>55</v>
      </c>
      <c r="AI6" s="90"/>
    </row>
    <row r="7" spans="2:35" x14ac:dyDescent="0.2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-2470</v>
      </c>
      <c r="W7" s="91">
        <f>'20'!G62</f>
        <v>124</v>
      </c>
      <c r="X7" s="91">
        <f>'21'!G62</f>
        <v>117</v>
      </c>
      <c r="Y7" s="91">
        <f>'22'!G62</f>
        <v>120</v>
      </c>
      <c r="Z7" s="91">
        <f>'23'!G62</f>
        <v>120</v>
      </c>
      <c r="AA7" s="91">
        <f>'24'!G62</f>
        <v>110</v>
      </c>
      <c r="AB7" s="91">
        <f>'25'!G62</f>
        <v>121</v>
      </c>
      <c r="AC7" s="91">
        <f>'26'!G62</f>
        <v>145</v>
      </c>
      <c r="AD7" s="91">
        <f>'27'!G62</f>
        <v>123</v>
      </c>
      <c r="AE7" s="91">
        <f>'28'!G62</f>
        <v>138</v>
      </c>
      <c r="AF7" s="91">
        <f>'29'!G62</f>
        <v>131</v>
      </c>
      <c r="AG7" s="91">
        <f>'30'!G62</f>
        <v>120</v>
      </c>
      <c r="AH7" s="91">
        <f>'31'!G62</f>
        <v>6</v>
      </c>
      <c r="AI7" s="90"/>
    </row>
    <row r="8" spans="2:35" x14ac:dyDescent="0.2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-2865</v>
      </c>
      <c r="W8" s="91">
        <f>'20'!G63</f>
        <v>119</v>
      </c>
      <c r="X8" s="91">
        <f>'21'!G63</f>
        <v>72</v>
      </c>
      <c r="Y8" s="91">
        <f>'22'!G63</f>
        <v>80</v>
      </c>
      <c r="Z8" s="91">
        <f>'23'!G63</f>
        <v>66</v>
      </c>
      <c r="AA8" s="91">
        <f>'24'!G63</f>
        <v>71</v>
      </c>
      <c r="AB8" s="91">
        <f>'25'!G63</f>
        <v>125</v>
      </c>
      <c r="AC8" s="91">
        <f>'26'!G63</f>
        <v>94</v>
      </c>
      <c r="AD8" s="91">
        <f>'27'!G63</f>
        <v>58</v>
      </c>
      <c r="AE8" s="91">
        <f>'28'!G63</f>
        <v>104.10000000000582</v>
      </c>
      <c r="AF8" s="91">
        <f>'29'!G63</f>
        <v>75.899999999994179</v>
      </c>
      <c r="AG8" s="91">
        <f>'30'!G63</f>
        <v>97</v>
      </c>
      <c r="AH8" s="91">
        <f>'31'!G63</f>
        <v>86</v>
      </c>
      <c r="AI8" s="90"/>
    </row>
    <row r="9" spans="2:35" x14ac:dyDescent="0.25">
      <c r="B9" s="721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-2447</v>
      </c>
      <c r="W9" s="91">
        <f>'20'!G65</f>
        <v>77</v>
      </c>
      <c r="X9" s="91">
        <f>'21'!G65</f>
        <v>97</v>
      </c>
      <c r="Y9" s="91">
        <f>'22'!G65</f>
        <v>105</v>
      </c>
      <c r="Z9" s="91">
        <f>'23'!G65</f>
        <v>99</v>
      </c>
      <c r="AA9" s="91">
        <f>'24'!G65</f>
        <v>89</v>
      </c>
      <c r="AB9" s="91">
        <f>'25'!G65</f>
        <v>91</v>
      </c>
      <c r="AC9" s="91">
        <f>'26'!G65</f>
        <v>117</v>
      </c>
      <c r="AD9" s="91">
        <f>'27'!G65</f>
        <v>95</v>
      </c>
      <c r="AE9" s="91">
        <f>'28'!G65</f>
        <v>134</v>
      </c>
      <c r="AF9" s="91">
        <f>'29'!G65</f>
        <v>104</v>
      </c>
      <c r="AG9" s="91">
        <f>'30'!G65</f>
        <v>103</v>
      </c>
      <c r="AH9" s="91">
        <f>'31'!G65</f>
        <v>94</v>
      </c>
      <c r="AI9" s="90"/>
    </row>
    <row r="10" spans="2:35" x14ac:dyDescent="0.25">
      <c r="B10" s="721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-546</v>
      </c>
      <c r="W10" s="91">
        <f>'20'!G66</f>
        <v>17</v>
      </c>
      <c r="X10" s="91">
        <f>'21'!G66</f>
        <v>17</v>
      </c>
      <c r="Y10" s="91">
        <f>'22'!G66</f>
        <v>18</v>
      </c>
      <c r="Z10" s="91">
        <f>'23'!G66</f>
        <v>25</v>
      </c>
      <c r="AA10" s="91">
        <f>'24'!G66</f>
        <v>20</v>
      </c>
      <c r="AB10" s="91">
        <f>'25'!G66</f>
        <v>24</v>
      </c>
      <c r="AC10" s="91">
        <f>'26'!G66</f>
        <v>28</v>
      </c>
      <c r="AD10" s="91">
        <f>'27'!G66</f>
        <v>19</v>
      </c>
      <c r="AE10" s="91">
        <f>'28'!G66</f>
        <v>16</v>
      </c>
      <c r="AF10" s="91">
        <f>'29'!G66</f>
        <v>20</v>
      </c>
      <c r="AG10" s="91">
        <f>'30'!G66</f>
        <v>18</v>
      </c>
      <c r="AH10" s="91">
        <f>'31'!G66</f>
        <v>19</v>
      </c>
      <c r="AI10" s="90"/>
    </row>
    <row r="11" spans="2:35" x14ac:dyDescent="0.25">
      <c r="B11" s="721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-772</v>
      </c>
      <c r="W11" s="91">
        <f>'20'!G67</f>
        <v>26</v>
      </c>
      <c r="X11" s="91">
        <f>'21'!G67</f>
        <v>27</v>
      </c>
      <c r="Y11" s="91">
        <f>'22'!G67</f>
        <v>27</v>
      </c>
      <c r="Z11" s="91">
        <f>'23'!G67</f>
        <v>28</v>
      </c>
      <c r="AA11" s="91">
        <f>'24'!G67</f>
        <v>31</v>
      </c>
      <c r="AB11" s="91">
        <f>'25'!G67</f>
        <v>38</v>
      </c>
      <c r="AC11" s="91">
        <f>'26'!G67</f>
        <v>31</v>
      </c>
      <c r="AD11" s="91">
        <f>'27'!G67</f>
        <v>28</v>
      </c>
      <c r="AE11" s="91">
        <f>'28'!G67</f>
        <v>26</v>
      </c>
      <c r="AF11" s="91">
        <f>'29'!G67</f>
        <v>28</v>
      </c>
      <c r="AG11" s="91">
        <f>'30'!G67</f>
        <v>35</v>
      </c>
      <c r="AH11" s="91">
        <f>'31'!G67</f>
        <v>31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21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-932</v>
      </c>
      <c r="W13" s="91">
        <f>'20'!G68</f>
        <v>68</v>
      </c>
      <c r="X13" s="91">
        <f>'21'!G68</f>
        <v>35</v>
      </c>
      <c r="Y13" s="91">
        <f>'22'!G68</f>
        <v>32</v>
      </c>
      <c r="Z13" s="91">
        <f>'23'!G68</f>
        <v>29</v>
      </c>
      <c r="AA13" s="506">
        <f>'24'!G68</f>
        <v>41</v>
      </c>
      <c r="AB13" s="91">
        <f>'25'!G68</f>
        <v>28</v>
      </c>
      <c r="AC13" s="91">
        <f>'26'!G68</f>
        <v>32</v>
      </c>
      <c r="AD13" s="91">
        <f>'27'!G68</f>
        <v>34</v>
      </c>
      <c r="AE13" s="91">
        <f>'28'!G68</f>
        <v>40</v>
      </c>
      <c r="AF13" s="91">
        <f>'29'!G68</f>
        <v>40</v>
      </c>
      <c r="AG13" s="91">
        <f>'30'!G68</f>
        <v>36</v>
      </c>
      <c r="AH13" s="91">
        <f>'31'!G68</f>
        <v>24</v>
      </c>
      <c r="AI13" s="90"/>
    </row>
    <row r="14" spans="2:35" x14ac:dyDescent="0.25">
      <c r="B14" s="721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-318</v>
      </c>
      <c r="W14" s="91">
        <f>'20'!G69</f>
        <v>7</v>
      </c>
      <c r="X14" s="91">
        <f>'21'!G69</f>
        <v>9</v>
      </c>
      <c r="Y14" s="91">
        <f>'22'!G69</f>
        <v>8</v>
      </c>
      <c r="Z14" s="91">
        <f>'23'!G69</f>
        <v>11</v>
      </c>
      <c r="AA14" s="91">
        <f>'24'!G69</f>
        <v>12</v>
      </c>
      <c r="AB14" s="91">
        <f>'25'!G69</f>
        <v>14</v>
      </c>
      <c r="AC14" s="91">
        <f>'26'!G69</f>
        <v>19</v>
      </c>
      <c r="AD14" s="91">
        <f>'27'!G69</f>
        <v>8</v>
      </c>
      <c r="AE14" s="91">
        <f>'28'!G69</f>
        <v>17</v>
      </c>
      <c r="AF14" s="91">
        <f>'29'!G69</f>
        <v>18</v>
      </c>
      <c r="AG14" s="91">
        <f>'30'!G69</f>
        <v>12</v>
      </c>
      <c r="AH14" s="91">
        <f>'31'!G69</f>
        <v>8</v>
      </c>
      <c r="AI14" s="90"/>
    </row>
    <row r="15" spans="2:35" x14ac:dyDescent="0.25">
      <c r="B15" s="721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-241</v>
      </c>
      <c r="W15" s="91">
        <f>'20'!G70</f>
        <v>9</v>
      </c>
      <c r="X15" s="91">
        <f>'21'!G70</f>
        <v>8</v>
      </c>
      <c r="Y15" s="91">
        <f>'22'!G70</f>
        <v>9</v>
      </c>
      <c r="Z15" s="91">
        <f>'23'!G70</f>
        <v>11</v>
      </c>
      <c r="AA15" s="91">
        <f>'24'!G70</f>
        <v>10</v>
      </c>
      <c r="AB15" s="91">
        <f>'25'!G70</f>
        <v>10</v>
      </c>
      <c r="AC15" s="91">
        <f>'26'!G70</f>
        <v>12</v>
      </c>
      <c r="AD15" s="91">
        <f>'27'!G70</f>
        <v>14</v>
      </c>
      <c r="AE15" s="91">
        <f>'28'!G70</f>
        <v>6</v>
      </c>
      <c r="AF15" s="91">
        <f>'29'!G70</f>
        <v>6</v>
      </c>
      <c r="AG15" s="91">
        <f>'30'!G70</f>
        <v>6</v>
      </c>
      <c r="AH15" s="91">
        <f>'31'!G70</f>
        <v>7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2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-16</v>
      </c>
      <c r="W17" s="91">
        <f>'20'!G173</f>
        <v>0</v>
      </c>
      <c r="X17" s="91">
        <f>'21'!G173</f>
        <v>0</v>
      </c>
      <c r="Y17" s="91">
        <f>'22'!G173</f>
        <v>16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21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-343</v>
      </c>
      <c r="W18" s="91">
        <f>'20'!G174</f>
        <v>17</v>
      </c>
      <c r="X18" s="91">
        <f>'21'!G174</f>
        <v>16</v>
      </c>
      <c r="Y18" s="91">
        <f>'22'!G174</f>
        <v>14</v>
      </c>
      <c r="Z18" s="91">
        <f>'23'!G174</f>
        <v>15</v>
      </c>
      <c r="AA18" s="91">
        <f>'24'!G174</f>
        <v>14</v>
      </c>
      <c r="AB18" s="91">
        <f>'25'!G174</f>
        <v>15</v>
      </c>
      <c r="AC18" s="91">
        <f>'26'!G174</f>
        <v>16</v>
      </c>
      <c r="AD18" s="91">
        <f>'27'!G174</f>
        <v>15</v>
      </c>
      <c r="AE18" s="91">
        <f>'28'!G174</f>
        <v>16</v>
      </c>
      <c r="AF18" s="91">
        <f>'29'!G174</f>
        <v>10</v>
      </c>
      <c r="AG18" s="91">
        <f>'30'!G174</f>
        <v>17</v>
      </c>
      <c r="AH18" s="91">
        <f>'31'!G174</f>
        <v>14</v>
      </c>
      <c r="AI18" s="90"/>
    </row>
    <row r="19" spans="2:35" x14ac:dyDescent="0.25">
      <c r="B19" s="721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-303</v>
      </c>
      <c r="W19" s="91">
        <f>'20'!G175</f>
        <v>12</v>
      </c>
      <c r="X19" s="91">
        <f>'21'!G175</f>
        <v>13</v>
      </c>
      <c r="Y19" s="91">
        <f>'22'!G175</f>
        <v>10</v>
      </c>
      <c r="Z19" s="91">
        <f>'23'!G175</f>
        <v>12</v>
      </c>
      <c r="AA19" s="91">
        <f>'24'!G175</f>
        <v>11</v>
      </c>
      <c r="AB19" s="91">
        <f>'25'!G175</f>
        <v>13</v>
      </c>
      <c r="AC19" s="91">
        <f>'26'!G175</f>
        <v>12</v>
      </c>
      <c r="AD19" s="91">
        <f>'27'!G175</f>
        <v>12</v>
      </c>
      <c r="AE19" s="91">
        <f>'28'!G175</f>
        <v>11</v>
      </c>
      <c r="AF19" s="91">
        <f>'29'!G175</f>
        <v>12</v>
      </c>
      <c r="AG19" s="91">
        <f>'30'!G175</f>
        <v>12</v>
      </c>
      <c r="AH19" s="91">
        <f>'31'!G175</f>
        <v>8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21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-1865</v>
      </c>
      <c r="W21" s="91">
        <f>'20'!G178</f>
        <v>67</v>
      </c>
      <c r="X21" s="91">
        <f>'21'!G178</f>
        <v>60</v>
      </c>
      <c r="Y21" s="91">
        <f>'22'!G178</f>
        <v>57</v>
      </c>
      <c r="Z21" s="91">
        <f>'23'!G178</f>
        <v>56</v>
      </c>
      <c r="AA21" s="91">
        <f>'24'!G178</f>
        <v>99</v>
      </c>
      <c r="AB21" s="91">
        <f>'25'!G178</f>
        <v>85</v>
      </c>
      <c r="AC21" s="91">
        <f>'26'!G178</f>
        <v>64</v>
      </c>
      <c r="AD21" s="91">
        <f>'27'!G178</f>
        <v>62</v>
      </c>
      <c r="AE21" s="91">
        <f>'28'!G178</f>
        <v>64</v>
      </c>
      <c r="AF21" s="91">
        <f>'29'!G178</f>
        <v>95</v>
      </c>
      <c r="AG21" s="91">
        <f>'30'!G178</f>
        <v>72</v>
      </c>
      <c r="AH21" s="91">
        <f>'31'!G178</f>
        <v>45</v>
      </c>
      <c r="AI21" s="90"/>
    </row>
    <row r="22" spans="2:35" x14ac:dyDescent="0.25">
      <c r="B22" s="721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-417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721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-214</v>
      </c>
      <c r="W23" s="91">
        <f>'20'!G180</f>
        <v>1</v>
      </c>
      <c r="X23" s="91">
        <f>'21'!G180</f>
        <v>11</v>
      </c>
      <c r="Y23" s="91">
        <f>'22'!G180</f>
        <v>12</v>
      </c>
      <c r="Z23" s="91">
        <f>'23'!G180</f>
        <v>7</v>
      </c>
      <c r="AA23" s="91">
        <f>'24'!G180</f>
        <v>9</v>
      </c>
      <c r="AB23" s="91">
        <f>'25'!G180</f>
        <v>11</v>
      </c>
      <c r="AC23" s="91">
        <f>'26'!G180</f>
        <v>1</v>
      </c>
      <c r="AD23" s="91">
        <f>'27'!G180</f>
        <v>8</v>
      </c>
      <c r="AE23" s="91">
        <f>'28'!G180</f>
        <v>6</v>
      </c>
      <c r="AF23" s="91">
        <f>'29'!G180</f>
        <v>8</v>
      </c>
      <c r="AG23" s="91">
        <f>'30'!G180</f>
        <v>0</v>
      </c>
      <c r="AH23" s="91">
        <f>'31'!G180</f>
        <v>6</v>
      </c>
      <c r="AI23" s="90"/>
    </row>
    <row r="24" spans="2:35" ht="30" x14ac:dyDescent="0.25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204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275</v>
      </c>
      <c r="W24" s="91">
        <f t="shared" si="0"/>
        <v>395</v>
      </c>
      <c r="X24" s="91">
        <f t="shared" si="0"/>
        <v>515</v>
      </c>
      <c r="Y24" s="91">
        <f t="shared" si="0"/>
        <v>635</v>
      </c>
      <c r="Z24" s="91">
        <f t="shared" si="0"/>
        <v>755</v>
      </c>
      <c r="AA24" s="91">
        <f>SUM(AA5:AA6)</f>
        <v>875</v>
      </c>
      <c r="AB24" s="91">
        <f t="shared" si="0"/>
        <v>995</v>
      </c>
      <c r="AC24" s="91">
        <f t="shared" si="0"/>
        <v>1115</v>
      </c>
      <c r="AD24" s="91">
        <f t="shared" si="0"/>
        <v>1235</v>
      </c>
      <c r="AE24" s="91">
        <f t="shared" si="0"/>
        <v>1355</v>
      </c>
      <c r="AF24" s="91">
        <f t="shared" si="0"/>
        <v>1475</v>
      </c>
      <c r="AG24" s="91">
        <f t="shared" si="0"/>
        <v>1595</v>
      </c>
      <c r="AH24" s="91">
        <f t="shared" si="0"/>
        <v>1715</v>
      </c>
      <c r="AI24" s="90"/>
    </row>
    <row r="25" spans="2:35" ht="30" x14ac:dyDescent="0.25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-4324</v>
      </c>
      <c r="W25" s="91">
        <f t="shared" si="1"/>
        <v>136</v>
      </c>
      <c r="X25" s="91">
        <f t="shared" si="1"/>
        <v>158</v>
      </c>
      <c r="Y25" s="91">
        <f t="shared" si="1"/>
        <v>167</v>
      </c>
      <c r="Z25" s="91">
        <f t="shared" si="1"/>
        <v>174</v>
      </c>
      <c r="AA25" s="91">
        <f t="shared" si="1"/>
        <v>162</v>
      </c>
      <c r="AB25" s="91">
        <f t="shared" si="1"/>
        <v>177</v>
      </c>
      <c r="AC25" s="91">
        <f t="shared" si="1"/>
        <v>207</v>
      </c>
      <c r="AD25" s="91">
        <f t="shared" si="1"/>
        <v>164</v>
      </c>
      <c r="AE25" s="91">
        <f t="shared" si="1"/>
        <v>199</v>
      </c>
      <c r="AF25" s="91">
        <f t="shared" si="1"/>
        <v>176</v>
      </c>
      <c r="AG25" s="91">
        <f t="shared" si="1"/>
        <v>174</v>
      </c>
      <c r="AH25" s="91">
        <f t="shared" si="1"/>
        <v>159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-3011</v>
      </c>
      <c r="W27" s="91">
        <f t="shared" si="2"/>
        <v>136</v>
      </c>
      <c r="X27" s="91">
        <f t="shared" si="2"/>
        <v>106</v>
      </c>
      <c r="Y27" s="91">
        <f t="shared" si="2"/>
        <v>101</v>
      </c>
      <c r="Z27" s="91">
        <f t="shared" si="2"/>
        <v>92</v>
      </c>
      <c r="AA27" s="91">
        <f t="shared" si="2"/>
        <v>149</v>
      </c>
      <c r="AB27" s="91">
        <f t="shared" si="2"/>
        <v>124</v>
      </c>
      <c r="AC27" s="91">
        <f t="shared" si="2"/>
        <v>97</v>
      </c>
      <c r="AD27" s="91">
        <f t="shared" si="2"/>
        <v>104</v>
      </c>
      <c r="AE27" s="91">
        <f t="shared" si="2"/>
        <v>110</v>
      </c>
      <c r="AF27" s="91">
        <f t="shared" si="2"/>
        <v>143</v>
      </c>
      <c r="AG27" s="91">
        <f t="shared" si="2"/>
        <v>108</v>
      </c>
      <c r="AH27" s="91">
        <f t="shared" si="2"/>
        <v>75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-2447</v>
      </c>
      <c r="W29" s="249">
        <f t="shared" si="4"/>
        <v>77</v>
      </c>
      <c r="X29" s="249">
        <f t="shared" si="4"/>
        <v>97</v>
      </c>
      <c r="Y29" s="249">
        <f t="shared" si="4"/>
        <v>105</v>
      </c>
      <c r="Z29" s="249">
        <f t="shared" si="4"/>
        <v>99</v>
      </c>
      <c r="AA29" s="249">
        <f t="shared" si="4"/>
        <v>89</v>
      </c>
      <c r="AB29" s="249">
        <f t="shared" si="4"/>
        <v>91</v>
      </c>
      <c r="AC29" s="249">
        <f t="shared" si="4"/>
        <v>117</v>
      </c>
      <c r="AD29" s="249">
        <f t="shared" si="4"/>
        <v>95</v>
      </c>
      <c r="AE29" s="249">
        <f t="shared" si="4"/>
        <v>134</v>
      </c>
      <c r="AF29" s="249">
        <f t="shared" si="4"/>
        <v>104</v>
      </c>
      <c r="AG29" s="249">
        <f t="shared" si="4"/>
        <v>103</v>
      </c>
      <c r="AH29" s="249">
        <f t="shared" si="4"/>
        <v>94</v>
      </c>
      <c r="AI29" s="248"/>
    </row>
    <row r="30" spans="2:35" x14ac:dyDescent="0.2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-1877</v>
      </c>
      <c r="W30" s="249">
        <f t="shared" si="5"/>
        <v>59</v>
      </c>
      <c r="X30" s="249">
        <f t="shared" si="5"/>
        <v>61</v>
      </c>
      <c r="Y30" s="249">
        <f t="shared" si="5"/>
        <v>62</v>
      </c>
      <c r="Z30" s="249">
        <f t="shared" si="5"/>
        <v>75</v>
      </c>
      <c r="AA30" s="249">
        <f t="shared" si="5"/>
        <v>73</v>
      </c>
      <c r="AB30" s="249">
        <f t="shared" si="5"/>
        <v>86</v>
      </c>
      <c r="AC30" s="249">
        <f t="shared" si="5"/>
        <v>90</v>
      </c>
      <c r="AD30" s="249">
        <f t="shared" si="5"/>
        <v>69</v>
      </c>
      <c r="AE30" s="249">
        <f t="shared" si="5"/>
        <v>65</v>
      </c>
      <c r="AF30" s="249">
        <f t="shared" si="5"/>
        <v>72</v>
      </c>
      <c r="AG30" s="249">
        <f t="shared" si="5"/>
        <v>71</v>
      </c>
      <c r="AH30" s="249">
        <f t="shared" si="5"/>
        <v>65</v>
      </c>
      <c r="AI30" s="248"/>
    </row>
    <row r="31" spans="2:35" x14ac:dyDescent="0.2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43.408880666049953</v>
      </c>
      <c r="W31" s="248">
        <f t="shared" si="6"/>
        <v>43.382352941176471</v>
      </c>
      <c r="X31" s="248">
        <f t="shared" si="6"/>
        <v>38.607594936708857</v>
      </c>
      <c r="Y31" s="248">
        <f t="shared" si="6"/>
        <v>37.125748502994014</v>
      </c>
      <c r="Z31" s="248">
        <f t="shared" si="6"/>
        <v>43.103448275862071</v>
      </c>
      <c r="AA31" s="248">
        <f t="shared" si="6"/>
        <v>45.061728395061728</v>
      </c>
      <c r="AB31" s="248">
        <f t="shared" si="6"/>
        <v>48.587570621468927</v>
      </c>
      <c r="AC31" s="248">
        <f t="shared" si="6"/>
        <v>43.478260869565219</v>
      </c>
      <c r="AD31" s="248">
        <f t="shared" si="6"/>
        <v>42.073170731707322</v>
      </c>
      <c r="AE31" s="248">
        <f t="shared" si="6"/>
        <v>32.663316582914575</v>
      </c>
      <c r="AF31" s="248">
        <f t="shared" si="6"/>
        <v>40.909090909090907</v>
      </c>
      <c r="AG31" s="248">
        <f t="shared" si="6"/>
        <v>40.804597701149426</v>
      </c>
      <c r="AH31" s="248">
        <f t="shared" si="6"/>
        <v>40.880503144654085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4" zoomScale="70" zoomScaleNormal="70" workbookViewId="0">
      <pane xSplit="1" topLeftCell="AB1" activePane="topRight" state="frozen"/>
      <selection activeCell="A4" sqref="A4"/>
      <selection pane="topRight" activeCell="AX15" sqref="AX15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25" t="s">
        <v>308</v>
      </c>
      <c r="G2" s="726"/>
      <c r="H2" s="726"/>
      <c r="I2" s="726"/>
      <c r="J2" s="726"/>
      <c r="K2" s="726"/>
      <c r="L2" s="726"/>
      <c r="M2" s="727"/>
      <c r="N2" s="724" t="s">
        <v>86</v>
      </c>
      <c r="O2" s="724"/>
      <c r="P2" s="724"/>
      <c r="Q2" s="724"/>
      <c r="R2" s="724"/>
      <c r="S2" s="724"/>
      <c r="T2" s="724"/>
      <c r="U2" s="724"/>
      <c r="V2" s="724"/>
      <c r="W2" s="724"/>
      <c r="X2" s="724"/>
      <c r="Y2" s="724"/>
      <c r="Z2" s="724"/>
      <c r="AA2" s="724"/>
      <c r="AB2" s="724"/>
      <c r="AC2" s="724"/>
      <c r="AD2" s="724"/>
      <c r="AE2" s="724"/>
      <c r="AF2" s="724"/>
      <c r="AG2" s="724"/>
      <c r="AH2" s="724"/>
      <c r="AI2" s="724"/>
      <c r="AJ2" s="724"/>
      <c r="AK2" s="724"/>
      <c r="AL2" s="724"/>
      <c r="AM2" s="724"/>
      <c r="AN2" s="723"/>
      <c r="AO2" s="723"/>
      <c r="AP2" s="723"/>
      <c r="AQ2" s="723"/>
      <c r="AR2" s="723"/>
      <c r="AS2" s="723"/>
      <c r="AT2" s="723"/>
      <c r="AU2" s="641"/>
      <c r="AV2" s="722" t="s">
        <v>87</v>
      </c>
      <c r="AW2" s="722"/>
      <c r="AX2" s="722"/>
      <c r="AY2" s="722"/>
      <c r="BB2" s="318" t="s">
        <v>334</v>
      </c>
      <c r="BC2" s="318" t="s">
        <v>335</v>
      </c>
    </row>
    <row r="3" spans="1:55" x14ac:dyDescent="0.2">
      <c r="F3" s="643"/>
      <c r="G3" s="644"/>
      <c r="H3" s="644"/>
      <c r="I3" s="644"/>
      <c r="J3" s="644"/>
      <c r="K3" s="644"/>
      <c r="L3" s="644"/>
      <c r="M3" s="645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  <c r="Z3" s="64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42"/>
      <c r="AN3" s="728" t="s">
        <v>138</v>
      </c>
      <c r="AO3" s="728"/>
      <c r="AP3" s="728"/>
      <c r="AQ3" s="728"/>
      <c r="AR3" s="728"/>
      <c r="AS3" s="728"/>
      <c r="AT3" s="728"/>
      <c r="AU3" s="729" t="s">
        <v>283</v>
      </c>
      <c r="AV3" s="729"/>
      <c r="AW3" s="729"/>
      <c r="AX3" s="729"/>
      <c r="AY3" s="729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6" t="s">
        <v>284</v>
      </c>
      <c r="G4" s="647" t="s">
        <v>285</v>
      </c>
      <c r="H4" s="647" t="s">
        <v>286</v>
      </c>
      <c r="I4" s="647" t="s">
        <v>287</v>
      </c>
      <c r="J4" s="647" t="s">
        <v>282</v>
      </c>
      <c r="K4" s="647" t="s">
        <v>51</v>
      </c>
      <c r="L4" s="648" t="s">
        <v>60</v>
      </c>
      <c r="M4" s="648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9">
        <f>'1'!G7</f>
        <v>20006.53</v>
      </c>
      <c r="C5" s="649">
        <f>'1'!G8</f>
        <v>20449</v>
      </c>
      <c r="D5" s="649">
        <f>'1'!G15</f>
        <v>1070.0859999998938</v>
      </c>
      <c r="E5" s="649">
        <f>'1'!G20</f>
        <v>54</v>
      </c>
      <c r="F5" s="649">
        <f>SUM('1'!G35,'1'!G49)</f>
        <v>3670.9500000000116</v>
      </c>
      <c r="G5" s="649">
        <f>SUM('1'!H37,'1'!H51)</f>
        <v>1573.5100000000093</v>
      </c>
      <c r="H5" s="649">
        <f>SUM('1'!G38,'1'!G52)</f>
        <v>1665.429999999993</v>
      </c>
      <c r="I5" s="649">
        <f>SUM('1'!G39,'1'!G53)</f>
        <v>2724.390000000014</v>
      </c>
      <c r="J5" s="649">
        <f>SUM('1'!G41,'1'!G42,'1'!G55,'1'!G56)</f>
        <v>2431.4200000000055</v>
      </c>
      <c r="K5" s="649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A5" s="311">
        <f>AT5/AY5</f>
        <v>41.673258706455087</v>
      </c>
      <c r="BB5" s="351">
        <f>C5-SUM(F5:K5,Y5)</f>
        <v>5596.129999999961</v>
      </c>
      <c r="BC5" s="351">
        <f>BB5/B5%</f>
        <v>27.971517299601487</v>
      </c>
    </row>
    <row r="6" spans="1:55" x14ac:dyDescent="0.2">
      <c r="A6" s="359">
        <v>2</v>
      </c>
      <c r="B6" s="649">
        <f>'2'!G7</f>
        <v>19489.369999999995</v>
      </c>
      <c r="C6" s="649">
        <f>'2'!G8</f>
        <v>19893</v>
      </c>
      <c r="D6" s="649">
        <f>'2'!G15</f>
        <v>808.52700000000186</v>
      </c>
      <c r="E6" s="649">
        <f>'2'!G20</f>
        <v>56</v>
      </c>
      <c r="F6" s="649">
        <f>SUM('2'!G35,'2'!G49)</f>
        <v>3641.6900000000023</v>
      </c>
      <c r="G6" s="649">
        <f>SUM('2'!G37,'2'!G51)</f>
        <v>1509.2399999999907</v>
      </c>
      <c r="H6" s="649">
        <f>SUM('2'!G38,'2'!G52)</f>
        <v>1563.0599999999977</v>
      </c>
      <c r="I6" s="649">
        <f>SUM('2'!G39,'2'!G53)</f>
        <v>2721.7999999999884</v>
      </c>
      <c r="J6" s="649">
        <f>SUM('2'!G41,'2'!G42,'2'!G55,'2'!G56)</f>
        <v>3100</v>
      </c>
      <c r="K6" s="649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A6" s="311">
        <f t="shared" ref="BA6:BA35" si="3">AT6/AY6</f>
        <v>33.41242891959191</v>
      </c>
      <c r="BB6" s="351">
        <f t="shared" ref="BB6:BB35" si="4">C6-SUM(F6:K6,Y6)</f>
        <v>4828.0200000000186</v>
      </c>
      <c r="BC6" s="351">
        <f t="shared" ref="BC6:BC35" si="5">BB6/B6%</f>
        <v>24.772581155778866</v>
      </c>
    </row>
    <row r="7" spans="1:55" s="313" customFormat="1" x14ac:dyDescent="0.2">
      <c r="A7" s="359">
        <v>3</v>
      </c>
      <c r="B7" s="649">
        <f>'3'!G7</f>
        <v>19192.100000000006</v>
      </c>
      <c r="C7" s="649">
        <f>'3'!G8</f>
        <v>19529</v>
      </c>
      <c r="D7" s="649">
        <f>'3'!G15</f>
        <v>524.78700000001118</v>
      </c>
      <c r="E7" s="649">
        <f>'3'!G20</f>
        <v>356</v>
      </c>
      <c r="F7" s="649">
        <f>SUM('3'!G35,'3'!G49)</f>
        <v>3773.3099999999977</v>
      </c>
      <c r="G7" s="649">
        <f>SUM('3'!G37,'3'!G51)</f>
        <v>1514.2000000000116</v>
      </c>
      <c r="H7" s="649">
        <f>SUM('3'!G38,'3'!G52)</f>
        <v>1476.640000000014</v>
      </c>
      <c r="I7" s="649">
        <f>SUM('3'!G39,'3'!G53)</f>
        <v>2758.7999999999884</v>
      </c>
      <c r="J7" s="649">
        <f>SUM('3'!G41,'3'!G42,'3'!G55,'3'!G56)</f>
        <v>3094.6399999999994</v>
      </c>
      <c r="K7" s="649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A7" s="311">
        <f t="shared" si="3"/>
        <v>48.835493827104791</v>
      </c>
      <c r="BB7" s="351">
        <f t="shared" si="4"/>
        <v>4469.0699999999924</v>
      </c>
      <c r="BC7" s="351">
        <f t="shared" si="5"/>
        <v>23.285987463591745</v>
      </c>
    </row>
    <row r="8" spans="1:55" x14ac:dyDescent="0.2">
      <c r="A8" s="359">
        <v>4</v>
      </c>
      <c r="B8" s="649">
        <f>'4'!G7</f>
        <v>19783.089999999997</v>
      </c>
      <c r="C8" s="649">
        <f>'4'!G8</f>
        <v>20218.950000000012</v>
      </c>
      <c r="D8" s="649">
        <f>'4'!G15</f>
        <v>1035.25</v>
      </c>
      <c r="E8" s="649">
        <f>'4'!G20</f>
        <v>219</v>
      </c>
      <c r="F8" s="649">
        <f>SUM('4'!G35,'4'!G49)</f>
        <v>3322.8600000000151</v>
      </c>
      <c r="G8" s="649">
        <f>SUM('4'!G37,'4'!G51)</f>
        <v>1526.8799999999756</v>
      </c>
      <c r="H8" s="649">
        <f>SUM('4'!G38,'4'!G52)</f>
        <v>1752.359999999986</v>
      </c>
      <c r="I8" s="649">
        <f>SUM('4'!G39,'4'!G53)</f>
        <v>2740.5200000000186</v>
      </c>
      <c r="J8" s="649">
        <f>SUM('4'!G41,'4'!G42,'4'!G55,'4'!G56)</f>
        <v>3146.7900000000009</v>
      </c>
      <c r="K8" s="649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A8" s="311">
        <f t="shared" si="3"/>
        <v>40.367676767680422</v>
      </c>
      <c r="BB8" s="351">
        <f t="shared" si="4"/>
        <v>5111.2300000000141</v>
      </c>
      <c r="BC8" s="351">
        <f t="shared" si="5"/>
        <v>25.836358223108803</v>
      </c>
    </row>
    <row r="9" spans="1:55" x14ac:dyDescent="0.2">
      <c r="A9" s="359">
        <v>5</v>
      </c>
      <c r="B9" s="649">
        <f>'5'!G7</f>
        <v>19899.910000000003</v>
      </c>
      <c r="C9" s="649">
        <f>'5'!G8</f>
        <v>20335.049999999988</v>
      </c>
      <c r="D9" s="649">
        <f>'5'!G15</f>
        <v>1002.0500000000466</v>
      </c>
      <c r="E9" s="649">
        <f>'5'!G20</f>
        <v>171</v>
      </c>
      <c r="F9" s="649">
        <f>SUM('5'!G35,'5'!G49)</f>
        <v>3487.7099999999919</v>
      </c>
      <c r="G9" s="649">
        <f>SUM('5'!G37,'5'!G51)</f>
        <v>1513.0600000000268</v>
      </c>
      <c r="H9" s="649">
        <f>SUM('5'!G38,'5'!G52)</f>
        <v>1672.4000000000233</v>
      </c>
      <c r="I9" s="649">
        <f>SUM('5'!G39,'5'!G53)</f>
        <v>2669.0800000000163</v>
      </c>
      <c r="J9" s="649">
        <f>SUM('5'!G41,'5'!G42,'5'!G55,'5'!G56)</f>
        <v>3314.6699999999983</v>
      </c>
      <c r="K9" s="649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A9" s="311">
        <f t="shared" si="3"/>
        <v>41.786969253308889</v>
      </c>
      <c r="BB9" s="351">
        <f t="shared" si="4"/>
        <v>5193.8499999999312</v>
      </c>
      <c r="BC9" s="351">
        <f t="shared" si="5"/>
        <v>26.099866783316763</v>
      </c>
    </row>
    <row r="10" spans="1:55" x14ac:dyDescent="0.2">
      <c r="A10" s="359">
        <v>6</v>
      </c>
      <c r="B10" s="649">
        <f>'6'!G7</f>
        <v>20272</v>
      </c>
      <c r="C10" s="649">
        <f>'6'!G8</f>
        <v>20708</v>
      </c>
      <c r="D10" s="649">
        <f>'6'!G15</f>
        <v>933.30000000004657</v>
      </c>
      <c r="E10" s="649">
        <f>'6'!G20</f>
        <v>204</v>
      </c>
      <c r="F10" s="649">
        <f>SUM('6'!G35,'6'!G49)</f>
        <v>3481.4799999999814</v>
      </c>
      <c r="G10" s="649">
        <f>SUM('6'!G37,'6'!G51)</f>
        <v>1517.109999999986</v>
      </c>
      <c r="H10" s="649">
        <f>SUM('6'!G38,'6'!G52)</f>
        <v>1687.109999999986</v>
      </c>
      <c r="I10" s="649">
        <f>SUM('6'!G39,'6'!G53)</f>
        <v>2707.4099999999744</v>
      </c>
      <c r="J10" s="649">
        <f>SUM('6'!G41,'6'!G42,'6'!G55,'6'!G56)</f>
        <v>3311.0800000000017</v>
      </c>
      <c r="K10" s="649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28" si="6">AO10/AU10</f>
        <v>28.592488262910209</v>
      </c>
      <c r="BA10" s="311">
        <f t="shared" si="3"/>
        <v>43.009274873512531</v>
      </c>
      <c r="BB10" s="351">
        <f t="shared" si="4"/>
        <v>5365.4700000000721</v>
      </c>
      <c r="BC10" s="351">
        <f t="shared" si="5"/>
        <v>26.4673934490927</v>
      </c>
    </row>
    <row r="11" spans="1:55" x14ac:dyDescent="0.2">
      <c r="A11" s="359">
        <v>7</v>
      </c>
      <c r="B11" s="649">
        <f>'7'!G7</f>
        <v>19831</v>
      </c>
      <c r="C11" s="649">
        <f>'7'!G8</f>
        <v>20261</v>
      </c>
      <c r="D11" s="649">
        <f>'7'!G15</f>
        <v>963</v>
      </c>
      <c r="E11" s="649">
        <f>'7'!G20</f>
        <v>214</v>
      </c>
      <c r="F11" s="649">
        <f>SUM('7'!G35,'7'!G49)</f>
        <v>3527</v>
      </c>
      <c r="G11" s="649">
        <f>SUM('7'!G37,'7'!G51)</f>
        <v>1524</v>
      </c>
      <c r="H11" s="649">
        <f>SUM('7'!G38,'7'!G52)</f>
        <v>1668</v>
      </c>
      <c r="I11" s="649">
        <f>SUM('7'!G39,'7'!G53)</f>
        <v>2675</v>
      </c>
      <c r="J11" s="649">
        <f>SUM('7'!G41,'7'!G42,'7'!G55,'7'!G56)</f>
        <v>3369</v>
      </c>
      <c r="K11" s="649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>AO11/AU11</f>
        <v>28.584995251662608</v>
      </c>
      <c r="BA11" s="311">
        <f t="shared" si="3"/>
        <v>36.666666666666664</v>
      </c>
      <c r="BB11" s="351">
        <f t="shared" si="4"/>
        <v>5053</v>
      </c>
      <c r="BC11" s="351">
        <f t="shared" si="5"/>
        <v>25.480308607735363</v>
      </c>
    </row>
    <row r="12" spans="1:55" x14ac:dyDescent="0.2">
      <c r="A12" s="359">
        <v>8</v>
      </c>
      <c r="B12" s="649">
        <f>'8'!G7</f>
        <v>19232</v>
      </c>
      <c r="C12" s="649">
        <f>'8'!G8</f>
        <v>19647</v>
      </c>
      <c r="D12" s="649">
        <f>'8'!G15</f>
        <v>925</v>
      </c>
      <c r="E12" s="649">
        <f>'8'!G20</f>
        <v>211</v>
      </c>
      <c r="F12" s="649">
        <f>SUM('8'!G35,'8'!G49)</f>
        <v>3416</v>
      </c>
      <c r="G12" s="649">
        <f>SUM('8'!G37,'8'!G51)</f>
        <v>1534</v>
      </c>
      <c r="H12" s="649">
        <f>SUM('8'!G38,'8'!G52)</f>
        <v>1715</v>
      </c>
      <c r="I12" s="649">
        <f>SUM('8'!G39,'8'!G53)</f>
        <v>2685</v>
      </c>
      <c r="J12" s="649">
        <f>SUM('8'!G41,'8'!G42,'8'!G55,'8'!G56)</f>
        <v>3190</v>
      </c>
      <c r="K12" s="649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AZ12" s="311">
        <f t="shared" si="6"/>
        <v>28.705440900563243</v>
      </c>
      <c r="BA12" s="311">
        <f t="shared" si="3"/>
        <v>39.07692307692308</v>
      </c>
      <c r="BB12" s="351">
        <f t="shared" si="4"/>
        <v>4756</v>
      </c>
      <c r="BC12" s="351">
        <f t="shared" si="5"/>
        <v>24.729617304492514</v>
      </c>
    </row>
    <row r="13" spans="1:55" x14ac:dyDescent="0.2">
      <c r="A13" s="359">
        <v>9</v>
      </c>
      <c r="B13" s="649">
        <f>'9'!G7</f>
        <v>17711</v>
      </c>
      <c r="C13" s="649">
        <f>'9'!G8</f>
        <v>18011</v>
      </c>
      <c r="D13" s="649">
        <f>'9'!G15</f>
        <v>907</v>
      </c>
      <c r="E13" s="649">
        <f>'9'!G20</f>
        <v>205</v>
      </c>
      <c r="F13" s="649">
        <f>SUM('9'!G35,'9'!G49)</f>
        <v>3089</v>
      </c>
      <c r="G13" s="649">
        <f>SUM('9'!G37,'9'!G51)</f>
        <v>1472</v>
      </c>
      <c r="H13" s="649">
        <f>SUM('9'!G38,'9'!G52)</f>
        <v>1658</v>
      </c>
      <c r="I13" s="649">
        <f>SUM('9'!G39,'9'!G53)</f>
        <v>2610</v>
      </c>
      <c r="J13" s="649">
        <f>SUM('9'!G41,'9'!G42,'9'!G55,'9'!G56)</f>
        <v>2762.4599999999991</v>
      </c>
      <c r="K13" s="649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 x14ac:dyDescent="0.2">
      <c r="A14" s="359">
        <v>10</v>
      </c>
      <c r="B14" s="649">
        <f>'10'!G7</f>
        <v>16861</v>
      </c>
      <c r="C14" s="649">
        <f>'10'!G8</f>
        <v>17063</v>
      </c>
      <c r="D14" s="649">
        <f>'10'!G15</f>
        <v>759</v>
      </c>
      <c r="E14" s="649">
        <f>'10'!G20</f>
        <v>124</v>
      </c>
      <c r="F14" s="649">
        <f>SUM('10'!G35,'10'!G49)</f>
        <v>2752</v>
      </c>
      <c r="G14" s="649">
        <f>SUM('10'!G37,'10'!G51)</f>
        <v>1452</v>
      </c>
      <c r="H14" s="649">
        <f>SUM('10'!G38,'10'!G52)</f>
        <v>1541</v>
      </c>
      <c r="I14" s="649">
        <f>SUM('10'!G39,'10'!G53)</f>
        <v>2574</v>
      </c>
      <c r="J14" s="649">
        <f>SUM('10'!G41,'10'!G42,'10'!G55,'10'!G56)</f>
        <v>2760</v>
      </c>
      <c r="K14" s="649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 x14ac:dyDescent="0.2">
      <c r="A15" s="359">
        <v>11</v>
      </c>
      <c r="B15" s="649">
        <f>'11'!G7</f>
        <v>17025</v>
      </c>
      <c r="C15" s="649">
        <f>'11'!G8</f>
        <v>17262</v>
      </c>
      <c r="D15" s="649">
        <f>'11'!G15</f>
        <v>931</v>
      </c>
      <c r="E15" s="649">
        <f>'11'!G20</f>
        <v>130</v>
      </c>
      <c r="F15" s="649">
        <f>SUM('11'!G35,'11'!G49)</f>
        <v>2699</v>
      </c>
      <c r="G15" s="649">
        <f>SUM('11'!G37,'11'!G51)</f>
        <v>1445</v>
      </c>
      <c r="H15" s="649">
        <f>SUM('11'!G38,'11'!G52)</f>
        <v>1494</v>
      </c>
      <c r="I15" s="649">
        <f>SUM('11'!G39,'11'!G53)</f>
        <v>2471</v>
      </c>
      <c r="J15" s="649">
        <f>SUM('11'!G41,'11'!G42,'11'!G55,'11'!G56)</f>
        <v>2906.3999999999942</v>
      </c>
      <c r="K15" s="649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 x14ac:dyDescent="0.2">
      <c r="A16" s="359">
        <v>12</v>
      </c>
      <c r="B16" s="649">
        <f>'12'!G7</f>
        <v>16531</v>
      </c>
      <c r="C16" s="649">
        <f>'12'!G8</f>
        <v>16713</v>
      </c>
      <c r="D16" s="649">
        <f>'12'!G15</f>
        <v>644</v>
      </c>
      <c r="E16" s="649">
        <f>'12'!G20</f>
        <v>136</v>
      </c>
      <c r="F16" s="649">
        <f>SUM('12'!G35,'12'!G49)</f>
        <v>2756</v>
      </c>
      <c r="G16" s="649">
        <f>SUM('12'!G37,'12'!G51)</f>
        <v>1481</v>
      </c>
      <c r="H16" s="649">
        <f>SUM('12'!G38,'12'!G52)</f>
        <v>1484</v>
      </c>
      <c r="I16" s="649">
        <f>SUM('12'!G39,'12'!G53)</f>
        <v>2461</v>
      </c>
      <c r="J16" s="649">
        <f>SUM('12'!G41,'12'!G42,'12'!G55,'12'!G56)</f>
        <v>2812</v>
      </c>
      <c r="K16" s="649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 x14ac:dyDescent="0.2">
      <c r="A17" s="359">
        <v>13</v>
      </c>
      <c r="B17" s="649">
        <f>'13'!G7</f>
        <v>16800</v>
      </c>
      <c r="C17" s="649">
        <f>'13'!G8</f>
        <v>17050</v>
      </c>
      <c r="D17" s="649">
        <f>'13'!G15</f>
        <v>957</v>
      </c>
      <c r="E17" s="649">
        <f>'13'!G20</f>
        <v>103</v>
      </c>
      <c r="F17" s="649">
        <f>SUM('13'!G35,'13'!G49)</f>
        <v>2750</v>
      </c>
      <c r="G17" s="649">
        <f>SUM('13'!G37,'13'!G51)</f>
        <v>1471</v>
      </c>
      <c r="H17" s="649">
        <f>SUM('13'!G38,'13'!G52)</f>
        <v>1543</v>
      </c>
      <c r="I17" s="649">
        <f>SUM('13'!G39,'13'!G53)</f>
        <v>2404</v>
      </c>
      <c r="J17" s="649">
        <f>SUM('13'!G41,'13'!G42,'13'!G55,'13'!G56)</f>
        <v>2861</v>
      </c>
      <c r="K17" s="649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 x14ac:dyDescent="0.2">
      <c r="A18" s="359">
        <v>14</v>
      </c>
      <c r="B18" s="649">
        <f>'14'!G7</f>
        <v>17228</v>
      </c>
      <c r="C18" s="649">
        <f>'14'!G8</f>
        <v>17430</v>
      </c>
      <c r="D18" s="649">
        <f>'14'!G15</f>
        <v>745</v>
      </c>
      <c r="E18" s="649">
        <f>'14'!G20</f>
        <v>114</v>
      </c>
      <c r="F18" s="649">
        <f>SUM('14'!G35,'14'!G49)</f>
        <v>2564</v>
      </c>
      <c r="G18" s="649">
        <f>SUM('14'!G37,'14'!G51)</f>
        <v>1509</v>
      </c>
      <c r="H18" s="649">
        <f>SUM('14'!G38,'14'!G52)</f>
        <v>1832</v>
      </c>
      <c r="I18" s="649">
        <f>SUM('14'!G39,'14'!G53)</f>
        <v>2495</v>
      </c>
      <c r="J18" s="649">
        <f>SUM('14'!G41,'14'!G42,'14'!G55,'14'!G56)</f>
        <v>3132</v>
      </c>
      <c r="K18" s="649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 x14ac:dyDescent="0.2">
      <c r="A19" s="359">
        <v>15</v>
      </c>
      <c r="B19" s="649">
        <f>'15'!G7</f>
        <v>17216.75</v>
      </c>
      <c r="C19" s="649">
        <f>'15'!G8</f>
        <v>17328.710000000021</v>
      </c>
      <c r="D19" s="649">
        <f>'15'!G15</f>
        <v>965</v>
      </c>
      <c r="E19" s="649">
        <f>'15'!G20</f>
        <v>155</v>
      </c>
      <c r="F19" s="649">
        <f>SUM('15'!G35,'15'!G49)</f>
        <v>2552.4300000000003</v>
      </c>
      <c r="G19" s="649">
        <f>SUM('15'!G37,'15'!G51)</f>
        <v>1497.7399999999998</v>
      </c>
      <c r="H19" s="649">
        <f>SUM('15'!G38,'15'!G52)</f>
        <v>1386.9500000000007</v>
      </c>
      <c r="I19" s="649">
        <f>SUM('15'!G39,'15'!G53)</f>
        <v>2494.9000000000015</v>
      </c>
      <c r="J19" s="649">
        <f>SUM('15'!G41,'15'!G42,'15'!G55,'15'!G56)</f>
        <v>3008.3700000000099</v>
      </c>
      <c r="K19" s="649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9">
        <f>'16'!G7</f>
        <v>17314.25</v>
      </c>
      <c r="C20" s="649">
        <f>'16'!G8</f>
        <v>17406.289999999979</v>
      </c>
      <c r="D20" s="649">
        <f>'16'!G15</f>
        <v>1006</v>
      </c>
      <c r="E20" s="649">
        <f>'16'!G20</f>
        <v>135</v>
      </c>
      <c r="F20" s="649">
        <f>SUM('16'!G35,'16'!G49)</f>
        <v>2589.5699999999997</v>
      </c>
      <c r="G20" s="649">
        <f>SUM('16'!G37,'16'!G51)</f>
        <v>1483.2600000000002</v>
      </c>
      <c r="H20" s="649">
        <f>SUM('16'!G38,'16'!G52)</f>
        <v>1625.0499999999993</v>
      </c>
      <c r="I20" s="649">
        <f>SUM('16'!G39,'16'!G53)</f>
        <v>2600.0999999999985</v>
      </c>
      <c r="J20" s="649">
        <f>SUM('16'!G41,'16'!G42,'16'!G55,'16'!G56)</f>
        <v>3032.7699999999968</v>
      </c>
      <c r="K20" s="649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9">
        <f>'17'!G7</f>
        <v>17454</v>
      </c>
      <c r="C21" s="649">
        <f>'17'!G8</f>
        <v>17543</v>
      </c>
      <c r="D21" s="649">
        <f>'17'!G15</f>
        <v>734.2730000000447</v>
      </c>
      <c r="E21" s="649">
        <f>'17'!G20</f>
        <v>133</v>
      </c>
      <c r="F21" s="649">
        <f>SUM('17'!G35,'17'!G49)</f>
        <v>2686.2100000000009</v>
      </c>
      <c r="G21" s="649">
        <f>SUM('17'!G37,'17'!G51)</f>
        <v>1510.42</v>
      </c>
      <c r="H21" s="649">
        <f>SUM('17'!G38,'17'!G52)</f>
        <v>1604.1599999999999</v>
      </c>
      <c r="I21" s="649">
        <f>SUM('17'!G39,'17'!G53)</f>
        <v>2698</v>
      </c>
      <c r="J21" s="649">
        <f>SUM('17'!G41,'17'!G42,'17'!G55,'17'!G56)</f>
        <v>3005.1699999999983</v>
      </c>
      <c r="K21" s="649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9">
        <f>'18 '!G7</f>
        <v>17765</v>
      </c>
      <c r="C22" s="649">
        <f>'18 '!G8</f>
        <v>18064.830000000016</v>
      </c>
      <c r="D22" s="649">
        <f>'18 '!G15</f>
        <v>881.7269999999553</v>
      </c>
      <c r="E22" s="649">
        <f>'18 '!G20</f>
        <v>154</v>
      </c>
      <c r="F22" s="649">
        <f>SUM('18 '!G35,'18 '!G49)</f>
        <v>2634.4799999999996</v>
      </c>
      <c r="G22" s="649">
        <f>SUM('18 '!G37,'18 '!G51)</f>
        <v>1562.5499999999993</v>
      </c>
      <c r="H22" s="649">
        <f>SUM('18 '!G38,'18 '!G52)</f>
        <v>1696.2999999999993</v>
      </c>
      <c r="I22" s="649">
        <f>SUM('18 '!G39,'18 '!G53)</f>
        <v>2546.4900000000016</v>
      </c>
      <c r="J22" s="649">
        <f>SUM('18 '!G41,'18 '!G42,'18 '!G55,'18 '!G56)</f>
        <v>3090.5200000000041</v>
      </c>
      <c r="K22" s="649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9">
        <f>'19'!G7</f>
        <v>23500</v>
      </c>
      <c r="C23" s="649">
        <f>'19'!G8</f>
        <v>23500</v>
      </c>
      <c r="D23" s="649">
        <f>'19'!G15</f>
        <v>1100</v>
      </c>
      <c r="E23" s="649">
        <f>'19'!G20</f>
        <v>275</v>
      </c>
      <c r="F23" s="649">
        <f>SUM('19'!G35,'19'!G49)</f>
        <v>358770.81</v>
      </c>
      <c r="G23" s="649">
        <f>SUM('19'!G37,'19'!G51)</f>
        <v>161367.85999999999</v>
      </c>
      <c r="H23" s="649">
        <f>SUM('19'!G38,'19'!G52)</f>
        <v>193488.47</v>
      </c>
      <c r="I23" s="649">
        <f>SUM('19'!G39,'19'!G53)</f>
        <v>352421.46</v>
      </c>
      <c r="J23" s="649">
        <f>SUM('19'!G41,'19'!G42,'19'!G55,'19'!G56)</f>
        <v>-106596.04000000001</v>
      </c>
      <c r="K23" s="649">
        <f>SUM('19'!G43,'19'!G57)</f>
        <v>-71869.51999999999</v>
      </c>
      <c r="L23" s="251">
        <f>'19'!G50</f>
        <v>-31187.440000000002</v>
      </c>
      <c r="M23" s="251">
        <f>'19'!G36</f>
        <v>-23814.36</v>
      </c>
      <c r="N23" s="251">
        <f>'19'!G138</f>
        <v>-2456</v>
      </c>
      <c r="O23" s="251">
        <f>'19'!$G$139</f>
        <v>-96</v>
      </c>
      <c r="P23" s="251">
        <f>'19'!$G$140</f>
        <v>-19.19999999999709</v>
      </c>
      <c r="Q23" s="251">
        <f>'19'!$G$141</f>
        <v>-5487.8600000000006</v>
      </c>
      <c r="R23" s="254">
        <f>'19'!G142</f>
        <v>-2168.5300000000025</v>
      </c>
      <c r="S23" s="251">
        <f>'19'!$G$145</f>
        <v>-490.21999999999935</v>
      </c>
      <c r="T23" s="251">
        <f>'19'!$G$146</f>
        <v>-13106</v>
      </c>
      <c r="U23" s="251">
        <f>'19'!$G$144</f>
        <v>-6957</v>
      </c>
      <c r="V23" s="251">
        <f>'19'!$G$147</f>
        <v>-11459.120000000112</v>
      </c>
      <c r="W23" s="251">
        <f>'19'!$G$148</f>
        <v>-7494.6899999999441</v>
      </c>
      <c r="X23" s="251">
        <f>'19'!$G$143</f>
        <v>-718.88999999999987</v>
      </c>
      <c r="Y23" s="251">
        <f>'19'!$G$58</f>
        <v>87532.97</v>
      </c>
      <c r="Z23" s="251">
        <f>'19'!$G$151</f>
        <v>-6998</v>
      </c>
      <c r="AA23" s="251">
        <f>'19'!G161</f>
        <v>-312.64000000001397</v>
      </c>
      <c r="AB23" s="251">
        <f>'19'!G162</f>
        <v>-877.80000000000291</v>
      </c>
      <c r="AC23" s="251">
        <f>'19'!G88</f>
        <v>-55.630000000001019</v>
      </c>
      <c r="AD23" s="251">
        <f>'19'!G163+'19'!G164</f>
        <v>-1679.5000000000027</v>
      </c>
      <c r="AE23" s="251">
        <f>'19'!$G$116</f>
        <v>0</v>
      </c>
      <c r="AF23" s="251">
        <f>'19'!$G$117</f>
        <v>-709.93000000000029</v>
      </c>
      <c r="AG23" s="251">
        <f>'19'!$G$118</f>
        <v>-11072.039999999979</v>
      </c>
      <c r="AH23" s="251">
        <f>'19'!$G$119</f>
        <v>-12630.220000000001</v>
      </c>
      <c r="AI23" s="251">
        <f>'19'!$G$120</f>
        <v>-12512.169999999998</v>
      </c>
      <c r="AJ23" s="251">
        <f>'19'!$G$121</f>
        <v>-21943</v>
      </c>
      <c r="AK23" s="251">
        <f>'19'!$G$122</f>
        <v>-6353</v>
      </c>
      <c r="AL23" s="251">
        <f>'19'!$G$123</f>
        <v>-9600.5899999999965</v>
      </c>
      <c r="AM23" s="251">
        <f>'19'!$G$133</f>
        <v>-19059.039999999994</v>
      </c>
      <c r="AN23" s="251">
        <f>'19'!$G$15</f>
        <v>1100</v>
      </c>
      <c r="AO23" s="256">
        <f>'19'!$G$74</f>
        <v>-9110.8399999999674</v>
      </c>
      <c r="AP23" s="256">
        <f>'19'!$G$75</f>
        <v>243.88999999999942</v>
      </c>
      <c r="AQ23" s="256">
        <f>'19'!$G$76</f>
        <v>-2823.7999999999884</v>
      </c>
      <c r="AR23" s="256">
        <f>'19'!$G$77</f>
        <v>-1094.6999999999971</v>
      </c>
      <c r="AS23" s="256">
        <f>'19'!$G$78</f>
        <v>-35.299999999999272</v>
      </c>
      <c r="AT23" s="256">
        <f t="shared" si="0"/>
        <v>13920.749999999953</v>
      </c>
      <c r="AU23" s="251">
        <f>SUM('19'!G91:G92)</f>
        <v>-319.06999999999971</v>
      </c>
      <c r="AV23" s="251">
        <f>'19'!$G$88</f>
        <v>-55.630000000001019</v>
      </c>
      <c r="AW23" s="251">
        <f>'19'!$G$89</f>
        <v>-188.09999999999854</v>
      </c>
      <c r="AX23" s="251">
        <f>'19'!$G$90</f>
        <v>-168.76000000000931</v>
      </c>
      <c r="AY23" s="255">
        <f t="shared" si="1"/>
        <v>-412.49000000000888</v>
      </c>
      <c r="AZ23" s="311">
        <f t="shared" si="6"/>
        <v>28.554361111981621</v>
      </c>
      <c r="BA23" s="311">
        <f t="shared" si="3"/>
        <v>-33.748090862807956</v>
      </c>
      <c r="BB23" s="351">
        <f t="shared" si="4"/>
        <v>-951616.01</v>
      </c>
      <c r="BC23" s="351">
        <f t="shared" si="5"/>
        <v>-4049.4298297872342</v>
      </c>
    </row>
    <row r="24" spans="1:55" x14ac:dyDescent="0.2">
      <c r="A24" s="359">
        <v>20</v>
      </c>
      <c r="B24" s="649">
        <f>'20'!G7</f>
        <v>23500</v>
      </c>
      <c r="C24" s="649">
        <f>'20'!G8</f>
        <v>23500</v>
      </c>
      <c r="D24" s="649">
        <f>'20'!G15</f>
        <v>1100</v>
      </c>
      <c r="E24" s="649">
        <f>'20'!G20</f>
        <v>395</v>
      </c>
      <c r="F24" s="649">
        <f>SUM('20'!G35,'20'!G49)</f>
        <v>3485.5800000000163</v>
      </c>
      <c r="G24" s="649">
        <f>SUM('20'!G37,'20'!G51)</f>
        <v>1629.820000000007</v>
      </c>
      <c r="H24" s="649">
        <f>SUM('20'!G38,'20'!G52)</f>
        <v>1975.1000000000058</v>
      </c>
      <c r="I24" s="649">
        <f>SUM('20'!G39,'20'!G53)</f>
        <v>2849.679999999993</v>
      </c>
      <c r="J24" s="649">
        <f>SUM('20'!G41,'20'!G42,'20'!G55,'20'!G56)</f>
        <v>4532.2599999999984</v>
      </c>
      <c r="K24" s="649">
        <f>SUM('20'!G43,'20'!G57)</f>
        <v>2718.9600000000009</v>
      </c>
      <c r="L24" s="254">
        <f>'20'!G50</f>
        <v>1114.7100000000009</v>
      </c>
      <c r="M24" s="254">
        <f>'20'!G36</f>
        <v>926.36000000000058</v>
      </c>
      <c r="N24" s="254">
        <f>'20'!G138</f>
        <v>111</v>
      </c>
      <c r="O24" s="254">
        <f>'20'!$G$139</f>
        <v>1</v>
      </c>
      <c r="P24" s="254">
        <f>'20'!$G$140</f>
        <v>1.8000000000029104</v>
      </c>
      <c r="Q24" s="254">
        <f>'20'!$G$141</f>
        <v>205.81999999999971</v>
      </c>
      <c r="R24" s="254">
        <f>'20'!$G$142</f>
        <v>69.990000000001601</v>
      </c>
      <c r="S24" s="254">
        <f>'20'!$G$145</f>
        <v>28.069999999999709</v>
      </c>
      <c r="T24" s="251">
        <f>'20'!$G$146</f>
        <v>467</v>
      </c>
      <c r="U24" s="251">
        <f>'20'!$G$144</f>
        <v>238</v>
      </c>
      <c r="V24" s="251">
        <f>'20'!$G$147</f>
        <v>376.08000000007451</v>
      </c>
      <c r="W24" s="251">
        <f>'20'!$G$148</f>
        <v>279.65000000002328</v>
      </c>
      <c r="X24" s="251">
        <f>'20'!$G$143</f>
        <v>29.5</v>
      </c>
      <c r="Y24" s="251">
        <f>'20'!$G$58</f>
        <v>227.41999999999825</v>
      </c>
      <c r="Z24" s="251">
        <f>'20'!$G$151</f>
        <v>233</v>
      </c>
      <c r="AA24" s="251">
        <f>'20'!G161</f>
        <v>2.8800000000046566</v>
      </c>
      <c r="AB24" s="251">
        <f>'20'!G162</f>
        <v>32.30000000000291</v>
      </c>
      <c r="AC24" s="251">
        <f>'20'!G88</f>
        <v>0</v>
      </c>
      <c r="AD24" s="251">
        <f>'20'!G163+'20'!G164</f>
        <v>71.600000000005821</v>
      </c>
      <c r="AE24" s="254">
        <f>'20'!$G$116</f>
        <v>0</v>
      </c>
      <c r="AF24" s="254">
        <f>'20'!$G$117</f>
        <v>27.980000000000018</v>
      </c>
      <c r="AG24" s="254">
        <f>'20'!$G$118</f>
        <v>418.83999999999651</v>
      </c>
      <c r="AH24" s="254">
        <f>'20'!$G$119</f>
        <v>437.40000000002328</v>
      </c>
      <c r="AI24" s="254">
        <f>'20'!$G$120</f>
        <v>425.5099999999984</v>
      </c>
      <c r="AJ24" s="254">
        <f>'20'!$G$121</f>
        <v>777.71000000002095</v>
      </c>
      <c r="AK24" s="254">
        <f>'20'!$G$122</f>
        <v>263.63000000000466</v>
      </c>
      <c r="AL24" s="254">
        <f>'20'!$G$123</f>
        <v>362.27999999999884</v>
      </c>
      <c r="AM24" s="254">
        <f>'20'!$G$133</f>
        <v>846.91000000000349</v>
      </c>
      <c r="AN24" s="254">
        <f>'20'!$G$15</f>
        <v>1100</v>
      </c>
      <c r="AO24" s="256">
        <f>'20'!$G$74</f>
        <v>318.68999999994412</v>
      </c>
      <c r="AP24" s="256">
        <f>'20'!$G$75</f>
        <v>0</v>
      </c>
      <c r="AQ24" s="256">
        <f>'20'!$G$76</f>
        <v>127.04999999998836</v>
      </c>
      <c r="AR24" s="256">
        <f>'20'!$G$77</f>
        <v>46.69999999999709</v>
      </c>
      <c r="AS24" s="256">
        <f>'20'!$G$78</f>
        <v>1.2999999999992724</v>
      </c>
      <c r="AT24" s="256">
        <f t="shared" si="0"/>
        <v>606.26000000007116</v>
      </c>
      <c r="AU24" s="254">
        <f>SUM('20'!G91:G92)</f>
        <v>11.139999999999418</v>
      </c>
      <c r="AV24" s="254">
        <f>'20'!$G$88</f>
        <v>0</v>
      </c>
      <c r="AW24" s="254">
        <f>'20'!$G$89</f>
        <v>11.680000000000291</v>
      </c>
      <c r="AX24" s="254">
        <f>'20'!$G$90</f>
        <v>6.1600000000034925</v>
      </c>
      <c r="AY24" s="252">
        <f t="shared" si="1"/>
        <v>17.840000000003783</v>
      </c>
      <c r="AZ24" s="311">
        <f t="shared" si="6"/>
        <v>28.607719928183194</v>
      </c>
      <c r="BA24" s="311">
        <f t="shared" si="3"/>
        <v>33.983183856499025</v>
      </c>
      <c r="BB24" s="351">
        <f t="shared" si="4"/>
        <v>6081.1799999999785</v>
      </c>
      <c r="BC24" s="351">
        <f t="shared" si="5"/>
        <v>25.877361702127569</v>
      </c>
    </row>
    <row r="25" spans="1:55" x14ac:dyDescent="0.2">
      <c r="A25" s="359">
        <v>21</v>
      </c>
      <c r="B25" s="649">
        <f>'21'!G7</f>
        <v>23500</v>
      </c>
      <c r="C25" s="649">
        <f>'21'!G8</f>
        <v>23500.000000000058</v>
      </c>
      <c r="D25" s="649">
        <f>'21'!G15</f>
        <v>1100</v>
      </c>
      <c r="E25" s="649">
        <f>'21'!G20</f>
        <v>515</v>
      </c>
      <c r="F25" s="649">
        <f>SUM('21'!G35,'21'!G49)</f>
        <v>3149.2099999999627</v>
      </c>
      <c r="G25" s="649">
        <f>SUM('21'!G37,'21'!G51)</f>
        <v>1625.5</v>
      </c>
      <c r="H25" s="649">
        <f>SUM('21'!G38,'21'!G52)</f>
        <v>1893.8399999999965</v>
      </c>
      <c r="I25" s="649">
        <f>SUM('21'!G39,'21'!G53)</f>
        <v>2810.5999999999767</v>
      </c>
      <c r="J25" s="649">
        <f>SUM('21'!G41,'21'!G42,'21'!G55,'21'!G56)</f>
        <v>4666.0799999999981</v>
      </c>
      <c r="K25" s="649">
        <f>SUM('21'!G43,'21'!G57)</f>
        <v>2692.16</v>
      </c>
      <c r="L25" s="254">
        <f>'21'!G50</f>
        <v>1116.6799999999985</v>
      </c>
      <c r="M25" s="254">
        <f>'21'!G36</f>
        <v>1038.0299999999988</v>
      </c>
      <c r="N25" s="254">
        <f>'21'!G138</f>
        <v>91</v>
      </c>
      <c r="O25" s="254">
        <f>'21'!$G$139</f>
        <v>3</v>
      </c>
      <c r="P25" s="254">
        <f>'21'!$G$140</f>
        <v>0.59999999999126885</v>
      </c>
      <c r="Q25" s="254">
        <f>'21'!$G$141</f>
        <v>199.97000000000116</v>
      </c>
      <c r="R25" s="254">
        <f>'21'!$G$142</f>
        <v>73.220000000001164</v>
      </c>
      <c r="S25" s="254">
        <f>'21'!$G$145</f>
        <v>23.890000000000327</v>
      </c>
      <c r="T25" s="251">
        <f>'21'!$G$146</f>
        <v>497</v>
      </c>
      <c r="U25" s="251">
        <f>'21'!$G$144</f>
        <v>242</v>
      </c>
      <c r="V25" s="251">
        <f>'21'!$G$147</f>
        <v>406.95999999996275</v>
      </c>
      <c r="W25" s="251">
        <f>'21'!$G$148</f>
        <v>278.07999999995809</v>
      </c>
      <c r="X25" s="251">
        <f>'21'!$G$143</f>
        <v>25.529999999999745</v>
      </c>
      <c r="Y25" s="251">
        <f>'21'!$G$58</f>
        <v>221.16000000000349</v>
      </c>
      <c r="Z25" s="251">
        <f>'21'!$G$151</f>
        <v>214</v>
      </c>
      <c r="AA25" s="251">
        <f>'21'!G161</f>
        <v>2.9600000000209548</v>
      </c>
      <c r="AB25" s="251">
        <f>'21'!G162</f>
        <v>33.69999999999709</v>
      </c>
      <c r="AC25" s="251">
        <f>'21'!G88</f>
        <v>0</v>
      </c>
      <c r="AD25" s="251">
        <f>'21'!G163+'21'!G164</f>
        <v>85.199999999994361</v>
      </c>
      <c r="AE25" s="254">
        <f>'21'!$G$116</f>
        <v>0</v>
      </c>
      <c r="AF25" s="254">
        <f>'21'!$G$117</f>
        <v>25.7800000000002</v>
      </c>
      <c r="AG25" s="254">
        <f>'21'!$G$118</f>
        <v>412.89999999999418</v>
      </c>
      <c r="AH25" s="254">
        <f>'21'!$G$119</f>
        <v>426.22000000000116</v>
      </c>
      <c r="AI25" s="254">
        <f>'21'!$G$120</f>
        <v>416.88999999999942</v>
      </c>
      <c r="AJ25" s="254">
        <f>'21'!$G$121</f>
        <v>783.79999999998836</v>
      </c>
      <c r="AK25" s="254">
        <f>'21'!$G$122</f>
        <v>257.5</v>
      </c>
      <c r="AL25" s="254">
        <f>'21'!$G$123</f>
        <v>384.54999999998836</v>
      </c>
      <c r="AM25" s="254">
        <f>'21'!$G$133</f>
        <v>706.69000000000233</v>
      </c>
      <c r="AN25" s="254">
        <f>'21'!$G$15</f>
        <v>1100</v>
      </c>
      <c r="AO25" s="256">
        <f>'21'!$G$74</f>
        <v>321.20999999996275</v>
      </c>
      <c r="AP25" s="256">
        <f>'21'!$G$75</f>
        <v>0</v>
      </c>
      <c r="AQ25" s="256">
        <f>'21'!$G$76</f>
        <v>111.48000000001048</v>
      </c>
      <c r="AR25" s="256">
        <f>'21'!$G$77</f>
        <v>55</v>
      </c>
      <c r="AS25" s="256">
        <f>'21'!$G$78</f>
        <v>1</v>
      </c>
      <c r="AT25" s="256">
        <f t="shared" si="0"/>
        <v>611.31000000002678</v>
      </c>
      <c r="AU25" s="254">
        <f>SUM('21'!G91:G92)</f>
        <v>11.170000000000073</v>
      </c>
      <c r="AV25" s="254">
        <f>'21'!$G$88</f>
        <v>0</v>
      </c>
      <c r="AW25" s="254">
        <f>'21'!$G$89</f>
        <v>10.629999999997381</v>
      </c>
      <c r="AX25" s="254">
        <f>'21'!$G$90</f>
        <v>6.3099999999976717</v>
      </c>
      <c r="AY25" s="252">
        <f t="shared" si="1"/>
        <v>16.939999999995052</v>
      </c>
      <c r="AZ25" s="311">
        <f t="shared" si="6"/>
        <v>28.756490599817425</v>
      </c>
      <c r="BA25" s="311">
        <f t="shared" si="3"/>
        <v>36.086776859516256</v>
      </c>
      <c r="BB25" s="351">
        <f t="shared" si="4"/>
        <v>6441.4500000001208</v>
      </c>
      <c r="BC25" s="351">
        <f t="shared" si="5"/>
        <v>27.410425531915408</v>
      </c>
    </row>
    <row r="26" spans="1:55" x14ac:dyDescent="0.2">
      <c r="A26" s="359">
        <v>22</v>
      </c>
      <c r="B26" s="649">
        <f>'22'!G7</f>
        <v>23500</v>
      </c>
      <c r="C26" s="649">
        <f>'22'!G8</f>
        <v>23500</v>
      </c>
      <c r="D26" s="649">
        <f>'22'!G15</f>
        <v>1100</v>
      </c>
      <c r="E26" s="649">
        <f>'22'!G20</f>
        <v>635</v>
      </c>
      <c r="F26" s="649">
        <f>SUM('22'!G35,'22'!G49)</f>
        <v>3084.4900000000198</v>
      </c>
      <c r="G26" s="649">
        <f>SUM('22'!G37,'22'!G51)</f>
        <v>1590.140000000014</v>
      </c>
      <c r="H26" s="649">
        <f>SUM('22'!G38,'22'!G52)</f>
        <v>1914.5800000000163</v>
      </c>
      <c r="I26" s="649">
        <f>SUM('22'!G39,'22'!G53)</f>
        <v>2775.9200000000419</v>
      </c>
      <c r="J26" s="649">
        <f>SUM('22'!G41,'22'!G42,'22'!G55,'22'!G56)</f>
        <v>4737.3100000000049</v>
      </c>
      <c r="K26" s="649">
        <f>SUM('22'!G43,'22'!G57)</f>
        <v>2692.75</v>
      </c>
      <c r="L26" s="254">
        <f>'22'!G50</f>
        <v>1108.0100000000002</v>
      </c>
      <c r="M26" s="254">
        <f>'22'!G36</f>
        <v>919.97000000000116</v>
      </c>
      <c r="N26" s="254">
        <f>'22'!G138</f>
        <v>109</v>
      </c>
      <c r="O26" s="254">
        <f>'22'!$G$139</f>
        <v>4</v>
      </c>
      <c r="P26" s="254">
        <f>'22'!$G$140</f>
        <v>1.1999999999970896</v>
      </c>
      <c r="Q26" s="254">
        <f>'22'!$G$141</f>
        <v>197.43999999999505</v>
      </c>
      <c r="R26" s="254">
        <f>'22'!$G$142</f>
        <v>74.379999999997381</v>
      </c>
      <c r="S26" s="254">
        <f>'22'!$G$145</f>
        <v>25.139999999999418</v>
      </c>
      <c r="T26" s="251">
        <f>'22'!$G$146</f>
        <v>500</v>
      </c>
      <c r="U26" s="251">
        <f>'22'!$G$144</f>
        <v>251</v>
      </c>
      <c r="V26" s="251">
        <f>'22'!$G$147</f>
        <v>402.64000000001397</v>
      </c>
      <c r="W26" s="251">
        <f>'22'!$G$148</f>
        <v>297.76000000000931</v>
      </c>
      <c r="X26" s="251">
        <f>'22'!$G$143</f>
        <v>27.420000000000073</v>
      </c>
      <c r="Y26" s="251">
        <f>'22'!$G$58</f>
        <v>215.00999999999476</v>
      </c>
      <c r="Z26" s="251">
        <f>'22'!$G$151</f>
        <v>225</v>
      </c>
      <c r="AA26" s="251">
        <f>'22'!G161</f>
        <v>2.279999999969732</v>
      </c>
      <c r="AB26" s="251">
        <f>'22'!G162</f>
        <v>41</v>
      </c>
      <c r="AC26" s="251">
        <f>'22'!G88</f>
        <v>0</v>
      </c>
      <c r="AD26" s="251">
        <f>'22'!G163+'22'!G164</f>
        <v>84.69999999999709</v>
      </c>
      <c r="AE26" s="254">
        <f>'22'!$G$116</f>
        <v>0</v>
      </c>
      <c r="AF26" s="254">
        <f>'22'!$G$117</f>
        <v>14.989999999999782</v>
      </c>
      <c r="AG26" s="254">
        <f>'22'!$G$118</f>
        <v>405.70000000001164</v>
      </c>
      <c r="AH26" s="254">
        <f>'22'!$G$119</f>
        <v>427.51999999998952</v>
      </c>
      <c r="AI26" s="254">
        <f>'22'!$G$120</f>
        <v>412.20999999999913</v>
      </c>
      <c r="AJ26" s="254">
        <f>'22'!$G$121</f>
        <v>776.8399999999674</v>
      </c>
      <c r="AK26" s="254">
        <f>'22'!$G$122</f>
        <v>235.58000000000175</v>
      </c>
      <c r="AL26" s="254">
        <f>'22'!$G$123</f>
        <v>354.81000000002678</v>
      </c>
      <c r="AM26" s="254">
        <f>'22'!$G$133</f>
        <v>649.09999999999127</v>
      </c>
      <c r="AN26" s="254">
        <f>'22'!$G$15</f>
        <v>1100</v>
      </c>
      <c r="AO26" s="256">
        <f>'22'!$G$74</f>
        <v>332.31000000005588</v>
      </c>
      <c r="AP26" s="256">
        <f>'22'!$G$75</f>
        <v>0</v>
      </c>
      <c r="AQ26" s="256">
        <f>'22'!$G$76</f>
        <v>92.069999999977881</v>
      </c>
      <c r="AR26" s="256">
        <f>'22'!$G$77</f>
        <v>47.900000000001455</v>
      </c>
      <c r="AS26" s="256">
        <f>'22'!$G$78</f>
        <v>1.7000000000007276</v>
      </c>
      <c r="AT26" s="256">
        <f t="shared" si="0"/>
        <v>626.01999999996406</v>
      </c>
      <c r="AU26" s="254">
        <f>SUM('22'!G91:G92)</f>
        <v>11.440000000000509</v>
      </c>
      <c r="AV26" s="254">
        <f>'22'!$G$88</f>
        <v>0</v>
      </c>
      <c r="AW26" s="254">
        <f>'22'!$G$89</f>
        <v>10.010000000002037</v>
      </c>
      <c r="AX26" s="254">
        <f>'22'!$G$90</f>
        <v>5.6600000000034925</v>
      </c>
      <c r="AY26" s="252">
        <f t="shared" si="1"/>
        <v>15.67000000000553</v>
      </c>
      <c r="AZ26" s="311">
        <f t="shared" si="6"/>
        <v>29.048076923080515</v>
      </c>
      <c r="BA26" s="311">
        <f t="shared" si="3"/>
        <v>39.950223356716215</v>
      </c>
      <c r="BB26" s="351">
        <f t="shared" si="4"/>
        <v>6489.7999999999083</v>
      </c>
      <c r="BC26" s="351">
        <f t="shared" si="5"/>
        <v>27.616170212765567</v>
      </c>
    </row>
    <row r="27" spans="1:55" x14ac:dyDescent="0.2">
      <c r="A27" s="359">
        <v>23</v>
      </c>
      <c r="B27" s="649">
        <f>'23'!G7</f>
        <v>23500</v>
      </c>
      <c r="C27" s="649">
        <f>'23'!G8</f>
        <v>23500</v>
      </c>
      <c r="D27" s="649">
        <f>'23'!G15</f>
        <v>1100</v>
      </c>
      <c r="E27" s="649">
        <f>'23'!G20</f>
        <v>755</v>
      </c>
      <c r="F27" s="649">
        <f>SUM('23'!G35,'23'!G49)</f>
        <v>3026.2200000000012</v>
      </c>
      <c r="G27" s="649">
        <f>SUM('23'!G37,'23'!G51)</f>
        <v>1586.7099999999919</v>
      </c>
      <c r="H27" s="649">
        <f>SUM('23'!G38,'23'!G52)</f>
        <v>1933.5499999999884</v>
      </c>
      <c r="I27" s="649">
        <f>SUM('23'!G39,'23'!G53)</f>
        <v>2743.8499999999767</v>
      </c>
      <c r="J27" s="649">
        <f>SUM('23'!G41,'23'!G42,'23'!G55,'23'!G56)</f>
        <v>4454.0999999999985</v>
      </c>
      <c r="K27" s="649">
        <f>SUM('23'!G43,'23'!G57)</f>
        <v>2677.5</v>
      </c>
      <c r="L27" s="254">
        <f>'23'!G50</f>
        <v>1077.1100000000006</v>
      </c>
      <c r="M27" s="254">
        <f>'23'!G36</f>
        <v>821.63999999999942</v>
      </c>
      <c r="N27" s="254">
        <f>'23'!G138</f>
        <v>125</v>
      </c>
      <c r="O27" s="254">
        <f>'23'!G139</f>
        <v>14</v>
      </c>
      <c r="P27" s="254">
        <f>'23'!$G$140</f>
        <v>0</v>
      </c>
      <c r="Q27" s="254">
        <f>'23'!$G$141</f>
        <v>198.9800000000032</v>
      </c>
      <c r="R27" s="254">
        <f>'23'!$G$142</f>
        <v>71.31000000000131</v>
      </c>
      <c r="S27" s="254">
        <f>'23'!$G$145</f>
        <v>24.930000000000291</v>
      </c>
      <c r="T27" s="251">
        <f>'23'!$G$146</f>
        <v>482</v>
      </c>
      <c r="U27" s="251">
        <f>'23'!$G$144</f>
        <v>234</v>
      </c>
      <c r="V27" s="251">
        <f>'23'!$G$147</f>
        <v>373.88000000000466</v>
      </c>
      <c r="W27" s="251">
        <f>'23'!$G$148</f>
        <v>263.76000000000931</v>
      </c>
      <c r="X27" s="251">
        <f>'23'!$G$143</f>
        <v>21.980000000000018</v>
      </c>
      <c r="Y27" s="251">
        <f>'23'!$G$58</f>
        <v>235.9600000000064</v>
      </c>
      <c r="Z27" s="251">
        <f>'23'!$G$151</f>
        <v>212</v>
      </c>
      <c r="AA27" s="251">
        <f>'23'!$G$161</f>
        <v>-3.9999999979045242E-2</v>
      </c>
      <c r="AB27" s="251">
        <f>'23'!G162</f>
        <v>37.5</v>
      </c>
      <c r="AC27" s="251">
        <f>'23'!G88</f>
        <v>0</v>
      </c>
      <c r="AD27" s="251">
        <f>'23'!G163+'23'!G164</f>
        <v>63.500000000005457</v>
      </c>
      <c r="AE27" s="254">
        <f>'23'!$G$116</f>
        <v>0</v>
      </c>
      <c r="AF27" s="254">
        <f>'23'!$G$117</f>
        <v>15.070000000000164</v>
      </c>
      <c r="AG27" s="254">
        <f>'23'!$G$118</f>
        <v>376.10999999998603</v>
      </c>
      <c r="AH27" s="254">
        <f>'23'!$G$119</f>
        <v>438.02999999999884</v>
      </c>
      <c r="AI27" s="254">
        <f>'23'!$G$120</f>
        <v>435.4900000000016</v>
      </c>
      <c r="AJ27" s="254">
        <f>'23'!$G$121</f>
        <v>758.65000000002328</v>
      </c>
      <c r="AK27" s="254">
        <f>'23'!$G$122</f>
        <v>191.2899999999936</v>
      </c>
      <c r="AL27" s="254">
        <f>'23'!$G$123</f>
        <v>351.35999999998603</v>
      </c>
      <c r="AM27" s="254">
        <f>'23'!$G$133</f>
        <v>663.94000000000233</v>
      </c>
      <c r="AN27" s="254">
        <f>'23'!$G$15</f>
        <v>1100</v>
      </c>
      <c r="AO27" s="256">
        <f>'23'!$G$74</f>
        <v>301.47999999998137</v>
      </c>
      <c r="AP27" s="256">
        <f>'23'!$G$75</f>
        <v>0</v>
      </c>
      <c r="AQ27" s="256">
        <f>'23'!$G$76</f>
        <v>120.20000000001164</v>
      </c>
      <c r="AR27" s="256">
        <f>'23'!$G$77</f>
        <v>41.099999999998545</v>
      </c>
      <c r="AS27" s="256">
        <f>'23'!$G$78</f>
        <v>1.2999999999992724</v>
      </c>
      <c r="AT27" s="256">
        <f t="shared" si="0"/>
        <v>635.92000000000917</v>
      </c>
      <c r="AU27" s="254">
        <f>SUM('23'!G91:G92)</f>
        <v>10.729999999999563</v>
      </c>
      <c r="AV27" s="254">
        <f>'23'!$G$88</f>
        <v>0</v>
      </c>
      <c r="AW27" s="254">
        <f>'23'!$G$89</f>
        <v>10.419999999998254</v>
      </c>
      <c r="AX27" s="254">
        <f>'23'!$G$90</f>
        <v>5.5399999999935972</v>
      </c>
      <c r="AY27" s="252">
        <f t="shared" si="1"/>
        <v>15.959999999991851</v>
      </c>
      <c r="AZ27" s="311">
        <f t="shared" si="6"/>
        <v>28.09692451071702</v>
      </c>
      <c r="BA27" s="311">
        <f t="shared" si="3"/>
        <v>39.844611528842975</v>
      </c>
      <c r="BB27" s="351">
        <f t="shared" si="4"/>
        <v>6842.110000000037</v>
      </c>
      <c r="BC27" s="351">
        <f t="shared" si="5"/>
        <v>29.115361702127817</v>
      </c>
    </row>
    <row r="28" spans="1:55" s="315" customFormat="1" x14ac:dyDescent="0.2">
      <c r="A28" s="359">
        <v>24</v>
      </c>
      <c r="B28" s="649">
        <f>'24'!G7</f>
        <v>23500</v>
      </c>
      <c r="C28" s="649">
        <f>'24'!G8</f>
        <v>23500</v>
      </c>
      <c r="D28" s="649">
        <f>'24'!G15</f>
        <v>1100</v>
      </c>
      <c r="E28" s="649">
        <f>'24'!G20</f>
        <v>875</v>
      </c>
      <c r="F28" s="649">
        <f>SUM('24'!G35,'24'!G49)</f>
        <v>3095</v>
      </c>
      <c r="G28" s="649">
        <f>SUM('24'!G37,'24'!G51)</f>
        <v>1616</v>
      </c>
      <c r="H28" s="649">
        <f>SUM('24'!G38,'24'!G52)</f>
        <v>1954</v>
      </c>
      <c r="I28" s="649">
        <f>SUM('24'!G39,'24'!G53)</f>
        <v>2746</v>
      </c>
      <c r="J28" s="649">
        <f>SUM('24'!G41,'24'!G42,'24'!G55,'24'!G56)</f>
        <v>4621</v>
      </c>
      <c r="K28" s="649">
        <f>SUM('24'!G43,'24'!G57)</f>
        <v>2687</v>
      </c>
      <c r="L28" s="254">
        <f>'24'!G50</f>
        <v>1032</v>
      </c>
      <c r="M28" s="251">
        <f>'24'!G36</f>
        <v>955</v>
      </c>
      <c r="N28" s="251">
        <f>'24'!G138</f>
        <v>118</v>
      </c>
      <c r="O28" s="251">
        <f>'24'!G139</f>
        <v>7</v>
      </c>
      <c r="P28" s="251">
        <f>'24'!$G$140</f>
        <v>-0.39999999999417923</v>
      </c>
      <c r="Q28" s="251">
        <f>'24'!$G$141</f>
        <v>208</v>
      </c>
      <c r="R28" s="251">
        <f>'24'!$G$142</f>
        <v>78</v>
      </c>
      <c r="S28" s="251">
        <f>'24'!$G$145</f>
        <v>20</v>
      </c>
      <c r="T28" s="251">
        <f>'24'!$G$146</f>
        <v>448</v>
      </c>
      <c r="U28" s="251">
        <f>'24'!$G$144</f>
        <v>245</v>
      </c>
      <c r="V28" s="251">
        <f>'24'!$G$147</f>
        <v>380</v>
      </c>
      <c r="W28" s="251">
        <f>'24'!$G$148</f>
        <v>285</v>
      </c>
      <c r="X28" s="251">
        <f>'24'!$G$143</f>
        <v>23</v>
      </c>
      <c r="Y28" s="251">
        <f>'24'!$G$58</f>
        <v>218</v>
      </c>
      <c r="Z28" s="251">
        <f>'24'!$G$151</f>
        <v>247</v>
      </c>
      <c r="AA28" s="251">
        <f>'24'!G161</f>
        <v>0</v>
      </c>
      <c r="AB28" s="251">
        <f>'24'!G162</f>
        <v>31</v>
      </c>
      <c r="AC28" s="251">
        <f>'24'!G88</f>
        <v>2.4400000000023283</v>
      </c>
      <c r="AD28" s="251">
        <f>'24'!G163+'24'!G164</f>
        <v>67</v>
      </c>
      <c r="AE28" s="251">
        <f>'24'!$G$116</f>
        <v>0</v>
      </c>
      <c r="AF28" s="251">
        <f>'24'!$G$117</f>
        <v>15</v>
      </c>
      <c r="AG28" s="251">
        <f>'24'!$G$118</f>
        <v>388</v>
      </c>
      <c r="AH28" s="251">
        <f>'24'!$G$119</f>
        <v>417</v>
      </c>
      <c r="AI28" s="251">
        <f>'24'!$G$120</f>
        <v>438</v>
      </c>
      <c r="AJ28" s="251">
        <f>'24'!$G$121</f>
        <v>794</v>
      </c>
      <c r="AK28" s="251">
        <f>'24'!$G$122</f>
        <v>191</v>
      </c>
      <c r="AL28" s="251">
        <f>'24'!$G$123</f>
        <v>348</v>
      </c>
      <c r="AM28" s="251">
        <f>'24'!$G$133</f>
        <v>679</v>
      </c>
      <c r="AN28" s="251">
        <f>'24'!$G$15</f>
        <v>1100</v>
      </c>
      <c r="AO28" s="256">
        <f>'24'!$G$74</f>
        <v>299</v>
      </c>
      <c r="AP28" s="256">
        <f>'24'!$G$75</f>
        <v>0</v>
      </c>
      <c r="AQ28" s="256">
        <f>'24'!$G$76</f>
        <v>121</v>
      </c>
      <c r="AR28" s="256">
        <f>'24'!$G$77</f>
        <v>43</v>
      </c>
      <c r="AS28" s="256">
        <f>'24'!$G$78</f>
        <v>2</v>
      </c>
      <c r="AT28" s="256">
        <f>AN28-SUM(AO28:AS28)</f>
        <v>635</v>
      </c>
      <c r="AU28" s="251">
        <f>SUM('24'!G91:G92)</f>
        <v>10.260000000000218</v>
      </c>
      <c r="AV28" s="251">
        <f>'24'!$G$88</f>
        <v>2.4400000000023283</v>
      </c>
      <c r="AW28" s="251">
        <f>'24'!$G$89</f>
        <v>7.3100000000013097</v>
      </c>
      <c r="AX28" s="251">
        <f>'24'!$G$90</f>
        <v>5.180000000007567</v>
      </c>
      <c r="AY28" s="255">
        <f t="shared" si="1"/>
        <v>14.930000000011205</v>
      </c>
      <c r="AZ28" s="311">
        <f t="shared" si="6"/>
        <v>29.142300194931153</v>
      </c>
      <c r="BA28" s="311">
        <f t="shared" si="3"/>
        <v>42.531815137275515</v>
      </c>
      <c r="BB28" s="351">
        <f t="shared" si="4"/>
        <v>6563</v>
      </c>
      <c r="BC28" s="351">
        <f t="shared" si="5"/>
        <v>27.927659574468084</v>
      </c>
    </row>
    <row r="29" spans="1:55" x14ac:dyDescent="0.2">
      <c r="A29" s="359">
        <v>25</v>
      </c>
      <c r="B29" s="649">
        <f>'25'!G7</f>
        <v>23500</v>
      </c>
      <c r="C29" s="649">
        <f>'25'!G8</f>
        <v>23500</v>
      </c>
      <c r="D29" s="649">
        <f>'25'!G15</f>
        <v>1100</v>
      </c>
      <c r="E29" s="649">
        <f>'25'!G20</f>
        <v>995</v>
      </c>
      <c r="F29" s="649">
        <f>SUM('25'!G35,'25'!G49)</f>
        <v>3243</v>
      </c>
      <c r="G29" s="649">
        <f>SUM('25'!G37,'25'!G51)</f>
        <v>1632</v>
      </c>
      <c r="H29" s="649">
        <f>SUM('25'!G38,'25'!G52)</f>
        <v>2035</v>
      </c>
      <c r="I29" s="649">
        <f>SUM('25'!G39,'25'!G53)</f>
        <v>2850</v>
      </c>
      <c r="J29" s="649">
        <f>SUM('25'!G41,'25'!G42,'25'!G55,'25'!G56)</f>
        <v>4992</v>
      </c>
      <c r="K29" s="649">
        <f>SUM('25'!G43,'25'!G57)</f>
        <v>2685</v>
      </c>
      <c r="L29" s="254">
        <f>'25'!G50</f>
        <v>1393</v>
      </c>
      <c r="M29" s="254">
        <f>'25'!G36</f>
        <v>1168</v>
      </c>
      <c r="N29" s="254">
        <f>'25'!G138</f>
        <v>137</v>
      </c>
      <c r="O29" s="254">
        <f>'25'!$G$139</f>
        <v>39</v>
      </c>
      <c r="P29" s="254">
        <f>'25'!$G$140</f>
        <v>0</v>
      </c>
      <c r="Q29" s="254">
        <f>'25'!$G$141</f>
        <v>222</v>
      </c>
      <c r="R29" s="254">
        <f>'25'!$G$142</f>
        <v>82</v>
      </c>
      <c r="S29" s="254">
        <f>'25'!$G$145</f>
        <v>15</v>
      </c>
      <c r="T29" s="251">
        <f>'25'!$G$146</f>
        <v>629</v>
      </c>
      <c r="U29" s="251">
        <f>'25'!$G$144</f>
        <v>242</v>
      </c>
      <c r="V29" s="251">
        <f>'25'!$G$147</f>
        <v>474</v>
      </c>
      <c r="W29" s="251">
        <f>'25'!$G$148</f>
        <v>398</v>
      </c>
      <c r="X29" s="251">
        <f>'25'!$G$143</f>
        <v>24</v>
      </c>
      <c r="Y29" s="251">
        <f>'25'!$G$58</f>
        <v>212</v>
      </c>
      <c r="Z29" s="251">
        <f>'25'!$G$151</f>
        <v>245</v>
      </c>
      <c r="AA29" s="251">
        <f>'25'!G161</f>
        <v>0</v>
      </c>
      <c r="AB29" s="251">
        <f>'25'!G162</f>
        <v>19</v>
      </c>
      <c r="AC29" s="251">
        <f>'25'!G88</f>
        <v>9.0299999999988358</v>
      </c>
      <c r="AD29" s="251">
        <f>'25'!G163+'25'!G164</f>
        <v>39</v>
      </c>
      <c r="AE29" s="254">
        <f>'25'!$G$116</f>
        <v>0</v>
      </c>
      <c r="AF29" s="254">
        <f>'25'!$G$117</f>
        <v>32</v>
      </c>
      <c r="AG29" s="254">
        <f>'25'!$G$118</f>
        <v>343</v>
      </c>
      <c r="AH29" s="254">
        <f>'25'!$G$119</f>
        <v>425</v>
      </c>
      <c r="AI29" s="254">
        <f>'25'!$G$120</f>
        <v>416</v>
      </c>
      <c r="AJ29" s="254">
        <f>'25'!$G$121</f>
        <v>829</v>
      </c>
      <c r="AK29" s="254">
        <f>'25'!$G$122</f>
        <v>202</v>
      </c>
      <c r="AL29" s="254">
        <f>'25'!$G$123</f>
        <v>360</v>
      </c>
      <c r="AM29" s="254">
        <f>'25'!$G$133</f>
        <v>702</v>
      </c>
      <c r="AN29" s="254">
        <f>'25'!$G$15</f>
        <v>1100</v>
      </c>
      <c r="AO29" s="256">
        <f>'25'!$G$74</f>
        <v>329</v>
      </c>
      <c r="AP29" s="256">
        <f>'25'!$G$75</f>
        <v>0</v>
      </c>
      <c r="AQ29" s="256">
        <f>'25'!$G$76</f>
        <v>123</v>
      </c>
      <c r="AR29" s="256">
        <f>'25'!$G$77</f>
        <v>83</v>
      </c>
      <c r="AS29" s="256">
        <f>'25'!$G$78</f>
        <v>4</v>
      </c>
      <c r="AT29" s="256">
        <f t="shared" si="0"/>
        <v>561</v>
      </c>
      <c r="AU29" s="254">
        <f>SUM('25'!G91:G92)</f>
        <v>11.679999999999836</v>
      </c>
      <c r="AV29" s="254">
        <f>'25'!$G$88</f>
        <v>9.0299999999988358</v>
      </c>
      <c r="AW29" s="254">
        <f>'25'!$G$89</f>
        <v>0</v>
      </c>
      <c r="AX29" s="254">
        <f>'25'!$G$90</f>
        <v>7.8499999999912689</v>
      </c>
      <c r="AY29" s="252">
        <f t="shared" si="1"/>
        <v>16.879999999990105</v>
      </c>
      <c r="BA29" s="311">
        <f t="shared" si="3"/>
        <v>33.234597156417585</v>
      </c>
      <c r="BB29" s="351">
        <f t="shared" si="4"/>
        <v>5851</v>
      </c>
      <c r="BC29" s="351">
        <f t="shared" si="5"/>
        <v>24.897872340425533</v>
      </c>
    </row>
    <row r="30" spans="1:55" x14ac:dyDescent="0.2">
      <c r="A30" s="359">
        <v>26</v>
      </c>
      <c r="B30" s="649">
        <f>'26'!G7</f>
        <v>23500</v>
      </c>
      <c r="C30" s="649">
        <f>'26'!G8</f>
        <v>23500</v>
      </c>
      <c r="D30" s="649">
        <f>'26'!G15</f>
        <v>1100</v>
      </c>
      <c r="E30" s="649">
        <f>'26'!G20</f>
        <v>1115</v>
      </c>
      <c r="F30" s="649">
        <f>SUM('26'!G35,'26'!G49)</f>
        <v>3343</v>
      </c>
      <c r="G30" s="649">
        <f>SUM('26'!G37,'26'!G51)</f>
        <v>1597</v>
      </c>
      <c r="H30" s="649">
        <f>SUM('26'!G38,'26'!G52)</f>
        <v>1966</v>
      </c>
      <c r="I30" s="649">
        <f>SUM('26'!G39,'26'!G53)</f>
        <v>2728</v>
      </c>
      <c r="J30" s="649">
        <f>SUM('26'!G41,'26'!G42,'26'!G55,'26'!G56)</f>
        <v>5089</v>
      </c>
      <c r="K30" s="649">
        <f>SUM('26'!G43,'26'!G57)</f>
        <v>2682</v>
      </c>
      <c r="L30" s="254">
        <f>'26'!G50</f>
        <v>1428</v>
      </c>
      <c r="M30" s="254">
        <f>'26'!G36</f>
        <v>1268</v>
      </c>
      <c r="N30" s="254">
        <f>'26'!G138</f>
        <v>118</v>
      </c>
      <c r="O30" s="254">
        <f>'26'!$G$139</f>
        <v>2</v>
      </c>
      <c r="P30" s="254">
        <f>'26'!$G$140</f>
        <v>0</v>
      </c>
      <c r="Q30" s="254">
        <f>'26'!$G$141</f>
        <v>201</v>
      </c>
      <c r="R30" s="254">
        <f>'26'!$G$142</f>
        <v>73</v>
      </c>
      <c r="S30" s="254">
        <f>'26'!$G$145</f>
        <v>17</v>
      </c>
      <c r="T30" s="251">
        <f>'26'!$G$146</f>
        <v>465</v>
      </c>
      <c r="U30" s="251">
        <f>'26'!$G$144</f>
        <v>248</v>
      </c>
      <c r="V30" s="251">
        <f>'26'!$G$147</f>
        <v>874</v>
      </c>
      <c r="W30" s="251">
        <f>'26'!$G$148</f>
        <v>347</v>
      </c>
      <c r="X30" s="251">
        <f>'26'!$G$143</f>
        <v>22</v>
      </c>
      <c r="Y30" s="251">
        <f>'26'!$G$58</f>
        <v>250</v>
      </c>
      <c r="Z30" s="251">
        <f>'26'!$G$151</f>
        <v>225</v>
      </c>
      <c r="AA30" s="251">
        <f>'26'!G161</f>
        <v>0</v>
      </c>
      <c r="AB30" s="251">
        <f>'26'!G162</f>
        <v>14</v>
      </c>
      <c r="AC30" s="251">
        <f>'26'!G88</f>
        <v>11</v>
      </c>
      <c r="AD30" s="251">
        <f>'26'!G163+'26'!G164</f>
        <v>36</v>
      </c>
      <c r="AE30" s="254">
        <f>'26'!$G$116</f>
        <v>0</v>
      </c>
      <c r="AF30" s="254">
        <f>'26'!$G$117</f>
        <v>41</v>
      </c>
      <c r="AG30" s="254">
        <f>'26'!$G$118</f>
        <v>340</v>
      </c>
      <c r="AH30" s="254">
        <f>'26'!$G$119</f>
        <v>434</v>
      </c>
      <c r="AI30" s="254">
        <f>'26'!$G$120</f>
        <v>409</v>
      </c>
      <c r="AJ30" s="254">
        <f>'26'!$G$121</f>
        <v>773</v>
      </c>
      <c r="AK30" s="254">
        <f>'26'!$G$122</f>
        <v>231</v>
      </c>
      <c r="AL30" s="254">
        <f>'26'!$G$123</f>
        <v>355</v>
      </c>
      <c r="AM30" s="254">
        <f>'26'!$G$133</f>
        <v>673</v>
      </c>
      <c r="AN30" s="254">
        <f>'26'!$G$15</f>
        <v>1100</v>
      </c>
      <c r="AO30" s="256">
        <f>'26'!$G$74</f>
        <v>336</v>
      </c>
      <c r="AP30" s="256">
        <f>'26'!$G$75</f>
        <v>0</v>
      </c>
      <c r="AQ30" s="256">
        <f>'26'!$G$76</f>
        <v>130</v>
      </c>
      <c r="AR30" s="256">
        <f>'26'!$G$77</f>
        <v>46</v>
      </c>
      <c r="AS30" s="256">
        <f>'26'!$G$78</f>
        <v>2</v>
      </c>
      <c r="AT30" s="256">
        <f t="shared" si="0"/>
        <v>586</v>
      </c>
      <c r="AU30" s="254">
        <f>SUM('26'!G91:G92)</f>
        <v>11</v>
      </c>
      <c r="AV30" s="254">
        <f>'26'!$G$88</f>
        <v>11</v>
      </c>
      <c r="AW30" s="254">
        <f>'26'!$G$89</f>
        <v>0</v>
      </c>
      <c r="AX30" s="254">
        <f>'26'!$G$90</f>
        <v>5.8899999999994179</v>
      </c>
      <c r="AY30" s="252">
        <f t="shared" si="1"/>
        <v>16.889999999999418</v>
      </c>
      <c r="BA30" s="311">
        <f t="shared" si="3"/>
        <v>34.695085849616355</v>
      </c>
      <c r="BB30" s="351">
        <f t="shared" si="4"/>
        <v>5845</v>
      </c>
      <c r="BC30" s="351">
        <f t="shared" si="5"/>
        <v>24.872340425531913</v>
      </c>
    </row>
    <row r="31" spans="1:55" x14ac:dyDescent="0.2">
      <c r="A31" s="359">
        <v>27</v>
      </c>
      <c r="B31" s="649">
        <f>'27'!G7</f>
        <v>23500</v>
      </c>
      <c r="C31" s="649">
        <f>'27'!G8</f>
        <v>23500</v>
      </c>
      <c r="D31" s="649">
        <f>'27'!G15</f>
        <v>1100</v>
      </c>
      <c r="E31" s="649">
        <f>'27'!G20</f>
        <v>1235</v>
      </c>
      <c r="F31" s="649">
        <f>SUM('27'!G35,'27'!G49)</f>
        <v>3365</v>
      </c>
      <c r="G31" s="649">
        <f>SUM('27'!G37,'27'!G51)</f>
        <v>1580</v>
      </c>
      <c r="H31" s="649">
        <f>SUM('27'!G38,'27'!G52)</f>
        <v>1959</v>
      </c>
      <c r="I31" s="649">
        <f>SUM('27'!G39,'27'!G53)</f>
        <v>2857</v>
      </c>
      <c r="J31" s="649">
        <f>SUM('27'!G41,'27'!G42,'27'!G55,'27'!G56)</f>
        <v>4970</v>
      </c>
      <c r="K31" s="649">
        <f>SUM('27'!G43,'27'!G57)</f>
        <v>2703</v>
      </c>
      <c r="L31" s="254">
        <f>'27'!G50</f>
        <v>1298</v>
      </c>
      <c r="M31" s="254">
        <f>'27'!G36</f>
        <v>880</v>
      </c>
      <c r="N31" s="254">
        <f>'27'!G138</f>
        <v>100</v>
      </c>
      <c r="O31" s="254">
        <f>'27'!$G$139</f>
        <v>17</v>
      </c>
      <c r="P31" s="254">
        <f>'27'!$G$140</f>
        <v>0</v>
      </c>
      <c r="Q31" s="254">
        <f>'27'!$G$141</f>
        <v>203</v>
      </c>
      <c r="R31" s="254">
        <f>'27'!$G$142</f>
        <v>71</v>
      </c>
      <c r="S31" s="254">
        <f>'27'!$G$145</f>
        <v>15</v>
      </c>
      <c r="T31" s="251">
        <f>'27'!$G$146</f>
        <v>488</v>
      </c>
      <c r="U31" s="251">
        <f>'27'!$G$144</f>
        <v>236</v>
      </c>
      <c r="V31" s="251">
        <f>'27'!$G$147</f>
        <v>6</v>
      </c>
      <c r="W31" s="251">
        <f>'27'!$G$148</f>
        <v>278</v>
      </c>
      <c r="X31" s="251">
        <f>'27'!$G$143</f>
        <v>22</v>
      </c>
      <c r="Y31" s="251">
        <f>'27'!$G$58</f>
        <v>223</v>
      </c>
      <c r="Z31" s="251">
        <f>'27'!$G$151</f>
        <v>211</v>
      </c>
      <c r="AA31" s="251">
        <f>'27'!G161</f>
        <v>2</v>
      </c>
      <c r="AB31" s="251">
        <f>'27'!G162</f>
        <v>30</v>
      </c>
      <c r="AC31" s="251">
        <f>'27'!G88</f>
        <v>11</v>
      </c>
      <c r="AD31" s="251">
        <f>'27'!G163+'27'!G164</f>
        <v>98</v>
      </c>
      <c r="AE31" s="254">
        <f>'27'!$G$116</f>
        <v>0</v>
      </c>
      <c r="AF31" s="254">
        <f>'27'!$G$117</f>
        <v>20</v>
      </c>
      <c r="AG31" s="254">
        <f>'27'!$G$118</f>
        <v>416</v>
      </c>
      <c r="AH31" s="254">
        <f>'27'!$G$119</f>
        <v>423</v>
      </c>
      <c r="AI31" s="254">
        <f>'27'!$G$120</f>
        <v>406</v>
      </c>
      <c r="AJ31" s="254">
        <f>'27'!$G$121</f>
        <v>791</v>
      </c>
      <c r="AK31" s="254">
        <f>'27'!$G$122</f>
        <v>220</v>
      </c>
      <c r="AL31" s="254">
        <f>'27'!$G$123</f>
        <v>348</v>
      </c>
      <c r="AM31" s="254">
        <f>'27'!$G$133</f>
        <v>657</v>
      </c>
      <c r="AN31" s="254">
        <f>'27'!$G$15</f>
        <v>1100</v>
      </c>
      <c r="AO31" s="254">
        <f>'27'!$G$74</f>
        <v>311</v>
      </c>
      <c r="AP31" s="254">
        <f>'27'!$G$75</f>
        <v>0</v>
      </c>
      <c r="AQ31" s="254">
        <f>'27'!$G$76</f>
        <v>109</v>
      </c>
      <c r="AR31" s="254">
        <f>'27'!$G$77</f>
        <v>48</v>
      </c>
      <c r="AS31" s="254">
        <f>'27'!$G$78</f>
        <v>1</v>
      </c>
      <c r="AT31" s="254">
        <f t="shared" si="0"/>
        <v>631</v>
      </c>
      <c r="AU31" s="254">
        <f>SUM('27'!G91:G92)</f>
        <v>11</v>
      </c>
      <c r="AV31" s="254">
        <f>'27'!$G$88</f>
        <v>11</v>
      </c>
      <c r="AW31" s="254">
        <f>'27'!$G$89</f>
        <v>0</v>
      </c>
      <c r="AX31" s="254">
        <f>'27'!$G$90</f>
        <v>5.4600000000064028</v>
      </c>
      <c r="AY31" s="252">
        <f t="shared" si="1"/>
        <v>16.460000000006403</v>
      </c>
      <c r="BA31" s="311">
        <f t="shared" si="3"/>
        <v>38.335358444699544</v>
      </c>
      <c r="BB31" s="351">
        <f t="shared" si="4"/>
        <v>5843</v>
      </c>
      <c r="BC31" s="351">
        <f t="shared" si="5"/>
        <v>24.863829787234042</v>
      </c>
    </row>
    <row r="32" spans="1:55" x14ac:dyDescent="0.2">
      <c r="A32" s="359">
        <v>28</v>
      </c>
      <c r="B32" s="649">
        <f>'28'!G7</f>
        <v>30714</v>
      </c>
      <c r="C32" s="649">
        <f>'28'!G8</f>
        <v>23500</v>
      </c>
      <c r="D32" s="649">
        <f>'28'!G15</f>
        <v>1100</v>
      </c>
      <c r="E32" s="649">
        <f>'28'!G20</f>
        <v>1355</v>
      </c>
      <c r="F32" s="649">
        <f>SUM('28'!G35,'28'!G49)</f>
        <v>3320.6799999999639</v>
      </c>
      <c r="G32" s="649">
        <f>SUM('28'!G37,'28'!G51)</f>
        <v>1536.2300000000105</v>
      </c>
      <c r="H32" s="649">
        <f>SUM('28'!G38,'28'!G52)</f>
        <v>1967.4899999999907</v>
      </c>
      <c r="I32" s="649">
        <f>SUM('28'!G39,'28'!G53)</f>
        <v>2740.429999999993</v>
      </c>
      <c r="J32" s="649">
        <f>SUM('28'!G41,'28'!G42,'28'!G55,'28'!G56)</f>
        <v>4561.429999999993</v>
      </c>
      <c r="K32" s="649">
        <f>SUM('28'!G43,'28'!G57)</f>
        <v>2482.0699999999997</v>
      </c>
      <c r="L32" s="254">
        <f>'28'!G50</f>
        <v>1148.2000000000007</v>
      </c>
      <c r="M32" s="254">
        <f>'28'!G36</f>
        <v>766.93999999999869</v>
      </c>
      <c r="N32" s="254">
        <f>'28'!G138</f>
        <v>127</v>
      </c>
      <c r="O32" s="254">
        <f>'28'!$G$139</f>
        <v>2</v>
      </c>
      <c r="P32" s="254">
        <f>'28'!$G$140</f>
        <v>0</v>
      </c>
      <c r="Q32" s="254">
        <f>'28'!$G$141</f>
        <v>183.37999999999738</v>
      </c>
      <c r="R32" s="254">
        <f>'28'!$G$142</f>
        <v>81.340000000000146</v>
      </c>
      <c r="S32" s="254">
        <f>'28'!$G$145</f>
        <v>12.779999999999745</v>
      </c>
      <c r="T32" s="251">
        <f>'28'!$G$146</f>
        <v>480</v>
      </c>
      <c r="U32" s="251">
        <f>'28'!$G$144</f>
        <v>244</v>
      </c>
      <c r="V32" s="251">
        <f>'28'!$G$147</f>
        <v>430.76000000000931</v>
      </c>
      <c r="W32" s="251">
        <f>'28'!$G$148</f>
        <v>256.07999999995809</v>
      </c>
      <c r="X32" s="251">
        <f>'28'!$G$143</f>
        <v>24.889999999999873</v>
      </c>
      <c r="Y32" s="251">
        <f>'28'!$G$58</f>
        <v>218.32000000000698</v>
      </c>
      <c r="Z32" s="251">
        <f>'28'!$G$151</f>
        <v>256</v>
      </c>
      <c r="AA32" s="251">
        <f>'28'!G161</f>
        <v>1</v>
      </c>
      <c r="AB32" s="251">
        <f>'28'!G162</f>
        <v>27.19999999999709</v>
      </c>
      <c r="AC32" s="251">
        <f>'28'!G88</f>
        <v>1.8699999999989814</v>
      </c>
      <c r="AD32" s="251">
        <f>'28'!G163+'28'!G164</f>
        <v>99.899999999994179</v>
      </c>
      <c r="AE32" s="254">
        <f>'28'!$G$116</f>
        <v>0</v>
      </c>
      <c r="AF32" s="254">
        <f>'28'!$G$117</f>
        <v>21.059999999999945</v>
      </c>
      <c r="AG32" s="254">
        <f>'28'!$G$118</f>
        <v>426.67000000001281</v>
      </c>
      <c r="AH32" s="254">
        <f>'28'!$G$119</f>
        <v>424.25</v>
      </c>
      <c r="AI32" s="254">
        <f>'28'!$G$120</f>
        <v>414.63999999999942</v>
      </c>
      <c r="AJ32" s="254">
        <f>'28'!$G$121</f>
        <v>799.14100000000326</v>
      </c>
      <c r="AK32" s="254">
        <f>'28'!$G$122</f>
        <v>228.52000000000407</v>
      </c>
      <c r="AL32" s="254">
        <f>'28'!$G$123</f>
        <v>347.63000000000466</v>
      </c>
      <c r="AM32" s="254">
        <f>'28'!$G$133</f>
        <v>658.92999999999302</v>
      </c>
      <c r="AN32" s="254">
        <f>'28'!$G$15</f>
        <v>1100</v>
      </c>
      <c r="AO32" s="254">
        <f>'28'!$G$74</f>
        <v>325.92099999997299</v>
      </c>
      <c r="AP32" s="254">
        <f>'28'!$G$75</f>
        <v>0</v>
      </c>
      <c r="AQ32" s="254">
        <f>'28'!$G$76</f>
        <v>85.940000000002328</v>
      </c>
      <c r="AR32" s="254">
        <f>'28'!$G$77</f>
        <v>30</v>
      </c>
      <c r="AS32" s="254">
        <f>'28'!$G$78</f>
        <v>0.8999999999996362</v>
      </c>
      <c r="AT32" s="254">
        <f t="shared" si="0"/>
        <v>657.23900000002504</v>
      </c>
      <c r="AU32" s="254">
        <f>SUM('28'!G91:G92)</f>
        <v>11.680000000000291</v>
      </c>
      <c r="AV32" s="254">
        <f>'28'!$G$88</f>
        <v>1.8699999999989814</v>
      </c>
      <c r="AW32" s="254">
        <f>'28'!$G$89</f>
        <v>7.9399999999986903</v>
      </c>
      <c r="AX32" s="254">
        <f>'28'!$G$90</f>
        <v>5.9299999999930151</v>
      </c>
      <c r="AY32" s="252">
        <f t="shared" si="1"/>
        <v>15.739999999990687</v>
      </c>
      <c r="BA32" s="311">
        <f t="shared" si="3"/>
        <v>41.755972045769624</v>
      </c>
      <c r="BB32" s="351">
        <f t="shared" si="4"/>
        <v>6673.3500000000422</v>
      </c>
      <c r="BC32" s="351">
        <f t="shared" si="5"/>
        <v>21.727388161750479</v>
      </c>
    </row>
    <row r="33" spans="1:55" x14ac:dyDescent="0.2">
      <c r="A33" s="359">
        <v>29</v>
      </c>
      <c r="B33" s="649">
        <f>'29'!G7</f>
        <v>23500</v>
      </c>
      <c r="C33" s="649">
        <f>'29'!G8</f>
        <v>23500</v>
      </c>
      <c r="D33" s="649">
        <f>'29'!G15</f>
        <v>1100</v>
      </c>
      <c r="E33" s="649">
        <f>'29'!G20</f>
        <v>1475</v>
      </c>
      <c r="F33" s="649">
        <f>SUM('29'!G35,'29'!G49)</f>
        <v>3305.5600000000268</v>
      </c>
      <c r="G33" s="649">
        <f>SUM('29'!G37,'29'!G51)</f>
        <v>1544.4799999999814</v>
      </c>
      <c r="H33" s="649">
        <f>SUM('29'!G38,'29'!G52)</f>
        <v>1870.5800000000163</v>
      </c>
      <c r="I33" s="649">
        <f>SUM('29'!G39,'29'!G53)</f>
        <v>2727.320000000007</v>
      </c>
      <c r="J33" s="649">
        <f>SUM('29'!G41,'29'!G42,'29'!G55,'29'!G56)</f>
        <v>4224.9400000000023</v>
      </c>
      <c r="K33" s="649">
        <f>SUM('29'!G43,'29'!G57)</f>
        <v>2459.9199999999983</v>
      </c>
      <c r="L33" s="254">
        <f>'29'!G50</f>
        <v>950.39999999999782</v>
      </c>
      <c r="M33" s="254">
        <f>'29'!G36</f>
        <v>817.22999999999956</v>
      </c>
      <c r="N33" s="254">
        <f>'29'!G138</f>
        <v>104</v>
      </c>
      <c r="O33" s="254">
        <f>'29'!$G$139</f>
        <v>1</v>
      </c>
      <c r="P33" s="254">
        <f>'29'!$G$140</f>
        <v>0</v>
      </c>
      <c r="Q33" s="254">
        <f>'29'!$G$141</f>
        <v>180.20000000000437</v>
      </c>
      <c r="R33" s="254">
        <f>'29'!$G$142</f>
        <v>72.400000000001455</v>
      </c>
      <c r="S33" s="254">
        <f>'29'!$G$145</f>
        <v>11.220000000000255</v>
      </c>
      <c r="T33" s="254">
        <f>'29'!$G$146</f>
        <v>443</v>
      </c>
      <c r="U33" s="254">
        <f>'29'!$G$144</f>
        <v>247</v>
      </c>
      <c r="V33" s="254">
        <f>'29'!$G$147</f>
        <v>371.52000000001863</v>
      </c>
      <c r="W33" s="254">
        <f>'29'!$G$148</f>
        <v>246.88000000000466</v>
      </c>
      <c r="X33" s="254">
        <f>'29'!$G$143</f>
        <v>24.010000000000218</v>
      </c>
      <c r="Y33" s="254">
        <f>'29'!$G$58</f>
        <v>181.27999999999884</v>
      </c>
      <c r="Z33" s="254">
        <f>'29'!$G$151</f>
        <v>223</v>
      </c>
      <c r="AA33" s="254">
        <f>'29'!G161</f>
        <v>3.9999999979045242E-2</v>
      </c>
      <c r="AB33" s="254">
        <f>'29'!G162</f>
        <v>30.400000000008731</v>
      </c>
      <c r="AC33" s="254">
        <f>'29'!G88</f>
        <v>0.19000000000232831</v>
      </c>
      <c r="AD33" s="254">
        <f>'29'!G163+'29'!G164</f>
        <v>114.10000000000855</v>
      </c>
      <c r="AE33" s="254">
        <f>'29'!$G$116</f>
        <v>0</v>
      </c>
      <c r="AF33" s="254">
        <f>'29'!$G$117</f>
        <v>20.950000000000273</v>
      </c>
      <c r="AG33" s="254">
        <f>'29'!$G$118</f>
        <v>440.03999999997905</v>
      </c>
      <c r="AH33" s="254">
        <f>'29'!$G$119</f>
        <v>389.04000000000815</v>
      </c>
      <c r="AI33" s="254">
        <f>'29'!$G$120</f>
        <v>401.86999999999898</v>
      </c>
      <c r="AJ33" s="254">
        <f>'29'!$G$121</f>
        <v>739.46899999998277</v>
      </c>
      <c r="AK33" s="254">
        <f>'29'!$G$122</f>
        <v>218.55000000000291</v>
      </c>
      <c r="AL33" s="254">
        <f>'29'!$G$123</f>
        <v>349</v>
      </c>
      <c r="AM33" s="254">
        <f>'29'!$G$133</f>
        <v>707.36000000000058</v>
      </c>
      <c r="AN33" s="254">
        <f>'29'!$G$15</f>
        <v>1100</v>
      </c>
      <c r="AO33" s="254">
        <f>'29'!$G$74</f>
        <v>326.39899999997579</v>
      </c>
      <c r="AP33" s="254">
        <f>'29'!$G$75</f>
        <v>0</v>
      </c>
      <c r="AQ33" s="254">
        <f>'29'!$G$76</f>
        <v>93.589999999996508</v>
      </c>
      <c r="AR33" s="254">
        <f>'29'!$G$77</f>
        <v>36</v>
      </c>
      <c r="AS33" s="254">
        <f>'29'!$G$78</f>
        <v>1.3000000000010914</v>
      </c>
      <c r="AT33" s="254">
        <f t="shared" si="0"/>
        <v>642.71100000002662</v>
      </c>
      <c r="AU33" s="254">
        <f>SUM('29'!G91:G92)</f>
        <v>11.449999999999818</v>
      </c>
      <c r="AV33" s="254">
        <f>'29'!$G$88</f>
        <v>0.19000000000232831</v>
      </c>
      <c r="AW33" s="254">
        <f>'29'!$G$89</f>
        <v>9.319999999999709</v>
      </c>
      <c r="AX33" s="254">
        <f>'29'!$G$90</f>
        <v>5.1000000000058208</v>
      </c>
      <c r="AY33" s="252">
        <f t="shared" si="1"/>
        <v>14.610000000007858</v>
      </c>
      <c r="BA33" s="311">
        <f t="shared" si="3"/>
        <v>43.991170431189659</v>
      </c>
      <c r="BB33" s="351">
        <f t="shared" si="4"/>
        <v>7185.9199999999691</v>
      </c>
      <c r="BC33" s="351">
        <f t="shared" si="5"/>
        <v>30.578382978723273</v>
      </c>
    </row>
    <row r="34" spans="1:55" s="313" customFormat="1" x14ac:dyDescent="0.2">
      <c r="A34" s="359">
        <v>30</v>
      </c>
      <c r="B34" s="649">
        <f>'30'!G7</f>
        <v>23500</v>
      </c>
      <c r="C34" s="649">
        <f>'30'!G8</f>
        <v>23500</v>
      </c>
      <c r="D34" s="649">
        <f>'30'!G15</f>
        <v>1100</v>
      </c>
      <c r="E34" s="649">
        <f>'30'!G20</f>
        <v>1595</v>
      </c>
      <c r="F34" s="649">
        <f>SUM('30'!G35,'30'!G49)</f>
        <v>3495.7600000000093</v>
      </c>
      <c r="G34" s="649">
        <f>SUM('30'!G37,'30'!G51)</f>
        <v>1598.2900000000081</v>
      </c>
      <c r="H34" s="649">
        <f>SUM('30'!G38,'30'!G52)</f>
        <v>1908.929999999993</v>
      </c>
      <c r="I34" s="649">
        <f>SUM('30'!G39,'30'!G53)</f>
        <v>2712.25</v>
      </c>
      <c r="J34" s="649">
        <f>SUM('30'!G41,'30'!G42,'30'!G55,'30'!G56)</f>
        <v>4162.6300000000047</v>
      </c>
      <c r="K34" s="649">
        <f>SUM('30'!G43,'30'!G57)</f>
        <v>2662.010000000002</v>
      </c>
      <c r="L34" s="251">
        <f>'30'!G50</f>
        <v>1046.4000000000015</v>
      </c>
      <c r="M34" s="251">
        <f>'30'!G36</f>
        <v>847.83000000000175</v>
      </c>
      <c r="N34" s="251">
        <f>'30'!G138</f>
        <v>96</v>
      </c>
      <c r="O34" s="251">
        <f>'30'!$G$139</f>
        <v>1</v>
      </c>
      <c r="P34" s="251">
        <f>'30'!$G$140</f>
        <v>0</v>
      </c>
      <c r="Q34" s="251">
        <f>'30'!$G$141</f>
        <v>179.41999999999825</v>
      </c>
      <c r="R34" s="251">
        <f>'30'!$G$142</f>
        <v>75.259999999998399</v>
      </c>
      <c r="S34" s="251">
        <f>'30'!$G$145</f>
        <v>14</v>
      </c>
      <c r="T34" s="251">
        <f>'30'!$G$146</f>
        <v>481</v>
      </c>
      <c r="U34" s="251">
        <f>'30'!$G$144</f>
        <v>228</v>
      </c>
      <c r="V34" s="251">
        <f>'30'!$G$147</f>
        <v>404.71999999997206</v>
      </c>
      <c r="W34" s="251">
        <f>'30'!$G$148</f>
        <v>282.04000000003725</v>
      </c>
      <c r="X34" s="251">
        <f>'30'!$G$143</f>
        <v>23.099999999999909</v>
      </c>
      <c r="Y34" s="251">
        <f>'30'!$G$58</f>
        <v>187.39999999999418</v>
      </c>
      <c r="Z34" s="251">
        <f>'30'!$G$151</f>
        <v>241</v>
      </c>
      <c r="AA34" s="251">
        <f>'30'!G161</f>
        <v>0.96000000002095476</v>
      </c>
      <c r="AB34" s="251">
        <f>'30'!G162</f>
        <v>33.399999999994179</v>
      </c>
      <c r="AC34" s="251">
        <f>'30'!G88</f>
        <v>-6.0000000001309672E-2</v>
      </c>
      <c r="AD34" s="251">
        <f>'30'!G163+'30'!G164</f>
        <v>37.999999999997272</v>
      </c>
      <c r="AE34" s="251">
        <f>'30'!$G$116</f>
        <v>0</v>
      </c>
      <c r="AF34" s="251">
        <f>'30'!$G$117</f>
        <v>21.989999999999782</v>
      </c>
      <c r="AG34" s="251">
        <f>'30'!$G$118</f>
        <v>363.29000000000815</v>
      </c>
      <c r="AH34" s="251">
        <f>'30'!$G$119</f>
        <v>408.70999999999185</v>
      </c>
      <c r="AI34" s="251">
        <f>'30'!$G$120</f>
        <v>421.4900000000016</v>
      </c>
      <c r="AJ34" s="251">
        <f>'30'!$G$121</f>
        <v>771.39000000001397</v>
      </c>
      <c r="AK34" s="251">
        <f>'30'!$G$122</f>
        <v>215.92999999999302</v>
      </c>
      <c r="AL34" s="251">
        <f>'30'!$G$123</f>
        <v>324.36999999999534</v>
      </c>
      <c r="AM34" s="251">
        <f>'30'!$G$133</f>
        <v>587.7100000000064</v>
      </c>
      <c r="AN34" s="251">
        <f>'30'!$G$15</f>
        <v>1100</v>
      </c>
      <c r="AO34" s="251">
        <f>'30'!$G$74</f>
        <v>306.68000000005122</v>
      </c>
      <c r="AP34" s="251">
        <f>'30'!$G$75</f>
        <v>0</v>
      </c>
      <c r="AQ34" s="251">
        <f>'30'!$G$76</f>
        <v>92.470000000001164</v>
      </c>
      <c r="AR34" s="251">
        <f>'30'!$G$77</f>
        <v>41</v>
      </c>
      <c r="AS34" s="251">
        <f>'30'!$G$78</f>
        <v>0.7999999999992724</v>
      </c>
      <c r="AT34" s="251">
        <f t="shared" si="0"/>
        <v>659.04999999994834</v>
      </c>
      <c r="AU34" s="251">
        <f>SUM('30'!G91:G92)</f>
        <v>10.869999999999891</v>
      </c>
      <c r="AV34" s="251">
        <f>'30'!$G$88</f>
        <v>-6.0000000001309672E-2</v>
      </c>
      <c r="AW34" s="251">
        <f>'30'!$G$89</f>
        <v>9.7400000000016007</v>
      </c>
      <c r="AX34" s="251">
        <f>'30'!$G$90</f>
        <v>4.9700000000011642</v>
      </c>
      <c r="AY34" s="255">
        <f t="shared" si="1"/>
        <v>14.650000000001455</v>
      </c>
      <c r="BA34" s="311">
        <f t="shared" si="3"/>
        <v>44.9863481228589</v>
      </c>
      <c r="BB34" s="351">
        <f t="shared" si="4"/>
        <v>6772.7299999999886</v>
      </c>
      <c r="BC34" s="351">
        <f t="shared" si="5"/>
        <v>28.820127659574421</v>
      </c>
    </row>
    <row r="35" spans="1:55" x14ac:dyDescent="0.2">
      <c r="A35" s="359">
        <v>31</v>
      </c>
      <c r="B35" s="649">
        <f>'31'!G7</f>
        <v>23500</v>
      </c>
      <c r="C35" s="649">
        <f>'31'!G8</f>
        <v>23500</v>
      </c>
      <c r="D35" s="649">
        <f>'31'!G15</f>
        <v>1100</v>
      </c>
      <c r="E35" s="649">
        <f>'31'!G20</f>
        <v>1715</v>
      </c>
      <c r="F35" s="649">
        <f>SUM('31'!G35,'31'!G49)</f>
        <v>3325</v>
      </c>
      <c r="G35" s="649">
        <f>SUM('31'!G37,'31'!G51)</f>
        <v>1605</v>
      </c>
      <c r="H35" s="649">
        <f>SUM('31'!G38,'31'!G52)</f>
        <v>1751</v>
      </c>
      <c r="I35" s="649">
        <f>SUM('31'!G39,'31'!G53)</f>
        <v>2762</v>
      </c>
      <c r="J35" s="649">
        <f>SUM('31'!G41,'31'!G42,'31'!G55,'31'!G56)</f>
        <v>3511</v>
      </c>
      <c r="K35" s="649">
        <f>SUM('31'!G43,'31'!G57)</f>
        <v>2607</v>
      </c>
      <c r="L35" s="251">
        <f>'31'!G50</f>
        <v>1079</v>
      </c>
      <c r="M35" s="251">
        <f>'31'!G36</f>
        <v>857</v>
      </c>
      <c r="N35" s="251">
        <f>'31'!G138</f>
        <v>102</v>
      </c>
      <c r="O35" s="251">
        <f>'31'!$G$139</f>
        <v>0</v>
      </c>
      <c r="P35" s="251">
        <f>'31'!$G$140</f>
        <v>0</v>
      </c>
      <c r="Q35" s="251">
        <f>'31'!$G$141</f>
        <v>208</v>
      </c>
      <c r="R35" s="251">
        <f>'31'!$G$142</f>
        <v>78</v>
      </c>
      <c r="S35" s="251">
        <f>'31'!$G$145</f>
        <v>14</v>
      </c>
      <c r="T35" s="251">
        <f>'31'!$G$146</f>
        <v>462</v>
      </c>
      <c r="U35" s="251">
        <f>'31'!$G$144</f>
        <v>229</v>
      </c>
      <c r="V35" s="251">
        <f>'31'!$G$147</f>
        <v>427</v>
      </c>
      <c r="W35" s="251">
        <f>'31'!$G$148</f>
        <v>300.11999999999534</v>
      </c>
      <c r="X35" s="251">
        <f>'31'!$G$143</f>
        <v>21</v>
      </c>
      <c r="Y35" s="251">
        <f>'31'!$G$58</f>
        <v>214</v>
      </c>
      <c r="Z35" s="251">
        <f>'31'!$G$151</f>
        <v>273</v>
      </c>
      <c r="AA35" s="251">
        <f>'31'!G161</f>
        <v>10.159999999974389</v>
      </c>
      <c r="AB35" s="251">
        <f>'31'!G162</f>
        <v>25</v>
      </c>
      <c r="AC35" s="251">
        <f>'31'!G89</f>
        <v>2</v>
      </c>
      <c r="AD35" s="251">
        <f>'31'!G163+'31'!G164</f>
        <v>34</v>
      </c>
      <c r="AE35" s="251">
        <f>'31'!$G$116</f>
        <v>0</v>
      </c>
      <c r="AF35" s="251">
        <f>'31'!$G$117</f>
        <v>21</v>
      </c>
      <c r="AG35" s="251">
        <f>'31'!$G$118</f>
        <v>353</v>
      </c>
      <c r="AH35" s="251">
        <f>'31'!$G$119</f>
        <v>424</v>
      </c>
      <c r="AI35" s="251">
        <f>'31'!$G$120</f>
        <v>413</v>
      </c>
      <c r="AJ35" s="251">
        <f>'31'!$G$121</f>
        <v>799</v>
      </c>
      <c r="AK35" s="251">
        <f>'31'!$G$122</f>
        <v>246</v>
      </c>
      <c r="AL35" s="251">
        <f>'31'!$G$123</f>
        <v>338</v>
      </c>
      <c r="AM35" s="251">
        <f>'31'!$G$133</f>
        <v>647</v>
      </c>
      <c r="AN35" s="251">
        <f>'31'!$G$15</f>
        <v>1100</v>
      </c>
      <c r="AO35" s="251">
        <f>'31'!$G$74</f>
        <v>269</v>
      </c>
      <c r="AP35" s="251">
        <f>'31'!$G$75</f>
        <v>0</v>
      </c>
      <c r="AQ35" s="251">
        <f>'31'!$G$76</f>
        <v>114</v>
      </c>
      <c r="AR35" s="251">
        <f>'31'!$G$77</f>
        <v>49</v>
      </c>
      <c r="AS35" s="251">
        <f>'31'!$G$78</f>
        <v>4</v>
      </c>
      <c r="AT35" s="251">
        <f t="shared" ref="AT35" si="7">AN35-SUM(AO35:AS35)</f>
        <v>664</v>
      </c>
      <c r="AU35" s="251">
        <f>SUM('31'!G92:G142)</f>
        <v>31012.744553191493</v>
      </c>
      <c r="AV35" s="251">
        <f>'31'!$G$88</f>
        <v>6</v>
      </c>
      <c r="AW35" s="251">
        <f>'31'!$G$89</f>
        <v>2</v>
      </c>
      <c r="AX35" s="251">
        <f>'30'!$G$90</f>
        <v>4.9700000000011642</v>
      </c>
      <c r="AY35" s="255">
        <f t="shared" ref="AY35" si="8">SUM(AV35:AX35)</f>
        <v>12.970000000001164</v>
      </c>
      <c r="BA35" s="311">
        <f t="shared" si="3"/>
        <v>51.19506553584737</v>
      </c>
      <c r="BB35" s="351">
        <f t="shared" si="4"/>
        <v>7725</v>
      </c>
      <c r="BC35" s="351">
        <f t="shared" si="5"/>
        <v>32.872340425531917</v>
      </c>
    </row>
    <row r="36" spans="1:55" s="316" customFormat="1" x14ac:dyDescent="0.2">
      <c r="A36" s="304" t="s">
        <v>359</v>
      </c>
      <c r="B36" s="305">
        <f>AVERAGE(B5:B35)</f>
        <v>20720.193548387098</v>
      </c>
      <c r="C36" s="305">
        <f t="shared" ref="C36:BC36" si="9">AVERAGE(C5:C35)</f>
        <v>20658.478387096777</v>
      </c>
      <c r="D36" s="305">
        <f t="shared" si="9"/>
        <v>970.70967741935488</v>
      </c>
      <c r="E36" s="305">
        <f t="shared" si="9"/>
        <v>509.96774193548384</v>
      </c>
      <c r="F36" s="305">
        <f t="shared" si="9"/>
        <v>14625.903225806451</v>
      </c>
      <c r="G36" s="305">
        <f t="shared" si="9"/>
        <v>6696.9354838709678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72.709677419354833</v>
      </c>
      <c r="K36" s="305">
        <f t="shared" si="9"/>
        <v>1.1735415506747461E-13</v>
      </c>
      <c r="L36" s="305">
        <f t="shared" si="9"/>
        <v>-5.8677077533737304E-14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2987.9235483870971</v>
      </c>
      <c r="Z36" s="305">
        <f t="shared" si="9"/>
        <v>0</v>
      </c>
      <c r="AA36" s="305">
        <f t="shared" si="9"/>
        <v>0.32258064516129031</v>
      </c>
      <c r="AB36" s="305">
        <f t="shared" si="9"/>
        <v>0</v>
      </c>
      <c r="AC36" s="305">
        <f t="shared" si="9"/>
        <v>-0.7142857142857143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970.70967741935488</v>
      </c>
      <c r="AO36" s="305">
        <f t="shared" si="9"/>
        <v>0</v>
      </c>
      <c r="AP36" s="305">
        <f t="shared" si="9"/>
        <v>7.8674193548386908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962.84225806451605</v>
      </c>
      <c r="AU36" s="305">
        <f t="shared" si="9"/>
        <v>1000.1104694577901</v>
      </c>
      <c r="AV36" s="305">
        <f t="shared" si="9"/>
        <v>0</v>
      </c>
      <c r="AW36" s="305">
        <f t="shared" si="9"/>
        <v>0</v>
      </c>
      <c r="AX36" s="305">
        <f t="shared" si="9"/>
        <v>-6.5483870967704388E-2</v>
      </c>
      <c r="AY36" s="305">
        <f t="shared" si="9"/>
        <v>-6.5483870967704388E-2</v>
      </c>
      <c r="AZ36" s="305">
        <f t="shared" si="9"/>
        <v>28.59350291544088</v>
      </c>
      <c r="BA36" s="305">
        <f t="shared" si="9"/>
        <v>36.709562131087971</v>
      </c>
      <c r="BB36" s="305">
        <f t="shared" si="9"/>
        <v>-25610.251612903226</v>
      </c>
      <c r="BC36" s="305">
        <f t="shared" si="9"/>
        <v>-106.17052694467783</v>
      </c>
    </row>
    <row r="37" spans="1:55" x14ac:dyDescent="0.2">
      <c r="A37" s="261" t="s">
        <v>196</v>
      </c>
      <c r="B37" s="305">
        <f>SUM(B5:B35)</f>
        <v>642326</v>
      </c>
      <c r="C37" s="305">
        <f t="shared" ref="C37:BC37" si="10">SUM(C5:C35)</f>
        <v>640412.83000000007</v>
      </c>
      <c r="D37" s="305">
        <f t="shared" si="10"/>
        <v>30092</v>
      </c>
      <c r="E37" s="305">
        <f t="shared" si="10"/>
        <v>15809</v>
      </c>
      <c r="F37" s="305">
        <f>SUM(F5:F35)</f>
        <v>453403</v>
      </c>
      <c r="G37" s="305">
        <f t="shared" si="10"/>
        <v>207605</v>
      </c>
      <c r="H37" s="305">
        <f t="shared" si="10"/>
        <v>245682</v>
      </c>
      <c r="I37" s="305">
        <f t="shared" si="10"/>
        <v>432761</v>
      </c>
      <c r="J37" s="305">
        <f t="shared" si="10"/>
        <v>2254</v>
      </c>
      <c r="K37" s="305">
        <f t="shared" si="10"/>
        <v>3.637978807091713E-12</v>
      </c>
      <c r="L37" s="305">
        <f t="shared" si="10"/>
        <v>-1.8189894035458565E-12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</v>
      </c>
      <c r="Z37" s="305">
        <f t="shared" si="10"/>
        <v>0</v>
      </c>
      <c r="AA37" s="305">
        <f t="shared" si="10"/>
        <v>10</v>
      </c>
      <c r="AB37" s="305">
        <f t="shared" si="10"/>
        <v>0</v>
      </c>
      <c r="AC37" s="305">
        <f t="shared" si="10"/>
        <v>-15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30092</v>
      </c>
      <c r="AO37" s="305">
        <f t="shared" si="10"/>
        <v>0</v>
      </c>
      <c r="AP37" s="305">
        <f t="shared" si="10"/>
        <v>243.88999999999942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29848.109999999997</v>
      </c>
      <c r="AU37" s="305">
        <f t="shared" si="10"/>
        <v>31003.424553191493</v>
      </c>
      <c r="AV37" s="305">
        <f t="shared" si="10"/>
        <v>0</v>
      </c>
      <c r="AW37" s="305">
        <f t="shared" si="10"/>
        <v>0</v>
      </c>
      <c r="AX37" s="305">
        <f t="shared" si="10"/>
        <v>-2.0299999999988358</v>
      </c>
      <c r="AY37" s="305">
        <f t="shared" si="10"/>
        <v>-2.0299999999988358</v>
      </c>
      <c r="AZ37" s="305">
        <f t="shared" si="10"/>
        <v>686.24406997058111</v>
      </c>
      <c r="BA37" s="305">
        <f t="shared" si="10"/>
        <v>1137.9964260637271</v>
      </c>
      <c r="BB37" s="305">
        <f t="shared" si="10"/>
        <v>-793917.8</v>
      </c>
      <c r="BC37" s="305">
        <f t="shared" si="10"/>
        <v>-3291.2863352850127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50">
        <f t="shared" ref="F39:K39" si="11">F19-F18</f>
        <v>-11.569999999999709</v>
      </c>
      <c r="G39" s="650">
        <f t="shared" si="11"/>
        <v>-11.260000000000218</v>
      </c>
      <c r="H39" s="650">
        <f t="shared" si="11"/>
        <v>-445.04999999999927</v>
      </c>
      <c r="I39" s="650">
        <f t="shared" si="11"/>
        <v>-9.9999999998544808E-2</v>
      </c>
      <c r="J39" s="650">
        <f t="shared" si="11"/>
        <v>-123.6299999999901</v>
      </c>
      <c r="K39" s="650">
        <f t="shared" si="11"/>
        <v>1.7100000000064028</v>
      </c>
      <c r="L39" s="650"/>
      <c r="M39" s="650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48" zoomScale="60" zoomScaleNormal="61" zoomScalePageLayoutView="70" workbookViewId="0">
      <selection activeCell="F156" sqref="F156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7" customWidth="1"/>
    <col min="6" max="6" width="19.44140625" style="497" customWidth="1"/>
    <col min="7" max="7" width="28.88671875" style="692" customWidth="1"/>
    <col min="8" max="8" width="24.6640625" style="170" customWidth="1"/>
    <col min="9" max="9" width="23.5546875" style="497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88" t="s">
        <v>115</v>
      </c>
      <c r="B1" s="789"/>
      <c r="C1" s="789"/>
      <c r="D1" s="789"/>
      <c r="E1" s="789"/>
      <c r="F1" s="789"/>
      <c r="G1" s="789"/>
      <c r="H1" s="789"/>
      <c r="I1" s="789"/>
      <c r="J1" s="790"/>
    </row>
    <row r="2" spans="1:15" ht="22.5" x14ac:dyDescent="0.4">
      <c r="A2" s="510" t="s">
        <v>350</v>
      </c>
      <c r="B2" s="533">
        <v>44562</v>
      </c>
      <c r="C2" s="378" t="s">
        <v>67</v>
      </c>
      <c r="D2" s="379">
        <v>0.96</v>
      </c>
      <c r="E2" s="378"/>
      <c r="F2" s="378"/>
      <c r="G2" s="682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11"/>
      <c r="B3" s="380"/>
      <c r="C3" s="378" t="s">
        <v>118</v>
      </c>
      <c r="D3" s="381">
        <v>22</v>
      </c>
      <c r="E3" s="800" t="s">
        <v>119</v>
      </c>
      <c r="F3" s="801"/>
      <c r="G3" s="682"/>
      <c r="H3" s="382"/>
      <c r="I3" s="382"/>
      <c r="J3" s="383"/>
      <c r="K3" s="534"/>
      <c r="L3" s="429"/>
    </row>
    <row r="4" spans="1:15" ht="22.5" x14ac:dyDescent="0.4">
      <c r="A4" s="512"/>
      <c r="B4" s="384"/>
      <c r="C4" s="378" t="s">
        <v>120</v>
      </c>
      <c r="D4" s="379">
        <v>0.76</v>
      </c>
      <c r="E4" s="385"/>
      <c r="F4" s="385"/>
      <c r="G4" s="682"/>
      <c r="H4" s="385"/>
      <c r="I4" s="386"/>
      <c r="J4" s="383"/>
      <c r="K4" s="535"/>
      <c r="L4" s="429"/>
    </row>
    <row r="5" spans="1:15" ht="22.5" x14ac:dyDescent="0.4">
      <c r="A5" s="513" t="s">
        <v>121</v>
      </c>
      <c r="B5" s="387"/>
      <c r="C5" s="387"/>
      <c r="D5" s="387" t="s">
        <v>122</v>
      </c>
      <c r="E5" s="405" t="s">
        <v>369</v>
      </c>
      <c r="F5" s="405" t="s">
        <v>110</v>
      </c>
      <c r="G5" s="559" t="s">
        <v>124</v>
      </c>
      <c r="H5" s="395" t="s">
        <v>125</v>
      </c>
      <c r="I5" s="396" t="s">
        <v>126</v>
      </c>
      <c r="J5" s="389" t="s">
        <v>127</v>
      </c>
      <c r="K5" s="536"/>
      <c r="L5" s="429"/>
    </row>
    <row r="6" spans="1:15" ht="22.5" x14ac:dyDescent="0.4">
      <c r="A6" s="791" t="s">
        <v>128</v>
      </c>
      <c r="B6" s="792"/>
      <c r="C6" s="793"/>
      <c r="D6" s="390"/>
      <c r="E6" s="391"/>
      <c r="F6" s="391"/>
      <c r="G6" s="571"/>
      <c r="H6" s="391"/>
      <c r="I6" s="391"/>
      <c r="J6" s="392"/>
      <c r="K6" s="537"/>
      <c r="L6" s="429"/>
    </row>
    <row r="7" spans="1:15" ht="23.25" thickBot="1" x14ac:dyDescent="0.45">
      <c r="A7" s="514" t="s">
        <v>129</v>
      </c>
      <c r="B7" s="393"/>
      <c r="C7" s="393"/>
      <c r="D7" s="151" t="s">
        <v>130</v>
      </c>
      <c r="E7" s="396">
        <v>94561</v>
      </c>
      <c r="F7" s="396">
        <v>114567.53</v>
      </c>
      <c r="G7" s="683">
        <f>F7-E7</f>
        <v>20006.53</v>
      </c>
      <c r="H7" s="396">
        <f>G7</f>
        <v>20006.53</v>
      </c>
      <c r="I7" s="403">
        <v>12000</v>
      </c>
      <c r="J7" s="397">
        <f>H7/DAY(B2)</f>
        <v>20006.53</v>
      </c>
      <c r="K7" s="538">
        <v>1375467</v>
      </c>
      <c r="L7" s="429"/>
      <c r="N7" s="539"/>
      <c r="O7" s="171"/>
    </row>
    <row r="8" spans="1:15" ht="23.25" thickBot="1" x14ac:dyDescent="0.45">
      <c r="A8" s="515" t="s">
        <v>131</v>
      </c>
      <c r="B8" s="398"/>
      <c r="C8" s="399"/>
      <c r="D8" s="224" t="s">
        <v>24</v>
      </c>
      <c r="E8" s="396">
        <v>140885</v>
      </c>
      <c r="F8" s="396">
        <v>161334</v>
      </c>
      <c r="G8" s="683">
        <f>F8-E8</f>
        <v>20449</v>
      </c>
      <c r="H8" s="396">
        <f>G8</f>
        <v>20449</v>
      </c>
      <c r="I8" s="400">
        <v>12000</v>
      </c>
      <c r="J8" s="397">
        <f>H8/DAY(B2)</f>
        <v>20449</v>
      </c>
      <c r="K8" s="538">
        <v>1715917</v>
      </c>
      <c r="L8" s="395">
        <v>1728480</v>
      </c>
      <c r="M8" s="539">
        <f>L8-K8</f>
        <v>12563</v>
      </c>
      <c r="N8" s="539"/>
      <c r="O8" s="171"/>
    </row>
    <row r="9" spans="1:15" ht="22.5" x14ac:dyDescent="0.4">
      <c r="A9" s="516" t="s">
        <v>132</v>
      </c>
      <c r="B9" s="401"/>
      <c r="C9" s="401"/>
      <c r="D9" s="394" t="s">
        <v>130</v>
      </c>
      <c r="E9" s="668">
        <v>2258776</v>
      </c>
      <c r="F9" s="669">
        <v>2271542.1</v>
      </c>
      <c r="G9" s="684">
        <f>F9-E9</f>
        <v>12766.100000000093</v>
      </c>
      <c r="H9" s="396">
        <f t="shared" ref="H9:H13" si="0">G9</f>
        <v>12766.100000000093</v>
      </c>
      <c r="I9" s="403">
        <f>I8-J8</f>
        <v>-8449</v>
      </c>
      <c r="J9" s="397">
        <f>H9/DAY(B2)</f>
        <v>12766.100000000093</v>
      </c>
      <c r="K9" s="540">
        <f>K8-100</f>
        <v>1715817</v>
      </c>
      <c r="L9" s="429"/>
      <c r="N9" s="539"/>
      <c r="O9" s="171"/>
    </row>
    <row r="10" spans="1:15" ht="22.5" x14ac:dyDescent="0.4">
      <c r="A10" s="514" t="s">
        <v>133</v>
      </c>
      <c r="B10" s="393"/>
      <c r="C10" s="393"/>
      <c r="D10" s="394" t="s">
        <v>130</v>
      </c>
      <c r="E10" s="669">
        <v>540826</v>
      </c>
      <c r="F10" s="669">
        <v>547525.15</v>
      </c>
      <c r="G10" s="684">
        <f t="shared" ref="G10:G11" si="1">F10-E10</f>
        <v>6699.1500000000233</v>
      </c>
      <c r="H10" s="396">
        <f t="shared" si="0"/>
        <v>6699.1500000000233</v>
      </c>
      <c r="I10" s="396"/>
      <c r="J10" s="397">
        <f>H10/DAY(B2)</f>
        <v>6699.1500000000233</v>
      </c>
      <c r="K10" s="540"/>
      <c r="L10" s="429"/>
      <c r="N10" s="539"/>
      <c r="O10" s="171"/>
    </row>
    <row r="11" spans="1:15" ht="22.5" x14ac:dyDescent="0.4">
      <c r="A11" s="514" t="s">
        <v>134</v>
      </c>
      <c r="B11" s="393"/>
      <c r="C11" s="393"/>
      <c r="D11" s="394" t="s">
        <v>130</v>
      </c>
      <c r="E11" s="396">
        <v>37000</v>
      </c>
      <c r="F11" s="396">
        <v>37000</v>
      </c>
      <c r="G11" s="684">
        <f t="shared" si="1"/>
        <v>0</v>
      </c>
      <c r="H11" s="396">
        <f t="shared" si="0"/>
        <v>0</v>
      </c>
      <c r="I11" s="396"/>
      <c r="J11" s="397">
        <f>H11/DAY(B2)</f>
        <v>0</v>
      </c>
      <c r="K11" s="540"/>
      <c r="L11" s="429"/>
      <c r="N11" s="539"/>
      <c r="O11" s="171">
        <f>142-18</f>
        <v>124</v>
      </c>
    </row>
    <row r="12" spans="1:15" ht="22.5" x14ac:dyDescent="0.4">
      <c r="A12" s="514" t="s">
        <v>135</v>
      </c>
      <c r="B12" s="393"/>
      <c r="C12" s="393"/>
      <c r="D12" s="394" t="s">
        <v>130</v>
      </c>
      <c r="E12" s="669">
        <v>40010</v>
      </c>
      <c r="F12" s="669">
        <v>40010</v>
      </c>
      <c r="G12" s="684">
        <f>F12-E12</f>
        <v>0</v>
      </c>
      <c r="H12" s="396">
        <f t="shared" si="0"/>
        <v>0</v>
      </c>
      <c r="I12" s="396"/>
      <c r="J12" s="397">
        <f>H12/DAY(B2)</f>
        <v>0</v>
      </c>
      <c r="K12" s="540"/>
      <c r="L12" s="429"/>
      <c r="N12" s="539"/>
      <c r="O12" s="171"/>
    </row>
    <row r="13" spans="1:15" ht="22.5" x14ac:dyDescent="0.4">
      <c r="A13" s="517" t="s">
        <v>136</v>
      </c>
      <c r="B13" s="404"/>
      <c r="C13" s="404"/>
      <c r="D13" s="394"/>
      <c r="E13" s="396"/>
      <c r="F13" s="396"/>
      <c r="G13" s="684">
        <f>F13-E13</f>
        <v>0</v>
      </c>
      <c r="H13" s="396">
        <f t="shared" si="0"/>
        <v>0</v>
      </c>
      <c r="I13" s="403">
        <f>G7-G13</f>
        <v>20006.53</v>
      </c>
      <c r="J13" s="397">
        <f>H13/DAY(B2)</f>
        <v>0</v>
      </c>
      <c r="K13" s="540"/>
      <c r="L13" s="429"/>
      <c r="N13" s="539"/>
      <c r="O13" s="171"/>
    </row>
    <row r="14" spans="1:15" ht="22.5" x14ac:dyDescent="0.4">
      <c r="A14" s="794" t="s">
        <v>137</v>
      </c>
      <c r="B14" s="795"/>
      <c r="C14" s="796"/>
      <c r="D14" s="391"/>
      <c r="E14" s="655"/>
      <c r="F14" s="655"/>
      <c r="G14" s="125"/>
      <c r="H14" s="655"/>
      <c r="I14" s="655"/>
      <c r="J14" s="656"/>
      <c r="K14" s="541"/>
      <c r="L14" s="429"/>
      <c r="N14" s="539"/>
      <c r="O14" s="171"/>
    </row>
    <row r="15" spans="1:15" ht="22.5" x14ac:dyDescent="0.4">
      <c r="A15" s="518" t="s">
        <v>138</v>
      </c>
      <c r="B15" s="407"/>
      <c r="C15" s="407"/>
      <c r="D15" s="394" t="s">
        <v>139</v>
      </c>
      <c r="E15" s="668">
        <v>1878430</v>
      </c>
      <c r="F15" s="670">
        <v>1879500.0859999999</v>
      </c>
      <c r="G15" s="685">
        <f>(F15-E15)</f>
        <v>1070.0859999998938</v>
      </c>
      <c r="H15" s="403">
        <f>G15</f>
        <v>1070.0859999998938</v>
      </c>
      <c r="I15" s="403">
        <v>800</v>
      </c>
      <c r="J15" s="397">
        <f>H15/DAY(B2)</f>
        <v>1070.0859999998938</v>
      </c>
      <c r="K15" s="540"/>
      <c r="L15" s="429"/>
      <c r="N15" s="539"/>
      <c r="O15" s="171"/>
    </row>
    <row r="16" spans="1:15" ht="22.5" x14ac:dyDescent="0.4">
      <c r="A16" s="519"/>
      <c r="B16" s="410"/>
      <c r="C16" s="410"/>
      <c r="D16" s="411"/>
      <c r="E16" s="668"/>
      <c r="F16" s="668"/>
      <c r="G16" s="684"/>
      <c r="H16" s="403"/>
      <c r="I16" s="403">
        <f>I15-J15</f>
        <v>-270.08599999989383</v>
      </c>
      <c r="J16" s="412"/>
      <c r="K16" s="540"/>
      <c r="L16" s="429"/>
      <c r="N16" s="539"/>
      <c r="O16" s="171"/>
    </row>
    <row r="17" spans="1:15" ht="22.5" x14ac:dyDescent="0.4">
      <c r="A17" s="794" t="s">
        <v>140</v>
      </c>
      <c r="B17" s="795"/>
      <c r="C17" s="796"/>
      <c r="D17" s="391"/>
      <c r="E17" s="655"/>
      <c r="F17" s="655"/>
      <c r="G17" s="125"/>
      <c r="H17" s="655"/>
      <c r="I17" s="655"/>
      <c r="J17" s="656"/>
      <c r="K17" s="540"/>
      <c r="L17" s="429"/>
      <c r="N17" s="539"/>
      <c r="O17" s="171"/>
    </row>
    <row r="18" spans="1:15" ht="22.5" x14ac:dyDescent="0.4">
      <c r="A18" s="762" t="s">
        <v>141</v>
      </c>
      <c r="B18" s="763"/>
      <c r="C18" s="764"/>
      <c r="D18" s="394" t="s">
        <v>142</v>
      </c>
      <c r="E18" s="671">
        <v>0</v>
      </c>
      <c r="F18" s="671">
        <v>0</v>
      </c>
      <c r="G18" s="659">
        <f>F18*10</f>
        <v>0</v>
      </c>
      <c r="H18" s="396">
        <f>G18</f>
        <v>0</v>
      </c>
      <c r="I18" s="403">
        <v>65</v>
      </c>
      <c r="J18" s="397">
        <f>H18/DAY(B2)</f>
        <v>0</v>
      </c>
      <c r="K18" s="540"/>
      <c r="L18" s="429"/>
      <c r="N18" s="539"/>
      <c r="O18" s="171"/>
    </row>
    <row r="19" spans="1:15" ht="22.5" x14ac:dyDescent="0.4">
      <c r="A19" s="762" t="s">
        <v>69</v>
      </c>
      <c r="B19" s="763"/>
      <c r="C19" s="764"/>
      <c r="D19" s="394" t="s">
        <v>142</v>
      </c>
      <c r="E19" s="671">
        <v>152225</v>
      </c>
      <c r="F19" s="671">
        <v>152279</v>
      </c>
      <c r="G19" s="684">
        <f t="shared" ref="G19" si="2">F19-E19</f>
        <v>54</v>
      </c>
      <c r="H19" s="396">
        <f t="shared" ref="H19" si="3">G19</f>
        <v>54</v>
      </c>
      <c r="I19" s="669"/>
      <c r="J19" s="397">
        <f>H19/DAY(B2)</f>
        <v>54</v>
      </c>
      <c r="K19" s="540"/>
      <c r="L19" s="429"/>
      <c r="N19" s="539"/>
      <c r="O19" s="171"/>
    </row>
    <row r="20" spans="1:15" ht="22.5" x14ac:dyDescent="0.4">
      <c r="A20" s="517" t="s">
        <v>143</v>
      </c>
      <c r="B20" s="404"/>
      <c r="C20" s="404"/>
      <c r="D20" s="414"/>
      <c r="E20" s="672"/>
      <c r="F20" s="672"/>
      <c r="G20" s="686">
        <f>G18+G19</f>
        <v>54</v>
      </c>
      <c r="H20" s="396">
        <f>G20</f>
        <v>54</v>
      </c>
      <c r="I20" s="415">
        <f>I18-J20</f>
        <v>11</v>
      </c>
      <c r="J20" s="397">
        <f>H20/DAY(B2)</f>
        <v>54</v>
      </c>
      <c r="K20" s="540"/>
      <c r="L20" s="429"/>
      <c r="N20" s="539"/>
      <c r="O20" s="171"/>
    </row>
    <row r="21" spans="1:15" ht="22.5" x14ac:dyDescent="0.4">
      <c r="A21" s="794" t="s">
        <v>144</v>
      </c>
      <c r="B21" s="795"/>
      <c r="C21" s="796"/>
      <c r="D21" s="391"/>
      <c r="E21" s="655"/>
      <c r="F21" s="655"/>
      <c r="G21" s="125"/>
      <c r="H21" s="655"/>
      <c r="I21" s="655"/>
      <c r="J21" s="656"/>
      <c r="K21" s="540"/>
      <c r="L21" s="429"/>
      <c r="N21" s="539"/>
      <c r="O21" s="171"/>
    </row>
    <row r="22" spans="1:15" ht="22.5" x14ac:dyDescent="0.4">
      <c r="A22" s="518" t="s">
        <v>145</v>
      </c>
      <c r="B22" s="407"/>
      <c r="C22" s="407"/>
      <c r="D22" s="394" t="s">
        <v>146</v>
      </c>
      <c r="E22" s="671">
        <v>2970</v>
      </c>
      <c r="F22" s="671">
        <v>2970</v>
      </c>
      <c r="G22" s="659">
        <f>(F22-E22)</f>
        <v>0</v>
      </c>
      <c r="H22" s="396">
        <f>G22</f>
        <v>0</v>
      </c>
      <c r="I22" s="396"/>
      <c r="J22" s="397">
        <f>H22/DAY(B2)</f>
        <v>0</v>
      </c>
      <c r="K22" s="540"/>
      <c r="L22" s="429"/>
      <c r="N22" s="539"/>
      <c r="O22" s="171"/>
    </row>
    <row r="23" spans="1:15" ht="22.5" x14ac:dyDescent="0.4">
      <c r="A23" s="518" t="s">
        <v>147</v>
      </c>
      <c r="B23" s="407"/>
      <c r="C23" s="407"/>
      <c r="D23" s="394" t="s">
        <v>146</v>
      </c>
      <c r="E23" s="671">
        <v>2000</v>
      </c>
      <c r="F23" s="671">
        <v>2000</v>
      </c>
      <c r="G23" s="659">
        <f t="shared" ref="G23" si="4">(F23-E23)</f>
        <v>0</v>
      </c>
      <c r="H23" s="396">
        <f t="shared" ref="H23:H24" si="5">G23</f>
        <v>0</v>
      </c>
      <c r="I23" s="396"/>
      <c r="J23" s="397">
        <f>H23/DAY(B2)</f>
        <v>0</v>
      </c>
      <c r="K23" s="540"/>
      <c r="L23" s="429"/>
      <c r="N23" s="539"/>
      <c r="O23" s="171"/>
    </row>
    <row r="24" spans="1:15" ht="22.5" x14ac:dyDescent="0.4">
      <c r="A24" s="520" t="s">
        <v>148</v>
      </c>
      <c r="B24" s="416"/>
      <c r="C24" s="416"/>
      <c r="D24" s="387" t="s">
        <v>146</v>
      </c>
      <c r="E24" s="673">
        <v>4970</v>
      </c>
      <c r="F24" s="673"/>
      <c r="G24" s="659">
        <f>SUM(G22:G23)</f>
        <v>0</v>
      </c>
      <c r="H24" s="396">
        <f t="shared" si="5"/>
        <v>0</v>
      </c>
      <c r="I24" s="396"/>
      <c r="J24" s="397">
        <f>H24/DAY(B2)</f>
        <v>0</v>
      </c>
      <c r="K24" s="540"/>
      <c r="L24" s="429"/>
      <c r="N24" s="539"/>
      <c r="O24" s="171"/>
    </row>
    <row r="25" spans="1:15" ht="22.5" x14ac:dyDescent="0.4">
      <c r="A25" s="791" t="s">
        <v>149</v>
      </c>
      <c r="B25" s="792"/>
      <c r="C25" s="793"/>
      <c r="D25" s="390"/>
      <c r="E25" s="655"/>
      <c r="F25" s="655"/>
      <c r="G25" s="125"/>
      <c r="H25" s="655"/>
      <c r="I25" s="674"/>
      <c r="J25" s="656"/>
      <c r="K25" s="540"/>
      <c r="L25" s="429"/>
      <c r="N25" s="539"/>
      <c r="O25" s="171"/>
    </row>
    <row r="26" spans="1:15" ht="22.5" x14ac:dyDescent="0.4">
      <c r="A26" s="521" t="s">
        <v>150</v>
      </c>
      <c r="B26" s="417"/>
      <c r="C26" s="418"/>
      <c r="D26" s="419" t="s">
        <v>151</v>
      </c>
      <c r="E26" s="675"/>
      <c r="F26" s="675"/>
      <c r="G26" s="687"/>
      <c r="H26" s="396"/>
      <c r="I26" s="420"/>
      <c r="J26" s="397"/>
      <c r="K26" s="541"/>
      <c r="L26" s="429"/>
      <c r="N26" s="539"/>
      <c r="O26" s="171"/>
    </row>
    <row r="27" spans="1:15" ht="22.5" x14ac:dyDescent="0.4">
      <c r="A27" s="521" t="s">
        <v>5</v>
      </c>
      <c r="B27" s="417"/>
      <c r="C27" s="418"/>
      <c r="D27" s="421" t="s">
        <v>24</v>
      </c>
      <c r="E27" s="676">
        <f>G8</f>
        <v>20449</v>
      </c>
      <c r="F27" s="676">
        <v>9</v>
      </c>
      <c r="G27" s="688">
        <f>E27*F27</f>
        <v>184041</v>
      </c>
      <c r="H27" s="396">
        <f t="shared" ref="H27:H32" si="6">G27</f>
        <v>184041</v>
      </c>
      <c r="I27" s="677"/>
      <c r="J27" s="397">
        <f>H27/DAY(B2)</f>
        <v>184041</v>
      </c>
      <c r="K27" s="540"/>
      <c r="L27" s="429"/>
      <c r="N27" s="539"/>
      <c r="O27" s="171"/>
    </row>
    <row r="28" spans="1:15" ht="22.5" x14ac:dyDescent="0.4">
      <c r="A28" s="521" t="s">
        <v>152</v>
      </c>
      <c r="B28" s="417"/>
      <c r="C28" s="418"/>
      <c r="D28" s="421" t="s">
        <v>153</v>
      </c>
      <c r="E28" s="676">
        <f>G15</f>
        <v>1070.0859999998938</v>
      </c>
      <c r="F28" s="676">
        <v>52</v>
      </c>
      <c r="G28" s="688">
        <f>E28*F28</f>
        <v>55644.471999994479</v>
      </c>
      <c r="H28" s="396">
        <f t="shared" si="6"/>
        <v>55644.471999994479</v>
      </c>
      <c r="I28" s="420"/>
      <c r="J28" s="397">
        <f>H28/DAY(B2)</f>
        <v>55644.471999994479</v>
      </c>
      <c r="K28" s="540"/>
      <c r="L28" s="429"/>
      <c r="N28" s="539"/>
      <c r="O28" s="171"/>
    </row>
    <row r="29" spans="1:15" ht="22.5" x14ac:dyDescent="0.4">
      <c r="A29" s="521" t="s">
        <v>154</v>
      </c>
      <c r="B29" s="417"/>
      <c r="C29" s="418"/>
      <c r="D29" s="421" t="s">
        <v>155</v>
      </c>
      <c r="E29" s="676">
        <f>G24</f>
        <v>0</v>
      </c>
      <c r="F29" s="676">
        <v>69</v>
      </c>
      <c r="G29" s="688">
        <f>E29*F29</f>
        <v>0</v>
      </c>
      <c r="H29" s="396">
        <f t="shared" si="6"/>
        <v>0</v>
      </c>
      <c r="I29" s="420"/>
      <c r="J29" s="397">
        <f>H29/DAY(B2)</f>
        <v>0</v>
      </c>
      <c r="K29" s="540"/>
      <c r="L29" s="429"/>
      <c r="N29" s="539"/>
      <c r="O29" s="171"/>
    </row>
    <row r="30" spans="1:15" ht="22.5" x14ac:dyDescent="0.4">
      <c r="A30" s="521" t="s">
        <v>156</v>
      </c>
      <c r="B30" s="417"/>
      <c r="C30" s="418"/>
      <c r="D30" s="421" t="s">
        <v>157</v>
      </c>
      <c r="E30" s="676">
        <f>G19</f>
        <v>54</v>
      </c>
      <c r="F30" s="676">
        <v>146</v>
      </c>
      <c r="G30" s="688">
        <f>E30*F30</f>
        <v>7884</v>
      </c>
      <c r="H30" s="396">
        <f t="shared" si="6"/>
        <v>7884</v>
      </c>
      <c r="I30" s="420"/>
      <c r="J30" s="397">
        <f>H30/DAY(B2)</f>
        <v>7884</v>
      </c>
      <c r="K30" s="540"/>
      <c r="L30" s="429"/>
      <c r="N30" s="539"/>
      <c r="O30" s="171"/>
    </row>
    <row r="31" spans="1:15" ht="22.5" x14ac:dyDescent="0.4">
      <c r="A31" s="521" t="s">
        <v>158</v>
      </c>
      <c r="B31" s="417"/>
      <c r="C31" s="418"/>
      <c r="D31" s="421" t="s">
        <v>142</v>
      </c>
      <c r="E31" s="676">
        <f>G18</f>
        <v>0</v>
      </c>
      <c r="F31" s="676">
        <v>80</v>
      </c>
      <c r="G31" s="688">
        <f>E31*F31</f>
        <v>0</v>
      </c>
      <c r="H31" s="396">
        <f t="shared" si="6"/>
        <v>0</v>
      </c>
      <c r="I31" s="420"/>
      <c r="J31" s="397">
        <f>H31/DAY(B2)</f>
        <v>0</v>
      </c>
      <c r="K31" s="540"/>
      <c r="L31" s="429"/>
      <c r="N31" s="539"/>
      <c r="O31" s="171"/>
    </row>
    <row r="32" spans="1:15" ht="22.5" x14ac:dyDescent="0.4">
      <c r="A32" s="522" t="s">
        <v>159</v>
      </c>
      <c r="B32" s="422"/>
      <c r="C32" s="423"/>
      <c r="D32" s="424"/>
      <c r="E32" s="657"/>
      <c r="F32" s="657"/>
      <c r="G32" s="695">
        <f>G27+G28+G29+G30+G31</f>
        <v>247569.47199999448</v>
      </c>
      <c r="H32" s="696">
        <f t="shared" si="6"/>
        <v>247569.47199999448</v>
      </c>
      <c r="I32" s="697"/>
      <c r="J32" s="698">
        <f>H32/DAY(B2)</f>
        <v>247569.47199999448</v>
      </c>
      <c r="K32" s="540"/>
      <c r="L32" s="429"/>
      <c r="N32" s="539"/>
      <c r="O32" s="171"/>
    </row>
    <row r="33" spans="1:15" ht="25.5" customHeight="1" x14ac:dyDescent="0.4">
      <c r="A33" s="802" t="s">
        <v>331</v>
      </c>
      <c r="B33" s="803"/>
      <c r="C33" s="803"/>
      <c r="D33" s="542"/>
      <c r="E33" s="678"/>
      <c r="F33" s="679"/>
      <c r="G33" s="689"/>
      <c r="H33" s="679"/>
      <c r="I33" s="679"/>
      <c r="J33" s="680"/>
      <c r="K33" s="540"/>
      <c r="L33" s="429"/>
      <c r="N33" s="539"/>
      <c r="O33" s="171"/>
    </row>
    <row r="34" spans="1:15" ht="22.5" x14ac:dyDescent="0.4">
      <c r="A34" s="523" t="s">
        <v>160</v>
      </c>
      <c r="B34" s="425"/>
      <c r="C34" s="425"/>
      <c r="D34" s="391"/>
      <c r="E34" s="655"/>
      <c r="F34" s="655"/>
      <c r="G34" s="486"/>
      <c r="H34" s="655"/>
      <c r="I34" s="655"/>
      <c r="J34" s="656"/>
      <c r="K34" s="540"/>
      <c r="L34" s="429"/>
      <c r="N34" s="539"/>
      <c r="O34" s="171"/>
    </row>
    <row r="35" spans="1:15" ht="22.5" x14ac:dyDescent="0.4">
      <c r="A35" s="514" t="s">
        <v>161</v>
      </c>
      <c r="B35" s="393"/>
      <c r="C35" s="393"/>
      <c r="D35" s="394" t="s">
        <v>130</v>
      </c>
      <c r="E35" s="669">
        <v>152842</v>
      </c>
      <c r="F35" s="669">
        <v>154894.12</v>
      </c>
      <c r="G35" s="684">
        <f t="shared" ref="G35:G46" si="7">F35-E35</f>
        <v>2052.1199999999953</v>
      </c>
      <c r="H35" s="396">
        <f t="shared" ref="H35:H47" si="8">G35</f>
        <v>2052.1199999999953</v>
      </c>
      <c r="I35" s="396"/>
      <c r="J35" s="397">
        <f>H35/DAY(B2)</f>
        <v>2052.1199999999953</v>
      </c>
      <c r="K35" s="540"/>
      <c r="L35" s="429"/>
      <c r="N35" s="539"/>
      <c r="O35" s="171"/>
    </row>
    <row r="36" spans="1:15" ht="22.5" x14ac:dyDescent="0.4">
      <c r="A36" s="514" t="s">
        <v>162</v>
      </c>
      <c r="B36" s="393"/>
      <c r="C36" s="393"/>
      <c r="D36" s="394" t="s">
        <v>130</v>
      </c>
      <c r="E36" s="669">
        <v>21527</v>
      </c>
      <c r="F36" s="669">
        <v>22412.33</v>
      </c>
      <c r="G36" s="684">
        <f t="shared" si="7"/>
        <v>885.33000000000175</v>
      </c>
      <c r="H36" s="396">
        <f t="shared" si="8"/>
        <v>885.33000000000175</v>
      </c>
      <c r="I36" s="396"/>
      <c r="J36" s="397">
        <f>H36/DAY(B2)</f>
        <v>885.33000000000175</v>
      </c>
      <c r="K36" s="540"/>
      <c r="L36" s="429"/>
      <c r="N36" s="539"/>
      <c r="O36" s="543"/>
    </row>
    <row r="37" spans="1:15" ht="22.5" x14ac:dyDescent="0.4">
      <c r="A37" s="514" t="s">
        <v>163</v>
      </c>
      <c r="B37" s="393"/>
      <c r="C37" s="393"/>
      <c r="D37" s="394" t="s">
        <v>130</v>
      </c>
      <c r="E37" s="669">
        <v>195393</v>
      </c>
      <c r="F37" s="669">
        <v>196966.51</v>
      </c>
      <c r="G37" s="684">
        <f t="shared" si="7"/>
        <v>1573.5100000000093</v>
      </c>
      <c r="H37" s="396">
        <f t="shared" si="8"/>
        <v>1573.5100000000093</v>
      </c>
      <c r="I37" s="396"/>
      <c r="J37" s="397">
        <f>H37/DAY(B2)</f>
        <v>1573.5100000000093</v>
      </c>
      <c r="K37" s="540"/>
      <c r="L37" s="429"/>
      <c r="N37" s="539"/>
      <c r="O37" s="544"/>
    </row>
    <row r="38" spans="1:15" ht="22.5" x14ac:dyDescent="0.4">
      <c r="A38" s="514" t="s">
        <v>164</v>
      </c>
      <c r="B38" s="393"/>
      <c r="C38" s="393"/>
      <c r="D38" s="394" t="s">
        <v>130</v>
      </c>
      <c r="E38" s="396">
        <v>232482</v>
      </c>
      <c r="F38" s="396">
        <v>234147.43</v>
      </c>
      <c r="G38" s="684">
        <f t="shared" si="7"/>
        <v>1665.429999999993</v>
      </c>
      <c r="H38" s="396">
        <f t="shared" si="8"/>
        <v>1665.429999999993</v>
      </c>
      <c r="I38" s="396"/>
      <c r="J38" s="397">
        <f>H38/DAY(B2)</f>
        <v>1665.429999999993</v>
      </c>
      <c r="K38" s="540"/>
      <c r="L38" s="429"/>
      <c r="N38" s="539"/>
      <c r="O38" s="171"/>
    </row>
    <row r="39" spans="1:15" ht="22.5" x14ac:dyDescent="0.4">
      <c r="A39" s="514" t="s">
        <v>165</v>
      </c>
      <c r="B39" s="393"/>
      <c r="C39" s="393"/>
      <c r="D39" s="394" t="s">
        <v>130</v>
      </c>
      <c r="E39" s="669">
        <v>411079</v>
      </c>
      <c r="F39" s="669">
        <v>413803.39</v>
      </c>
      <c r="G39" s="684">
        <f t="shared" si="7"/>
        <v>2724.390000000014</v>
      </c>
      <c r="H39" s="396">
        <f t="shared" si="8"/>
        <v>2724.390000000014</v>
      </c>
      <c r="I39" s="396"/>
      <c r="J39" s="397">
        <f>H39/DAY(B2)</f>
        <v>2724.390000000014</v>
      </c>
      <c r="K39" s="540"/>
      <c r="L39" s="429"/>
      <c r="N39" s="539"/>
      <c r="O39" s="171"/>
    </row>
    <row r="40" spans="1:15" ht="22.5" x14ac:dyDescent="0.4">
      <c r="A40" s="524" t="s">
        <v>166</v>
      </c>
      <c r="B40" s="426"/>
      <c r="C40" s="426"/>
      <c r="D40" s="394" t="s">
        <v>130</v>
      </c>
      <c r="E40" s="669">
        <v>5610</v>
      </c>
      <c r="F40" s="669">
        <v>5609.97</v>
      </c>
      <c r="G40" s="684">
        <f t="shared" si="7"/>
        <v>-2.9999999999745341E-2</v>
      </c>
      <c r="H40" s="396">
        <f t="shared" si="8"/>
        <v>-2.9999999999745341E-2</v>
      </c>
      <c r="I40" s="396"/>
      <c r="J40" s="397">
        <f>H40/DAY(B2)</f>
        <v>-2.9999999999745341E-2</v>
      </c>
      <c r="K40" s="541"/>
      <c r="L40" s="429"/>
      <c r="N40" s="539"/>
      <c r="O40" s="171"/>
    </row>
    <row r="41" spans="1:15" ht="22.5" x14ac:dyDescent="0.4">
      <c r="A41" s="514" t="s">
        <v>167</v>
      </c>
      <c r="B41" s="393"/>
      <c r="C41" s="393"/>
      <c r="D41" s="394" t="s">
        <v>130</v>
      </c>
      <c r="E41" s="669">
        <v>0</v>
      </c>
      <c r="F41" s="669">
        <v>0</v>
      </c>
      <c r="G41" s="684">
        <f t="shared" si="7"/>
        <v>0</v>
      </c>
      <c r="H41" s="396">
        <f t="shared" si="8"/>
        <v>0</v>
      </c>
      <c r="I41" s="396"/>
      <c r="J41" s="397">
        <f>H41/DAY(B2)</f>
        <v>0</v>
      </c>
      <c r="K41" s="540"/>
      <c r="L41" s="429"/>
      <c r="N41" s="539"/>
      <c r="O41" s="171"/>
    </row>
    <row r="42" spans="1:15" ht="22.5" x14ac:dyDescent="0.4">
      <c r="A42" s="514" t="s">
        <v>168</v>
      </c>
      <c r="B42" s="393"/>
      <c r="C42" s="393"/>
      <c r="D42" s="394" t="s">
        <v>130</v>
      </c>
      <c r="E42" s="669">
        <v>73809</v>
      </c>
      <c r="F42" s="669">
        <v>73808.600000000006</v>
      </c>
      <c r="G42" s="684">
        <f t="shared" si="7"/>
        <v>-0.39999999999417923</v>
      </c>
      <c r="H42" s="396">
        <f t="shared" si="8"/>
        <v>-0.39999999999417923</v>
      </c>
      <c r="I42" s="396"/>
      <c r="J42" s="397">
        <f>H42/DAY(B2)</f>
        <v>-0.39999999999417923</v>
      </c>
      <c r="K42" s="540"/>
      <c r="L42" s="429"/>
      <c r="N42" s="539"/>
      <c r="O42" s="171"/>
    </row>
    <row r="43" spans="1:15" ht="22.5" x14ac:dyDescent="0.4">
      <c r="A43" s="514" t="s">
        <v>169</v>
      </c>
      <c r="B43" s="393"/>
      <c r="C43" s="393"/>
      <c r="D43" s="394" t="s">
        <v>130</v>
      </c>
      <c r="E43" s="669">
        <v>47261</v>
      </c>
      <c r="F43" s="669">
        <v>49822.23</v>
      </c>
      <c r="G43" s="684">
        <f t="shared" si="7"/>
        <v>2561.2300000000032</v>
      </c>
      <c r="H43" s="396">
        <f t="shared" si="8"/>
        <v>2561.2300000000032</v>
      </c>
      <c r="I43" s="396"/>
      <c r="J43" s="397">
        <f>H43/DAY(B2)</f>
        <v>2561.2300000000032</v>
      </c>
      <c r="K43" s="540"/>
      <c r="L43" s="429"/>
      <c r="N43" s="539"/>
      <c r="O43" s="171"/>
    </row>
    <row r="44" spans="1:15" ht="22.5" x14ac:dyDescent="0.4">
      <c r="A44" s="514" t="s">
        <v>170</v>
      </c>
      <c r="B44" s="393"/>
      <c r="C44" s="393"/>
      <c r="D44" s="394" t="s">
        <v>130</v>
      </c>
      <c r="E44" s="669">
        <v>0</v>
      </c>
      <c r="F44" s="669">
        <v>0</v>
      </c>
      <c r="G44" s="684">
        <f t="shared" si="7"/>
        <v>0</v>
      </c>
      <c r="H44" s="396">
        <f t="shared" si="8"/>
        <v>0</v>
      </c>
      <c r="I44" s="396"/>
      <c r="J44" s="397">
        <f>H44/DAY(B2)</f>
        <v>0</v>
      </c>
      <c r="K44" s="540"/>
      <c r="L44" s="429"/>
      <c r="N44" s="539"/>
      <c r="O44" s="171"/>
    </row>
    <row r="45" spans="1:15" ht="22.5" x14ac:dyDescent="0.4">
      <c r="A45" s="514" t="s">
        <v>171</v>
      </c>
      <c r="B45" s="393"/>
      <c r="C45" s="393"/>
      <c r="D45" s="394" t="s">
        <v>130</v>
      </c>
      <c r="E45" s="669">
        <v>0</v>
      </c>
      <c r="F45" s="669">
        <v>0</v>
      </c>
      <c r="G45" s="684">
        <f t="shared" si="7"/>
        <v>0</v>
      </c>
      <c r="H45" s="396">
        <f t="shared" si="8"/>
        <v>0</v>
      </c>
      <c r="I45" s="396"/>
      <c r="J45" s="397">
        <f>H45/DAY(B2)</f>
        <v>0</v>
      </c>
      <c r="K45" s="540"/>
      <c r="L45" s="429"/>
      <c r="N45" s="539"/>
      <c r="O45" s="171"/>
    </row>
    <row r="46" spans="1:15" ht="22.5" x14ac:dyDescent="0.4">
      <c r="A46" s="514" t="s">
        <v>172</v>
      </c>
      <c r="B46" s="393"/>
      <c r="C46" s="393"/>
      <c r="D46" s="394" t="s">
        <v>130</v>
      </c>
      <c r="E46" s="669">
        <v>0</v>
      </c>
      <c r="F46" s="669">
        <v>0</v>
      </c>
      <c r="G46" s="684">
        <f t="shared" si="7"/>
        <v>0</v>
      </c>
      <c r="H46" s="396">
        <f t="shared" si="8"/>
        <v>0</v>
      </c>
      <c r="I46" s="396"/>
      <c r="J46" s="397">
        <f>H46/DAY(B2)</f>
        <v>0</v>
      </c>
      <c r="K46" s="540"/>
      <c r="L46" s="429"/>
      <c r="N46" s="539"/>
      <c r="O46" s="171"/>
    </row>
    <row r="47" spans="1:15" ht="22.5" x14ac:dyDescent="0.4">
      <c r="A47" s="517" t="s">
        <v>173</v>
      </c>
      <c r="B47" s="404"/>
      <c r="C47" s="404"/>
      <c r="D47" s="388"/>
      <c r="E47" s="396"/>
      <c r="F47" s="396"/>
      <c r="G47" s="659">
        <f>G35+G36+G37+G38+G39+G40+G41+G42+G43+G44+G45+G46</f>
        <v>11461.580000000024</v>
      </c>
      <c r="H47" s="396">
        <f t="shared" si="8"/>
        <v>11461.580000000024</v>
      </c>
      <c r="I47" s="396"/>
      <c r="J47" s="397">
        <f>H47/DAY(B2)</f>
        <v>11461.580000000024</v>
      </c>
      <c r="K47" s="540"/>
      <c r="L47" s="429"/>
      <c r="N47" s="539"/>
      <c r="O47" s="171"/>
    </row>
    <row r="48" spans="1:15" ht="22.5" x14ac:dyDescent="0.4">
      <c r="A48" s="523" t="s">
        <v>174</v>
      </c>
      <c r="B48" s="425"/>
      <c r="C48" s="425"/>
      <c r="D48" s="391"/>
      <c r="E48" s="655"/>
      <c r="F48" s="655"/>
      <c r="G48" s="486"/>
      <c r="H48" s="655"/>
      <c r="I48" s="655"/>
      <c r="J48" s="656"/>
      <c r="K48" s="540"/>
      <c r="L48" s="429"/>
      <c r="N48" s="539"/>
      <c r="O48" s="171"/>
    </row>
    <row r="49" spans="1:15" ht="22.5" x14ac:dyDescent="0.4">
      <c r="A49" s="514" t="s">
        <v>161</v>
      </c>
      <c r="B49" s="427"/>
      <c r="C49" s="427"/>
      <c r="D49" s="394" t="s">
        <v>130</v>
      </c>
      <c r="E49" s="669">
        <v>272240</v>
      </c>
      <c r="F49" s="669">
        <v>273858.83</v>
      </c>
      <c r="G49" s="684">
        <f t="shared" ref="G49:G58" si="9">F49-E49</f>
        <v>1618.8300000000163</v>
      </c>
      <c r="H49" s="396">
        <f t="shared" ref="H49:H60" si="10">G49</f>
        <v>1618.8300000000163</v>
      </c>
      <c r="I49" s="396"/>
      <c r="J49" s="397">
        <f>H49/DAY(B2)</f>
        <v>1618.8300000000163</v>
      </c>
      <c r="K49" s="540"/>
      <c r="L49" s="429"/>
      <c r="N49" s="539"/>
      <c r="O49" s="171"/>
    </row>
    <row r="50" spans="1:15" ht="22.5" x14ac:dyDescent="0.4">
      <c r="A50" s="514" t="s">
        <v>175</v>
      </c>
      <c r="B50" s="427"/>
      <c r="C50" s="427"/>
      <c r="D50" s="394" t="s">
        <v>130</v>
      </c>
      <c r="E50" s="669">
        <v>24650</v>
      </c>
      <c r="F50" s="669">
        <v>25886.02</v>
      </c>
      <c r="G50" s="684">
        <f t="shared" si="9"/>
        <v>1236.0200000000004</v>
      </c>
      <c r="H50" s="396">
        <f t="shared" si="10"/>
        <v>1236.0200000000004</v>
      </c>
      <c r="I50" s="396"/>
      <c r="J50" s="397">
        <f>H50/DAY(B2)</f>
        <v>1236.0200000000004</v>
      </c>
      <c r="K50" s="540"/>
      <c r="L50" s="429"/>
      <c r="N50" s="539"/>
      <c r="O50" s="171"/>
    </row>
    <row r="51" spans="1:15" ht="22.5" x14ac:dyDescent="0.4">
      <c r="A51" s="514" t="s">
        <v>163</v>
      </c>
      <c r="B51" s="427"/>
      <c r="C51" s="427"/>
      <c r="D51" s="394" t="s">
        <v>130</v>
      </c>
      <c r="E51" s="669">
        <v>0</v>
      </c>
      <c r="F51" s="669">
        <v>0</v>
      </c>
      <c r="G51" s="684">
        <f t="shared" si="9"/>
        <v>0</v>
      </c>
      <c r="H51" s="396">
        <f t="shared" si="10"/>
        <v>0</v>
      </c>
      <c r="I51" s="396"/>
      <c r="J51" s="397">
        <f>H51/DAY(B2)</f>
        <v>0</v>
      </c>
      <c r="K51" s="540"/>
      <c r="L51" s="429"/>
      <c r="N51" s="539"/>
      <c r="O51" s="171"/>
    </row>
    <row r="52" spans="1:15" ht="22.5" x14ac:dyDescent="0.4">
      <c r="A52" s="514" t="s">
        <v>176</v>
      </c>
      <c r="B52" s="427"/>
      <c r="C52" s="427"/>
      <c r="D52" s="394" t="s">
        <v>130</v>
      </c>
      <c r="E52" s="669">
        <v>0</v>
      </c>
      <c r="F52" s="669">
        <v>0</v>
      </c>
      <c r="G52" s="684">
        <f t="shared" si="9"/>
        <v>0</v>
      </c>
      <c r="H52" s="396">
        <f t="shared" si="10"/>
        <v>0</v>
      </c>
      <c r="I52" s="396"/>
      <c r="J52" s="397">
        <f>H52/DAY(B2)</f>
        <v>0</v>
      </c>
      <c r="K52" s="540"/>
      <c r="L52" s="429"/>
      <c r="N52" s="539"/>
      <c r="O52" s="171"/>
    </row>
    <row r="53" spans="1:15" ht="22.5" x14ac:dyDescent="0.4">
      <c r="A53" s="514" t="s">
        <v>165</v>
      </c>
      <c r="B53" s="427"/>
      <c r="C53" s="427"/>
      <c r="D53" s="394" t="s">
        <v>130</v>
      </c>
      <c r="E53" s="669">
        <v>0</v>
      </c>
      <c r="F53" s="669">
        <v>0</v>
      </c>
      <c r="G53" s="684">
        <f t="shared" si="9"/>
        <v>0</v>
      </c>
      <c r="H53" s="396">
        <f t="shared" si="10"/>
        <v>0</v>
      </c>
      <c r="I53" s="396"/>
      <c r="J53" s="397">
        <f>H53/DAY(B2)</f>
        <v>0</v>
      </c>
      <c r="K53" s="540"/>
      <c r="L53" s="429"/>
      <c r="N53" s="539"/>
      <c r="O53" s="171"/>
    </row>
    <row r="54" spans="1:15" ht="22.5" x14ac:dyDescent="0.4">
      <c r="A54" s="514" t="s">
        <v>177</v>
      </c>
      <c r="B54" s="427"/>
      <c r="C54" s="427"/>
      <c r="D54" s="394" t="s">
        <v>130</v>
      </c>
      <c r="E54" s="669">
        <v>3183</v>
      </c>
      <c r="F54" s="669">
        <v>3188.13</v>
      </c>
      <c r="G54" s="684">
        <f t="shared" si="9"/>
        <v>5.1300000000001091</v>
      </c>
      <c r="H54" s="396">
        <f t="shared" si="10"/>
        <v>5.1300000000001091</v>
      </c>
      <c r="I54" s="396"/>
      <c r="J54" s="397">
        <f>H54/DAY(B2)</f>
        <v>5.1300000000001091</v>
      </c>
      <c r="K54" s="540"/>
      <c r="L54" s="429"/>
      <c r="N54" s="539"/>
      <c r="O54" s="171"/>
    </row>
    <row r="55" spans="1:15" ht="22.5" x14ac:dyDescent="0.4">
      <c r="A55" s="514" t="s">
        <v>178</v>
      </c>
      <c r="B55" s="427"/>
      <c r="C55" s="427"/>
      <c r="D55" s="394" t="s">
        <v>130</v>
      </c>
      <c r="E55" s="669">
        <v>3511</v>
      </c>
      <c r="F55" s="669">
        <v>5942.82</v>
      </c>
      <c r="G55" s="684">
        <f t="shared" si="9"/>
        <v>2431.8199999999997</v>
      </c>
      <c r="H55" s="396">
        <f t="shared" si="10"/>
        <v>2431.8199999999997</v>
      </c>
      <c r="I55" s="396"/>
      <c r="J55" s="397">
        <f>H55/DAY(B2)</f>
        <v>2431.8199999999997</v>
      </c>
      <c r="K55" s="540"/>
      <c r="L55" s="429"/>
      <c r="N55" s="539"/>
      <c r="O55" s="171"/>
    </row>
    <row r="56" spans="1:15" ht="22.5" x14ac:dyDescent="0.4">
      <c r="A56" s="514" t="s">
        <v>179</v>
      </c>
      <c r="B56" s="427"/>
      <c r="C56" s="427"/>
      <c r="D56" s="394" t="s">
        <v>180</v>
      </c>
      <c r="E56" s="669">
        <v>8610.5400000000009</v>
      </c>
      <c r="F56" s="669">
        <v>8610.5400000000009</v>
      </c>
      <c r="G56" s="684">
        <f t="shared" si="9"/>
        <v>0</v>
      </c>
      <c r="H56" s="396">
        <f t="shared" si="10"/>
        <v>0</v>
      </c>
      <c r="I56" s="396"/>
      <c r="J56" s="397">
        <f>H56/DAY(B2)</f>
        <v>0</v>
      </c>
      <c r="K56" s="537"/>
      <c r="L56" s="429"/>
      <c r="N56" s="539"/>
      <c r="O56" s="171"/>
    </row>
    <row r="57" spans="1:15" ht="22.5" x14ac:dyDescent="0.4">
      <c r="A57" s="514" t="s">
        <v>169</v>
      </c>
      <c r="B57" s="427"/>
      <c r="C57" s="427"/>
      <c r="D57" s="394" t="s">
        <v>130</v>
      </c>
      <c r="E57" s="669">
        <v>0</v>
      </c>
      <c r="F57" s="669">
        <v>0</v>
      </c>
      <c r="G57" s="684">
        <f t="shared" si="9"/>
        <v>0</v>
      </c>
      <c r="H57" s="396">
        <f t="shared" si="10"/>
        <v>0</v>
      </c>
      <c r="I57" s="396"/>
      <c r="J57" s="397">
        <f>H57/DAY(B2)</f>
        <v>0</v>
      </c>
      <c r="K57" s="540"/>
      <c r="L57" s="429"/>
      <c r="N57" s="539"/>
      <c r="O57" s="171"/>
    </row>
    <row r="58" spans="1:15" ht="22.5" x14ac:dyDescent="0.4">
      <c r="A58" s="514" t="s">
        <v>181</v>
      </c>
      <c r="B58" s="427"/>
      <c r="C58" s="427"/>
      <c r="D58" s="394" t="s">
        <v>130</v>
      </c>
      <c r="E58" s="669">
        <v>92285</v>
      </c>
      <c r="F58" s="669">
        <v>92510.94</v>
      </c>
      <c r="G58" s="684">
        <f t="shared" si="9"/>
        <v>225.94000000000233</v>
      </c>
      <c r="H58" s="396">
        <f t="shared" si="10"/>
        <v>225.94000000000233</v>
      </c>
      <c r="I58" s="396"/>
      <c r="J58" s="397">
        <f>H58/DAY(B2)</f>
        <v>225.94000000000233</v>
      </c>
      <c r="K58" s="540"/>
      <c r="L58" s="429"/>
      <c r="N58" s="539"/>
      <c r="O58" s="171"/>
    </row>
    <row r="59" spans="1:15" ht="22.5" x14ac:dyDescent="0.4">
      <c r="A59" s="517" t="s">
        <v>173</v>
      </c>
      <c r="B59" s="404"/>
      <c r="C59" s="404"/>
      <c r="D59" s="387"/>
      <c r="E59" s="396"/>
      <c r="F59" s="396"/>
      <c r="G59" s="659">
        <f>G49+G50+G51+G52+G53+G54+G55+G56+G57+G58</f>
        <v>5517.7400000000189</v>
      </c>
      <c r="H59" s="396">
        <f t="shared" si="10"/>
        <v>5517.7400000000189</v>
      </c>
      <c r="I59" s="396">
        <f>G7-G60</f>
        <v>3027.2099999999555</v>
      </c>
      <c r="J59" s="397">
        <f>H59/DAY(B2)</f>
        <v>5517.7400000000189</v>
      </c>
      <c r="K59" s="540"/>
      <c r="L59" s="429"/>
      <c r="N59" s="539"/>
      <c r="O59" s="171"/>
    </row>
    <row r="60" spans="1:15" ht="22.5" x14ac:dyDescent="0.4">
      <c r="A60" s="514"/>
      <c r="B60" s="393"/>
      <c r="C60" s="393"/>
      <c r="D60" s="387" t="s">
        <v>182</v>
      </c>
      <c r="E60" s="396"/>
      <c r="F60" s="396"/>
      <c r="G60" s="659">
        <f>G47+G59</f>
        <v>16979.320000000043</v>
      </c>
      <c r="H60" s="396">
        <f t="shared" si="10"/>
        <v>16979.320000000043</v>
      </c>
      <c r="I60" s="396">
        <f>G13-G60</f>
        <v>-16979.320000000043</v>
      </c>
      <c r="J60" s="397">
        <f>H60/DAY(B2)</f>
        <v>16979.320000000043</v>
      </c>
      <c r="K60" s="540"/>
      <c r="L60" s="429"/>
      <c r="N60" s="539"/>
      <c r="O60" s="171"/>
    </row>
    <row r="61" spans="1:15" s="547" customFormat="1" ht="22.5" x14ac:dyDescent="0.4">
      <c r="A61" s="782" t="s">
        <v>332</v>
      </c>
      <c r="B61" s="783"/>
      <c r="C61" s="784"/>
      <c r="D61" s="428"/>
      <c r="E61" s="653"/>
      <c r="F61" s="653"/>
      <c r="G61" s="340"/>
      <c r="H61" s="653"/>
      <c r="I61" s="653"/>
      <c r="J61" s="681"/>
      <c r="K61" s="545"/>
      <c r="L61" s="546"/>
      <c r="N61" s="539"/>
      <c r="O61" s="171"/>
    </row>
    <row r="62" spans="1:15" ht="22.5" x14ac:dyDescent="0.4">
      <c r="A62" s="762" t="s">
        <v>198</v>
      </c>
      <c r="B62" s="763"/>
      <c r="C62" s="764"/>
      <c r="D62" s="394" t="s">
        <v>142</v>
      </c>
      <c r="E62" s="671">
        <v>267213</v>
      </c>
      <c r="F62" s="671">
        <v>267213</v>
      </c>
      <c r="G62" s="684">
        <f t="shared" ref="G62:G63" si="11">F62-E62</f>
        <v>0</v>
      </c>
      <c r="H62" s="396">
        <f t="shared" ref="H62:H71" si="12">G62</f>
        <v>0</v>
      </c>
      <c r="I62" s="396"/>
      <c r="J62" s="397">
        <f>H62/DAY(B2)</f>
        <v>0</v>
      </c>
      <c r="K62" s="541"/>
      <c r="L62" s="429"/>
      <c r="N62" s="539"/>
      <c r="O62" s="171"/>
    </row>
    <row r="63" spans="1:15" ht="22.5" x14ac:dyDescent="0.4">
      <c r="A63" s="762" t="s">
        <v>199</v>
      </c>
      <c r="B63" s="763"/>
      <c r="C63" s="764"/>
      <c r="D63" s="394" t="s">
        <v>142</v>
      </c>
      <c r="E63" s="671">
        <v>212425</v>
      </c>
      <c r="F63" s="671">
        <v>212558</v>
      </c>
      <c r="G63" s="684">
        <f t="shared" si="11"/>
        <v>133</v>
      </c>
      <c r="H63" s="396">
        <f t="shared" si="12"/>
        <v>133</v>
      </c>
      <c r="I63" s="396"/>
      <c r="J63" s="397">
        <f>H63/DAY(B2)</f>
        <v>133</v>
      </c>
      <c r="K63" s="545"/>
      <c r="L63" s="429"/>
      <c r="N63" s="539"/>
      <c r="O63" s="171"/>
    </row>
    <row r="64" spans="1:15" ht="22.5" x14ac:dyDescent="0.4">
      <c r="A64" s="756" t="s">
        <v>200</v>
      </c>
      <c r="B64" s="757"/>
      <c r="C64" s="758"/>
      <c r="D64" s="394"/>
      <c r="E64" s="671"/>
      <c r="F64" s="671"/>
      <c r="G64" s="684">
        <f>G62+G63</f>
        <v>133</v>
      </c>
      <c r="H64" s="396">
        <f t="shared" si="12"/>
        <v>133</v>
      </c>
      <c r="I64" s="396"/>
      <c r="J64" s="397">
        <f>H64/DAY(B2)</f>
        <v>133</v>
      </c>
      <c r="K64" s="545"/>
      <c r="L64" s="429"/>
      <c r="N64" s="539"/>
      <c r="O64" s="171"/>
    </row>
    <row r="65" spans="1:15" ht="22.5" x14ac:dyDescent="0.4">
      <c r="A65" s="797" t="s">
        <v>201</v>
      </c>
      <c r="B65" s="798"/>
      <c r="C65" s="799"/>
      <c r="D65" s="394" t="s">
        <v>142</v>
      </c>
      <c r="E65" s="671">
        <v>432614</v>
      </c>
      <c r="F65" s="671">
        <v>432712</v>
      </c>
      <c r="G65" s="684">
        <f t="shared" ref="G65:G70" si="13">F65-E65</f>
        <v>98</v>
      </c>
      <c r="H65" s="396">
        <f t="shared" si="12"/>
        <v>98</v>
      </c>
      <c r="I65" s="396"/>
      <c r="J65" s="397">
        <f>H65/DAY(B2)</f>
        <v>98</v>
      </c>
      <c r="K65" s="545"/>
      <c r="L65" s="429"/>
      <c r="N65" s="539"/>
      <c r="O65" s="171"/>
    </row>
    <row r="66" spans="1:15" ht="22.5" x14ac:dyDescent="0.4">
      <c r="A66" s="518" t="s">
        <v>202</v>
      </c>
      <c r="B66" s="407"/>
      <c r="C66" s="407"/>
      <c r="D66" s="394" t="s">
        <v>142</v>
      </c>
      <c r="E66" s="671">
        <v>107214</v>
      </c>
      <c r="F66" s="671">
        <v>107242</v>
      </c>
      <c r="G66" s="684">
        <f t="shared" si="13"/>
        <v>28</v>
      </c>
      <c r="H66" s="396">
        <f t="shared" si="12"/>
        <v>28</v>
      </c>
      <c r="I66" s="396"/>
      <c r="J66" s="397">
        <f>H66/DAY(B2)</f>
        <v>28</v>
      </c>
      <c r="K66" s="537"/>
      <c r="L66" s="429"/>
      <c r="N66" s="539"/>
      <c r="O66" s="171"/>
    </row>
    <row r="67" spans="1:15" ht="22.5" x14ac:dyDescent="0.4">
      <c r="A67" s="518" t="s">
        <v>203</v>
      </c>
      <c r="B67" s="407"/>
      <c r="C67" s="407"/>
      <c r="D67" s="394" t="s">
        <v>142</v>
      </c>
      <c r="E67" s="671">
        <v>103928</v>
      </c>
      <c r="F67" s="671">
        <v>103968</v>
      </c>
      <c r="G67" s="684">
        <f t="shared" si="13"/>
        <v>40</v>
      </c>
      <c r="H67" s="396">
        <f t="shared" si="12"/>
        <v>40</v>
      </c>
      <c r="I67" s="396"/>
      <c r="J67" s="397">
        <f>H67/DAY(B2)</f>
        <v>40</v>
      </c>
      <c r="K67" s="548"/>
      <c r="L67" s="429"/>
      <c r="N67" s="539"/>
      <c r="O67" s="171"/>
    </row>
    <row r="68" spans="1:15" ht="22.5" x14ac:dyDescent="0.4">
      <c r="A68" s="518" t="s">
        <v>204</v>
      </c>
      <c r="B68" s="407"/>
      <c r="C68" s="407"/>
      <c r="D68" s="394" t="s">
        <v>142</v>
      </c>
      <c r="E68" s="671">
        <v>156620</v>
      </c>
      <c r="F68" s="671">
        <v>156634</v>
      </c>
      <c r="G68" s="684">
        <f t="shared" si="13"/>
        <v>14</v>
      </c>
      <c r="H68" s="396">
        <f t="shared" si="12"/>
        <v>14</v>
      </c>
      <c r="I68" s="396"/>
      <c r="J68" s="397">
        <f>H68/DAY(B2)</f>
        <v>14</v>
      </c>
      <c r="K68" s="545"/>
      <c r="L68" s="429"/>
      <c r="N68" s="539"/>
      <c r="O68" s="171"/>
    </row>
    <row r="69" spans="1:15" ht="22.5" x14ac:dyDescent="0.4">
      <c r="A69" s="518" t="s">
        <v>205</v>
      </c>
      <c r="B69" s="407"/>
      <c r="C69" s="407"/>
      <c r="D69" s="394" t="s">
        <v>142</v>
      </c>
      <c r="E69" s="671">
        <v>10214</v>
      </c>
      <c r="F69" s="671">
        <v>10239</v>
      </c>
      <c r="G69" s="684">
        <f t="shared" si="13"/>
        <v>25</v>
      </c>
      <c r="H69" s="396">
        <f t="shared" si="12"/>
        <v>25</v>
      </c>
      <c r="I69" s="396"/>
      <c r="J69" s="397">
        <f>H69/DAY(B2)</f>
        <v>25</v>
      </c>
      <c r="K69" s="545"/>
      <c r="L69" s="429"/>
      <c r="N69" s="539"/>
      <c r="O69" s="171"/>
    </row>
    <row r="70" spans="1:15" ht="22.5" x14ac:dyDescent="0.4">
      <c r="A70" s="518" t="s">
        <v>206</v>
      </c>
      <c r="B70" s="407"/>
      <c r="C70" s="407"/>
      <c r="D70" s="394" t="s">
        <v>142</v>
      </c>
      <c r="E70" s="413">
        <v>7862</v>
      </c>
      <c r="F70" s="413">
        <v>7875</v>
      </c>
      <c r="G70" s="690">
        <f t="shared" si="13"/>
        <v>13</v>
      </c>
      <c r="H70" s="396">
        <f t="shared" si="12"/>
        <v>13</v>
      </c>
      <c r="I70" s="395"/>
      <c r="J70" s="397">
        <f>H70/DAY(B2)</f>
        <v>13</v>
      </c>
      <c r="K70" s="545"/>
      <c r="L70" s="429"/>
      <c r="N70" s="539"/>
      <c r="O70" s="171"/>
    </row>
    <row r="71" spans="1:15" ht="22.5" x14ac:dyDescent="0.4">
      <c r="A71" s="756" t="s">
        <v>208</v>
      </c>
      <c r="B71" s="757"/>
      <c r="C71" s="758"/>
      <c r="D71" s="411"/>
      <c r="E71" s="411"/>
      <c r="F71" s="411"/>
      <c r="G71" s="573">
        <f>SUM(G65:G70)</f>
        <v>218</v>
      </c>
      <c r="H71" s="396">
        <f t="shared" si="12"/>
        <v>218</v>
      </c>
      <c r="I71" s="660"/>
      <c r="J71" s="397">
        <f>H71/DAY(B2)</f>
        <v>218</v>
      </c>
      <c r="K71" s="545"/>
      <c r="L71" s="429"/>
      <c r="N71" s="539"/>
      <c r="O71" s="171"/>
    </row>
    <row r="72" spans="1:15" ht="22.5" x14ac:dyDescent="0.4">
      <c r="A72" s="804"/>
      <c r="B72" s="752"/>
      <c r="C72" s="507"/>
      <c r="D72" s="429"/>
      <c r="E72" s="661"/>
      <c r="F72" s="661"/>
      <c r="G72" s="691"/>
      <c r="H72" s="430"/>
      <c r="I72" s="661"/>
      <c r="J72" s="662"/>
      <c r="N72" s="539"/>
      <c r="O72" s="171"/>
    </row>
    <row r="73" spans="1:15" ht="22.5" x14ac:dyDescent="0.4">
      <c r="A73" s="782" t="s">
        <v>333</v>
      </c>
      <c r="B73" s="783"/>
      <c r="C73" s="784"/>
      <c r="D73" s="428"/>
      <c r="E73" s="428"/>
      <c r="F73" s="428"/>
      <c r="G73" s="572"/>
      <c r="H73" s="431"/>
      <c r="I73" s="431"/>
      <c r="J73" s="432"/>
      <c r="K73" s="545"/>
      <c r="L73" s="429"/>
      <c r="N73" s="539"/>
      <c r="O73" s="171"/>
    </row>
    <row r="74" spans="1:15" ht="22.5" x14ac:dyDescent="0.4">
      <c r="A74" s="762" t="s">
        <v>220</v>
      </c>
      <c r="B74" s="763"/>
      <c r="C74" s="764"/>
      <c r="D74" s="394" t="s">
        <v>139</v>
      </c>
      <c r="E74" s="408">
        <v>892032</v>
      </c>
      <c r="F74" s="408">
        <v>892299.77</v>
      </c>
      <c r="G74" s="690">
        <f t="shared" ref="G74:G78" si="14">F74-E74</f>
        <v>267.77000000001863</v>
      </c>
      <c r="H74" s="396">
        <f t="shared" ref="H74:H79" si="15">G74</f>
        <v>267.77000000001863</v>
      </c>
      <c r="I74" s="660"/>
      <c r="J74" s="397">
        <f>H74/DAY(B2)</f>
        <v>267.77000000001863</v>
      </c>
      <c r="K74" s="545"/>
      <c r="L74" s="429"/>
      <c r="N74" s="539"/>
      <c r="O74" s="171"/>
    </row>
    <row r="75" spans="1:15" ht="22.5" x14ac:dyDescent="0.4">
      <c r="A75" s="762" t="s">
        <v>221</v>
      </c>
      <c r="B75" s="763"/>
      <c r="C75" s="764"/>
      <c r="D75" s="394" t="s">
        <v>139</v>
      </c>
      <c r="E75" s="408">
        <v>73586.8</v>
      </c>
      <c r="F75" s="408">
        <v>73586.8</v>
      </c>
      <c r="G75" s="690">
        <f t="shared" si="14"/>
        <v>0</v>
      </c>
      <c r="H75" s="396">
        <f t="shared" si="15"/>
        <v>0</v>
      </c>
      <c r="I75" s="660"/>
      <c r="J75" s="397">
        <f>H75/DAY(B2)</f>
        <v>0</v>
      </c>
      <c r="K75" s="545"/>
      <c r="L75" s="429"/>
      <c r="N75" s="539"/>
      <c r="O75" s="171"/>
    </row>
    <row r="76" spans="1:15" ht="22.5" x14ac:dyDescent="0.4">
      <c r="A76" s="785" t="s">
        <v>222</v>
      </c>
      <c r="B76" s="786"/>
      <c r="C76" s="787"/>
      <c r="D76" s="394" t="s">
        <v>139</v>
      </c>
      <c r="E76" s="408">
        <v>167207</v>
      </c>
      <c r="F76" s="408">
        <v>167309.91</v>
      </c>
      <c r="G76" s="690">
        <f t="shared" si="14"/>
        <v>102.91000000000349</v>
      </c>
      <c r="H76" s="396">
        <f t="shared" si="15"/>
        <v>102.91000000000349</v>
      </c>
      <c r="I76" s="660"/>
      <c r="J76" s="397">
        <f>H76/DAY(B2)</f>
        <v>102.91000000000349</v>
      </c>
      <c r="K76" s="545"/>
      <c r="L76" s="429"/>
      <c r="N76" s="539"/>
      <c r="O76" s="171"/>
    </row>
    <row r="77" spans="1:15" ht="22.5" x14ac:dyDescent="0.4">
      <c r="A77" s="785" t="s">
        <v>223</v>
      </c>
      <c r="B77" s="786"/>
      <c r="C77" s="787"/>
      <c r="D77" s="394" t="s">
        <v>139</v>
      </c>
      <c r="E77" s="509">
        <v>40316</v>
      </c>
      <c r="F77" s="408">
        <v>40343.4</v>
      </c>
      <c r="G77" s="690">
        <f t="shared" si="14"/>
        <v>27.400000000001455</v>
      </c>
      <c r="H77" s="396">
        <f t="shared" si="15"/>
        <v>27.400000000001455</v>
      </c>
      <c r="I77" s="660"/>
      <c r="J77" s="397">
        <f>H77/DAY(B2)</f>
        <v>27.400000000001455</v>
      </c>
      <c r="K77" s="545"/>
      <c r="L77" s="429"/>
      <c r="N77" s="539"/>
      <c r="O77" s="171"/>
    </row>
    <row r="78" spans="1:15" ht="22.5" x14ac:dyDescent="0.4">
      <c r="A78" s="785" t="s">
        <v>224</v>
      </c>
      <c r="B78" s="786"/>
      <c r="C78" s="787"/>
      <c r="D78" s="394" t="s">
        <v>139</v>
      </c>
      <c r="E78" s="408">
        <v>9486</v>
      </c>
      <c r="F78" s="408">
        <v>9487.9</v>
      </c>
      <c r="G78" s="690">
        <f t="shared" si="14"/>
        <v>1.8999999999996362</v>
      </c>
      <c r="H78" s="396">
        <f t="shared" si="15"/>
        <v>1.8999999999996362</v>
      </c>
      <c r="I78" s="395"/>
      <c r="J78" s="397">
        <f>H78/DAY(B2)</f>
        <v>1.8999999999996362</v>
      </c>
      <c r="K78" s="545"/>
      <c r="L78" s="429"/>
      <c r="N78" s="539"/>
      <c r="O78" s="171"/>
    </row>
    <row r="79" spans="1:15" ht="22.5" x14ac:dyDescent="0.4">
      <c r="A79" s="785" t="s">
        <v>225</v>
      </c>
      <c r="B79" s="786"/>
      <c r="C79" s="787"/>
      <c r="D79" s="394"/>
      <c r="E79" s="408"/>
      <c r="F79" s="408"/>
      <c r="G79" s="690">
        <f>G15-SUM(G74:G78)</f>
        <v>670.10599999987062</v>
      </c>
      <c r="H79" s="396">
        <f t="shared" si="15"/>
        <v>670.10599999987062</v>
      </c>
      <c r="I79" s="395"/>
      <c r="J79" s="397"/>
      <c r="K79" s="545"/>
      <c r="L79" s="429"/>
      <c r="N79" s="539"/>
      <c r="O79" s="171"/>
    </row>
    <row r="80" spans="1:15" ht="22.5" x14ac:dyDescent="0.4">
      <c r="A80" s="756" t="s">
        <v>329</v>
      </c>
      <c r="B80" s="757"/>
      <c r="C80" s="758"/>
      <c r="D80" s="394"/>
      <c r="E80" s="402"/>
      <c r="F80" s="402"/>
      <c r="G80" s="690">
        <f>SUM(G74:G79)</f>
        <v>1070.0859999998938</v>
      </c>
      <c r="H80" s="396"/>
      <c r="I80" s="395"/>
      <c r="J80" s="397"/>
      <c r="K80" s="545"/>
      <c r="L80" s="429"/>
      <c r="N80" s="539"/>
      <c r="O80" s="171"/>
    </row>
    <row r="81" spans="1:15" ht="22.5" x14ac:dyDescent="0.4">
      <c r="A81" s="776" t="s">
        <v>226</v>
      </c>
      <c r="B81" s="777"/>
      <c r="C81" s="778"/>
      <c r="D81" s="390"/>
      <c r="E81" s="391"/>
      <c r="F81" s="391"/>
      <c r="G81" s="575"/>
      <c r="H81" s="433"/>
      <c r="I81" s="433"/>
      <c r="J81" s="434"/>
      <c r="O81" s="171"/>
    </row>
    <row r="82" spans="1:15" ht="22.5" x14ac:dyDescent="0.4">
      <c r="A82" s="518" t="s">
        <v>227</v>
      </c>
      <c r="B82" s="407"/>
      <c r="C82" s="407"/>
      <c r="D82" s="394" t="s">
        <v>228</v>
      </c>
      <c r="E82" s="413">
        <v>0</v>
      </c>
      <c r="F82" s="413">
        <v>0</v>
      </c>
      <c r="G82" s="690">
        <f t="shared" ref="G82:G92" si="16">F82-E82</f>
        <v>0</v>
      </c>
      <c r="H82" s="396">
        <f t="shared" ref="H82:H92" si="17">G82</f>
        <v>0</v>
      </c>
      <c r="I82" s="395"/>
      <c r="J82" s="397">
        <f>H82/DAY(B2)</f>
        <v>0</v>
      </c>
      <c r="O82" s="171"/>
    </row>
    <row r="83" spans="1:15" ht="22.5" x14ac:dyDescent="0.4">
      <c r="A83" s="518" t="s">
        <v>229</v>
      </c>
      <c r="B83" s="407"/>
      <c r="C83" s="407"/>
      <c r="D83" s="394" t="s">
        <v>228</v>
      </c>
      <c r="E83" s="413">
        <v>0</v>
      </c>
      <c r="F83" s="413">
        <v>0</v>
      </c>
      <c r="G83" s="690">
        <f t="shared" si="16"/>
        <v>0</v>
      </c>
      <c r="H83" s="396">
        <f t="shared" si="17"/>
        <v>0</v>
      </c>
      <c r="I83" s="395"/>
      <c r="J83" s="397">
        <f>H83/DAY(B2)</f>
        <v>0</v>
      </c>
      <c r="O83" s="171"/>
    </row>
    <row r="84" spans="1:15" ht="22.5" x14ac:dyDescent="0.4">
      <c r="A84" s="518" t="s">
        <v>230</v>
      </c>
      <c r="B84" s="407"/>
      <c r="C84" s="407"/>
      <c r="D84" s="394" t="s">
        <v>228</v>
      </c>
      <c r="E84" s="435">
        <v>41675</v>
      </c>
      <c r="F84" s="435">
        <v>41675</v>
      </c>
      <c r="G84" s="690">
        <f t="shared" si="16"/>
        <v>0</v>
      </c>
      <c r="H84" s="396">
        <f t="shared" si="17"/>
        <v>0</v>
      </c>
      <c r="I84" s="395"/>
      <c r="J84" s="397">
        <f>H84/DAY(B2)</f>
        <v>0</v>
      </c>
      <c r="O84" s="171"/>
    </row>
    <row r="85" spans="1:15" ht="22.5" x14ac:dyDescent="0.4">
      <c r="A85" s="518" t="s">
        <v>231</v>
      </c>
      <c r="B85" s="407"/>
      <c r="C85" s="407"/>
      <c r="D85" s="394" t="s">
        <v>228</v>
      </c>
      <c r="E85" s="435">
        <v>2096.56</v>
      </c>
      <c r="F85" s="435">
        <v>2096.56</v>
      </c>
      <c r="G85" s="690">
        <f t="shared" si="16"/>
        <v>0</v>
      </c>
      <c r="H85" s="396">
        <f t="shared" si="17"/>
        <v>0</v>
      </c>
      <c r="I85" s="395">
        <f>G82+G83+G84+G85</f>
        <v>0</v>
      </c>
      <c r="J85" s="397">
        <f>H85/DAY(B2)</f>
        <v>0</v>
      </c>
      <c r="O85" s="171"/>
    </row>
    <row r="86" spans="1:15" ht="22.5" x14ac:dyDescent="0.4">
      <c r="A86" s="518" t="s">
        <v>232</v>
      </c>
      <c r="B86" s="407"/>
      <c r="C86" s="407"/>
      <c r="D86" s="394" t="s">
        <v>228</v>
      </c>
      <c r="E86" s="435">
        <v>42863</v>
      </c>
      <c r="F86" s="435">
        <v>42887</v>
      </c>
      <c r="G86" s="693">
        <f t="shared" si="16"/>
        <v>24</v>
      </c>
      <c r="H86" s="396">
        <f t="shared" si="17"/>
        <v>24</v>
      </c>
      <c r="I86" s="395"/>
      <c r="J86" s="397">
        <f>H86/DAY(B2)</f>
        <v>24</v>
      </c>
      <c r="O86" s="171"/>
    </row>
    <row r="87" spans="1:15" ht="22.5" x14ac:dyDescent="0.4">
      <c r="A87" s="518" t="s">
        <v>233</v>
      </c>
      <c r="B87" s="407"/>
      <c r="C87" s="407"/>
      <c r="D87" s="394" t="s">
        <v>228</v>
      </c>
      <c r="E87" s="435">
        <v>34598.550000000003</v>
      </c>
      <c r="F87" s="435">
        <v>34598.550000000003</v>
      </c>
      <c r="G87" s="690">
        <f t="shared" si="16"/>
        <v>0</v>
      </c>
      <c r="H87" s="396">
        <f t="shared" si="17"/>
        <v>0</v>
      </c>
      <c r="I87" s="395"/>
      <c r="J87" s="397">
        <f>H87/DAY(B2)</f>
        <v>0</v>
      </c>
      <c r="O87" s="171"/>
    </row>
    <row r="88" spans="1:15" ht="22.5" x14ac:dyDescent="0.4">
      <c r="A88" s="518" t="s">
        <v>234</v>
      </c>
      <c r="B88" s="407"/>
      <c r="C88" s="407"/>
      <c r="D88" s="394" t="s">
        <v>228</v>
      </c>
      <c r="E88" s="435">
        <v>24047</v>
      </c>
      <c r="F88" s="435">
        <v>24053.38</v>
      </c>
      <c r="G88" s="690">
        <f t="shared" si="16"/>
        <v>6.3800000000010186</v>
      </c>
      <c r="H88" s="396">
        <f t="shared" si="17"/>
        <v>6.3800000000010186</v>
      </c>
      <c r="I88" s="395">
        <f>G86+G87+G88</f>
        <v>30.380000000001019</v>
      </c>
      <c r="J88" s="397">
        <f>H88/DAY(B2)</f>
        <v>6.3800000000010186</v>
      </c>
      <c r="O88" s="171"/>
    </row>
    <row r="89" spans="1:15" ht="22.5" x14ac:dyDescent="0.4">
      <c r="A89" s="518" t="s">
        <v>235</v>
      </c>
      <c r="B89" s="407"/>
      <c r="C89" s="407"/>
      <c r="D89" s="394" t="s">
        <v>228</v>
      </c>
      <c r="E89" s="435">
        <v>25663</v>
      </c>
      <c r="F89" s="435">
        <v>25667.09</v>
      </c>
      <c r="G89" s="690">
        <f t="shared" si="16"/>
        <v>4.0900000000001455</v>
      </c>
      <c r="H89" s="396">
        <f t="shared" si="17"/>
        <v>4.0900000000001455</v>
      </c>
      <c r="I89" s="395"/>
      <c r="J89" s="397">
        <f>H89/DAY(B2)</f>
        <v>4.0900000000001455</v>
      </c>
      <c r="O89" s="171"/>
    </row>
    <row r="90" spans="1:15" ht="22.5" x14ac:dyDescent="0.4">
      <c r="A90" s="518" t="s">
        <v>236</v>
      </c>
      <c r="B90" s="407"/>
      <c r="C90" s="407"/>
      <c r="D90" s="394" t="s">
        <v>228</v>
      </c>
      <c r="E90" s="435">
        <v>71034</v>
      </c>
      <c r="F90" s="435">
        <v>71039.61</v>
      </c>
      <c r="G90" s="690">
        <f t="shared" si="16"/>
        <v>5.6100000000005821</v>
      </c>
      <c r="H90" s="396">
        <f t="shared" si="17"/>
        <v>5.6100000000005821</v>
      </c>
      <c r="I90" s="395">
        <f>G89+G90</f>
        <v>9.7000000000007276</v>
      </c>
      <c r="J90" s="397">
        <f>H90/DAY(B2)</f>
        <v>5.6100000000005821</v>
      </c>
      <c r="O90" s="171"/>
    </row>
    <row r="91" spans="1:15" ht="22.5" x14ac:dyDescent="0.4">
      <c r="A91" s="518" t="s">
        <v>237</v>
      </c>
      <c r="B91" s="407"/>
      <c r="C91" s="407"/>
      <c r="D91" s="394" t="s">
        <v>228</v>
      </c>
      <c r="E91" s="413">
        <v>3226.32</v>
      </c>
      <c r="F91" s="413">
        <v>3226.32</v>
      </c>
      <c r="G91" s="690">
        <f t="shared" si="16"/>
        <v>0</v>
      </c>
      <c r="H91" s="396">
        <f t="shared" si="17"/>
        <v>0</v>
      </c>
      <c r="I91" s="444"/>
      <c r="J91" s="397">
        <f>H91/DAY(B2)</f>
        <v>0</v>
      </c>
      <c r="O91" s="171"/>
    </row>
    <row r="92" spans="1:15" ht="22.5" x14ac:dyDescent="0.4">
      <c r="A92" s="518" t="s">
        <v>238</v>
      </c>
      <c r="B92" s="407"/>
      <c r="C92" s="407"/>
      <c r="D92" s="394" t="s">
        <v>228</v>
      </c>
      <c r="E92" s="413">
        <v>5438</v>
      </c>
      <c r="F92" s="413">
        <v>5447.66</v>
      </c>
      <c r="G92" s="690">
        <f t="shared" si="16"/>
        <v>9.6599999999998545</v>
      </c>
      <c r="H92" s="396">
        <f t="shared" si="17"/>
        <v>9.6599999999998545</v>
      </c>
      <c r="I92" s="444"/>
      <c r="J92" s="397">
        <f>H92/DAY(B2)</f>
        <v>9.6599999999998545</v>
      </c>
      <c r="O92" s="171"/>
    </row>
    <row r="93" spans="1:15" ht="22.5" x14ac:dyDescent="0.4">
      <c r="A93" s="779" t="s">
        <v>239</v>
      </c>
      <c r="B93" s="780"/>
      <c r="C93" s="781"/>
      <c r="D93" s="391"/>
      <c r="E93" s="391"/>
      <c r="F93" s="391"/>
      <c r="G93" s="564"/>
      <c r="H93" s="406"/>
      <c r="I93" s="406"/>
      <c r="J93" s="437"/>
      <c r="K93" s="545"/>
      <c r="L93" s="429"/>
      <c r="O93" s="171"/>
    </row>
    <row r="94" spans="1:15" ht="22.5" x14ac:dyDescent="0.4">
      <c r="A94" s="762" t="s">
        <v>240</v>
      </c>
      <c r="B94" s="763"/>
      <c r="C94" s="764"/>
      <c r="D94" s="394" t="s">
        <v>130</v>
      </c>
      <c r="E94" s="394"/>
      <c r="F94" s="394"/>
      <c r="G94" s="576">
        <f>G35+G43+G49+G57</f>
        <v>6232.1800000000148</v>
      </c>
      <c r="H94" s="396">
        <f t="shared" ref="H94:H105" si="18">G94</f>
        <v>6232.1800000000148</v>
      </c>
      <c r="I94" s="395"/>
      <c r="J94" s="397">
        <f>H94/DAY(B2)</f>
        <v>6232.1800000000148</v>
      </c>
      <c r="K94" s="545"/>
      <c r="L94" s="429"/>
      <c r="O94" s="171"/>
    </row>
    <row r="95" spans="1:15" ht="22.5" x14ac:dyDescent="0.4">
      <c r="A95" s="762" t="s">
        <v>241</v>
      </c>
      <c r="B95" s="763"/>
      <c r="C95" s="764"/>
      <c r="D95" s="394" t="s">
        <v>23</v>
      </c>
      <c r="E95" s="394"/>
      <c r="F95" s="394"/>
      <c r="G95" s="577">
        <f>G94/G7</f>
        <v>0.31150729286887907</v>
      </c>
      <c r="H95" s="396">
        <f t="shared" si="18"/>
        <v>0.31150729286887907</v>
      </c>
      <c r="I95" s="663"/>
      <c r="J95" s="397">
        <f>H95/DAY(B2)</f>
        <v>0.31150729286887907</v>
      </c>
      <c r="K95" s="545"/>
      <c r="L95" s="429"/>
      <c r="O95" s="171"/>
    </row>
    <row r="96" spans="1:15" ht="22.5" x14ac:dyDescent="0.4">
      <c r="A96" s="762" t="s">
        <v>242</v>
      </c>
      <c r="B96" s="763"/>
      <c r="C96" s="764"/>
      <c r="D96" s="394" t="s">
        <v>130</v>
      </c>
      <c r="E96" s="395"/>
      <c r="F96" s="395"/>
      <c r="G96" s="576">
        <f>G41+G42+G55+G56</f>
        <v>2431.4200000000055</v>
      </c>
      <c r="H96" s="396">
        <f t="shared" si="18"/>
        <v>2431.4200000000055</v>
      </c>
      <c r="I96" s="395"/>
      <c r="J96" s="397">
        <f>H96/DAY(B2)</f>
        <v>2431.4200000000055</v>
      </c>
      <c r="K96" s="545"/>
      <c r="L96" s="429"/>
      <c r="O96" s="171"/>
    </row>
    <row r="97" spans="1:15" ht="22.5" x14ac:dyDescent="0.4">
      <c r="A97" s="762" t="s">
        <v>243</v>
      </c>
      <c r="B97" s="763"/>
      <c r="C97" s="764"/>
      <c r="D97" s="394" t="s">
        <v>23</v>
      </c>
      <c r="E97" s="395"/>
      <c r="F97" s="395"/>
      <c r="G97" s="577">
        <f>G96/G7</f>
        <v>0.12153132002401244</v>
      </c>
      <c r="H97" s="396">
        <f t="shared" si="18"/>
        <v>0.12153132002401244</v>
      </c>
      <c r="I97" s="663"/>
      <c r="J97" s="397">
        <f>H97/DAY(B2)</f>
        <v>0.12153132002401244</v>
      </c>
      <c r="K97" s="545"/>
      <c r="L97" s="429"/>
      <c r="O97" s="171"/>
    </row>
    <row r="98" spans="1:15" ht="22.5" x14ac:dyDescent="0.4">
      <c r="A98" s="762" t="s">
        <v>244</v>
      </c>
      <c r="B98" s="763"/>
      <c r="C98" s="764"/>
      <c r="D98" s="394" t="s">
        <v>130</v>
      </c>
      <c r="E98" s="395"/>
      <c r="F98" s="395"/>
      <c r="G98" s="576">
        <f>G39+G53</f>
        <v>2724.390000000014</v>
      </c>
      <c r="H98" s="396">
        <f t="shared" si="18"/>
        <v>2724.390000000014</v>
      </c>
      <c r="I98" s="664"/>
      <c r="J98" s="397">
        <f>H98/DAY(B2)</f>
        <v>2724.390000000014</v>
      </c>
      <c r="K98" s="545"/>
      <c r="L98" s="429"/>
      <c r="O98" s="171"/>
    </row>
    <row r="99" spans="1:15" ht="22.5" x14ac:dyDescent="0.4">
      <c r="A99" s="762" t="s">
        <v>245</v>
      </c>
      <c r="B99" s="763"/>
      <c r="C99" s="764"/>
      <c r="D99" s="394" t="s">
        <v>23</v>
      </c>
      <c r="E99" s="395"/>
      <c r="F99" s="395"/>
      <c r="G99" s="577">
        <f>G98/G7</f>
        <v>0.13617503884981624</v>
      </c>
      <c r="H99" s="396">
        <f t="shared" si="18"/>
        <v>0.13617503884981624</v>
      </c>
      <c r="I99" s="664"/>
      <c r="J99" s="397">
        <f>H99/DAY(B2)</f>
        <v>0.13617503884981624</v>
      </c>
      <c r="O99" s="171"/>
    </row>
    <row r="100" spans="1:15" ht="22.5" x14ac:dyDescent="0.4">
      <c r="A100" s="762" t="s">
        <v>246</v>
      </c>
      <c r="B100" s="763"/>
      <c r="C100" s="764"/>
      <c r="D100" s="394" t="s">
        <v>180</v>
      </c>
      <c r="E100" s="395"/>
      <c r="F100" s="395"/>
      <c r="G100" s="576">
        <f>G38+G52</f>
        <v>1665.429999999993</v>
      </c>
      <c r="H100" s="396">
        <f t="shared" si="18"/>
        <v>1665.429999999993</v>
      </c>
      <c r="I100" s="395"/>
      <c r="J100" s="397">
        <f>H100/DAY(B2)</f>
        <v>1665.429999999993</v>
      </c>
      <c r="K100" s="549"/>
      <c r="O100" s="171"/>
    </row>
    <row r="101" spans="1:15" ht="22.5" x14ac:dyDescent="0.4">
      <c r="A101" s="762" t="s">
        <v>247</v>
      </c>
      <c r="B101" s="763"/>
      <c r="C101" s="764"/>
      <c r="D101" s="394" t="s">
        <v>23</v>
      </c>
      <c r="E101" s="395"/>
      <c r="F101" s="395"/>
      <c r="G101" s="577">
        <f>G100/G7</f>
        <v>8.3244320729281548E-2</v>
      </c>
      <c r="H101" s="396">
        <f t="shared" si="18"/>
        <v>8.3244320729281548E-2</v>
      </c>
      <c r="I101" s="664"/>
      <c r="J101" s="397">
        <f>H101/DAY(B2)</f>
        <v>8.3244320729281548E-2</v>
      </c>
      <c r="O101" s="171"/>
    </row>
    <row r="102" spans="1:15" ht="22.5" x14ac:dyDescent="0.4">
      <c r="A102" s="762" t="s">
        <v>248</v>
      </c>
      <c r="B102" s="763"/>
      <c r="C102" s="764"/>
      <c r="D102" s="394" t="s">
        <v>180</v>
      </c>
      <c r="E102" s="395"/>
      <c r="F102" s="395"/>
      <c r="G102" s="576">
        <f>G36+G50</f>
        <v>2121.3500000000022</v>
      </c>
      <c r="H102" s="396">
        <f t="shared" si="18"/>
        <v>2121.3500000000022</v>
      </c>
      <c r="I102" s="664"/>
      <c r="J102" s="397">
        <f>H102/DAY(B2)</f>
        <v>2121.3500000000022</v>
      </c>
      <c r="O102" s="171"/>
    </row>
    <row r="103" spans="1:15" ht="22.5" x14ac:dyDescent="0.4">
      <c r="A103" s="762" t="s">
        <v>249</v>
      </c>
      <c r="B103" s="763"/>
      <c r="C103" s="764"/>
      <c r="D103" s="394" t="s">
        <v>23</v>
      </c>
      <c r="E103" s="395"/>
      <c r="F103" s="395"/>
      <c r="G103" s="577">
        <f>G102/G7</f>
        <v>0.10603288026459373</v>
      </c>
      <c r="H103" s="396">
        <f t="shared" si="18"/>
        <v>0.10603288026459373</v>
      </c>
      <c r="I103" s="395"/>
      <c r="J103" s="397">
        <f>H103/DAY(B2)</f>
        <v>0.10603288026459373</v>
      </c>
      <c r="O103" s="171"/>
    </row>
    <row r="104" spans="1:15" ht="22.5" x14ac:dyDescent="0.4">
      <c r="A104" s="762" t="s">
        <v>250</v>
      </c>
      <c r="B104" s="763"/>
      <c r="C104" s="764"/>
      <c r="D104" s="394" t="s">
        <v>180</v>
      </c>
      <c r="E104" s="395"/>
      <c r="F104" s="395"/>
      <c r="G104" s="576">
        <f>G37+G51</f>
        <v>1573.5100000000093</v>
      </c>
      <c r="H104" s="396">
        <f t="shared" si="18"/>
        <v>1573.5100000000093</v>
      </c>
      <c r="I104" s="395"/>
      <c r="J104" s="397">
        <f>H104/DAY(B2)</f>
        <v>1573.5100000000093</v>
      </c>
      <c r="O104" s="171"/>
    </row>
    <row r="105" spans="1:15" ht="23.25" thickBot="1" x14ac:dyDescent="0.45">
      <c r="A105" s="769" t="s">
        <v>251</v>
      </c>
      <c r="B105" s="770"/>
      <c r="C105" s="771"/>
      <c r="D105" s="438" t="s">
        <v>23</v>
      </c>
      <c r="E105" s="439"/>
      <c r="F105" s="439"/>
      <c r="G105" s="578">
        <f>G104/G7</f>
        <v>7.8649820833498335E-2</v>
      </c>
      <c r="H105" s="396">
        <f t="shared" si="18"/>
        <v>7.8649820833498335E-2</v>
      </c>
      <c r="I105" s="439"/>
      <c r="J105" s="440">
        <f>H105/DAY(B2)</f>
        <v>7.8649820833498335E-2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72" t="s">
        <v>324</v>
      </c>
      <c r="B108" s="772"/>
      <c r="C108" s="772"/>
      <c r="D108" s="772"/>
      <c r="E108" s="772"/>
      <c r="F108" s="772"/>
      <c r="G108" s="772"/>
      <c r="H108" s="772"/>
      <c r="I108" s="772"/>
      <c r="J108" s="772"/>
    </row>
    <row r="109" spans="1:15" ht="22.5" x14ac:dyDescent="0.4">
      <c r="A109" s="765"/>
      <c r="B109" s="765"/>
    </row>
    <row r="110" spans="1:15" ht="22.5" x14ac:dyDescent="0.4">
      <c r="A110" s="773" t="s">
        <v>165</v>
      </c>
      <c r="B110" s="774"/>
      <c r="C110" s="774"/>
      <c r="D110" s="774"/>
      <c r="E110" s="774"/>
      <c r="F110" s="774"/>
      <c r="G110" s="774"/>
      <c r="H110" s="774"/>
      <c r="I110" s="774"/>
      <c r="J110" s="775"/>
    </row>
    <row r="111" spans="1:15" ht="22.5" x14ac:dyDescent="0.4">
      <c r="A111" s="759"/>
      <c r="B111" s="760"/>
      <c r="C111" s="761"/>
      <c r="D111" s="436"/>
      <c r="E111" s="444"/>
      <c r="F111" s="444"/>
      <c r="G111" s="585"/>
      <c r="H111" s="441"/>
      <c r="I111" s="444"/>
      <c r="J111" s="441"/>
    </row>
    <row r="112" spans="1:15" ht="22.5" x14ac:dyDescent="0.4">
      <c r="A112" s="751" t="s">
        <v>252</v>
      </c>
      <c r="B112" s="754"/>
      <c r="C112" s="752"/>
      <c r="D112" s="387" t="s">
        <v>183</v>
      </c>
      <c r="E112" s="442">
        <v>55681</v>
      </c>
      <c r="F112" s="442">
        <v>55750.8</v>
      </c>
      <c r="G112" s="690">
        <f t="shared" ref="G112:G123" si="19">F112-E112</f>
        <v>69.80000000000291</v>
      </c>
      <c r="H112" s="396">
        <f t="shared" ref="H112:H123" si="20">G112</f>
        <v>69.80000000000291</v>
      </c>
      <c r="I112" s="444"/>
      <c r="J112" s="443">
        <f>H112/DAY(B2)</f>
        <v>69.80000000000291</v>
      </c>
    </row>
    <row r="113" spans="1:18" ht="29.25" customHeight="1" x14ac:dyDescent="0.4">
      <c r="A113" s="751" t="s">
        <v>253</v>
      </c>
      <c r="B113" s="754"/>
      <c r="C113" s="752"/>
      <c r="D113" s="387" t="s">
        <v>183</v>
      </c>
      <c r="E113" s="442">
        <v>32195</v>
      </c>
      <c r="F113" s="442">
        <v>32649.73</v>
      </c>
      <c r="G113" s="690">
        <f t="shared" si="19"/>
        <v>454.72999999999956</v>
      </c>
      <c r="H113" s="396">
        <f t="shared" si="20"/>
        <v>454.72999999999956</v>
      </c>
      <c r="I113" s="444"/>
      <c r="J113" s="443">
        <f>H113/DAY(B2)</f>
        <v>454.72999999999956</v>
      </c>
    </row>
    <row r="114" spans="1:18" ht="29.25" customHeight="1" x14ac:dyDescent="0.4">
      <c r="A114" s="751" t="s">
        <v>254</v>
      </c>
      <c r="B114" s="754"/>
      <c r="C114" s="752"/>
      <c r="D114" s="387" t="s">
        <v>183</v>
      </c>
      <c r="E114" s="442">
        <v>24871</v>
      </c>
      <c r="F114" s="442">
        <v>25139.35</v>
      </c>
      <c r="G114" s="690">
        <f t="shared" si="19"/>
        <v>268.34999999999854</v>
      </c>
      <c r="H114" s="396">
        <f t="shared" si="20"/>
        <v>268.34999999999854</v>
      </c>
      <c r="I114" s="444"/>
      <c r="J114" s="443">
        <f>H114/DAY(B2)</f>
        <v>268.34999999999854</v>
      </c>
    </row>
    <row r="115" spans="1:18" ht="29.25" customHeight="1" x14ac:dyDescent="0.4">
      <c r="A115" s="751" t="s">
        <v>255</v>
      </c>
      <c r="B115" s="754"/>
      <c r="C115" s="752"/>
      <c r="D115" s="387" t="s">
        <v>183</v>
      </c>
      <c r="E115" s="442">
        <v>8785</v>
      </c>
      <c r="F115" s="442">
        <v>8793.5</v>
      </c>
      <c r="G115" s="690">
        <f t="shared" si="19"/>
        <v>8.5</v>
      </c>
      <c r="H115" s="396">
        <f t="shared" si="20"/>
        <v>8.5</v>
      </c>
      <c r="I115" s="444"/>
      <c r="J115" s="443">
        <f>H115/DAY(B2)</f>
        <v>8.5</v>
      </c>
    </row>
    <row r="116" spans="1:18" ht="29.25" customHeight="1" x14ac:dyDescent="0.4">
      <c r="A116" s="766" t="s">
        <v>96</v>
      </c>
      <c r="B116" s="767"/>
      <c r="C116" s="768"/>
      <c r="D116" s="387" t="s">
        <v>183</v>
      </c>
      <c r="E116" s="442">
        <v>0</v>
      </c>
      <c r="F116" s="442">
        <v>0</v>
      </c>
      <c r="G116" s="690">
        <f t="shared" si="19"/>
        <v>0</v>
      </c>
      <c r="H116" s="396">
        <f t="shared" si="20"/>
        <v>0</v>
      </c>
      <c r="I116" s="444"/>
      <c r="J116" s="443">
        <f>H116/DAY(B2)</f>
        <v>0</v>
      </c>
      <c r="Q116" s="751"/>
      <c r="R116" s="752"/>
    </row>
    <row r="117" spans="1:18" ht="29.25" customHeight="1" x14ac:dyDescent="0.4">
      <c r="A117" s="766" t="s">
        <v>184</v>
      </c>
      <c r="B117" s="767"/>
      <c r="C117" s="768"/>
      <c r="D117" s="387" t="s">
        <v>183</v>
      </c>
      <c r="E117" s="442">
        <v>2590</v>
      </c>
      <c r="F117" s="442">
        <v>2611.4</v>
      </c>
      <c r="G117" s="690">
        <f t="shared" si="19"/>
        <v>21.400000000000091</v>
      </c>
      <c r="H117" s="396">
        <f t="shared" si="20"/>
        <v>21.400000000000091</v>
      </c>
      <c r="I117" s="444"/>
      <c r="J117" s="443">
        <f>H117/DAY(B2)</f>
        <v>21.400000000000091</v>
      </c>
      <c r="Q117" s="751"/>
      <c r="R117" s="752"/>
    </row>
    <row r="118" spans="1:18" ht="22.5" x14ac:dyDescent="0.4">
      <c r="A118" s="750" t="s">
        <v>97</v>
      </c>
      <c r="B118" s="750"/>
      <c r="C118" s="750"/>
      <c r="D118" s="394" t="s">
        <v>183</v>
      </c>
      <c r="E118" s="442">
        <v>241647</v>
      </c>
      <c r="F118" s="442">
        <v>242009.5</v>
      </c>
      <c r="G118" s="690">
        <f t="shared" si="19"/>
        <v>362.5</v>
      </c>
      <c r="H118" s="396">
        <f t="shared" si="20"/>
        <v>362.5</v>
      </c>
      <c r="I118" s="444"/>
      <c r="J118" s="443">
        <f>H118/DAY(B2)</f>
        <v>362.5</v>
      </c>
      <c r="Q118" s="751"/>
      <c r="R118" s="752"/>
    </row>
    <row r="119" spans="1:18" ht="22.5" x14ac:dyDescent="0.4">
      <c r="A119" s="750" t="s">
        <v>98</v>
      </c>
      <c r="B119" s="750"/>
      <c r="C119" s="750"/>
      <c r="D119" s="394" t="s">
        <v>183</v>
      </c>
      <c r="E119" s="442">
        <v>245126</v>
      </c>
      <c r="F119" s="442">
        <v>245557.91</v>
      </c>
      <c r="G119" s="690">
        <f t="shared" si="19"/>
        <v>431.91000000000349</v>
      </c>
      <c r="H119" s="396">
        <f t="shared" si="20"/>
        <v>431.91000000000349</v>
      </c>
      <c r="I119" s="444"/>
      <c r="J119" s="443">
        <f>H119/DAY(B2)</f>
        <v>431.91000000000349</v>
      </c>
    </row>
    <row r="120" spans="1:18" ht="22.5" x14ac:dyDescent="0.4">
      <c r="A120" s="750" t="s">
        <v>99</v>
      </c>
      <c r="B120" s="750"/>
      <c r="C120" s="750"/>
      <c r="D120" s="394" t="s">
        <v>183</v>
      </c>
      <c r="E120" s="442">
        <v>30078</v>
      </c>
      <c r="F120" s="442">
        <v>30511.74</v>
      </c>
      <c r="G120" s="690">
        <f t="shared" si="19"/>
        <v>433.7400000000016</v>
      </c>
      <c r="H120" s="396">
        <f t="shared" si="20"/>
        <v>433.7400000000016</v>
      </c>
      <c r="I120" s="444"/>
      <c r="J120" s="443">
        <f>H120/DAY(B2)</f>
        <v>433.7400000000016</v>
      </c>
    </row>
    <row r="121" spans="1:18" ht="22.5" x14ac:dyDescent="0.4">
      <c r="A121" s="750" t="s">
        <v>100</v>
      </c>
      <c r="B121" s="750"/>
      <c r="C121" s="750"/>
      <c r="D121" s="394" t="s">
        <v>183</v>
      </c>
      <c r="E121" s="442">
        <v>376529</v>
      </c>
      <c r="F121" s="442">
        <v>377313.71</v>
      </c>
      <c r="G121" s="690">
        <f t="shared" si="19"/>
        <v>784.71000000002095</v>
      </c>
      <c r="H121" s="396">
        <f t="shared" si="20"/>
        <v>784.71000000002095</v>
      </c>
      <c r="I121" s="444"/>
      <c r="J121" s="443">
        <f>H121/DAY(B2)</f>
        <v>784.71000000002095</v>
      </c>
    </row>
    <row r="122" spans="1:18" ht="22.5" x14ac:dyDescent="0.4">
      <c r="A122" s="750" t="s">
        <v>101</v>
      </c>
      <c r="B122" s="750"/>
      <c r="C122" s="750"/>
      <c r="D122" s="394" t="s">
        <v>183</v>
      </c>
      <c r="E122" s="442">
        <v>120050</v>
      </c>
      <c r="F122" s="442">
        <v>120263.74</v>
      </c>
      <c r="G122" s="690">
        <f t="shared" si="19"/>
        <v>213.74000000000524</v>
      </c>
      <c r="H122" s="396">
        <f t="shared" si="20"/>
        <v>213.74000000000524</v>
      </c>
      <c r="I122" s="444"/>
      <c r="J122" s="443">
        <f>H122/DAY(B2)</f>
        <v>213.74000000000524</v>
      </c>
    </row>
    <row r="123" spans="1:18" ht="22.5" x14ac:dyDescent="0.4">
      <c r="A123" s="750" t="s">
        <v>102</v>
      </c>
      <c r="B123" s="750"/>
      <c r="C123" s="750"/>
      <c r="D123" s="394" t="s">
        <v>183</v>
      </c>
      <c r="E123" s="442">
        <v>145125</v>
      </c>
      <c r="F123" s="442">
        <v>145471.69</v>
      </c>
      <c r="G123" s="690">
        <f t="shared" si="19"/>
        <v>346.69000000000233</v>
      </c>
      <c r="H123" s="396">
        <f t="shared" si="20"/>
        <v>346.69000000000233</v>
      </c>
      <c r="I123" s="444"/>
      <c r="J123" s="443">
        <f>H123/DAY(B2)</f>
        <v>346.69000000000233</v>
      </c>
    </row>
    <row r="124" spans="1:18" ht="29.25" customHeight="1" x14ac:dyDescent="0.4">
      <c r="A124" s="759"/>
      <c r="B124" s="760"/>
      <c r="C124" s="761"/>
      <c r="D124" s="436"/>
      <c r="E124" s="444"/>
      <c r="F124" s="444"/>
      <c r="G124" s="585"/>
      <c r="H124" s="441"/>
      <c r="I124" s="444"/>
      <c r="J124" s="441"/>
    </row>
    <row r="125" spans="1:18" ht="22.5" x14ac:dyDescent="0.4">
      <c r="A125" s="756" t="s">
        <v>196</v>
      </c>
      <c r="B125" s="757"/>
      <c r="C125" s="758"/>
      <c r="D125" s="394"/>
      <c r="E125" s="444"/>
      <c r="F125" s="444"/>
      <c r="G125" s="690">
        <f>SUM(G112:G124)</f>
        <v>3396.0700000000347</v>
      </c>
      <c r="H125" s="441"/>
      <c r="I125" s="156">
        <f>G125-(G39+G53)</f>
        <v>671.68000000002075</v>
      </c>
      <c r="J125" s="441"/>
    </row>
    <row r="126" spans="1:18" ht="22.5" x14ac:dyDescent="0.4">
      <c r="A126" s="744" t="s">
        <v>317</v>
      </c>
      <c r="B126" s="744"/>
      <c r="C126" s="744"/>
      <c r="D126" s="744"/>
      <c r="E126" s="744"/>
      <c r="F126" s="744"/>
      <c r="G126" s="744"/>
      <c r="H126" s="744"/>
      <c r="I126" s="744"/>
      <c r="J126" s="744"/>
    </row>
    <row r="127" spans="1:18" ht="22.5" x14ac:dyDescent="0.4">
      <c r="A127" s="745"/>
      <c r="B127" s="745"/>
      <c r="C127" s="436"/>
      <c r="D127" s="394"/>
      <c r="E127" s="444"/>
      <c r="F127" s="444"/>
      <c r="G127" s="690"/>
      <c r="H127" s="396">
        <f t="shared" ref="H127:H135" si="21">G127</f>
        <v>0</v>
      </c>
      <c r="I127" s="444"/>
      <c r="J127" s="443">
        <f>H127/DAY(B2)</f>
        <v>0</v>
      </c>
    </row>
    <row r="128" spans="1:18" ht="29.25" customHeight="1" x14ac:dyDescent="0.4">
      <c r="A128" s="751" t="s">
        <v>318</v>
      </c>
      <c r="B128" s="754"/>
      <c r="C128" s="752"/>
      <c r="D128" s="394" t="s">
        <v>183</v>
      </c>
      <c r="E128" s="444">
        <v>38004</v>
      </c>
      <c r="F128" s="444">
        <v>38365.74</v>
      </c>
      <c r="G128" s="690">
        <f t="shared" ref="G128:G133" si="22">F128-E128</f>
        <v>361.73999999999796</v>
      </c>
      <c r="H128" s="396">
        <f t="shared" si="21"/>
        <v>361.73999999999796</v>
      </c>
      <c r="I128" s="444"/>
      <c r="J128" s="443">
        <f>H128/DAY(B2)</f>
        <v>361.73999999999796</v>
      </c>
    </row>
    <row r="129" spans="1:15" ht="22.5" x14ac:dyDescent="0.4">
      <c r="A129" s="525" t="s">
        <v>319</v>
      </c>
      <c r="B129" s="445"/>
      <c r="C129" s="446"/>
      <c r="D129" s="394" t="s">
        <v>183</v>
      </c>
      <c r="E129" s="444">
        <v>20321</v>
      </c>
      <c r="F129" s="444">
        <v>20525.43</v>
      </c>
      <c r="G129" s="690">
        <f t="shared" si="22"/>
        <v>204.43000000000029</v>
      </c>
      <c r="H129" s="396">
        <f t="shared" si="21"/>
        <v>204.43000000000029</v>
      </c>
      <c r="I129" s="444"/>
      <c r="J129" s="443">
        <f>H129/DAY(B2)</f>
        <v>204.43000000000029</v>
      </c>
      <c r="N129" s="550"/>
      <c r="O129" s="497"/>
    </row>
    <row r="130" spans="1:15" ht="22.5" x14ac:dyDescent="0.4">
      <c r="A130" s="525" t="s">
        <v>320</v>
      </c>
      <c r="B130" s="445"/>
      <c r="C130" s="446"/>
      <c r="D130" s="394" t="s">
        <v>183</v>
      </c>
      <c r="E130" s="444">
        <v>18382</v>
      </c>
      <c r="F130" s="444">
        <v>19180.349999999999</v>
      </c>
      <c r="G130" s="690">
        <f t="shared" si="22"/>
        <v>798.34999999999854</v>
      </c>
      <c r="H130" s="396">
        <f t="shared" si="21"/>
        <v>798.34999999999854</v>
      </c>
      <c r="I130" s="444"/>
      <c r="J130" s="443">
        <f>H130/DAY(B2)</f>
        <v>798.34999999999854</v>
      </c>
      <c r="N130" s="550"/>
      <c r="O130" s="497"/>
    </row>
    <row r="131" spans="1:15" ht="22.5" x14ac:dyDescent="0.4">
      <c r="A131" s="751" t="s">
        <v>321</v>
      </c>
      <c r="B131" s="754"/>
      <c r="C131" s="752"/>
      <c r="D131" s="394" t="s">
        <v>183</v>
      </c>
      <c r="E131" s="444">
        <v>13153</v>
      </c>
      <c r="F131" s="651">
        <v>13233.4</v>
      </c>
      <c r="G131" s="693">
        <f t="shared" si="22"/>
        <v>80.399999999999636</v>
      </c>
      <c r="H131" s="396">
        <f t="shared" si="21"/>
        <v>80.399999999999636</v>
      </c>
      <c r="I131" s="444"/>
      <c r="J131" s="443">
        <f>H131/DAY(B2)</f>
        <v>80.399999999999636</v>
      </c>
      <c r="N131" s="550"/>
      <c r="O131" s="497"/>
    </row>
    <row r="132" spans="1:15" ht="22.5" x14ac:dyDescent="0.4">
      <c r="A132" s="751" t="s">
        <v>322</v>
      </c>
      <c r="B132" s="754"/>
      <c r="C132" s="752"/>
      <c r="D132" s="394" t="s">
        <v>183</v>
      </c>
      <c r="E132" s="444">
        <v>41023</v>
      </c>
      <c r="F132" s="651">
        <v>41473.43</v>
      </c>
      <c r="G132" s="693">
        <f t="shared" si="22"/>
        <v>450.43000000000029</v>
      </c>
      <c r="H132" s="396">
        <f t="shared" si="21"/>
        <v>450.43000000000029</v>
      </c>
      <c r="I132" s="444"/>
      <c r="J132" s="443">
        <f>H132/DAY(B2)</f>
        <v>450.43000000000029</v>
      </c>
    </row>
    <row r="133" spans="1:15" ht="22.5" x14ac:dyDescent="0.4">
      <c r="A133" s="751" t="s">
        <v>342</v>
      </c>
      <c r="B133" s="754"/>
      <c r="C133" s="752"/>
      <c r="D133" s="394" t="s">
        <v>183</v>
      </c>
      <c r="E133" s="444">
        <v>87703</v>
      </c>
      <c r="F133" s="651">
        <v>88536.86</v>
      </c>
      <c r="G133" s="693">
        <f t="shared" si="22"/>
        <v>833.86000000000058</v>
      </c>
      <c r="H133" s="396">
        <f t="shared" si="21"/>
        <v>833.86000000000058</v>
      </c>
      <c r="I133" s="444"/>
      <c r="J133" s="443">
        <f>H133/DAY(B2)</f>
        <v>833.86000000000058</v>
      </c>
    </row>
    <row r="134" spans="1:15" ht="22.5" x14ac:dyDescent="0.4">
      <c r="A134" s="755" t="s">
        <v>340</v>
      </c>
      <c r="B134" s="749"/>
      <c r="C134" s="739"/>
      <c r="D134" s="394" t="s">
        <v>183</v>
      </c>
      <c r="E134" s="444">
        <v>668880</v>
      </c>
      <c r="F134" s="651">
        <v>669520</v>
      </c>
      <c r="G134" s="693">
        <f>F134-E134</f>
        <v>640</v>
      </c>
      <c r="H134" s="396">
        <f t="shared" ref="H134" si="23">G134</f>
        <v>640</v>
      </c>
      <c r="I134" s="444"/>
      <c r="J134" s="443">
        <f>H134/DAY(B2)</f>
        <v>640</v>
      </c>
    </row>
    <row r="135" spans="1:15" ht="22.5" x14ac:dyDescent="0.4">
      <c r="A135" s="756" t="s">
        <v>196</v>
      </c>
      <c r="B135" s="757"/>
      <c r="C135" s="758"/>
      <c r="D135" s="394"/>
      <c r="E135" s="444"/>
      <c r="F135" s="444"/>
      <c r="G135" s="690">
        <f>SUM(G128:G134)</f>
        <v>3369.2099999999973</v>
      </c>
      <c r="H135" s="396">
        <f t="shared" si="21"/>
        <v>3369.2099999999973</v>
      </c>
      <c r="I135" s="156">
        <f>G135-(G35+G49)</f>
        <v>-301.74000000001433</v>
      </c>
      <c r="J135" s="443">
        <f>H135/DAY(B2)</f>
        <v>3369.2099999999973</v>
      </c>
    </row>
    <row r="136" spans="1:15" ht="22.5" x14ac:dyDescent="0.4">
      <c r="A136" s="744" t="s">
        <v>325</v>
      </c>
      <c r="B136" s="744"/>
      <c r="C136" s="744"/>
      <c r="D136" s="744"/>
      <c r="E136" s="744"/>
      <c r="F136" s="744"/>
      <c r="G136" s="744"/>
      <c r="H136" s="744"/>
      <c r="I136" s="744"/>
      <c r="J136" s="744"/>
    </row>
    <row r="137" spans="1:15" ht="22.5" x14ac:dyDescent="0.4">
      <c r="A137" s="165"/>
      <c r="B137" s="436"/>
      <c r="C137" s="436"/>
      <c r="D137" s="436"/>
      <c r="E137" s="444"/>
      <c r="F137" s="444"/>
      <c r="G137" s="585"/>
      <c r="H137" s="441"/>
      <c r="I137" s="444"/>
      <c r="J137" s="441"/>
    </row>
    <row r="138" spans="1:15" ht="22.5" x14ac:dyDescent="0.4">
      <c r="A138" s="750" t="s">
        <v>185</v>
      </c>
      <c r="B138" s="750"/>
      <c r="C138" s="750"/>
      <c r="D138" s="394" t="s">
        <v>183</v>
      </c>
      <c r="E138" s="447">
        <v>864171</v>
      </c>
      <c r="F138" s="447">
        <v>864220</v>
      </c>
      <c r="G138" s="690">
        <f t="shared" ref="G138:G150" si="24">F138-E138</f>
        <v>49</v>
      </c>
      <c r="H138" s="396">
        <f t="shared" ref="H138:H150" si="25">G138</f>
        <v>49</v>
      </c>
      <c r="I138" s="395"/>
      <c r="J138" s="443">
        <f>H138/DAY(B2)</f>
        <v>49</v>
      </c>
    </row>
    <row r="139" spans="1:15" ht="22.5" x14ac:dyDescent="0.4">
      <c r="A139" s="750" t="s">
        <v>186</v>
      </c>
      <c r="B139" s="750"/>
      <c r="C139" s="750"/>
      <c r="D139" s="394" t="s">
        <v>183</v>
      </c>
      <c r="E139" s="448">
        <v>886546</v>
      </c>
      <c r="F139" s="448">
        <v>886547</v>
      </c>
      <c r="G139" s="690">
        <f t="shared" si="24"/>
        <v>1</v>
      </c>
      <c r="H139" s="396">
        <f t="shared" si="25"/>
        <v>1</v>
      </c>
      <c r="I139" s="395"/>
      <c r="J139" s="443">
        <f>H139/DAY(B2)</f>
        <v>1</v>
      </c>
    </row>
    <row r="140" spans="1:15" ht="22.5" x14ac:dyDescent="0.4">
      <c r="A140" s="750" t="s">
        <v>187</v>
      </c>
      <c r="B140" s="750"/>
      <c r="C140" s="750"/>
      <c r="D140" s="394" t="s">
        <v>183</v>
      </c>
      <c r="E140" s="449">
        <v>88882</v>
      </c>
      <c r="F140" s="449">
        <v>88882</v>
      </c>
      <c r="G140" s="690">
        <f t="shared" si="24"/>
        <v>0</v>
      </c>
      <c r="H140" s="396">
        <f t="shared" si="25"/>
        <v>0</v>
      </c>
      <c r="I140" s="395"/>
      <c r="J140" s="443">
        <f>H140/DAY(B2)</f>
        <v>0</v>
      </c>
    </row>
    <row r="141" spans="1:15" ht="22.5" x14ac:dyDescent="0.4">
      <c r="A141" s="753" t="s">
        <v>188</v>
      </c>
      <c r="B141" s="753"/>
      <c r="C141" s="753"/>
      <c r="D141" s="450" t="s">
        <v>183</v>
      </c>
      <c r="E141" s="449">
        <v>49306</v>
      </c>
      <c r="F141" s="448">
        <v>49499.6</v>
      </c>
      <c r="G141" s="693">
        <f t="shared" si="24"/>
        <v>193.59999999999854</v>
      </c>
      <c r="H141" s="455">
        <f t="shared" si="25"/>
        <v>193.59999999999854</v>
      </c>
      <c r="I141" s="665"/>
      <c r="J141" s="527">
        <f>H141/DAY(B2)</f>
        <v>193.59999999999854</v>
      </c>
    </row>
    <row r="142" spans="1:15" ht="22.5" x14ac:dyDescent="0.4">
      <c r="A142" s="753" t="s">
        <v>189</v>
      </c>
      <c r="B142" s="753"/>
      <c r="C142" s="753"/>
      <c r="D142" s="450" t="s">
        <v>183</v>
      </c>
      <c r="E142" s="448">
        <v>19009</v>
      </c>
      <c r="F142" s="448">
        <v>19082</v>
      </c>
      <c r="G142" s="693">
        <f t="shared" si="24"/>
        <v>73</v>
      </c>
      <c r="H142" s="455">
        <f t="shared" si="25"/>
        <v>73</v>
      </c>
      <c r="I142" s="666"/>
      <c r="J142" s="527">
        <f>H142/DAY(B2)</f>
        <v>73</v>
      </c>
    </row>
    <row r="143" spans="1:15" ht="22.5" x14ac:dyDescent="0.4">
      <c r="A143" s="809" t="s">
        <v>91</v>
      </c>
      <c r="B143" s="809"/>
      <c r="C143" s="809"/>
      <c r="D143" s="450" t="s">
        <v>183</v>
      </c>
      <c r="E143" s="449">
        <v>3061</v>
      </c>
      <c r="F143" s="448">
        <v>3088.24</v>
      </c>
      <c r="G143" s="693">
        <f t="shared" si="24"/>
        <v>27.239999999999782</v>
      </c>
      <c r="H143" s="455">
        <f t="shared" si="25"/>
        <v>27.239999999999782</v>
      </c>
      <c r="I143" s="666"/>
      <c r="J143" s="527">
        <f>H143/DAY(B2)</f>
        <v>27.239999999999782</v>
      </c>
    </row>
    <row r="144" spans="1:15" ht="22.5" x14ac:dyDescent="0.4">
      <c r="A144" s="753" t="s">
        <v>90</v>
      </c>
      <c r="B144" s="753"/>
      <c r="C144" s="753"/>
      <c r="D144" s="450" t="s">
        <v>183</v>
      </c>
      <c r="E144" s="449">
        <v>869670</v>
      </c>
      <c r="F144" s="448">
        <v>869899</v>
      </c>
      <c r="G144" s="693">
        <f t="shared" si="24"/>
        <v>229</v>
      </c>
      <c r="H144" s="455">
        <f t="shared" si="25"/>
        <v>229</v>
      </c>
      <c r="I144" s="666"/>
      <c r="J144" s="527">
        <f>H144/DAY(B2)</f>
        <v>229</v>
      </c>
    </row>
    <row r="145" spans="1:10" ht="22.5" x14ac:dyDescent="0.4">
      <c r="A145" s="809" t="s">
        <v>190</v>
      </c>
      <c r="B145" s="809"/>
      <c r="C145" s="809"/>
      <c r="D145" s="450" t="s">
        <v>183</v>
      </c>
      <c r="E145" s="449">
        <v>4558</v>
      </c>
      <c r="F145" s="448">
        <v>4573.25</v>
      </c>
      <c r="G145" s="693">
        <f t="shared" si="24"/>
        <v>15.25</v>
      </c>
      <c r="H145" s="455">
        <f t="shared" si="25"/>
        <v>15.25</v>
      </c>
      <c r="I145" s="666"/>
      <c r="J145" s="527">
        <f>H145/DAY(B2)</f>
        <v>15.25</v>
      </c>
    </row>
    <row r="146" spans="1:10" ht="22.5" x14ac:dyDescent="0.4">
      <c r="A146" s="810" t="s">
        <v>191</v>
      </c>
      <c r="B146" s="811"/>
      <c r="C146" s="812"/>
      <c r="D146" s="450" t="s">
        <v>183</v>
      </c>
      <c r="E146" s="448">
        <v>724858</v>
      </c>
      <c r="F146" s="448">
        <v>725332</v>
      </c>
      <c r="G146" s="693">
        <f t="shared" si="24"/>
        <v>474</v>
      </c>
      <c r="H146" s="455">
        <f t="shared" si="25"/>
        <v>474</v>
      </c>
      <c r="I146" s="666"/>
      <c r="J146" s="527">
        <f>H146/DAY(B2)</f>
        <v>474</v>
      </c>
    </row>
    <row r="147" spans="1:10" ht="22.5" x14ac:dyDescent="0.4">
      <c r="A147" s="753" t="s">
        <v>192</v>
      </c>
      <c r="B147" s="753"/>
      <c r="C147" s="753"/>
      <c r="D147" s="450" t="s">
        <v>183</v>
      </c>
      <c r="E147" s="448">
        <v>615282</v>
      </c>
      <c r="F147" s="448">
        <v>615719.31999999995</v>
      </c>
      <c r="G147" s="693">
        <f t="shared" si="24"/>
        <v>437.31999999994878</v>
      </c>
      <c r="H147" s="455">
        <f t="shared" si="25"/>
        <v>437.31999999994878</v>
      </c>
      <c r="I147" s="666"/>
      <c r="J147" s="527">
        <f>H147/DAY(B2)</f>
        <v>437.31999999994878</v>
      </c>
    </row>
    <row r="148" spans="1:10" ht="22.5" x14ac:dyDescent="0.4">
      <c r="A148" s="805" t="s">
        <v>193</v>
      </c>
      <c r="B148" s="806"/>
      <c r="C148" s="807"/>
      <c r="D148" s="509" t="s">
        <v>130</v>
      </c>
      <c r="E148" s="409">
        <v>683033.12</v>
      </c>
      <c r="F148" s="435">
        <v>683408.24</v>
      </c>
      <c r="G148" s="693">
        <f t="shared" si="24"/>
        <v>375.11999999999534</v>
      </c>
      <c r="H148" s="455">
        <f t="shared" si="25"/>
        <v>375.11999999999534</v>
      </c>
      <c r="I148" s="455"/>
      <c r="J148" s="527">
        <f>H148/DAY(B2)</f>
        <v>375.11999999999534</v>
      </c>
    </row>
    <row r="149" spans="1:10" ht="22.5" x14ac:dyDescent="0.4">
      <c r="A149" s="805" t="s">
        <v>336</v>
      </c>
      <c r="B149" s="806"/>
      <c r="C149" s="807"/>
      <c r="D149" s="528" t="s">
        <v>130</v>
      </c>
      <c r="E149" s="394">
        <v>10749</v>
      </c>
      <c r="F149" s="450">
        <v>11075.3</v>
      </c>
      <c r="G149" s="693">
        <f t="shared" si="24"/>
        <v>326.29999999999927</v>
      </c>
      <c r="H149" s="455">
        <f t="shared" si="25"/>
        <v>326.29999999999927</v>
      </c>
      <c r="I149" s="658"/>
      <c r="J149" s="527">
        <f>H149/DAY(B2)</f>
        <v>326.29999999999927</v>
      </c>
    </row>
    <row r="150" spans="1:10" ht="22.5" x14ac:dyDescent="0.4">
      <c r="A150" s="805" t="s">
        <v>337</v>
      </c>
      <c r="B150" s="806"/>
      <c r="C150" s="807"/>
      <c r="D150" s="509" t="s">
        <v>130</v>
      </c>
      <c r="E150" s="450">
        <v>4052</v>
      </c>
      <c r="F150" s="450">
        <v>4283.5</v>
      </c>
      <c r="G150" s="693">
        <f t="shared" si="24"/>
        <v>231.5</v>
      </c>
      <c r="H150" s="455">
        <f t="shared" si="25"/>
        <v>231.5</v>
      </c>
      <c r="I150" s="658"/>
      <c r="J150" s="527">
        <f>H150/DAY(B2)</f>
        <v>231.5</v>
      </c>
    </row>
    <row r="151" spans="1:10" ht="22.5" x14ac:dyDescent="0.4">
      <c r="A151" s="805" t="s">
        <v>338</v>
      </c>
      <c r="B151" s="806"/>
      <c r="C151" s="807"/>
      <c r="D151" s="529"/>
      <c r="E151" s="450">
        <v>78217</v>
      </c>
      <c r="F151" s="450">
        <v>78510</v>
      </c>
      <c r="G151" s="693">
        <f t="shared" ref="G151:G152" si="26">F151-E151</f>
        <v>293</v>
      </c>
      <c r="H151" s="455">
        <f t="shared" ref="H151:H153" si="27">G151</f>
        <v>293</v>
      </c>
      <c r="I151" s="658"/>
      <c r="J151" s="527">
        <f>H151/DAY(B2)</f>
        <v>293</v>
      </c>
    </row>
    <row r="152" spans="1:10" ht="22.5" x14ac:dyDescent="0.4">
      <c r="A152" s="805" t="s">
        <v>339</v>
      </c>
      <c r="B152" s="806"/>
      <c r="C152" s="807"/>
      <c r="D152" s="529"/>
      <c r="E152" s="450">
        <v>1127</v>
      </c>
      <c r="F152" s="450">
        <v>1167</v>
      </c>
      <c r="G152" s="693">
        <f t="shared" si="26"/>
        <v>40</v>
      </c>
      <c r="H152" s="455">
        <f t="shared" si="27"/>
        <v>40</v>
      </c>
      <c r="I152" s="658"/>
      <c r="J152" s="527">
        <f>H152/DAY(B2)</f>
        <v>40</v>
      </c>
    </row>
    <row r="153" spans="1:10" ht="22.5" x14ac:dyDescent="0.4">
      <c r="A153" s="756" t="s">
        <v>196</v>
      </c>
      <c r="B153" s="757"/>
      <c r="C153" s="758"/>
      <c r="D153" s="529"/>
      <c r="E153" s="451"/>
      <c r="F153" s="451"/>
      <c r="G153" s="694">
        <f>SUM(G138:G152)</f>
        <v>2765.3299999999417</v>
      </c>
      <c r="H153" s="530">
        <f t="shared" si="27"/>
        <v>2765.3299999999417</v>
      </c>
      <c r="I153" s="659">
        <f>G153-(G38+G52)</f>
        <v>1099.8999999999487</v>
      </c>
      <c r="J153" s="531"/>
    </row>
    <row r="154" spans="1:10" ht="22.5" x14ac:dyDescent="0.4">
      <c r="A154" s="808" t="s">
        <v>344</v>
      </c>
      <c r="B154" s="808"/>
      <c r="C154" s="808"/>
      <c r="D154" s="808"/>
      <c r="E154" s="808"/>
      <c r="F154" s="808"/>
      <c r="G154" s="808"/>
      <c r="H154" s="808"/>
      <c r="I154" s="808"/>
      <c r="J154" s="808"/>
    </row>
    <row r="155" spans="1:10" ht="27.75" customHeight="1" x14ac:dyDescent="0.4">
      <c r="A155" s="753" t="s">
        <v>345</v>
      </c>
      <c r="B155" s="753"/>
      <c r="C155" s="753"/>
      <c r="D155" s="459"/>
      <c r="E155" s="652">
        <v>12792</v>
      </c>
      <c r="F155" s="651">
        <v>13472</v>
      </c>
      <c r="G155" s="693">
        <f t="shared" ref="G155:G158" si="28">F155-E155</f>
        <v>680</v>
      </c>
      <c r="H155" s="651"/>
      <c r="I155" s="651"/>
      <c r="J155" s="527">
        <f>H155/DAY(B2)</f>
        <v>0</v>
      </c>
    </row>
    <row r="156" spans="1:10" ht="25.5" customHeight="1" x14ac:dyDescent="0.4">
      <c r="A156" s="753" t="s">
        <v>349</v>
      </c>
      <c r="B156" s="753"/>
      <c r="C156" s="753"/>
      <c r="D156" s="463"/>
      <c r="E156" s="444">
        <v>1034</v>
      </c>
      <c r="F156" s="651">
        <v>1088</v>
      </c>
      <c r="G156" s="693">
        <f t="shared" si="28"/>
        <v>54</v>
      </c>
      <c r="H156" s="462"/>
      <c r="I156" s="651"/>
      <c r="J156" s="527">
        <f>H156/DAY(B2)</f>
        <v>0</v>
      </c>
    </row>
    <row r="157" spans="1:10" ht="25.5" customHeight="1" x14ac:dyDescent="0.5">
      <c r="A157" s="730" t="s">
        <v>364</v>
      </c>
      <c r="B157" s="731"/>
      <c r="C157" s="732"/>
      <c r="D157" s="402" t="s">
        <v>130</v>
      </c>
      <c r="E157" s="395">
        <v>1236</v>
      </c>
      <c r="F157" s="651">
        <v>1306.01</v>
      </c>
      <c r="G157" s="693">
        <f t="shared" si="28"/>
        <v>70.009999999999991</v>
      </c>
      <c r="H157" s="462"/>
      <c r="I157" s="651"/>
      <c r="J157" s="527"/>
    </row>
    <row r="158" spans="1:10" ht="25.5" customHeight="1" x14ac:dyDescent="0.5">
      <c r="A158" s="730" t="s">
        <v>365</v>
      </c>
      <c r="B158" s="731"/>
      <c r="C158" s="732"/>
      <c r="D158" s="402" t="s">
        <v>130</v>
      </c>
      <c r="E158" s="444">
        <v>7.83</v>
      </c>
      <c r="F158" s="651">
        <v>8.1</v>
      </c>
      <c r="G158" s="693">
        <f t="shared" si="28"/>
        <v>0.26999999999999957</v>
      </c>
      <c r="H158" s="462"/>
      <c r="I158" s="651"/>
      <c r="J158" s="527"/>
    </row>
    <row r="159" spans="1:10" ht="25.5" customHeight="1" x14ac:dyDescent="0.4">
      <c r="A159" s="733"/>
      <c r="B159" s="734"/>
      <c r="C159" s="735"/>
      <c r="D159" s="463"/>
      <c r="E159" s="444"/>
      <c r="F159" s="651"/>
      <c r="G159" s="693"/>
      <c r="H159" s="462"/>
      <c r="I159" s="651"/>
      <c r="J159" s="527"/>
    </row>
    <row r="160" spans="1:10" ht="22.5" x14ac:dyDescent="0.4">
      <c r="A160" s="744" t="s">
        <v>326</v>
      </c>
      <c r="B160" s="744"/>
      <c r="C160" s="744"/>
      <c r="D160" s="744"/>
      <c r="E160" s="744"/>
      <c r="F160" s="744"/>
      <c r="G160" s="744"/>
      <c r="H160" s="744"/>
      <c r="I160" s="744"/>
      <c r="J160" s="744"/>
    </row>
    <row r="161" spans="1:10" ht="22.5" x14ac:dyDescent="0.4">
      <c r="A161" s="526" t="s">
        <v>92</v>
      </c>
      <c r="B161" s="452"/>
      <c r="C161" s="452"/>
      <c r="D161" s="453" t="s">
        <v>180</v>
      </c>
      <c r="E161" s="454">
        <v>471153.16</v>
      </c>
      <c r="F161" s="454">
        <v>471153.16</v>
      </c>
      <c r="G161" s="584">
        <f t="shared" ref="G161:G168" si="29">F161-E161</f>
        <v>0</v>
      </c>
      <c r="H161" s="396">
        <f t="shared" ref="H161:H168" si="30">G161</f>
        <v>0</v>
      </c>
      <c r="I161" s="658"/>
      <c r="J161" s="456">
        <f>H161/DAY(B2)</f>
        <v>0</v>
      </c>
    </row>
    <row r="162" spans="1:10" ht="22.5" x14ac:dyDescent="0.4">
      <c r="A162" s="526" t="s">
        <v>93</v>
      </c>
      <c r="B162" s="452"/>
      <c r="C162" s="452"/>
      <c r="D162" s="453" t="s">
        <v>180</v>
      </c>
      <c r="E162" s="454">
        <v>87570</v>
      </c>
      <c r="F162" s="454">
        <v>87592</v>
      </c>
      <c r="G162" s="584">
        <f t="shared" si="29"/>
        <v>22</v>
      </c>
      <c r="H162" s="396">
        <f t="shared" si="30"/>
        <v>22</v>
      </c>
      <c r="I162" s="658"/>
      <c r="J162" s="456">
        <f>H162/DAY(B2)</f>
        <v>22</v>
      </c>
    </row>
    <row r="163" spans="1:10" ht="22.5" x14ac:dyDescent="0.4">
      <c r="A163" s="526" t="s">
        <v>197</v>
      </c>
      <c r="B163" s="452"/>
      <c r="C163" s="452"/>
      <c r="D163" s="453" t="s">
        <v>180</v>
      </c>
      <c r="E163" s="454">
        <v>77825</v>
      </c>
      <c r="F163" s="454">
        <v>77859</v>
      </c>
      <c r="G163" s="584">
        <f t="shared" si="29"/>
        <v>34</v>
      </c>
      <c r="H163" s="396">
        <f t="shared" si="30"/>
        <v>34</v>
      </c>
      <c r="I163" s="658"/>
      <c r="J163" s="456">
        <f>H163/DAY(B2)</f>
        <v>34</v>
      </c>
    </row>
    <row r="164" spans="1:10" ht="22.5" x14ac:dyDescent="0.4">
      <c r="A164" s="526" t="s">
        <v>197</v>
      </c>
      <c r="B164" s="452"/>
      <c r="C164" s="452"/>
      <c r="D164" s="453" t="s">
        <v>180</v>
      </c>
      <c r="E164" s="454">
        <v>4242</v>
      </c>
      <c r="F164" s="454">
        <v>4242</v>
      </c>
      <c r="G164" s="584">
        <f>F164-E164</f>
        <v>0</v>
      </c>
      <c r="H164" s="396">
        <f t="shared" si="30"/>
        <v>0</v>
      </c>
      <c r="I164" s="658"/>
      <c r="J164" s="456">
        <f>H164/DAY(B2)</f>
        <v>0</v>
      </c>
    </row>
    <row r="165" spans="1:10" ht="22.5" x14ac:dyDescent="0.4">
      <c r="A165" s="526" t="s">
        <v>309</v>
      </c>
      <c r="B165" s="452"/>
      <c r="C165" s="452"/>
      <c r="D165" s="453" t="s">
        <v>180</v>
      </c>
      <c r="E165" s="454">
        <v>29646</v>
      </c>
      <c r="F165" s="454">
        <v>29652.55</v>
      </c>
      <c r="G165" s="584">
        <f t="shared" si="29"/>
        <v>6.5499999999992724</v>
      </c>
      <c r="H165" s="396">
        <f t="shared" si="30"/>
        <v>6.5499999999992724</v>
      </c>
      <c r="I165" s="658"/>
      <c r="J165" s="456">
        <f>H165/DAY(B2)</f>
        <v>6.5499999999992724</v>
      </c>
    </row>
    <row r="166" spans="1:10" ht="22.5" x14ac:dyDescent="0.4">
      <c r="A166" s="745"/>
      <c r="B166" s="745"/>
      <c r="C166" s="436"/>
      <c r="D166" s="453" t="s">
        <v>180</v>
      </c>
      <c r="E166" s="444"/>
      <c r="F166" s="444"/>
      <c r="G166" s="584">
        <f t="shared" si="29"/>
        <v>0</v>
      </c>
      <c r="H166" s="396">
        <f t="shared" si="30"/>
        <v>0</v>
      </c>
      <c r="I166" s="444"/>
      <c r="J166" s="441"/>
    </row>
    <row r="167" spans="1:10" ht="22.5" x14ac:dyDescent="0.4">
      <c r="A167" s="745"/>
      <c r="B167" s="745"/>
      <c r="C167" s="436"/>
      <c r="D167" s="453" t="s">
        <v>180</v>
      </c>
      <c r="E167" s="444"/>
      <c r="F167" s="444"/>
      <c r="G167" s="584">
        <f t="shared" si="29"/>
        <v>0</v>
      </c>
      <c r="H167" s="396">
        <f t="shared" si="30"/>
        <v>0</v>
      </c>
      <c r="I167" s="444"/>
      <c r="J167" s="441"/>
    </row>
    <row r="168" spans="1:10" ht="22.5" x14ac:dyDescent="0.4">
      <c r="A168" s="745"/>
      <c r="B168" s="745"/>
      <c r="C168" s="436"/>
      <c r="D168" s="453" t="s">
        <v>180</v>
      </c>
      <c r="E168" s="444"/>
      <c r="F168" s="444"/>
      <c r="G168" s="584">
        <f t="shared" si="29"/>
        <v>0</v>
      </c>
      <c r="H168" s="396">
        <f t="shared" si="30"/>
        <v>0</v>
      </c>
      <c r="I168" s="444"/>
      <c r="J168" s="441"/>
    </row>
    <row r="169" spans="1:10" ht="22.5" x14ac:dyDescent="0.4"/>
    <row r="170" spans="1:10" ht="22.5" x14ac:dyDescent="0.4"/>
    <row r="171" spans="1:10" ht="22.5" x14ac:dyDescent="0.4">
      <c r="A171" s="746" t="s">
        <v>330</v>
      </c>
      <c r="B171" s="747"/>
      <c r="C171" s="747"/>
      <c r="D171" s="747"/>
      <c r="E171" s="747"/>
      <c r="F171" s="747"/>
      <c r="G171" s="747"/>
      <c r="H171" s="747"/>
      <c r="I171" s="747"/>
      <c r="J171" s="748"/>
    </row>
    <row r="172" spans="1:10" ht="22.5" x14ac:dyDescent="0.4">
      <c r="A172" s="742"/>
      <c r="B172" s="743"/>
      <c r="C172" s="457"/>
      <c r="D172" s="508"/>
      <c r="E172" s="444"/>
      <c r="F172" s="444"/>
      <c r="G172" s="585"/>
      <c r="H172" s="441"/>
      <c r="I172" s="444"/>
      <c r="J172" s="458">
        <f>H172/DAY(B2)</f>
        <v>0</v>
      </c>
    </row>
    <row r="173" spans="1:10" ht="22.5" x14ac:dyDescent="0.4">
      <c r="A173" s="738" t="s">
        <v>209</v>
      </c>
      <c r="B173" s="739"/>
      <c r="C173" s="377"/>
      <c r="D173" s="508" t="s">
        <v>142</v>
      </c>
      <c r="E173" s="444">
        <v>8126</v>
      </c>
      <c r="F173" s="444">
        <v>8126</v>
      </c>
      <c r="G173" s="585">
        <f>F173-E173</f>
        <v>0</v>
      </c>
      <c r="H173" s="396">
        <f t="shared" ref="H173:H189" si="31">G173</f>
        <v>0</v>
      </c>
      <c r="I173" s="444"/>
      <c r="J173" s="458">
        <f>H173/DAY(B2)</f>
        <v>0</v>
      </c>
    </row>
    <row r="174" spans="1:10" ht="22.5" x14ac:dyDescent="0.4">
      <c r="A174" s="738" t="s">
        <v>75</v>
      </c>
      <c r="B174" s="739"/>
      <c r="C174" s="377"/>
      <c r="D174" s="508" t="s">
        <v>142</v>
      </c>
      <c r="E174" s="651">
        <v>38293</v>
      </c>
      <c r="F174" s="651">
        <v>38308</v>
      </c>
      <c r="G174" s="585">
        <f t="shared" ref="G174:G175" si="32">F174-E174</f>
        <v>15</v>
      </c>
      <c r="H174" s="396">
        <f t="shared" si="31"/>
        <v>15</v>
      </c>
      <c r="I174" s="444"/>
      <c r="J174" s="458">
        <f>H174/DAY(B2)</f>
        <v>15</v>
      </c>
    </row>
    <row r="175" spans="1:10" ht="22.5" x14ac:dyDescent="0.4">
      <c r="A175" s="738" t="s">
        <v>76</v>
      </c>
      <c r="B175" s="749"/>
      <c r="C175" s="739"/>
      <c r="D175" s="508" t="s">
        <v>142</v>
      </c>
      <c r="E175" s="444">
        <v>21518</v>
      </c>
      <c r="F175" s="444">
        <v>21530</v>
      </c>
      <c r="G175" s="585">
        <f t="shared" si="32"/>
        <v>12</v>
      </c>
      <c r="H175" s="396">
        <f t="shared" si="31"/>
        <v>12</v>
      </c>
      <c r="I175" s="444"/>
      <c r="J175" s="458"/>
    </row>
    <row r="176" spans="1:10" ht="22.5" x14ac:dyDescent="0.4">
      <c r="A176" s="736" t="s">
        <v>196</v>
      </c>
      <c r="B176" s="737"/>
      <c r="C176" s="377"/>
      <c r="D176" s="508"/>
      <c r="E176" s="444"/>
      <c r="F176" s="444"/>
      <c r="G176" s="585">
        <f>SUM(G173:G175)</f>
        <v>27</v>
      </c>
      <c r="H176" s="396">
        <f t="shared" si="31"/>
        <v>27</v>
      </c>
      <c r="I176" s="444"/>
      <c r="J176" s="458">
        <f>H176/DAY(B2)</f>
        <v>27</v>
      </c>
    </row>
    <row r="177" spans="1:10" ht="22.5" x14ac:dyDescent="0.4">
      <c r="A177" s="738" t="s">
        <v>77</v>
      </c>
      <c r="B177" s="739"/>
      <c r="C177" s="377"/>
      <c r="D177" s="508" t="s">
        <v>142</v>
      </c>
      <c r="E177" s="444"/>
      <c r="F177" s="444"/>
      <c r="G177" s="585"/>
      <c r="H177" s="396">
        <f t="shared" si="31"/>
        <v>0</v>
      </c>
      <c r="I177" s="444"/>
      <c r="J177" s="458">
        <f>H177/DAY(B2)</f>
        <v>0</v>
      </c>
    </row>
    <row r="178" spans="1:10" ht="22.5" x14ac:dyDescent="0.4">
      <c r="A178" s="738" t="s">
        <v>210</v>
      </c>
      <c r="B178" s="739"/>
      <c r="C178" s="377"/>
      <c r="D178" s="508" t="s">
        <v>142</v>
      </c>
      <c r="E178" s="444">
        <v>79614</v>
      </c>
      <c r="F178" s="444">
        <v>79676</v>
      </c>
      <c r="G178" s="585">
        <f>F178-E178</f>
        <v>62</v>
      </c>
      <c r="H178" s="396">
        <f t="shared" si="31"/>
        <v>62</v>
      </c>
      <c r="I178" s="444"/>
      <c r="J178" s="458">
        <f>H178/DAY(B2)</f>
        <v>62</v>
      </c>
    </row>
    <row r="179" spans="1:10" ht="22.5" x14ac:dyDescent="0.4">
      <c r="A179" s="738" t="s">
        <v>211</v>
      </c>
      <c r="B179" s="739"/>
      <c r="C179" s="377"/>
      <c r="D179" s="508" t="s">
        <v>142</v>
      </c>
      <c r="E179" s="444">
        <v>33915</v>
      </c>
      <c r="F179" s="444">
        <v>33957</v>
      </c>
      <c r="G179" s="585">
        <f t="shared" ref="G179:G180" si="33">F179-E179</f>
        <v>42</v>
      </c>
      <c r="H179" s="396">
        <f t="shared" si="31"/>
        <v>42</v>
      </c>
      <c r="I179" s="444"/>
      <c r="J179" s="458">
        <f>H179/DAY(B2)</f>
        <v>42</v>
      </c>
    </row>
    <row r="180" spans="1:10" ht="22.5" x14ac:dyDescent="0.4">
      <c r="A180" s="738" t="s">
        <v>212</v>
      </c>
      <c r="B180" s="739"/>
      <c r="C180" s="377"/>
      <c r="D180" s="508" t="s">
        <v>142</v>
      </c>
      <c r="E180" s="444">
        <v>5477</v>
      </c>
      <c r="F180" s="444">
        <v>5481</v>
      </c>
      <c r="G180" s="585">
        <f t="shared" si="33"/>
        <v>4</v>
      </c>
      <c r="H180" s="396">
        <f t="shared" si="31"/>
        <v>4</v>
      </c>
      <c r="I180" s="444"/>
      <c r="J180" s="458">
        <f>H180/DAY(B2)</f>
        <v>4</v>
      </c>
    </row>
    <row r="181" spans="1:10" ht="22.5" x14ac:dyDescent="0.4">
      <c r="A181" s="736" t="s">
        <v>108</v>
      </c>
      <c r="B181" s="737"/>
      <c r="C181" s="377"/>
      <c r="D181" s="508"/>
      <c r="E181" s="444"/>
      <c r="F181" s="444"/>
      <c r="G181" s="585">
        <f>SUM(G178:G180)</f>
        <v>108</v>
      </c>
      <c r="H181" s="396">
        <f t="shared" si="31"/>
        <v>108</v>
      </c>
      <c r="I181" s="444"/>
      <c r="J181" s="458">
        <f>H181/DAY(B2)</f>
        <v>108</v>
      </c>
    </row>
    <row r="182" spans="1:10" ht="21.95" customHeight="1" x14ac:dyDescent="0.4">
      <c r="A182" s="738" t="s">
        <v>213</v>
      </c>
      <c r="B182" s="739"/>
      <c r="C182" s="377"/>
      <c r="D182" s="508"/>
      <c r="E182" s="444"/>
      <c r="F182" s="444"/>
      <c r="G182" s="585"/>
      <c r="H182" s="396">
        <f t="shared" si="31"/>
        <v>0</v>
      </c>
      <c r="I182" s="444"/>
      <c r="J182" s="458">
        <f>H182/DAY(B2)</f>
        <v>0</v>
      </c>
    </row>
    <row r="183" spans="1:10" ht="21.95" customHeight="1" x14ac:dyDescent="0.4">
      <c r="A183" s="738" t="s">
        <v>214</v>
      </c>
      <c r="B183" s="739"/>
      <c r="C183" s="377"/>
      <c r="D183" s="508" t="s">
        <v>142</v>
      </c>
      <c r="E183" s="651">
        <v>14947</v>
      </c>
      <c r="F183" s="651">
        <v>14977</v>
      </c>
      <c r="G183" s="586">
        <f>F183-E183</f>
        <v>30</v>
      </c>
      <c r="H183" s="396">
        <f t="shared" si="31"/>
        <v>30</v>
      </c>
      <c r="I183" s="444"/>
      <c r="J183" s="458">
        <f>H183/DAY(B2)</f>
        <v>30</v>
      </c>
    </row>
    <row r="184" spans="1:10" ht="21.95" customHeight="1" x14ac:dyDescent="0.4">
      <c r="A184" s="738" t="s">
        <v>215</v>
      </c>
      <c r="B184" s="739"/>
      <c r="C184" s="377"/>
      <c r="D184" s="508" t="s">
        <v>142</v>
      </c>
      <c r="E184" s="651">
        <v>10301</v>
      </c>
      <c r="F184" s="651">
        <v>10308</v>
      </c>
      <c r="G184" s="586">
        <f t="shared" ref="G184:G185" si="34">F184-E184</f>
        <v>7</v>
      </c>
      <c r="H184" s="396">
        <f t="shared" si="31"/>
        <v>7</v>
      </c>
      <c r="I184" s="444"/>
      <c r="J184" s="458">
        <f>H184/DAY(B2)</f>
        <v>7</v>
      </c>
    </row>
    <row r="185" spans="1:10" ht="22.5" x14ac:dyDescent="0.4">
      <c r="A185" s="738" t="s">
        <v>216</v>
      </c>
      <c r="B185" s="739"/>
      <c r="C185" s="377"/>
      <c r="D185" s="508" t="s">
        <v>142</v>
      </c>
      <c r="E185" s="651"/>
      <c r="F185" s="651"/>
      <c r="G185" s="586">
        <f t="shared" si="34"/>
        <v>0</v>
      </c>
      <c r="H185" s="396">
        <f t="shared" si="31"/>
        <v>0</v>
      </c>
      <c r="I185" s="444"/>
      <c r="J185" s="460">
        <f>H185/DAY(B2)</f>
        <v>0</v>
      </c>
    </row>
    <row r="186" spans="1:10" ht="22.5" x14ac:dyDescent="0.4">
      <c r="A186" s="736" t="s">
        <v>196</v>
      </c>
      <c r="B186" s="737"/>
      <c r="C186" s="377"/>
      <c r="D186" s="229"/>
      <c r="E186" s="651"/>
      <c r="F186" s="651"/>
      <c r="G186" s="586">
        <f>SUM(G183:G185)</f>
        <v>37</v>
      </c>
      <c r="H186" s="396">
        <f t="shared" si="31"/>
        <v>37</v>
      </c>
      <c r="I186" s="651"/>
      <c r="J186" s="460">
        <f>H186/DAY(B2)</f>
        <v>37</v>
      </c>
    </row>
    <row r="187" spans="1:10" ht="22.5" x14ac:dyDescent="0.4">
      <c r="A187" s="738" t="s">
        <v>217</v>
      </c>
      <c r="B187" s="739"/>
      <c r="C187" s="377"/>
      <c r="D187" s="461" t="s">
        <v>142</v>
      </c>
      <c r="E187" s="462"/>
      <c r="F187" s="462"/>
      <c r="G187" s="586">
        <f>G62+G19</f>
        <v>54</v>
      </c>
      <c r="H187" s="396">
        <f t="shared" si="31"/>
        <v>54</v>
      </c>
      <c r="I187" s="651"/>
      <c r="J187" s="460">
        <f>H187/DAY(B2)</f>
        <v>54</v>
      </c>
    </row>
    <row r="188" spans="1:10" ht="22.5" x14ac:dyDescent="0.4">
      <c r="A188" s="738" t="s">
        <v>218</v>
      </c>
      <c r="B188" s="739"/>
      <c r="C188" s="377"/>
      <c r="D188" s="461" t="s">
        <v>142</v>
      </c>
      <c r="E188" s="462"/>
      <c r="F188" s="462"/>
      <c r="G188" s="586">
        <f>G65+G66+G67+G69+G70</f>
        <v>204</v>
      </c>
      <c r="H188" s="396">
        <f t="shared" si="31"/>
        <v>204</v>
      </c>
      <c r="I188" s="651"/>
      <c r="J188" s="662"/>
    </row>
    <row r="189" spans="1:10" ht="22.5" x14ac:dyDescent="0.4">
      <c r="A189" s="738" t="s">
        <v>219</v>
      </c>
      <c r="B189" s="739"/>
      <c r="C189" s="377"/>
      <c r="D189" s="461" t="s">
        <v>142</v>
      </c>
      <c r="E189" s="651"/>
      <c r="F189" s="651"/>
      <c r="G189" s="586">
        <f>G181</f>
        <v>108</v>
      </c>
      <c r="H189" s="396">
        <f t="shared" si="31"/>
        <v>108</v>
      </c>
      <c r="I189" s="651"/>
      <c r="J189" s="456">
        <f>H189/DAY(B2)</f>
        <v>108</v>
      </c>
    </row>
    <row r="190" spans="1:10" ht="27" x14ac:dyDescent="0.5">
      <c r="A190" s="740" t="s">
        <v>360</v>
      </c>
      <c r="B190" s="741"/>
      <c r="C190" s="598"/>
      <c r="D190" s="476"/>
      <c r="E190" s="667"/>
      <c r="F190" s="599">
        <v>52955</v>
      </c>
      <c r="G190" s="654">
        <f>F190-E190</f>
        <v>52955</v>
      </c>
      <c r="H190" s="478"/>
      <c r="I190" s="599"/>
      <c r="J190" s="478"/>
    </row>
    <row r="191" spans="1:10" ht="22.5" x14ac:dyDescent="0.4">
      <c r="A191" s="738"/>
      <c r="B191" s="739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A149" sqref="A149:C149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7" x14ac:dyDescent="0.5">
      <c r="A2" s="191" t="s">
        <v>350</v>
      </c>
      <c r="B2" s="262">
        <v>44563</v>
      </c>
      <c r="C2" s="34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3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1879500.0859999999</v>
      </c>
      <c r="F15" s="352">
        <v>1880308.6129999999</v>
      </c>
      <c r="G15" s="356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 x14ac:dyDescent="0.5">
      <c r="A18" s="854" t="s">
        <v>141</v>
      </c>
      <c r="B18" s="855"/>
      <c r="C18" s="856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 x14ac:dyDescent="0.5">
      <c r="A19" s="854" t="s">
        <v>69</v>
      </c>
      <c r="B19" s="855"/>
      <c r="C19" s="856"/>
      <c r="D19" s="151" t="s">
        <v>142</v>
      </c>
      <c r="E19" s="95">
        <f>'1'!F19</f>
        <v>152279</v>
      </c>
      <c r="F19" s="353">
        <v>152335</v>
      </c>
      <c r="G19" s="112">
        <f>F19-E19</f>
        <v>56</v>
      </c>
      <c r="H19" s="99">
        <f>G19+'1'!H19</f>
        <v>110</v>
      </c>
      <c r="I19" s="354"/>
      <c r="J19" s="175">
        <f>H19/DAY(B2)</f>
        <v>55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56</v>
      </c>
      <c r="H20" s="99">
        <f>G20+'1'!H20</f>
        <v>110</v>
      </c>
      <c r="I20" s="336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28">
        <f>H112/DAY(B2)</f>
        <v>68.915000000000873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28">
        <f>H113/DAY(B2)</f>
        <v>451.09000000000015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28">
        <f>H114/DAY(B2)</f>
        <v>268.64999999999964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28">
        <f>H115/DAY(B2)</f>
        <v>8.8999999999996362</v>
      </c>
    </row>
    <row r="116" spans="1:18" ht="29.25" customHeight="1" x14ac:dyDescent="0.5">
      <c r="A116" s="840" t="s">
        <v>96</v>
      </c>
      <c r="B116" s="841"/>
      <c r="C116" s="842"/>
      <c r="D116" s="701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28">
        <f>H117/DAY(B2)</f>
        <v>21.105000000000018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28">
        <f>H118/DAY(B2)</f>
        <v>363.49499999999534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28">
        <f>H119/DAY(B2)</f>
        <v>427.51499999999942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28">
        <f>H120/DAY(B2)</f>
        <v>427.53499999999985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28">
        <f>H121/DAY(B2)</f>
        <v>769.23499999998603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28">
        <f>H122/DAY(B2)</f>
        <v>213.80000000000291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28">
        <f>H123/DAY(B2)</f>
        <v>346.88499999999476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3338.1799999999225</v>
      </c>
      <c r="H125" s="156"/>
      <c r="I125" s="327">
        <f>G125-(G39+G53)</f>
        <v>616.37999999993417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28">
        <f>H128/DAY(B2)</f>
        <v>361.86000000000058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28">
        <f>H129/DAY(B2)</f>
        <v>202.39999999999964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28">
        <f>H130/DAY(B2)</f>
        <v>773.76499999999942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28">
        <f>H131/DAY(B2)</f>
        <v>79.361499999999978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28">
        <f>H132/DAY(B2)</f>
        <v>449.04999999999927</v>
      </c>
    </row>
    <row r="133" spans="1:15" ht="27.75" x14ac:dyDescent="0.5">
      <c r="A133" s="833" t="s">
        <v>342</v>
      </c>
      <c r="B133" s="834"/>
      <c r="C133" s="835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28">
        <f>H133/DAY(B2)</f>
        <v>832.94000000000233</v>
      </c>
    </row>
    <row r="134" spans="1:15" ht="27.75" x14ac:dyDescent="0.5">
      <c r="A134" s="833" t="s">
        <v>340</v>
      </c>
      <c r="B134" s="834"/>
      <c r="C134" s="835"/>
      <c r="D134" s="699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28">
        <f>H134/DAY(B2)</f>
        <v>663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7">
        <f>G135-(G35+G49)</f>
        <v>-286.14699999999721</v>
      </c>
      <c r="J135" s="328">
        <f>H135/DAY(B2)</f>
        <v>3362.3765000000012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699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28">
        <f>H138/DAY(B2)</f>
        <v>76</v>
      </c>
    </row>
    <row r="139" spans="1:15" ht="27.75" x14ac:dyDescent="0.5">
      <c r="A139" s="832" t="s">
        <v>186</v>
      </c>
      <c r="B139" s="832"/>
      <c r="C139" s="832"/>
      <c r="D139" s="699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28">
        <f>H139/DAY(B2)</f>
        <v>0.5</v>
      </c>
    </row>
    <row r="140" spans="1:15" ht="27.75" x14ac:dyDescent="0.5">
      <c r="A140" s="832" t="s">
        <v>187</v>
      </c>
      <c r="B140" s="832"/>
      <c r="C140" s="832"/>
      <c r="D140" s="699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28">
        <f>H140/DAY(B2)</f>
        <v>6.9499999999970896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28">
        <f>H141/DAY(B2)</f>
        <v>182.34999999999854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28">
        <f>H142/DAY(B2)</f>
        <v>72.559999999999491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28">
        <f>H143/DAY(B2)</f>
        <v>26.150000000000091</v>
      </c>
    </row>
    <row r="144" spans="1:15" ht="27.75" x14ac:dyDescent="0.5">
      <c r="A144" s="813" t="s">
        <v>90</v>
      </c>
      <c r="B144" s="813"/>
      <c r="C144" s="813"/>
      <c r="D144" s="699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28">
        <f>H144/DAY(B2)</f>
        <v>226.5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28">
        <f>H145/DAY(B2)</f>
        <v>16</v>
      </c>
    </row>
    <row r="146" spans="1:10" ht="27.75" x14ac:dyDescent="0.5">
      <c r="A146" s="867" t="s">
        <v>191</v>
      </c>
      <c r="B146" s="852"/>
      <c r="C146" s="853"/>
      <c r="D146" s="699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28">
        <f>H146/DAY(B2)</f>
        <v>491</v>
      </c>
    </row>
    <row r="147" spans="1:10" ht="27.75" x14ac:dyDescent="0.5">
      <c r="A147" s="813" t="s">
        <v>192</v>
      </c>
      <c r="B147" s="813"/>
      <c r="C147" s="813"/>
      <c r="D147" s="699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28">
        <f>H147/DAY(B2)</f>
        <v>443</v>
      </c>
    </row>
    <row r="148" spans="1:10" ht="27.75" x14ac:dyDescent="0.5">
      <c r="A148" s="814" t="s">
        <v>193</v>
      </c>
      <c r="B148" s="815"/>
      <c r="C148" s="816"/>
      <c r="D148" s="700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28">
        <f>H148/DAY(B2)</f>
        <v>316.67999999999302</v>
      </c>
    </row>
    <row r="149" spans="1:10" ht="27.75" x14ac:dyDescent="0.5">
      <c r="A149" s="814" t="s">
        <v>336</v>
      </c>
      <c r="B149" s="815"/>
      <c r="C149" s="816"/>
      <c r="D149" s="701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28">
        <f>H149/DAY(B2)</f>
        <v>307.44999999999982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28">
        <f>H150/DAY(B2)</f>
        <v>224.34999999999991</v>
      </c>
    </row>
    <row r="151" spans="1:10" ht="27.75" x14ac:dyDescent="0.5">
      <c r="A151" s="814" t="s">
        <v>338</v>
      </c>
      <c r="B151" s="815"/>
      <c r="C151" s="816"/>
      <c r="D151" s="700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28">
        <f>H151/DAY(B2)</f>
        <v>278.5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28">
        <f>H152/DAY(B2)</f>
        <v>32.350000000000023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2635.350000000034</v>
      </c>
      <c r="H153" s="363"/>
      <c r="I153" s="119">
        <f>G153-(G38+G52)</f>
        <v>1072.2900000000363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702" t="s">
        <v>130</v>
      </c>
      <c r="E155" s="95">
        <f>'1'!F155</f>
        <v>13472</v>
      </c>
      <c r="F155" s="551">
        <v>14130</v>
      </c>
      <c r="G155" s="112">
        <f t="shared" ref="G155:G158" si="12">F155-E155</f>
        <v>658</v>
      </c>
      <c r="H155" s="99">
        <f>G155+'1'!H155</f>
        <v>658</v>
      </c>
      <c r="I155" s="364"/>
      <c r="J155" s="328">
        <f>H155/DAY(B2)</f>
        <v>329</v>
      </c>
    </row>
    <row r="156" spans="1:10" ht="27.75" x14ac:dyDescent="0.5">
      <c r="A156" s="813" t="s">
        <v>347</v>
      </c>
      <c r="B156" s="813"/>
      <c r="C156" s="813"/>
      <c r="D156" s="702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28">
        <f>H156/DAY(B2)</f>
        <v>27.5</v>
      </c>
    </row>
    <row r="157" spans="1:10" ht="27.75" x14ac:dyDescent="0.5">
      <c r="A157" s="814" t="s">
        <v>364</v>
      </c>
      <c r="B157" s="815"/>
      <c r="C157" s="816"/>
      <c r="D157" s="702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814"/>
      <c r="B159" s="815"/>
      <c r="C159" s="81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 x14ac:dyDescent="0.5">
      <c r="A166" s="822"/>
      <c r="B166" s="82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22"/>
      <c r="B167" s="82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22"/>
      <c r="B168" s="82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4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26" t="s">
        <v>209</v>
      </c>
      <c r="B173" s="827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26" t="s">
        <v>75</v>
      </c>
      <c r="B174" s="827"/>
      <c r="C174" s="333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 x14ac:dyDescent="0.5">
      <c r="A175" s="826" t="s">
        <v>76</v>
      </c>
      <c r="B175" s="866"/>
      <c r="C175" s="827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2"/>
    </row>
    <row r="176" spans="1:14" ht="27.75" x14ac:dyDescent="0.5">
      <c r="A176" s="817" t="s">
        <v>196</v>
      </c>
      <c r="B176" s="818"/>
      <c r="C176" s="485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 x14ac:dyDescent="0.5">
      <c r="A181" s="828" t="s">
        <v>108</v>
      </c>
      <c r="B181" s="829"/>
      <c r="C181" s="485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26" t="s">
        <v>214</v>
      </c>
      <c r="B183" s="827"/>
      <c r="C183" s="334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26" t="s">
        <v>215</v>
      </c>
      <c r="B184" s="827"/>
      <c r="C184" s="334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 x14ac:dyDescent="0.5">
      <c r="A185" s="826" t="s">
        <v>216</v>
      </c>
      <c r="B185" s="82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17" t="s">
        <v>196</v>
      </c>
      <c r="B186" s="818"/>
      <c r="C186" s="484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24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7" x14ac:dyDescent="0.5">
      <c r="A2" s="191" t="s">
        <v>350</v>
      </c>
      <c r="B2" s="375">
        <v>44564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1880308.6129999999</v>
      </c>
      <c r="F15" s="494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5"/>
      <c r="J19" s="175">
        <f>H19/DAY(B2)</f>
        <v>55.333333333333336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6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28">
        <f>H112/DAY(B2)</f>
        <v>68.629999999999811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28">
        <f>H113/DAY(B2)</f>
        <v>456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28">
        <f>H114/DAY(B2)</f>
        <v>270.90000000000026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28">
        <f>H115/DAY(B2)</f>
        <v>9.4099999999998545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28">
        <f>H117/DAY(B2)</f>
        <v>20.986666666666679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28">
        <f>H118/DAY(B2)</f>
        <v>373.16333333333023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28">
        <f>H119/DAY(B2)</f>
        <v>434.8499999999961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28">
        <f>H120/DAY(B2)</f>
        <v>428.15000000000026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28">
        <f>H121/DAY(B2)</f>
        <v>771.0500000000078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28">
        <f>H122/DAY(B2)</f>
        <v>222.17999999999788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28">
        <f>H123/DAY(B2)</f>
        <v>343.96333333333797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63" t="s">
        <v>196</v>
      </c>
      <c r="B125" s="864"/>
      <c r="C125" s="865"/>
      <c r="D125" s="307"/>
      <c r="E125" s="308"/>
      <c r="F125" s="308"/>
      <c r="G125" s="309">
        <f>SUM(G112:G124)</f>
        <v>3463.6000000000531</v>
      </c>
      <c r="H125" s="156"/>
      <c r="I125" s="327">
        <f>G125-(G39+G53)</f>
        <v>704.80000000006476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28">
        <f>H128/DAY(B2)</f>
        <v>352.15333333333302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28">
        <f>H129/DAY(B2)</f>
        <v>205.94666666666672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28">
        <f>H130/DAY(B2)</f>
        <v>722.69999999999948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28">
        <f>H131/DAY(B2)</f>
        <v>86.333333333333329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28">
        <f>H132/DAY(B2)</f>
        <v>447.40333333333302</v>
      </c>
    </row>
    <row r="133" spans="1:15" ht="27.75" x14ac:dyDescent="0.5">
      <c r="A133" s="833" t="s">
        <v>342</v>
      </c>
      <c r="B133" s="834"/>
      <c r="C133" s="835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28">
        <f>H133/DAY(B2)</f>
        <v>834.48000000000081</v>
      </c>
    </row>
    <row r="134" spans="1:15" ht="27.75" x14ac:dyDescent="0.5">
      <c r="A134" s="895" t="s">
        <v>340</v>
      </c>
      <c r="B134" s="896"/>
      <c r="C134" s="820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28">
        <f>H134/DAY(B2)</f>
        <v>640.66666666666663</v>
      </c>
    </row>
    <row r="135" spans="1:15" ht="29.25" x14ac:dyDescent="0.5">
      <c r="A135" s="863" t="s">
        <v>196</v>
      </c>
      <c r="B135" s="864"/>
      <c r="C135" s="865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7">
        <f>G135-(G35+G49)</f>
        <v>-629.01300000000083</v>
      </c>
      <c r="J135" s="328">
        <f>H135/DAY(B2)</f>
        <v>3289.6833333333329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28">
        <f>H138/DAY(B2)</f>
        <v>78.666666666666671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28">
        <f>H139/DAY(B2)</f>
        <v>0.33333333333333331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28">
        <f>H140/DAY(B2)</f>
        <v>4.6333333333313931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28">
        <f>H141/DAY(B2)</f>
        <v>182.9333333333343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28">
        <f>H142/DAY(B2)</f>
        <v>71.599999999999753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28">
        <f>H143/DAY(B2)</f>
        <v>20.230000000000018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28">
        <f>H144/DAY(B2)</f>
        <v>224.66666666666666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28">
        <f>H145/DAY(B2)</f>
        <v>16.320000000000011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28">
        <f>H146/DAY(B2)</f>
        <v>469.33333333333331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28">
        <f>H147/DAY(B2)</f>
        <v>427.26666666668217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28">
        <f>H148/DAY(B2)</f>
        <v>294.13333333334111</v>
      </c>
    </row>
    <row r="149" spans="1:10" ht="27.75" x14ac:dyDescent="0.5">
      <c r="A149" s="891" t="s">
        <v>336</v>
      </c>
      <c r="B149" s="892"/>
      <c r="C149" s="893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28">
        <f>H149/DAY(B2)</f>
        <v>305.67000000000007</v>
      </c>
    </row>
    <row r="150" spans="1:10" ht="27.75" x14ac:dyDescent="0.5">
      <c r="A150" s="891" t="s">
        <v>337</v>
      </c>
      <c r="B150" s="892"/>
      <c r="C150" s="893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28">
        <f>H150/DAY(B2)</f>
        <v>215.53333333333345</v>
      </c>
    </row>
    <row r="151" spans="1:10" ht="29.25" customHeight="1" x14ac:dyDescent="0.5">
      <c r="A151" s="891" t="s">
        <v>338</v>
      </c>
      <c r="B151" s="892"/>
      <c r="C151" s="893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28">
        <f>H151/DAY(B2)</f>
        <v>257.33333333333331</v>
      </c>
    </row>
    <row r="152" spans="1:10" ht="29.25" customHeight="1" x14ac:dyDescent="0.5">
      <c r="A152" s="891" t="s">
        <v>339</v>
      </c>
      <c r="B152" s="892"/>
      <c r="C152" s="893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28">
        <f>H152/DAY(B2)</f>
        <v>28.933333333333319</v>
      </c>
    </row>
    <row r="153" spans="1:10" ht="29.25" customHeight="1" x14ac:dyDescent="0.5">
      <c r="A153" s="863" t="s">
        <v>196</v>
      </c>
      <c r="B153" s="864"/>
      <c r="C153" s="865"/>
      <c r="D153" s="367"/>
      <c r="E153" s="368"/>
      <c r="F153" s="369"/>
      <c r="G153" s="370">
        <f>SUM(G138:G152)</f>
        <v>2392.0800000000909</v>
      </c>
      <c r="H153" s="371"/>
      <c r="I153" s="119">
        <f>G153-(G38+G52)</f>
        <v>915.44000000007691</v>
      </c>
      <c r="J153" s="372"/>
    </row>
    <row r="154" spans="1:10" ht="29.2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29.25" customHeight="1" x14ac:dyDescent="0.55000000000000004">
      <c r="A155" s="813" t="s">
        <v>345</v>
      </c>
      <c r="B155" s="813"/>
      <c r="C155" s="813"/>
      <c r="D155" s="117" t="s">
        <v>130</v>
      </c>
      <c r="E155" s="95">
        <f>'2'!F155</f>
        <v>14130</v>
      </c>
      <c r="F155" s="473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4"/>
      <c r="J155" s="328">
        <f>H155/DAY(B2)</f>
        <v>426.65333333333302</v>
      </c>
    </row>
    <row r="156" spans="1:10" ht="29.25" customHeight="1" x14ac:dyDescent="0.5">
      <c r="A156" s="894" t="s">
        <v>346</v>
      </c>
      <c r="B156" s="894"/>
      <c r="C156" s="894"/>
      <c r="D156" s="117" t="s">
        <v>130</v>
      </c>
      <c r="E156" s="95">
        <f>'2'!F156</f>
        <v>1143</v>
      </c>
      <c r="F156" s="473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28">
        <f>H156/DAY(B2)</f>
        <v>36.606666666666648</v>
      </c>
    </row>
    <row r="157" spans="1:10" ht="29.25" customHeight="1" x14ac:dyDescent="0.5">
      <c r="A157" s="814" t="s">
        <v>364</v>
      </c>
      <c r="B157" s="815"/>
      <c r="C157" s="816"/>
      <c r="D157" s="117" t="s">
        <v>130</v>
      </c>
      <c r="E157" s="95">
        <f>'2'!F157</f>
        <v>1372.34</v>
      </c>
      <c r="F157" s="473">
        <v>1435.6</v>
      </c>
      <c r="G157" s="112">
        <f t="shared" si="12"/>
        <v>63.259999999999991</v>
      </c>
      <c r="H157" s="99"/>
      <c r="I157" s="165"/>
      <c r="J157" s="328"/>
    </row>
    <row r="158" spans="1:10" ht="29.25" customHeight="1" x14ac:dyDescent="0.5">
      <c r="A158" s="814" t="s">
        <v>365</v>
      </c>
      <c r="B158" s="815"/>
      <c r="C158" s="816"/>
      <c r="D158" s="117" t="s">
        <v>130</v>
      </c>
      <c r="E158" s="95">
        <f>'2'!F158</f>
        <v>7.9</v>
      </c>
      <c r="F158" s="473">
        <v>7.9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891"/>
      <c r="B159" s="892"/>
      <c r="C159" s="89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 x14ac:dyDescent="0.5">
      <c r="A166" s="822"/>
      <c r="B166" s="82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22"/>
      <c r="B167" s="82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22"/>
      <c r="B168" s="82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 x14ac:dyDescent="0.5">
      <c r="A175" s="826" t="s">
        <v>76</v>
      </c>
      <c r="B175" s="866"/>
      <c r="C175" s="827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 x14ac:dyDescent="0.5">
      <c r="A176" s="863" t="s">
        <v>196</v>
      </c>
      <c r="B176" s="864"/>
      <c r="C176" s="865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26" t="s">
        <v>210</v>
      </c>
      <c r="B178" s="827"/>
      <c r="C178" s="333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 x14ac:dyDescent="0.5">
      <c r="A179" s="826" t="s">
        <v>211</v>
      </c>
      <c r="B179" s="827"/>
      <c r="C179" s="333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 x14ac:dyDescent="0.5">
      <c r="A180" s="826" t="s">
        <v>212</v>
      </c>
      <c r="B180" s="827"/>
      <c r="C180" s="333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 x14ac:dyDescent="0.5">
      <c r="A181" s="863" t="s">
        <v>196</v>
      </c>
      <c r="B181" s="864"/>
      <c r="C181" s="865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26" t="s">
        <v>214</v>
      </c>
      <c r="B183" s="827"/>
      <c r="C183" s="334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 x14ac:dyDescent="0.5">
      <c r="A184" s="826" t="s">
        <v>215</v>
      </c>
      <c r="B184" s="827"/>
      <c r="C184" s="334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63" t="s">
        <v>196</v>
      </c>
      <c r="B186" s="864"/>
      <c r="C186" s="865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 x14ac:dyDescent="0.5">
      <c r="A190" s="819"/>
      <c r="B190" s="82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7" zoomScale="55" zoomScaleNormal="48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356</v>
      </c>
      <c r="B2" s="262">
        <v>44565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5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6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2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28">
        <f>H112/DAY(B2)</f>
        <v>69.805000000000291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28">
        <f>H113/DAY(B2)</f>
        <v>455.96500000000015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28">
        <f>H114/DAY(B2)</f>
        <v>269.80249999999978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28">
        <f>H115/DAY(B2)</f>
        <v>9.3825000000001637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28">
        <f>H117/DAY(B2)</f>
        <v>23.607499999999959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28">
        <f>H118/DAY(B2)</f>
        <v>375.88749999999709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28">
        <f>H119/DAY(B2)</f>
        <v>435.82749999999942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28">
        <f>H120/DAY(B2)</f>
        <v>424.36250000000018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28">
        <f>H121/DAY(B2)</f>
        <v>774.3975000000064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28">
        <f>H122/DAY(B2)</f>
        <v>228.02500000000146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28">
        <f>H123/DAY(B2)</f>
        <v>338.4175000000032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9" t="s">
        <v>196</v>
      </c>
      <c r="B125" s="590"/>
      <c r="C125" s="591"/>
      <c r="D125" s="307"/>
      <c r="E125" s="308"/>
      <c r="F125" s="308"/>
      <c r="G125" s="309">
        <f>SUM(G112:G124)</f>
        <v>3424.070000000022</v>
      </c>
      <c r="H125" s="156"/>
      <c r="I125" s="327">
        <f>G125-(G39+G53)</f>
        <v>683.55000000000337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28">
        <f>H128/DAY(B2)</f>
        <v>346.10499999999956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28">
        <f>H129/DAY(B2)</f>
        <v>220.09249999999975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28">
        <f>H130/DAY(B2)</f>
        <v>705.04249999999956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28">
        <f>H131/DAY(B2)</f>
        <v>82.880000000000109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28">
        <f>H132/DAY(B2)</f>
        <v>448.17250000000058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28">
        <f>H133/DAY(B2)</f>
        <v>835.90499999999884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28">
        <f>H134/DAY(B2)</f>
        <v>639.25</v>
      </c>
    </row>
    <row r="135" spans="1:15" ht="29.25" x14ac:dyDescent="0.5">
      <c r="A135" s="863" t="s">
        <v>196</v>
      </c>
      <c r="B135" s="864"/>
      <c r="C135" s="865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7">
        <f>G135-(G35+G49)</f>
        <v>-82.120000000020809</v>
      </c>
      <c r="J135" s="328">
        <f>H135/DAY(B2)</f>
        <v>3277.4474999999984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28">
        <f>H138/DAY(B2)</f>
        <v>76.5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28">
        <f>H139/DAY(B2)</f>
        <v>0.25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28">
        <f>H140/DAY(B2)</f>
        <v>4.0750000000007276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28">
        <f>H141/DAY(B2)</f>
        <v>182.26000000000022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28">
        <f>H142/DAY(B2)</f>
        <v>70.6875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28">
        <f>H143/DAY(B2)</f>
        <v>22.840000000000032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28">
        <f>H144/DAY(B2)</f>
        <v>224.75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28">
        <f>H145/DAY(B2)</f>
        <v>16.557499999999891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28">
        <f>H146/DAY(B2)</f>
        <v>467.5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28">
        <f>H147/DAY(B2)</f>
        <v>419.45999999999185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28">
        <f>H148/DAY(B2)</f>
        <v>284.42000000001281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28">
        <f>H149/DAY(B2)</f>
        <v>357.73999999999978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28">
        <f>H150/DAY(B2)</f>
        <v>218.44499999999994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28">
        <f>H151/DAY(B2)</f>
        <v>260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28">
        <f>H152/DAY(B2)</f>
        <v>24.259999999999991</v>
      </c>
    </row>
    <row r="153" spans="1:10" ht="29.25" x14ac:dyDescent="0.5">
      <c r="A153" s="863" t="s">
        <v>196</v>
      </c>
      <c r="B153" s="864"/>
      <c r="C153" s="865"/>
      <c r="D153" s="358"/>
      <c r="E153" s="360"/>
      <c r="F153" s="361"/>
      <c r="G153" s="362">
        <f>SUM(G138:G152)</f>
        <v>2726.2199999999539</v>
      </c>
      <c r="H153" s="363"/>
      <c r="I153" s="119">
        <f>G153-(G38+G52)</f>
        <v>973.85999999996784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'3'!F155</f>
        <v>14751.96</v>
      </c>
      <c r="F155" s="374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4"/>
      <c r="J155" s="328">
        <f>H155/DAY(B2)</f>
        <v>479.63999999999987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28">
        <f>H156/DAY(B2)</f>
        <v>41.967499999999973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28">
        <f>H157/DAY(B2)</f>
        <v>15.65500000000003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28">
        <f>H158/DAY(B2)</f>
        <v>0.15749999999999975</v>
      </c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 x14ac:dyDescent="0.5">
      <c r="A166" s="822"/>
      <c r="B166" s="82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22"/>
      <c r="B167" s="82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22"/>
      <c r="B168" s="82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 x14ac:dyDescent="0.5">
      <c r="A175" s="826" t="s">
        <v>76</v>
      </c>
      <c r="B175" s="866"/>
      <c r="C175" s="827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63" t="s">
        <v>196</v>
      </c>
      <c r="B176" s="864"/>
      <c r="C176" s="865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26" t="s">
        <v>210</v>
      </c>
      <c r="B178" s="827"/>
      <c r="C178" s="333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 x14ac:dyDescent="0.5">
      <c r="A179" s="826" t="s">
        <v>211</v>
      </c>
      <c r="B179" s="827"/>
      <c r="C179" s="333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 x14ac:dyDescent="0.5">
      <c r="A181" s="863" t="s">
        <v>196</v>
      </c>
      <c r="B181" s="864"/>
      <c r="C181" s="865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63" t="s">
        <v>196</v>
      </c>
      <c r="B186" s="864"/>
      <c r="C186" s="865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 x14ac:dyDescent="0.5">
      <c r="A187" s="819" t="s">
        <v>217</v>
      </c>
      <c r="B187" s="820"/>
      <c r="C187" s="333"/>
      <c r="D187" s="230" t="s">
        <v>142</v>
      </c>
      <c r="E187" s="95"/>
      <c r="F187" s="99"/>
      <c r="G187" s="462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 x14ac:dyDescent="0.5">
      <c r="A190" s="819"/>
      <c r="B190" s="82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3" zoomScaleNormal="48" zoomScaleSheetLayoutView="53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350</v>
      </c>
      <c r="B2" s="262">
        <v>44566</v>
      </c>
      <c r="C2" s="34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5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6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28">
        <f>H112/DAY(B2)</f>
        <v>71.480000000000288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28">
        <f>H113/DAY(B2)</f>
        <v>453.0399999999994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28">
        <f>H114/DAY(B2)</f>
        <v>268.24000000000012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28">
        <f>H115/DAY(B2)</f>
        <v>10.559999999999855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28">
        <f>H116/DAY(B2)</f>
        <v>0</v>
      </c>
      <c r="Q116" s="906"/>
      <c r="R116" s="906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28">
        <f>H117/DAY(B2)</f>
        <v>25.757999999999992</v>
      </c>
      <c r="Q117" s="906"/>
      <c r="R117" s="906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28">
        <f>H118/DAY(B2)</f>
        <v>376.50599999999974</v>
      </c>
      <c r="Q118" s="906"/>
      <c r="R118" s="906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28">
        <f>H119/DAY(B2)</f>
        <v>432.98599999999863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'4'!F120</f>
        <v>31775.45</v>
      </c>
      <c r="F120" s="600">
        <v>32187</v>
      </c>
      <c r="G120" s="112">
        <f t="shared" si="9"/>
        <v>411.54999999999927</v>
      </c>
      <c r="H120" s="99">
        <f>G120+'4'!H120</f>
        <v>2109</v>
      </c>
      <c r="I120" s="165"/>
      <c r="J120" s="328">
        <f>H120/DAY(B2)</f>
        <v>421.8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28">
        <f>H121/DAY(B2)</f>
        <v>764.8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28">
        <f>H122/DAY(B2)</f>
        <v>230.67600000000093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28">
        <f>H123/DAY(B2)</f>
        <v>333.55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1" t="s">
        <v>196</v>
      </c>
      <c r="B125" s="901"/>
      <c r="C125" s="245"/>
      <c r="D125" s="307"/>
      <c r="E125" s="308"/>
      <c r="F125" s="308"/>
      <c r="G125" s="309">
        <f>SUM(G112:G124)</f>
        <v>3325.0599999999627</v>
      </c>
      <c r="H125" s="156"/>
      <c r="I125" s="327">
        <f>G125-(G39+G53)</f>
        <v>655.97999999994636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471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'4'!F128</f>
        <v>39388.42</v>
      </c>
      <c r="F128" s="472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28">
        <f>H128/DAY(B2)</f>
        <v>343.41799999999932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21201.37</v>
      </c>
      <c r="F129" s="472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28">
        <f>H129/DAY(B2)</f>
        <v>215.69400000000024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21202.17</v>
      </c>
      <c r="F130" s="472">
        <v>21852.17</v>
      </c>
      <c r="G130" s="112">
        <f t="shared" si="10"/>
        <v>650</v>
      </c>
      <c r="H130" s="99">
        <f>G130+'4'!H130</f>
        <v>3470.1699999999983</v>
      </c>
      <c r="I130" s="165"/>
      <c r="J130" s="328">
        <f>H130/DAY(B2)</f>
        <v>694.03399999999965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'4'!F131</f>
        <v>13484.52</v>
      </c>
      <c r="F131" s="472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28">
        <f>H131/DAY(B2)</f>
        <v>81.688000000000102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'4'!F132</f>
        <v>42815.69</v>
      </c>
      <c r="F132" s="472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28">
        <f>H132/DAY(B2)</f>
        <v>445.61600000000033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'4'!F133</f>
        <v>91046.62</v>
      </c>
      <c r="F133" s="472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28">
        <f>H133/DAY(B2)</f>
        <v>837.97399999999902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'4'!F134</f>
        <v>671437</v>
      </c>
      <c r="F134" s="472">
        <v>672078</v>
      </c>
      <c r="G134" s="112">
        <f t="shared" si="10"/>
        <v>641</v>
      </c>
      <c r="H134" s="99">
        <f>G134+'4'!H134</f>
        <v>3198</v>
      </c>
      <c r="I134" s="165"/>
      <c r="J134" s="328">
        <f>H134/DAY(B2)</f>
        <v>639.6</v>
      </c>
    </row>
    <row r="135" spans="1:15" ht="27.75" x14ac:dyDescent="0.5">
      <c r="A135" s="901" t="s">
        <v>196</v>
      </c>
      <c r="B135" s="901"/>
      <c r="C135" s="331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7">
        <f>G135-(G35+G49)</f>
        <v>-307.37999999999192</v>
      </c>
      <c r="J135" s="328">
        <f>H135/DAY(B2)</f>
        <v>3258.0239999999985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28">
        <f>H138/DAY(B2)</f>
        <v>73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28">
        <f>H139/DAY(B2)</f>
        <v>0.2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28">
        <f>H140/DAY(B2)</f>
        <v>3.260000000000582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28">
        <f>H141/DAY(B2)</f>
        <v>180.0199999999997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28">
        <f>H142/DAY(B2)</f>
        <v>71.95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28">
        <f>H143/DAY(B2)</f>
        <v>22.339999999999964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28">
        <f>H144/DAY(B2)</f>
        <v>224.8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28">
        <f>H145/DAY(B2)</f>
        <v>16.600000000000001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28">
        <f>H146/DAY(B2)</f>
        <v>464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28">
        <f>H147/DAY(B2)</f>
        <v>411.8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28">
        <f>H148/DAY(B2)</f>
        <v>273.77600000000092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28">
        <f>H149/DAY(B2)</f>
        <v>382.42799999999988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28">
        <f>H150/DAY(B2)</f>
        <v>218.30799999999999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28">
        <f>H151/DAY(B2)</f>
        <v>257.2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28">
        <f>H152/DAY(B2)</f>
        <v>22.311999999999991</v>
      </c>
    </row>
    <row r="153" spans="1:10" ht="27.75" x14ac:dyDescent="0.5">
      <c r="A153" s="901" t="s">
        <v>196</v>
      </c>
      <c r="B153" s="901"/>
      <c r="C153" s="365"/>
      <c r="D153" s="358"/>
      <c r="E153" s="360"/>
      <c r="F153" s="361"/>
      <c r="G153" s="362">
        <f>SUM(G138:G152)</f>
        <v>2590.9899999999843</v>
      </c>
      <c r="H153" s="363"/>
      <c r="I153" s="119">
        <f>G153-(G38+G52)</f>
        <v>918.58999999996104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'4'!F155</f>
        <v>15390.56</v>
      </c>
      <c r="F155" s="473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4"/>
      <c r="J155" s="328">
        <f>H155/DAY(B2)</f>
        <v>506.40400000000011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28">
        <f>H156/DAY(B2)</f>
        <v>44.14200000000001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28">
        <f>H157/DAY(B2)</f>
        <v>24.880000000000017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28">
        <f>H158/DAY(B2)</f>
        <v>1.2879999999999998</v>
      </c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 x14ac:dyDescent="0.5">
      <c r="A166" s="822"/>
      <c r="B166" s="82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22"/>
      <c r="B167" s="82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22"/>
      <c r="B168" s="82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902"/>
      <c r="B172" s="902"/>
      <c r="C172" s="474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0" t="s">
        <v>209</v>
      </c>
      <c r="B173" s="900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0" t="s">
        <v>75</v>
      </c>
      <c r="B174" s="900"/>
      <c r="C174" s="333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 x14ac:dyDescent="0.5">
      <c r="A175" s="900" t="s">
        <v>76</v>
      </c>
      <c r="B175" s="900"/>
      <c r="C175" s="900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01" t="s">
        <v>196</v>
      </c>
      <c r="B176" s="901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 x14ac:dyDescent="0.5">
      <c r="A177" s="900" t="s">
        <v>77</v>
      </c>
      <c r="B177" s="90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0" t="s">
        <v>210</v>
      </c>
      <c r="B178" s="900"/>
      <c r="C178" s="333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 x14ac:dyDescent="0.5">
      <c r="A179" s="900" t="s">
        <v>211</v>
      </c>
      <c r="B179" s="900"/>
      <c r="C179" s="333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 x14ac:dyDescent="0.5">
      <c r="A180" s="900" t="s">
        <v>212</v>
      </c>
      <c r="B180" s="900"/>
      <c r="C180" s="333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 x14ac:dyDescent="0.5">
      <c r="A181" s="905" t="s">
        <v>108</v>
      </c>
      <c r="B181" s="905"/>
      <c r="C181" s="333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 x14ac:dyDescent="0.5">
      <c r="A182" s="900" t="s">
        <v>213</v>
      </c>
      <c r="B182" s="90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0" t="s">
        <v>214</v>
      </c>
      <c r="B183" s="900"/>
      <c r="C183" s="334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 x14ac:dyDescent="0.5">
      <c r="A184" s="900" t="s">
        <v>215</v>
      </c>
      <c r="B184" s="900"/>
      <c r="C184" s="334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 x14ac:dyDescent="0.5">
      <c r="A185" s="900" t="s">
        <v>216</v>
      </c>
      <c r="B185" s="90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1" t="s">
        <v>196</v>
      </c>
      <c r="B186" s="901"/>
      <c r="C186" s="334"/>
      <c r="D186" s="463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04" t="s">
        <v>217</v>
      </c>
      <c r="B187" s="904"/>
      <c r="C187" s="333"/>
      <c r="D187" s="157" t="s">
        <v>142</v>
      </c>
      <c r="E187" s="95"/>
      <c r="F187" s="159"/>
      <c r="G187" s="462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 x14ac:dyDescent="0.5">
      <c r="A188" s="904" t="s">
        <v>218</v>
      </c>
      <c r="B188" s="904"/>
      <c r="C188" s="333"/>
      <c r="D188" s="157" t="s">
        <v>142</v>
      </c>
      <c r="E188" s="95"/>
      <c r="F188" s="159"/>
      <c r="G188" s="462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 x14ac:dyDescent="0.5">
      <c r="A189" s="904" t="s">
        <v>219</v>
      </c>
      <c r="B189" s="904"/>
      <c r="C189" s="333"/>
      <c r="D189" s="157" t="s">
        <v>142</v>
      </c>
      <c r="E189" s="95"/>
      <c r="F189" s="157"/>
      <c r="G189" s="459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 x14ac:dyDescent="0.5">
      <c r="A190" s="903"/>
      <c r="B190" s="903"/>
      <c r="C190" s="475"/>
      <c r="D190" s="476"/>
      <c r="E190" s="477"/>
      <c r="F190" s="476"/>
      <c r="G190" s="476"/>
      <c r="H190" s="478"/>
      <c r="I190" s="476"/>
      <c r="J190" s="479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33" zoomScale="55" zoomScaleSheetLayoutView="55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363</v>
      </c>
      <c r="B2" s="262">
        <v>44567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'5'!F18</f>
        <v>12</v>
      </c>
      <c r="F18" s="122">
        <v>16</v>
      </c>
      <c r="G18" s="119">
        <f>F18*10</f>
        <v>160</v>
      </c>
      <c r="H18" s="99">
        <f>G18+'5'!H18</f>
        <v>750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204</v>
      </c>
      <c r="H20" s="99">
        <f>G20+'5'!H20</f>
        <v>1060</v>
      </c>
      <c r="I20" s="336">
        <f>I18-J20</f>
        <v>-111.66666666666666</v>
      </c>
      <c r="J20" s="175">
        <f>H20/DAY(B2)</f>
        <v>176.66666666666666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G31+'5'!H31</f>
        <v>60000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254127.60000000242</v>
      </c>
      <c r="H32" s="99">
        <f>G32+'5'!H32</f>
        <v>1474905</v>
      </c>
      <c r="I32" s="144"/>
      <c r="J32" s="175">
        <f>H32/DAY(B2)</f>
        <v>245817.5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28">
        <f>H113/DAY(B2)</f>
        <v>451.16666666666669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28">
        <f>H114/DAY(B2)</f>
        <v>267.33333333333331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28">
        <f>H115/DAY(B2)</f>
        <v>10.833333333333334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28">
        <f>H117/DAY(B2)</f>
        <v>26.5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28">
        <f>H118/DAY(B2)</f>
        <v>373.16666666666669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28">
        <f>H119/DAY(B2)</f>
        <v>431.66666666666669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28">
        <f>H120/DAY(B2)</f>
        <v>420.83333333333331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28">
        <f>H121/DAY(B2)</f>
        <v>761.5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28">
        <f>H122/DAY(B2)</f>
        <v>232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28">
        <f>H123/DAY(B2)</f>
        <v>329.16666666666669</v>
      </c>
    </row>
    <row r="124" spans="1:18" ht="29.25" customHeight="1" x14ac:dyDescent="0.5">
      <c r="A124" s="837"/>
      <c r="B124" s="838"/>
      <c r="C124" s="83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3313.020000000005</v>
      </c>
      <c r="H125" s="156"/>
      <c r="I125" s="327">
        <f>G125-(G39+G53)</f>
        <v>605.6100000000306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28">
        <f>H128/DAY(B2)</f>
        <v>337.33333333333331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28">
        <f>H129/DAY(B2)</f>
        <v>214.83333333333334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28">
        <f>H130/DAY(B2)</f>
        <v>682.33333333333337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28">
        <f>H131/DAY(B2)</f>
        <v>79.166666666666671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28">
        <f>H132/DAY(B2)</f>
        <v>448.5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28">
        <f>H133/DAY(B2)</f>
        <v>833.83333333333337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28">
        <f>H134/DAY(B2)</f>
        <v>640.33333333333337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7">
        <f>G135-(G35+G49)</f>
        <v>-353.5999999999749</v>
      </c>
      <c r="J135" s="328">
        <f>H135/DAY(B2)</f>
        <v>3236.3333333333335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28">
        <f>H138/DAY(B2)</f>
        <v>71.333333333333329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28">
        <f>H139/DAY(B2)</f>
        <v>0.5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28">
        <f>H140/DAY(B2)</f>
        <v>2.7166666666671517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28">
        <f>H141/DAY(B2)</f>
        <v>177.33333333333334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28">
        <f>H142/DAY(B2)</f>
        <v>71.333333333333329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28">
        <f>H143/DAY(B2)</f>
        <v>22.333333333333332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28">
        <f>H144/DAY(B2)</f>
        <v>224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28">
        <f>H145/DAY(B2)</f>
        <v>16.833333333333332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28">
        <f>H146/DAY(B2)</f>
        <v>459.66666666666669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28">
        <f>H147/DAY(B2)</f>
        <v>406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28">
        <f>H148/DAY(B2)</f>
        <v>276.14666666666744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28">
        <f>H149/DAY(B2)</f>
        <v>399.66666666666669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28">
        <f>H150/DAY(B2)</f>
        <v>217.83333333333334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28">
        <f>H151/DAY(B2)</f>
        <v>254.83333333333334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28">
        <f>H152/DAY(B2)</f>
        <v>21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2619.2100000000023</v>
      </c>
      <c r="H153" s="363"/>
      <c r="I153" s="119">
        <f>G153-(G38+G52)</f>
        <v>932.10000000001628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'5'!F155</f>
        <v>16004.02</v>
      </c>
      <c r="F155" s="374">
        <v>16648</v>
      </c>
      <c r="G155" s="112">
        <f t="shared" ref="G155:G156" si="12">F155-E155</f>
        <v>643.97999999999956</v>
      </c>
      <c r="H155" s="99">
        <f>G155+'5'!H155</f>
        <v>3176</v>
      </c>
      <c r="I155" s="364"/>
      <c r="J155" s="328">
        <f>H155/DAY(B2)</f>
        <v>529.33333333333337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28">
        <f>H156/DAY(B2)</f>
        <v>45.833333333333336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 x14ac:dyDescent="0.5">
      <c r="A166" s="822"/>
      <c r="B166" s="82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 x14ac:dyDescent="0.5">
      <c r="A176" s="592" t="s">
        <v>196</v>
      </c>
      <c r="B176" s="593"/>
      <c r="C176" s="333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 x14ac:dyDescent="0.5">
      <c r="A181" s="828" t="s">
        <v>108</v>
      </c>
      <c r="B181" s="829"/>
      <c r="C181" s="333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 x14ac:dyDescent="0.5">
      <c r="A182" s="826" t="s">
        <v>213</v>
      </c>
      <c r="B182" s="82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334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 x14ac:dyDescent="0.5">
      <c r="A190" s="740"/>
      <c r="B190" s="74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91" zoomScale="60" zoomScaleNormal="77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44568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'6'!F18</f>
        <v>16</v>
      </c>
      <c r="F18" s="122">
        <v>16</v>
      </c>
      <c r="G18" s="119">
        <f>F18*10</f>
        <v>160</v>
      </c>
      <c r="H18" s="99">
        <f>G18+'6'!H18</f>
        <v>910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1274</v>
      </c>
      <c r="I20" s="336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72800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1728014</v>
      </c>
      <c r="I32" s="144"/>
      <c r="J32" s="175">
        <f>H32/DAY(B2)</f>
        <v>246859.14285714287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28">
        <f>H112/DAY(B2)</f>
        <v>73.571428571428569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28">
        <f>H113/DAY(B2)</f>
        <v>450.85714285714283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28">
        <f>H114/DAY(B2)</f>
        <v>265.85714285714283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28">
        <f>H115/DAY(B2)</f>
        <v>10.714285714285714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28">
        <f>H117/DAY(B2)</f>
        <v>26.857142857142858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28">
        <f>H118/DAY(B2)</f>
        <v>411.14285714285717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28">
        <f>H119/DAY(B2)</f>
        <v>432.42857142857144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28">
        <f>H120/DAY(B2)</f>
        <v>421.85714285714283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28">
        <f>H121/DAY(B2)</f>
        <v>755.57142857142856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28">
        <f>H122/DAY(B2)</f>
        <v>233.14285714285714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28">
        <f>H123/DAY(B2)</f>
        <v>327.57142857142856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3607</v>
      </c>
      <c r="H125" s="156"/>
      <c r="I125" s="327">
        <f>G125-(G39+G53)</f>
        <v>932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28">
        <f>H128/DAY(B2)</f>
        <v>334.28571428571428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28">
        <f>H129/DAY(B2)</f>
        <v>219.85714285714286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28">
        <f>H130/DAY(B2)</f>
        <v>683.57142857142856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28">
        <f>H131/DAY(B2)</f>
        <v>78.571428571428569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28">
        <f>H132/DAY(B2)</f>
        <v>457.14285714285717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28">
        <f>H133/DAY(B2)</f>
        <v>822.71428571428567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28">
        <f>H134/DAY(B2)</f>
        <v>641.42857142857144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7">
        <f>G135-(G35+G49)</f>
        <v>-282</v>
      </c>
      <c r="J135" s="328" t="e">
        <f t="shared" ref="J135" si="11">H135/DAY(B54)</f>
        <v>#DIV/0!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28">
        <f>H138/DAY(B2)</f>
        <v>71.714285714285708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28">
        <f>H139/DAY(B2)</f>
        <v>0.42857142857142855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28">
        <f>H141/DAY(B2)</f>
        <v>176.57142857142858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28">
        <f>H142/DAY(B2)</f>
        <v>70.571428571428569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28">
        <f>H143/DAY(B2)</f>
        <v>22.714285714285715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28">
        <f>H144/DAY(B2)</f>
        <v>224.85714285714286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28">
        <f>H145/DAY(B2)</f>
        <v>16.857142857142858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28">
        <f>H146/DAY(B2)</f>
        <v>452.57142857142856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28">
        <f>H147/DAY(B2)</f>
        <v>400.57142857142856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28">
        <f>H148/DAY(B2)</f>
        <v>271.98285714285782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28">
        <f>H149/DAY(B2)</f>
        <v>407.42857142857144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28">
        <f>H150/DAY(B2)</f>
        <v>220.14285714285714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28">
        <f>H151/DAY(B2)</f>
        <v>249.14285714285714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28">
        <f>H152/DAY(B2)</f>
        <v>20.285714285714285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2527.6999999999971</v>
      </c>
      <c r="H153" s="363"/>
      <c r="I153" s="119" t="s">
        <v>207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'6'!F155</f>
        <v>16648</v>
      </c>
      <c r="F155" s="374">
        <v>17300</v>
      </c>
      <c r="G155" s="112">
        <f t="shared" ref="G155:G156" si="13">F155-E155</f>
        <v>652</v>
      </c>
      <c r="H155" s="99">
        <f>G155+'6'!H155</f>
        <v>3828</v>
      </c>
      <c r="I155" s="364"/>
      <c r="J155" s="328">
        <f>H155/DAY(B2)</f>
        <v>546.85714285714289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28">
        <f>H156/DAY(B2)</f>
        <v>46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 x14ac:dyDescent="0.5">
      <c r="A166" s="822"/>
      <c r="B166" s="82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 x14ac:dyDescent="0.5">
      <c r="A176" s="592" t="s">
        <v>196</v>
      </c>
      <c r="B176" s="593"/>
      <c r="C176" s="333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 x14ac:dyDescent="0.5">
      <c r="A181" s="828" t="s">
        <v>108</v>
      </c>
      <c r="B181" s="829"/>
      <c r="C181" s="333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334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 x14ac:dyDescent="0.5">
      <c r="A187" s="819" t="s">
        <v>217</v>
      </c>
      <c r="B187" s="820"/>
      <c r="C187" s="333"/>
      <c r="D187" s="228" t="s">
        <v>142</v>
      </c>
      <c r="E187" s="95"/>
      <c r="F187" s="159"/>
      <c r="G187" s="462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 x14ac:dyDescent="0.5">
      <c r="A190" s="740"/>
      <c r="B190" s="74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24" zoomScale="55" zoomScaleSheetLayoutView="55" workbookViewId="0">
      <selection activeCell="F31" sqref="F3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1070</v>
      </c>
      <c r="I18" s="113">
        <f>'1'!I18</f>
        <v>65</v>
      </c>
      <c r="J18" s="175">
        <f>H18/DAY(B2)</f>
        <v>133.75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5"/>
      <c r="J19" s="175">
        <f>H19/DAY(B2)</f>
        <v>51.875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1485</v>
      </c>
      <c r="I20" s="336">
        <f>I18-J20</f>
        <v>-120.625</v>
      </c>
      <c r="J20" s="175">
        <f>H20/DAY(B2)</f>
        <v>185.625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85600</v>
      </c>
      <c r="I31" s="140"/>
      <c r="J31" s="175">
        <f>H31/DAY(B2)</f>
        <v>10700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1973183</v>
      </c>
      <c r="I32" s="144"/>
      <c r="J32" s="175">
        <f>H32/DAY(B2)</f>
        <v>246647.875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28">
        <f>H112/DAY(B2)</f>
        <v>74.125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28">
        <f>H113/DAY(B2)</f>
        <v>450.875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28">
        <f>H114/DAY(B2)</f>
        <v>265.5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28">
        <f>H115/DAY(B2)</f>
        <v>10.75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28">
        <f>H117/DAY(B2)</f>
        <v>26.25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28">
        <f>H118/DAY(B2)</f>
        <v>370.375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28">
        <f>H119/DAY(B2)</f>
        <v>435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28">
        <f>H120/DAY(B2)</f>
        <v>420.875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28">
        <f>H121/DAY(B2)</f>
        <v>749.75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28">
        <f>H122/DAY(B2)</f>
        <v>231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28">
        <f>H123/DAY(B2)</f>
        <v>326.5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3021</v>
      </c>
      <c r="H125" s="156"/>
      <c r="I125" s="327">
        <f>G125-(G39+G53)</f>
        <v>336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28">
        <f>H128/DAY(B2)</f>
        <v>331.75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28">
        <f>H129/DAY(B2)</f>
        <v>218.75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28">
        <f>H130/DAY(B2)</f>
        <v>677.875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28">
        <f>H131/DAY(B2)</f>
        <v>77.125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28">
        <f>H132/DAY(B2)</f>
        <v>463.5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28">
        <f>H133/DAY(B2)</f>
        <v>815.75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28">
        <f>H134/DAY(B2)</f>
        <v>637.875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7">
        <f>G135-(G35+G49)</f>
        <v>-298</v>
      </c>
      <c r="J135" s="328" t="e">
        <f t="shared" ref="J135" si="11">H135/DAY(B54)</f>
        <v>#DIV/0!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28">
        <f>H138/DAY(B2)</f>
        <v>70.75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28">
        <f>H139/DAY(B2)</f>
        <v>0.375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28">
        <f>H141/DAY(B2)</f>
        <v>176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'7'!F142</f>
        <v>19503</v>
      </c>
      <c r="F142" s="703">
        <v>19567</v>
      </c>
      <c r="G142" s="112">
        <f t="shared" si="12"/>
        <v>64</v>
      </c>
      <c r="H142" s="99">
        <f>G142+'7'!H142</f>
        <v>558</v>
      </c>
      <c r="I142" s="140"/>
      <c r="J142" s="328">
        <f>H142/DAY(B2)</f>
        <v>69.75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28">
        <f>H143/DAY(B2)</f>
        <v>23.375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28">
        <f>H144/DAY(B2)</f>
        <v>226.75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28">
        <f>H145/DAY(B2)</f>
        <v>17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28">
        <f>H146/DAY(B2)</f>
        <v>447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28">
        <f>H147/DAY(B2)</f>
        <v>395.25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28">
        <f>H148/DAY(B2)</f>
        <v>271.11000000000058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28">
        <f>H149/DAY(B2)</f>
        <v>419.75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28">
        <f>H150/DAY(B2)</f>
        <v>219.875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28">
        <f>H151/DAY(B2)</f>
        <v>246.875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28">
        <f>H152/DAY(B2)</f>
        <v>20.25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2592</v>
      </c>
      <c r="H153" s="363"/>
      <c r="I153" s="119">
        <f>G153-(G38+G52)</f>
        <v>877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'7'!F155</f>
        <v>17300</v>
      </c>
      <c r="F155" s="374">
        <v>17939</v>
      </c>
      <c r="G155" s="112">
        <f t="shared" ref="G155:G156" si="13">F155-E155</f>
        <v>639</v>
      </c>
      <c r="H155" s="99">
        <f>G155+'7'!H155</f>
        <v>4467</v>
      </c>
      <c r="I155" s="364"/>
      <c r="J155" s="328">
        <f>H155/DAY(B2)</f>
        <v>558.375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28">
        <f>H156/DAY(B2)</f>
        <v>46.375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3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 x14ac:dyDescent="0.5">
      <c r="A166" s="822"/>
      <c r="B166" s="82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 x14ac:dyDescent="0.5">
      <c r="A176" s="817" t="s">
        <v>196</v>
      </c>
      <c r="B176" s="818"/>
      <c r="C176" s="333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 x14ac:dyDescent="0.5">
      <c r="A181" s="828" t="s">
        <v>108</v>
      </c>
      <c r="B181" s="829"/>
      <c r="C181" s="333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17" t="s">
        <v>196</v>
      </c>
      <c r="B186" s="81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 x14ac:dyDescent="0.5">
      <c r="A190" s="740"/>
      <c r="B190" s="74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21" zoomScale="55" zoomScaleNormal="80" zoomScaleSheetLayoutView="55" workbookViewId="0">
      <selection activeCell="E24" sqref="E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601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1220</v>
      </c>
      <c r="I18" s="113">
        <f>'1'!I18</f>
        <v>65</v>
      </c>
      <c r="J18" s="175">
        <f>H18/DAY(B2)</f>
        <v>135.55555555555554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5"/>
      <c r="J19" s="175">
        <f>H19/DAY(B2)</f>
        <v>52.222222222222221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1690</v>
      </c>
      <c r="I20" s="336">
        <f>I18-J20</f>
        <v>-122.77777777777777</v>
      </c>
      <c r="J20" s="175">
        <f>H20/DAY(B2)</f>
        <v>187.77777777777777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97600</v>
      </c>
      <c r="I31" s="140"/>
      <c r="J31" s="175">
        <f>H31/DAY(B2)</f>
        <v>10844.444444444445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2202476</v>
      </c>
      <c r="I32" s="144"/>
      <c r="J32" s="175">
        <f>H32/DAY(B2)</f>
        <v>244719.55555555556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28">
        <f>H112/DAY(B2)</f>
        <v>74.444444444444443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28">
        <f>H113/DAY(B2)</f>
        <v>447.88888888888891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28">
        <f>H114/DAY(B2)</f>
        <v>265.11111111111109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28">
        <f>H115/DAY(B2)</f>
        <v>10.333333333333334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28">
        <f>H117/DAY(B2)</f>
        <v>25.888888888888889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28">
        <f>H118/DAY(B2)</f>
        <v>367.66666666666669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28">
        <f>H119/DAY(B2)</f>
        <v>435.77777777777777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28">
        <f>H120/DAY(B2)</f>
        <v>421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28">
        <f>H121/DAY(B2)</f>
        <v>744.44444444444446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28">
        <f>H122/DAY(B2)</f>
        <v>225.88888888888889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28">
        <f>H123/DAY(B2)</f>
        <v>324.22222222222223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28">
        <f>H128/DAY(B2)</f>
        <v>330.22222222222223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28">
        <f>H129/DAY(B2)</f>
        <v>217.77777777777777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28">
        <f>H130/DAY(B2)</f>
        <v>667.22222222222217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28">
        <f>H131/DAY(B2)</f>
        <v>74.666666666666671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28">
        <f>H132/DAY(B2)</f>
        <v>468.66666666666669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28">
        <f>H133/DAY(B2)</f>
        <v>783.33333333333337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28">
        <f>H134/DAY(B2)</f>
        <v>633.88888888888891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7">
        <f>G135-(G35+G49)</f>
        <v>-288</v>
      </c>
      <c r="J135" s="328">
        <f>H135/DAY(B2)</f>
        <v>3175.7777777777778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28">
        <f>H138/DAY(B2)</f>
        <v>68.888888888888886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28">
        <f>H139/DAY(B2)</f>
        <v>0.33333333333333331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28">
        <f>H140/DAY(B2)</f>
        <v>1.7777777777777777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28">
        <f>H141/DAY(B2)</f>
        <v>176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28">
        <f>H142/DAY(B2)</f>
        <v>70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28">
        <f>H143/DAY(B2)</f>
        <v>23.555555555555557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28">
        <f>H144/DAY(B2)</f>
        <v>226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28">
        <f>H145/DAY(B2)</f>
        <v>17.111111111111111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28">
        <f>H146/DAY(B2)</f>
        <v>439.77777777777777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28">
        <f>H147/DAY(B2)</f>
        <v>391.11111111111109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'8'!F148</f>
        <v>685202</v>
      </c>
      <c r="F148" s="488">
        <v>685430</v>
      </c>
      <c r="G148" s="112">
        <f t="shared" si="11"/>
        <v>228</v>
      </c>
      <c r="H148" s="99">
        <f>G148+'8'!H148</f>
        <v>2396.8800000000047</v>
      </c>
      <c r="I148" s="124"/>
      <c r="J148" s="328">
        <f>H148/DAY(B2)</f>
        <v>266.3200000000005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28">
        <f>H149/DAY(B2)</f>
        <v>425.88888888888891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28">
        <f>H150/DAY(B2)</f>
        <v>221.11111111111111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28">
        <f>H152/DAY(B2)</f>
        <v>19.777777777777779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5087</v>
      </c>
      <c r="I155" s="364"/>
      <c r="J155" s="328">
        <f>H155/DAY(B2)</f>
        <v>565.22222222222217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28">
        <f>H156/DAY(B2)</f>
        <v>46.666666666666664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3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 x14ac:dyDescent="0.5">
      <c r="A166" s="822"/>
      <c r="B166" s="82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 x14ac:dyDescent="0.5">
      <c r="A176" s="817" t="s">
        <v>196</v>
      </c>
      <c r="B176" s="81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 x14ac:dyDescent="0.5">
      <c r="A180" s="826" t="s">
        <v>212</v>
      </c>
      <c r="B180" s="827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 x14ac:dyDescent="0.5">
      <c r="A181" s="828" t="s">
        <v>108</v>
      </c>
      <c r="B181" s="829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 x14ac:dyDescent="0.5">
      <c r="A185" s="826" t="s">
        <v>216</v>
      </c>
      <c r="B185" s="82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17" t="s">
        <v>196</v>
      </c>
      <c r="B186" s="818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 x14ac:dyDescent="0.5">
      <c r="A190" s="740"/>
      <c r="B190" s="74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9" zoomScale="50" zoomScaleNormal="55" zoomScaleSheetLayoutView="50" workbookViewId="0">
      <selection activeCell="F122" sqref="F12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192278</v>
      </c>
      <c r="I7" s="113">
        <f>'1'!I7</f>
        <v>12000</v>
      </c>
      <c r="J7" s="175">
        <f>H7/DAY(B2)</f>
        <v>19227.8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196115</v>
      </c>
      <c r="I8" s="116"/>
      <c r="J8" s="175">
        <f>H8/DAY(B2)</f>
        <v>19611.5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11657</v>
      </c>
      <c r="F9" s="601">
        <v>22761</v>
      </c>
      <c r="G9" s="112">
        <f>F9-E9</f>
        <v>11104</v>
      </c>
      <c r="H9" s="99">
        <f>G9+'9'!H9</f>
        <v>121266</v>
      </c>
      <c r="I9" s="124">
        <f>I7-J7</f>
        <v>-7227.7999999999993</v>
      </c>
      <c r="J9" s="175">
        <f>H9/DAY(B2)</f>
        <v>12126.6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65712</v>
      </c>
      <c r="I10" s="282"/>
      <c r="J10" s="175">
        <f>H10/DAY(B2)</f>
        <v>6571.2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167512.74999999988</v>
      </c>
      <c r="I13" s="120">
        <f>G7-G13</f>
        <v>485</v>
      </c>
      <c r="J13" s="175">
        <f>H13/DAY(B2)</f>
        <v>16751.274999999987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8928</v>
      </c>
      <c r="I15" s="113">
        <f>'1'!I15</f>
        <v>800</v>
      </c>
      <c r="J15" s="175">
        <f>H15/DAY(B2)</f>
        <v>892.8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-92.799999999999955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1290</v>
      </c>
      <c r="I18" s="113">
        <f>'1'!I18</f>
        <v>65</v>
      </c>
      <c r="J18" s="175">
        <f>H18/DAY(B2)</f>
        <v>129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524</v>
      </c>
      <c r="I19" s="335"/>
      <c r="J19" s="175">
        <f>H19/DAY(B2)</f>
        <v>52.4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1814</v>
      </c>
      <c r="I20" s="336">
        <f>I18-J20</f>
        <v>-116.4</v>
      </c>
      <c r="J20" s="175">
        <f>H20/DAY(B2)</f>
        <v>181.4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1765035</v>
      </c>
      <c r="I27" s="138"/>
      <c r="J27" s="175">
        <f>H27/DAY(B2)</f>
        <v>176503.5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464256</v>
      </c>
      <c r="I28" s="140"/>
      <c r="J28" s="175">
        <f>H28/DAY(B2)</f>
        <v>46425.599999999999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76504</v>
      </c>
      <c r="I30" s="140"/>
      <c r="J30" s="175">
        <f>H30/DAY(B2)</f>
        <v>7650.4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103200</v>
      </c>
      <c r="I31" s="140"/>
      <c r="J31" s="175">
        <f>H31/DAY(B2)</f>
        <v>10320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2408995</v>
      </c>
      <c r="I32" s="144"/>
      <c r="J32" s="175">
        <f>H32/DAY(B2)</f>
        <v>240899.5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18597</v>
      </c>
      <c r="I35" s="95"/>
      <c r="J35" s="175">
        <f>H35/DAY(B2)</f>
        <v>1859.7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7782</v>
      </c>
      <c r="I36" s="95"/>
      <c r="J36" s="175">
        <f>H36/DAY(B2)</f>
        <v>778.2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15136</v>
      </c>
      <c r="I37" s="95"/>
      <c r="J37" s="175">
        <f>H37/DAY(B2)</f>
        <v>1513.6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16399</v>
      </c>
      <c r="I38" s="95"/>
      <c r="J38" s="175">
        <f>H38/DAY(B2)</f>
        <v>1639.9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26866</v>
      </c>
      <c r="I39" s="95"/>
      <c r="J39" s="175">
        <f>H39/DAY(B2)</f>
        <v>2686.6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3632</v>
      </c>
      <c r="I40" s="95"/>
      <c r="J40" s="175">
        <f>H40/DAY(B2)</f>
        <v>363.2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-0.39999999999417923</v>
      </c>
      <c r="I42" s="95"/>
      <c r="J42" s="175">
        <f>H42/DAY(B2)</f>
        <v>-3.9999999999417925E-2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23395</v>
      </c>
      <c r="I43" s="95"/>
      <c r="J43" s="175">
        <f>H43/DAY(B2)</f>
        <v>2339.5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111806.6</v>
      </c>
      <c r="I47" s="95"/>
      <c r="J47" s="175">
        <f>H47/DAY(B2)</f>
        <v>11180.66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15565</v>
      </c>
      <c r="I49" s="95"/>
      <c r="J49" s="175">
        <f>H49/DAY(B2)</f>
        <v>1556.5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10335</v>
      </c>
      <c r="I50" s="95"/>
      <c r="J50" s="175">
        <f>H50/DAY(B2)</f>
        <v>1033.5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3022.08</v>
      </c>
      <c r="I54" s="95"/>
      <c r="J54" s="175">
        <f>H54/DAY(B2)</f>
        <v>302.20799999999997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30480</v>
      </c>
      <c r="I55" s="95"/>
      <c r="J55" s="175">
        <f>H55/DAY(B2)</f>
        <v>3048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1438.6300000000047</v>
      </c>
      <c r="I58" s="95"/>
      <c r="J58" s="175">
        <f>H58/DAY(B2)</f>
        <v>143.86300000000045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60841.170000000006</v>
      </c>
      <c r="I59" s="95">
        <f>G7-G60</f>
        <v>774</v>
      </c>
      <c r="J59" s="175">
        <f>H59/DAY(B2)</f>
        <v>6084.1170000000002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172647.77</v>
      </c>
      <c r="I60" s="95">
        <f>G13-G60</f>
        <v>289</v>
      </c>
      <c r="J60" s="175">
        <f>H60/DAY(B2)</f>
        <v>17264.776999999998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598</v>
      </c>
      <c r="I62" s="118"/>
      <c r="J62" s="175">
        <f>H62/DAY(B2)</f>
        <v>59.8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1076</v>
      </c>
      <c r="I63" s="118"/>
      <c r="J63" s="175">
        <f>H63/DAY(B2)</f>
        <v>107.6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'9'!F64</f>
        <v>0</v>
      </c>
      <c r="F64" s="122"/>
      <c r="G64" s="112">
        <f>G62+G63</f>
        <v>165</v>
      </c>
      <c r="H64" s="99">
        <f>G64+'9'!H64</f>
        <v>1674</v>
      </c>
      <c r="I64" s="118"/>
      <c r="J64" s="175">
        <f>H64/DAY(B2)</f>
        <v>167.4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729</v>
      </c>
      <c r="I65" s="118"/>
      <c r="J65" s="175">
        <f>H65/DAY(B2)</f>
        <v>72.900000000000006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196</v>
      </c>
      <c r="I66" s="118"/>
      <c r="J66" s="175">
        <f>H66/DAY(B2)</f>
        <v>19.600000000000001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258</v>
      </c>
      <c r="I67" s="118"/>
      <c r="J67" s="175">
        <f>H67/DAY(B2)</f>
        <v>25.8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259</v>
      </c>
      <c r="I68" s="118"/>
      <c r="J68" s="175">
        <f>H68/DAY(B2)</f>
        <v>25.9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113</v>
      </c>
      <c r="I69" s="118"/>
      <c r="J69" s="175">
        <f>H69/DAY(B2)</f>
        <v>11.3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85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132</v>
      </c>
      <c r="H71" s="99">
        <f>G71+'9'!H71</f>
        <v>1640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2896</v>
      </c>
      <c r="I74" s="154"/>
      <c r="J74" s="175">
        <f>H74/DAY(B2)</f>
        <v>289.60000000000002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888</v>
      </c>
      <c r="I76" s="154"/>
      <c r="J76" s="175">
        <f>H76/DAY(B2)</f>
        <v>88.8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336</v>
      </c>
      <c r="I77" s="154"/>
      <c r="J77" s="175">
        <f>H77/DAY(B2)</f>
        <v>33.6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8.2999999999992724</v>
      </c>
      <c r="I78" s="118"/>
      <c r="J78" s="175">
        <f>H78/DAY(B2)</f>
        <v>0.82999999999992724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4799.5000000000036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-9.9999999997635314E-3</v>
      </c>
      <c r="I85" s="118">
        <f>G82+G83+G84+G85</f>
        <v>-9.9999999997635314E-3</v>
      </c>
      <c r="J85" s="175">
        <f>H85/DAY(B2)</f>
        <v>-9.9999999997635314E-4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241</v>
      </c>
      <c r="I86" s="118"/>
      <c r="J86" s="175">
        <f>H86/DAY(B2)</f>
        <v>24.1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11</v>
      </c>
      <c r="I88" s="118">
        <f>G86+G87+G88</f>
        <v>24</v>
      </c>
      <c r="J88" s="175">
        <f>H88/DAY(B2)</f>
        <v>1.1000000000000001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60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53</v>
      </c>
      <c r="I90" s="118">
        <f>G89+G90</f>
        <v>13</v>
      </c>
      <c r="J90" s="175">
        <f>H90/DAY(B2)</f>
        <v>5.3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102</v>
      </c>
      <c r="I92" s="165"/>
      <c r="J92" s="175">
        <f>H92/DAY(B2)</f>
        <v>10.199999999999999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4875</v>
      </c>
      <c r="H94" s="99">
        <f>G94+'9'!H94</f>
        <v>57557</v>
      </c>
      <c r="I94" s="118"/>
      <c r="J94" s="175">
        <f>H94/DAY(B2)</f>
        <v>5755.7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0.28912875867386278</v>
      </c>
      <c r="H95" s="99">
        <f>G95+'9'!H95</f>
        <v>2.9922752338261747</v>
      </c>
      <c r="I95" s="167"/>
      <c r="J95" s="175">
        <f>H95/DAY(B2)</f>
        <v>0.29922752338261749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2760</v>
      </c>
      <c r="H96" s="99">
        <f>G96+'9'!H96</f>
        <v>30480.060000000005</v>
      </c>
      <c r="I96" s="118"/>
      <c r="J96" s="175">
        <f>H96/DAY(B2)</f>
        <v>3048.0060000000003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0.16369135875689461</v>
      </c>
      <c r="H97" s="99">
        <f>G97+'9'!H97</f>
        <v>1.5862228253989465</v>
      </c>
      <c r="I97" s="167"/>
      <c r="J97" s="175">
        <f>H97/DAY(B2)</f>
        <v>0.15862228253989466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2574</v>
      </c>
      <c r="H98" s="99">
        <f>G98+'9'!H98</f>
        <v>26866</v>
      </c>
      <c r="I98" s="168"/>
      <c r="J98" s="175">
        <f>H98/DAY(B2)</f>
        <v>2686.6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0.15265998457979954</v>
      </c>
      <c r="H99" s="99">
        <f>G99+'9'!H99</f>
        <v>1.4003120171036236</v>
      </c>
      <c r="I99" s="168"/>
      <c r="J99" s="175">
        <f>H99/DAY(B2)</f>
        <v>0.14003120171036237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1541</v>
      </c>
      <c r="H100" s="99">
        <f>G100+'9'!H100</f>
        <v>16399</v>
      </c>
      <c r="I100" s="118"/>
      <c r="J100" s="175">
        <f>H100/DAY(B2)</f>
        <v>1639.9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0.85452138242394637</v>
      </c>
      <c r="I101" s="168"/>
      <c r="J101" s="175">
        <f>H101/DAY(B2)</f>
        <v>8.5452138242394643E-2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1574</v>
      </c>
      <c r="H102" s="99">
        <f>G102+'9'!H102</f>
        <v>18117</v>
      </c>
      <c r="I102" s="168"/>
      <c r="J102" s="175">
        <f>H102/DAY(B2)</f>
        <v>1811.7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0.94164759099990225</v>
      </c>
      <c r="I103" s="118"/>
      <c r="J103" s="175">
        <f>H103/DAY(B2)</f>
        <v>9.4164759099990225E-2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1452</v>
      </c>
      <c r="H104" s="99">
        <f>G104+'9'!H104</f>
        <v>15136</v>
      </c>
      <c r="I104" s="118"/>
      <c r="J104" s="175">
        <f>H104/DAY(B2)</f>
        <v>1513.6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0.7888786398094505</v>
      </c>
      <c r="I105" s="187"/>
      <c r="J105" s="188">
        <f>H105/DAY(B2)</f>
        <v>7.888786398094505E-2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747</v>
      </c>
      <c r="I112" s="165"/>
      <c r="J112" s="328">
        <f>H112/DAY(B2)</f>
        <v>74.7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4483</v>
      </c>
      <c r="I113" s="165"/>
      <c r="J113" s="328">
        <f>H113/DAY(B2)</f>
        <v>448.3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2655</v>
      </c>
      <c r="I114" s="165"/>
      <c r="J114" s="328">
        <f>H114/DAY(B2)</f>
        <v>265.5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103</v>
      </c>
      <c r="I115" s="165"/>
      <c r="J115" s="328">
        <f>H115/DAY(B2)</f>
        <v>10.3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256</v>
      </c>
      <c r="I117" s="165"/>
      <c r="J117" s="328">
        <f>H117/DAY(B2)</f>
        <v>25.6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3671</v>
      </c>
      <c r="I118" s="165"/>
      <c r="J118" s="328">
        <f>H118/DAY(B2)</f>
        <v>367.1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4333</v>
      </c>
      <c r="I119" s="165"/>
      <c r="J119" s="328">
        <f>H119/DAY(B2)</f>
        <v>433.3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4199</v>
      </c>
      <c r="I120" s="165"/>
      <c r="J120" s="328">
        <f>H120/DAY(B2)</f>
        <v>419.9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7362</v>
      </c>
      <c r="I121" s="165"/>
      <c r="J121" s="328">
        <f>H121/DAY(B2)</f>
        <v>736.2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2208</v>
      </c>
      <c r="I122" s="165"/>
      <c r="J122" s="328">
        <f>H122/DAY(B2)</f>
        <v>220.8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3220</v>
      </c>
      <c r="I123" s="165"/>
      <c r="J123" s="328">
        <f>H123/DAY(B2)</f>
        <v>322</v>
      </c>
    </row>
    <row r="124" spans="1:18" ht="29.25" customHeight="1" x14ac:dyDescent="0.5">
      <c r="A124" s="837"/>
      <c r="B124" s="838"/>
      <c r="C124" s="83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3282</v>
      </c>
      <c r="I128" s="165"/>
      <c r="J128" s="328">
        <f>H128/DAY(B2)</f>
        <v>328.2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2169</v>
      </c>
      <c r="I129" s="165"/>
      <c r="J129" s="328">
        <f>H129/DAY(B2)</f>
        <v>216.9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6514</v>
      </c>
      <c r="I130" s="165"/>
      <c r="J130" s="328">
        <f>H130/DAY(B2)</f>
        <v>651.4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753</v>
      </c>
      <c r="I131" s="165"/>
      <c r="J131" s="328">
        <f>H131/DAY(B2)</f>
        <v>75.3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4730</v>
      </c>
      <c r="I132" s="165"/>
      <c r="J132" s="328">
        <f>H132/DAY(B2)</f>
        <v>473</v>
      </c>
    </row>
    <row r="133" spans="1:15" ht="27.75" x14ac:dyDescent="0.5">
      <c r="A133" s="833" t="s">
        <v>323</v>
      </c>
      <c r="B133" s="834"/>
      <c r="C133" s="835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7416</v>
      </c>
      <c r="I133" s="165"/>
      <c r="J133" s="328">
        <f>H133/DAY(B2)</f>
        <v>741.6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v>674585</v>
      </c>
      <c r="F134" s="554">
        <v>675240</v>
      </c>
      <c r="G134" s="112">
        <f t="shared" si="10"/>
        <v>655</v>
      </c>
      <c r="H134" s="99">
        <f>G134+'9'!H134</f>
        <v>6360</v>
      </c>
      <c r="I134" s="165"/>
      <c r="J134" s="328">
        <f>H134/DAY(B2)</f>
        <v>636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2642</v>
      </c>
      <c r="H135" s="99">
        <f>G135+'9'!H135</f>
        <v>31224</v>
      </c>
      <c r="I135" s="327">
        <f>G135-(G35+G49)</f>
        <v>-110</v>
      </c>
      <c r="J135" s="328">
        <f>H135/DAY(B2)</f>
        <v>3122.4</v>
      </c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662</v>
      </c>
      <c r="I138" s="118"/>
      <c r="J138" s="328">
        <f>H138/DAY(B2)</f>
        <v>66.2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3</v>
      </c>
      <c r="I139" s="118"/>
      <c r="J139" s="328">
        <f>H139/DAY(B2)</f>
        <v>0.3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16</v>
      </c>
      <c r="I140" s="118"/>
      <c r="J140" s="328">
        <f>H140/DAY(B2)</f>
        <v>1.6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1759</v>
      </c>
      <c r="I141" s="118"/>
      <c r="J141" s="328">
        <f>H141/DAY(B2)</f>
        <v>175.9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696</v>
      </c>
      <c r="I142" s="140"/>
      <c r="J142" s="328">
        <f>H142/DAY(B2)</f>
        <v>69.599999999999994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234</v>
      </c>
      <c r="I143" s="140"/>
      <c r="J143" s="328">
        <f>H143/DAY(B2)</f>
        <v>23.4</v>
      </c>
      <c r="O143" s="148">
        <v>582206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2262</v>
      </c>
      <c r="I144" s="140"/>
      <c r="J144" s="328">
        <f>H144/DAY(B2)</f>
        <v>226.2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165</v>
      </c>
      <c r="I145" s="140"/>
      <c r="J145" s="328">
        <f>H145/DAY(B2)</f>
        <v>16.5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4320</v>
      </c>
      <c r="I146" s="140"/>
      <c r="J146" s="328">
        <f>H146/DAY(B2)</f>
        <v>432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3894</v>
      </c>
      <c r="I147" s="140"/>
      <c r="J147" s="328">
        <f>H147/DAY(B2)</f>
        <v>389.4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2617.8800000000047</v>
      </c>
      <c r="I148" s="124"/>
      <c r="J148" s="328">
        <f>H148/DAY(B2)</f>
        <v>261.78800000000047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4257</v>
      </c>
      <c r="I149" s="119"/>
      <c r="J149" s="328">
        <f>H149/DAY(B2)</f>
        <v>425.7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2204</v>
      </c>
      <c r="I150" s="119"/>
      <c r="J150" s="328">
        <f>H150/DAY(B2)</f>
        <v>220.4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2409</v>
      </c>
      <c r="I151" s="119"/>
      <c r="J151" s="328">
        <f>H151/DAY(B2)</f>
        <v>240.9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193</v>
      </c>
      <c r="I152" s="119"/>
      <c r="J152" s="328">
        <f>H152/DAY(B2)</f>
        <v>19.3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5689</v>
      </c>
      <c r="I155" s="364"/>
      <c r="J155" s="328">
        <f>H155/DAY(B2)</f>
        <v>568.9</v>
      </c>
    </row>
    <row r="156" spans="1:10" ht="27.75" x14ac:dyDescent="0.5">
      <c r="A156" s="813" t="s">
        <v>346</v>
      </c>
      <c r="B156" s="813"/>
      <c r="C156" s="813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472</v>
      </c>
      <c r="I156" s="165"/>
      <c r="J156" s="328">
        <f>H156/DAY(B2)</f>
        <v>47.2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142.84000000002561</v>
      </c>
      <c r="I161" s="236"/>
      <c r="J161" s="239">
        <f>H161/DAY(B2)</f>
        <v>14.28400000000256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254</v>
      </c>
      <c r="I162" s="236"/>
      <c r="J162" s="239">
        <f>H162/DAY(B2)</f>
        <v>25.4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424</v>
      </c>
      <c r="I163" s="236"/>
      <c r="J163" s="239">
        <f>H163/DAY(B2)</f>
        <v>42.4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15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62</v>
      </c>
      <c r="I165" s="236"/>
      <c r="J165" s="239">
        <f>H165/DAY(B2)</f>
        <v>6.2</v>
      </c>
    </row>
    <row r="166" spans="1:10" ht="29.25" x14ac:dyDescent="0.5">
      <c r="A166" s="822"/>
      <c r="B166" s="82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826" t="s">
        <v>75</v>
      </c>
      <c r="B174" s="827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96</v>
      </c>
      <c r="I174" s="155"/>
      <c r="J174" s="178">
        <f>H174/DAY(B2)</f>
        <v>9.6</v>
      </c>
    </row>
    <row r="175" spans="1:10" ht="31.5" customHeight="1" x14ac:dyDescent="0.5">
      <c r="A175" s="826" t="s">
        <v>76</v>
      </c>
      <c r="B175" s="866"/>
      <c r="C175" s="827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92</v>
      </c>
      <c r="I175" s="155"/>
      <c r="J175" s="178">
        <f>H175/DAY(B2)</f>
        <v>9.1999999999999993</v>
      </c>
    </row>
    <row r="176" spans="1:10" ht="21.75" customHeight="1" x14ac:dyDescent="0.5">
      <c r="A176" s="817" t="s">
        <v>196</v>
      </c>
      <c r="B176" s="818"/>
      <c r="C176" s="333"/>
      <c r="D176" s="228"/>
      <c r="E176" s="95"/>
      <c r="F176" s="155"/>
      <c r="G176" s="155">
        <f>SUM(G173:G175)</f>
        <v>5</v>
      </c>
      <c r="H176" s="99">
        <f>G176+'9'!H176</f>
        <v>188</v>
      </c>
      <c r="I176" s="155"/>
      <c r="J176" s="178">
        <f>H176/DAY(B2)</f>
        <v>18.8</v>
      </c>
    </row>
    <row r="177" spans="1:10" ht="27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26" t="s">
        <v>210</v>
      </c>
      <c r="B178" s="827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656</v>
      </c>
      <c r="I178" s="155"/>
      <c r="J178" s="178">
        <f>H178/DAY(B2)</f>
        <v>65.599999999999994</v>
      </c>
    </row>
    <row r="179" spans="1:10" ht="27.75" customHeight="1" x14ac:dyDescent="0.5">
      <c r="A179" s="826" t="s">
        <v>211</v>
      </c>
      <c r="B179" s="827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178</v>
      </c>
      <c r="I179" s="155"/>
      <c r="J179" s="178">
        <f>H179/DAY(B2)</f>
        <v>17.8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67</v>
      </c>
      <c r="I180" s="155"/>
      <c r="J180" s="178">
        <f>H180/DAY(B2)</f>
        <v>6.7</v>
      </c>
    </row>
    <row r="181" spans="1:10" ht="27.75" x14ac:dyDescent="0.5">
      <c r="A181" s="828" t="s">
        <v>108</v>
      </c>
      <c r="B181" s="829"/>
      <c r="C181" s="333"/>
      <c r="D181" s="228"/>
      <c r="E181" s="95"/>
      <c r="F181" s="155"/>
      <c r="G181" s="155">
        <f>SUM(G178:G180)</f>
        <v>64</v>
      </c>
      <c r="H181" s="99">
        <f>G181+'9'!H181</f>
        <v>901</v>
      </c>
      <c r="I181" s="155"/>
      <c r="J181" s="178">
        <f>H181/DAY(B2)</f>
        <v>90.1</v>
      </c>
    </row>
    <row r="182" spans="1:10" ht="27.75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137</v>
      </c>
      <c r="I183" s="155"/>
      <c r="J183" s="178">
        <f>H183/DAY(B2)</f>
        <v>13.7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72</v>
      </c>
      <c r="I184" s="155"/>
      <c r="J184" s="178">
        <f>H184/DAY(B2)</f>
        <v>7.2</v>
      </c>
    </row>
    <row r="185" spans="1:10" ht="37.5" customHeight="1" x14ac:dyDescent="0.5">
      <c r="A185" s="826" t="s">
        <v>216</v>
      </c>
      <c r="B185" s="82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17" t="s">
        <v>196</v>
      </c>
      <c r="B186" s="818"/>
      <c r="C186" s="334"/>
      <c r="D186" s="229"/>
      <c r="E186" s="95"/>
      <c r="F186" s="157"/>
      <c r="G186" s="157">
        <f>SUM(G183:G185)</f>
        <v>15</v>
      </c>
      <c r="H186" s="99">
        <f>G186+'9'!H186</f>
        <v>209</v>
      </c>
      <c r="I186" s="157"/>
      <c r="J186" s="178">
        <f>H186/DAY(B2)</f>
        <v>20.9</v>
      </c>
    </row>
    <row r="187" spans="1:10" ht="21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553">
        <f>G62+G19</f>
        <v>115</v>
      </c>
      <c r="H187" s="99">
        <f>G187+'9'!H187</f>
        <v>1122</v>
      </c>
      <c r="I187" s="158"/>
      <c r="J187" s="179">
        <f>H187/DAY(B2)</f>
        <v>112.2</v>
      </c>
    </row>
    <row r="188" spans="1:10" ht="21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553">
        <f>G65+G66+G67+G69+G70</f>
        <v>106</v>
      </c>
      <c r="H188" s="99">
        <f>G188+'9'!H188</f>
        <v>1381</v>
      </c>
      <c r="I188" s="158"/>
      <c r="J188" s="179">
        <f>H188/DAY(B2)</f>
        <v>138.1</v>
      </c>
    </row>
    <row r="189" spans="1:10" ht="21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532">
        <f>G181</f>
        <v>64</v>
      </c>
      <c r="H189" s="99">
        <f>G189+'9'!H189</f>
        <v>901</v>
      </c>
      <c r="I189" s="158"/>
      <c r="J189" s="179">
        <f>H189/DAY(B2)</f>
        <v>90.1</v>
      </c>
    </row>
    <row r="190" spans="1:10" ht="27" customHeight="1" x14ac:dyDescent="0.5">
      <c r="A190" s="740"/>
      <c r="B190" s="741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72" zoomScale="55" zoomScaleNormal="55" workbookViewId="0">
      <selection activeCell="G187" sqref="G187:G18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0.75" customHeight="1" x14ac:dyDescent="0.5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209303</v>
      </c>
      <c r="I7" s="113">
        <f>'1'!I7</f>
        <v>12000</v>
      </c>
      <c r="J7" s="175">
        <f>H7/DAY(B2)</f>
        <v>19027.545454545456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213377</v>
      </c>
      <c r="I8" s="116"/>
      <c r="J8" s="175">
        <f>H8/DAY(B2)</f>
        <v>19397.909090909092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22761</v>
      </c>
      <c r="F9" s="601">
        <v>33440</v>
      </c>
      <c r="G9" s="112">
        <f>F9-E9</f>
        <v>10679</v>
      </c>
      <c r="H9" s="99">
        <f>G9+'10'!H9</f>
        <v>131945</v>
      </c>
      <c r="I9" s="124">
        <f>I7-J7</f>
        <v>-7027.5454545454559</v>
      </c>
      <c r="J9" s="175">
        <f>H9/DAY(B2)</f>
        <v>11995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71578</v>
      </c>
      <c r="I10" s="282"/>
      <c r="J10" s="175">
        <f>H10/DAY(B2)</f>
        <v>6507.090909090909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184057.74999999988</v>
      </c>
      <c r="I13" s="120">
        <f>G7-G13</f>
        <v>480</v>
      </c>
      <c r="J13" s="175">
        <f>H13/DAY(B2)</f>
        <v>16732.522727272717</v>
      </c>
      <c r="K13" s="79"/>
      <c r="L13" s="66"/>
      <c r="N13" s="87"/>
      <c r="O13" s="71"/>
    </row>
    <row r="14" spans="1:15" ht="30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601">
        <v>1888289</v>
      </c>
      <c r="G15" s="112">
        <f>(F15-E15)</f>
        <v>931</v>
      </c>
      <c r="H15" s="99">
        <f>G15+'10'!H15</f>
        <v>9859</v>
      </c>
      <c r="I15" s="113">
        <f>'1'!I15</f>
        <v>800</v>
      </c>
      <c r="J15" s="175">
        <f>H15/DAY(B2)</f>
        <v>896.27272727272725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-96.272727272727252</v>
      </c>
      <c r="J16" s="176"/>
      <c r="K16" s="79"/>
      <c r="L16" s="66"/>
      <c r="N16" s="87"/>
      <c r="O16" s="71"/>
    </row>
    <row r="17" spans="1:15" ht="30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4" t="s">
        <v>141</v>
      </c>
      <c r="B18" s="855"/>
      <c r="C18" s="856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1370</v>
      </c>
      <c r="I18" s="113">
        <f>'1'!I18</f>
        <v>65</v>
      </c>
      <c r="J18" s="175">
        <f>H18/DAY(B2)</f>
        <v>124.54545454545455</v>
      </c>
      <c r="K18" s="79"/>
      <c r="L18" s="66"/>
      <c r="N18" s="87"/>
      <c r="O18" s="71"/>
    </row>
    <row r="19" spans="1:15" ht="30.75" customHeight="1" x14ac:dyDescent="0.5">
      <c r="A19" s="854" t="s">
        <v>69</v>
      </c>
      <c r="B19" s="855"/>
      <c r="C19" s="856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1944</v>
      </c>
      <c r="I20" s="336">
        <f>I18-J20</f>
        <v>-111.72727272727272</v>
      </c>
      <c r="J20" s="175">
        <f>H20/DAY(B2)</f>
        <v>176.72727272727272</v>
      </c>
      <c r="K20" s="79"/>
      <c r="L20" s="66"/>
      <c r="N20" s="87"/>
      <c r="O20" s="71"/>
    </row>
    <row r="21" spans="1:15" ht="30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1920393</v>
      </c>
      <c r="I27" s="138"/>
      <c r="J27" s="175">
        <f>H27/DAY(B2)</f>
        <v>174581.18181818182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512668</v>
      </c>
      <c r="I28" s="140"/>
      <c r="J28" s="175">
        <f>H28/DAY(B2)</f>
        <v>46606.181818181816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109600</v>
      </c>
      <c r="I31" s="140"/>
      <c r="J31" s="175">
        <f>H31/DAY(B2)</f>
        <v>9963.636363636364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2626465</v>
      </c>
      <c r="I32" s="144"/>
      <c r="J32" s="175">
        <f>H32/DAY(B2)</f>
        <v>238769.54545454544</v>
      </c>
      <c r="K32" s="63"/>
      <c r="L32" s="89"/>
      <c r="N32" s="87"/>
      <c r="O32" s="71"/>
    </row>
    <row r="33" spans="1:15" ht="30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20060</v>
      </c>
      <c r="I35" s="95"/>
      <c r="J35" s="175">
        <f>H35/DAY(B2)</f>
        <v>1823.6363636363637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8372</v>
      </c>
      <c r="I36" s="95"/>
      <c r="J36" s="175">
        <f>H36/DAY(B2)</f>
        <v>761.09090909090912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16581</v>
      </c>
      <c r="I37" s="95"/>
      <c r="J37" s="175">
        <f>H37/DAY(B2)</f>
        <v>1507.3636363636363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17893</v>
      </c>
      <c r="I38" s="95"/>
      <c r="J38" s="175">
        <f>H38/DAY(B2)</f>
        <v>1626.6363636363637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29337</v>
      </c>
      <c r="I39" s="95"/>
      <c r="J39" s="175">
        <f>H39/DAY(B2)</f>
        <v>2667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4384</v>
      </c>
      <c r="I40" s="95"/>
      <c r="J40" s="175">
        <f>H40/DAY(B2)</f>
        <v>398.54545454545456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25435</v>
      </c>
      <c r="I43" s="95"/>
      <c r="J43" s="175">
        <f>H43/DAY(B2)</f>
        <v>2312.2727272727275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122062</v>
      </c>
      <c r="I47" s="95"/>
      <c r="J47" s="175">
        <f>H47/DAY(B2)</f>
        <v>11096.545454545454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16801</v>
      </c>
      <c r="I49" s="95"/>
      <c r="J49" s="175">
        <f>H49/DAY(B2)</f>
        <v>1527.3636363636363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11314</v>
      </c>
      <c r="I50" s="95"/>
      <c r="J50" s="175">
        <f>H50/DAY(B2)</f>
        <v>1028.5454545454545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3491.08</v>
      </c>
      <c r="I54" s="95"/>
      <c r="J54" s="175">
        <f>H54/DAY(B2)</f>
        <v>317.37090909090909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33386</v>
      </c>
      <c r="I55" s="95"/>
      <c r="J55" s="175">
        <f>H55/DAY(B2)</f>
        <v>3035.090909090909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1669.6300000000047</v>
      </c>
      <c r="I58" s="95"/>
      <c r="J58" s="175">
        <f>H58/DAY(B2)</f>
        <v>151.78454545454588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66662.170000000013</v>
      </c>
      <c r="I59" s="95">
        <f>G7-G60</f>
        <v>948.60000000000582</v>
      </c>
      <c r="J59" s="175">
        <f>H59/DAY(B2)</f>
        <v>6060.1972727272741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188724.16999999998</v>
      </c>
      <c r="I60" s="95">
        <f>G13-G60</f>
        <v>468.60000000000582</v>
      </c>
      <c r="J60" s="175">
        <f>H60/DAY(B2)</f>
        <v>17156.742727272725</v>
      </c>
      <c r="K60" s="79"/>
      <c r="L60" s="66"/>
      <c r="N60" s="87"/>
      <c r="O60" s="71"/>
    </row>
    <row r="61" spans="1:15" s="68" customFormat="1" ht="30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4" t="s">
        <v>198</v>
      </c>
      <c r="B62" s="855"/>
      <c r="C62" s="856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671</v>
      </c>
      <c r="I62" s="118"/>
      <c r="J62" s="175">
        <f>H62/DAY(B2)</f>
        <v>61</v>
      </c>
      <c r="K62" s="80"/>
      <c r="L62" s="66"/>
      <c r="N62" s="87"/>
      <c r="O62" s="71"/>
    </row>
    <row r="63" spans="1:15" ht="30.75" customHeight="1" x14ac:dyDescent="0.5">
      <c r="A63" s="854" t="s">
        <v>199</v>
      </c>
      <c r="B63" s="855"/>
      <c r="C63" s="856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1184</v>
      </c>
      <c r="I63" s="118"/>
      <c r="J63" s="175">
        <f>H63/DAY(B2)</f>
        <v>107.63636363636364</v>
      </c>
      <c r="K63" s="69"/>
      <c r="L63" s="66"/>
      <c r="N63" s="87"/>
      <c r="O63" s="71"/>
    </row>
    <row r="64" spans="1:15" ht="30.75" customHeight="1" x14ac:dyDescent="0.5">
      <c r="A64" s="863" t="s">
        <v>200</v>
      </c>
      <c r="B64" s="864"/>
      <c r="C64" s="865"/>
      <c r="D64" s="151"/>
      <c r="E64" s="95">
        <f>'10'!F64</f>
        <v>0</v>
      </c>
      <c r="F64" s="122"/>
      <c r="G64" s="112">
        <f>G62+G63</f>
        <v>181</v>
      </c>
      <c r="H64" s="99">
        <f>G64+'10'!H64</f>
        <v>1855</v>
      </c>
      <c r="I64" s="118"/>
      <c r="J64" s="175">
        <f>H64/DAY(B2)</f>
        <v>168.63636363636363</v>
      </c>
      <c r="K64" s="69"/>
      <c r="L64" s="66"/>
      <c r="N64" s="87"/>
      <c r="O64" s="71"/>
    </row>
    <row r="65" spans="1:15" ht="30.75" customHeight="1" x14ac:dyDescent="0.5">
      <c r="A65" s="854" t="s">
        <v>201</v>
      </c>
      <c r="B65" s="855"/>
      <c r="C65" s="856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808</v>
      </c>
      <c r="I65" s="118"/>
      <c r="J65" s="175">
        <f>H65/DAY(B2)</f>
        <v>73.454545454545453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210</v>
      </c>
      <c r="I66" s="118"/>
      <c r="J66" s="175">
        <f>H66/DAY(B2)</f>
        <v>19.09090909090909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275</v>
      </c>
      <c r="I67" s="118"/>
      <c r="J67" s="175">
        <f>H67/DAY(B2)</f>
        <v>25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285</v>
      </c>
      <c r="I68" s="118"/>
      <c r="J68" s="175">
        <f>H68/DAY(B2)</f>
        <v>25.90909090909091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121</v>
      </c>
      <c r="I69" s="118"/>
      <c r="J69" s="175">
        <f>H69/DAY(B2)</f>
        <v>11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91</v>
      </c>
      <c r="I70" s="118"/>
      <c r="J70" s="175">
        <f>H70/DAY(B2)</f>
        <v>8.2727272727272734</v>
      </c>
      <c r="K70" s="69"/>
      <c r="L70" s="66"/>
      <c r="N70" s="87"/>
      <c r="O70" s="71"/>
    </row>
    <row r="71" spans="1:15" ht="30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150</v>
      </c>
      <c r="H71" s="99">
        <f>G71+'10'!H71</f>
        <v>1790</v>
      </c>
      <c r="I71" s="154"/>
      <c r="J71" s="175">
        <f>H71/DAY(B2)</f>
        <v>162.72727272727272</v>
      </c>
      <c r="K71" s="69"/>
      <c r="L71" s="66"/>
      <c r="N71" s="87"/>
      <c r="O71" s="71"/>
    </row>
    <row r="72" spans="1:15" s="88" customFormat="1" ht="30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4" t="s">
        <v>220</v>
      </c>
      <c r="B74" s="855"/>
      <c r="C74" s="856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3210</v>
      </c>
      <c r="I74" s="154"/>
      <c r="J74" s="175">
        <f>H74/DAY(B2)</f>
        <v>291.81818181818181</v>
      </c>
      <c r="K74" s="69"/>
      <c r="L74" s="66"/>
      <c r="N74" s="87"/>
      <c r="O74" s="71"/>
    </row>
    <row r="75" spans="1:15" ht="30.75" customHeight="1" x14ac:dyDescent="0.5">
      <c r="A75" s="854" t="s">
        <v>221</v>
      </c>
      <c r="B75" s="855"/>
      <c r="C75" s="85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51" t="s">
        <v>222</v>
      </c>
      <c r="B76" s="852"/>
      <c r="C76" s="853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951</v>
      </c>
      <c r="I76" s="154"/>
      <c r="J76" s="175">
        <f>H76/DAY(B2)</f>
        <v>86.454545454545453</v>
      </c>
      <c r="K76" s="69"/>
      <c r="L76" s="66"/>
      <c r="N76" s="87"/>
      <c r="O76" s="71"/>
    </row>
    <row r="77" spans="1:15" ht="30.75" customHeight="1" x14ac:dyDescent="0.5">
      <c r="A77" s="851" t="s">
        <v>223</v>
      </c>
      <c r="B77" s="852"/>
      <c r="C77" s="853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355</v>
      </c>
      <c r="I77" s="154"/>
      <c r="J77" s="175">
        <f>H77/DAY(B2)</f>
        <v>32.272727272727273</v>
      </c>
      <c r="K77" s="69"/>
      <c r="L77" s="66"/>
      <c r="N77" s="87"/>
      <c r="O77" s="71"/>
    </row>
    <row r="78" spans="1:15" ht="30.75" customHeight="1" x14ac:dyDescent="0.5">
      <c r="A78" s="851" t="s">
        <v>224</v>
      </c>
      <c r="B78" s="852"/>
      <c r="C78" s="853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10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30.75" customHeight="1" x14ac:dyDescent="0.5">
      <c r="A79" s="851" t="s">
        <v>225</v>
      </c>
      <c r="B79" s="852"/>
      <c r="C79" s="853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5332.8000000000029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-9.9999999997635314E-3</v>
      </c>
      <c r="I85" s="118">
        <f>G82+G83+G84+G85</f>
        <v>0</v>
      </c>
      <c r="J85" s="175">
        <f>H85/DAY(B2)</f>
        <v>-9.0909090906941196E-4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265</v>
      </c>
      <c r="I86" s="118"/>
      <c r="J86" s="175">
        <f>H86/DAY(B2)</f>
        <v>24.09090909090909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11</v>
      </c>
      <c r="I88" s="118">
        <f>G86+G87+G88</f>
        <v>24</v>
      </c>
      <c r="J88" s="175">
        <f>H88/DAY(B2)</f>
        <v>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71</v>
      </c>
      <c r="I89" s="118"/>
      <c r="J89" s="175">
        <f>H89/DAY(B2)</f>
        <v>6.4545454545454541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54</v>
      </c>
      <c r="I90" s="118">
        <f>G89+G90</f>
        <v>12</v>
      </c>
      <c r="J90" s="175">
        <f>H90/DAY(B2)</f>
        <v>4.9090909090909092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113</v>
      </c>
      <c r="I92" s="165"/>
      <c r="J92" s="175">
        <f>H92/DAY(B2)</f>
        <v>10.272727272727273</v>
      </c>
      <c r="O92" s="71"/>
    </row>
    <row r="93" spans="1:15" ht="30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4739</v>
      </c>
      <c r="H94" s="99">
        <f>G94+'10'!H94</f>
        <v>62296</v>
      </c>
      <c r="I94" s="118"/>
      <c r="J94" s="175">
        <f>H94/DAY(B2)</f>
        <v>5663.272727272727</v>
      </c>
      <c r="K94" s="69"/>
      <c r="L94" s="66"/>
      <c r="O94" s="71"/>
    </row>
    <row r="95" spans="1:15" ht="30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0.27835535976505138</v>
      </c>
      <c r="H95" s="99">
        <f>G95+'10'!H95</f>
        <v>3.2706305935912261</v>
      </c>
      <c r="I95" s="167"/>
      <c r="J95" s="175">
        <f>H95/DAY(B2)</f>
        <v>0.29733005396283874</v>
      </c>
      <c r="K95" s="69"/>
      <c r="L95" s="66"/>
      <c r="O95" s="71"/>
    </row>
    <row r="96" spans="1:15" ht="30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33386.46</v>
      </c>
      <c r="I96" s="118"/>
      <c r="J96" s="175">
        <f>H96/DAY(B2)</f>
        <v>3035.1327272727272</v>
      </c>
      <c r="K96" s="69"/>
      <c r="L96" s="66"/>
      <c r="O96" s="71"/>
    </row>
    <row r="97" spans="1:15" ht="30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0.17071365638766486</v>
      </c>
      <c r="H97" s="99">
        <f>G97+'10'!H97</f>
        <v>1.7569364817866113</v>
      </c>
      <c r="I97" s="167"/>
      <c r="J97" s="175">
        <f>H97/DAY(B2)</f>
        <v>0.15972149834423741</v>
      </c>
      <c r="K97" s="69"/>
      <c r="L97" s="66"/>
      <c r="O97" s="71"/>
    </row>
    <row r="98" spans="1:15" ht="30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2471</v>
      </c>
      <c r="H98" s="99">
        <f>G98+'10'!H98</f>
        <v>29337</v>
      </c>
      <c r="I98" s="168"/>
      <c r="J98" s="175">
        <f>H98/DAY(B2)</f>
        <v>2667</v>
      </c>
      <c r="K98" s="69"/>
      <c r="L98" s="66"/>
      <c r="O98" s="71"/>
    </row>
    <row r="99" spans="1:15" ht="30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0.14513950073421439</v>
      </c>
      <c r="H99" s="99">
        <f>G99+'10'!H99</f>
        <v>1.5454515178378381</v>
      </c>
      <c r="I99" s="168"/>
      <c r="J99" s="175">
        <f>H99/DAY(B2)</f>
        <v>0.14049559253071256</v>
      </c>
      <c r="O99" s="71"/>
    </row>
    <row r="100" spans="1:15" ht="30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1494</v>
      </c>
      <c r="H100" s="99">
        <f>G100+'10'!H100</f>
        <v>17893</v>
      </c>
      <c r="I100" s="118"/>
      <c r="J100" s="175">
        <f>H100/DAY(B2)</f>
        <v>1626.6363636363637</v>
      </c>
      <c r="K100" s="70"/>
      <c r="O100" s="71"/>
    </row>
    <row r="101" spans="1:15" ht="30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0.94227468638870404</v>
      </c>
      <c r="I101" s="168"/>
      <c r="J101" s="175">
        <f>H101/DAY(B2)</f>
        <v>8.5661335126245824E-2</v>
      </c>
      <c r="O101" s="71"/>
    </row>
    <row r="102" spans="1:15" ht="30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1569</v>
      </c>
      <c r="H102" s="99">
        <f>G102+'10'!H102</f>
        <v>19686</v>
      </c>
      <c r="I102" s="168"/>
      <c r="J102" s="175">
        <f>H102/DAY(B2)</f>
        <v>1789.6363636363637</v>
      </c>
      <c r="O102" s="71"/>
    </row>
    <row r="103" spans="1:15" ht="30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1.0338061813082724</v>
      </c>
      <c r="I103" s="118"/>
      <c r="J103" s="175">
        <f>H103/DAY(B2)</f>
        <v>9.3982380118933853E-2</v>
      </c>
      <c r="O103" s="71"/>
    </row>
    <row r="104" spans="1:15" ht="30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1445</v>
      </c>
      <c r="H104" s="99">
        <f>G104+'10'!H104</f>
        <v>16581</v>
      </c>
      <c r="I104" s="118"/>
      <c r="J104" s="175">
        <f>H104/DAY(B2)</f>
        <v>1507.3636363636363</v>
      </c>
      <c r="O104" s="71"/>
    </row>
    <row r="105" spans="1:15" ht="30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0.87375382336304819</v>
      </c>
      <c r="I105" s="187"/>
      <c r="J105" s="188">
        <f>H105/DAY(B2)</f>
        <v>7.9432165760277104E-2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30.75" customHeight="1" x14ac:dyDescent="0.5">
      <c r="A109" s="871"/>
      <c r="B109" s="871"/>
    </row>
    <row r="110" spans="1:15" ht="30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30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33" t="s">
        <v>252</v>
      </c>
      <c r="B112" s="834"/>
      <c r="C112" s="835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824</v>
      </c>
      <c r="I112" s="165"/>
      <c r="J112" s="328">
        <f>H112/DAY(B2)</f>
        <v>74.909090909090907</v>
      </c>
    </row>
    <row r="113" spans="1:18" ht="30.75" customHeight="1" x14ac:dyDescent="0.5">
      <c r="A113" s="833" t="s">
        <v>253</v>
      </c>
      <c r="B113" s="834"/>
      <c r="C113" s="835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4945</v>
      </c>
      <c r="I113" s="165"/>
      <c r="J113" s="328">
        <f>H113/DAY(B2)</f>
        <v>449.54545454545456</v>
      </c>
    </row>
    <row r="114" spans="1:18" ht="30.75" customHeight="1" x14ac:dyDescent="0.5">
      <c r="A114" s="833" t="s">
        <v>254</v>
      </c>
      <c r="B114" s="834"/>
      <c r="C114" s="835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2918</v>
      </c>
      <c r="I114" s="165"/>
      <c r="J114" s="328">
        <f>H114/DAY(B2)</f>
        <v>265.27272727272725</v>
      </c>
    </row>
    <row r="115" spans="1:18" ht="30.75" customHeight="1" x14ac:dyDescent="0.5">
      <c r="A115" s="833" t="s">
        <v>255</v>
      </c>
      <c r="B115" s="834"/>
      <c r="C115" s="835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115</v>
      </c>
      <c r="I115" s="165"/>
      <c r="J115" s="328">
        <f>H115/DAY(B2)</f>
        <v>10.454545454545455</v>
      </c>
    </row>
    <row r="116" spans="1:18" ht="30.75" customHeight="1" x14ac:dyDescent="0.5">
      <c r="A116" s="840" t="s">
        <v>96</v>
      </c>
      <c r="B116" s="841"/>
      <c r="C116" s="842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30.75" customHeight="1" x14ac:dyDescent="0.5">
      <c r="A117" s="840" t="s">
        <v>184</v>
      </c>
      <c r="B117" s="841"/>
      <c r="C117" s="842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281</v>
      </c>
      <c r="I117" s="165"/>
      <c r="J117" s="328">
        <f>H117/DAY(B2)</f>
        <v>25.545454545454547</v>
      </c>
      <c r="Q117" s="833" t="s">
        <v>312</v>
      </c>
      <c r="R117" s="835"/>
    </row>
    <row r="118" spans="1:18" ht="30.75" customHeight="1" x14ac:dyDescent="0.5">
      <c r="A118" s="832" t="s">
        <v>97</v>
      </c>
      <c r="B118" s="832"/>
      <c r="C118" s="832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4009</v>
      </c>
      <c r="I118" s="165"/>
      <c r="J118" s="328">
        <f>H118/DAY(B2)</f>
        <v>364.45454545454544</v>
      </c>
      <c r="Q118" s="833" t="s">
        <v>311</v>
      </c>
      <c r="R118" s="835"/>
    </row>
    <row r="119" spans="1:18" ht="30.75" customHeight="1" x14ac:dyDescent="0.5">
      <c r="A119" s="832" t="s">
        <v>98</v>
      </c>
      <c r="B119" s="832"/>
      <c r="C119" s="832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4733</v>
      </c>
      <c r="I119" s="165"/>
      <c r="J119" s="328">
        <f>H119/DAY(B2)</f>
        <v>430.27272727272725</v>
      </c>
    </row>
    <row r="120" spans="1:18" ht="30.75" customHeight="1" x14ac:dyDescent="0.5">
      <c r="A120" s="832" t="s">
        <v>99</v>
      </c>
      <c r="B120" s="832"/>
      <c r="C120" s="832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4578</v>
      </c>
      <c r="I120" s="165"/>
      <c r="J120" s="328">
        <f>H120/DAY(B2)</f>
        <v>416.18181818181819</v>
      </c>
    </row>
    <row r="121" spans="1:18" ht="30.75" customHeight="1" x14ac:dyDescent="0.5">
      <c r="A121" s="832" t="s">
        <v>100</v>
      </c>
      <c r="B121" s="832"/>
      <c r="C121" s="832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7981</v>
      </c>
      <c r="I121" s="165"/>
      <c r="J121" s="328">
        <f>H121/DAY(B2)</f>
        <v>725.5454545454545</v>
      </c>
    </row>
    <row r="122" spans="1:18" ht="30.75" customHeight="1" x14ac:dyDescent="0.5">
      <c r="A122" s="832" t="s">
        <v>101</v>
      </c>
      <c r="B122" s="832"/>
      <c r="C122" s="832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2381</v>
      </c>
      <c r="I122" s="165"/>
      <c r="J122" s="328">
        <f>H122/DAY(B2)</f>
        <v>216.45454545454547</v>
      </c>
    </row>
    <row r="123" spans="1:18" ht="30.75" customHeight="1" x14ac:dyDescent="0.5">
      <c r="A123" s="832" t="s">
        <v>102</v>
      </c>
      <c r="B123" s="832"/>
      <c r="C123" s="832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3503</v>
      </c>
      <c r="I123" s="165"/>
      <c r="J123" s="328">
        <f>H123/DAY(B2)</f>
        <v>318.45454545454544</v>
      </c>
    </row>
    <row r="124" spans="1:18" ht="30.7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30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33" t="s">
        <v>318</v>
      </c>
      <c r="B128" s="834"/>
      <c r="C128" s="835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3579</v>
      </c>
      <c r="I128" s="165"/>
      <c r="J128" s="328">
        <f>H128/DAY(B2)</f>
        <v>325.36363636363637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2376</v>
      </c>
      <c r="I129" s="165"/>
      <c r="J129" s="328">
        <f>H129/DAY(B2)</f>
        <v>216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6971</v>
      </c>
      <c r="I130" s="165"/>
      <c r="J130" s="328">
        <f>H130/DAY(B2)</f>
        <v>633.72727272727275</v>
      </c>
      <c r="N130" s="240"/>
      <c r="O130" s="241"/>
    </row>
    <row r="131" spans="1:15" ht="30.75" customHeight="1" x14ac:dyDescent="0.5">
      <c r="A131" s="833" t="s">
        <v>321</v>
      </c>
      <c r="B131" s="834"/>
      <c r="C131" s="835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813</v>
      </c>
      <c r="I131" s="165"/>
      <c r="J131" s="328">
        <f>H131/DAY(B2)</f>
        <v>73.909090909090907</v>
      </c>
      <c r="N131" s="240"/>
      <c r="O131" s="241"/>
    </row>
    <row r="132" spans="1:15" ht="30.75" customHeight="1" x14ac:dyDescent="0.5">
      <c r="A132" s="833" t="s">
        <v>322</v>
      </c>
      <c r="B132" s="834"/>
      <c r="C132" s="835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5240</v>
      </c>
      <c r="I132" s="165"/>
      <c r="J132" s="328">
        <f>H132/DAY(B2)</f>
        <v>476.36363636363637</v>
      </c>
    </row>
    <row r="133" spans="1:15" ht="30.75" customHeight="1" x14ac:dyDescent="0.5">
      <c r="A133" s="833" t="s">
        <v>362</v>
      </c>
      <c r="B133" s="834"/>
      <c r="C133" s="835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7802</v>
      </c>
      <c r="I133" s="165"/>
      <c r="J133" s="328">
        <f>H133/DAY(B2)</f>
        <v>709.27272727272725</v>
      </c>
    </row>
    <row r="134" spans="1:15" ht="30.75" customHeight="1" x14ac:dyDescent="0.5">
      <c r="A134" s="833" t="s">
        <v>340</v>
      </c>
      <c r="B134" s="834"/>
      <c r="C134" s="835"/>
      <c r="D134" s="151" t="s">
        <v>183</v>
      </c>
      <c r="E134" s="95">
        <f>'10'!F134</f>
        <v>675240</v>
      </c>
      <c r="F134" s="554">
        <v>675870</v>
      </c>
      <c r="G134" s="112">
        <f t="shared" si="10"/>
        <v>630</v>
      </c>
      <c r="H134" s="99">
        <f>G134+'10'!H134</f>
        <v>6990</v>
      </c>
      <c r="I134" s="165"/>
      <c r="J134" s="328">
        <f>H134/DAY(B2)</f>
        <v>635.4545454545455</v>
      </c>
    </row>
    <row r="135" spans="1:15" ht="30.7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2547</v>
      </c>
      <c r="H135" s="99">
        <f>G135+'10'!H135</f>
        <v>33771</v>
      </c>
      <c r="I135" s="327">
        <f>G135-(G35+G49)</f>
        <v>-152</v>
      </c>
      <c r="J135" s="328">
        <f>H135/DAY(B2)</f>
        <v>3070.090909090909</v>
      </c>
    </row>
    <row r="136" spans="1:15" ht="30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32" t="s">
        <v>185</v>
      </c>
      <c r="B138" s="832"/>
      <c r="C138" s="832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710</v>
      </c>
      <c r="I138" s="118"/>
      <c r="J138" s="328">
        <f>H138/DAY(B2)</f>
        <v>64.545454545454547</v>
      </c>
    </row>
    <row r="139" spans="1:15" ht="30.75" customHeight="1" x14ac:dyDescent="0.5">
      <c r="A139" s="832" t="s">
        <v>186</v>
      </c>
      <c r="B139" s="832"/>
      <c r="C139" s="832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3</v>
      </c>
      <c r="I139" s="118"/>
      <c r="J139" s="328">
        <f>H139/DAY(B2)</f>
        <v>0.27272727272727271</v>
      </c>
    </row>
    <row r="140" spans="1:15" ht="30.75" customHeight="1" x14ac:dyDescent="0.5">
      <c r="A140" s="832" t="s">
        <v>187</v>
      </c>
      <c r="B140" s="832"/>
      <c r="C140" s="832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16</v>
      </c>
      <c r="I140" s="118"/>
      <c r="J140" s="328">
        <f>H140/DAY(B2)</f>
        <v>1.4545454545454546</v>
      </c>
    </row>
    <row r="141" spans="1:15" ht="30.75" customHeight="1" x14ac:dyDescent="0.5">
      <c r="A141" s="813" t="s">
        <v>188</v>
      </c>
      <c r="B141" s="813"/>
      <c r="C141" s="813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1926</v>
      </c>
      <c r="I141" s="118"/>
      <c r="J141" s="328">
        <f>H141/DAY(B2)</f>
        <v>175.09090909090909</v>
      </c>
    </row>
    <row r="142" spans="1:15" ht="30.75" customHeight="1" x14ac:dyDescent="0.5">
      <c r="A142" s="813" t="s">
        <v>189</v>
      </c>
      <c r="B142" s="813"/>
      <c r="C142" s="813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761</v>
      </c>
      <c r="I142" s="140"/>
      <c r="J142" s="328">
        <f>H142/DAY(B2)</f>
        <v>69.181818181818187</v>
      </c>
    </row>
    <row r="143" spans="1:15" ht="30.75" customHeight="1" x14ac:dyDescent="0.5">
      <c r="A143" s="832" t="s">
        <v>91</v>
      </c>
      <c r="B143" s="832"/>
      <c r="C143" s="832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258</v>
      </c>
      <c r="I143" s="140"/>
      <c r="J143" s="328">
        <f>H143/DAY(B2)</f>
        <v>23.454545454545453</v>
      </c>
    </row>
    <row r="144" spans="1:15" ht="30.75" customHeight="1" x14ac:dyDescent="0.5">
      <c r="A144" s="813" t="s">
        <v>90</v>
      </c>
      <c r="B144" s="813"/>
      <c r="C144" s="813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2476</v>
      </c>
      <c r="I144" s="140"/>
      <c r="J144" s="328">
        <f>H144/DAY(B2)</f>
        <v>225.09090909090909</v>
      </c>
    </row>
    <row r="145" spans="1:10" ht="30.75" customHeight="1" x14ac:dyDescent="0.5">
      <c r="A145" s="832" t="s">
        <v>190</v>
      </c>
      <c r="B145" s="832"/>
      <c r="C145" s="832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175</v>
      </c>
      <c r="I145" s="140"/>
      <c r="J145" s="328">
        <f>H145/DAY(B2)</f>
        <v>15.909090909090908</v>
      </c>
    </row>
    <row r="146" spans="1:10" ht="30.75" customHeight="1" x14ac:dyDescent="0.5">
      <c r="A146" s="867" t="s">
        <v>191</v>
      </c>
      <c r="B146" s="852"/>
      <c r="C146" s="853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4607</v>
      </c>
      <c r="I146" s="140"/>
      <c r="J146" s="328">
        <f>H146/DAY(B2)</f>
        <v>418.81818181818181</v>
      </c>
    </row>
    <row r="147" spans="1:10" ht="30.75" customHeight="1" x14ac:dyDescent="0.5">
      <c r="A147" s="813" t="s">
        <v>192</v>
      </c>
      <c r="B147" s="813"/>
      <c r="C147" s="813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4247</v>
      </c>
      <c r="I147" s="140"/>
      <c r="J147" s="328">
        <f>H147/DAY(B2)</f>
        <v>386.09090909090907</v>
      </c>
    </row>
    <row r="148" spans="1:10" ht="30.75" customHeight="1" x14ac:dyDescent="0.5">
      <c r="A148" s="814" t="s">
        <v>193</v>
      </c>
      <c r="B148" s="815"/>
      <c r="C148" s="816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2805.8800000000047</v>
      </c>
      <c r="I148" s="124"/>
      <c r="J148" s="328">
        <f>H148/DAY(B2)</f>
        <v>255.08000000000041</v>
      </c>
    </row>
    <row r="149" spans="1:10" ht="30.75" customHeight="1" x14ac:dyDescent="0.5">
      <c r="A149" s="814" t="s">
        <v>336</v>
      </c>
      <c r="B149" s="815"/>
      <c r="C149" s="816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4610</v>
      </c>
      <c r="I149" s="119"/>
      <c r="J149" s="328">
        <f>H149/DAY(B2)</f>
        <v>419.09090909090907</v>
      </c>
    </row>
    <row r="150" spans="1:10" ht="30.75" customHeight="1" x14ac:dyDescent="0.5">
      <c r="A150" s="814" t="s">
        <v>337</v>
      </c>
      <c r="B150" s="815"/>
      <c r="C150" s="816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2419</v>
      </c>
      <c r="I150" s="119"/>
      <c r="J150" s="328">
        <f>H150/DAY(B2)</f>
        <v>219.90909090909091</v>
      </c>
    </row>
    <row r="151" spans="1:10" ht="30.75" customHeight="1" x14ac:dyDescent="0.5">
      <c r="A151" s="814" t="s">
        <v>338</v>
      </c>
      <c r="B151" s="815"/>
      <c r="C151" s="816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2622</v>
      </c>
      <c r="I151" s="119"/>
      <c r="J151" s="328">
        <f>H151/DAY(B2)</f>
        <v>238.36363636363637</v>
      </c>
    </row>
    <row r="152" spans="1:10" ht="30.75" customHeight="1" x14ac:dyDescent="0.5">
      <c r="A152" s="814" t="s">
        <v>339</v>
      </c>
      <c r="B152" s="815"/>
      <c r="C152" s="816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207</v>
      </c>
      <c r="I152" s="119"/>
      <c r="J152" s="328">
        <f>H152/DAY(B2)</f>
        <v>18.818181818181817</v>
      </c>
    </row>
    <row r="153" spans="1:10" ht="30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0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'10'!F155</f>
        <v>19161</v>
      </c>
      <c r="F155" s="554">
        <v>19716</v>
      </c>
      <c r="G155" s="112">
        <f t="shared" ref="G155:G156" si="12">F155-E155</f>
        <v>555</v>
      </c>
      <c r="H155" s="99">
        <f>G155+'10'!H155</f>
        <v>6244</v>
      </c>
      <c r="I155" s="364"/>
      <c r="J155" s="328">
        <f>H155/DAY(B2)</f>
        <v>567.63636363636363</v>
      </c>
    </row>
    <row r="156" spans="1:10" ht="30.75" customHeight="1" x14ac:dyDescent="0.5">
      <c r="A156" s="813" t="s">
        <v>347</v>
      </c>
      <c r="B156" s="813"/>
      <c r="C156" s="813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523</v>
      </c>
      <c r="I156" s="165"/>
      <c r="J156" s="328">
        <f>H156/DAY(B2)</f>
        <v>47.545454545454547</v>
      </c>
    </row>
    <row r="157" spans="1:10" ht="30.75" customHeight="1" x14ac:dyDescent="0.5">
      <c r="A157" s="814" t="s">
        <v>364</v>
      </c>
      <c r="B157" s="815"/>
      <c r="C157" s="816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14" t="s">
        <v>365</v>
      </c>
      <c r="B158" s="815"/>
      <c r="C158" s="816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249.84000000002561</v>
      </c>
      <c r="I161" s="236"/>
      <c r="J161" s="239">
        <f>H161/DAY(B2)</f>
        <v>22.712727272729602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290</v>
      </c>
      <c r="I162" s="236"/>
      <c r="J162" s="239">
        <f>H162/DAY(B2)</f>
        <v>26.363636363636363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458</v>
      </c>
      <c r="I163" s="236"/>
      <c r="J163" s="239">
        <f>H163/DAY(B2)</f>
        <v>41.636363636363633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16</v>
      </c>
      <c r="I164" s="236"/>
      <c r="J164" s="239">
        <f>H164/DAY(B2)</f>
        <v>1.4545454545454546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69</v>
      </c>
      <c r="I165" s="236"/>
      <c r="J165" s="239">
        <f>H165/DAY(B2)</f>
        <v>6.2727272727272725</v>
      </c>
    </row>
    <row r="166" spans="1:10" ht="30.75" customHeight="1" x14ac:dyDescent="0.5">
      <c r="A166" s="822"/>
      <c r="B166" s="82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22"/>
      <c r="B167" s="82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22"/>
      <c r="B168" s="82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30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6" t="s">
        <v>209</v>
      </c>
      <c r="B173" s="827"/>
      <c r="C173" s="333"/>
      <c r="D173" s="228" t="s">
        <v>142</v>
      </c>
      <c r="E173" s="95">
        <f>'10'!F173</f>
        <v>8126</v>
      </c>
      <c r="F173" s="554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26" t="s">
        <v>75</v>
      </c>
      <c r="B174" s="827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110</v>
      </c>
      <c r="I174" s="155"/>
      <c r="J174" s="178">
        <f>H174/DAY(B2)</f>
        <v>10</v>
      </c>
    </row>
    <row r="175" spans="1:10" ht="30.75" customHeight="1" x14ac:dyDescent="0.5">
      <c r="A175" s="826" t="s">
        <v>76</v>
      </c>
      <c r="B175" s="866"/>
      <c r="C175" s="827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103</v>
      </c>
      <c r="I175" s="155"/>
      <c r="J175" s="178">
        <f>H175/DAY(B2)</f>
        <v>9.3636363636363633</v>
      </c>
    </row>
    <row r="176" spans="1:10" ht="30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25</v>
      </c>
      <c r="H176" s="99">
        <f>G176+'10'!H176</f>
        <v>213</v>
      </c>
      <c r="I176" s="155"/>
      <c r="J176" s="178">
        <f>H176/DAY(B2)</f>
        <v>19.363636363636363</v>
      </c>
    </row>
    <row r="177" spans="1:10" ht="30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26" t="s">
        <v>210</v>
      </c>
      <c r="B178" s="827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698</v>
      </c>
      <c r="I178" s="155"/>
      <c r="J178" s="178">
        <f>H178/DAY(B2)</f>
        <v>63.454545454545453</v>
      </c>
    </row>
    <row r="179" spans="1:10" ht="30.75" customHeight="1" x14ac:dyDescent="0.5">
      <c r="A179" s="826" t="s">
        <v>211</v>
      </c>
      <c r="B179" s="827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212</v>
      </c>
      <c r="I179" s="155"/>
      <c r="J179" s="178">
        <f>H179/DAY(B2)</f>
        <v>19.272727272727273</v>
      </c>
    </row>
    <row r="180" spans="1:10" ht="30.75" customHeight="1" x14ac:dyDescent="0.5">
      <c r="A180" s="826" t="s">
        <v>212</v>
      </c>
      <c r="B180" s="827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69</v>
      </c>
      <c r="I180" s="155"/>
      <c r="J180" s="178">
        <f>H180/DAY(B2)</f>
        <v>6.2727272727272725</v>
      </c>
    </row>
    <row r="181" spans="1:10" ht="30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G181+'10'!H181</f>
        <v>979</v>
      </c>
      <c r="I181" s="155"/>
      <c r="J181" s="178">
        <f>H181/DAY(B2)</f>
        <v>89</v>
      </c>
    </row>
    <row r="182" spans="1:10" ht="30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26" t="s">
        <v>214</v>
      </c>
      <c r="B183" s="827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147</v>
      </c>
      <c r="I183" s="155"/>
      <c r="J183" s="178">
        <f>H183/DAY(B2)</f>
        <v>13.363636363636363</v>
      </c>
    </row>
    <row r="184" spans="1:10" ht="30.75" customHeight="1" x14ac:dyDescent="0.5">
      <c r="A184" s="826" t="s">
        <v>215</v>
      </c>
      <c r="B184" s="827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79</v>
      </c>
      <c r="I184" s="155"/>
      <c r="J184" s="178">
        <f>H184/DAY(B2)</f>
        <v>7.1818181818181817</v>
      </c>
    </row>
    <row r="185" spans="1:10" ht="30.75" customHeight="1" x14ac:dyDescent="0.5">
      <c r="A185" s="826" t="s">
        <v>216</v>
      </c>
      <c r="B185" s="82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G186+'10'!H186</f>
        <v>226</v>
      </c>
      <c r="I186" s="157"/>
      <c r="J186" s="178">
        <f>H186/DAY(B2)</f>
        <v>20.545454545454547</v>
      </c>
    </row>
    <row r="187" spans="1:10" ht="30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123</v>
      </c>
      <c r="H187" s="99">
        <f>G187+'10'!H187</f>
        <v>1245</v>
      </c>
      <c r="I187" s="158"/>
      <c r="J187" s="179">
        <f>H187/DAY(B2)</f>
        <v>113.18181818181819</v>
      </c>
    </row>
    <row r="188" spans="1:10" ht="30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124</v>
      </c>
      <c r="H188" s="99">
        <f>G188+'10'!H188</f>
        <v>1505</v>
      </c>
      <c r="I188" s="158"/>
      <c r="J188" s="179">
        <f>H188/DAY(B2)</f>
        <v>136.81818181818181</v>
      </c>
    </row>
    <row r="189" spans="1:10" ht="30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78</v>
      </c>
      <c r="H189" s="99">
        <f>G189+'10'!H189</f>
        <v>979</v>
      </c>
      <c r="I189" s="158"/>
      <c r="J189" s="179">
        <f>H189/DAY(B2)</f>
        <v>89</v>
      </c>
    </row>
    <row r="190" spans="1:10" ht="30.75" customHeight="1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27" zoomScale="50" zoomScaleNormal="75" zoomScaleSheetLayoutView="50" workbookViewId="0">
      <selection activeCell="G159" sqref="G159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2.25" customHeight="1" x14ac:dyDescent="0.5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225834</v>
      </c>
      <c r="I7" s="113">
        <f>'1'!I7</f>
        <v>12000</v>
      </c>
      <c r="J7" s="175">
        <f>H7/DAY(B2)</f>
        <v>18819.5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230090</v>
      </c>
      <c r="I8" s="116"/>
      <c r="J8" s="175">
        <f>H8/DAY(B2)</f>
        <v>19174.166666666668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33440</v>
      </c>
      <c r="F9" s="601">
        <v>44230</v>
      </c>
      <c r="G9" s="112">
        <f>F9-E9</f>
        <v>10790</v>
      </c>
      <c r="H9" s="99">
        <f>G9+'11'!H9</f>
        <v>142735</v>
      </c>
      <c r="I9" s="124">
        <f>I7-J7</f>
        <v>-6819.5</v>
      </c>
      <c r="J9" s="175">
        <f>H9/DAY(B2)</f>
        <v>11894.583333333334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76847</v>
      </c>
      <c r="I10" s="282"/>
      <c r="J10" s="175">
        <f>H10/DAY(B2)</f>
        <v>6403.916666666667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200116.74999999988</v>
      </c>
      <c r="I13" s="120">
        <f>G7-G13</f>
        <v>472</v>
      </c>
      <c r="J13" s="175">
        <f>H13/DAY(B2)</f>
        <v>16676.395833333325</v>
      </c>
      <c r="K13" s="79"/>
      <c r="L13" s="66"/>
      <c r="N13" s="87"/>
      <c r="O13" s="71"/>
    </row>
    <row r="14" spans="1:15" ht="32.2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10503</v>
      </c>
      <c r="I15" s="113">
        <f>'1'!I15</f>
        <v>800</v>
      </c>
      <c r="J15" s="175">
        <f>H15/DAY(B2)</f>
        <v>875.25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-75.25</v>
      </c>
      <c r="J16" s="176"/>
      <c r="K16" s="79"/>
      <c r="L16" s="66"/>
      <c r="N16" s="87"/>
      <c r="O16" s="71"/>
    </row>
    <row r="17" spans="1:15" ht="32.2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54" t="s">
        <v>141</v>
      </c>
      <c r="B18" s="855"/>
      <c r="C18" s="856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1450</v>
      </c>
      <c r="I18" s="113">
        <f>'1'!I18</f>
        <v>65</v>
      </c>
      <c r="J18" s="175">
        <f>H18/DAY(B2)</f>
        <v>120.83333333333333</v>
      </c>
      <c r="K18" s="79"/>
      <c r="L18" s="66"/>
      <c r="N18" s="87"/>
      <c r="O18" s="71"/>
    </row>
    <row r="19" spans="1:15" ht="32.25" customHeight="1" x14ac:dyDescent="0.5">
      <c r="A19" s="854" t="s">
        <v>69</v>
      </c>
      <c r="B19" s="855"/>
      <c r="C19" s="856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630</v>
      </c>
      <c r="I19" s="335"/>
      <c r="J19" s="175">
        <f>H19/DAY(B2)</f>
        <v>52.5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2080</v>
      </c>
      <c r="I20" s="336">
        <f>I18-J20</f>
        <v>-108.33333333333334</v>
      </c>
      <c r="J20" s="175">
        <f>H20/DAY(B2)</f>
        <v>173.33333333333334</v>
      </c>
      <c r="K20" s="79"/>
      <c r="L20" s="66"/>
      <c r="N20" s="87"/>
      <c r="O20" s="71"/>
    </row>
    <row r="21" spans="1:15" ht="32.2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2070810</v>
      </c>
      <c r="I27" s="138"/>
      <c r="J27" s="175">
        <f>H27/DAY(B2)</f>
        <v>172567.5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546156</v>
      </c>
      <c r="I28" s="140"/>
      <c r="J28" s="175">
        <f>H28/DAY(B2)</f>
        <v>45513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91980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116000</v>
      </c>
      <c r="I31" s="140"/>
      <c r="J31" s="175">
        <f>H31/DAY(B2)</f>
        <v>9666.6666666666661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2824946</v>
      </c>
      <c r="I32" s="144"/>
      <c r="J32" s="175">
        <f>H32/DAY(B2)</f>
        <v>235412.16666666666</v>
      </c>
      <c r="K32" s="63"/>
      <c r="L32" s="89"/>
      <c r="N32" s="87"/>
      <c r="O32" s="71"/>
    </row>
    <row r="33" spans="1:15" ht="32.2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21582</v>
      </c>
      <c r="I35" s="95"/>
      <c r="J35" s="175">
        <f>H35/DAY(B2)</f>
        <v>1798.5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8985</v>
      </c>
      <c r="I36" s="95"/>
      <c r="J36" s="175">
        <f>H36/DAY(B2)</f>
        <v>748.75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18062</v>
      </c>
      <c r="I37" s="95"/>
      <c r="J37" s="175">
        <f>H37/DAY(B2)</f>
        <v>1505.1666666666667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19377</v>
      </c>
      <c r="I38" s="95"/>
      <c r="J38" s="175">
        <f>H38/DAY(B2)</f>
        <v>1614.75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31798</v>
      </c>
      <c r="I39" s="95"/>
      <c r="J39" s="175">
        <f>H39/DAY(B2)</f>
        <v>2649.8333333333335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5122</v>
      </c>
      <c r="I40" s="95"/>
      <c r="J40" s="175">
        <f>H40/DAY(B2)</f>
        <v>426.83333333333331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27457</v>
      </c>
      <c r="I43" s="95"/>
      <c r="J43" s="175">
        <f>H43/DAY(B2)</f>
        <v>2288.0833333333335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132383</v>
      </c>
      <c r="I47" s="95"/>
      <c r="J47" s="175">
        <f>H47/DAY(B2)</f>
        <v>11031.916666666666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18035</v>
      </c>
      <c r="I49" s="95"/>
      <c r="J49" s="175">
        <f>H49/DAY(B2)</f>
        <v>1502.9166666666667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12162</v>
      </c>
      <c r="I50" s="95"/>
      <c r="J50" s="175">
        <f>H50/DAY(B2)</f>
        <v>1013.5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3965.08</v>
      </c>
      <c r="I54" s="95"/>
      <c r="J54" s="175">
        <f>H54/DAY(B2)</f>
        <v>330.42333333333335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36198</v>
      </c>
      <c r="I55" s="95"/>
      <c r="J55" s="175">
        <f>H55/DAY(B2)</f>
        <v>3016.5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1682.6300000000047</v>
      </c>
      <c r="I58" s="95"/>
      <c r="J58" s="175">
        <f>H58/DAY(B2)</f>
        <v>140.21916666666706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72043.170000000013</v>
      </c>
      <c r="I59" s="95">
        <f>G7-G60</f>
        <v>829</v>
      </c>
      <c r="J59" s="175">
        <f>H59/DAY(B2)</f>
        <v>6003.5975000000008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204426.16999999998</v>
      </c>
      <c r="I60" s="95">
        <f>G13-G60</f>
        <v>357</v>
      </c>
      <c r="J60" s="175">
        <f>H60/DAY(B2)</f>
        <v>17035.514166666664</v>
      </c>
      <c r="K60" s="79"/>
      <c r="L60" s="66"/>
      <c r="N60" s="87"/>
      <c r="O60" s="71"/>
    </row>
    <row r="61" spans="1:15" s="68" customFormat="1" ht="32.2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54" t="s">
        <v>198</v>
      </c>
      <c r="B62" s="855"/>
      <c r="C62" s="856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715</v>
      </c>
      <c r="I62" s="118"/>
      <c r="J62" s="175">
        <f>H62/DAY(B2)</f>
        <v>59.583333333333336</v>
      </c>
      <c r="K62" s="80"/>
      <c r="L62" s="66"/>
      <c r="N62" s="87"/>
      <c r="O62" s="71"/>
    </row>
    <row r="63" spans="1:15" ht="32.25" customHeight="1" x14ac:dyDescent="0.5">
      <c r="A63" s="854" t="s">
        <v>199</v>
      </c>
      <c r="B63" s="855"/>
      <c r="C63" s="856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1281</v>
      </c>
      <c r="I63" s="118"/>
      <c r="J63" s="175">
        <f>H63/DAY(B2)</f>
        <v>106.75</v>
      </c>
      <c r="K63" s="69"/>
      <c r="L63" s="66"/>
      <c r="N63" s="87"/>
      <c r="O63" s="71"/>
    </row>
    <row r="64" spans="1:15" ht="32.25" customHeight="1" x14ac:dyDescent="0.5">
      <c r="A64" s="863" t="s">
        <v>200</v>
      </c>
      <c r="B64" s="864"/>
      <c r="C64" s="865"/>
      <c r="D64" s="151"/>
      <c r="E64" s="95">
        <f>'11'!F64</f>
        <v>0</v>
      </c>
      <c r="F64" s="122"/>
      <c r="G64" s="112">
        <f>G62+G63</f>
        <v>141</v>
      </c>
      <c r="H64" s="99">
        <f>G64+'11'!H64</f>
        <v>1996</v>
      </c>
      <c r="I64" s="118"/>
      <c r="J64" s="175">
        <f>H64/DAY(B2)</f>
        <v>166.33333333333334</v>
      </c>
      <c r="K64" s="69"/>
      <c r="L64" s="66"/>
      <c r="N64" s="87"/>
      <c r="O64" s="71"/>
    </row>
    <row r="65" spans="1:15" ht="32.25" customHeight="1" x14ac:dyDescent="0.5">
      <c r="A65" s="854" t="s">
        <v>201</v>
      </c>
      <c r="B65" s="855"/>
      <c r="C65" s="856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856</v>
      </c>
      <c r="I65" s="118"/>
      <c r="J65" s="175">
        <f>H65/DAY(B2)</f>
        <v>71.333333333333329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216</v>
      </c>
      <c r="I66" s="118"/>
      <c r="J66" s="175">
        <f>H66/DAY(B2)</f>
        <v>18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290</v>
      </c>
      <c r="I67" s="118"/>
      <c r="J67" s="175">
        <f>H67/DAY(B2)</f>
        <v>24.166666666666668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308</v>
      </c>
      <c r="I68" s="118"/>
      <c r="J68" s="175">
        <f>H68/DAY(B2)</f>
        <v>25.666666666666668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127</v>
      </c>
      <c r="I69" s="118"/>
      <c r="J69" s="175">
        <f>H69/DAY(B2)</f>
        <v>10.583333333333334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95</v>
      </c>
      <c r="I70" s="118"/>
      <c r="J70" s="175">
        <f>H70/DAY(B2)</f>
        <v>7.916666666666667</v>
      </c>
      <c r="K70" s="69"/>
      <c r="L70" s="66"/>
      <c r="N70" s="87"/>
      <c r="O70" s="71"/>
    </row>
    <row r="71" spans="1:15" ht="32.2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102</v>
      </c>
      <c r="H71" s="99">
        <f>G71+'11'!H71</f>
        <v>1892</v>
      </c>
      <c r="I71" s="154"/>
      <c r="J71" s="175">
        <f>H71/DAY(B2)</f>
        <v>157.66666666666666</v>
      </c>
      <c r="K71" s="69"/>
      <c r="L71" s="66"/>
      <c r="N71" s="87"/>
      <c r="O71" s="71"/>
    </row>
    <row r="72" spans="1:15" s="88" customFormat="1" ht="32.2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54" t="s">
        <v>220</v>
      </c>
      <c r="B74" s="855"/>
      <c r="C74" s="856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3589</v>
      </c>
      <c r="I74" s="154"/>
      <c r="J74" s="175">
        <f>H74/DAY(B2)</f>
        <v>299.08333333333331</v>
      </c>
      <c r="K74" s="69"/>
      <c r="L74" s="66"/>
      <c r="N74" s="87"/>
      <c r="O74" s="71"/>
    </row>
    <row r="75" spans="1:15" ht="32.25" customHeight="1" x14ac:dyDescent="0.5">
      <c r="A75" s="854" t="s">
        <v>221</v>
      </c>
      <c r="B75" s="855"/>
      <c r="C75" s="85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51" t="s">
        <v>222</v>
      </c>
      <c r="B76" s="852"/>
      <c r="C76" s="853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1029</v>
      </c>
      <c r="I76" s="154"/>
      <c r="J76" s="175">
        <f>H76/DAY(B2)</f>
        <v>85.75</v>
      </c>
      <c r="K76" s="69"/>
      <c r="L76" s="66"/>
      <c r="N76" s="87"/>
      <c r="O76" s="71"/>
    </row>
    <row r="77" spans="1:15" ht="32.25" customHeight="1" x14ac:dyDescent="0.5">
      <c r="A77" s="851" t="s">
        <v>223</v>
      </c>
      <c r="B77" s="852"/>
      <c r="C77" s="853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378</v>
      </c>
      <c r="I77" s="154"/>
      <c r="J77" s="175">
        <f>H77/DAY(B2)</f>
        <v>31.5</v>
      </c>
      <c r="K77" s="69"/>
      <c r="L77" s="66"/>
      <c r="N77" s="87"/>
      <c r="O77" s="71"/>
    </row>
    <row r="78" spans="1:15" ht="32.25" customHeight="1" x14ac:dyDescent="0.5">
      <c r="A78" s="851" t="s">
        <v>224</v>
      </c>
      <c r="B78" s="852"/>
      <c r="C78" s="853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10</v>
      </c>
      <c r="I78" s="118"/>
      <c r="J78" s="175">
        <f>H78/DAY(B2)</f>
        <v>0.83333333333333337</v>
      </c>
      <c r="K78" s="69"/>
      <c r="L78" s="66"/>
      <c r="N78" s="87"/>
      <c r="O78" s="71"/>
    </row>
    <row r="79" spans="1:15" s="57" customFormat="1" ht="32.25" customHeight="1" x14ac:dyDescent="0.5">
      <c r="A79" s="851" t="s">
        <v>225</v>
      </c>
      <c r="B79" s="852"/>
      <c r="C79" s="853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5496.8000000000029</v>
      </c>
      <c r="I79" s="118"/>
      <c r="J79" s="175">
        <f>H79/DAY(B2)</f>
        <v>458.06666666666689</v>
      </c>
      <c r="K79" s="59"/>
      <c r="L79" s="58"/>
      <c r="N79" s="87"/>
      <c r="O79" s="71"/>
    </row>
    <row r="80" spans="1:15" s="57" customFormat="1" ht="32.2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-9.9999999997635314E-3</v>
      </c>
      <c r="I85" s="118">
        <f>G82+G83+G84+G85</f>
        <v>0</v>
      </c>
      <c r="J85" s="175">
        <f>H85/DAY(B2)</f>
        <v>-8.3333333331362758E-4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289</v>
      </c>
      <c r="I86" s="118"/>
      <c r="J86" s="175">
        <f>H86/DAY(B2)</f>
        <v>24.083333333333332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0</v>
      </c>
      <c r="I87" s="118"/>
      <c r="J87" s="175">
        <f>H87/DAY(B2)</f>
        <v>0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11</v>
      </c>
      <c r="I88" s="118">
        <f>G86+G87+G88</f>
        <v>24</v>
      </c>
      <c r="J88" s="175">
        <f>H88/DAY(B2)</f>
        <v>0.91666666666666663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70.799999999999272</v>
      </c>
      <c r="I89" s="118"/>
      <c r="J89" s="175">
        <f>H89/DAY(B2)</f>
        <v>5.8999999999999391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63.369999999995343</v>
      </c>
      <c r="I90" s="118">
        <f>G89+G90</f>
        <v>9.1699999999946158</v>
      </c>
      <c r="J90" s="175">
        <f>H90/DAY(B2)</f>
        <v>5.2808333333329456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122.42000000000007</v>
      </c>
      <c r="I92" s="165"/>
      <c r="J92" s="175">
        <f>H92/DAY(B2)</f>
        <v>10.201666666666673</v>
      </c>
      <c r="O92" s="71"/>
    </row>
    <row r="93" spans="1:15" ht="32.2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4778</v>
      </c>
      <c r="H94" s="99">
        <f>G94+'11'!H94</f>
        <v>67074</v>
      </c>
      <c r="I94" s="118"/>
      <c r="J94" s="175">
        <f>H94/DAY(B2)</f>
        <v>5589.5</v>
      </c>
      <c r="K94" s="69"/>
      <c r="L94" s="66"/>
      <c r="O94" s="71"/>
    </row>
    <row r="95" spans="1:15" ht="32.2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0.28903272639283772</v>
      </c>
      <c r="H95" s="99">
        <f>G95+'11'!H95</f>
        <v>3.5596633199840637</v>
      </c>
      <c r="I95" s="167"/>
      <c r="J95" s="175">
        <f>H95/DAY(B2)</f>
        <v>0.29663860999867198</v>
      </c>
      <c r="K95" s="69"/>
      <c r="L95" s="66"/>
      <c r="O95" s="71"/>
    </row>
    <row r="96" spans="1:15" ht="32.2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2812</v>
      </c>
      <c r="H96" s="99">
        <f>G96+'11'!H96</f>
        <v>36198.46</v>
      </c>
      <c r="I96" s="118"/>
      <c r="J96" s="175">
        <f>H96/DAY(B2)</f>
        <v>3016.5383333333334</v>
      </c>
      <c r="K96" s="69"/>
      <c r="L96" s="66"/>
      <c r="O96" s="71"/>
    </row>
    <row r="97" spans="1:15" ht="32.2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0.17010465186619078</v>
      </c>
      <c r="H97" s="99">
        <f>G97+'11'!H97</f>
        <v>1.9270411336528022</v>
      </c>
      <c r="I97" s="167"/>
      <c r="J97" s="175">
        <f>H97/DAY(B2)</f>
        <v>0.16058676113773351</v>
      </c>
      <c r="K97" s="69"/>
      <c r="L97" s="66"/>
      <c r="O97" s="71"/>
    </row>
    <row r="98" spans="1:15" ht="32.2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2461</v>
      </c>
      <c r="H98" s="99">
        <f>G98+'11'!H98</f>
        <v>31798</v>
      </c>
      <c r="I98" s="168"/>
      <c r="J98" s="175">
        <f>H98/DAY(B2)</f>
        <v>2649.8333333333335</v>
      </c>
      <c r="K98" s="69"/>
      <c r="L98" s="66"/>
      <c r="O98" s="71"/>
    </row>
    <row r="99" spans="1:15" ht="32.2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0.14887181658701834</v>
      </c>
      <c r="H99" s="99">
        <f>G99+'11'!H99</f>
        <v>1.6943233344248565</v>
      </c>
      <c r="I99" s="168"/>
      <c r="J99" s="175">
        <f>H99/DAY(B2)</f>
        <v>0.14119361120207138</v>
      </c>
      <c r="O99" s="71"/>
    </row>
    <row r="100" spans="1:15" ht="32.2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1484</v>
      </c>
      <c r="H100" s="99">
        <f>G100+'11'!H100</f>
        <v>19377</v>
      </c>
      <c r="I100" s="118"/>
      <c r="J100" s="175">
        <f>H100/DAY(B2)</f>
        <v>1614.75</v>
      </c>
      <c r="K100" s="70"/>
      <c r="O100" s="71"/>
    </row>
    <row r="101" spans="1:15" ht="32.2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1.0320454201616156</v>
      </c>
      <c r="I101" s="168"/>
      <c r="J101" s="175">
        <f>H101/DAY(B2)</f>
        <v>8.6003785013467962E-2</v>
      </c>
      <c r="O101" s="71"/>
    </row>
    <row r="102" spans="1:15" ht="32.2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1461</v>
      </c>
      <c r="H102" s="99">
        <f>G102+'11'!H102</f>
        <v>21147</v>
      </c>
      <c r="I102" s="168"/>
      <c r="J102" s="175">
        <f>H102/DAY(B2)</f>
        <v>1762.25</v>
      </c>
      <c r="O102" s="71"/>
    </row>
    <row r="103" spans="1:15" ht="32.2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1.1221855896925201</v>
      </c>
      <c r="I103" s="118"/>
      <c r="J103" s="175">
        <f>H103/DAY(B2)</f>
        <v>9.3515465807710016E-2</v>
      </c>
      <c r="O103" s="71"/>
    </row>
    <row r="104" spans="1:15" ht="32.2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1481</v>
      </c>
      <c r="H104" s="99">
        <f>G104+'11'!H104</f>
        <v>18062</v>
      </c>
      <c r="I104" s="118"/>
      <c r="J104" s="175">
        <f>H104/DAY(B2)</f>
        <v>1505.1666666666667</v>
      </c>
      <c r="O104" s="71"/>
    </row>
    <row r="105" spans="1:15" ht="32.2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0.96334307991135137</v>
      </c>
      <c r="I105" s="187"/>
      <c r="J105" s="188">
        <f>H105/DAY(B2)</f>
        <v>8.0278589992612615E-2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32.25" customHeight="1" x14ac:dyDescent="0.5">
      <c r="A109" s="871"/>
      <c r="B109" s="871"/>
    </row>
    <row r="110" spans="1:15" ht="32.2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32.2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33" t="s">
        <v>252</v>
      </c>
      <c r="B112" s="834"/>
      <c r="C112" s="835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900</v>
      </c>
      <c r="I112" s="165"/>
      <c r="J112" s="328">
        <f>H112/DAY(B2)</f>
        <v>75</v>
      </c>
    </row>
    <row r="113" spans="1:18" ht="32.25" customHeight="1" x14ac:dyDescent="0.5">
      <c r="A113" s="833" t="s">
        <v>253</v>
      </c>
      <c r="B113" s="834"/>
      <c r="C113" s="835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5405</v>
      </c>
      <c r="I113" s="165"/>
      <c r="J113" s="328">
        <f>H113/DAY(B2)</f>
        <v>450.41666666666669</v>
      </c>
    </row>
    <row r="114" spans="1:18" ht="32.25" customHeight="1" x14ac:dyDescent="0.5">
      <c r="A114" s="833" t="s">
        <v>254</v>
      </c>
      <c r="B114" s="834"/>
      <c r="C114" s="835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3186</v>
      </c>
      <c r="I114" s="165"/>
      <c r="J114" s="328">
        <f>H114/DAY(B2)</f>
        <v>265.5</v>
      </c>
    </row>
    <row r="115" spans="1:18" ht="32.25" customHeight="1" x14ac:dyDescent="0.5">
      <c r="A115" s="833" t="s">
        <v>255</v>
      </c>
      <c r="B115" s="834"/>
      <c r="C115" s="835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124</v>
      </c>
      <c r="I115" s="165"/>
      <c r="J115" s="328">
        <f>H115/DAY(B2)</f>
        <v>10.333333333333334</v>
      </c>
    </row>
    <row r="116" spans="1:18" ht="32.25" customHeight="1" x14ac:dyDescent="0.5">
      <c r="A116" s="840" t="s">
        <v>96</v>
      </c>
      <c r="B116" s="841"/>
      <c r="C116" s="842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32.25" customHeight="1" x14ac:dyDescent="0.5">
      <c r="A117" s="840" t="s">
        <v>184</v>
      </c>
      <c r="B117" s="841"/>
      <c r="C117" s="842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298</v>
      </c>
      <c r="I117" s="165"/>
      <c r="J117" s="328">
        <f>H117/DAY(B2)</f>
        <v>24.833333333333332</v>
      </c>
      <c r="Q117" s="833" t="s">
        <v>312</v>
      </c>
      <c r="R117" s="835"/>
    </row>
    <row r="118" spans="1:18" ht="32.25" customHeight="1" x14ac:dyDescent="0.5">
      <c r="A118" s="832" t="s">
        <v>97</v>
      </c>
      <c r="B118" s="832"/>
      <c r="C118" s="832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4348</v>
      </c>
      <c r="I118" s="165"/>
      <c r="J118" s="328">
        <f>H118/DAY(B2)</f>
        <v>362.33333333333331</v>
      </c>
      <c r="Q118" s="833" t="s">
        <v>311</v>
      </c>
      <c r="R118" s="835"/>
    </row>
    <row r="119" spans="1:18" ht="32.25" customHeight="1" x14ac:dyDescent="0.5">
      <c r="A119" s="832" t="s">
        <v>98</v>
      </c>
      <c r="B119" s="832"/>
      <c r="C119" s="832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5134</v>
      </c>
      <c r="I119" s="165"/>
      <c r="J119" s="328">
        <f>H119/DAY(B2)</f>
        <v>427.83333333333331</v>
      </c>
    </row>
    <row r="120" spans="1:18" ht="32.25" customHeight="1" x14ac:dyDescent="0.5">
      <c r="A120" s="832" t="s">
        <v>99</v>
      </c>
      <c r="B120" s="832"/>
      <c r="C120" s="832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4975</v>
      </c>
      <c r="I120" s="165"/>
      <c r="J120" s="328">
        <f>H120/DAY(B2)</f>
        <v>414.58333333333331</v>
      </c>
    </row>
    <row r="121" spans="1:18" ht="32.25" customHeight="1" x14ac:dyDescent="0.5">
      <c r="A121" s="832" t="s">
        <v>100</v>
      </c>
      <c r="B121" s="832"/>
      <c r="C121" s="832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8622</v>
      </c>
      <c r="I121" s="165"/>
      <c r="J121" s="328">
        <f>H121/DAY(B2)</f>
        <v>718.5</v>
      </c>
    </row>
    <row r="122" spans="1:18" ht="32.25" customHeight="1" x14ac:dyDescent="0.5">
      <c r="A122" s="832" t="s">
        <v>101</v>
      </c>
      <c r="B122" s="832"/>
      <c r="C122" s="832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2570</v>
      </c>
      <c r="I122" s="165"/>
      <c r="J122" s="328">
        <f>H122/DAY(B2)</f>
        <v>214.16666666666666</v>
      </c>
    </row>
    <row r="123" spans="1:18" ht="32.25" customHeight="1" x14ac:dyDescent="0.5">
      <c r="A123" s="832" t="s">
        <v>102</v>
      </c>
      <c r="B123" s="832"/>
      <c r="C123" s="832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3784</v>
      </c>
      <c r="I123" s="165"/>
      <c r="J123" s="328">
        <f>H123/DAY(B2)</f>
        <v>315.33333333333331</v>
      </c>
    </row>
    <row r="124" spans="1:18" ht="32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3078</v>
      </c>
      <c r="H125" s="156"/>
      <c r="I125" s="327" t="s">
        <v>370</v>
      </c>
      <c r="J125" s="327"/>
    </row>
    <row r="126" spans="1:18" ht="32.2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32.2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33" t="s">
        <v>318</v>
      </c>
      <c r="B128" s="834"/>
      <c r="C128" s="835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3878</v>
      </c>
      <c r="I128" s="165"/>
      <c r="J128" s="328">
        <f>H128/DAY(B2)</f>
        <v>323.16666666666669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2585</v>
      </c>
      <c r="I129" s="165"/>
      <c r="J129" s="328">
        <f>H129/DAY(B2)</f>
        <v>215.41666666666666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7495</v>
      </c>
      <c r="I130" s="165"/>
      <c r="J130" s="328">
        <f>H130/DAY(B2)</f>
        <v>624.58333333333337</v>
      </c>
      <c r="N130" s="240"/>
      <c r="O130" s="241"/>
    </row>
    <row r="131" spans="1:15" ht="32.25" customHeight="1" x14ac:dyDescent="0.5">
      <c r="A131" s="833" t="s">
        <v>321</v>
      </c>
      <c r="B131" s="834"/>
      <c r="C131" s="835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867</v>
      </c>
      <c r="I131" s="165"/>
      <c r="J131" s="328">
        <f>H131/DAY(B2)</f>
        <v>72.25</v>
      </c>
      <c r="N131" s="240"/>
      <c r="O131" s="241"/>
    </row>
    <row r="132" spans="1:15" ht="32.25" customHeight="1" x14ac:dyDescent="0.5">
      <c r="A132" s="833" t="s">
        <v>322</v>
      </c>
      <c r="B132" s="834"/>
      <c r="C132" s="835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5755</v>
      </c>
      <c r="I132" s="165"/>
      <c r="J132" s="328">
        <f>H132/DAY(B2)</f>
        <v>479.58333333333331</v>
      </c>
    </row>
    <row r="133" spans="1:15" ht="32.25" customHeight="1" x14ac:dyDescent="0.5">
      <c r="A133" s="833" t="s">
        <v>362</v>
      </c>
      <c r="B133" s="834"/>
      <c r="C133" s="835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8215</v>
      </c>
      <c r="I133" s="165"/>
      <c r="J133" s="328">
        <f>H133/DAY(B2)</f>
        <v>684.58333333333337</v>
      </c>
    </row>
    <row r="134" spans="1:15" ht="32.25" customHeight="1" x14ac:dyDescent="0.5">
      <c r="A134" s="833" t="s">
        <v>340</v>
      </c>
      <c r="B134" s="834"/>
      <c r="C134" s="835"/>
      <c r="D134" s="151" t="s">
        <v>183</v>
      </c>
      <c r="E134" s="554">
        <v>675870</v>
      </c>
      <c r="F134" s="165">
        <v>676505</v>
      </c>
      <c r="G134" s="112">
        <f t="shared" si="10"/>
        <v>635</v>
      </c>
      <c r="H134" s="99">
        <f>G134+'11'!H134</f>
        <v>7625</v>
      </c>
      <c r="I134" s="165"/>
      <c r="J134" s="328">
        <f>H134/DAY(B2)</f>
        <v>635.41666666666663</v>
      </c>
    </row>
    <row r="135" spans="1:15" ht="32.2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2649</v>
      </c>
      <c r="H135" s="99">
        <f>G135+'10'!H135</f>
        <v>33873</v>
      </c>
      <c r="I135" s="327">
        <f>G135-(G35+G49)</f>
        <v>-107</v>
      </c>
      <c r="J135" s="328"/>
    </row>
    <row r="136" spans="1:15" ht="32.2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32" t="s">
        <v>185</v>
      </c>
      <c r="B138" s="832"/>
      <c r="C138" s="832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765</v>
      </c>
      <c r="I138" s="118"/>
      <c r="J138" s="328">
        <f>H138/DAY(B2)</f>
        <v>63.75</v>
      </c>
    </row>
    <row r="139" spans="1:15" ht="32.25" customHeight="1" x14ac:dyDescent="0.5">
      <c r="A139" s="832" t="s">
        <v>186</v>
      </c>
      <c r="B139" s="832"/>
      <c r="C139" s="832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3</v>
      </c>
      <c r="I139" s="118"/>
      <c r="J139" s="328">
        <f>H139/DAY(B2)</f>
        <v>0.25</v>
      </c>
    </row>
    <row r="140" spans="1:15" ht="32.25" customHeight="1" x14ac:dyDescent="0.5">
      <c r="A140" s="832" t="s">
        <v>187</v>
      </c>
      <c r="B140" s="832"/>
      <c r="C140" s="832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16</v>
      </c>
      <c r="I140" s="118"/>
      <c r="J140" s="328">
        <f>H140/DAY(B2)</f>
        <v>1.3333333333333333</v>
      </c>
    </row>
    <row r="141" spans="1:15" ht="32.25" customHeight="1" x14ac:dyDescent="0.5">
      <c r="A141" s="813" t="s">
        <v>188</v>
      </c>
      <c r="B141" s="813"/>
      <c r="C141" s="813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2100</v>
      </c>
      <c r="I141" s="118"/>
      <c r="J141" s="328">
        <f>H141/DAY(B2)</f>
        <v>175</v>
      </c>
    </row>
    <row r="142" spans="1:15" ht="32.25" customHeight="1" x14ac:dyDescent="0.5">
      <c r="A142" s="813" t="s">
        <v>189</v>
      </c>
      <c r="B142" s="813"/>
      <c r="C142" s="813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830</v>
      </c>
      <c r="I142" s="140"/>
      <c r="J142" s="328">
        <f>H142/DAY(B2)</f>
        <v>69.166666666666671</v>
      </c>
    </row>
    <row r="143" spans="1:15" ht="32.25" customHeight="1" x14ac:dyDescent="0.5">
      <c r="A143" s="832" t="s">
        <v>91</v>
      </c>
      <c r="B143" s="832"/>
      <c r="C143" s="832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283</v>
      </c>
      <c r="I143" s="140"/>
      <c r="J143" s="328">
        <f>H143/DAY(B2)</f>
        <v>23.583333333333332</v>
      </c>
    </row>
    <row r="144" spans="1:15" ht="32.25" customHeight="1" x14ac:dyDescent="0.5">
      <c r="A144" s="813" t="s">
        <v>90</v>
      </c>
      <c r="B144" s="813"/>
      <c r="C144" s="813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2707</v>
      </c>
      <c r="I144" s="140"/>
      <c r="J144" s="328">
        <f>H144/DAY(B2)</f>
        <v>225.58333333333334</v>
      </c>
    </row>
    <row r="145" spans="1:10" ht="32.25" customHeight="1" x14ac:dyDescent="0.5">
      <c r="A145" s="832" t="s">
        <v>190</v>
      </c>
      <c r="B145" s="832"/>
      <c r="C145" s="832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185</v>
      </c>
      <c r="I145" s="140"/>
      <c r="J145" s="328">
        <f>H145/DAY(B2)</f>
        <v>15.416666666666666</v>
      </c>
    </row>
    <row r="146" spans="1:10" ht="32.25" customHeight="1" x14ac:dyDescent="0.5">
      <c r="A146" s="867" t="s">
        <v>191</v>
      </c>
      <c r="B146" s="852"/>
      <c r="C146" s="853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4928</v>
      </c>
      <c r="I146" s="140"/>
      <c r="J146" s="328">
        <f>H146/DAY(B2)</f>
        <v>410.66666666666669</v>
      </c>
    </row>
    <row r="147" spans="1:10" ht="32.25" customHeight="1" x14ac:dyDescent="0.5">
      <c r="A147" s="813" t="s">
        <v>192</v>
      </c>
      <c r="B147" s="813"/>
      <c r="C147" s="813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4553</v>
      </c>
      <c r="I147" s="140"/>
      <c r="J147" s="328">
        <f>H147/DAY(B2)</f>
        <v>379.41666666666669</v>
      </c>
    </row>
    <row r="148" spans="1:10" ht="32.25" customHeight="1" x14ac:dyDescent="0.5">
      <c r="A148" s="814" t="s">
        <v>193</v>
      </c>
      <c r="B148" s="815"/>
      <c r="C148" s="816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3001.8800000000047</v>
      </c>
      <c r="I148" s="124"/>
      <c r="J148" s="328">
        <f>H148/DAY(B2)</f>
        <v>250.15666666666706</v>
      </c>
    </row>
    <row r="149" spans="1:10" ht="32.25" customHeight="1" x14ac:dyDescent="0.5">
      <c r="A149" s="814" t="s">
        <v>336</v>
      </c>
      <c r="B149" s="815"/>
      <c r="C149" s="816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4944</v>
      </c>
      <c r="I149" s="119"/>
      <c r="J149" s="328">
        <f>H149/DAY(B2)</f>
        <v>412</v>
      </c>
    </row>
    <row r="150" spans="1:10" ht="32.25" customHeight="1" x14ac:dyDescent="0.5">
      <c r="A150" s="814" t="s">
        <v>337</v>
      </c>
      <c r="B150" s="815"/>
      <c r="C150" s="816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2629</v>
      </c>
      <c r="I150" s="119"/>
      <c r="J150" s="328">
        <f>H150/DAY(B2)</f>
        <v>219.08333333333334</v>
      </c>
    </row>
    <row r="151" spans="1:10" ht="32.25" customHeight="1" x14ac:dyDescent="0.5">
      <c r="A151" s="814" t="s">
        <v>338</v>
      </c>
      <c r="B151" s="815"/>
      <c r="C151" s="816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2854</v>
      </c>
      <c r="I151" s="119"/>
      <c r="J151" s="328">
        <f>H151/DAY(B2)</f>
        <v>237.83333333333334</v>
      </c>
    </row>
    <row r="152" spans="1:10" ht="32.25" customHeight="1" x14ac:dyDescent="0.5">
      <c r="A152" s="814" t="s">
        <v>339</v>
      </c>
      <c r="B152" s="815"/>
      <c r="C152" s="816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221</v>
      </c>
      <c r="I152" s="119"/>
      <c r="J152" s="328">
        <f>H152/DAY(B2)</f>
        <v>18.416666666666668</v>
      </c>
    </row>
    <row r="153" spans="1:10" ht="32.2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2.25" customHeight="1" x14ac:dyDescent="0.55000000000000004">
      <c r="A155" s="813" t="s">
        <v>345</v>
      </c>
      <c r="B155" s="813"/>
      <c r="C155" s="813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6831</v>
      </c>
      <c r="I155" s="364"/>
      <c r="J155" s="328">
        <f>H155/DAY(B2)</f>
        <v>569.25</v>
      </c>
    </row>
    <row r="156" spans="1:10" ht="32.25" customHeight="1" x14ac:dyDescent="0.5">
      <c r="A156" s="813" t="s">
        <v>347</v>
      </c>
      <c r="B156" s="813"/>
      <c r="C156" s="813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579</v>
      </c>
      <c r="I156" s="165"/>
      <c r="J156" s="328">
        <f>H156/DAY(B2)</f>
        <v>48.25</v>
      </c>
    </row>
    <row r="157" spans="1:10" ht="32.25" customHeight="1" x14ac:dyDescent="0.5">
      <c r="A157" s="814" t="s">
        <v>364</v>
      </c>
      <c r="B157" s="815"/>
      <c r="C157" s="816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 x14ac:dyDescent="0.5">
      <c r="A158" s="814" t="s">
        <v>365</v>
      </c>
      <c r="B158" s="815"/>
      <c r="C158" s="816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 x14ac:dyDescent="0.5">
      <c r="A159" s="897"/>
      <c r="B159" s="898"/>
      <c r="C159" s="899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257.84000000002561</v>
      </c>
      <c r="I161" s="236"/>
      <c r="J161" s="239">
        <f>H161/DAY(B2)</f>
        <v>21.4866666666688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320</v>
      </c>
      <c r="I162" s="236"/>
      <c r="J162" s="239">
        <f>H162/DAY(B2)</f>
        <v>26.666666666666668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492</v>
      </c>
      <c r="I163" s="236"/>
      <c r="J163" s="239">
        <f>H163/DAY(B2)</f>
        <v>41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17</v>
      </c>
      <c r="I164" s="236"/>
      <c r="J164" s="239">
        <f>H164/DAY(B2)</f>
        <v>1.4166666666666667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76</v>
      </c>
      <c r="I165" s="236"/>
      <c r="J165" s="239">
        <f>H165/DAY(B2)</f>
        <v>6.333333333333333</v>
      </c>
    </row>
    <row r="166" spans="1:10" ht="32.25" customHeight="1" x14ac:dyDescent="0.5">
      <c r="A166" s="822"/>
      <c r="B166" s="82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22"/>
      <c r="B167" s="82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22"/>
      <c r="B168" s="82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32.2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26" t="s">
        <v>209</v>
      </c>
      <c r="B173" s="827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 x14ac:dyDescent="0.5">
      <c r="A174" s="826" t="s">
        <v>75</v>
      </c>
      <c r="B174" s="827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110</v>
      </c>
      <c r="I174" s="155"/>
      <c r="J174" s="178">
        <f>H174/DAY(B2)</f>
        <v>9.1666666666666661</v>
      </c>
    </row>
    <row r="175" spans="1:10" ht="32.25" customHeight="1" x14ac:dyDescent="0.5">
      <c r="A175" s="826" t="s">
        <v>76</v>
      </c>
      <c r="B175" s="866"/>
      <c r="C175" s="827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108</v>
      </c>
      <c r="I175" s="155"/>
      <c r="J175" s="178">
        <f>H175/DAY(B2)</f>
        <v>9</v>
      </c>
    </row>
    <row r="176" spans="1:10" ht="32.25" customHeight="1" x14ac:dyDescent="0.5">
      <c r="A176" s="592" t="s">
        <v>196</v>
      </c>
      <c r="B176" s="593"/>
      <c r="C176" s="485"/>
      <c r="D176" s="228" t="s">
        <v>142</v>
      </c>
      <c r="E176" s="95"/>
      <c r="F176" s="155"/>
      <c r="G176" s="155">
        <f>SUM(G173:G175)</f>
        <v>5</v>
      </c>
      <c r="H176" s="99">
        <f>G176+'11'!H176</f>
        <v>218</v>
      </c>
      <c r="I176" s="155"/>
      <c r="J176" s="178">
        <f>H176/DAY(B2)</f>
        <v>18.166666666666668</v>
      </c>
    </row>
    <row r="177" spans="1:10" ht="32.2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26" t="s">
        <v>210</v>
      </c>
      <c r="B178" s="827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741</v>
      </c>
      <c r="I178" s="155"/>
      <c r="J178" s="178">
        <f>H178/DAY(B2)</f>
        <v>61.75</v>
      </c>
    </row>
    <row r="179" spans="1:10" ht="32.25" customHeight="1" x14ac:dyDescent="0.5">
      <c r="A179" s="826" t="s">
        <v>211</v>
      </c>
      <c r="B179" s="827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231</v>
      </c>
      <c r="I179" s="155"/>
      <c r="J179" s="178">
        <f>H179/DAY(B2)</f>
        <v>19.25</v>
      </c>
    </row>
    <row r="180" spans="1:10" ht="32.25" customHeight="1" x14ac:dyDescent="0.5">
      <c r="A180" s="826" t="s">
        <v>212</v>
      </c>
      <c r="B180" s="827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86</v>
      </c>
      <c r="I180" s="155"/>
      <c r="J180" s="178">
        <f>H180/DAY(B2)</f>
        <v>7.166666666666667</v>
      </c>
    </row>
    <row r="181" spans="1:10" ht="32.2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79</v>
      </c>
      <c r="H181" s="99">
        <f>G181+'11'!H181</f>
        <v>1058</v>
      </c>
      <c r="I181" s="155"/>
      <c r="J181" s="178">
        <f>H181/DAY(B2)</f>
        <v>88.166666666666671</v>
      </c>
    </row>
    <row r="182" spans="1:10" ht="32.2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26" t="s">
        <v>214</v>
      </c>
      <c r="B183" s="827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154</v>
      </c>
      <c r="I183" s="155"/>
      <c r="J183" s="178">
        <f>H183/DAY(B2)</f>
        <v>12.833333333333334</v>
      </c>
    </row>
    <row r="184" spans="1:10" ht="32.25" customHeight="1" x14ac:dyDescent="0.5">
      <c r="A184" s="826" t="s">
        <v>215</v>
      </c>
      <c r="B184" s="827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82</v>
      </c>
      <c r="I184" s="155"/>
      <c r="J184" s="178">
        <f>H184/DAY(B2)</f>
        <v>6.833333333333333</v>
      </c>
    </row>
    <row r="185" spans="1:10" ht="32.25" customHeight="1" x14ac:dyDescent="0.5">
      <c r="A185" s="826" t="s">
        <v>216</v>
      </c>
      <c r="B185" s="82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10</v>
      </c>
      <c r="H186" s="99">
        <f>G186+'11'!H186</f>
        <v>236</v>
      </c>
      <c r="I186" s="157"/>
      <c r="J186" s="178">
        <f>H186/DAY(B2)</f>
        <v>19.666666666666668</v>
      </c>
    </row>
    <row r="187" spans="1:10" ht="32.2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100</v>
      </c>
      <c r="H187" s="99">
        <f>G187+'11'!H187</f>
        <v>1345</v>
      </c>
      <c r="I187" s="158"/>
      <c r="J187" s="179">
        <f>H187/DAY(B2)</f>
        <v>112.08333333333333</v>
      </c>
    </row>
    <row r="188" spans="1:10" ht="32.2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79</v>
      </c>
      <c r="H188" s="99">
        <f>G188+'11'!H188</f>
        <v>1584</v>
      </c>
      <c r="I188" s="158"/>
      <c r="J188" s="179">
        <f>H188/DAY(B2)</f>
        <v>132</v>
      </c>
    </row>
    <row r="189" spans="1:10" ht="32.2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704">
        <f>G181</f>
        <v>79</v>
      </c>
      <c r="H189" s="99">
        <f>G189+'11'!H189</f>
        <v>1058</v>
      </c>
      <c r="I189" s="158"/>
      <c r="J189" s="179">
        <f>H189/DAY(B2)</f>
        <v>88.166666666666671</v>
      </c>
    </row>
    <row r="190" spans="1:10" ht="32.25" customHeight="1" x14ac:dyDescent="0.5">
      <c r="A190" s="740"/>
      <c r="B190" s="741"/>
      <c r="C190" s="483"/>
      <c r="D190" s="480"/>
      <c r="E190" s="477"/>
      <c r="F190" s="480"/>
      <c r="G190" s="480"/>
      <c r="H190" s="486"/>
      <c r="I190" s="480"/>
      <c r="J190" s="482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24" zoomScale="50" zoomScaleSheetLayoutView="50" workbookViewId="0">
      <selection activeCell="G159" sqref="G15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 x14ac:dyDescent="0.5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242634</v>
      </c>
      <c r="I7" s="113">
        <f>'1'!I7</f>
        <v>12000</v>
      </c>
      <c r="J7" s="175">
        <f>H7/DAY(B2)</f>
        <v>18664.153846153848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247140</v>
      </c>
      <c r="I8" s="116"/>
      <c r="J8" s="175">
        <f>H8/DAY(B2)</f>
        <v>19010.76923076923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44230</v>
      </c>
      <c r="F9" s="601">
        <v>54881</v>
      </c>
      <c r="G9" s="112">
        <f>F9-E9</f>
        <v>10651</v>
      </c>
      <c r="H9" s="99">
        <f>G9+'12'!H9</f>
        <v>153386</v>
      </c>
      <c r="I9" s="124">
        <f>I7-J7</f>
        <v>-6664.1538461538476</v>
      </c>
      <c r="J9" s="175">
        <f>H9/DAY(B2)</f>
        <v>11798.923076923076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82524</v>
      </c>
      <c r="I10" s="282"/>
      <c r="J10" s="175">
        <f>H10/DAY(B2)</f>
        <v>6348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216444.74999999988</v>
      </c>
      <c r="I13" s="120">
        <f>G7-G13</f>
        <v>472</v>
      </c>
      <c r="J13" s="175">
        <f>H13/DAY(B2)</f>
        <v>16649.596153846145</v>
      </c>
      <c r="K13" s="79"/>
      <c r="L13" s="66"/>
      <c r="N13" s="87"/>
      <c r="O13" s="71"/>
    </row>
    <row r="14" spans="1:15" ht="27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11460</v>
      </c>
      <c r="I15" s="113">
        <f>'1'!I15</f>
        <v>800</v>
      </c>
      <c r="J15" s="175">
        <f>H15/DAY(B2)</f>
        <v>881.53846153846155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-81.538461538461547</v>
      </c>
      <c r="J16" s="176"/>
      <c r="K16" s="79"/>
      <c r="L16" s="66"/>
      <c r="N16" s="87"/>
      <c r="O16" s="71"/>
    </row>
    <row r="17" spans="1:15" ht="27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4" t="s">
        <v>141</v>
      </c>
      <c r="B18" s="855"/>
      <c r="C18" s="856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1500</v>
      </c>
      <c r="I18" s="113">
        <f>'1'!I18</f>
        <v>65</v>
      </c>
      <c r="J18" s="175">
        <f>H18/DAY(B2)</f>
        <v>115.38461538461539</v>
      </c>
      <c r="K18" s="79"/>
      <c r="L18" s="66"/>
      <c r="N18" s="87"/>
      <c r="O18" s="71"/>
    </row>
    <row r="19" spans="1:15" ht="27.75" customHeight="1" x14ac:dyDescent="0.5">
      <c r="A19" s="854" t="s">
        <v>69</v>
      </c>
      <c r="B19" s="855"/>
      <c r="C19" s="856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683</v>
      </c>
      <c r="I19" s="335"/>
      <c r="J19" s="175">
        <f>H19/DAY(B2)</f>
        <v>52.53846153846154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2183</v>
      </c>
      <c r="I20" s="336">
        <f>I18-J20</f>
        <v>-102.92307692307693</v>
      </c>
      <c r="J20" s="175">
        <f>H20/DAY(B2)</f>
        <v>167.92307692307693</v>
      </c>
      <c r="K20" s="79"/>
      <c r="L20" s="66"/>
      <c r="N20" s="87"/>
      <c r="O20" s="71"/>
    </row>
    <row r="21" spans="1:15" ht="27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2224260</v>
      </c>
      <c r="I27" s="138"/>
      <c r="J27" s="175">
        <f>H27/DAY(B2)</f>
        <v>171096.92307692306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595920</v>
      </c>
      <c r="I28" s="140"/>
      <c r="J28" s="175">
        <f>H28/DAY(B2)</f>
        <v>45840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99718</v>
      </c>
      <c r="I30" s="140"/>
      <c r="J30" s="175">
        <f>H30/DAY(B2)</f>
        <v>7670.6153846153848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120000</v>
      </c>
      <c r="I31" s="140"/>
      <c r="J31" s="175">
        <f>H31/DAY(B2)</f>
        <v>9230.7692307692305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3039898</v>
      </c>
      <c r="I32" s="144"/>
      <c r="J32" s="175">
        <f>H32/DAY(B2)</f>
        <v>233838.30769230769</v>
      </c>
      <c r="K32" s="63"/>
      <c r="L32" s="89"/>
      <c r="N32" s="87"/>
      <c r="O32" s="71"/>
    </row>
    <row r="33" spans="1:15" ht="27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23041</v>
      </c>
      <c r="I35" s="95"/>
      <c r="J35" s="175">
        <f>H35/DAY(B2)</f>
        <v>1772.3846153846155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9567</v>
      </c>
      <c r="I36" s="95"/>
      <c r="J36" s="175">
        <f>H36/DAY(B2)</f>
        <v>735.92307692307691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19533</v>
      </c>
      <c r="I37" s="95"/>
      <c r="J37" s="175">
        <f>H37/DAY(B2)</f>
        <v>1502.5384615384614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20920</v>
      </c>
      <c r="I38" s="95"/>
      <c r="J38" s="175">
        <f>H38/DAY(B2)</f>
        <v>1609.2307692307693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34202</v>
      </c>
      <c r="I39" s="95"/>
      <c r="J39" s="175">
        <f>H39/DAY(B2)</f>
        <v>2630.9230769230771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5795</v>
      </c>
      <c r="I40" s="95"/>
      <c r="J40" s="175">
        <f>H40/DAY(B2)</f>
        <v>445.76923076923077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29468</v>
      </c>
      <c r="I43" s="95"/>
      <c r="J43" s="175">
        <f>H43/DAY(B2)</f>
        <v>2266.7692307692309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142526</v>
      </c>
      <c r="I47" s="95"/>
      <c r="J47" s="175">
        <f>H47/DAY(B2)</f>
        <v>10963.538461538461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19326</v>
      </c>
      <c r="I49" s="95"/>
      <c r="J49" s="175">
        <f>H49/DAY(B2)</f>
        <v>1486.6153846153845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13004</v>
      </c>
      <c r="I50" s="95"/>
      <c r="J50" s="175">
        <f>H50/DAY(B2)</f>
        <v>1000.3076923076923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4435.08</v>
      </c>
      <c r="I54" s="95"/>
      <c r="J54" s="175">
        <f>H54/DAY(B2)</f>
        <v>341.15999999999997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39059</v>
      </c>
      <c r="I55" s="95"/>
      <c r="J55" s="175">
        <f>H55/DAY(B2)</f>
        <v>3004.5384615384614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1896.6300000000047</v>
      </c>
      <c r="I58" s="95"/>
      <c r="J58" s="175">
        <f>H58/DAY(B2)</f>
        <v>145.89461538461575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77721.170000000013</v>
      </c>
      <c r="I59" s="95">
        <f>G7-G60</f>
        <v>979</v>
      </c>
      <c r="J59" s="175">
        <f>H59/DAY(B2)</f>
        <v>5978.5515384615392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220247.16999999998</v>
      </c>
      <c r="I60" s="95">
        <f>G13-G60</f>
        <v>507</v>
      </c>
      <c r="J60" s="175">
        <f>H60/DAY(B2)</f>
        <v>16942.09</v>
      </c>
      <c r="K60" s="79"/>
      <c r="L60" s="66"/>
      <c r="N60" s="87"/>
      <c r="O60" s="71"/>
    </row>
    <row r="61" spans="1:15" s="68" customFormat="1" ht="27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4" t="s">
        <v>198</v>
      </c>
      <c r="B62" s="855"/>
      <c r="C62" s="856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769</v>
      </c>
      <c r="I62" s="118"/>
      <c r="J62" s="175">
        <f>H62/DAY(B2)</f>
        <v>59.153846153846153</v>
      </c>
      <c r="K62" s="80"/>
      <c r="L62" s="66"/>
      <c r="N62" s="87"/>
      <c r="O62" s="71"/>
    </row>
    <row r="63" spans="1:15" ht="27.75" customHeight="1" x14ac:dyDescent="0.5">
      <c r="A63" s="854" t="s">
        <v>199</v>
      </c>
      <c r="B63" s="855"/>
      <c r="C63" s="856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1374</v>
      </c>
      <c r="I63" s="118"/>
      <c r="J63" s="175">
        <f>H63/DAY(B2)</f>
        <v>105.69230769230769</v>
      </c>
      <c r="K63" s="69"/>
      <c r="L63" s="66"/>
      <c r="N63" s="87"/>
      <c r="O63" s="71"/>
    </row>
    <row r="64" spans="1:15" ht="27.75" customHeight="1" x14ac:dyDescent="0.5">
      <c r="A64" s="863" t="s">
        <v>200</v>
      </c>
      <c r="B64" s="864"/>
      <c r="C64" s="865"/>
      <c r="D64" s="151"/>
      <c r="E64" s="95">
        <f>'12'!F64</f>
        <v>0</v>
      </c>
      <c r="F64" s="122"/>
      <c r="G64" s="112">
        <f>G62+G63</f>
        <v>147</v>
      </c>
      <c r="H64" s="99">
        <f>G64+'12'!H64</f>
        <v>2143</v>
      </c>
      <c r="I64" s="118"/>
      <c r="J64" s="175">
        <f>H64/DAY(B2)</f>
        <v>164.84615384615384</v>
      </c>
      <c r="K64" s="69"/>
      <c r="L64" s="66"/>
      <c r="N64" s="87"/>
      <c r="O64" s="71"/>
    </row>
    <row r="65" spans="1:15" ht="27.75" customHeight="1" x14ac:dyDescent="0.5">
      <c r="A65" s="854" t="s">
        <v>201</v>
      </c>
      <c r="B65" s="855"/>
      <c r="C65" s="856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925</v>
      </c>
      <c r="I65" s="118"/>
      <c r="J65" s="175">
        <f>H65/DAY(B2)</f>
        <v>71.15384615384616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228</v>
      </c>
      <c r="I66" s="118"/>
      <c r="J66" s="175">
        <f>H66/DAY(B2)</f>
        <v>17.53846153846154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308</v>
      </c>
      <c r="I67" s="118"/>
      <c r="J67" s="175">
        <f>H67/DAY(B2)</f>
        <v>23.692307692307693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328</v>
      </c>
      <c r="I68" s="118"/>
      <c r="J68" s="175">
        <f>H68/DAY(B2)</f>
        <v>25.23076923076923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132</v>
      </c>
      <c r="I69" s="118"/>
      <c r="J69" s="175">
        <f>H69/DAY(B2)</f>
        <v>10.153846153846153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102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7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131</v>
      </c>
      <c r="H71" s="99">
        <f>G71+'12'!H71</f>
        <v>2023</v>
      </c>
      <c r="I71" s="154"/>
      <c r="J71" s="175">
        <f>H71/DAY(B2)</f>
        <v>155.61538461538461</v>
      </c>
      <c r="K71" s="69"/>
      <c r="L71" s="66"/>
      <c r="N71" s="87"/>
      <c r="O71" s="71"/>
    </row>
    <row r="72" spans="1:15" s="88" customFormat="1" ht="27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4" t="s">
        <v>220</v>
      </c>
      <c r="B74" s="855"/>
      <c r="C74" s="856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3798</v>
      </c>
      <c r="I74" s="154"/>
      <c r="J74" s="175">
        <f>H74/DAY(B2)</f>
        <v>292.15384615384613</v>
      </c>
      <c r="K74" s="69"/>
      <c r="L74" s="66"/>
      <c r="N74" s="87"/>
      <c r="O74" s="71"/>
    </row>
    <row r="75" spans="1:15" ht="27.75" customHeight="1" x14ac:dyDescent="0.5">
      <c r="A75" s="854" t="s">
        <v>221</v>
      </c>
      <c r="B75" s="855"/>
      <c r="C75" s="85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51" t="s">
        <v>222</v>
      </c>
      <c r="B76" s="852"/>
      <c r="C76" s="853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1110</v>
      </c>
      <c r="I76" s="154"/>
      <c r="J76" s="175">
        <f>H76/DAY(B2)</f>
        <v>85.384615384615387</v>
      </c>
      <c r="K76" s="69"/>
      <c r="L76" s="66"/>
      <c r="N76" s="87"/>
      <c r="O76" s="71"/>
    </row>
    <row r="77" spans="1:15" ht="27.75" customHeight="1" x14ac:dyDescent="0.5">
      <c r="A77" s="851" t="s">
        <v>223</v>
      </c>
      <c r="B77" s="852"/>
      <c r="C77" s="853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402</v>
      </c>
      <c r="I77" s="154"/>
      <c r="J77" s="175">
        <f>H77/DAY(B2)</f>
        <v>30.923076923076923</v>
      </c>
      <c r="K77" s="69"/>
      <c r="L77" s="66"/>
      <c r="N77" s="87"/>
      <c r="O77" s="71"/>
    </row>
    <row r="78" spans="1:15" ht="27.75" customHeight="1" x14ac:dyDescent="0.5">
      <c r="A78" s="851" t="s">
        <v>224</v>
      </c>
      <c r="B78" s="852"/>
      <c r="C78" s="853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10</v>
      </c>
      <c r="I78" s="118"/>
      <c r="J78" s="175">
        <f>H78/DAY(B2)</f>
        <v>0.76923076923076927</v>
      </c>
      <c r="K78" s="69"/>
      <c r="L78" s="66"/>
      <c r="N78" s="87"/>
      <c r="O78" s="71"/>
    </row>
    <row r="79" spans="1:15" s="57" customFormat="1" ht="27.75" customHeight="1" x14ac:dyDescent="0.5">
      <c r="A79" s="851" t="s">
        <v>225</v>
      </c>
      <c r="B79" s="852"/>
      <c r="C79" s="853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6139.8000000000029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-9.9999999997635314E-3</v>
      </c>
      <c r="I85" s="118">
        <f>G82+G83+G84+G85</f>
        <v>0</v>
      </c>
      <c r="J85" s="175">
        <f>H85/DAY(B2)</f>
        <v>-7.6923076921257935E-4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313</v>
      </c>
      <c r="I86" s="118"/>
      <c r="J86" s="175">
        <f>H86/DAY(B2)</f>
        <v>24.076923076923077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12.270000000000437</v>
      </c>
      <c r="I88" s="118">
        <f>G86+G87+G88</f>
        <v>25.270000000000437</v>
      </c>
      <c r="J88" s="175">
        <f>H88/DAY(B2)</f>
        <v>0.94384615384618742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78.180000000000291</v>
      </c>
      <c r="I89" s="118"/>
      <c r="J89" s="175">
        <f>H89/DAY(B2)</f>
        <v>6.0138461538461758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70.30000000000291</v>
      </c>
      <c r="I90" s="118">
        <f>G89+G90</f>
        <v>14.310000000008586</v>
      </c>
      <c r="J90" s="175">
        <f>H90/DAY(B2)</f>
        <v>5.4076923076925318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133.31999999999971</v>
      </c>
      <c r="I92" s="165"/>
      <c r="J92" s="175">
        <f>H92/DAY(B2)</f>
        <v>10.255384615384592</v>
      </c>
      <c r="O92" s="71"/>
    </row>
    <row r="93" spans="1:15" ht="27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4761</v>
      </c>
      <c r="H94" s="99">
        <f>G94+'12'!H94</f>
        <v>71835</v>
      </c>
      <c r="I94" s="118"/>
      <c r="J94" s="175">
        <f>H94/DAY(B2)</f>
        <v>5525.7692307692305</v>
      </c>
      <c r="K94" s="69"/>
      <c r="L94" s="66"/>
      <c r="O94" s="71"/>
    </row>
    <row r="95" spans="1:15" ht="27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0.28339285714285717</v>
      </c>
      <c r="H95" s="99">
        <f>G95+'12'!H95</f>
        <v>3.8430561771269209</v>
      </c>
      <c r="I95" s="167"/>
      <c r="J95" s="175">
        <f>H95/DAY(B2)</f>
        <v>0.29561970593284009</v>
      </c>
      <c r="K95" s="69"/>
      <c r="L95" s="66"/>
      <c r="O95" s="71"/>
    </row>
    <row r="96" spans="1:15" ht="27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2861</v>
      </c>
      <c r="H96" s="99">
        <f>G96+'12'!H96</f>
        <v>39059.46</v>
      </c>
      <c r="I96" s="118"/>
      <c r="J96" s="175">
        <f>H96/DAY(B2)</f>
        <v>3004.5738461538463</v>
      </c>
      <c r="K96" s="69"/>
      <c r="L96" s="66"/>
      <c r="O96" s="71"/>
    </row>
    <row r="97" spans="1:15" ht="27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0.17029761904761906</v>
      </c>
      <c r="H97" s="99">
        <f>G97+'12'!H97</f>
        <v>2.0973387527004212</v>
      </c>
      <c r="I97" s="167"/>
      <c r="J97" s="175">
        <f>H97/DAY(B2)</f>
        <v>0.16133375020772472</v>
      </c>
      <c r="K97" s="69"/>
      <c r="L97" s="66"/>
      <c r="O97" s="71"/>
    </row>
    <row r="98" spans="1:15" ht="27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2404</v>
      </c>
      <c r="H98" s="99">
        <f>G98+'12'!H98</f>
        <v>34202</v>
      </c>
      <c r="I98" s="168"/>
      <c r="J98" s="175">
        <f>H98/DAY(B2)</f>
        <v>2630.9230769230771</v>
      </c>
      <c r="K98" s="69"/>
      <c r="L98" s="66"/>
      <c r="O98" s="71"/>
    </row>
    <row r="99" spans="1:15" ht="27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0.14309523809523811</v>
      </c>
      <c r="H99" s="99">
        <f>G99+'12'!H99</f>
        <v>1.8374185725200947</v>
      </c>
      <c r="I99" s="168"/>
      <c r="J99" s="175">
        <f>H99/DAY(B2)</f>
        <v>0.14133989019385343</v>
      </c>
      <c r="O99" s="71"/>
    </row>
    <row r="100" spans="1:15" ht="27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1543</v>
      </c>
      <c r="H100" s="99">
        <f>G100+'12'!H100</f>
        <v>20920</v>
      </c>
      <c r="I100" s="118"/>
      <c r="J100" s="175">
        <f>H100/DAY(B2)</f>
        <v>1609.2307692307693</v>
      </c>
      <c r="K100" s="70"/>
      <c r="O100" s="71"/>
    </row>
    <row r="101" spans="1:15" ht="27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1.1238906582568537</v>
      </c>
      <c r="I101" s="168"/>
      <c r="J101" s="175">
        <f>H101/DAY(B2)</f>
        <v>8.6453127558219517E-2</v>
      </c>
      <c r="O101" s="71"/>
    </row>
    <row r="102" spans="1:15" ht="27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1424</v>
      </c>
      <c r="H102" s="99">
        <f>G102+'12'!H102</f>
        <v>22571</v>
      </c>
      <c r="I102" s="168"/>
      <c r="J102" s="175">
        <f>H102/DAY(B2)</f>
        <v>1736.2307692307693</v>
      </c>
      <c r="O102" s="71"/>
    </row>
    <row r="103" spans="1:15" ht="27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1.206947494454425</v>
      </c>
      <c r="I103" s="118"/>
      <c r="J103" s="175">
        <f>H103/DAY(B2)</f>
        <v>9.2842114958032684E-2</v>
      </c>
      <c r="O103" s="71"/>
    </row>
    <row r="104" spans="1:15" ht="27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1471</v>
      </c>
      <c r="H104" s="99">
        <f>G104+'12'!H104</f>
        <v>19533</v>
      </c>
      <c r="I104" s="118"/>
      <c r="J104" s="175">
        <f>H104/DAY(B2)</f>
        <v>1502.5384615384614</v>
      </c>
      <c r="O104" s="71"/>
    </row>
    <row r="105" spans="1:15" ht="27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1.0509026037208753</v>
      </c>
      <c r="I105" s="187"/>
      <c r="J105" s="188">
        <f>H105/DAY(B2)</f>
        <v>8.0838661824682717E-2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7.75" customHeight="1" x14ac:dyDescent="0.5">
      <c r="A109" s="871"/>
      <c r="B109" s="871"/>
    </row>
    <row r="110" spans="1:15" ht="27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33" t="s">
        <v>252</v>
      </c>
      <c r="B112" s="834"/>
      <c r="C112" s="835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970</v>
      </c>
      <c r="I112" s="165"/>
      <c r="J112" s="328">
        <f>H112/DAY(B2)</f>
        <v>74.615384615384613</v>
      </c>
    </row>
    <row r="113" spans="1:18" ht="27.75" customHeight="1" x14ac:dyDescent="0.5">
      <c r="A113" s="833" t="s">
        <v>253</v>
      </c>
      <c r="B113" s="834"/>
      <c r="C113" s="835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5855</v>
      </c>
      <c r="I113" s="165"/>
      <c r="J113" s="328">
        <f>H113/DAY(B2)</f>
        <v>450.38461538461536</v>
      </c>
    </row>
    <row r="114" spans="1:18" ht="27.75" customHeight="1" x14ac:dyDescent="0.5">
      <c r="A114" s="833" t="s">
        <v>254</v>
      </c>
      <c r="B114" s="834"/>
      <c r="C114" s="835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3450</v>
      </c>
      <c r="I114" s="165"/>
      <c r="J114" s="328">
        <f>H114/DAY(B2)</f>
        <v>265.38461538461536</v>
      </c>
    </row>
    <row r="115" spans="1:18" ht="27.75" customHeight="1" x14ac:dyDescent="0.5">
      <c r="A115" s="833" t="s">
        <v>255</v>
      </c>
      <c r="B115" s="834"/>
      <c r="C115" s="835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132</v>
      </c>
      <c r="I115" s="165"/>
      <c r="J115" s="328">
        <f>H115/DAY(B2)</f>
        <v>10.153846153846153</v>
      </c>
    </row>
    <row r="116" spans="1:18" ht="27.75" customHeight="1" x14ac:dyDescent="0.5">
      <c r="A116" s="840" t="s">
        <v>96</v>
      </c>
      <c r="B116" s="841"/>
      <c r="C116" s="842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33"/>
      <c r="R116" s="835"/>
    </row>
    <row r="117" spans="1:18" ht="27.75" customHeight="1" x14ac:dyDescent="0.5">
      <c r="A117" s="840" t="s">
        <v>184</v>
      </c>
      <c r="B117" s="841"/>
      <c r="C117" s="842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319</v>
      </c>
      <c r="I117" s="165"/>
      <c r="J117" s="328">
        <f>H117/DAY(B2)</f>
        <v>24.53846153846154</v>
      </c>
      <c r="Q117" s="833"/>
      <c r="R117" s="835"/>
    </row>
    <row r="118" spans="1:18" ht="27.75" customHeight="1" x14ac:dyDescent="0.5">
      <c r="A118" s="832" t="s">
        <v>97</v>
      </c>
      <c r="B118" s="832"/>
      <c r="C118" s="832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4692</v>
      </c>
      <c r="I118" s="165"/>
      <c r="J118" s="328">
        <f>H118/DAY(B2)</f>
        <v>360.92307692307691</v>
      </c>
      <c r="Q118" s="833"/>
      <c r="R118" s="835"/>
    </row>
    <row r="119" spans="1:18" ht="27.75" customHeight="1" x14ac:dyDescent="0.5">
      <c r="A119" s="832" t="s">
        <v>98</v>
      </c>
      <c r="B119" s="832"/>
      <c r="C119" s="832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5478</v>
      </c>
      <c r="I119" s="165"/>
      <c r="J119" s="328">
        <f>H119/DAY(B2)</f>
        <v>421.38461538461536</v>
      </c>
    </row>
    <row r="120" spans="1:18" ht="27.75" customHeight="1" x14ac:dyDescent="0.5">
      <c r="A120" s="832" t="s">
        <v>99</v>
      </c>
      <c r="B120" s="832"/>
      <c r="C120" s="832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5369</v>
      </c>
      <c r="I120" s="165"/>
      <c r="J120" s="328">
        <f>H120/DAY(B2)</f>
        <v>413</v>
      </c>
    </row>
    <row r="121" spans="1:18" ht="27.75" customHeight="1" x14ac:dyDescent="0.5">
      <c r="A121" s="832" t="s">
        <v>100</v>
      </c>
      <c r="B121" s="832"/>
      <c r="C121" s="832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9238</v>
      </c>
      <c r="I121" s="165"/>
      <c r="J121" s="328">
        <f>H121/DAY(B2)</f>
        <v>710.61538461538464</v>
      </c>
    </row>
    <row r="122" spans="1:18" ht="27.75" customHeight="1" x14ac:dyDescent="0.5">
      <c r="A122" s="832" t="s">
        <v>101</v>
      </c>
      <c r="B122" s="832"/>
      <c r="C122" s="832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2758</v>
      </c>
      <c r="I122" s="165"/>
      <c r="J122" s="328">
        <f>H122/DAY(B2)</f>
        <v>212.15384615384616</v>
      </c>
    </row>
    <row r="123" spans="1:18" ht="27.75" customHeight="1" x14ac:dyDescent="0.5">
      <c r="A123" s="832" t="s">
        <v>102</v>
      </c>
      <c r="B123" s="832"/>
      <c r="C123" s="832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4058</v>
      </c>
      <c r="I123" s="165"/>
      <c r="J123" s="328">
        <f>H123/DAY(B2)</f>
        <v>312.15384615384613</v>
      </c>
    </row>
    <row r="124" spans="1:18" ht="27.7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33" t="s">
        <v>318</v>
      </c>
      <c r="B128" s="834"/>
      <c r="C128" s="835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4182</v>
      </c>
      <c r="I128" s="165"/>
      <c r="J128" s="328">
        <f>H128/DAY(B2)</f>
        <v>321.69230769230768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2853</v>
      </c>
      <c r="I129" s="165"/>
      <c r="J129" s="328">
        <f>H129/DAY(B2)</f>
        <v>219.46153846153845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7940</v>
      </c>
      <c r="I130" s="165"/>
      <c r="J130" s="328">
        <f>H130/DAY(B2)</f>
        <v>610.76923076923072</v>
      </c>
      <c r="N130" s="240"/>
      <c r="O130" s="241"/>
    </row>
    <row r="131" spans="1:15" ht="27.75" customHeight="1" x14ac:dyDescent="0.5">
      <c r="A131" s="833" t="s">
        <v>321</v>
      </c>
      <c r="B131" s="834"/>
      <c r="C131" s="835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924</v>
      </c>
      <c r="I131" s="165"/>
      <c r="J131" s="328">
        <f>H131/DAY(B2)</f>
        <v>71.07692307692308</v>
      </c>
      <c r="N131" s="240"/>
      <c r="O131" s="241"/>
    </row>
    <row r="132" spans="1:15" ht="27.75" customHeight="1" x14ac:dyDescent="0.5">
      <c r="A132" s="833" t="s">
        <v>322</v>
      </c>
      <c r="B132" s="834"/>
      <c r="C132" s="835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6262</v>
      </c>
      <c r="I132" s="165"/>
      <c r="J132" s="328">
        <f>H132/DAY(B2)</f>
        <v>481.69230769230768</v>
      </c>
    </row>
    <row r="133" spans="1:15" ht="27.75" customHeight="1" x14ac:dyDescent="0.5">
      <c r="A133" s="833" t="s">
        <v>362</v>
      </c>
      <c r="B133" s="834"/>
      <c r="C133" s="835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8621</v>
      </c>
      <c r="I133" s="165"/>
      <c r="J133" s="328">
        <f>H133/DAY(B2)</f>
        <v>663.15384615384619</v>
      </c>
    </row>
    <row r="134" spans="1:15" ht="27.75" customHeight="1" x14ac:dyDescent="0.5">
      <c r="A134" s="833" t="s">
        <v>340</v>
      </c>
      <c r="B134" s="834"/>
      <c r="C134" s="835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7859</v>
      </c>
      <c r="I134" s="165"/>
      <c r="J134" s="328">
        <f>H134/DAY(B2)</f>
        <v>604.53846153846155</v>
      </c>
    </row>
    <row r="135" spans="1:15" ht="27.7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2221</v>
      </c>
      <c r="H135" s="99">
        <f>G135+'12'!H135</f>
        <v>36094</v>
      </c>
      <c r="I135" s="327">
        <f>G135-(G35+G49)</f>
        <v>-529</v>
      </c>
      <c r="J135" s="328">
        <f>H135/DAY(B2)</f>
        <v>2776.4615384615386</v>
      </c>
    </row>
    <row r="136" spans="1:15" ht="27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32" t="s">
        <v>185</v>
      </c>
      <c r="B138" s="832"/>
      <c r="C138" s="832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818</v>
      </c>
      <c r="I138" s="118"/>
      <c r="J138" s="328">
        <f>H138/DAY(B2)</f>
        <v>62.92307692307692</v>
      </c>
    </row>
    <row r="139" spans="1:15" ht="27.75" customHeight="1" x14ac:dyDescent="0.5">
      <c r="A139" s="832" t="s">
        <v>186</v>
      </c>
      <c r="B139" s="832"/>
      <c r="C139" s="832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3</v>
      </c>
      <c r="I139" s="118"/>
      <c r="J139" s="328">
        <f>H139/DAY(B2)</f>
        <v>0.23076923076923078</v>
      </c>
    </row>
    <row r="140" spans="1:15" ht="27.75" customHeight="1" x14ac:dyDescent="0.5">
      <c r="A140" s="832" t="s">
        <v>187</v>
      </c>
      <c r="B140" s="832"/>
      <c r="C140" s="832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16</v>
      </c>
      <c r="I140" s="118"/>
      <c r="J140" s="328">
        <f>H140/DAY(B2)</f>
        <v>1.2307692307692308</v>
      </c>
    </row>
    <row r="141" spans="1:15" ht="27.75" customHeight="1" x14ac:dyDescent="0.5">
      <c r="A141" s="813" t="s">
        <v>188</v>
      </c>
      <c r="B141" s="813"/>
      <c r="C141" s="813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2265</v>
      </c>
      <c r="I141" s="118"/>
      <c r="J141" s="328">
        <f>H141/DAY(B2)</f>
        <v>174.23076923076923</v>
      </c>
    </row>
    <row r="142" spans="1:15" ht="27.75" customHeight="1" x14ac:dyDescent="0.5">
      <c r="A142" s="813" t="s">
        <v>189</v>
      </c>
      <c r="B142" s="813"/>
      <c r="C142" s="813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899</v>
      </c>
      <c r="I142" s="140"/>
      <c r="J142" s="328">
        <f>H142/DAY(B2)</f>
        <v>69.15384615384616</v>
      </c>
    </row>
    <row r="143" spans="1:15" ht="27.75" customHeight="1" x14ac:dyDescent="0.5">
      <c r="A143" s="832" t="s">
        <v>91</v>
      </c>
      <c r="B143" s="832"/>
      <c r="C143" s="832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309</v>
      </c>
      <c r="I143" s="140"/>
      <c r="J143" s="328">
        <f>H143/DAY(B2)</f>
        <v>23.76923076923077</v>
      </c>
    </row>
    <row r="144" spans="1:15" ht="27.75" customHeight="1" x14ac:dyDescent="0.5">
      <c r="A144" s="813" t="s">
        <v>90</v>
      </c>
      <c r="B144" s="813"/>
      <c r="C144" s="813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2927</v>
      </c>
      <c r="I144" s="140"/>
      <c r="J144" s="328">
        <f>H144/DAY(B2)</f>
        <v>225.15384615384616</v>
      </c>
    </row>
    <row r="145" spans="1:10" ht="27.75" customHeight="1" x14ac:dyDescent="0.5">
      <c r="A145" s="832" t="s">
        <v>190</v>
      </c>
      <c r="B145" s="832"/>
      <c r="C145" s="832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197</v>
      </c>
      <c r="I145" s="140"/>
      <c r="J145" s="328">
        <f>H145/DAY(B2)</f>
        <v>15.153846153846153</v>
      </c>
    </row>
    <row r="146" spans="1:10" ht="27.75" customHeight="1" x14ac:dyDescent="0.5">
      <c r="A146" s="867" t="s">
        <v>191</v>
      </c>
      <c r="B146" s="852"/>
      <c r="C146" s="853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5280</v>
      </c>
      <c r="I146" s="140"/>
      <c r="J146" s="328">
        <f>H146/DAY(B2)</f>
        <v>406.15384615384613</v>
      </c>
    </row>
    <row r="147" spans="1:10" ht="27.75" customHeight="1" x14ac:dyDescent="0.5">
      <c r="A147" s="813" t="s">
        <v>192</v>
      </c>
      <c r="B147" s="813"/>
      <c r="C147" s="813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4845</v>
      </c>
      <c r="I147" s="140"/>
      <c r="J147" s="328">
        <f>H147/DAY(B2)</f>
        <v>372.69230769230768</v>
      </c>
    </row>
    <row r="148" spans="1:10" ht="27.75" customHeight="1" x14ac:dyDescent="0.5">
      <c r="A148" s="814" t="s">
        <v>193</v>
      </c>
      <c r="B148" s="815"/>
      <c r="C148" s="816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3136.8800000000047</v>
      </c>
      <c r="I148" s="124"/>
      <c r="J148" s="328">
        <f>H148/DAY(B2)</f>
        <v>241.29846153846191</v>
      </c>
    </row>
    <row r="149" spans="1:10" ht="27.75" customHeight="1" x14ac:dyDescent="0.5">
      <c r="A149" s="814" t="s">
        <v>336</v>
      </c>
      <c r="B149" s="815"/>
      <c r="C149" s="816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5332</v>
      </c>
      <c r="I149" s="119"/>
      <c r="J149" s="328">
        <f>H149/DAY(B2)</f>
        <v>410.15384615384613</v>
      </c>
    </row>
    <row r="150" spans="1:10" ht="27.75" customHeight="1" x14ac:dyDescent="0.5">
      <c r="A150" s="814" t="s">
        <v>337</v>
      </c>
      <c r="B150" s="815"/>
      <c r="C150" s="816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2847</v>
      </c>
      <c r="I150" s="119"/>
      <c r="J150" s="328">
        <f>H150/DAY(B2)</f>
        <v>219</v>
      </c>
    </row>
    <row r="151" spans="1:10" ht="27.75" customHeight="1" x14ac:dyDescent="0.5">
      <c r="A151" s="814" t="s">
        <v>338</v>
      </c>
      <c r="B151" s="815"/>
      <c r="C151" s="816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3068</v>
      </c>
      <c r="I151" s="119"/>
      <c r="J151" s="328">
        <f>H151/DAY(B2)</f>
        <v>236</v>
      </c>
    </row>
    <row r="152" spans="1:10" ht="27.75" customHeight="1" x14ac:dyDescent="0.5">
      <c r="A152" s="814" t="s">
        <v>339</v>
      </c>
      <c r="B152" s="815"/>
      <c r="C152" s="816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236</v>
      </c>
      <c r="I152" s="119"/>
      <c r="J152" s="328">
        <f>H152/DAY(B2)</f>
        <v>18.153846153846153</v>
      </c>
    </row>
    <row r="153" spans="1:10" ht="27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27.75" customHeight="1" x14ac:dyDescent="0.55000000000000004">
      <c r="A155" s="813" t="s">
        <v>345</v>
      </c>
      <c r="B155" s="813"/>
      <c r="C155" s="813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7197</v>
      </c>
      <c r="I155" s="364"/>
      <c r="J155" s="328">
        <f>H155/DAY(B2)</f>
        <v>553.61538461538464</v>
      </c>
    </row>
    <row r="156" spans="1:10" ht="27.75" customHeight="1" x14ac:dyDescent="0.5">
      <c r="A156" s="813" t="s">
        <v>347</v>
      </c>
      <c r="B156" s="813"/>
      <c r="C156" s="813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635</v>
      </c>
      <c r="I156" s="165"/>
      <c r="J156" s="328">
        <f>H156/DAY(B2)</f>
        <v>48.846153846153847</v>
      </c>
    </row>
    <row r="157" spans="1:10" ht="27.75" customHeight="1" x14ac:dyDescent="0.5">
      <c r="A157" s="814" t="s">
        <v>364</v>
      </c>
      <c r="B157" s="815"/>
      <c r="C157" s="816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 x14ac:dyDescent="0.5">
      <c r="A158" s="814" t="s">
        <v>365</v>
      </c>
      <c r="B158" s="815"/>
      <c r="C158" s="816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 x14ac:dyDescent="0.5">
      <c r="A159" s="897"/>
      <c r="B159" s="898"/>
      <c r="C159" s="899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264.84000000002561</v>
      </c>
      <c r="I161" s="236"/>
      <c r="J161" s="239">
        <f>H161/DAY(B2)</f>
        <v>20.372307692309661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354</v>
      </c>
      <c r="I162" s="236"/>
      <c r="J162" s="239">
        <f>H162/DAY(B2)</f>
        <v>27.23076923076923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527</v>
      </c>
      <c r="I163" s="236"/>
      <c r="J163" s="239">
        <f>H163/DAY(B2)</f>
        <v>40.53846153846154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18</v>
      </c>
      <c r="I164" s="236"/>
      <c r="J164" s="239">
        <f>H164/DAY(B2)</f>
        <v>1.3846153846153846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84</v>
      </c>
      <c r="I165" s="236"/>
      <c r="J165" s="239">
        <f>H165/DAY(B2)</f>
        <v>6.4615384615384617</v>
      </c>
    </row>
    <row r="166" spans="1:10" ht="27.75" customHeight="1" x14ac:dyDescent="0.5">
      <c r="A166" s="822"/>
      <c r="B166" s="82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22"/>
      <c r="B167" s="82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22"/>
      <c r="B168" s="82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6" t="s">
        <v>209</v>
      </c>
      <c r="B173" s="827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 x14ac:dyDescent="0.5">
      <c r="A174" s="826" t="s">
        <v>75</v>
      </c>
      <c r="B174" s="827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123</v>
      </c>
      <c r="I174" s="155"/>
      <c r="J174" s="178">
        <f>H174/DAY(B2)</f>
        <v>9.4615384615384617</v>
      </c>
    </row>
    <row r="175" spans="1:10" ht="27.75" customHeight="1" x14ac:dyDescent="0.5">
      <c r="A175" s="826" t="s">
        <v>76</v>
      </c>
      <c r="B175" s="866"/>
      <c r="C175" s="827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119</v>
      </c>
      <c r="I175" s="155"/>
      <c r="J175" s="178">
        <f>H175/DAY(B2)</f>
        <v>9.1538461538461533</v>
      </c>
    </row>
    <row r="176" spans="1:10" ht="27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G176+'12'!H176</f>
        <v>242</v>
      </c>
      <c r="I176" s="155"/>
      <c r="J176" s="178">
        <f>H176/DAY(B2)</f>
        <v>18.615384615384617</v>
      </c>
    </row>
    <row r="177" spans="1:15" ht="27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26" t="s">
        <v>210</v>
      </c>
      <c r="B178" s="827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762</v>
      </c>
      <c r="I178" s="155"/>
      <c r="J178" s="178">
        <f>H178/DAY(B2)</f>
        <v>58.615384615384613</v>
      </c>
    </row>
    <row r="179" spans="1:15" ht="27.75" customHeight="1" x14ac:dyDescent="0.5">
      <c r="A179" s="826" t="s">
        <v>211</v>
      </c>
      <c r="B179" s="827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285</v>
      </c>
      <c r="I179" s="155"/>
      <c r="J179" s="178">
        <f>H179/DAY(B2)</f>
        <v>21.923076923076923</v>
      </c>
    </row>
    <row r="180" spans="1:15" ht="27.75" customHeight="1" x14ac:dyDescent="0.5">
      <c r="A180" s="826" t="s">
        <v>212</v>
      </c>
      <c r="B180" s="827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89</v>
      </c>
      <c r="I180" s="155"/>
      <c r="J180" s="178">
        <f>H180/DAY(B2)</f>
        <v>6.8461538461538458</v>
      </c>
    </row>
    <row r="181" spans="1:15" ht="27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G181+'12'!H181</f>
        <v>1136</v>
      </c>
      <c r="I181" s="155"/>
      <c r="J181" s="178">
        <f>H181/DAY(B2)</f>
        <v>87.384615384615387</v>
      </c>
    </row>
    <row r="182" spans="1:15" ht="27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26" t="s">
        <v>214</v>
      </c>
      <c r="B183" s="827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161</v>
      </c>
      <c r="I183" s="155"/>
      <c r="J183" s="178">
        <f>H183/DAY(B2)</f>
        <v>12.384615384615385</v>
      </c>
    </row>
    <row r="184" spans="1:15" ht="27.75" customHeight="1" x14ac:dyDescent="0.5">
      <c r="A184" s="826" t="s">
        <v>215</v>
      </c>
      <c r="B184" s="827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88</v>
      </c>
      <c r="I184" s="155"/>
      <c r="J184" s="178">
        <f>H184/DAY(B2)</f>
        <v>6.7692307692307692</v>
      </c>
      <c r="O184" s="65" t="s">
        <v>366</v>
      </c>
    </row>
    <row r="185" spans="1:15" ht="27.75" customHeight="1" x14ac:dyDescent="0.5">
      <c r="A185" s="826" t="s">
        <v>216</v>
      </c>
      <c r="B185" s="82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13</v>
      </c>
      <c r="H186" s="99">
        <f>G186+'12'!H186</f>
        <v>249</v>
      </c>
      <c r="I186" s="157"/>
      <c r="J186" s="178">
        <f>H186/DAY(B2)</f>
        <v>19.153846153846153</v>
      </c>
    </row>
    <row r="187" spans="1:15" ht="27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107</v>
      </c>
      <c r="H187" s="99">
        <f>G187+'12'!H187</f>
        <v>1452</v>
      </c>
      <c r="I187" s="158"/>
      <c r="J187" s="179">
        <f>H187/DAY(B2)</f>
        <v>111.69230769230769</v>
      </c>
    </row>
    <row r="188" spans="1:15" ht="27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111</v>
      </c>
      <c r="H188" s="99">
        <f>G188+'12'!H188</f>
        <v>1695</v>
      </c>
      <c r="I188" s="158"/>
      <c r="J188" s="179">
        <f>H188/DAY(B2)</f>
        <v>130.38461538461539</v>
      </c>
    </row>
    <row r="189" spans="1:15" ht="27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78</v>
      </c>
      <c r="H189" s="99">
        <f>G189+'12'!H189</f>
        <v>1136</v>
      </c>
      <c r="I189" s="158"/>
      <c r="J189" s="179">
        <f>H189/DAY(B2)</f>
        <v>87.384615384615387</v>
      </c>
    </row>
    <row r="190" spans="1:15" ht="27.75" customHeight="1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39" zoomScale="55" zoomScaleSheetLayoutView="55" workbookViewId="0">
      <selection activeCell="G159" sqref="G15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259862</v>
      </c>
      <c r="I7" s="113">
        <f>'1'!I7</f>
        <v>12000</v>
      </c>
      <c r="J7" s="175">
        <f>H7/DAY(B2)</f>
        <v>18561.571428571428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264570</v>
      </c>
      <c r="I8" s="116"/>
      <c r="J8" s="175">
        <f>H8/DAY(B2)</f>
        <v>18897.857142857141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54881</v>
      </c>
      <c r="F9" s="601">
        <v>65618</v>
      </c>
      <c r="G9" s="112">
        <f>F9-E9</f>
        <v>10737</v>
      </c>
      <c r="H9" s="99">
        <f>G9+'13'!H9</f>
        <v>164123</v>
      </c>
      <c r="I9" s="124">
        <f>I7-J7</f>
        <v>-6561.5714285714275</v>
      </c>
      <c r="J9" s="175">
        <f>H9/DAY(B2)</f>
        <v>11723.071428571429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88551</v>
      </c>
      <c r="I10" s="282"/>
      <c r="J10" s="175">
        <f>H10/DAY(B2)</f>
        <v>6325.0714285714284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233208.74999999988</v>
      </c>
      <c r="I13" s="120">
        <f>G7-G13</f>
        <v>464</v>
      </c>
      <c r="J13" s="175">
        <f>H13/DAY(B2)</f>
        <v>16657.767857142848</v>
      </c>
      <c r="K13" s="79"/>
      <c r="L13" s="66"/>
      <c r="N13" s="87"/>
      <c r="O13" s="71"/>
    </row>
    <row r="14" spans="1:15" ht="27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12205</v>
      </c>
      <c r="I15" s="113">
        <f>'1'!I15</f>
        <v>800</v>
      </c>
      <c r="J15" s="175">
        <f>H15/DAY(B2)</f>
        <v>871.78571428571433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-71.785714285714334</v>
      </c>
      <c r="J16" s="176"/>
      <c r="K16" s="79"/>
      <c r="L16" s="66"/>
      <c r="N16" s="87"/>
      <c r="O16" s="71"/>
    </row>
    <row r="17" spans="1:15" ht="27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4" t="s">
        <v>141</v>
      </c>
      <c r="B18" s="855"/>
      <c r="C18" s="856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1560</v>
      </c>
      <c r="I18" s="113">
        <f>'1'!I18</f>
        <v>65</v>
      </c>
      <c r="J18" s="175">
        <f>H18/DAY(B2)</f>
        <v>111.42857142857143</v>
      </c>
      <c r="K18" s="79"/>
      <c r="L18" s="66"/>
      <c r="N18" s="87"/>
      <c r="O18" s="71"/>
    </row>
    <row r="19" spans="1:15" ht="27.75" customHeight="1" x14ac:dyDescent="0.5">
      <c r="A19" s="854" t="s">
        <v>69</v>
      </c>
      <c r="B19" s="855"/>
      <c r="C19" s="856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737</v>
      </c>
      <c r="I19" s="335"/>
      <c r="J19" s="175">
        <f>H19/DAY(B2)</f>
        <v>52.642857142857146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2297</v>
      </c>
      <c r="I20" s="336">
        <f>I18-J20</f>
        <v>-99.071428571428584</v>
      </c>
      <c r="J20" s="175">
        <f>H20/DAY(B2)</f>
        <v>164.07142857142858</v>
      </c>
      <c r="K20" s="79"/>
      <c r="L20" s="66"/>
      <c r="N20" s="87"/>
      <c r="O20" s="71"/>
    </row>
    <row r="21" spans="1:15" ht="27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2381130</v>
      </c>
      <c r="I27" s="138"/>
      <c r="J27" s="175">
        <f>H27/DAY(B2)</f>
        <v>170080.71428571429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634660</v>
      </c>
      <c r="I28" s="140"/>
      <c r="J28" s="175">
        <f>H28/DAY(B2)</f>
        <v>45332.857142857145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107602</v>
      </c>
      <c r="I30" s="140"/>
      <c r="J30" s="175">
        <f>H30/DAY(B2)</f>
        <v>7685.8571428571431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124800</v>
      </c>
      <c r="I31" s="140"/>
      <c r="J31" s="175">
        <f>H31/DAY(B2)</f>
        <v>8914.2857142857138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3248192</v>
      </c>
      <c r="I32" s="144"/>
      <c r="J32" s="175">
        <f>H32/DAY(B2)</f>
        <v>232013.71428571429</v>
      </c>
      <c r="K32" s="63"/>
      <c r="L32" s="89"/>
      <c r="N32" s="87"/>
      <c r="O32" s="71"/>
    </row>
    <row r="33" spans="1:15" ht="27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24404</v>
      </c>
      <c r="I35" s="95"/>
      <c r="J35" s="175">
        <f>H35/DAY(B2)</f>
        <v>1743.1428571428571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10194</v>
      </c>
      <c r="I36" s="95"/>
      <c r="J36" s="175">
        <f>H36/DAY(B2)</f>
        <v>728.14285714285711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21042</v>
      </c>
      <c r="I37" s="95"/>
      <c r="J37" s="175">
        <f>H37/DAY(B2)</f>
        <v>1503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22752</v>
      </c>
      <c r="I38" s="95"/>
      <c r="J38" s="175">
        <f>H38/DAY(B2)</f>
        <v>1625.1428571428571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36697</v>
      </c>
      <c r="I39" s="95"/>
      <c r="J39" s="175">
        <f>H39/DAY(B2)</f>
        <v>2621.2142857142858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6401</v>
      </c>
      <c r="I40" s="95"/>
      <c r="J40" s="175">
        <f>H40/DAY(B2)</f>
        <v>457.21428571428572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31479</v>
      </c>
      <c r="I43" s="95"/>
      <c r="J43" s="175">
        <f>H43/DAY(B2)</f>
        <v>2248.5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152969</v>
      </c>
      <c r="I47" s="95"/>
      <c r="J47" s="175">
        <f>H47/DAY(B2)</f>
        <v>10926.357142857143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20527</v>
      </c>
      <c r="I49" s="95"/>
      <c r="J49" s="175">
        <f>H49/DAY(B2)</f>
        <v>1466.2142857142858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13865</v>
      </c>
      <c r="I50" s="95"/>
      <c r="J50" s="175">
        <f>H50/DAY(B2)</f>
        <v>990.35714285714289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4908.08</v>
      </c>
      <c r="I54" s="95"/>
      <c r="J54" s="175">
        <f>H54/DAY(B2)</f>
        <v>350.57714285714286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42191</v>
      </c>
      <c r="I55" s="95"/>
      <c r="J55" s="175">
        <f>H55/DAY(B2)</f>
        <v>3013.6428571428573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1972.6300000000047</v>
      </c>
      <c r="I58" s="95"/>
      <c r="J58" s="175">
        <f>H58/DAY(B2)</f>
        <v>140.90214285714319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83464.170000000013</v>
      </c>
      <c r="I59" s="95">
        <f>G7-G60</f>
        <v>1042</v>
      </c>
      <c r="J59" s="175">
        <f>H59/DAY(B2)</f>
        <v>5961.7264285714291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236433.16999999998</v>
      </c>
      <c r="I60" s="95">
        <f>G13-G60</f>
        <v>578</v>
      </c>
      <c r="J60" s="175">
        <f>H60/DAY(B2)</f>
        <v>16888.083571428571</v>
      </c>
      <c r="K60" s="79"/>
      <c r="L60" s="66"/>
      <c r="N60" s="87"/>
      <c r="O60" s="71"/>
    </row>
    <row r="61" spans="1:15" s="68" customFormat="1" ht="27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4" t="s">
        <v>198</v>
      </c>
      <c r="B62" s="855"/>
      <c r="C62" s="856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815</v>
      </c>
      <c r="I62" s="118"/>
      <c r="J62" s="175">
        <f>H62/DAY(B2)</f>
        <v>58.214285714285715</v>
      </c>
      <c r="K62" s="80"/>
      <c r="L62" s="66"/>
      <c r="N62" s="87"/>
      <c r="O62" s="71"/>
    </row>
    <row r="63" spans="1:15" ht="27.75" customHeight="1" x14ac:dyDescent="0.5">
      <c r="A63" s="854" t="s">
        <v>199</v>
      </c>
      <c r="B63" s="855"/>
      <c r="C63" s="856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1423</v>
      </c>
      <c r="I63" s="118"/>
      <c r="J63" s="175">
        <f>H63/DAY(B2)</f>
        <v>101.64285714285714</v>
      </c>
      <c r="K63" s="69"/>
      <c r="L63" s="66"/>
      <c r="N63" s="87"/>
      <c r="O63" s="71"/>
    </row>
    <row r="64" spans="1:15" ht="27.75" customHeight="1" x14ac:dyDescent="0.5">
      <c r="A64" s="863" t="s">
        <v>200</v>
      </c>
      <c r="B64" s="864"/>
      <c r="C64" s="865"/>
      <c r="D64" s="151"/>
      <c r="E64" s="95">
        <f>'13'!F64</f>
        <v>0</v>
      </c>
      <c r="F64" s="122"/>
      <c r="G64" s="112">
        <f>G62+G63</f>
        <v>95</v>
      </c>
      <c r="H64" s="99">
        <f>G64+'13'!H64</f>
        <v>2238</v>
      </c>
      <c r="I64" s="118"/>
      <c r="J64" s="175">
        <f>H64/DAY(B2)</f>
        <v>159.85714285714286</v>
      </c>
      <c r="K64" s="69"/>
      <c r="L64" s="66"/>
      <c r="N64" s="87"/>
      <c r="O64" s="71"/>
    </row>
    <row r="65" spans="1:15" ht="27.75" customHeight="1" x14ac:dyDescent="0.5">
      <c r="A65" s="854" t="s">
        <v>201</v>
      </c>
      <c r="B65" s="855"/>
      <c r="C65" s="856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981</v>
      </c>
      <c r="I65" s="118"/>
      <c r="J65" s="175">
        <f>H65/DAY(B2)</f>
        <v>70.071428571428569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241</v>
      </c>
      <c r="I66" s="118"/>
      <c r="J66" s="175">
        <f>H66/DAY(B2)</f>
        <v>17.214285714285715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326</v>
      </c>
      <c r="I67" s="118"/>
      <c r="J67" s="175">
        <f>H67/DAY(B2)</f>
        <v>23.285714285714285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363</v>
      </c>
      <c r="I68" s="118"/>
      <c r="J68" s="175">
        <f>H68/DAY(B2)</f>
        <v>25.928571428571427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138</v>
      </c>
      <c r="I69" s="118"/>
      <c r="J69" s="175">
        <f>H69/DAY(B2)</f>
        <v>9.8571428571428577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108</v>
      </c>
      <c r="I70" s="118"/>
      <c r="J70" s="175">
        <f>H70/DAY(B2)</f>
        <v>7.7142857142857144</v>
      </c>
      <c r="K70" s="69"/>
      <c r="L70" s="66"/>
      <c r="N70" s="87"/>
      <c r="O70" s="71"/>
    </row>
    <row r="71" spans="1:15" ht="27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134</v>
      </c>
      <c r="H71" s="99">
        <f>G71+'13'!H71</f>
        <v>2157</v>
      </c>
      <c r="I71" s="154"/>
      <c r="J71" s="175">
        <f>H71/DAY(B2)</f>
        <v>154.07142857142858</v>
      </c>
      <c r="K71" s="69"/>
      <c r="L71" s="66"/>
      <c r="N71" s="87"/>
      <c r="O71" s="71"/>
    </row>
    <row r="72" spans="1:15" s="88" customFormat="1" ht="27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4" t="s">
        <v>220</v>
      </c>
      <c r="B74" s="855"/>
      <c r="C74" s="856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4124</v>
      </c>
      <c r="I74" s="154"/>
      <c r="J74" s="175">
        <f>H74/DAY(B2)</f>
        <v>294.57142857142856</v>
      </c>
      <c r="K74" s="69"/>
      <c r="L74" s="66"/>
      <c r="N74" s="87"/>
      <c r="O74" s="71"/>
    </row>
    <row r="75" spans="1:15" ht="27.75" customHeight="1" x14ac:dyDescent="0.5">
      <c r="A75" s="854" t="s">
        <v>221</v>
      </c>
      <c r="B75" s="855"/>
      <c r="C75" s="85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51" t="s">
        <v>222</v>
      </c>
      <c r="B76" s="852"/>
      <c r="C76" s="853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1185</v>
      </c>
      <c r="I76" s="154"/>
      <c r="J76" s="175">
        <f>H76/DAY(B2)</f>
        <v>84.642857142857139</v>
      </c>
      <c r="K76" s="69"/>
      <c r="L76" s="66"/>
      <c r="N76" s="87"/>
      <c r="O76" s="71"/>
    </row>
    <row r="77" spans="1:15" ht="27.75" customHeight="1" x14ac:dyDescent="0.5">
      <c r="A77" s="851" t="s">
        <v>223</v>
      </c>
      <c r="B77" s="852"/>
      <c r="C77" s="853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429</v>
      </c>
      <c r="I77" s="154"/>
      <c r="J77" s="175">
        <f>H77/DAY(B2)</f>
        <v>30.642857142857142</v>
      </c>
      <c r="K77" s="69"/>
      <c r="L77" s="66"/>
      <c r="N77" s="87"/>
      <c r="O77" s="71"/>
    </row>
    <row r="78" spans="1:15" ht="27.75" customHeight="1" x14ac:dyDescent="0.5">
      <c r="A78" s="851" t="s">
        <v>224</v>
      </c>
      <c r="B78" s="852"/>
      <c r="C78" s="853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11</v>
      </c>
      <c r="I78" s="118"/>
      <c r="J78" s="175">
        <f>H78/DAY(B2)</f>
        <v>0.7857142857142857</v>
      </c>
      <c r="K78" s="69"/>
      <c r="L78" s="66"/>
      <c r="N78" s="87"/>
      <c r="O78" s="71"/>
    </row>
    <row r="79" spans="1:15" s="57" customFormat="1" ht="27.75" customHeight="1" x14ac:dyDescent="0.5">
      <c r="A79" s="851" t="s">
        <v>225</v>
      </c>
      <c r="B79" s="852"/>
      <c r="C79" s="853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6455.8000000000029</v>
      </c>
      <c r="I79" s="118"/>
      <c r="J79" s="175">
        <f>H79/DAY(B2)</f>
        <v>461.12857142857166</v>
      </c>
      <c r="K79" s="59"/>
      <c r="L79" s="58"/>
      <c r="N79" s="87"/>
      <c r="O79" s="71"/>
    </row>
    <row r="80" spans="1:15" s="57" customFormat="1" ht="27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-9.9999999997635314E-3</v>
      </c>
      <c r="I85" s="118">
        <f>G82+G83+G84+G85</f>
        <v>0</v>
      </c>
      <c r="J85" s="175">
        <f>H85/DAY(B2)</f>
        <v>-7.1428571426882372E-4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337</v>
      </c>
      <c r="I86" s="118"/>
      <c r="J86" s="175">
        <f>H86/DAY(B2)</f>
        <v>24.071428571428573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12.270000000000437</v>
      </c>
      <c r="I88" s="118">
        <f>G86+G87+G88</f>
        <v>24</v>
      </c>
      <c r="J88" s="175">
        <f>H88/DAY(B2)</f>
        <v>0.87642857142860264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79.990000000001601</v>
      </c>
      <c r="I89" s="118"/>
      <c r="J89" s="175">
        <f>H89/DAY(B2)</f>
        <v>5.7135714285715427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79.529999999998836</v>
      </c>
      <c r="I90" s="118">
        <f>G89+G90</f>
        <v>11.039999999997235</v>
      </c>
      <c r="J90" s="175">
        <f>H90/DAY(B2)</f>
        <v>5.6807142857142026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144.77000000000044</v>
      </c>
      <c r="I92" s="165"/>
      <c r="J92" s="175">
        <f>H92/DAY(B2)</f>
        <v>10.340714285714316</v>
      </c>
      <c r="O92" s="71"/>
    </row>
    <row r="93" spans="1:15" ht="27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4575</v>
      </c>
      <c r="H94" s="99">
        <f>G94+'13'!H94</f>
        <v>76410</v>
      </c>
      <c r="I94" s="118"/>
      <c r="J94" s="175">
        <f>H94/DAY(B2)</f>
        <v>5457.8571428571431</v>
      </c>
      <c r="K94" s="69"/>
      <c r="L94" s="66"/>
      <c r="O94" s="71"/>
    </row>
    <row r="95" spans="1:15" ht="27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0.26555607151149291</v>
      </c>
      <c r="H95" s="99">
        <f>G95+'13'!H95</f>
        <v>4.1086122486384138</v>
      </c>
      <c r="I95" s="167"/>
      <c r="J95" s="175">
        <f>H95/DAY(B2)</f>
        <v>0.29347230347417241</v>
      </c>
      <c r="K95" s="69"/>
      <c r="L95" s="66"/>
      <c r="O95" s="71"/>
    </row>
    <row r="96" spans="1:15" ht="27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3132</v>
      </c>
      <c r="H96" s="99">
        <f>G96+'13'!H96</f>
        <v>42191.46</v>
      </c>
      <c r="I96" s="118"/>
      <c r="J96" s="175">
        <f>H96/DAY(B2)</f>
        <v>3013.6757142857141</v>
      </c>
      <c r="K96" s="69"/>
      <c r="L96" s="66"/>
      <c r="O96" s="71"/>
    </row>
    <row r="97" spans="1:15" ht="27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0.18179707452983515</v>
      </c>
      <c r="H97" s="99">
        <f>G97+'13'!H97</f>
        <v>2.2791358272302564</v>
      </c>
      <c r="I97" s="167"/>
      <c r="J97" s="175">
        <f>H97/DAY(B2)</f>
        <v>0.1627954162307326</v>
      </c>
      <c r="K97" s="69"/>
      <c r="L97" s="66"/>
      <c r="O97" s="71"/>
    </row>
    <row r="98" spans="1:15" ht="27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2495</v>
      </c>
      <c r="H98" s="99">
        <f>G98+'13'!H98</f>
        <v>36697</v>
      </c>
      <c r="I98" s="168"/>
      <c r="J98" s="175">
        <f>H98/DAY(B2)</f>
        <v>2621.2142857142858</v>
      </c>
      <c r="K98" s="69"/>
      <c r="L98" s="66"/>
      <c r="O98" s="71"/>
    </row>
    <row r="99" spans="1:15" ht="27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0.1448223821685628</v>
      </c>
      <c r="H99" s="99">
        <f>G99+'13'!H99</f>
        <v>1.9822409546886575</v>
      </c>
      <c r="I99" s="168"/>
      <c r="J99" s="175">
        <f>H99/DAY(B2)</f>
        <v>0.14158863962061838</v>
      </c>
      <c r="O99" s="71"/>
    </row>
    <row r="100" spans="1:15" ht="27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1832</v>
      </c>
      <c r="H100" s="99">
        <f>G100+'13'!H100</f>
        <v>22752</v>
      </c>
      <c r="I100" s="118"/>
      <c r="J100" s="175">
        <f>H100/DAY(B2)</f>
        <v>1625.1428571428571</v>
      </c>
      <c r="K100" s="70"/>
      <c r="O100" s="71"/>
    </row>
    <row r="101" spans="1:15" ht="27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1.2302291769473577</v>
      </c>
      <c r="I101" s="168"/>
      <c r="J101" s="175">
        <f>H101/DAY(B2)</f>
        <v>8.7873512639096971E-2</v>
      </c>
      <c r="O101" s="71"/>
    </row>
    <row r="102" spans="1:15" ht="27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1488</v>
      </c>
      <c r="H102" s="99">
        <f>G102+'13'!H102</f>
        <v>24059</v>
      </c>
      <c r="I102" s="168"/>
      <c r="J102" s="175">
        <f>H102/DAY(B2)</f>
        <v>1718.5</v>
      </c>
      <c r="O102" s="71"/>
    </row>
    <row r="103" spans="1:15" ht="27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1.2933185183689826</v>
      </c>
      <c r="I103" s="118"/>
      <c r="J103" s="175">
        <f>H103/DAY(B2)</f>
        <v>9.2379894169213037E-2</v>
      </c>
      <c r="O103" s="71"/>
    </row>
    <row r="104" spans="1:15" ht="27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1509</v>
      </c>
      <c r="H104" s="99">
        <f>G104+'13'!H104</f>
        <v>21042</v>
      </c>
      <c r="I104" s="118"/>
      <c r="J104" s="175">
        <f>H104/DAY(B2)</f>
        <v>1503</v>
      </c>
      <c r="O104" s="71"/>
    </row>
    <row r="105" spans="1:15" ht="27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1.1384925735374529</v>
      </c>
      <c r="I105" s="187"/>
      <c r="J105" s="188">
        <f>H105/DAY(B2)</f>
        <v>8.132089810981806E-2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7.75" customHeight="1" x14ac:dyDescent="0.5">
      <c r="A109" s="871"/>
      <c r="B109" s="871"/>
    </row>
    <row r="110" spans="1:15" ht="27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33" t="s">
        <v>252</v>
      </c>
      <c r="B112" s="834"/>
      <c r="C112" s="835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1052</v>
      </c>
      <c r="I112" s="165"/>
      <c r="J112" s="328">
        <f>H112/DAY(B2)</f>
        <v>75.142857142857139</v>
      </c>
    </row>
    <row r="113" spans="1:18" ht="27.75" customHeight="1" x14ac:dyDescent="0.5">
      <c r="A113" s="833" t="s">
        <v>253</v>
      </c>
      <c r="B113" s="834"/>
      <c r="C113" s="835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6305</v>
      </c>
      <c r="I113" s="165"/>
      <c r="J113" s="328">
        <f>H113/DAY(B2)</f>
        <v>450.35714285714283</v>
      </c>
    </row>
    <row r="114" spans="1:18" ht="27.75" customHeight="1" x14ac:dyDescent="0.5">
      <c r="A114" s="833" t="s">
        <v>254</v>
      </c>
      <c r="B114" s="834"/>
      <c r="C114" s="835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3714</v>
      </c>
      <c r="I114" s="165"/>
      <c r="J114" s="328">
        <f>H114/DAY(B2)</f>
        <v>265.28571428571428</v>
      </c>
    </row>
    <row r="115" spans="1:18" ht="27.75" customHeight="1" x14ac:dyDescent="0.5">
      <c r="A115" s="833" t="s">
        <v>255</v>
      </c>
      <c r="B115" s="834"/>
      <c r="C115" s="835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141</v>
      </c>
      <c r="I115" s="165"/>
      <c r="J115" s="328">
        <f>H115/DAY(B2)</f>
        <v>10.071428571428571</v>
      </c>
    </row>
    <row r="116" spans="1:18" ht="27.75" customHeight="1" x14ac:dyDescent="0.5">
      <c r="A116" s="840" t="s">
        <v>96</v>
      </c>
      <c r="B116" s="841"/>
      <c r="C116" s="842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7.75" customHeight="1" x14ac:dyDescent="0.5">
      <c r="A117" s="840" t="s">
        <v>184</v>
      </c>
      <c r="B117" s="841"/>
      <c r="C117" s="842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340</v>
      </c>
      <c r="I117" s="165"/>
      <c r="J117" s="328">
        <f>H117/DAY(B2)</f>
        <v>24.285714285714285</v>
      </c>
      <c r="Q117" s="833" t="s">
        <v>312</v>
      </c>
      <c r="R117" s="835"/>
    </row>
    <row r="118" spans="1:18" ht="27.75" customHeight="1" x14ac:dyDescent="0.5">
      <c r="A118" s="832" t="s">
        <v>97</v>
      </c>
      <c r="B118" s="832"/>
      <c r="C118" s="832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5069</v>
      </c>
      <c r="I118" s="165"/>
      <c r="J118" s="328">
        <f>H118/DAY(B2)</f>
        <v>362.07142857142856</v>
      </c>
      <c r="Q118" s="833" t="s">
        <v>311</v>
      </c>
      <c r="R118" s="835"/>
    </row>
    <row r="119" spans="1:18" ht="27.75" customHeight="1" x14ac:dyDescent="0.5">
      <c r="A119" s="832" t="s">
        <v>98</v>
      </c>
      <c r="B119" s="832"/>
      <c r="C119" s="832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5855</v>
      </c>
      <c r="I119" s="165"/>
      <c r="J119" s="328">
        <f>H119/DAY(B2)</f>
        <v>418.21428571428572</v>
      </c>
    </row>
    <row r="120" spans="1:18" ht="27.75" customHeight="1" x14ac:dyDescent="0.5">
      <c r="A120" s="832" t="s">
        <v>99</v>
      </c>
      <c r="B120" s="832"/>
      <c r="C120" s="832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5780</v>
      </c>
      <c r="I120" s="165"/>
      <c r="J120" s="328">
        <f>H120/DAY(B2)</f>
        <v>412.85714285714283</v>
      </c>
    </row>
    <row r="121" spans="1:18" ht="27.75" customHeight="1" x14ac:dyDescent="0.5">
      <c r="A121" s="832" t="s">
        <v>100</v>
      </c>
      <c r="B121" s="832"/>
      <c r="C121" s="832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9893</v>
      </c>
      <c r="I121" s="165"/>
      <c r="J121" s="328">
        <f>H121/DAY(B2)</f>
        <v>706.64285714285711</v>
      </c>
    </row>
    <row r="122" spans="1:18" ht="27.75" customHeight="1" x14ac:dyDescent="0.5">
      <c r="A122" s="832" t="s">
        <v>101</v>
      </c>
      <c r="B122" s="832"/>
      <c r="C122" s="832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2946</v>
      </c>
      <c r="I122" s="165"/>
      <c r="J122" s="328">
        <f>H122/DAY(B2)</f>
        <v>210.42857142857142</v>
      </c>
    </row>
    <row r="123" spans="1:18" ht="27.75" customHeight="1" x14ac:dyDescent="0.5">
      <c r="A123" s="832" t="s">
        <v>102</v>
      </c>
      <c r="B123" s="832"/>
      <c r="C123" s="832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4355</v>
      </c>
      <c r="I123" s="165"/>
      <c r="J123" s="328">
        <f>H123/DAY(B2)</f>
        <v>311.07142857142856</v>
      </c>
    </row>
    <row r="124" spans="1:18" ht="27.7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33" t="s">
        <v>318</v>
      </c>
      <c r="B128" s="834"/>
      <c r="C128" s="835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4481</v>
      </c>
      <c r="I128" s="165"/>
      <c r="J128" s="328">
        <f>H128/DAY(B2)</f>
        <v>320.07142857142856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3041</v>
      </c>
      <c r="I129" s="165"/>
      <c r="J129" s="328">
        <f>H129/DAY(B2)</f>
        <v>217.21428571428572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8503</v>
      </c>
      <c r="I130" s="165"/>
      <c r="J130" s="328">
        <f>H130/DAY(B2)</f>
        <v>607.35714285714289</v>
      </c>
      <c r="N130" s="240"/>
      <c r="O130" s="241"/>
    </row>
    <row r="131" spans="1:15" ht="27.75" customHeight="1" x14ac:dyDescent="0.5">
      <c r="A131" s="833" t="s">
        <v>321</v>
      </c>
      <c r="B131" s="834"/>
      <c r="C131" s="835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1014</v>
      </c>
      <c r="I131" s="165"/>
      <c r="J131" s="328">
        <f>H131/DAY(B2)</f>
        <v>72.428571428571431</v>
      </c>
      <c r="N131" s="240"/>
      <c r="O131" s="241"/>
    </row>
    <row r="132" spans="1:15" ht="27.75" customHeight="1" x14ac:dyDescent="0.5">
      <c r="A132" s="833" t="s">
        <v>322</v>
      </c>
      <c r="B132" s="834"/>
      <c r="C132" s="835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6772</v>
      </c>
      <c r="I132" s="165"/>
      <c r="J132" s="328">
        <f>H132/DAY(B2)</f>
        <v>483.71428571428572</v>
      </c>
    </row>
    <row r="133" spans="1:15" ht="27.75" customHeight="1" x14ac:dyDescent="0.5">
      <c r="A133" s="833" t="s">
        <v>341</v>
      </c>
      <c r="B133" s="834"/>
      <c r="C133" s="835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9024</v>
      </c>
      <c r="I133" s="165"/>
      <c r="J133" s="328">
        <f>H133/DAY(B2)</f>
        <v>644.57142857142856</v>
      </c>
    </row>
    <row r="134" spans="1:15" ht="27.75" customHeight="1" x14ac:dyDescent="0.5">
      <c r="A134" s="833" t="s">
        <v>340</v>
      </c>
      <c r="B134" s="834"/>
      <c r="C134" s="835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8013</v>
      </c>
      <c r="I134" s="165"/>
      <c r="J134" s="328">
        <f>H134/DAY(B2)</f>
        <v>572.35714285714289</v>
      </c>
    </row>
    <row r="135" spans="1:15" ht="27.7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2207</v>
      </c>
      <c r="H135" s="119">
        <f>H128+H134</f>
        <v>12494</v>
      </c>
      <c r="I135" s="327">
        <f>G135-(G35+G49)</f>
        <v>-357</v>
      </c>
      <c r="J135" s="328">
        <f>H135/DAY(B2)</f>
        <v>892.42857142857144</v>
      </c>
    </row>
    <row r="136" spans="1:15" ht="27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32" t="s">
        <v>185</v>
      </c>
      <c r="B138" s="832"/>
      <c r="C138" s="832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883</v>
      </c>
      <c r="I138" s="118"/>
      <c r="J138" s="328">
        <f>H138/DAY(B2)</f>
        <v>63.071428571428569</v>
      </c>
    </row>
    <row r="139" spans="1:15" ht="27.75" customHeight="1" x14ac:dyDescent="0.5">
      <c r="A139" s="832" t="s">
        <v>186</v>
      </c>
      <c r="B139" s="832"/>
      <c r="C139" s="832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3</v>
      </c>
      <c r="I139" s="118"/>
      <c r="J139" s="328">
        <f>H139/DAY(B2)</f>
        <v>0.21428571428571427</v>
      </c>
    </row>
    <row r="140" spans="1:15" ht="27.75" customHeight="1" x14ac:dyDescent="0.5">
      <c r="A140" s="832" t="s">
        <v>187</v>
      </c>
      <c r="B140" s="832"/>
      <c r="C140" s="832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16</v>
      </c>
      <c r="I140" s="118"/>
      <c r="J140" s="328">
        <f>H140/DAY(B2)</f>
        <v>1.1428571428571428</v>
      </c>
    </row>
    <row r="141" spans="1:15" ht="27.75" customHeight="1" x14ac:dyDescent="0.5">
      <c r="A141" s="813" t="s">
        <v>188</v>
      </c>
      <c r="B141" s="813"/>
      <c r="C141" s="813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2429</v>
      </c>
      <c r="I141" s="118"/>
      <c r="J141" s="328">
        <f>H141/DAY(B2)</f>
        <v>173.5</v>
      </c>
    </row>
    <row r="142" spans="1:15" ht="27.75" customHeight="1" x14ac:dyDescent="0.5">
      <c r="A142" s="813" t="s">
        <v>189</v>
      </c>
      <c r="B142" s="813"/>
      <c r="C142" s="813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962</v>
      </c>
      <c r="I142" s="140"/>
      <c r="J142" s="328">
        <f>H142/DAY(B2)</f>
        <v>68.714285714285708</v>
      </c>
    </row>
    <row r="143" spans="1:15" ht="27.75" customHeight="1" x14ac:dyDescent="0.5">
      <c r="A143" s="832" t="s">
        <v>91</v>
      </c>
      <c r="B143" s="832"/>
      <c r="C143" s="832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329</v>
      </c>
      <c r="I143" s="140"/>
      <c r="J143" s="328">
        <f>H143/DAY(B2)</f>
        <v>23.5</v>
      </c>
    </row>
    <row r="144" spans="1:15" ht="27.75" customHeight="1" x14ac:dyDescent="0.5">
      <c r="A144" s="813" t="s">
        <v>90</v>
      </c>
      <c r="B144" s="813"/>
      <c r="C144" s="813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3163</v>
      </c>
      <c r="I144" s="140"/>
      <c r="J144" s="328">
        <f>H144/DAY(B2)</f>
        <v>225.92857142857142</v>
      </c>
    </row>
    <row r="145" spans="1:10" ht="27.75" customHeight="1" x14ac:dyDescent="0.5">
      <c r="A145" s="832" t="s">
        <v>190</v>
      </c>
      <c r="B145" s="832"/>
      <c r="C145" s="832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210</v>
      </c>
      <c r="I145" s="140"/>
      <c r="J145" s="328">
        <f>H145/DAY(B2)</f>
        <v>15</v>
      </c>
    </row>
    <row r="146" spans="1:10" ht="27.75" customHeight="1" x14ac:dyDescent="0.5">
      <c r="A146" s="867" t="s">
        <v>191</v>
      </c>
      <c r="B146" s="852"/>
      <c r="C146" s="853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5648</v>
      </c>
      <c r="I146" s="140"/>
      <c r="J146" s="328">
        <f>H146/DAY(B2)</f>
        <v>403.42857142857144</v>
      </c>
    </row>
    <row r="147" spans="1:10" ht="27.75" customHeight="1" x14ac:dyDescent="0.5">
      <c r="A147" s="813" t="s">
        <v>192</v>
      </c>
      <c r="B147" s="813"/>
      <c r="C147" s="813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5170</v>
      </c>
      <c r="I147" s="140"/>
      <c r="J147" s="328">
        <f>H147/DAY(B2)</f>
        <v>369.28571428571428</v>
      </c>
    </row>
    <row r="148" spans="1:10" ht="27.75" customHeight="1" x14ac:dyDescent="0.5">
      <c r="A148" s="814" t="s">
        <v>193</v>
      </c>
      <c r="B148" s="815"/>
      <c r="C148" s="816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3317.8800000000047</v>
      </c>
      <c r="I148" s="124"/>
      <c r="J148" s="328">
        <f>H148/DAY(B2)</f>
        <v>236.99142857142891</v>
      </c>
    </row>
    <row r="149" spans="1:10" ht="27.75" customHeight="1" x14ac:dyDescent="0.5">
      <c r="A149" s="814" t="s">
        <v>336</v>
      </c>
      <c r="B149" s="815"/>
      <c r="C149" s="816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5716</v>
      </c>
      <c r="I149" s="119"/>
      <c r="J149" s="328">
        <f>H149/DAY(B2)</f>
        <v>408.28571428571428</v>
      </c>
    </row>
    <row r="150" spans="1:10" ht="27.75" customHeight="1" x14ac:dyDescent="0.5">
      <c r="A150" s="814" t="s">
        <v>337</v>
      </c>
      <c r="B150" s="815"/>
      <c r="C150" s="816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3052</v>
      </c>
      <c r="I150" s="119"/>
      <c r="J150" s="328">
        <f>H150/DAY(B2)</f>
        <v>218</v>
      </c>
    </row>
    <row r="151" spans="1:10" ht="27.75" customHeight="1" x14ac:dyDescent="0.5">
      <c r="A151" s="814" t="s">
        <v>338</v>
      </c>
      <c r="B151" s="815"/>
      <c r="C151" s="816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3264</v>
      </c>
      <c r="I151" s="119"/>
      <c r="J151" s="328">
        <f>H151/DAY(B2)</f>
        <v>233.14285714285714</v>
      </c>
    </row>
    <row r="152" spans="1:10" ht="27.75" customHeight="1" x14ac:dyDescent="0.5">
      <c r="A152" s="814" t="s">
        <v>339</v>
      </c>
      <c r="B152" s="815"/>
      <c r="C152" s="816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249</v>
      </c>
      <c r="I152" s="119"/>
      <c r="J152" s="328">
        <f>H152/DAY(B2)</f>
        <v>17.785714285714285</v>
      </c>
    </row>
    <row r="153" spans="1:10" ht="27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 x14ac:dyDescent="0.55000000000000004">
      <c r="A154" s="821"/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27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7878</v>
      </c>
      <c r="I155" s="364"/>
      <c r="J155" s="328">
        <f>H155/DAY(B2)</f>
        <v>562.71428571428567</v>
      </c>
    </row>
    <row r="156" spans="1:10" ht="27.75" customHeight="1" x14ac:dyDescent="0.5">
      <c r="A156" s="813" t="s">
        <v>347</v>
      </c>
      <c r="B156" s="813"/>
      <c r="C156" s="813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697</v>
      </c>
      <c r="I156" s="165"/>
      <c r="J156" s="328">
        <f>H156/DAY(B2)</f>
        <v>49.785714285714285</v>
      </c>
    </row>
    <row r="157" spans="1:10" ht="27.75" customHeight="1" x14ac:dyDescent="0.5">
      <c r="A157" s="814" t="s">
        <v>364</v>
      </c>
      <c r="B157" s="815"/>
      <c r="C157" s="816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 x14ac:dyDescent="0.5">
      <c r="A158" s="814" t="s">
        <v>365</v>
      </c>
      <c r="B158" s="815"/>
      <c r="C158" s="816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 x14ac:dyDescent="0.5">
      <c r="A159" s="897"/>
      <c r="B159" s="898"/>
      <c r="C159" s="899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270.84000000002561</v>
      </c>
      <c r="I161" s="236"/>
      <c r="J161" s="239">
        <f>H161/DAY(B2)</f>
        <v>19.345714285716117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394</v>
      </c>
      <c r="I162" s="236"/>
      <c r="J162" s="239">
        <f>H162/DAY(B2)</f>
        <v>28.142857142857142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597</v>
      </c>
      <c r="I163" s="236"/>
      <c r="J163" s="239">
        <f>H163/DAY(B2)</f>
        <v>42.642857142857146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21</v>
      </c>
      <c r="I164" s="236"/>
      <c r="J164" s="239">
        <f>H164/DAY(B2)</f>
        <v>1.5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91</v>
      </c>
      <c r="I165" s="236"/>
      <c r="J165" s="239">
        <f>H165/DAY(B2)</f>
        <v>6.5</v>
      </c>
    </row>
    <row r="166" spans="1:10" ht="27.75" customHeight="1" x14ac:dyDescent="0.5">
      <c r="A166" s="822"/>
      <c r="B166" s="82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22"/>
      <c r="B167" s="82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22"/>
      <c r="B168" s="82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6" t="s">
        <v>209</v>
      </c>
      <c r="B173" s="827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26" t="s">
        <v>75</v>
      </c>
      <c r="B174" s="827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128</v>
      </c>
      <c r="I174" s="155"/>
      <c r="J174" s="178">
        <f>H174/DAY(B2)</f>
        <v>9.1428571428571423</v>
      </c>
    </row>
    <row r="175" spans="1:10" ht="27.75" customHeight="1" x14ac:dyDescent="0.5">
      <c r="A175" s="826" t="s">
        <v>76</v>
      </c>
      <c r="B175" s="866"/>
      <c r="C175" s="827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125</v>
      </c>
      <c r="I175" s="155"/>
      <c r="J175" s="178">
        <f>H175/DAY(B2)</f>
        <v>8.9285714285714288</v>
      </c>
    </row>
    <row r="176" spans="1:10" ht="27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11</v>
      </c>
      <c r="H176" s="99">
        <f>G176+'13'!H176</f>
        <v>253</v>
      </c>
      <c r="I176" s="155"/>
      <c r="J176" s="178">
        <f>H176/DAY(B2)</f>
        <v>18.071428571428573</v>
      </c>
    </row>
    <row r="177" spans="1:10" ht="27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26" t="s">
        <v>210</v>
      </c>
      <c r="B178" s="827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783</v>
      </c>
      <c r="I178" s="155"/>
      <c r="J178" s="178">
        <f>H178/DAY(B2)</f>
        <v>55.928571428571431</v>
      </c>
    </row>
    <row r="179" spans="1:10" ht="27.75" customHeight="1" x14ac:dyDescent="0.5">
      <c r="A179" s="826" t="s">
        <v>211</v>
      </c>
      <c r="B179" s="827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288</v>
      </c>
      <c r="I179" s="155"/>
      <c r="J179" s="178">
        <f>H179/DAY(B2)</f>
        <v>20.571428571428573</v>
      </c>
    </row>
    <row r="180" spans="1:10" ht="27.75" customHeight="1" x14ac:dyDescent="0.5">
      <c r="A180" s="826" t="s">
        <v>212</v>
      </c>
      <c r="B180" s="827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104</v>
      </c>
      <c r="I180" s="155"/>
      <c r="J180" s="178">
        <f>H180/DAY(B2)</f>
        <v>7.4285714285714288</v>
      </c>
    </row>
    <row r="181" spans="1:10" ht="27.75" customHeight="1" x14ac:dyDescent="0.5">
      <c r="A181" s="828" t="s">
        <v>108</v>
      </c>
      <c r="B181" s="829"/>
      <c r="C181" s="485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1175</v>
      </c>
      <c r="I181" s="155"/>
      <c r="J181" s="178">
        <f>H181/DAY(B2)</f>
        <v>83.928571428571431</v>
      </c>
    </row>
    <row r="182" spans="1:10" ht="27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26" t="s">
        <v>214</v>
      </c>
      <c r="B183" s="827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174</v>
      </c>
      <c r="I183" s="155"/>
      <c r="J183" s="178">
        <f>H183/DAY(B2)</f>
        <v>12.428571428571429</v>
      </c>
    </row>
    <row r="184" spans="1:10" ht="27.75" customHeight="1" x14ac:dyDescent="0.5">
      <c r="A184" s="826" t="s">
        <v>215</v>
      </c>
      <c r="B184" s="827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92</v>
      </c>
      <c r="I184" s="155"/>
      <c r="J184" s="178">
        <f>H184/DAY(B2)</f>
        <v>6.5714285714285712</v>
      </c>
    </row>
    <row r="185" spans="1:10" ht="27.75" customHeight="1" x14ac:dyDescent="0.5">
      <c r="A185" s="826" t="s">
        <v>216</v>
      </c>
      <c r="B185" s="82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G186+'13'!H186</f>
        <v>266</v>
      </c>
      <c r="I186" s="157"/>
      <c r="J186" s="178">
        <f>H186/DAY(B2)</f>
        <v>19</v>
      </c>
    </row>
    <row r="187" spans="1:10" ht="27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100</v>
      </c>
      <c r="H187" s="99">
        <f>G187+'13'!H187</f>
        <v>1552</v>
      </c>
      <c r="I187" s="158"/>
      <c r="J187" s="179">
        <f>H187/DAY(B2)</f>
        <v>110.85714285714286</v>
      </c>
    </row>
    <row r="188" spans="1:10" ht="27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99</v>
      </c>
      <c r="H188" s="99"/>
      <c r="I188" s="158"/>
      <c r="J188" s="489">
        <f>H188/DAY(B2)</f>
        <v>0</v>
      </c>
    </row>
    <row r="189" spans="1:10" ht="27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39</v>
      </c>
      <c r="H189" s="99">
        <f>G189+'13'!H189</f>
        <v>1175</v>
      </c>
      <c r="I189" s="158"/>
      <c r="J189" s="179">
        <f>H189/DAY(B2)</f>
        <v>83.928571428571431</v>
      </c>
    </row>
    <row r="190" spans="1:10" ht="27.75" customHeight="1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277078.75</v>
      </c>
      <c r="I7" s="113">
        <f>'1'!I7</f>
        <v>12000</v>
      </c>
      <c r="J7" s="175">
        <f>H7/DAY(B2)</f>
        <v>18471.916666666668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705">
        <f>F8-E8</f>
        <v>17328.710000000021</v>
      </c>
      <c r="H8" s="99">
        <f>G8+'14'!H8</f>
        <v>281898.71000000002</v>
      </c>
      <c r="I8" s="116"/>
      <c r="J8" s="175">
        <f>H8/DAY(B2)</f>
        <v>18793.247333333336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601">
        <v>76355.41</v>
      </c>
      <c r="G9" s="112">
        <f>F9-E9</f>
        <v>10737.410000000003</v>
      </c>
      <c r="H9" s="99">
        <f>G9+'14'!H9</f>
        <v>174860.41</v>
      </c>
      <c r="I9" s="124">
        <f>I7-J7</f>
        <v>-6471.9166666666679</v>
      </c>
      <c r="J9" s="175">
        <f>H9/DAY(B2)</f>
        <v>11657.360666666667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94583.22</v>
      </c>
      <c r="I10" s="282"/>
      <c r="J10" s="175">
        <f>H10/DAY(B2)</f>
        <v>6305.5479999999998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249978.37999999989</v>
      </c>
      <c r="I13" s="120">
        <f>G7-G13</f>
        <v>447.11999999999534</v>
      </c>
      <c r="J13" s="175">
        <f>H13/DAY(B2)</f>
        <v>16665.225333333325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13170</v>
      </c>
      <c r="I15" s="113">
        <f>'1'!I15</f>
        <v>800</v>
      </c>
      <c r="J15" s="175">
        <f>H15/DAY(B2)</f>
        <v>878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-78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1660</v>
      </c>
      <c r="I18" s="113">
        <f>'1'!I18</f>
        <v>65</v>
      </c>
      <c r="J18" s="175">
        <f>H18/DAY(B2)</f>
        <v>110.66666666666667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792</v>
      </c>
      <c r="I19" s="335"/>
      <c r="J19" s="175">
        <f>H19/DAY(B2)</f>
        <v>52.8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2452</v>
      </c>
      <c r="I20" s="336">
        <f>I18-J20</f>
        <v>-98.466666666666669</v>
      </c>
      <c r="J20" s="175">
        <f>H20/DAY(B2)</f>
        <v>163.46666666666667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2537088.39</v>
      </c>
      <c r="I27" s="138"/>
      <c r="J27" s="175">
        <f>H27/DAY(B2)</f>
        <v>169139.226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684840</v>
      </c>
      <c r="I28" s="140"/>
      <c r="J28" s="175">
        <f>H28/DAY(B2)</f>
        <v>45656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115632</v>
      </c>
      <c r="I30" s="140"/>
      <c r="J30" s="175">
        <f>H30/DAY(B2)</f>
        <v>7708.8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132800</v>
      </c>
      <c r="I31" s="140"/>
      <c r="J31" s="175">
        <f>H31/DAY(B2)</f>
        <v>8853.3333333333339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3470360.39</v>
      </c>
      <c r="I32" s="144"/>
      <c r="J32" s="175">
        <f>H32/DAY(B2)</f>
        <v>231357.35933333336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25705.84</v>
      </c>
      <c r="I35" s="95"/>
      <c r="J35" s="175">
        <f>H35/DAY(B2)</f>
        <v>1713.7226666666668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10767.689999999999</v>
      </c>
      <c r="I36" s="95"/>
      <c r="J36" s="175">
        <f>H36/DAY(B2)</f>
        <v>717.84599999999989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22539.739999999998</v>
      </c>
      <c r="I37" s="95"/>
      <c r="J37" s="175">
        <f>H37/DAY(B2)</f>
        <v>1502.6493333333333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24138.95</v>
      </c>
      <c r="I38" s="95"/>
      <c r="J38" s="175">
        <f>H38/DAY(B2)</f>
        <v>1609.2633333333333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39191.9</v>
      </c>
      <c r="I39" s="95"/>
      <c r="J39" s="175">
        <f>H39/DAY(B2)</f>
        <v>2612.7933333333335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6894</v>
      </c>
      <c r="I40" s="95"/>
      <c r="J40" s="175">
        <f>H40/DAY(B2)</f>
        <v>459.6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-0.39999999999417923</v>
      </c>
      <c r="I42" s="95"/>
      <c r="J42" s="175">
        <f>H42/DAY(B2)</f>
        <v>-2.6666666666278614E-2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33491.710000000006</v>
      </c>
      <c r="I43" s="95"/>
      <c r="J43" s="175">
        <f>H43/DAY(B2)</f>
        <v>2232.780666666667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162729.43000000002</v>
      </c>
      <c r="I47" s="95"/>
      <c r="J47" s="175">
        <f>H47/DAY(B2)</f>
        <v>10848.628666666667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21777.59</v>
      </c>
      <c r="I49" s="95"/>
      <c r="J49" s="175">
        <f>H49/DAY(B2)</f>
        <v>1451.8393333333333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14767.730000000003</v>
      </c>
      <c r="I50" s="95"/>
      <c r="J50" s="175">
        <f>H50/DAY(B2)</f>
        <v>984.5153333333335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5428.59</v>
      </c>
      <c r="I54" s="95"/>
      <c r="J54" s="175">
        <f>H54/DAY(B2)</f>
        <v>361.90600000000001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45200.23</v>
      </c>
      <c r="I55" s="95"/>
      <c r="J55" s="175">
        <f>H55/DAY(B2)</f>
        <v>3013.3486666666668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2151.6700000000046</v>
      </c>
      <c r="I58" s="95"/>
      <c r="J58" s="175">
        <f>H58/DAY(B2)</f>
        <v>143.44466666666696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89325.810000000027</v>
      </c>
      <c r="I59" s="95">
        <f>G7-G60</f>
        <v>1594.6799999999785</v>
      </c>
      <c r="J59" s="175">
        <f>H59/DAY(B2)</f>
        <v>5955.0540000000019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252055.24</v>
      </c>
      <c r="I60" s="95">
        <f>G13-G60</f>
        <v>1147.5599999999831</v>
      </c>
      <c r="J60" s="175">
        <f>H60/DAY(B2)</f>
        <v>16803.682666666668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894</v>
      </c>
      <c r="I62" s="118"/>
      <c r="J62" s="175">
        <f>H62/DAY(B2)</f>
        <v>59.6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1518</v>
      </c>
      <c r="I63" s="118"/>
      <c r="J63" s="175">
        <f>H63/DAY(B2)</f>
        <v>101.2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'14'!F64</f>
        <v>0</v>
      </c>
      <c r="F64" s="122"/>
      <c r="G64" s="112">
        <f>G62+G63</f>
        <v>174</v>
      </c>
      <c r="H64" s="99">
        <f>G64+'14'!H64</f>
        <v>2412</v>
      </c>
      <c r="I64" s="118"/>
      <c r="J64" s="175">
        <f>H64/DAY(B2)</f>
        <v>160.80000000000001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1051</v>
      </c>
      <c r="I65" s="118"/>
      <c r="J65" s="175">
        <f>H65/DAY(B2)</f>
        <v>70.066666666666663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258</v>
      </c>
      <c r="I66" s="118"/>
      <c r="J66" s="175">
        <f>H66/DAY(B2)</f>
        <v>17.2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349</v>
      </c>
      <c r="I67" s="118"/>
      <c r="J67" s="175">
        <f>H67/DAY(B2)</f>
        <v>23.266666666666666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386</v>
      </c>
      <c r="I68" s="118"/>
      <c r="J68" s="175">
        <f>H68/DAY(B2)</f>
        <v>25.733333333333334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149</v>
      </c>
      <c r="I69" s="118"/>
      <c r="J69" s="175">
        <f>H69/DAY(B2)</f>
        <v>9.9333333333333336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115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151</v>
      </c>
      <c r="H71" s="99">
        <f>G71+'14'!H71</f>
        <v>2308</v>
      </c>
      <c r="I71" s="154"/>
      <c r="J71" s="175">
        <f>H71/DAY(B2)</f>
        <v>153.86666666666667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4437</v>
      </c>
      <c r="I74" s="154"/>
      <c r="J74" s="175">
        <f>H74/DAY(B2)</f>
        <v>295.8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1260</v>
      </c>
      <c r="I76" s="154"/>
      <c r="J76" s="175">
        <f>H76/DAY(B2)</f>
        <v>84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455.40000000000146</v>
      </c>
      <c r="I77" s="154"/>
      <c r="J77" s="175">
        <f>H77/DAY(B2)</f>
        <v>30.360000000000095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12</v>
      </c>
      <c r="I78" s="118"/>
      <c r="J78" s="175">
        <f>H78/DAY(B2)</f>
        <v>0.8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7005.4000000000015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-9.9999999997635314E-3</v>
      </c>
      <c r="I85" s="118">
        <f>G82+G83+G84+G85</f>
        <v>0</v>
      </c>
      <c r="J85" s="175">
        <f>H85/DAY(B2)</f>
        <v>-6.6666666665090213E-4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361.48999999999796</v>
      </c>
      <c r="I86" s="118"/>
      <c r="J86" s="175">
        <f>H86/DAY(B2)</f>
        <v>24.099333333333199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12.290000000000873</v>
      </c>
      <c r="I88" s="118">
        <f>G86+G87+G88</f>
        <v>24.509999999998399</v>
      </c>
      <c r="J88" s="175">
        <f>H88/DAY(B2)</f>
        <v>0.81933333333339153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89.950000000000728</v>
      </c>
      <c r="I89" s="118"/>
      <c r="J89" s="175">
        <f>H89/DAY(B2)</f>
        <v>5.996666666666715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82.470000000001164</v>
      </c>
      <c r="I90" s="118">
        <f>G89+G90</f>
        <v>12.900000000001455</v>
      </c>
      <c r="J90" s="175">
        <f>H90/DAY(B2)</f>
        <v>5.4980000000000775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155.78999999999996</v>
      </c>
      <c r="I92" s="165"/>
      <c r="J92" s="175">
        <f>H92/DAY(B2)</f>
        <v>10.385999999999997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80975.140000000014</v>
      </c>
      <c r="I94" s="118"/>
      <c r="J94" s="175">
        <f>H94/DAY(B2)</f>
        <v>5398.3426666666674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0.26515689662683184</v>
      </c>
      <c r="H95" s="99">
        <f>G95+'14'!H95</f>
        <v>4.3737691452652454</v>
      </c>
      <c r="I95" s="167"/>
      <c r="J95" s="175">
        <f>H95/DAY(B2)</f>
        <v>0.29158460968434968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45199.830000000009</v>
      </c>
      <c r="I96" s="118"/>
      <c r="J96" s="175">
        <f>H96/DAY(B2)</f>
        <v>3013.3220000000006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0.17473506904613298</v>
      </c>
      <c r="H97" s="99">
        <f>G97+'14'!H97</f>
        <v>2.4538708962763893</v>
      </c>
      <c r="I97" s="167"/>
      <c r="J97" s="175">
        <f>H97/DAY(B2)</f>
        <v>0.16359139308509263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2494.9000000000015</v>
      </c>
      <c r="H98" s="99">
        <f>G98+'14'!H98</f>
        <v>39191.9</v>
      </c>
      <c r="I98" s="168"/>
      <c r="J98" s="175">
        <f>H98/DAY(B2)</f>
        <v>2612.7933333333335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0.14491120565728152</v>
      </c>
      <c r="H99" s="99">
        <f>G99+'14'!H99</f>
        <v>2.1271521603459389</v>
      </c>
      <c r="I99" s="168"/>
      <c r="J99" s="175">
        <f>H99/DAY(B2)</f>
        <v>0.14181014402306261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24138.95</v>
      </c>
      <c r="I100" s="118"/>
      <c r="J100" s="175">
        <f>H100/DAY(B2)</f>
        <v>1609.2633333333333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1.3107873543037112</v>
      </c>
      <c r="I101" s="168"/>
      <c r="J101" s="175">
        <f>H101/DAY(B2)</f>
        <v>8.738582362024741E-2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25535.420000000002</v>
      </c>
      <c r="I102" s="168"/>
      <c r="J102" s="175">
        <f>H102/DAY(B2)</f>
        <v>1702.3613333333335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1.3790733791876622</v>
      </c>
      <c r="I103" s="118"/>
      <c r="J103" s="175">
        <f>H103/DAY(B2)</f>
        <v>9.1938225279177471E-2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22539.739999999998</v>
      </c>
      <c r="I104" s="118"/>
      <c r="J104" s="175">
        <f>H104/DAY(B2)</f>
        <v>1502.6493333333333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1.2254857633090417</v>
      </c>
      <c r="I105" s="187"/>
      <c r="J105" s="188">
        <f>H105/DAY(B2)</f>
        <v>8.1699050887269448E-2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1128.6999999999971</v>
      </c>
      <c r="I112" s="165"/>
      <c r="J112" s="328">
        <f>H112/DAY(B2)</f>
        <v>75.246666666666471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6759.32</v>
      </c>
      <c r="I113" s="165"/>
      <c r="J113" s="328">
        <f>H113/DAY(B2)</f>
        <v>450.62133333333333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3976.5</v>
      </c>
      <c r="I114" s="165"/>
      <c r="J114" s="328">
        <f>H114/DAY(B2)</f>
        <v>265.10000000000002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151.6299999999992</v>
      </c>
      <c r="I115" s="165"/>
      <c r="J115" s="328">
        <f>H115/DAY(B2)</f>
        <v>10.108666666666613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363.8739999999998</v>
      </c>
      <c r="I117" s="165"/>
      <c r="J117" s="328">
        <f>H117/DAY(B2)</f>
        <v>24.258266666666653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5393.1900000000023</v>
      </c>
      <c r="I118" s="165"/>
      <c r="J118" s="328">
        <f>H118/DAY(B2)</f>
        <v>359.54600000000016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6200.2699999999895</v>
      </c>
      <c r="I119" s="165"/>
      <c r="J119" s="328">
        <f>H119/DAY(B2)</f>
        <v>413.35133333333266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6198</v>
      </c>
      <c r="I120" s="165"/>
      <c r="J120" s="328">
        <f>H120/DAY(B2)</f>
        <v>413.2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10538.190000000002</v>
      </c>
      <c r="I121" s="165"/>
      <c r="J121" s="328">
        <f>H121/DAY(B2)</f>
        <v>702.54600000000016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3129.8399999999965</v>
      </c>
      <c r="I122" s="165"/>
      <c r="J122" s="328">
        <f>H122/DAY(B2)</f>
        <v>208.65599999999978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4585.640000000014</v>
      </c>
      <c r="I123" s="165"/>
      <c r="J123" s="328">
        <f>H123/DAY(B2)</f>
        <v>305.70933333333426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4781.57</v>
      </c>
      <c r="I128" s="165"/>
      <c r="J128" s="328">
        <f>H128/DAY(B2)</f>
        <v>318.7713333333333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3310.1399999999994</v>
      </c>
      <c r="I129" s="165"/>
      <c r="J129" s="328">
        <f>H129/DAY(B2)</f>
        <v>220.67599999999996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9032.32</v>
      </c>
      <c r="I130" s="165"/>
      <c r="J130" s="328">
        <f>H130/DAY(B2)</f>
        <v>602.15466666666669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1084.0100000000002</v>
      </c>
      <c r="I131" s="165"/>
      <c r="J131" s="328">
        <f>H131/DAY(B2)</f>
        <v>72.267333333333355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7273.4000000000015</v>
      </c>
      <c r="I132" s="165"/>
      <c r="J132" s="328">
        <f>H132/DAY(B2)</f>
        <v>484.89333333333343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9422.2700000000041</v>
      </c>
      <c r="I133" s="165"/>
      <c r="J133" s="328">
        <f>H133/DAY(B2)</f>
        <v>628.15133333333358</v>
      </c>
    </row>
    <row r="134" spans="1:15" s="493" customFormat="1" ht="27.75" x14ac:dyDescent="0.5">
      <c r="A134" s="907" t="s">
        <v>340</v>
      </c>
      <c r="B134" s="908"/>
      <c r="C134" s="909"/>
      <c r="D134" s="233" t="s">
        <v>183</v>
      </c>
      <c r="E134" s="490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8164.57</v>
      </c>
      <c r="I134" s="158"/>
      <c r="J134" s="492">
        <f>H134/DAY(B2)</f>
        <v>544.30466666666666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33444.280000000006</v>
      </c>
      <c r="I135" s="327">
        <f>G135-(G35+G49)</f>
        <v>-332.149999999996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939</v>
      </c>
      <c r="I138" s="118"/>
      <c r="J138" s="328">
        <f>H138/DAY(B2)</f>
        <v>62.6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4</v>
      </c>
      <c r="I139" s="118"/>
      <c r="J139" s="328">
        <f>H139/DAY(B2)</f>
        <v>0.26666666666666666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16</v>
      </c>
      <c r="I140" s="118"/>
      <c r="J140" s="328">
        <f>H140/DAY(B2)</f>
        <v>1.0666666666666667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2604.9800000000032</v>
      </c>
      <c r="I141" s="118"/>
      <c r="J141" s="328">
        <f>H141/DAY(B2)</f>
        <v>173.66533333333354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1033.9199999999983</v>
      </c>
      <c r="I142" s="140"/>
      <c r="J142" s="328">
        <f>H142/DAY(B2)</f>
        <v>68.927999999999884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355.07000000000016</v>
      </c>
      <c r="I143" s="140"/>
      <c r="J143" s="328">
        <f>H143/DAY(B2)</f>
        <v>23.671333333333344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3394</v>
      </c>
      <c r="I144" s="140"/>
      <c r="J144" s="328">
        <f>H144/DAY(B2)</f>
        <v>226.26666666666668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224.42000000000007</v>
      </c>
      <c r="I145" s="140"/>
      <c r="J145" s="328">
        <f>H145/DAY(B2)</f>
        <v>14.961333333333338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6029</v>
      </c>
      <c r="I146" s="140"/>
      <c r="J146" s="328">
        <f>H146/DAY(B2)</f>
        <v>401.93333333333334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5560.8399999999674</v>
      </c>
      <c r="I147" s="140"/>
      <c r="J147" s="328">
        <f>H147/DAY(B2)</f>
        <v>370.72266666666451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3499.4400000000605</v>
      </c>
      <c r="I148" s="124"/>
      <c r="J148" s="328">
        <f>H148/DAY(B2)</f>
        <v>233.29600000000403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6166.34</v>
      </c>
      <c r="I149" s="119"/>
      <c r="J149" s="328">
        <f>H149/DAY(B2)</f>
        <v>411.08933333333334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3270.12</v>
      </c>
      <c r="I150" s="119"/>
      <c r="J150" s="328">
        <f>H150/DAY(B2)</f>
        <v>218.00799999999998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3502</v>
      </c>
      <c r="I151" s="119"/>
      <c r="J151" s="328">
        <f>H151/DAY(B2)</f>
        <v>233.46666666666667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263.19000000000005</v>
      </c>
      <c r="I152" s="119"/>
      <c r="J152" s="328">
        <f>H152/DAY(B2)</f>
        <v>17.546000000000003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8612.2599999999984</v>
      </c>
      <c r="I155" s="364"/>
      <c r="J155" s="328">
        <f>H155/DAY(B2)</f>
        <v>574.15066666666655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753.25</v>
      </c>
      <c r="I156" s="165"/>
      <c r="J156" s="328">
        <f>H156/DAY(B2)</f>
        <v>50.216666666666669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 x14ac:dyDescent="0.5">
      <c r="A159" s="897"/>
      <c r="B159" s="898"/>
      <c r="C159" s="89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278.88000000000466</v>
      </c>
      <c r="I161" s="236"/>
      <c r="J161" s="239">
        <f>H161/DAY(B2)</f>
        <v>18.592000000000311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432.30000000000291</v>
      </c>
      <c r="I162" s="236"/>
      <c r="J162" s="239">
        <f>H162/DAY(B2)</f>
        <v>28.820000000000196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654.10000000000582</v>
      </c>
      <c r="I163" s="236"/>
      <c r="J163" s="239">
        <f>H163/DAY(B2)</f>
        <v>43.606666666667053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23.5</v>
      </c>
      <c r="I164" s="236"/>
      <c r="J164" s="239">
        <f>H164/DAY(B2)</f>
        <v>1.5666666666666667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97.529999999998836</v>
      </c>
      <c r="I165" s="236"/>
      <c r="J165" s="239">
        <f>H165/DAY(B2)</f>
        <v>6.5019999999999225</v>
      </c>
    </row>
    <row r="166" spans="1:10" ht="29.25" x14ac:dyDescent="0.5">
      <c r="A166" s="822"/>
      <c r="B166" s="82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1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26" t="s">
        <v>209</v>
      </c>
      <c r="B173" s="827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26" t="s">
        <v>75</v>
      </c>
      <c r="B174" s="827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138</v>
      </c>
      <c r="I174" s="155"/>
      <c r="J174" s="178">
        <f>H174/DAY(B2)</f>
        <v>9.1999999999999993</v>
      </c>
    </row>
    <row r="175" spans="1:10" ht="21.75" customHeight="1" x14ac:dyDescent="0.5">
      <c r="A175" s="826" t="s">
        <v>76</v>
      </c>
      <c r="B175" s="866"/>
      <c r="C175" s="827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138</v>
      </c>
      <c r="I175" s="155"/>
      <c r="J175" s="178">
        <f>H175/DAY(B2)</f>
        <v>9.1999999999999993</v>
      </c>
    </row>
    <row r="176" spans="1:10" ht="21.75" customHeight="1" x14ac:dyDescent="0.5">
      <c r="A176" s="817" t="s">
        <v>196</v>
      </c>
      <c r="B176" s="81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276</v>
      </c>
      <c r="I176" s="155"/>
      <c r="J176" s="178">
        <f>H176/DAY(B2)</f>
        <v>18.399999999999999</v>
      </c>
    </row>
    <row r="177" spans="1:10" ht="21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26" t="s">
        <v>210</v>
      </c>
      <c r="B178" s="827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855</v>
      </c>
      <c r="I178" s="155"/>
      <c r="J178" s="178">
        <f>H178/DAY(B2)</f>
        <v>57</v>
      </c>
    </row>
    <row r="179" spans="1:10" ht="24" customHeight="1" x14ac:dyDescent="0.5">
      <c r="A179" s="826" t="s">
        <v>211</v>
      </c>
      <c r="B179" s="827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308</v>
      </c>
      <c r="I179" s="155"/>
      <c r="J179" s="178">
        <f>H179/DAY(B2)</f>
        <v>20.533333333333335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115</v>
      </c>
      <c r="I180" s="155"/>
      <c r="J180" s="178">
        <f>H180/DAY(B2)</f>
        <v>7.666666666666667</v>
      </c>
    </row>
    <row r="181" spans="1:10" ht="27.75" x14ac:dyDescent="0.5">
      <c r="A181" s="828" t="s">
        <v>108</v>
      </c>
      <c r="B181" s="829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1278</v>
      </c>
      <c r="I181" s="155"/>
      <c r="J181" s="178">
        <f>H181/DAY(B2)</f>
        <v>85.2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182</v>
      </c>
      <c r="I183" s="155"/>
      <c r="J183" s="178">
        <f>H183/DAY(B2)</f>
        <v>12.133333333333333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97</v>
      </c>
      <c r="I184" s="155"/>
      <c r="J184" s="178">
        <f>H184/DAY(B2)</f>
        <v>6.4666666666666668</v>
      </c>
    </row>
    <row r="185" spans="1:10" ht="32.25" customHeight="1" x14ac:dyDescent="0.5">
      <c r="A185" s="826" t="s">
        <v>216</v>
      </c>
      <c r="B185" s="82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279</v>
      </c>
      <c r="I186" s="157"/>
      <c r="J186" s="178">
        <f>H186/DAY(B2)</f>
        <v>18.600000000000001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134</v>
      </c>
      <c r="H187" s="99">
        <f>G187+'14'!H187</f>
        <v>1686</v>
      </c>
      <c r="I187" s="158"/>
      <c r="J187" s="179">
        <f>H187/DAY(B2)</f>
        <v>112.4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103</v>
      </c>
      <c r="H189" s="99">
        <f>G189+'14'!H189</f>
        <v>1278</v>
      </c>
      <c r="I189" s="158"/>
      <c r="J189" s="179">
        <f>H189/DAY(B2)</f>
        <v>85.2</v>
      </c>
    </row>
    <row r="190" spans="1:10" ht="27" customHeight="1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12" zoomScale="55" zoomScaleNormal="90" zoomScaleSheetLayoutView="55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8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5" t="s">
        <v>128</v>
      </c>
      <c r="B6" s="876"/>
      <c r="C6" s="87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294393</v>
      </c>
      <c r="I7" s="113">
        <f>'1'!I7</f>
        <v>12000</v>
      </c>
      <c r="J7" s="175">
        <f>H7/DAY(B2)</f>
        <v>18399.5625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299305</v>
      </c>
      <c r="I8" s="116"/>
      <c r="J8" s="175">
        <f>H8/DAY(B2)</f>
        <v>18706.5625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601">
        <v>87159</v>
      </c>
      <c r="G9" s="112">
        <f>F9-E9</f>
        <v>10803.589999999997</v>
      </c>
      <c r="H9" s="99">
        <f>G9+'15'!H9</f>
        <v>185664</v>
      </c>
      <c r="I9" s="124">
        <f>I7-J7</f>
        <v>-6399.5625</v>
      </c>
      <c r="J9" s="175">
        <f>H9/DAY(B2)</f>
        <v>11604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100555</v>
      </c>
      <c r="I10" s="282"/>
      <c r="J10" s="175">
        <f>H10/DAY(B2)</f>
        <v>6284.6875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266753.74999999988</v>
      </c>
      <c r="I13" s="120">
        <f>G7-G13</f>
        <v>538.88000000000466</v>
      </c>
      <c r="J13" s="175">
        <f>H13/DAY(B2)</f>
        <v>16672.109374999993</v>
      </c>
      <c r="K13" s="79"/>
      <c r="L13" s="66"/>
      <c r="N13" s="87"/>
      <c r="O13" s="71"/>
    </row>
    <row r="14" spans="1:16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14176</v>
      </c>
      <c r="I15" s="113">
        <f>'1'!I15</f>
        <v>800</v>
      </c>
      <c r="J15" s="175">
        <f>H15/DAY(B2)</f>
        <v>886</v>
      </c>
      <c r="K15" s="79"/>
      <c r="L15" s="66"/>
      <c r="N15" s="87">
        <v>735868</v>
      </c>
      <c r="O15" s="71">
        <v>719798</v>
      </c>
      <c r="P15" s="555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-86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1740</v>
      </c>
      <c r="I18" s="113">
        <f>'1'!I18</f>
        <v>65</v>
      </c>
      <c r="J18" s="175">
        <f>H18/DAY(B2)</f>
        <v>108.75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847</v>
      </c>
      <c r="I19" s="335"/>
      <c r="J19" s="175">
        <f>H19/DAY(B2)</f>
        <v>52.9375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2587</v>
      </c>
      <c r="I20" s="336">
        <f>I18-J20</f>
        <v>-96.6875</v>
      </c>
      <c r="J20" s="175">
        <f>H20/DAY(B2)</f>
        <v>161.6875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83" t="s">
        <v>149</v>
      </c>
      <c r="B25" s="884"/>
      <c r="C25" s="88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2693745</v>
      </c>
      <c r="I27" s="138"/>
      <c r="J27" s="175">
        <f>H27/DAY(B2)</f>
        <v>168359.0625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737152</v>
      </c>
      <c r="I28" s="140"/>
      <c r="J28" s="175">
        <f>H28/DAY(B2)</f>
        <v>46072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123662</v>
      </c>
      <c r="I30" s="140"/>
      <c r="J30" s="175">
        <f>H30/DAY(B2)</f>
        <v>7728.875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139200</v>
      </c>
      <c r="I31" s="140"/>
      <c r="J31" s="175">
        <f>H31/DAY(B2)</f>
        <v>8700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3693759</v>
      </c>
      <c r="I32" s="144"/>
      <c r="J32" s="175">
        <f>H32/DAY(B2)</f>
        <v>230859.9375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495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26975</v>
      </c>
      <c r="I35" s="95"/>
      <c r="J35" s="175">
        <f>H35/DAY(B2)</f>
        <v>1685.9375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11355</v>
      </c>
      <c r="I36" s="95"/>
      <c r="J36" s="175">
        <f>H36/DAY(B2)</f>
        <v>709.6875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24023</v>
      </c>
      <c r="I37" s="95"/>
      <c r="J37" s="175">
        <f>H37/DAY(B2)</f>
        <v>1501.4375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25764</v>
      </c>
      <c r="I38" s="95"/>
      <c r="J38" s="175">
        <f>H38/DAY(B2)</f>
        <v>1610.25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41792</v>
      </c>
      <c r="I39" s="95"/>
      <c r="J39" s="175">
        <f>H39/DAY(B2)</f>
        <v>2612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7301</v>
      </c>
      <c r="I40" s="95"/>
      <c r="J40" s="175">
        <f>H40/DAY(B2)</f>
        <v>456.3125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-0.39999999999417923</v>
      </c>
      <c r="I42" s="95"/>
      <c r="J42" s="175">
        <f>H42/DAY(B2)</f>
        <v>-2.4999999999636202E-2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35563</v>
      </c>
      <c r="I43" s="95"/>
      <c r="J43" s="175">
        <f>H43/DAY(B2)</f>
        <v>2222.6875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172772.6</v>
      </c>
      <c r="I47" s="95"/>
      <c r="J47" s="175">
        <f>H47/DAY(B2)</f>
        <v>10798.2875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23098</v>
      </c>
      <c r="I49" s="95"/>
      <c r="J49" s="175">
        <f>H49/DAY(B2)</f>
        <v>1443.625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15636</v>
      </c>
      <c r="I50" s="95"/>
      <c r="J50" s="175">
        <f>H50/DAY(B2)</f>
        <v>977.25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4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90">
        <f>'15'!F54</f>
        <v>3661.51</v>
      </c>
      <c r="F54" s="603">
        <v>4227</v>
      </c>
      <c r="G54" s="236">
        <f t="shared" si="4"/>
        <v>565.48999999999978</v>
      </c>
      <c r="H54" s="99">
        <f>G54+'15'!H54</f>
        <v>5994.08</v>
      </c>
      <c r="I54" s="95"/>
      <c r="J54" s="175">
        <f>H54/DAY(B2)</f>
        <v>374.63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90">
        <f>'15'!F55</f>
        <v>48711.23</v>
      </c>
      <c r="F55" s="494">
        <v>51744</v>
      </c>
      <c r="G55" s="236">
        <f t="shared" si="4"/>
        <v>3032.7699999999968</v>
      </c>
      <c r="H55" s="99">
        <f>G55+'15'!H55</f>
        <v>48233</v>
      </c>
      <c r="I55" s="95"/>
      <c r="J55" s="175">
        <f>H55/DAY(B2)</f>
        <v>3014.5625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2339.6300000000047</v>
      </c>
      <c r="I58" s="95"/>
      <c r="J58" s="175">
        <f>H58/DAY(B2)</f>
        <v>146.22687500000029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95300.710000000021</v>
      </c>
      <c r="I59" s="95">
        <f>G7-G60</f>
        <v>1296.1800000000148</v>
      </c>
      <c r="J59" s="175">
        <f>H59/DAY(B2)</f>
        <v>5956.2943750000013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268073.31</v>
      </c>
      <c r="I60" s="95">
        <f>G13-G60</f>
        <v>757.30000000001019</v>
      </c>
      <c r="J60" s="175">
        <f>H60/DAY(B2)</f>
        <v>16754.581875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960</v>
      </c>
      <c r="I62" s="118"/>
      <c r="J62" s="175">
        <f>H62/DAY(B2)</f>
        <v>60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1609</v>
      </c>
      <c r="I63" s="118"/>
      <c r="J63" s="175">
        <f>H63/DAY(B2)</f>
        <v>100.5625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v>0</v>
      </c>
      <c r="F64" s="122"/>
      <c r="G64" s="112">
        <f>G62+G63</f>
        <v>157</v>
      </c>
      <c r="H64" s="99">
        <f>G64+'15'!H64</f>
        <v>2569</v>
      </c>
      <c r="I64" s="118"/>
      <c r="J64" s="175">
        <f>H64/DAY(B2)</f>
        <v>160.5625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1113</v>
      </c>
      <c r="I65" s="118"/>
      <c r="J65" s="175">
        <f>H65/DAY(B2)</f>
        <v>69.5625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279</v>
      </c>
      <c r="I66" s="118"/>
      <c r="J66" s="175">
        <f>H66/DAY(B2)</f>
        <v>17.4375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375</v>
      </c>
      <c r="I67" s="118"/>
      <c r="J67" s="175">
        <f>H67/DAY(B2)</f>
        <v>23.4375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417</v>
      </c>
      <c r="I68" s="118"/>
      <c r="J68" s="175">
        <f>H68/DAY(B2)</f>
        <v>26.0625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155</v>
      </c>
      <c r="I69" s="118"/>
      <c r="J69" s="175">
        <f>H69/DAY(B2)</f>
        <v>9.6875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122</v>
      </c>
      <c r="I70" s="118"/>
      <c r="J70" s="175">
        <f>H70/DAY(B2)</f>
        <v>7.625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153</v>
      </c>
      <c r="H71" s="99">
        <f>G71+'15'!H71</f>
        <v>2461</v>
      </c>
      <c r="I71" s="154"/>
      <c r="J71" s="175">
        <f>H71/DAY(B2)</f>
        <v>153.8125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496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4741</v>
      </c>
      <c r="I74" s="154"/>
      <c r="J74" s="175">
        <f>H74/DAY(B2)</f>
        <v>296.3125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1350</v>
      </c>
      <c r="I76" s="154"/>
      <c r="J76" s="175">
        <f>H76/DAY(B2)</f>
        <v>84.375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482</v>
      </c>
      <c r="I77" s="154"/>
      <c r="J77" s="175">
        <f>H77/DAY(B2)</f>
        <v>30.125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13</v>
      </c>
      <c r="I78" s="118"/>
      <c r="J78" s="175">
        <f>H78/DAY(B2)</f>
        <v>0.8125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7589.8000000000029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-9.9999999997635314E-3</v>
      </c>
      <c r="I85" s="118">
        <f>G82+G83+G84+G85</f>
        <v>0</v>
      </c>
      <c r="J85" s="175">
        <f>H85/DAY(B2)</f>
        <v>-6.2499999998522071E-4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385</v>
      </c>
      <c r="I86" s="118"/>
      <c r="J86" s="175">
        <f>H86/DAY(B2)</f>
        <v>24.0625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12.290000000000873</v>
      </c>
      <c r="I88" s="118">
        <f>G86+G87+G88</f>
        <v>23.510000000002037</v>
      </c>
      <c r="J88" s="175">
        <f>H88/DAY(B2)</f>
        <v>0.76812500000005457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98.090000000000146</v>
      </c>
      <c r="I89" s="118"/>
      <c r="J89" s="175">
        <f>H89/DAY(B2)</f>
        <v>6.1306250000000091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92.160000000003492</v>
      </c>
      <c r="I90" s="118">
        <f>G89+G90</f>
        <v>17.830000000001746</v>
      </c>
      <c r="J90" s="175">
        <f>H90/DAY(B2)</f>
        <v>5.7600000000002183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166.40999999999985</v>
      </c>
      <c r="I92" s="165"/>
      <c r="J92" s="175">
        <f>H92/DAY(B2)</f>
        <v>10.400624999999991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85636</v>
      </c>
      <c r="I94" s="118"/>
      <c r="J94" s="175">
        <f>H94/DAY(B2)</f>
        <v>5352.25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51"/>
      <c r="G95" s="166">
        <f>G94/G7</f>
        <v>0.26919213942272946</v>
      </c>
      <c r="H95" s="99">
        <f>G95+'15'!H95</f>
        <v>4.6429612846879751</v>
      </c>
      <c r="I95" s="167"/>
      <c r="J95" s="175">
        <f>H95/DAY(B2)</f>
        <v>0.29018508029299844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48232.600000000006</v>
      </c>
      <c r="I96" s="118"/>
      <c r="J96" s="175">
        <f>H96/DAY(B2)</f>
        <v>3014.5375000000004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0.17516034480269124</v>
      </c>
      <c r="H97" s="99">
        <f>G97+'15'!H97</f>
        <v>2.6290312410790806</v>
      </c>
      <c r="I97" s="167"/>
      <c r="J97" s="175">
        <f>H97/DAY(B2)</f>
        <v>0.16431445256744254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2600.0999999999985</v>
      </c>
      <c r="H98" s="99">
        <f>G98+'15'!H98</f>
        <v>41792</v>
      </c>
      <c r="I98" s="168"/>
      <c r="J98" s="175">
        <f>H98/DAY(B2)</f>
        <v>2612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0.15017110183808127</v>
      </c>
      <c r="H99" s="99">
        <f>G99+'15'!H99</f>
        <v>2.2773232621840203</v>
      </c>
      <c r="I99" s="168"/>
      <c r="J99" s="175">
        <f>H99/DAY(B2)</f>
        <v>0.14233270388650127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25764</v>
      </c>
      <c r="I100" s="118"/>
      <c r="J100" s="175">
        <f>H100/DAY(B2)</f>
        <v>1610.25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1.4046435710038281</v>
      </c>
      <c r="I101" s="168"/>
      <c r="J101" s="175">
        <f>H101/DAY(B2)</f>
        <v>8.7790223187739255E-2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26991</v>
      </c>
      <c r="I102" s="168"/>
      <c r="J102" s="175">
        <f>H102/DAY(B2)</f>
        <v>1686.9375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1.4631417044111052</v>
      </c>
      <c r="I103" s="118"/>
      <c r="J103" s="175">
        <f>H103/DAY(B2)</f>
        <v>9.1446356525694078E-2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24023</v>
      </c>
      <c r="I104" s="118"/>
      <c r="J104" s="175">
        <f>H104/DAY(B2)</f>
        <v>1501.4375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1.3111527716980853</v>
      </c>
      <c r="I105" s="187"/>
      <c r="J105" s="188">
        <f>H105/DAY(B2)</f>
        <v>8.1947048231130332E-2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7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1205</v>
      </c>
      <c r="I112" s="165"/>
      <c r="J112" s="328">
        <f>H112/DAY(B2)</f>
        <v>75.3125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7214</v>
      </c>
      <c r="I113" s="165"/>
      <c r="J113" s="328">
        <f>H113/DAY(B2)</f>
        <v>450.875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490">
        <f>'15'!F114</f>
        <v>28847.5</v>
      </c>
      <c r="F114" s="501">
        <v>29108</v>
      </c>
      <c r="G114" s="236">
        <v>126.9</v>
      </c>
      <c r="H114" s="99">
        <f>G114+'15'!H114</f>
        <v>4103.3999999999996</v>
      </c>
      <c r="I114" s="165"/>
      <c r="J114" s="328">
        <f>H114/DAY(B2)</f>
        <v>256.46249999999998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490">
        <f>'15'!F115</f>
        <v>8936.6299999999992</v>
      </c>
      <c r="F115" s="501">
        <v>8944</v>
      </c>
      <c r="G115" s="236">
        <f t="shared" si="9"/>
        <v>7.3700000000008004</v>
      </c>
      <c r="H115" s="99">
        <f>G115+'15'!H115</f>
        <v>159</v>
      </c>
      <c r="I115" s="165"/>
      <c r="J115" s="328">
        <f>H115/DAY(B2)</f>
        <v>9.9375</v>
      </c>
      <c r="N115" s="602" t="s">
        <v>367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387</v>
      </c>
      <c r="I117" s="165"/>
      <c r="J117" s="328">
        <f>H117/DAY(B2)</f>
        <v>24.1875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5700</v>
      </c>
      <c r="I118" s="165"/>
      <c r="J118" s="328">
        <f>H118/DAY(B2)</f>
        <v>356.25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490">
        <f>'15'!F119</f>
        <v>251326.27</v>
      </c>
      <c r="F119" s="501">
        <v>251784</v>
      </c>
      <c r="G119" s="112">
        <f t="shared" si="9"/>
        <v>457.73000000001048</v>
      </c>
      <c r="H119" s="99">
        <f>G119+'15'!H119</f>
        <v>6658</v>
      </c>
      <c r="I119" s="165"/>
      <c r="J119" s="328">
        <f>H119/DAY(B2)</f>
        <v>416.125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6633</v>
      </c>
      <c r="I120" s="165"/>
      <c r="J120" s="328">
        <f>H120/DAY(B2)</f>
        <v>414.5625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11208</v>
      </c>
      <c r="I121" s="165"/>
      <c r="J121" s="328">
        <f>H121/DAY(B2)</f>
        <v>700.5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3298</v>
      </c>
      <c r="I122" s="165"/>
      <c r="J122" s="328">
        <f>H122/DAY(B2)</f>
        <v>206.125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4856</v>
      </c>
      <c r="I123" s="165"/>
      <c r="J123" s="328">
        <f>H123/DAY(B2)</f>
        <v>303.5</v>
      </c>
    </row>
    <row r="124" spans="1:18" ht="29.25" customHeight="1" x14ac:dyDescent="0.5">
      <c r="A124" s="837"/>
      <c r="B124" s="838"/>
      <c r="C124" s="839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5103</v>
      </c>
      <c r="I128" s="165"/>
      <c r="J128" s="328">
        <f>H128/DAY(B2)</f>
        <v>318.9375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3509</v>
      </c>
      <c r="I129" s="165"/>
      <c r="J129" s="328">
        <f>H129/DAY(B2)</f>
        <v>219.3125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9523</v>
      </c>
      <c r="I130" s="165"/>
      <c r="J130" s="328">
        <f>H130/DAY(B2)</f>
        <v>595.1875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1142</v>
      </c>
      <c r="I131" s="165"/>
      <c r="J131" s="328">
        <f>H131/DAY(B2)</f>
        <v>71.375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7781</v>
      </c>
      <c r="I132" s="165"/>
      <c r="J132" s="328">
        <f>H132/DAY(B2)</f>
        <v>486.3125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9891</v>
      </c>
      <c r="I133" s="165"/>
      <c r="J133" s="328">
        <f>H133/DAY(B2)</f>
        <v>618.1875</v>
      </c>
    </row>
    <row r="134" spans="1:15" s="493" customFormat="1" ht="27.75" x14ac:dyDescent="0.5">
      <c r="A134" s="907" t="s">
        <v>340</v>
      </c>
      <c r="B134" s="908"/>
      <c r="C134" s="909"/>
      <c r="D134" s="233" t="s">
        <v>183</v>
      </c>
      <c r="E134" s="490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8321</v>
      </c>
      <c r="I134" s="158"/>
      <c r="J134" s="492">
        <f>H134/DAY(B2)</f>
        <v>520.0625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33425.719999999994</v>
      </c>
      <c r="I135" s="327">
        <f>G135-(G35+G49)</f>
        <v>-387.850000000004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3" customFormat="1" ht="27.75" x14ac:dyDescent="0.5">
      <c r="A138" s="912" t="s">
        <v>185</v>
      </c>
      <c r="B138" s="912"/>
      <c r="C138" s="912"/>
      <c r="D138" s="233" t="s">
        <v>183</v>
      </c>
      <c r="E138" s="490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998</v>
      </c>
      <c r="I138" s="491"/>
      <c r="J138" s="492">
        <f>H138/DAY(B2)</f>
        <v>62.375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4</v>
      </c>
      <c r="I139" s="118"/>
      <c r="J139" s="328">
        <f>H139/DAY(B2)</f>
        <v>0.25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16</v>
      </c>
      <c r="I140" s="118"/>
      <c r="J140" s="328">
        <f>H140/DAY(B2)</f>
        <v>1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2770</v>
      </c>
      <c r="I141" s="118"/>
      <c r="J141" s="328">
        <f>H141/DAY(B2)</f>
        <v>173.125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1110</v>
      </c>
      <c r="I142" s="140"/>
      <c r="J142" s="328">
        <f>H142/DAY(B2)</f>
        <v>69.375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378</v>
      </c>
      <c r="I143" s="140"/>
      <c r="J143" s="328">
        <f>H143/DAY(B2)</f>
        <v>23.625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3620</v>
      </c>
      <c r="I144" s="140"/>
      <c r="J144" s="328">
        <f>H144/DAY(B2)</f>
        <v>226.25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240</v>
      </c>
      <c r="I145" s="140"/>
      <c r="J145" s="328">
        <f>H145/DAY(B2)</f>
        <v>15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6470</v>
      </c>
      <c r="I146" s="140"/>
      <c r="J146" s="328">
        <f>H146/DAY(B2)</f>
        <v>404.375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5897</v>
      </c>
      <c r="I147" s="140"/>
      <c r="J147" s="328">
        <f>H147/DAY(B2)</f>
        <v>368.5625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3662.8800000000047</v>
      </c>
      <c r="I148" s="124"/>
      <c r="J148" s="328">
        <f>H148/DAY(B2)</f>
        <v>228.93000000000029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6596</v>
      </c>
      <c r="I149" s="119"/>
      <c r="J149" s="328">
        <f>H149/DAY(B2)</f>
        <v>412.25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3493</v>
      </c>
      <c r="I150" s="119"/>
      <c r="J150" s="328">
        <f>H150/DAY(B2)</f>
        <v>218.3125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3726</v>
      </c>
      <c r="I151" s="119"/>
      <c r="J151" s="328">
        <f>H151/DAY(B2)</f>
        <v>232.875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278</v>
      </c>
      <c r="I152" s="119"/>
      <c r="J152" s="328">
        <f>H152/DAY(B2)</f>
        <v>17.375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490">
        <f>'15'!F155</f>
        <v>22084.26</v>
      </c>
      <c r="F155" s="532">
        <v>22693</v>
      </c>
      <c r="G155" s="236">
        <f>F155-E155</f>
        <v>608.7400000000016</v>
      </c>
      <c r="H155" s="99">
        <f>G155+'15'!H155</f>
        <v>9221</v>
      </c>
      <c r="I155" s="364"/>
      <c r="J155" s="328">
        <f>H155/DAY(B2)</f>
        <v>576.3125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490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810</v>
      </c>
      <c r="I156" s="165"/>
      <c r="J156" s="328">
        <f>H156/DAY(B2)</f>
        <v>50.625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490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490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 x14ac:dyDescent="0.5">
      <c r="A159" s="897"/>
      <c r="B159" s="898"/>
      <c r="C159" s="89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285.84000000002561</v>
      </c>
      <c r="I161" s="236"/>
      <c r="J161" s="239">
        <f>H161/DAY(B2)</f>
        <v>17.865000000001601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446</v>
      </c>
      <c r="I162" s="236"/>
      <c r="J162" s="239">
        <f>H162/DAY(B2)</f>
        <v>27.875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690</v>
      </c>
      <c r="I163" s="236"/>
      <c r="J163" s="239">
        <f>H163/DAY(B2)</f>
        <v>43.125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24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100</v>
      </c>
      <c r="I165" s="236"/>
      <c r="J165" s="239">
        <f>H165/DAY(B2)</f>
        <v>6.25</v>
      </c>
    </row>
    <row r="166" spans="1:10" ht="29.25" x14ac:dyDescent="0.5">
      <c r="A166" s="822"/>
      <c r="B166" s="82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151</v>
      </c>
      <c r="I174" s="155"/>
      <c r="J174" s="178">
        <f>H174/DAY(B2)</f>
        <v>9.4375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148</v>
      </c>
      <c r="I175" s="155"/>
      <c r="J175" s="178">
        <f>H175/DAY(B2)</f>
        <v>9.25</v>
      </c>
    </row>
    <row r="176" spans="1:10" ht="27.75" x14ac:dyDescent="0.5">
      <c r="A176" s="817" t="s">
        <v>196</v>
      </c>
      <c r="B176" s="81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299</v>
      </c>
      <c r="I176" s="155"/>
      <c r="J176" s="178">
        <f>H176/DAY(B2)</f>
        <v>18.6875</v>
      </c>
    </row>
    <row r="177" spans="1:11" ht="27.75" x14ac:dyDescent="0.5">
      <c r="A177" s="826" t="s">
        <v>77</v>
      </c>
      <c r="B177" s="82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26" t="s">
        <v>210</v>
      </c>
      <c r="B178" s="827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915</v>
      </c>
      <c r="I178" s="155"/>
      <c r="J178" s="178">
        <f>H178/DAY(B2)</f>
        <v>57.1875</v>
      </c>
    </row>
    <row r="179" spans="1:11" ht="27.75" x14ac:dyDescent="0.5">
      <c r="A179" s="826" t="s">
        <v>211</v>
      </c>
      <c r="B179" s="827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336</v>
      </c>
      <c r="I179" s="155"/>
      <c r="J179" s="178">
        <f>H179/DAY(B2)</f>
        <v>21</v>
      </c>
    </row>
    <row r="180" spans="1:11" ht="27.75" x14ac:dyDescent="0.5">
      <c r="A180" s="826" t="s">
        <v>212</v>
      </c>
      <c r="B180" s="827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118</v>
      </c>
      <c r="I180" s="155"/>
      <c r="J180" s="178">
        <f>H180/DAY(B2)</f>
        <v>7.375</v>
      </c>
    </row>
    <row r="181" spans="1:11" ht="27.75" x14ac:dyDescent="0.5">
      <c r="A181" s="828" t="s">
        <v>108</v>
      </c>
      <c r="B181" s="829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1369</v>
      </c>
      <c r="I181" s="155"/>
      <c r="J181" s="178">
        <f>H181/DAY(B2)</f>
        <v>85.5625</v>
      </c>
    </row>
    <row r="182" spans="1:11" ht="27.75" x14ac:dyDescent="0.5">
      <c r="A182" s="826" t="s">
        <v>213</v>
      </c>
      <c r="B182" s="82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26" t="s">
        <v>214</v>
      </c>
      <c r="B183" s="827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190</v>
      </c>
      <c r="I183" s="155"/>
      <c r="J183" s="178">
        <f>H183/DAY(B2)</f>
        <v>11.875</v>
      </c>
    </row>
    <row r="184" spans="1:11" ht="27.75" x14ac:dyDescent="0.5">
      <c r="A184" s="826" t="s">
        <v>215</v>
      </c>
      <c r="B184" s="827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103</v>
      </c>
      <c r="I184" s="155"/>
      <c r="J184" s="178">
        <f>H184/DAY(B2)</f>
        <v>6.4375</v>
      </c>
    </row>
    <row r="185" spans="1:11" ht="32.25" customHeight="1" x14ac:dyDescent="0.5">
      <c r="A185" s="826" t="s">
        <v>216</v>
      </c>
      <c r="B185" s="82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17" t="s">
        <v>196</v>
      </c>
      <c r="B186" s="81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293</v>
      </c>
      <c r="I186" s="157"/>
      <c r="J186" s="178">
        <f>H186/DAY(B2)</f>
        <v>18.3125</v>
      </c>
    </row>
    <row r="187" spans="1:11" ht="27.75" x14ac:dyDescent="0.5">
      <c r="A187" s="819" t="s">
        <v>217</v>
      </c>
      <c r="B187" s="820"/>
      <c r="C187" s="333"/>
      <c r="D187" s="230" t="s">
        <v>142</v>
      </c>
      <c r="E187" s="95">
        <f>'15'!F187</f>
        <v>0</v>
      </c>
      <c r="F187" s="159"/>
      <c r="G187" s="462">
        <f>G62+G19</f>
        <v>121</v>
      </c>
      <c r="H187" s="99">
        <f>G187+'15'!H187</f>
        <v>1807</v>
      </c>
      <c r="I187" s="158"/>
      <c r="J187" s="179">
        <f>H187/DAY(B2)</f>
        <v>112.9375</v>
      </c>
    </row>
    <row r="188" spans="1:11" ht="27.75" x14ac:dyDescent="0.5">
      <c r="A188" s="819" t="s">
        <v>218</v>
      </c>
      <c r="B188" s="820"/>
      <c r="C188" s="333"/>
      <c r="D188" s="230" t="s">
        <v>142</v>
      </c>
      <c r="E188" s="95">
        <f>'15'!F188</f>
        <v>0</v>
      </c>
      <c r="F188" s="159"/>
      <c r="G188" s="462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819" t="s">
        <v>219</v>
      </c>
      <c r="B189" s="820"/>
      <c r="C189" s="333"/>
      <c r="D189" s="230" t="s">
        <v>142</v>
      </c>
      <c r="E189" s="95">
        <f>'15'!F189</f>
        <v>0</v>
      </c>
      <c r="F189" s="157"/>
      <c r="G189" s="459">
        <f>G181</f>
        <v>91</v>
      </c>
      <c r="H189" s="99">
        <f>G189+'15'!H189</f>
        <v>1369</v>
      </c>
      <c r="I189" s="158"/>
      <c r="J189" s="179">
        <f>H189/DAY(B2)</f>
        <v>85.5625</v>
      </c>
    </row>
    <row r="190" spans="1:11" ht="23.25" customHeight="1" x14ac:dyDescent="0.5">
      <c r="A190" s="910"/>
      <c r="B190" s="911"/>
      <c r="C190" s="556"/>
      <c r="D190" s="480"/>
      <c r="E190" s="480" t="s">
        <v>207</v>
      </c>
      <c r="F190" s="499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8">
        <v>0</v>
      </c>
      <c r="G192" s="160" t="s">
        <v>371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12" zoomScale="55" zoomScaleSheetLayoutView="55" zoomScalePageLayoutView="60" workbookViewId="0">
      <selection activeCell="F131" sqref="F13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311847</v>
      </c>
      <c r="I7" s="113">
        <f>'1'!I7</f>
        <v>12000</v>
      </c>
      <c r="J7" s="175">
        <f>H7/DAY(B2)</f>
        <v>18343.941176470587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316848</v>
      </c>
      <c r="I8" s="116"/>
      <c r="J8" s="175">
        <f>H8/DAY(B2)</f>
        <v>18638.117647058825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601">
        <v>98294.9</v>
      </c>
      <c r="G9" s="112">
        <f>F9-E9</f>
        <v>11135.899999999994</v>
      </c>
      <c r="H9" s="99">
        <f>G9+'16'!H9</f>
        <v>196799.9</v>
      </c>
      <c r="I9" s="124">
        <f>I7-J7</f>
        <v>-6343.9411764705874</v>
      </c>
      <c r="J9" s="175">
        <f>H9/DAY(B2)</f>
        <v>11576.464705882352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106387.73999999999</v>
      </c>
      <c r="I10" s="282"/>
      <c r="J10" s="175">
        <f>H10/DAY(B2)</f>
        <v>6258.1023529411759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283722.3899999999</v>
      </c>
      <c r="I13" s="120">
        <f>G7-G13</f>
        <v>485.36000000000786</v>
      </c>
      <c r="J13" s="175">
        <f>H13/DAY(B2)</f>
        <v>16689.552352941169</v>
      </c>
      <c r="K13" s="79"/>
      <c r="L13" s="66"/>
      <c r="N13" s="87"/>
      <c r="O13" s="71"/>
    </row>
    <row r="14" spans="1:15" ht="27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14910.273000000045</v>
      </c>
      <c r="I15" s="113">
        <f>'1'!I15</f>
        <v>800</v>
      </c>
      <c r="J15" s="175">
        <f>H15/DAY(B2)</f>
        <v>877.07488235294386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-77.07488235294386</v>
      </c>
      <c r="J16" s="176"/>
      <c r="K16" s="79"/>
      <c r="L16" s="66"/>
      <c r="N16" s="87"/>
      <c r="O16" s="71"/>
    </row>
    <row r="17" spans="1:15" ht="27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4" t="s">
        <v>141</v>
      </c>
      <c r="B18" s="855"/>
      <c r="C18" s="856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1820</v>
      </c>
      <c r="I18" s="113">
        <f>'1'!I18</f>
        <v>65</v>
      </c>
      <c r="J18" s="175">
        <f>H18/DAY(B2)</f>
        <v>107.05882352941177</v>
      </c>
      <c r="K18" s="79"/>
      <c r="L18" s="66"/>
      <c r="N18" s="87"/>
      <c r="O18" s="71"/>
    </row>
    <row r="19" spans="1:15" ht="27.75" customHeight="1" x14ac:dyDescent="0.5">
      <c r="A19" s="854" t="s">
        <v>69</v>
      </c>
      <c r="B19" s="855"/>
      <c r="C19" s="856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900</v>
      </c>
      <c r="I19" s="335"/>
      <c r="J19" s="175">
        <f>H19/DAY(B2)</f>
        <v>52.941176470588232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2720</v>
      </c>
      <c r="I20" s="336">
        <f>I18-J20</f>
        <v>-95</v>
      </c>
      <c r="J20" s="175">
        <f>H20/DAY(B2)</f>
        <v>160</v>
      </c>
      <c r="K20" s="79"/>
      <c r="L20" s="66"/>
      <c r="N20" s="87"/>
      <c r="O20" s="71"/>
    </row>
    <row r="21" spans="1:15" ht="27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2851632</v>
      </c>
      <c r="I27" s="138"/>
      <c r="J27" s="175">
        <f>H27/DAY(B2)</f>
        <v>167743.0588235294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775334.19600000232</v>
      </c>
      <c r="I28" s="140"/>
      <c r="J28" s="175">
        <f>H28/DAY(B2)</f>
        <v>45607.893882353077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131400</v>
      </c>
      <c r="I30" s="140"/>
      <c r="J30" s="175">
        <f>H30/DAY(B2)</f>
        <v>7729.411764705882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145600</v>
      </c>
      <c r="I31" s="140"/>
      <c r="J31" s="175">
        <f>H31/DAY(B2)</f>
        <v>8564.7058823529405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3903966.1960000023</v>
      </c>
      <c r="I32" s="144"/>
      <c r="J32" s="175">
        <f>H32/DAY(B2)</f>
        <v>229645.07035294131</v>
      </c>
      <c r="K32" s="63"/>
      <c r="L32" s="89"/>
      <c r="N32" s="87"/>
      <c r="O32" s="71"/>
    </row>
    <row r="33" spans="1:15" ht="27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28293.599999999999</v>
      </c>
      <c r="I35" s="95"/>
      <c r="J35" s="175">
        <f>H35/DAY(B2)</f>
        <v>1664.3294117647058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11947.46</v>
      </c>
      <c r="I36" s="95"/>
      <c r="J36" s="175">
        <f>H36/DAY(B2)</f>
        <v>702.79176470588231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25533.42</v>
      </c>
      <c r="I37" s="95"/>
      <c r="J37" s="175">
        <f>H37/DAY(B2)</f>
        <v>1501.965882352941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27368.16</v>
      </c>
      <c r="I38" s="95"/>
      <c r="J38" s="175">
        <f>H38/DAY(B2)</f>
        <v>1609.8917647058825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44490</v>
      </c>
      <c r="I39" s="95"/>
      <c r="J39" s="175">
        <f>H39/DAY(B2)</f>
        <v>2617.0588235294117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52">
        <v>13361</v>
      </c>
      <c r="G40" s="112">
        <f t="shared" si="3"/>
        <v>450</v>
      </c>
      <c r="H40" s="99">
        <f>G40+'16'!H40</f>
        <v>7751</v>
      </c>
      <c r="I40" s="95"/>
      <c r="J40" s="175">
        <f>H40/DAY(B2)</f>
        <v>455.94117647058823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-0.39999999999417923</v>
      </c>
      <c r="I42" s="95"/>
      <c r="J42" s="175">
        <f>H42/DAY(B2)</f>
        <v>-2.3529411764363486E-2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37782.149999999994</v>
      </c>
      <c r="I43" s="95"/>
      <c r="J43" s="175">
        <f>H43/DAY(B2)</f>
        <v>2222.4794117647057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183165.39</v>
      </c>
      <c r="I47" s="95"/>
      <c r="J47" s="175">
        <f>H47/DAY(B2)</f>
        <v>10774.434705882353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24465.61</v>
      </c>
      <c r="I49" s="95"/>
      <c r="J49" s="175">
        <f>H49/DAY(B2)</f>
        <v>1439.1535294117648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16474.53</v>
      </c>
      <c r="I50" s="95"/>
      <c r="J50" s="175">
        <f>H50/DAY(B2)</f>
        <v>969.08999999999992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6556.78</v>
      </c>
      <c r="I54" s="95"/>
      <c r="J54" s="175">
        <f>H54/DAY(B2)</f>
        <v>385.69294117647058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51238.17</v>
      </c>
      <c r="I55" s="95"/>
      <c r="J55" s="175">
        <f>H55/DAY(B2)</f>
        <v>3014.0099999999998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2357.2300000000046</v>
      </c>
      <c r="I58" s="95"/>
      <c r="J58" s="175">
        <f>H58/DAY(B2)</f>
        <v>138.6605882352944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101092.32000000002</v>
      </c>
      <c r="I59" s="95">
        <f>G7-G60</f>
        <v>1269.6000000000095</v>
      </c>
      <c r="J59" s="175">
        <f>H59/DAY(B2)</f>
        <v>5946.6070588235307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284257.70999999996</v>
      </c>
      <c r="I60" s="95">
        <f>G13-G60</f>
        <v>784.2400000000016</v>
      </c>
      <c r="J60" s="175">
        <f>H60/DAY(B2)</f>
        <v>16721.041764705878</v>
      </c>
      <c r="K60" s="79"/>
      <c r="L60" s="66"/>
      <c r="N60" s="87"/>
      <c r="O60" s="71"/>
    </row>
    <row r="61" spans="1:15" s="68" customFormat="1" ht="27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4" t="s">
        <v>198</v>
      </c>
      <c r="B62" s="855"/>
      <c r="C62" s="856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1026</v>
      </c>
      <c r="I62" s="118"/>
      <c r="J62" s="175">
        <f>H62/DAY(B2)</f>
        <v>60.352941176470587</v>
      </c>
      <c r="K62" s="80"/>
      <c r="L62" s="66"/>
      <c r="N62" s="87"/>
      <c r="O62" s="71"/>
    </row>
    <row r="63" spans="1:15" ht="27.75" customHeight="1" x14ac:dyDescent="0.5">
      <c r="A63" s="854" t="s">
        <v>199</v>
      </c>
      <c r="B63" s="855"/>
      <c r="C63" s="856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 x14ac:dyDescent="0.5">
      <c r="A64" s="863" t="s">
        <v>200</v>
      </c>
      <c r="B64" s="864"/>
      <c r="C64" s="865"/>
      <c r="D64" s="151"/>
      <c r="E64" s="95">
        <f>'16'!F64</f>
        <v>0</v>
      </c>
      <c r="F64" s="122"/>
      <c r="G64" s="112">
        <f>G62+G63</f>
        <v>150</v>
      </c>
      <c r="H64" s="99">
        <f>G64+'16'!H64</f>
        <v>2719</v>
      </c>
      <c r="I64" s="118"/>
      <c r="J64" s="175">
        <f>H64/DAY(B2)</f>
        <v>159.94117647058823</v>
      </c>
      <c r="K64" s="69"/>
      <c r="L64" s="66"/>
      <c r="N64" s="87"/>
      <c r="O64" s="71"/>
    </row>
    <row r="65" spans="1:15" ht="27.75" customHeight="1" x14ac:dyDescent="0.5">
      <c r="A65" s="854" t="s">
        <v>201</v>
      </c>
      <c r="B65" s="855"/>
      <c r="C65" s="856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1178</v>
      </c>
      <c r="I65" s="118"/>
      <c r="J65" s="175">
        <f>H65/DAY(B2)</f>
        <v>69.294117647058826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294</v>
      </c>
      <c r="I66" s="118"/>
      <c r="J66" s="175">
        <f>H66/DAY(B2)</f>
        <v>17.294117647058822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394</v>
      </c>
      <c r="I67" s="118"/>
      <c r="J67" s="175">
        <f>H67/DAY(B2)</f>
        <v>23.176470588235293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438</v>
      </c>
      <c r="I68" s="118"/>
      <c r="J68" s="175">
        <f>H68/DAY(B2)</f>
        <v>25.764705882352942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163</v>
      </c>
      <c r="I69" s="118"/>
      <c r="J69" s="175">
        <f>H69/DAY(B2)</f>
        <v>9.5882352941176467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129</v>
      </c>
      <c r="I70" s="118"/>
      <c r="J70" s="175">
        <f>H70/DAY(B2)</f>
        <v>7.5882352941176467</v>
      </c>
      <c r="K70" s="69"/>
      <c r="L70" s="66"/>
      <c r="N70" s="87"/>
      <c r="O70" s="71"/>
    </row>
    <row r="71" spans="1:15" ht="27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135</v>
      </c>
      <c r="H71" s="99">
        <f>G71+'16'!H71</f>
        <v>2596</v>
      </c>
      <c r="I71" s="154"/>
      <c r="J71" s="175">
        <f>H71/DAY(B2)</f>
        <v>152.70588235294119</v>
      </c>
      <c r="K71" s="69"/>
      <c r="L71" s="66"/>
      <c r="N71" s="87"/>
      <c r="O71" s="71"/>
    </row>
    <row r="72" spans="1:15" s="88" customFormat="1" ht="27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4" t="s">
        <v>220</v>
      </c>
      <c r="B74" s="855"/>
      <c r="C74" s="856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5048.9000000000233</v>
      </c>
      <c r="I74" s="154"/>
      <c r="J74" s="175">
        <f>H74/DAY(B2)</f>
        <v>296.99411764706019</v>
      </c>
      <c r="K74" s="69"/>
      <c r="L74" s="66"/>
      <c r="N74" s="87"/>
      <c r="O74" s="71"/>
    </row>
    <row r="75" spans="1:15" ht="27.75" customHeight="1" x14ac:dyDescent="0.5">
      <c r="A75" s="854" t="s">
        <v>221</v>
      </c>
      <c r="B75" s="855"/>
      <c r="C75" s="856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51" t="s">
        <v>222</v>
      </c>
      <c r="B76" s="852"/>
      <c r="C76" s="853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1423.5</v>
      </c>
      <c r="I76" s="154"/>
      <c r="J76" s="175">
        <f>H76/DAY(B2)</f>
        <v>83.735294117647058</v>
      </c>
      <c r="K76" s="69"/>
      <c r="L76" s="66"/>
      <c r="N76" s="87"/>
      <c r="O76" s="71"/>
    </row>
    <row r="77" spans="1:15" ht="27.75" customHeight="1" x14ac:dyDescent="0.5">
      <c r="A77" s="851" t="s">
        <v>223</v>
      </c>
      <c r="B77" s="852"/>
      <c r="C77" s="853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505.30000000000291</v>
      </c>
      <c r="I77" s="154"/>
      <c r="J77" s="175">
        <f>H77/DAY(B2)</f>
        <v>29.723529411764876</v>
      </c>
      <c r="K77" s="69"/>
      <c r="L77" s="66"/>
      <c r="N77" s="87"/>
      <c r="O77" s="71"/>
    </row>
    <row r="78" spans="1:15" ht="27.75" customHeight="1" x14ac:dyDescent="0.5">
      <c r="A78" s="851" t="s">
        <v>224</v>
      </c>
      <c r="B78" s="852"/>
      <c r="C78" s="853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13</v>
      </c>
      <c r="I78" s="118"/>
      <c r="J78" s="175">
        <f>H78/DAY(B2)</f>
        <v>0.76470588235294112</v>
      </c>
      <c r="K78" s="69"/>
      <c r="L78" s="66"/>
      <c r="N78" s="87"/>
      <c r="O78" s="71"/>
    </row>
    <row r="79" spans="1:15" s="57" customFormat="1" ht="27.75" customHeight="1" x14ac:dyDescent="0.5">
      <c r="A79" s="851" t="s">
        <v>225</v>
      </c>
      <c r="B79" s="852"/>
      <c r="C79" s="853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7919.5730000000185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-9.9999999997635314E-3</v>
      </c>
      <c r="I85" s="118">
        <f>G82+G83+G84+G85</f>
        <v>0.26000000000203727</v>
      </c>
      <c r="J85" s="175">
        <f>H85/DAY(B2)</f>
        <v>-5.8823529410373713E-4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409.04000000000087</v>
      </c>
      <c r="I86" s="118"/>
      <c r="J86" s="175">
        <f>H86/DAY(B2)</f>
        <v>24.061176470588286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12.290000000000873</v>
      </c>
      <c r="I88" s="118">
        <f>G86+G87+G88</f>
        <v>24.040000000000873</v>
      </c>
      <c r="J88" s="175">
        <f>H88/DAY(B2)</f>
        <v>0.7229411764706396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101.63000000000102</v>
      </c>
      <c r="I89" s="118"/>
      <c r="J89" s="175">
        <f>H89/DAY(B2)</f>
        <v>5.9782352941177068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97</v>
      </c>
      <c r="I90" s="118">
        <f>G89+G90</f>
        <v>8.3799999999973807</v>
      </c>
      <c r="J90" s="175">
        <f>H90/DAY(B2)</f>
        <v>5.7058823529411766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177.26000000000022</v>
      </c>
      <c r="I92" s="165"/>
      <c r="J92" s="175">
        <f>H92/DAY(B2)</f>
        <v>10.427058823529425</v>
      </c>
      <c r="O92" s="71"/>
    </row>
    <row r="93" spans="1:15" ht="27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90541.36</v>
      </c>
      <c r="I94" s="118"/>
      <c r="J94" s="175">
        <f>H94/DAY(B2)</f>
        <v>5325.9623529411765</v>
      </c>
      <c r="K94" s="69"/>
      <c r="L94" s="66"/>
      <c r="O94" s="71"/>
    </row>
    <row r="95" spans="1:15" ht="27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0.28104503265727027</v>
      </c>
      <c r="H95" s="99">
        <f>G95+'16'!H95</f>
        <v>4.9240063173452455</v>
      </c>
      <c r="I95" s="167"/>
      <c r="J95" s="175">
        <f>H95/DAY(B2)</f>
        <v>0.28964743043207325</v>
      </c>
      <c r="K95" s="69"/>
      <c r="L95" s="66"/>
      <c r="O95" s="71"/>
    </row>
    <row r="96" spans="1:15" ht="27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51237.770000000004</v>
      </c>
      <c r="I96" s="118"/>
      <c r="J96" s="175">
        <f>H96/DAY(B2)</f>
        <v>3013.9864705882355</v>
      </c>
      <c r="K96" s="69"/>
      <c r="L96" s="66"/>
      <c r="O96" s="71"/>
    </row>
    <row r="97" spans="1:15" ht="27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0.17217657843474266</v>
      </c>
      <c r="H97" s="99">
        <f>G97+'16'!H97</f>
        <v>2.8012078195138232</v>
      </c>
      <c r="I97" s="167"/>
      <c r="J97" s="175">
        <f>H97/DAY(B2)</f>
        <v>0.16477693055963666</v>
      </c>
      <c r="K97" s="69"/>
      <c r="L97" s="66"/>
      <c r="O97" s="71"/>
    </row>
    <row r="98" spans="1:15" ht="27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2698</v>
      </c>
      <c r="H98" s="99">
        <f>G98+'16'!H98</f>
        <v>44490</v>
      </c>
      <c r="I98" s="168"/>
      <c r="J98" s="175">
        <f>H98/DAY(B2)</f>
        <v>2617.0588235294117</v>
      </c>
      <c r="K98" s="69"/>
      <c r="L98" s="66"/>
      <c r="O98" s="71"/>
    </row>
    <row r="99" spans="1:15" ht="27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0.15457774722126733</v>
      </c>
      <c r="H99" s="99">
        <f>G99+'16'!H99</f>
        <v>2.4319010094052875</v>
      </c>
      <c r="I99" s="168"/>
      <c r="J99" s="175">
        <f>H99/DAY(B2)</f>
        <v>0.14305300055325221</v>
      </c>
      <c r="O99" s="71"/>
    </row>
    <row r="100" spans="1:15" ht="27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27368.16</v>
      </c>
      <c r="I100" s="118"/>
      <c r="J100" s="175">
        <f>H100/DAY(B2)</f>
        <v>1609.8917647058825</v>
      </c>
      <c r="K100" s="70"/>
      <c r="O100" s="71"/>
    </row>
    <row r="101" spans="1:15" ht="27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1.4965514431248319</v>
      </c>
      <c r="I101" s="168"/>
      <c r="J101" s="175">
        <f>H101/DAY(B2)</f>
        <v>8.8032437830872459E-2</v>
      </c>
      <c r="O101" s="71"/>
    </row>
    <row r="102" spans="1:15" ht="27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28421.989999999998</v>
      </c>
      <c r="I102" s="168"/>
      <c r="J102" s="175">
        <f>H102/DAY(B2)</f>
        <v>1671.8817647058822</v>
      </c>
      <c r="O102" s="71"/>
    </row>
    <row r="103" spans="1:15" ht="27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1.5451280685683184</v>
      </c>
      <c r="I103" s="118"/>
      <c r="J103" s="175">
        <f>H103/DAY(B2)</f>
        <v>9.0889886386371674E-2</v>
      </c>
      <c r="O103" s="71"/>
    </row>
    <row r="104" spans="1:15" ht="27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1510.42</v>
      </c>
      <c r="H104" s="99">
        <f>G104+'16'!H104</f>
        <v>25533.42</v>
      </c>
      <c r="I104" s="118"/>
      <c r="J104" s="175">
        <f>H104/DAY(B2)</f>
        <v>1501.965882352941</v>
      </c>
      <c r="O104" s="71"/>
    </row>
    <row r="105" spans="1:15" ht="27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1.397689955151735</v>
      </c>
      <c r="I105" s="187"/>
      <c r="J105" s="188">
        <f>H105/DAY(B2)</f>
        <v>8.2217056185396181E-2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7.75" customHeight="1" x14ac:dyDescent="0.5">
      <c r="A109" s="871"/>
      <c r="B109" s="871"/>
    </row>
    <row r="110" spans="1:15" ht="27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33" t="s">
        <v>252</v>
      </c>
      <c r="B112" s="834"/>
      <c r="C112" s="835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1283</v>
      </c>
      <c r="I112" s="165"/>
      <c r="J112" s="328">
        <f>H112/DAY(B2)</f>
        <v>75.470588235294116</v>
      </c>
    </row>
    <row r="113" spans="1:18" ht="27.75" customHeight="1" x14ac:dyDescent="0.5">
      <c r="A113" s="833" t="s">
        <v>253</v>
      </c>
      <c r="B113" s="834"/>
      <c r="C113" s="835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7665.8399999999965</v>
      </c>
      <c r="I113" s="165"/>
      <c r="J113" s="328">
        <f>H113/DAY(B2)</f>
        <v>450.93176470588213</v>
      </c>
    </row>
    <row r="114" spans="1:18" ht="27.75" customHeight="1" x14ac:dyDescent="0.5">
      <c r="A114" s="833" t="s">
        <v>254</v>
      </c>
      <c r="B114" s="834"/>
      <c r="C114" s="835"/>
      <c r="D114" s="146" t="s">
        <v>183</v>
      </c>
      <c r="E114" s="95">
        <f>'16'!F114</f>
        <v>29108</v>
      </c>
      <c r="F114" s="501">
        <v>29371</v>
      </c>
      <c r="G114" s="112">
        <f t="shared" si="9"/>
        <v>263</v>
      </c>
      <c r="H114" s="99">
        <f>G114+'16'!H114</f>
        <v>4366.3999999999996</v>
      </c>
      <c r="I114" s="165"/>
      <c r="J114" s="328">
        <f>H114/DAY(B2)</f>
        <v>256.84705882352938</v>
      </c>
    </row>
    <row r="115" spans="1:18" ht="27.75" customHeight="1" x14ac:dyDescent="0.5">
      <c r="A115" s="833" t="s">
        <v>255</v>
      </c>
      <c r="B115" s="834"/>
      <c r="C115" s="835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173.20000000000073</v>
      </c>
      <c r="I115" s="165"/>
      <c r="J115" s="328">
        <f>H115/DAY(B2)</f>
        <v>10.188235294117689</v>
      </c>
    </row>
    <row r="116" spans="1:18" ht="27.75" customHeight="1" x14ac:dyDescent="0.5">
      <c r="A116" s="840" t="s">
        <v>96</v>
      </c>
      <c r="B116" s="841"/>
      <c r="C116" s="84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33"/>
      <c r="R116" s="835"/>
    </row>
    <row r="117" spans="1:18" ht="27.75" customHeight="1" x14ac:dyDescent="0.5">
      <c r="A117" s="840" t="s">
        <v>184</v>
      </c>
      <c r="B117" s="841"/>
      <c r="C117" s="842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409.9699999999998</v>
      </c>
      <c r="I117" s="165"/>
      <c r="J117" s="328">
        <f>H117/DAY(B2)</f>
        <v>24.115882352941163</v>
      </c>
      <c r="Q117" s="833"/>
      <c r="R117" s="835"/>
    </row>
    <row r="118" spans="1:18" ht="27.75" customHeight="1" x14ac:dyDescent="0.5">
      <c r="A118" s="832" t="s">
        <v>97</v>
      </c>
      <c r="B118" s="832"/>
      <c r="C118" s="832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6037</v>
      </c>
      <c r="I118" s="165"/>
      <c r="J118" s="328">
        <f>H118/DAY(B2)</f>
        <v>355.11764705882354</v>
      </c>
      <c r="Q118" s="833"/>
      <c r="R118" s="835"/>
    </row>
    <row r="119" spans="1:18" ht="27.75" customHeight="1" x14ac:dyDescent="0.5">
      <c r="A119" s="832" t="s">
        <v>98</v>
      </c>
      <c r="B119" s="832"/>
      <c r="C119" s="832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7115</v>
      </c>
      <c r="I119" s="165"/>
      <c r="J119" s="328">
        <f>H119/DAY(B2)</f>
        <v>418.52941176470586</v>
      </c>
    </row>
    <row r="120" spans="1:18" ht="27.75" customHeight="1" x14ac:dyDescent="0.5">
      <c r="A120" s="832" t="s">
        <v>99</v>
      </c>
      <c r="B120" s="832"/>
      <c r="C120" s="832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7067.4000000000015</v>
      </c>
      <c r="I120" s="165"/>
      <c r="J120" s="328">
        <f>H120/DAY(B2)</f>
        <v>415.72941176470596</v>
      </c>
    </row>
    <row r="121" spans="1:18" ht="27.75" customHeight="1" x14ac:dyDescent="0.5">
      <c r="A121" s="832" t="s">
        <v>100</v>
      </c>
      <c r="B121" s="832"/>
      <c r="C121" s="832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11899</v>
      </c>
      <c r="I121" s="165"/>
      <c r="J121" s="328">
        <f>H121/DAY(B2)</f>
        <v>699.94117647058829</v>
      </c>
    </row>
    <row r="122" spans="1:18" ht="27.75" customHeight="1" x14ac:dyDescent="0.5">
      <c r="A122" s="832" t="s">
        <v>101</v>
      </c>
      <c r="B122" s="832"/>
      <c r="C122" s="832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3483.4400000000023</v>
      </c>
      <c r="I122" s="165"/>
      <c r="J122" s="328">
        <f>H122/DAY(B2)</f>
        <v>204.90823529411779</v>
      </c>
    </row>
    <row r="123" spans="1:18" ht="27.75" customHeight="1" x14ac:dyDescent="0.5">
      <c r="A123" s="832" t="s">
        <v>102</v>
      </c>
      <c r="B123" s="832"/>
      <c r="C123" s="832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5112.6300000000047</v>
      </c>
      <c r="I123" s="165"/>
      <c r="J123" s="328">
        <f>H123/DAY(B2)</f>
        <v>300.74294117647088</v>
      </c>
    </row>
    <row r="124" spans="1:18" ht="27.75" customHeight="1" x14ac:dyDescent="0.5">
      <c r="A124" s="837"/>
      <c r="B124" s="838"/>
      <c r="C124" s="839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33" t="s">
        <v>318</v>
      </c>
      <c r="B128" s="834"/>
      <c r="C128" s="835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5399.9000000000015</v>
      </c>
      <c r="I128" s="165"/>
      <c r="J128" s="328">
        <f>H128/DAY(B2)</f>
        <v>317.64117647058833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3762.9000000000015</v>
      </c>
      <c r="I129" s="165"/>
      <c r="J129" s="328">
        <f>H129/DAY(B2)</f>
        <v>221.34705882352949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10067.450000000001</v>
      </c>
      <c r="I130" s="165"/>
      <c r="J130" s="328">
        <f>H130/DAY(B2)</f>
        <v>592.20294117647063</v>
      </c>
      <c r="N130" s="240"/>
      <c r="O130" s="241"/>
    </row>
    <row r="131" spans="1:15" ht="27.75" customHeight="1" x14ac:dyDescent="0.5">
      <c r="A131" s="833" t="s">
        <v>321</v>
      </c>
      <c r="B131" s="834"/>
      <c r="C131" s="835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1212.9699999999993</v>
      </c>
      <c r="I131" s="165"/>
      <c r="J131" s="328">
        <f>H131/DAY(B2)</f>
        <v>71.3511764705882</v>
      </c>
      <c r="N131" s="240"/>
      <c r="O131" s="241"/>
    </row>
    <row r="132" spans="1:15" ht="27.75" customHeight="1" x14ac:dyDescent="0.5">
      <c r="A132" s="833" t="s">
        <v>322</v>
      </c>
      <c r="B132" s="834"/>
      <c r="C132" s="835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8281</v>
      </c>
      <c r="I132" s="165"/>
      <c r="J132" s="328">
        <f>H132/DAY(B2)</f>
        <v>487.11764705882354</v>
      </c>
    </row>
    <row r="133" spans="1:15" ht="27.75" customHeight="1" x14ac:dyDescent="0.5">
      <c r="A133" s="833" t="s">
        <v>362</v>
      </c>
      <c r="B133" s="834"/>
      <c r="C133" s="835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10379.600000000006</v>
      </c>
      <c r="I133" s="165"/>
      <c r="J133" s="328">
        <f>H133/DAY(B2)</f>
        <v>610.56470588235334</v>
      </c>
    </row>
    <row r="134" spans="1:15" ht="27.75" customHeight="1" x14ac:dyDescent="0.5">
      <c r="A134" s="833" t="s">
        <v>340</v>
      </c>
      <c r="B134" s="834"/>
      <c r="C134" s="835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8473</v>
      </c>
      <c r="I134" s="165"/>
      <c r="J134" s="328">
        <f>H134/DAY(B2)</f>
        <v>498.41176470588238</v>
      </c>
    </row>
    <row r="135" spans="1:15" ht="27.7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33530.820000000007</v>
      </c>
      <c r="I135" s="327">
        <f>G135-(G35+G49)</f>
        <v>-379.38999999999214</v>
      </c>
      <c r="J135" s="328"/>
    </row>
    <row r="136" spans="1:15" ht="27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32" t="s">
        <v>185</v>
      </c>
      <c r="B138" s="832"/>
      <c r="C138" s="832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1058</v>
      </c>
      <c r="I138" s="118"/>
      <c r="J138" s="328">
        <f>H138/DAY(B2)</f>
        <v>62.235294117647058</v>
      </c>
    </row>
    <row r="139" spans="1:15" ht="27.75" customHeight="1" x14ac:dyDescent="0.5">
      <c r="A139" s="832" t="s">
        <v>186</v>
      </c>
      <c r="B139" s="832"/>
      <c r="C139" s="832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4</v>
      </c>
      <c r="I139" s="118"/>
      <c r="J139" s="328">
        <f>H139/DAY(B2)</f>
        <v>0.23529411764705882</v>
      </c>
    </row>
    <row r="140" spans="1:15" ht="27.75" customHeight="1" x14ac:dyDescent="0.5">
      <c r="A140" s="832" t="s">
        <v>187</v>
      </c>
      <c r="B140" s="832"/>
      <c r="C140" s="832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16</v>
      </c>
      <c r="I140" s="118"/>
      <c r="J140" s="328">
        <f>H140/DAY(B2)</f>
        <v>0.94117647058823528</v>
      </c>
    </row>
    <row r="141" spans="1:15" ht="27.75" customHeight="1" x14ac:dyDescent="0.5">
      <c r="A141" s="813" t="s">
        <v>188</v>
      </c>
      <c r="B141" s="813"/>
      <c r="C141" s="813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2928.8000000000029</v>
      </c>
      <c r="I141" s="118"/>
      <c r="J141" s="328">
        <f>H141/DAY(B2)</f>
        <v>172.28235294117664</v>
      </c>
    </row>
    <row r="142" spans="1:15" ht="27.75" customHeight="1" x14ac:dyDescent="0.5">
      <c r="A142" s="813" t="s">
        <v>189</v>
      </c>
      <c r="B142" s="813"/>
      <c r="C142" s="813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1188.0900000000001</v>
      </c>
      <c r="I142" s="140"/>
      <c r="J142" s="328">
        <f>H142/DAY(B2)</f>
        <v>69.887647058823532</v>
      </c>
    </row>
    <row r="143" spans="1:15" ht="27.75" customHeight="1" x14ac:dyDescent="0.5">
      <c r="A143" s="832" t="s">
        <v>91</v>
      </c>
      <c r="B143" s="832"/>
      <c r="C143" s="832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405.51000000000022</v>
      </c>
      <c r="I143" s="140"/>
      <c r="J143" s="328">
        <f>H143/DAY(B2)</f>
        <v>23.853529411764718</v>
      </c>
    </row>
    <row r="144" spans="1:15" ht="27.75" customHeight="1" x14ac:dyDescent="0.5">
      <c r="A144" s="813" t="s">
        <v>90</v>
      </c>
      <c r="B144" s="813"/>
      <c r="C144" s="813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3853</v>
      </c>
      <c r="I144" s="140"/>
      <c r="J144" s="328">
        <f>H144/DAY(B2)</f>
        <v>226.64705882352942</v>
      </c>
    </row>
    <row r="145" spans="1:10" ht="27.75" customHeight="1" x14ac:dyDescent="0.5">
      <c r="A145" s="832" t="s">
        <v>190</v>
      </c>
      <c r="B145" s="832"/>
      <c r="C145" s="832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254.34000000000015</v>
      </c>
      <c r="I145" s="140"/>
      <c r="J145" s="328">
        <f>H145/DAY(B2)</f>
        <v>14.961176470588244</v>
      </c>
    </row>
    <row r="146" spans="1:10" ht="27.75" customHeight="1" x14ac:dyDescent="0.5">
      <c r="A146" s="867" t="s">
        <v>191</v>
      </c>
      <c r="B146" s="852"/>
      <c r="C146" s="853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6898</v>
      </c>
      <c r="I146" s="140"/>
      <c r="J146" s="328">
        <f>H146/DAY(B2)</f>
        <v>405.76470588235293</v>
      </c>
    </row>
    <row r="147" spans="1:10" ht="27.75" customHeight="1" x14ac:dyDescent="0.5">
      <c r="A147" s="813" t="s">
        <v>192</v>
      </c>
      <c r="B147" s="813"/>
      <c r="C147" s="813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6227</v>
      </c>
      <c r="I147" s="140"/>
      <c r="J147" s="328">
        <f>H147/DAY(B2)</f>
        <v>366.29411764705884</v>
      </c>
    </row>
    <row r="148" spans="1:10" ht="27.75" customHeight="1" x14ac:dyDescent="0.5">
      <c r="A148" s="814" t="s">
        <v>193</v>
      </c>
      <c r="B148" s="815"/>
      <c r="C148" s="816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3826.8800000000047</v>
      </c>
      <c r="I148" s="124"/>
      <c r="J148" s="328">
        <f>H148/DAY(B2)</f>
        <v>225.11058823529439</v>
      </c>
    </row>
    <row r="149" spans="1:10" ht="27.75" customHeight="1" x14ac:dyDescent="0.5">
      <c r="A149" s="814" t="s">
        <v>336</v>
      </c>
      <c r="B149" s="815"/>
      <c r="C149" s="816"/>
      <c r="D149" s="227" t="s">
        <v>130</v>
      </c>
      <c r="E149" s="95">
        <f>'16'!F149</f>
        <v>17345</v>
      </c>
      <c r="F149" s="500">
        <v>17791.439999999999</v>
      </c>
      <c r="G149" s="112">
        <f t="shared" si="11"/>
        <v>446.43999999999869</v>
      </c>
      <c r="H149" s="99">
        <f>G149+'16'!H149</f>
        <v>7042.4399999999987</v>
      </c>
      <c r="I149" s="119"/>
      <c r="J149" s="328">
        <f>H149/DAY(B2)</f>
        <v>414.26117647058817</v>
      </c>
    </row>
    <row r="150" spans="1:10" ht="27.75" customHeight="1" x14ac:dyDescent="0.5">
      <c r="A150" s="814" t="s">
        <v>337</v>
      </c>
      <c r="B150" s="815"/>
      <c r="C150" s="816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3700.3999999999996</v>
      </c>
      <c r="I150" s="119"/>
      <c r="J150" s="328">
        <f>H150/DAY(B2)</f>
        <v>217.6705882352941</v>
      </c>
    </row>
    <row r="151" spans="1:10" ht="27.75" customHeight="1" x14ac:dyDescent="0.5">
      <c r="A151" s="814" t="s">
        <v>338</v>
      </c>
      <c r="B151" s="815"/>
      <c r="C151" s="816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3939</v>
      </c>
      <c r="I151" s="119"/>
      <c r="J151" s="328">
        <f>H151/DAY(B2)</f>
        <v>231.70588235294119</v>
      </c>
    </row>
    <row r="152" spans="1:10" ht="27.75" customHeight="1" x14ac:dyDescent="0.5">
      <c r="A152" s="814" t="s">
        <v>339</v>
      </c>
      <c r="B152" s="815"/>
      <c r="C152" s="816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292.90000000000009</v>
      </c>
      <c r="I152" s="119"/>
      <c r="J152" s="328">
        <f>H152/DAY(B2)</f>
        <v>17.229411764705887</v>
      </c>
    </row>
    <row r="153" spans="1:10" ht="27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27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'16'!F155</f>
        <v>22693</v>
      </c>
      <c r="F155" s="473">
        <v>23303</v>
      </c>
      <c r="G155" s="112">
        <f t="shared" ref="G155:G156" si="12">F155-E155</f>
        <v>610</v>
      </c>
      <c r="H155" s="99">
        <f>G155+'16'!H155</f>
        <v>9831</v>
      </c>
      <c r="I155" s="364"/>
      <c r="J155" s="328">
        <f>H155/DAY(B2)</f>
        <v>578.29411764705878</v>
      </c>
    </row>
    <row r="156" spans="1:10" ht="27.75" customHeight="1" x14ac:dyDescent="0.5">
      <c r="A156" s="813" t="s">
        <v>347</v>
      </c>
      <c r="B156" s="813"/>
      <c r="C156" s="813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866</v>
      </c>
      <c r="I156" s="165"/>
      <c r="J156" s="328">
        <f>H156/DAY(B2)</f>
        <v>50.941176470588232</v>
      </c>
    </row>
    <row r="157" spans="1:10" ht="27.75" customHeight="1" x14ac:dyDescent="0.5">
      <c r="A157" s="814" t="s">
        <v>364</v>
      </c>
      <c r="B157" s="815"/>
      <c r="C157" s="816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 x14ac:dyDescent="0.5">
      <c r="A158" s="814" t="s">
        <v>365</v>
      </c>
      <c r="B158" s="815"/>
      <c r="C158" s="816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292.84000000002561</v>
      </c>
      <c r="I161" s="236"/>
      <c r="J161" s="239">
        <f>H161/DAY(B2)</f>
        <v>17.225882352942683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483</v>
      </c>
      <c r="I162" s="236"/>
      <c r="J162" s="239">
        <f>H162/DAY(B2)</f>
        <v>28.411764705882351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747.69999999999709</v>
      </c>
      <c r="I163" s="236"/>
      <c r="J163" s="239">
        <f>H163/DAY(B2)</f>
        <v>43.982352941176302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28.899999999999636</v>
      </c>
      <c r="I164" s="236"/>
      <c r="J164" s="239">
        <f>H164/DAY(B2)</f>
        <v>1.6999999999999786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108.45000000000073</v>
      </c>
      <c r="I165" s="236"/>
      <c r="J165" s="239">
        <f>H165/DAY(B2)</f>
        <v>6.3794117647059254</v>
      </c>
    </row>
    <row r="166" spans="1:10" ht="27.75" customHeight="1" x14ac:dyDescent="0.5">
      <c r="A166" s="822"/>
      <c r="B166" s="82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22"/>
      <c r="B167" s="82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22"/>
      <c r="B168" s="82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6" t="s">
        <v>209</v>
      </c>
      <c r="B173" s="827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26" t="s">
        <v>75</v>
      </c>
      <c r="B174" s="827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151</v>
      </c>
      <c r="I174" s="155"/>
      <c r="J174" s="178">
        <f>H174/DAY(B2)</f>
        <v>8.882352941176471</v>
      </c>
    </row>
    <row r="175" spans="1:10" ht="27.75" customHeight="1" x14ac:dyDescent="0.5">
      <c r="A175" s="826" t="s">
        <v>76</v>
      </c>
      <c r="B175" s="866"/>
      <c r="C175" s="827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155</v>
      </c>
      <c r="I175" s="155"/>
      <c r="J175" s="178">
        <f>H175/DAY(B2)</f>
        <v>9.117647058823529</v>
      </c>
    </row>
    <row r="176" spans="1:10" ht="27.75" customHeight="1" x14ac:dyDescent="0.5">
      <c r="A176" s="817" t="s">
        <v>196</v>
      </c>
      <c r="B176" s="81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306</v>
      </c>
      <c r="I176" s="155"/>
      <c r="J176" s="178">
        <f>H176/DAY(B2)</f>
        <v>18</v>
      </c>
    </row>
    <row r="177" spans="1:11" ht="27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26" t="s">
        <v>210</v>
      </c>
      <c r="B178" s="827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975</v>
      </c>
      <c r="I178" s="155"/>
      <c r="J178" s="178">
        <f>H178/DAY(B2)</f>
        <v>57.352941176470587</v>
      </c>
    </row>
    <row r="179" spans="1:11" ht="27.75" customHeight="1" x14ac:dyDescent="0.5">
      <c r="A179" s="826" t="s">
        <v>211</v>
      </c>
      <c r="B179" s="827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363</v>
      </c>
      <c r="I179" s="155"/>
      <c r="J179" s="178">
        <f>H179/DAY(B2)</f>
        <v>21.352941176470587</v>
      </c>
    </row>
    <row r="180" spans="1:11" ht="27.75" customHeight="1" x14ac:dyDescent="0.5">
      <c r="A180" s="826" t="s">
        <v>212</v>
      </c>
      <c r="B180" s="827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119</v>
      </c>
      <c r="I180" s="155"/>
      <c r="J180" s="178">
        <f>H180/DAY(B2)</f>
        <v>7</v>
      </c>
    </row>
    <row r="181" spans="1:11" ht="27.75" customHeight="1" x14ac:dyDescent="0.5">
      <c r="A181" s="828" t="s">
        <v>108</v>
      </c>
      <c r="B181" s="82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1457</v>
      </c>
      <c r="I181" s="155"/>
      <c r="J181" s="178">
        <f>H181/DAY(B2)</f>
        <v>85.705882352941174</v>
      </c>
    </row>
    <row r="182" spans="1:11" ht="27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26" t="s">
        <v>214</v>
      </c>
      <c r="B183" s="827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199</v>
      </c>
      <c r="I183" s="155"/>
      <c r="J183" s="178">
        <f>H183/DAY(B2)</f>
        <v>11.705882352941176</v>
      </c>
    </row>
    <row r="184" spans="1:11" ht="27.75" customHeight="1" x14ac:dyDescent="0.5">
      <c r="A184" s="826" t="s">
        <v>215</v>
      </c>
      <c r="B184" s="827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110</v>
      </c>
      <c r="I184" s="155"/>
      <c r="J184" s="178">
        <f>H184/DAY(B2)</f>
        <v>6.4705882352941178</v>
      </c>
    </row>
    <row r="185" spans="1:11" ht="27.75" customHeight="1" x14ac:dyDescent="0.5">
      <c r="A185" s="826" t="s">
        <v>216</v>
      </c>
      <c r="B185" s="827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17" t="s">
        <v>196</v>
      </c>
      <c r="B186" s="81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309</v>
      </c>
      <c r="I186" s="157"/>
      <c r="J186" s="178">
        <f>H186/DAY(B2)</f>
        <v>18.176470588235293</v>
      </c>
    </row>
    <row r="187" spans="1:11" ht="27.75" customHeight="1" x14ac:dyDescent="0.5">
      <c r="A187" s="819" t="s">
        <v>217</v>
      </c>
      <c r="B187" s="820"/>
      <c r="C187" s="333"/>
      <c r="D187" s="228" t="s">
        <v>142</v>
      </c>
      <c r="E187" s="95"/>
      <c r="F187" s="159"/>
      <c r="G187" s="462">
        <f>G62+G19</f>
        <v>119</v>
      </c>
      <c r="H187" s="99">
        <f>G187+'16'!H187</f>
        <v>1926</v>
      </c>
      <c r="I187" s="158"/>
      <c r="J187" s="179">
        <f>H187/DAY(B2)</f>
        <v>113.29411764705883</v>
      </c>
    </row>
    <row r="188" spans="1:11" ht="27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88</v>
      </c>
      <c r="H189" s="99">
        <f>G189+'16'!H189</f>
        <v>1457</v>
      </c>
      <c r="I189" s="158"/>
      <c r="J189" s="179">
        <f>H189/DAY(B2)</f>
        <v>85.705882352941174</v>
      </c>
    </row>
    <row r="190" spans="1:11" ht="27.75" customHeight="1" x14ac:dyDescent="0.5">
      <c r="A190" s="740"/>
      <c r="B190" s="741"/>
      <c r="C190" s="483"/>
      <c r="D190" s="480"/>
      <c r="E190" s="480"/>
      <c r="F190" s="480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558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8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5" t="s">
        <v>128</v>
      </c>
      <c r="B6" s="876"/>
      <c r="C6" s="877"/>
      <c r="D6" s="110"/>
      <c r="E6" s="110"/>
      <c r="F6" s="110"/>
      <c r="G6" s="56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61">
        <f>F7-E7</f>
        <v>17765</v>
      </c>
      <c r="H7" s="99">
        <f>G7+'17'!H7</f>
        <v>329612</v>
      </c>
      <c r="I7" s="113">
        <f>'1'!I7</f>
        <v>12000</v>
      </c>
      <c r="J7" s="175">
        <f>H7/DAY(B2)</f>
        <v>18311.777777777777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62">
        <f>F8-E8</f>
        <v>18064.830000000016</v>
      </c>
      <c r="H8" s="99">
        <f>G8+'17'!H8</f>
        <v>334912.83</v>
      </c>
      <c r="I8" s="116"/>
      <c r="J8" s="175">
        <f>H8/DAY(B2)</f>
        <v>18606.268333333333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601">
        <v>109695.53</v>
      </c>
      <c r="G9" s="561">
        <f>F9-E9</f>
        <v>11400.630000000005</v>
      </c>
      <c r="H9" s="99">
        <f>G9+'17'!H9</f>
        <v>208200.53</v>
      </c>
      <c r="I9" s="124">
        <f>I7-J7</f>
        <v>-6311.7777777777774</v>
      </c>
      <c r="J9" s="175">
        <f>H9/DAY(B2)</f>
        <v>11566.69611111111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61">
        <f>F10-E10</f>
        <v>5940.4400000000023</v>
      </c>
      <c r="H10" s="99">
        <f>G10+'17'!H10</f>
        <v>112328.18</v>
      </c>
      <c r="I10" s="282"/>
      <c r="J10" s="175">
        <f>H10/DAY(B2)</f>
        <v>6240.4544444444437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v>3700</v>
      </c>
      <c r="F11" s="95">
        <v>3717</v>
      </c>
      <c r="G11" s="561">
        <f t="shared" ref="G11:G12" si="0">F11-E11</f>
        <v>17</v>
      </c>
      <c r="H11" s="99">
        <f>G11+'17'!H11</f>
        <v>17</v>
      </c>
      <c r="I11" s="282"/>
      <c r="J11" s="175">
        <f>H11/DAY(B2)</f>
        <v>0.94444444444444442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v>4001</v>
      </c>
      <c r="F12" s="117">
        <v>4001</v>
      </c>
      <c r="G12" s="56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3">
        <f>G9+G10+G11+G12</f>
        <v>17358.070000000007</v>
      </c>
      <c r="H13" s="99">
        <f>G13+'17'!H13</f>
        <v>301080.4599999999</v>
      </c>
      <c r="I13" s="120">
        <f>G7-G13</f>
        <v>406.92999999999302</v>
      </c>
      <c r="J13" s="175">
        <f>H13/DAY(B2)</f>
        <v>16726.692222222217</v>
      </c>
      <c r="K13" s="79"/>
      <c r="L13" s="66"/>
      <c r="N13" s="87"/>
      <c r="O13" s="71"/>
    </row>
    <row r="14" spans="1:15" ht="27.75" customHeight="1" x14ac:dyDescent="0.5">
      <c r="A14" s="878" t="s">
        <v>137</v>
      </c>
      <c r="B14" s="879"/>
      <c r="C14" s="880"/>
      <c r="D14" s="111"/>
      <c r="E14" s="111"/>
      <c r="F14" s="111"/>
      <c r="G14" s="564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61">
        <f>(F15-E15)</f>
        <v>881.7269999999553</v>
      </c>
      <c r="H15" s="99">
        <f>G15+'17'!H15</f>
        <v>15792</v>
      </c>
      <c r="I15" s="113">
        <f>'1'!I15</f>
        <v>800</v>
      </c>
      <c r="J15" s="175">
        <f>H15/DAY(B2)</f>
        <v>877.33333333333337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61"/>
      <c r="H16" s="124"/>
      <c r="I16" s="120">
        <f>I15-J15</f>
        <v>-77.333333333333371</v>
      </c>
      <c r="J16" s="176"/>
      <c r="K16" s="79"/>
      <c r="L16" s="66"/>
      <c r="N16" s="87"/>
      <c r="O16" s="71"/>
    </row>
    <row r="17" spans="1:15" ht="27.75" customHeight="1" x14ac:dyDescent="0.5">
      <c r="A17" s="878" t="s">
        <v>140</v>
      </c>
      <c r="B17" s="879"/>
      <c r="C17" s="880"/>
      <c r="D17" s="111"/>
      <c r="E17" s="111"/>
      <c r="F17" s="111"/>
      <c r="G17" s="564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4" t="s">
        <v>141</v>
      </c>
      <c r="B18" s="855"/>
      <c r="C18" s="856"/>
      <c r="D18" s="151" t="s">
        <v>142</v>
      </c>
      <c r="E18" s="95">
        <f>'17'!F18</f>
        <v>8</v>
      </c>
      <c r="F18" s="122">
        <v>10</v>
      </c>
      <c r="G18" s="563">
        <f>F18*10</f>
        <v>100</v>
      </c>
      <c r="H18" s="99">
        <f>G18+'17'!H18</f>
        <v>1920</v>
      </c>
      <c r="I18" s="113">
        <f>'1'!I18</f>
        <v>65</v>
      </c>
      <c r="J18" s="175">
        <f>H18/DAY(B2)</f>
        <v>106.66666666666667</v>
      </c>
      <c r="K18" s="79"/>
      <c r="L18" s="66"/>
      <c r="N18" s="87"/>
      <c r="O18" s="71"/>
    </row>
    <row r="19" spans="1:15" ht="27.75" customHeight="1" x14ac:dyDescent="0.5">
      <c r="A19" s="854" t="s">
        <v>69</v>
      </c>
      <c r="B19" s="855"/>
      <c r="C19" s="856"/>
      <c r="D19" s="151" t="s">
        <v>142</v>
      </c>
      <c r="E19" s="95">
        <f>'17'!F19</f>
        <v>153125</v>
      </c>
      <c r="F19" s="122">
        <v>153179</v>
      </c>
      <c r="G19" s="561">
        <f t="shared" ref="G19" si="1">F19-E19</f>
        <v>54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5">
        <f>G18+G19</f>
        <v>154</v>
      </c>
      <c r="H20" s="99">
        <f>G20+'17'!H20</f>
        <v>2874</v>
      </c>
      <c r="I20" s="336">
        <f>I18-J20</f>
        <v>-94.666666666666657</v>
      </c>
      <c r="J20" s="175">
        <f>H20/DAY(B2)</f>
        <v>159.66666666666666</v>
      </c>
      <c r="K20" s="79"/>
      <c r="L20" s="66"/>
      <c r="N20" s="87"/>
      <c r="O20" s="71"/>
    </row>
    <row r="21" spans="1:15" ht="27.75" customHeight="1" x14ac:dyDescent="0.5">
      <c r="A21" s="878" t="s">
        <v>144</v>
      </c>
      <c r="B21" s="879"/>
      <c r="C21" s="880"/>
      <c r="D21" s="111"/>
      <c r="E21" s="111"/>
      <c r="F21" s="111"/>
      <c r="G21" s="564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4">
        <f>'17'!F23</f>
        <v>2000</v>
      </c>
      <c r="F23" s="488">
        <v>2250</v>
      </c>
      <c r="G23" s="707">
        <f>(F23-E23)</f>
        <v>250</v>
      </c>
      <c r="H23" s="99">
        <f>G23+'17'!H23</f>
        <v>250</v>
      </c>
      <c r="I23" s="118"/>
      <c r="J23" s="175">
        <f>H23/DAY(B2)</f>
        <v>13.888888888888889</v>
      </c>
      <c r="K23" s="79"/>
      <c r="L23" s="66"/>
      <c r="N23" s="708">
        <v>664</v>
      </c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4970</v>
      </c>
      <c r="F24" s="128">
        <v>4970</v>
      </c>
      <c r="G24" s="563">
        <f>SUM(G22:G23)</f>
        <v>250</v>
      </c>
      <c r="H24" s="99">
        <f>G24+'17'!H24</f>
        <v>250</v>
      </c>
      <c r="I24" s="118"/>
      <c r="J24" s="175">
        <f>H24/DAY(B2)</f>
        <v>13.888888888888889</v>
      </c>
      <c r="K24" s="79"/>
      <c r="L24" s="66"/>
      <c r="N24" s="87"/>
      <c r="O24" s="71"/>
    </row>
    <row r="25" spans="1:15" s="88" customFormat="1" ht="27.75" customHeight="1" x14ac:dyDescent="0.35">
      <c r="A25" s="883" t="s">
        <v>149</v>
      </c>
      <c r="B25" s="884"/>
      <c r="C25" s="885"/>
      <c r="D25" s="110"/>
      <c r="E25" s="110"/>
      <c r="F25" s="110"/>
      <c r="G25" s="56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8">
        <f>E27*F27</f>
        <v>162583.47000000015</v>
      </c>
      <c r="H27" s="99">
        <f>G27+'17'!H27</f>
        <v>3014215.47</v>
      </c>
      <c r="I27" s="138"/>
      <c r="J27" s="175">
        <f>H27/DAY(B2)</f>
        <v>167456.41500000001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8">
        <f>E28*F28</f>
        <v>45849.803999997675</v>
      </c>
      <c r="H28" s="99">
        <f>G28+'17'!H28</f>
        <v>821184</v>
      </c>
      <c r="I28" s="140"/>
      <c r="J28" s="175">
        <f>H28/DAY(B2)</f>
        <v>45621.333333333336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250</v>
      </c>
      <c r="F29" s="136">
        <v>69</v>
      </c>
      <c r="G29" s="568">
        <f>E29*F29</f>
        <v>17250</v>
      </c>
      <c r="H29" s="99">
        <f>G29+'17'!H29</f>
        <v>17250</v>
      </c>
      <c r="I29" s="140"/>
      <c r="J29" s="175">
        <f>H29/DAY(B2)</f>
        <v>958.33333333333337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8">
        <f>E30*F30</f>
        <v>7884</v>
      </c>
      <c r="H30" s="99">
        <f>G30+'17'!H30</f>
        <v>139284</v>
      </c>
      <c r="I30" s="140"/>
      <c r="J30" s="175">
        <f>H30/DAY(B2)</f>
        <v>7738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8">
        <f>E31*F31</f>
        <v>8000</v>
      </c>
      <c r="H31" s="99">
        <f>G31+'17'!H31</f>
        <v>153600</v>
      </c>
      <c r="I31" s="140"/>
      <c r="J31" s="175">
        <f>H31/DAY(B2)</f>
        <v>8533.3333333333339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9">
        <f>G27+G28+G29+G30+G31</f>
        <v>241567.27399999782</v>
      </c>
      <c r="H32" s="99">
        <f>G32+'17'!H32</f>
        <v>4145533.47</v>
      </c>
      <c r="I32" s="144"/>
      <c r="J32" s="175">
        <f>H32/DAY(B2)</f>
        <v>230307.41500000001</v>
      </c>
      <c r="K32" s="63"/>
      <c r="L32" s="89"/>
      <c r="N32" s="87"/>
      <c r="O32" s="71"/>
    </row>
    <row r="33" spans="1:15" ht="27.75" customHeight="1" x14ac:dyDescent="0.35">
      <c r="A33" s="886" t="s">
        <v>331</v>
      </c>
      <c r="B33" s="887"/>
      <c r="C33" s="887"/>
      <c r="D33" s="337"/>
      <c r="E33" s="337"/>
      <c r="F33" s="337"/>
      <c r="G33" s="570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7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61">
        <f t="shared" ref="G35:G46" si="2">F35-E35</f>
        <v>1391.7600000000002</v>
      </c>
      <c r="H35" s="99">
        <f>G35+'17'!H35</f>
        <v>29685.360000000001</v>
      </c>
      <c r="I35" s="95"/>
      <c r="J35" s="175">
        <f>H35/DAY(B2)</f>
        <v>1649.1866666666667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61">
        <f t="shared" si="2"/>
        <v>600.90000000000146</v>
      </c>
      <c r="H36" s="99">
        <f>G36+'17'!H36</f>
        <v>12548.36</v>
      </c>
      <c r="I36" s="95"/>
      <c r="J36" s="175">
        <f>H36/DAY(B2)</f>
        <v>697.13111111111118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61">
        <f t="shared" si="2"/>
        <v>1562.5499999999993</v>
      </c>
      <c r="H37" s="99">
        <f>G37+'17'!H37</f>
        <v>27095.969999999998</v>
      </c>
      <c r="I37" s="95"/>
      <c r="J37" s="175">
        <f>H37/DAY(B2)</f>
        <v>1505.3316666666665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61">
        <f t="shared" si="2"/>
        <v>1696.2999999999993</v>
      </c>
      <c r="H38" s="99">
        <f>G38+'17'!H38</f>
        <v>29064.46</v>
      </c>
      <c r="I38" s="95"/>
      <c r="J38" s="175">
        <f>H38/DAY(B2)</f>
        <v>1614.6922222222222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61">
        <f t="shared" si="2"/>
        <v>2546.4900000000016</v>
      </c>
      <c r="H39" s="99">
        <f>G39+'17'!H39</f>
        <v>47036.490000000005</v>
      </c>
      <c r="I39" s="95"/>
      <c r="J39" s="175">
        <f>H39/DAY(B2)</f>
        <v>2613.1383333333338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90">
        <f>'17'!F40</f>
        <v>13361</v>
      </c>
      <c r="F40" s="552">
        <v>13643.14</v>
      </c>
      <c r="G40" s="706">
        <f t="shared" si="2"/>
        <v>282.13999999999942</v>
      </c>
      <c r="H40" s="99">
        <f>G40+'17'!H40</f>
        <v>8033.1399999999994</v>
      </c>
      <c r="I40" s="95"/>
      <c r="J40" s="175">
        <f>H40/DAY(B2)</f>
        <v>446.2855555555555</v>
      </c>
      <c r="K40" s="80"/>
      <c r="L40" s="66"/>
      <c r="N40" s="87">
        <v>7285</v>
      </c>
      <c r="O40" s="71" t="s">
        <v>368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61">
        <f t="shared" si="2"/>
        <v>0</v>
      </c>
      <c r="H42" s="99">
        <f>G42+'17'!H42</f>
        <v>-0.39999999999417923</v>
      </c>
      <c r="I42" s="95"/>
      <c r="J42" s="175">
        <f>H42/DAY(B2)</f>
        <v>-2.2222222221898846E-2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61">
        <f t="shared" si="2"/>
        <v>2338</v>
      </c>
      <c r="H43" s="99">
        <f>G43+'17'!H43</f>
        <v>40120.149999999994</v>
      </c>
      <c r="I43" s="95"/>
      <c r="J43" s="175">
        <f>H43/DAY(B2)</f>
        <v>2228.8972222222219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3">
        <f>G35+G36+G37+G38+G39+G40+G41+G42+G43+G44+G45+G46</f>
        <v>10418.140000000001</v>
      </c>
      <c r="H47" s="99">
        <f>G47+'17'!H47</f>
        <v>193583.53000000003</v>
      </c>
      <c r="I47" s="95"/>
      <c r="J47" s="175">
        <f>H47/DAY(B2)</f>
        <v>10754.640555555558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7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61">
        <f t="shared" ref="G49:G58" si="3">F49-E49</f>
        <v>1242.7199999999993</v>
      </c>
      <c r="H49" s="99">
        <f>G49+'17'!H49</f>
        <v>25708.33</v>
      </c>
      <c r="I49" s="95"/>
      <c r="J49" s="175">
        <f>H49/DAY(B2)</f>
        <v>1428.2405555555556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61">
        <f t="shared" si="3"/>
        <v>921.40000000000146</v>
      </c>
      <c r="H50" s="99">
        <f>G50+'17'!H50</f>
        <v>17395.93</v>
      </c>
      <c r="I50" s="95"/>
      <c r="J50" s="175">
        <f>H50/DAY(B2)</f>
        <v>966.44055555555553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1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1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61">
        <f t="shared" si="3"/>
        <v>357.72000000000025</v>
      </c>
      <c r="H54" s="99">
        <f>G54+'17'!H54</f>
        <v>6914.5</v>
      </c>
      <c r="I54" s="95"/>
      <c r="J54" s="175">
        <f>H54/DAY(B2)</f>
        <v>384.13888888888891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61">
        <f t="shared" si="3"/>
        <v>3090.5200000000041</v>
      </c>
      <c r="H55" s="99">
        <f>G55+'17'!H55</f>
        <v>54328.69</v>
      </c>
      <c r="I55" s="95"/>
      <c r="J55" s="175">
        <f>H55/DAY(B2)</f>
        <v>3018.2605555555556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61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1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61">
        <f t="shared" si="3"/>
        <v>131.88000000000011</v>
      </c>
      <c r="H58" s="99">
        <f>G58+'17'!H58</f>
        <v>2489.1100000000047</v>
      </c>
      <c r="I58" s="95"/>
      <c r="J58" s="175">
        <f>H58/DAY(B2)</f>
        <v>138.28388888888915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3">
        <f>G49+G50+G51+G52+G53+G54+G55+G56+G57+G58</f>
        <v>5744.2400000000052</v>
      </c>
      <c r="H59" s="99">
        <f>G59+'17'!H59</f>
        <v>106836.56000000003</v>
      </c>
      <c r="I59" s="95">
        <f>G7-G60</f>
        <v>1602.6199999999935</v>
      </c>
      <c r="J59" s="175">
        <f>H59/DAY(B2)</f>
        <v>5935.3644444444462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3">
        <f>G47+G59</f>
        <v>16162.380000000006</v>
      </c>
      <c r="H60" s="99">
        <f>G60+'17'!H60</f>
        <v>300420.08999999997</v>
      </c>
      <c r="I60" s="95">
        <f>G13-G60</f>
        <v>1195.6900000000005</v>
      </c>
      <c r="J60" s="175">
        <f>H60/DAY(B2)</f>
        <v>16690.004999999997</v>
      </c>
      <c r="K60" s="79"/>
      <c r="L60" s="66"/>
      <c r="N60" s="87"/>
      <c r="O60" s="71"/>
    </row>
    <row r="61" spans="1:15" s="68" customFormat="1" ht="27.75" customHeight="1" x14ac:dyDescent="0.5">
      <c r="A61" s="888" t="s">
        <v>332</v>
      </c>
      <c r="B61" s="889"/>
      <c r="C61" s="890"/>
      <c r="D61" s="339"/>
      <c r="E61" s="339"/>
      <c r="F61" s="339"/>
      <c r="G61" s="572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4" t="s">
        <v>198</v>
      </c>
      <c r="B62" s="855"/>
      <c r="C62" s="856"/>
      <c r="D62" s="151" t="s">
        <v>142</v>
      </c>
      <c r="E62" s="95">
        <f>'17'!F62</f>
        <v>268239</v>
      </c>
      <c r="F62" s="122">
        <v>268308</v>
      </c>
      <c r="G62" s="561">
        <f t="shared" ref="G62:G63" si="4">F62-E62</f>
        <v>69</v>
      </c>
      <c r="H62" s="99">
        <f>G62+'17'!H62</f>
        <v>1095</v>
      </c>
      <c r="I62" s="118"/>
      <c r="J62" s="175">
        <f>H62/DAY(B2)</f>
        <v>60.833333333333336</v>
      </c>
      <c r="K62" s="80"/>
      <c r="L62" s="66"/>
      <c r="N62" s="87"/>
      <c r="O62" s="71"/>
    </row>
    <row r="63" spans="1:15" ht="27.75" customHeight="1" x14ac:dyDescent="0.5">
      <c r="A63" s="854" t="s">
        <v>199</v>
      </c>
      <c r="B63" s="855"/>
      <c r="C63" s="856"/>
      <c r="D63" s="151" t="s">
        <v>142</v>
      </c>
      <c r="E63" s="95">
        <f>'17'!F63</f>
        <v>214118</v>
      </c>
      <c r="F63" s="122">
        <v>214242</v>
      </c>
      <c r="G63" s="561">
        <f t="shared" si="4"/>
        <v>124</v>
      </c>
      <c r="H63" s="99">
        <f>G63+'17'!H63</f>
        <v>1817</v>
      </c>
      <c r="I63" s="118"/>
      <c r="J63" s="175">
        <f>H63/DAY(B2)</f>
        <v>100.94444444444444</v>
      </c>
      <c r="K63" s="69"/>
      <c r="L63" s="66"/>
      <c r="N63" s="87"/>
      <c r="O63" s="71"/>
    </row>
    <row r="64" spans="1:15" ht="27.75" customHeight="1" x14ac:dyDescent="0.5">
      <c r="A64" s="863" t="s">
        <v>200</v>
      </c>
      <c r="B64" s="864"/>
      <c r="C64" s="865"/>
      <c r="D64" s="151"/>
      <c r="E64" s="95">
        <f>'17'!F64</f>
        <v>0</v>
      </c>
      <c r="F64" s="122"/>
      <c r="G64" s="561">
        <f>G62+G63</f>
        <v>193</v>
      </c>
      <c r="H64" s="99">
        <f>G64+'17'!H64</f>
        <v>2912</v>
      </c>
      <c r="I64" s="118"/>
      <c r="J64" s="175">
        <f>H64/DAY(B2)</f>
        <v>161.77777777777777</v>
      </c>
      <c r="K64" s="69"/>
      <c r="L64" s="66"/>
      <c r="N64" s="87"/>
      <c r="O64" s="71"/>
    </row>
    <row r="65" spans="1:15" ht="27.75" customHeight="1" x14ac:dyDescent="0.5">
      <c r="A65" s="854" t="s">
        <v>201</v>
      </c>
      <c r="B65" s="855"/>
      <c r="C65" s="856"/>
      <c r="D65" s="151" t="s">
        <v>142</v>
      </c>
      <c r="E65" s="95">
        <f>'17'!F65</f>
        <v>433792</v>
      </c>
      <c r="F65" s="122">
        <v>433856</v>
      </c>
      <c r="G65" s="561">
        <f t="shared" ref="G65:G70" si="5">F65-E65</f>
        <v>64</v>
      </c>
      <c r="H65" s="99">
        <f>G65+'17'!H65</f>
        <v>1242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61">
        <f t="shared" si="5"/>
        <v>11</v>
      </c>
      <c r="H66" s="99">
        <f>G66+'17'!H66</f>
        <v>305</v>
      </c>
      <c r="I66" s="118"/>
      <c r="J66" s="175">
        <f>H66/DAY(B2)</f>
        <v>16.944444444444443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61">
        <f t="shared" si="5"/>
        <v>22</v>
      </c>
      <c r="H67" s="99">
        <f>G67+'17'!H67</f>
        <v>416</v>
      </c>
      <c r="I67" s="118"/>
      <c r="J67" s="175">
        <f>H67/DAY(B2)</f>
        <v>23.111111111111111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61">
        <f t="shared" si="5"/>
        <v>55</v>
      </c>
      <c r="H68" s="99">
        <f>G68+'17'!H68</f>
        <v>493</v>
      </c>
      <c r="I68" s="118"/>
      <c r="J68" s="175">
        <f>H68/DAY(B2)</f>
        <v>27.388888888888889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61">
        <f t="shared" si="5"/>
        <v>12</v>
      </c>
      <c r="H69" s="99">
        <f>G69+'17'!H69</f>
        <v>175</v>
      </c>
      <c r="I69" s="118"/>
      <c r="J69" s="175">
        <f>H69/DAY(B2)</f>
        <v>9.7222222222222214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61">
        <f t="shared" si="5"/>
        <v>4</v>
      </c>
      <c r="H70" s="99">
        <f>G70+'17'!H70</f>
        <v>133</v>
      </c>
      <c r="I70" s="118"/>
      <c r="J70" s="175">
        <f>H70/DAY(B2)</f>
        <v>7.3888888888888893</v>
      </c>
      <c r="K70" s="69"/>
      <c r="L70" s="66"/>
      <c r="N70" s="87"/>
      <c r="O70" s="71"/>
    </row>
    <row r="71" spans="1:15" ht="27.75" customHeight="1" x14ac:dyDescent="0.5">
      <c r="A71" s="863" t="s">
        <v>208</v>
      </c>
      <c r="B71" s="864"/>
      <c r="C71" s="865"/>
      <c r="D71" s="152"/>
      <c r="E71" s="152"/>
      <c r="F71" s="152"/>
      <c r="G71" s="573">
        <f>SUM(G65:G70)</f>
        <v>168</v>
      </c>
      <c r="H71" s="99">
        <f>G71+'17'!H71</f>
        <v>2764</v>
      </c>
      <c r="I71" s="154"/>
      <c r="J71" s="175">
        <f>H71/DAY(B2)</f>
        <v>153.55555555555554</v>
      </c>
      <c r="K71" s="69"/>
      <c r="L71" s="66"/>
      <c r="N71" s="87"/>
      <c r="O71" s="71"/>
    </row>
    <row r="72" spans="1:15" s="88" customFormat="1" ht="27.75" customHeight="1" x14ac:dyDescent="0.5">
      <c r="A72" s="850"/>
      <c r="B72" s="835"/>
      <c r="C72" s="347"/>
      <c r="D72" s="180"/>
      <c r="E72" s="180" t="s">
        <v>207</v>
      </c>
      <c r="F72" s="180"/>
      <c r="G72" s="574"/>
      <c r="H72" s="181"/>
      <c r="I72" s="180"/>
      <c r="J72" s="182"/>
      <c r="N72" s="87"/>
      <c r="O72" s="71"/>
    </row>
    <row r="73" spans="1:15" ht="27.75" customHeight="1" x14ac:dyDescent="0.5">
      <c r="A73" s="860" t="s">
        <v>333</v>
      </c>
      <c r="B73" s="861"/>
      <c r="C73" s="862"/>
      <c r="D73" s="339"/>
      <c r="E73" s="339"/>
      <c r="F73" s="339"/>
      <c r="G73" s="57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4" t="s">
        <v>220</v>
      </c>
      <c r="B74" s="855"/>
      <c r="C74" s="856"/>
      <c r="D74" s="151" t="s">
        <v>139</v>
      </c>
      <c r="E74" s="95">
        <f>'17'!F74</f>
        <v>897080.9</v>
      </c>
      <c r="F74" s="123">
        <v>897366.15</v>
      </c>
      <c r="G74" s="561">
        <f>F74-E74</f>
        <v>285.25</v>
      </c>
      <c r="H74" s="99">
        <f>G74+'17'!H74</f>
        <v>5334.1500000000233</v>
      </c>
      <c r="I74" s="154"/>
      <c r="J74" s="175">
        <f>H74/DAY(B2)</f>
        <v>296.34166666666795</v>
      </c>
      <c r="K74" s="69"/>
      <c r="L74" s="66"/>
      <c r="N74" s="87"/>
      <c r="O74" s="71"/>
    </row>
    <row r="75" spans="1:15" ht="27.75" customHeight="1" x14ac:dyDescent="0.5">
      <c r="A75" s="854" t="s">
        <v>221</v>
      </c>
      <c r="B75" s="855"/>
      <c r="C75" s="856"/>
      <c r="D75" s="151" t="s">
        <v>139</v>
      </c>
      <c r="E75" s="95">
        <f>'17'!F75</f>
        <v>73586.8</v>
      </c>
      <c r="F75" s="494">
        <v>73586.8</v>
      </c>
      <c r="G75" s="56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51" t="s">
        <v>222</v>
      </c>
      <c r="B76" s="852"/>
      <c r="C76" s="853"/>
      <c r="D76" s="151" t="s">
        <v>139</v>
      </c>
      <c r="E76" s="95">
        <f>'17'!F76</f>
        <v>168630.5</v>
      </c>
      <c r="F76" s="123">
        <v>168711</v>
      </c>
      <c r="G76" s="561">
        <f>F76-E76</f>
        <v>80.5</v>
      </c>
      <c r="H76" s="99">
        <f>G76+'17'!H76</f>
        <v>1504</v>
      </c>
      <c r="I76" s="154"/>
      <c r="J76" s="175">
        <f>H76/DAY(B2)</f>
        <v>83.555555555555557</v>
      </c>
      <c r="K76" s="69"/>
      <c r="L76" s="66"/>
      <c r="N76" s="87"/>
      <c r="O76" s="71"/>
    </row>
    <row r="77" spans="1:15" ht="27.75" customHeight="1" x14ac:dyDescent="0.5">
      <c r="A77" s="851" t="s">
        <v>223</v>
      </c>
      <c r="B77" s="852"/>
      <c r="C77" s="853"/>
      <c r="D77" s="151" t="s">
        <v>139</v>
      </c>
      <c r="E77" s="95">
        <f>'17'!F77</f>
        <v>40821.300000000003</v>
      </c>
      <c r="F77" s="123">
        <v>40844</v>
      </c>
      <c r="G77" s="561">
        <f t="shared" si="6"/>
        <v>22.69999999999709</v>
      </c>
      <c r="H77" s="99">
        <f>G77+'17'!H77</f>
        <v>528</v>
      </c>
      <c r="I77" s="154"/>
      <c r="J77" s="175">
        <f>H77/DAY(B2)</f>
        <v>29.333333333333332</v>
      </c>
      <c r="K77" s="69"/>
      <c r="L77" s="66"/>
      <c r="N77" s="87"/>
      <c r="O77" s="71"/>
    </row>
    <row r="78" spans="1:15" ht="27.75" customHeight="1" x14ac:dyDescent="0.5">
      <c r="A78" s="851" t="s">
        <v>224</v>
      </c>
      <c r="B78" s="852"/>
      <c r="C78" s="853"/>
      <c r="D78" s="151" t="s">
        <v>139</v>
      </c>
      <c r="E78" s="95">
        <f>'17'!F78</f>
        <v>9499</v>
      </c>
      <c r="F78" s="123">
        <v>9500</v>
      </c>
      <c r="G78" s="561">
        <f t="shared" si="6"/>
        <v>1</v>
      </c>
      <c r="H78" s="99">
        <f>G78+'17'!H78</f>
        <v>14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customHeight="1" x14ac:dyDescent="0.5">
      <c r="A79" s="851" t="s">
        <v>225</v>
      </c>
      <c r="B79" s="852"/>
      <c r="C79" s="853"/>
      <c r="D79" s="151"/>
      <c r="E79" s="95">
        <f>'17'!F79</f>
        <v>0</v>
      </c>
      <c r="F79" s="123">
        <v>0</v>
      </c>
      <c r="G79" s="561">
        <f>G15-SUM(G74:G78)</f>
        <v>492.27699999995821</v>
      </c>
      <c r="H79" s="99">
        <f>G79+'17'!H79</f>
        <v>8411.8499999999767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3" t="s">
        <v>329</v>
      </c>
      <c r="B80" s="864"/>
      <c r="C80" s="865"/>
      <c r="D80" s="151"/>
      <c r="E80" s="117"/>
      <c r="F80" s="117"/>
      <c r="G80" s="561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68" t="s">
        <v>226</v>
      </c>
      <c r="B81" s="869"/>
      <c r="C81" s="870"/>
      <c r="D81" s="110"/>
      <c r="E81" s="110"/>
      <c r="F81" s="110"/>
      <c r="G81" s="575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61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61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61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61">
        <f t="shared" si="7"/>
        <v>0</v>
      </c>
      <c r="H85" s="99">
        <f>G85+'17'!H85</f>
        <v>-9.9999999997635314E-3</v>
      </c>
      <c r="I85" s="118">
        <f>G82+G83+G84+G85</f>
        <v>0</v>
      </c>
      <c r="J85" s="175">
        <f>H85/DAY(B2)</f>
        <v>-5.5555555554241839E-4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61">
        <f t="shared" si="7"/>
        <v>24.019999999996799</v>
      </c>
      <c r="H86" s="99">
        <f>G86+'17'!H86</f>
        <v>433.05999999999767</v>
      </c>
      <c r="I86" s="118"/>
      <c r="J86" s="175">
        <f>H86/DAY(B2)</f>
        <v>24.05888888888876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61">
        <f t="shared" si="7"/>
        <v>0</v>
      </c>
      <c r="H87" s="99">
        <f>G87+'17'!H87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61">
        <f t="shared" si="7"/>
        <v>1.8699999999989814</v>
      </c>
      <c r="H88" s="99">
        <f>G88+'17'!H88</f>
        <v>14.159999999999854</v>
      </c>
      <c r="I88" s="118">
        <f>G86+G87+G88</f>
        <v>25.88999999999578</v>
      </c>
      <c r="J88" s="175">
        <f>H88/DAY(B2)</f>
        <v>0.78666666666665863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61">
        <f t="shared" si="7"/>
        <v>7.4199999999982538</v>
      </c>
      <c r="H89" s="99">
        <f>G89+'17'!H89</f>
        <v>109.04999999999927</v>
      </c>
      <c r="I89" s="118"/>
      <c r="J89" s="175">
        <f>H89/DAY(B2)</f>
        <v>6.0583333333332927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61">
        <f t="shared" si="7"/>
        <v>0.71000000000640284</v>
      </c>
      <c r="H90" s="99">
        <f>G90+'17'!H90</f>
        <v>97.710000000006403</v>
      </c>
      <c r="I90" s="118">
        <f>G89+G90</f>
        <v>8.1300000000046566</v>
      </c>
      <c r="J90" s="175">
        <f>H90/DAY(B2)</f>
        <v>5.4283333333336889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61">
        <f t="shared" si="7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61">
        <f t="shared" si="7"/>
        <v>10.069999999999709</v>
      </c>
      <c r="H92" s="99">
        <f>G92+'17'!H92</f>
        <v>187.32999999999993</v>
      </c>
      <c r="I92" s="165"/>
      <c r="J92" s="175">
        <f>H92/DAY(B2)</f>
        <v>10.407222222222218</v>
      </c>
      <c r="O92" s="71"/>
    </row>
    <row r="93" spans="1:15" ht="27.75" customHeight="1" x14ac:dyDescent="0.5">
      <c r="A93" s="857" t="s">
        <v>239</v>
      </c>
      <c r="B93" s="858"/>
      <c r="C93" s="859"/>
      <c r="D93" s="111"/>
      <c r="E93" s="111"/>
      <c r="F93" s="111"/>
      <c r="G93" s="564"/>
      <c r="H93" s="121"/>
      <c r="I93" s="121"/>
      <c r="J93" s="183"/>
      <c r="K93" s="69"/>
      <c r="L93" s="66"/>
      <c r="O93" s="71"/>
    </row>
    <row r="94" spans="1:15" ht="27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576">
        <f>G35+G43+G49+G57</f>
        <v>4972.4799999999996</v>
      </c>
      <c r="H94" s="99">
        <f>G94+'17'!H94</f>
        <v>95513.84</v>
      </c>
      <c r="I94" s="118"/>
      <c r="J94" s="175">
        <f>H94/DAY(B2)</f>
        <v>5306.3244444444445</v>
      </c>
      <c r="K94" s="69"/>
      <c r="L94" s="66"/>
      <c r="O94" s="71"/>
    </row>
    <row r="95" spans="1:15" ht="27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577">
        <f>G94/G7</f>
        <v>0.27990318041092033</v>
      </c>
      <c r="H95" s="99">
        <f>G95+'17'!H95</f>
        <v>5.2039094977561655</v>
      </c>
      <c r="I95" s="167"/>
      <c r="J95" s="175">
        <f>H95/DAY(B2)</f>
        <v>0.28910608320867587</v>
      </c>
      <c r="K95" s="69"/>
      <c r="L95" s="66"/>
      <c r="O95" s="71"/>
    </row>
    <row r="96" spans="1:15" ht="27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576">
        <f>G41+G42+G55+G56</f>
        <v>3090.5200000000041</v>
      </c>
      <c r="H96" s="99">
        <f>G96+'17'!H96</f>
        <v>54328.290000000008</v>
      </c>
      <c r="I96" s="118"/>
      <c r="J96" s="175">
        <f>H96/DAY(B2)</f>
        <v>3018.2383333333337</v>
      </c>
      <c r="K96" s="69"/>
      <c r="L96" s="66"/>
      <c r="O96" s="71"/>
    </row>
    <row r="97" spans="1:15" ht="27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577">
        <f>G96/G7</f>
        <v>0.17396678862932755</v>
      </c>
      <c r="H97" s="99">
        <f>G97+'17'!H97</f>
        <v>2.9751746081431509</v>
      </c>
      <c r="I97" s="167"/>
      <c r="J97" s="175">
        <f>H97/DAY(B2)</f>
        <v>0.16528747823017506</v>
      </c>
      <c r="K97" s="69"/>
      <c r="L97" s="66"/>
      <c r="O97" s="71"/>
    </row>
    <row r="98" spans="1:15" ht="27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576">
        <f>G39+G53</f>
        <v>2546.4900000000016</v>
      </c>
      <c r="H98" s="99">
        <f>G98+'17'!H98</f>
        <v>47036.490000000005</v>
      </c>
      <c r="I98" s="168"/>
      <c r="J98" s="175">
        <f>H98/DAY(B2)</f>
        <v>2613.1383333333338</v>
      </c>
      <c r="K98" s="69"/>
      <c r="L98" s="66"/>
      <c r="O98" s="71"/>
    </row>
    <row r="99" spans="1:15" ht="27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577">
        <f>G98/G7</f>
        <v>0.14334309034618642</v>
      </c>
      <c r="H99" s="99">
        <f>G99+'17'!H99</f>
        <v>2.5752440997514738</v>
      </c>
      <c r="I99" s="168"/>
      <c r="J99" s="175">
        <f>H99/DAY(B2)</f>
        <v>0.14306911665285965</v>
      </c>
      <c r="O99" s="71"/>
    </row>
    <row r="100" spans="1:15" ht="27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576">
        <f>G38+G52</f>
        <v>1696.2999999999993</v>
      </c>
      <c r="H100" s="99">
        <f>G100+'17'!H100</f>
        <v>29064.46</v>
      </c>
      <c r="I100" s="118"/>
      <c r="J100" s="175">
        <f>H100/DAY(B2)</f>
        <v>1614.6922222222222</v>
      </c>
      <c r="K100" s="70"/>
      <c r="O100" s="71"/>
    </row>
    <row r="101" spans="1:15" ht="27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577">
        <f>G100/G7</f>
        <v>9.5485505206867397E-2</v>
      </c>
      <c r="H101" s="99">
        <f>G101+'17'!H101</f>
        <v>1.5920369483316994</v>
      </c>
      <c r="I101" s="168"/>
      <c r="J101" s="175">
        <f>H101/DAY(B2)</f>
        <v>8.8446497129538851E-2</v>
      </c>
      <c r="O101" s="71"/>
    </row>
    <row r="102" spans="1:15" ht="27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576">
        <f>G36+G50</f>
        <v>1522.3000000000029</v>
      </c>
      <c r="H102" s="99">
        <f>G102+'17'!H102</f>
        <v>29944.29</v>
      </c>
      <c r="I102" s="168"/>
      <c r="J102" s="175">
        <f>H102/DAY(B2)</f>
        <v>1663.5716666666667</v>
      </c>
      <c r="O102" s="71"/>
    </row>
    <row r="103" spans="1:15" ht="27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577">
        <f>G102/G7</f>
        <v>8.5690965381368028E-2</v>
      </c>
      <c r="H103" s="99">
        <f>G103+'17'!H103</f>
        <v>1.6308190339496864</v>
      </c>
      <c r="I103" s="118"/>
      <c r="J103" s="175">
        <f>H103/DAY(B2)</f>
        <v>9.0601057441649244E-2</v>
      </c>
      <c r="O103" s="71"/>
    </row>
    <row r="104" spans="1:15" ht="27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576">
        <f>G37+G51</f>
        <v>1562.5499999999993</v>
      </c>
      <c r="H104" s="99">
        <f>G104+'17'!H104</f>
        <v>27095.969999999998</v>
      </c>
      <c r="I104" s="118"/>
      <c r="J104" s="175">
        <f>H104/DAY(B2)</f>
        <v>1505.3316666666665</v>
      </c>
      <c r="O104" s="71"/>
    </row>
    <row r="105" spans="1:15" ht="27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578">
        <f>G104/G7</f>
        <v>8.7956656346749179E-2</v>
      </c>
      <c r="H105" s="99">
        <f>G105+'17'!H105</f>
        <v>1.4856466114984841</v>
      </c>
      <c r="I105" s="187"/>
      <c r="J105" s="188">
        <f>H105/DAY(B2)</f>
        <v>8.25359228610269E-2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9"/>
      <c r="H106" s="170"/>
      <c r="I106" s="169"/>
      <c r="J106" s="171"/>
      <c r="O106" s="71"/>
    </row>
    <row r="108" spans="1:15" ht="27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7.75" customHeight="1" x14ac:dyDescent="0.5">
      <c r="A109" s="871"/>
      <c r="B109" s="871"/>
    </row>
    <row r="110" spans="1:15" ht="27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customHeight="1" x14ac:dyDescent="0.5">
      <c r="A111" s="837"/>
      <c r="B111" s="838"/>
      <c r="C111" s="839"/>
      <c r="D111" s="165"/>
      <c r="E111" s="165"/>
      <c r="F111" s="165"/>
      <c r="G111" s="581"/>
      <c r="H111" s="156"/>
      <c r="I111" s="165"/>
      <c r="J111" s="327"/>
    </row>
    <row r="112" spans="1:15" ht="27.75" customHeight="1" x14ac:dyDescent="0.5">
      <c r="A112" s="833" t="s">
        <v>252</v>
      </c>
      <c r="B112" s="834"/>
      <c r="C112" s="835"/>
      <c r="D112" s="146" t="s">
        <v>183</v>
      </c>
      <c r="E112" s="95">
        <f>'17'!F112</f>
        <v>56964</v>
      </c>
      <c r="F112" s="237">
        <v>57044.5</v>
      </c>
      <c r="G112" s="561">
        <f t="shared" ref="G112:G123" si="8">F112-E112</f>
        <v>80.5</v>
      </c>
      <c r="H112" s="99">
        <f>G112+'17'!H112</f>
        <v>1363.5</v>
      </c>
      <c r="I112" s="165"/>
      <c r="J112" s="328">
        <f>H112/DAY(B2)</f>
        <v>75.75</v>
      </c>
    </row>
    <row r="113" spans="1:18" ht="27.75" customHeight="1" x14ac:dyDescent="0.5">
      <c r="A113" s="833" t="s">
        <v>253</v>
      </c>
      <c r="B113" s="834"/>
      <c r="C113" s="835"/>
      <c r="D113" s="146" t="s">
        <v>183</v>
      </c>
      <c r="E113" s="95">
        <f>'17'!F113</f>
        <v>39860.839999999997</v>
      </c>
      <c r="F113" s="237">
        <v>40324.26</v>
      </c>
      <c r="G113" s="561">
        <f t="shared" si="8"/>
        <v>463.42000000000553</v>
      </c>
      <c r="H113" s="99">
        <f>G113+'17'!H113</f>
        <v>8129.260000000002</v>
      </c>
      <c r="I113" s="165"/>
      <c r="J113" s="328">
        <f>H113/DAY(B2)</f>
        <v>451.62555555555565</v>
      </c>
    </row>
    <row r="114" spans="1:18" ht="27.75" customHeight="1" x14ac:dyDescent="0.5">
      <c r="A114" s="833" t="s">
        <v>254</v>
      </c>
      <c r="B114" s="834"/>
      <c r="C114" s="835"/>
      <c r="D114" s="146" t="s">
        <v>183</v>
      </c>
      <c r="E114" s="95">
        <f>'17'!F114</f>
        <v>29371</v>
      </c>
      <c r="F114" s="237">
        <v>29635.1</v>
      </c>
      <c r="G114" s="561">
        <f t="shared" si="8"/>
        <v>264.09999999999854</v>
      </c>
      <c r="H114" s="99">
        <f>G114+'17'!H114</f>
        <v>4630.4999999999982</v>
      </c>
      <c r="I114" s="165"/>
      <c r="J114" s="328">
        <f>H114/DAY(B2)</f>
        <v>257.24999999999989</v>
      </c>
    </row>
    <row r="115" spans="1:18" ht="27.75" customHeight="1" x14ac:dyDescent="0.5">
      <c r="A115" s="833" t="s">
        <v>255</v>
      </c>
      <c r="B115" s="834"/>
      <c r="C115" s="835"/>
      <c r="D115" s="146" t="s">
        <v>183</v>
      </c>
      <c r="E115" s="95">
        <f>'17'!F115</f>
        <v>8958.2000000000007</v>
      </c>
      <c r="F115" s="237">
        <v>8969.3700000000008</v>
      </c>
      <c r="G115" s="561">
        <f t="shared" si="8"/>
        <v>11.170000000000073</v>
      </c>
      <c r="H115" s="99">
        <f>G115+'17'!H115</f>
        <v>184.3700000000008</v>
      </c>
      <c r="I115" s="165"/>
      <c r="J115" s="328">
        <f>H115/DAY(B2)</f>
        <v>10.242777777777823</v>
      </c>
    </row>
    <row r="116" spans="1:18" ht="27.75" customHeight="1" x14ac:dyDescent="0.5">
      <c r="A116" s="840" t="s">
        <v>96</v>
      </c>
      <c r="B116" s="841"/>
      <c r="C116" s="842"/>
      <c r="D116" s="146" t="s">
        <v>183</v>
      </c>
      <c r="E116" s="95">
        <f>'17'!F116</f>
        <v>0</v>
      </c>
      <c r="F116" s="237">
        <v>0</v>
      </c>
      <c r="G116" s="561">
        <f t="shared" si="8"/>
        <v>0</v>
      </c>
      <c r="H116" s="99">
        <f>G116+'17'!H116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7.75" customHeight="1" x14ac:dyDescent="0.5">
      <c r="A117" s="840" t="s">
        <v>184</v>
      </c>
      <c r="B117" s="841"/>
      <c r="C117" s="842"/>
      <c r="D117" s="146" t="s">
        <v>183</v>
      </c>
      <c r="E117" s="95">
        <f>'17'!F117</f>
        <v>2999.97</v>
      </c>
      <c r="F117" s="237">
        <v>3023.11</v>
      </c>
      <c r="G117" s="561">
        <f t="shared" si="8"/>
        <v>23.140000000000327</v>
      </c>
      <c r="H117" s="99">
        <f>G117+'17'!H117</f>
        <v>433.11000000000013</v>
      </c>
      <c r="I117" s="165"/>
      <c r="J117" s="328">
        <f>H117/DAY(B2)</f>
        <v>24.061666666666675</v>
      </c>
      <c r="Q117" s="833" t="s">
        <v>312</v>
      </c>
      <c r="R117" s="835"/>
    </row>
    <row r="118" spans="1:18" ht="27.75" customHeight="1" x14ac:dyDescent="0.5">
      <c r="A118" s="832" t="s">
        <v>97</v>
      </c>
      <c r="B118" s="832"/>
      <c r="C118" s="832"/>
      <c r="D118" s="151" t="s">
        <v>183</v>
      </c>
      <c r="E118" s="95">
        <f>'17'!F118</f>
        <v>247684</v>
      </c>
      <c r="F118" s="237">
        <v>248035.49</v>
      </c>
      <c r="G118" s="561">
        <f t="shared" si="8"/>
        <v>351.48999999999069</v>
      </c>
      <c r="H118" s="99">
        <f>G118+'17'!H118</f>
        <v>6388.4899999999907</v>
      </c>
      <c r="I118" s="165"/>
      <c r="J118" s="328">
        <f>H118/DAY(B2)</f>
        <v>354.91611111111058</v>
      </c>
      <c r="Q118" s="833" t="s">
        <v>311</v>
      </c>
      <c r="R118" s="835"/>
    </row>
    <row r="119" spans="1:18" ht="27.75" customHeight="1" x14ac:dyDescent="0.5">
      <c r="A119" s="832" t="s">
        <v>98</v>
      </c>
      <c r="B119" s="832"/>
      <c r="C119" s="832"/>
      <c r="D119" s="151" t="s">
        <v>183</v>
      </c>
      <c r="E119" s="95">
        <f>'17'!F119</f>
        <v>252241</v>
      </c>
      <c r="F119" s="237">
        <v>252682.05</v>
      </c>
      <c r="G119" s="561">
        <f t="shared" si="8"/>
        <v>441.04999999998836</v>
      </c>
      <c r="H119" s="99">
        <f>G119+'17'!H119</f>
        <v>7556.0499999999884</v>
      </c>
      <c r="I119" s="165"/>
      <c r="J119" s="328">
        <f>H119/DAY(B2)</f>
        <v>419.78055555555488</v>
      </c>
    </row>
    <row r="120" spans="1:18" ht="27.75" customHeight="1" x14ac:dyDescent="0.5">
      <c r="A120" s="832" t="s">
        <v>99</v>
      </c>
      <c r="B120" s="832"/>
      <c r="C120" s="832"/>
      <c r="D120" s="151" t="s">
        <v>183</v>
      </c>
      <c r="E120" s="95">
        <f>'17'!F120</f>
        <v>37145.4</v>
      </c>
      <c r="F120" s="237">
        <v>37580.07</v>
      </c>
      <c r="G120" s="561">
        <f t="shared" si="8"/>
        <v>434.66999999999825</v>
      </c>
      <c r="H120" s="99">
        <f>G120+'17'!H120</f>
        <v>7502.07</v>
      </c>
      <c r="I120" s="165"/>
      <c r="J120" s="328">
        <f>H120/DAY(B2)</f>
        <v>416.78166666666664</v>
      </c>
    </row>
    <row r="121" spans="1:18" ht="27.75" customHeight="1" x14ac:dyDescent="0.5">
      <c r="A121" s="832" t="s">
        <v>100</v>
      </c>
      <c r="B121" s="832"/>
      <c r="C121" s="832"/>
      <c r="D121" s="151" t="s">
        <v>183</v>
      </c>
      <c r="E121" s="95">
        <f>'17'!F121</f>
        <v>388428</v>
      </c>
      <c r="F121" s="237">
        <v>389079</v>
      </c>
      <c r="G121" s="561">
        <f t="shared" si="8"/>
        <v>651</v>
      </c>
      <c r="H121" s="99">
        <f>G121+'17'!H121</f>
        <v>12550</v>
      </c>
      <c r="I121" s="165"/>
      <c r="J121" s="328">
        <f>H121/DAY(B2)</f>
        <v>697.22222222222217</v>
      </c>
    </row>
    <row r="122" spans="1:18" ht="27.75" customHeight="1" x14ac:dyDescent="0.5">
      <c r="A122" s="832" t="s">
        <v>101</v>
      </c>
      <c r="B122" s="832"/>
      <c r="C122" s="832"/>
      <c r="D122" s="151" t="s">
        <v>183</v>
      </c>
      <c r="E122" s="95">
        <f>'17'!F122</f>
        <v>123533.44</v>
      </c>
      <c r="F122" s="237">
        <v>123702</v>
      </c>
      <c r="G122" s="561">
        <f t="shared" si="8"/>
        <v>168.55999999999767</v>
      </c>
      <c r="H122" s="99">
        <f>G122+'17'!H122</f>
        <v>3652</v>
      </c>
      <c r="I122" s="165"/>
      <c r="J122" s="328">
        <f>H122/DAY(B2)</f>
        <v>202.88888888888889</v>
      </c>
    </row>
    <row r="123" spans="1:18" ht="27.75" customHeight="1" x14ac:dyDescent="0.5">
      <c r="A123" s="832" t="s">
        <v>102</v>
      </c>
      <c r="B123" s="832"/>
      <c r="C123" s="832"/>
      <c r="D123" s="151" t="s">
        <v>183</v>
      </c>
      <c r="E123" s="95">
        <f>'17'!F123</f>
        <v>150237.63</v>
      </c>
      <c r="F123" s="237">
        <v>150502.59</v>
      </c>
      <c r="G123" s="561">
        <f t="shared" si="8"/>
        <v>264.95999999999185</v>
      </c>
      <c r="H123" s="99">
        <f>G123+'17'!H123</f>
        <v>5377.5899999999965</v>
      </c>
      <c r="I123" s="165"/>
      <c r="J123" s="328">
        <f>H123/DAY(B2)</f>
        <v>298.75499999999982</v>
      </c>
    </row>
    <row r="124" spans="1:18" ht="27.75" customHeight="1" x14ac:dyDescent="0.5">
      <c r="A124" s="837"/>
      <c r="B124" s="838"/>
      <c r="C124" s="839"/>
      <c r="D124" s="165"/>
      <c r="E124" s="95">
        <f>'17'!F124</f>
        <v>0</v>
      </c>
      <c r="F124" s="165"/>
      <c r="G124" s="581"/>
      <c r="H124" s="99">
        <f>G124+'17'!H124</f>
        <v>0</v>
      </c>
      <c r="I124" s="165"/>
      <c r="J124" s="327"/>
    </row>
    <row r="125" spans="1:18" ht="27.75" customHeight="1" x14ac:dyDescent="0.5">
      <c r="A125" s="817" t="s">
        <v>196</v>
      </c>
      <c r="B125" s="818"/>
      <c r="C125" s="245"/>
      <c r="D125" s="307"/>
      <c r="E125" s="308"/>
      <c r="F125" s="308"/>
      <c r="G125" s="582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customHeight="1" x14ac:dyDescent="0.5">
      <c r="A127" s="822"/>
      <c r="B127" s="822"/>
      <c r="C127" s="245"/>
      <c r="D127" s="307"/>
      <c r="E127" s="308"/>
      <c r="F127" s="308"/>
      <c r="G127" s="582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33" t="s">
        <v>318</v>
      </c>
      <c r="B128" s="834"/>
      <c r="C128" s="835"/>
      <c r="D128" s="151" t="s">
        <v>183</v>
      </c>
      <c r="E128" s="95">
        <f>'17'!F128</f>
        <v>43403.9</v>
      </c>
      <c r="F128" s="165">
        <v>43694.22</v>
      </c>
      <c r="G128" s="561">
        <f t="shared" ref="G128:G134" si="9">F128-E128</f>
        <v>290.31999999999971</v>
      </c>
      <c r="H128" s="99">
        <f>G128+'17'!H128</f>
        <v>5690.2200000000012</v>
      </c>
      <c r="I128" s="165"/>
      <c r="J128" s="328">
        <f>H128/DAY(B2)</f>
        <v>316.12333333333339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61">
        <f t="shared" si="9"/>
        <v>257.11999999999898</v>
      </c>
      <c r="H129" s="99">
        <f>G129+'17'!H129</f>
        <v>4020.0200000000004</v>
      </c>
      <c r="I129" s="165"/>
      <c r="J129" s="328">
        <f>H129/DAY(B2)</f>
        <v>223.33444444444447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61">
        <f t="shared" si="9"/>
        <v>516.80999999999767</v>
      </c>
      <c r="H130" s="99">
        <f>G130+'17'!H130</f>
        <v>10584.259999999998</v>
      </c>
      <c r="I130" s="165"/>
      <c r="J130" s="328">
        <f>H130/DAY(B2)</f>
        <v>588.01444444444439</v>
      </c>
      <c r="N130" s="240"/>
      <c r="O130" s="241"/>
    </row>
    <row r="131" spans="1:15" ht="27.75" customHeight="1" x14ac:dyDescent="0.5">
      <c r="A131" s="833" t="s">
        <v>321</v>
      </c>
      <c r="B131" s="834"/>
      <c r="C131" s="835"/>
      <c r="D131" s="151" t="s">
        <v>183</v>
      </c>
      <c r="E131" s="95">
        <f>'17'!F131</f>
        <v>14365.97</v>
      </c>
      <c r="F131" s="158">
        <v>14447.42</v>
      </c>
      <c r="G131" s="561">
        <f t="shared" si="9"/>
        <v>81.450000000000728</v>
      </c>
      <c r="H131" s="99">
        <f>G131+'17'!H131</f>
        <v>1294.42</v>
      </c>
      <c r="I131" s="165"/>
      <c r="J131" s="328">
        <f>H131/DAY(B2)</f>
        <v>71.912222222222226</v>
      </c>
      <c r="N131" s="240"/>
      <c r="O131" s="241"/>
    </row>
    <row r="132" spans="1:15" ht="27.75" customHeight="1" x14ac:dyDescent="0.5">
      <c r="A132" s="833" t="s">
        <v>322</v>
      </c>
      <c r="B132" s="834"/>
      <c r="C132" s="835"/>
      <c r="D132" s="151" t="s">
        <v>183</v>
      </c>
      <c r="E132" s="95">
        <f>'17'!F132</f>
        <v>49304</v>
      </c>
      <c r="F132" s="158">
        <v>49682.7</v>
      </c>
      <c r="G132" s="561">
        <f t="shared" si="9"/>
        <v>378.69999999999709</v>
      </c>
      <c r="H132" s="99">
        <f>G132+'17'!H132</f>
        <v>8659.6999999999971</v>
      </c>
      <c r="I132" s="165"/>
      <c r="J132" s="328">
        <f>H132/DAY(B2)</f>
        <v>481.09444444444426</v>
      </c>
    </row>
    <row r="133" spans="1:15" ht="27.75" customHeight="1" x14ac:dyDescent="0.5">
      <c r="A133" s="833" t="s">
        <v>362</v>
      </c>
      <c r="B133" s="834"/>
      <c r="C133" s="835"/>
      <c r="D133" s="151" t="s">
        <v>183</v>
      </c>
      <c r="E133" s="95">
        <f>'17'!F133</f>
        <v>98082.6</v>
      </c>
      <c r="F133" s="165">
        <v>98583.4</v>
      </c>
      <c r="G133" s="561">
        <f t="shared" si="9"/>
        <v>500.79999999998836</v>
      </c>
      <c r="H133" s="99">
        <f>G133+'17'!H133</f>
        <v>10880.399999999994</v>
      </c>
      <c r="I133" s="165"/>
      <c r="J133" s="328">
        <f>H133/DAY(B2)</f>
        <v>604.46666666666636</v>
      </c>
    </row>
    <row r="134" spans="1:15" ht="27.75" customHeight="1" x14ac:dyDescent="0.5">
      <c r="A134" s="833" t="s">
        <v>340</v>
      </c>
      <c r="B134" s="834"/>
      <c r="C134" s="835"/>
      <c r="D134" s="151" t="s">
        <v>183</v>
      </c>
      <c r="E134" s="95">
        <f>'17'!F134</f>
        <v>6179</v>
      </c>
      <c r="F134" s="158">
        <v>6368.93</v>
      </c>
      <c r="G134" s="561">
        <f t="shared" si="9"/>
        <v>189.93000000000029</v>
      </c>
      <c r="H134" s="99">
        <f>G134+'17'!H134</f>
        <v>8662.93</v>
      </c>
      <c r="I134" s="165"/>
      <c r="J134" s="328">
        <f>H134/DAY(B2)</f>
        <v>481.27388888888891</v>
      </c>
    </row>
    <row r="135" spans="1:15" ht="27.75" customHeight="1" x14ac:dyDescent="0.5">
      <c r="A135" s="817" t="s">
        <v>196</v>
      </c>
      <c r="B135" s="818"/>
      <c r="C135" s="331"/>
      <c r="D135" s="151"/>
      <c r="E135" s="95"/>
      <c r="F135" s="165"/>
      <c r="G135" s="561">
        <f>SUM(G128:G134)</f>
        <v>2215.1299999999828</v>
      </c>
      <c r="H135" s="99">
        <f>G135+'10'!H135</f>
        <v>33439.129999999983</v>
      </c>
      <c r="I135" s="327">
        <f>G135-(G35+G49)</f>
        <v>-419.35000000001673</v>
      </c>
      <c r="J135" s="328"/>
    </row>
    <row r="136" spans="1:15" ht="27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81"/>
      <c r="H137" s="156"/>
      <c r="I137" s="165"/>
      <c r="J137" s="327"/>
    </row>
    <row r="138" spans="1:15" ht="27.75" customHeight="1" x14ac:dyDescent="0.5">
      <c r="A138" s="832" t="s">
        <v>185</v>
      </c>
      <c r="B138" s="832"/>
      <c r="C138" s="832"/>
      <c r="D138" s="151" t="s">
        <v>183</v>
      </c>
      <c r="E138" s="95">
        <f>'17'!F138</f>
        <v>865229</v>
      </c>
      <c r="F138" s="147">
        <v>865289</v>
      </c>
      <c r="G138" s="561">
        <f t="shared" ref="G138:G152" si="10">F138-E138</f>
        <v>60</v>
      </c>
      <c r="H138" s="99">
        <f>G138+'17'!H138</f>
        <v>1118</v>
      </c>
      <c r="I138" s="118"/>
      <c r="J138" s="328">
        <f>H138/DAY(B2)</f>
        <v>62.111111111111114</v>
      </c>
    </row>
    <row r="139" spans="1:15" ht="27.75" customHeight="1" x14ac:dyDescent="0.5">
      <c r="A139" s="832" t="s">
        <v>186</v>
      </c>
      <c r="B139" s="832"/>
      <c r="C139" s="832"/>
      <c r="D139" s="151" t="s">
        <v>183</v>
      </c>
      <c r="E139" s="95">
        <f>'17'!F139</f>
        <v>886550</v>
      </c>
      <c r="F139" s="148">
        <v>886551</v>
      </c>
      <c r="G139" s="561">
        <f t="shared" si="10"/>
        <v>1</v>
      </c>
      <c r="H139" s="99">
        <f>G139+'17'!H139</f>
        <v>5</v>
      </c>
      <c r="I139" s="118"/>
      <c r="J139" s="328">
        <f>H139/DAY(B2)</f>
        <v>0.27777777777777779</v>
      </c>
    </row>
    <row r="140" spans="1:15" ht="27.75" customHeight="1" x14ac:dyDescent="0.5">
      <c r="A140" s="832" t="s">
        <v>187</v>
      </c>
      <c r="B140" s="832"/>
      <c r="C140" s="832"/>
      <c r="D140" s="151" t="s">
        <v>183</v>
      </c>
      <c r="E140" s="95">
        <f>'17'!F140</f>
        <v>88898</v>
      </c>
      <c r="F140" s="149">
        <v>88898</v>
      </c>
      <c r="G140" s="561">
        <f t="shared" si="10"/>
        <v>0</v>
      </c>
      <c r="H140" s="99">
        <f>G140+'17'!H140</f>
        <v>16</v>
      </c>
      <c r="I140" s="118"/>
      <c r="J140" s="328">
        <f>H140/DAY(B2)</f>
        <v>0.88888888888888884</v>
      </c>
    </row>
    <row r="141" spans="1:15" ht="27.75" customHeight="1" x14ac:dyDescent="0.5">
      <c r="A141" s="813" t="s">
        <v>188</v>
      </c>
      <c r="B141" s="813"/>
      <c r="C141" s="813"/>
      <c r="D141" s="151" t="s">
        <v>183</v>
      </c>
      <c r="E141" s="95">
        <f>'17'!F141</f>
        <v>52234.8</v>
      </c>
      <c r="F141" s="149">
        <v>52406.65</v>
      </c>
      <c r="G141" s="561">
        <f t="shared" si="10"/>
        <v>171.84999999999854</v>
      </c>
      <c r="H141" s="99">
        <f>G141+'17'!H141</f>
        <v>3100.6500000000015</v>
      </c>
      <c r="I141" s="118"/>
      <c r="J141" s="328">
        <f>H141/DAY(B2)</f>
        <v>172.25833333333341</v>
      </c>
    </row>
    <row r="142" spans="1:15" ht="27.75" customHeight="1" x14ac:dyDescent="0.5">
      <c r="A142" s="813" t="s">
        <v>189</v>
      </c>
      <c r="B142" s="813"/>
      <c r="C142" s="813"/>
      <c r="D142" s="151" t="s">
        <v>183</v>
      </c>
      <c r="E142" s="95">
        <f>'17'!F142</f>
        <v>20197.09</v>
      </c>
      <c r="F142" s="148">
        <v>20277.63</v>
      </c>
      <c r="G142" s="561">
        <f t="shared" si="10"/>
        <v>80.540000000000873</v>
      </c>
      <c r="H142" s="99">
        <f>G142+'17'!H142</f>
        <v>1268.630000000001</v>
      </c>
      <c r="I142" s="140"/>
      <c r="J142" s="328">
        <f>H142/DAY(B2)</f>
        <v>70.479444444444496</v>
      </c>
    </row>
    <row r="143" spans="1:15" ht="27.75" customHeight="1" x14ac:dyDescent="0.5">
      <c r="A143" s="832" t="s">
        <v>91</v>
      </c>
      <c r="B143" s="832"/>
      <c r="C143" s="832"/>
      <c r="D143" s="151" t="s">
        <v>183</v>
      </c>
      <c r="E143" s="95">
        <f>'17'!F143</f>
        <v>3466.51</v>
      </c>
      <c r="F143" s="149">
        <v>3491.46</v>
      </c>
      <c r="G143" s="561">
        <f t="shared" si="10"/>
        <v>24.949999999999818</v>
      </c>
      <c r="H143" s="99">
        <f>G143+'17'!H143</f>
        <v>430.46000000000004</v>
      </c>
      <c r="I143" s="140"/>
      <c r="J143" s="328">
        <f>H143/DAY(B2)</f>
        <v>23.914444444444445</v>
      </c>
    </row>
    <row r="144" spans="1:15" ht="27.75" customHeight="1" x14ac:dyDescent="0.5">
      <c r="A144" s="813" t="s">
        <v>90</v>
      </c>
      <c r="B144" s="813"/>
      <c r="C144" s="813"/>
      <c r="D144" s="151" t="s">
        <v>183</v>
      </c>
      <c r="E144" s="95">
        <f>'17'!F144</f>
        <v>873523</v>
      </c>
      <c r="F144" s="149">
        <v>873743</v>
      </c>
      <c r="G144" s="561">
        <f t="shared" si="10"/>
        <v>220</v>
      </c>
      <c r="H144" s="99">
        <f>G144+'17'!H144</f>
        <v>4073</v>
      </c>
      <c r="I144" s="140"/>
      <c r="J144" s="328">
        <f>H144/DAY(B2)</f>
        <v>226.27777777777777</v>
      </c>
    </row>
    <row r="145" spans="1:10" ht="27.75" customHeight="1" x14ac:dyDescent="0.5">
      <c r="A145" s="832" t="s">
        <v>190</v>
      </c>
      <c r="B145" s="832"/>
      <c r="C145" s="832"/>
      <c r="D145" s="152" t="s">
        <v>183</v>
      </c>
      <c r="E145" s="95">
        <f>'17'!F145</f>
        <v>4812.34</v>
      </c>
      <c r="F145" s="149">
        <v>4827.1899999999996</v>
      </c>
      <c r="G145" s="561">
        <f t="shared" si="10"/>
        <v>14.849999999999454</v>
      </c>
      <c r="H145" s="99">
        <f>G145+'17'!H145</f>
        <v>269.1899999999996</v>
      </c>
      <c r="I145" s="140"/>
      <c r="J145" s="328">
        <f>H145/DAY(B2)</f>
        <v>14.954999999999977</v>
      </c>
    </row>
    <row r="146" spans="1:10" ht="27.75" customHeight="1" x14ac:dyDescent="0.5">
      <c r="A146" s="867" t="s">
        <v>191</v>
      </c>
      <c r="B146" s="852"/>
      <c r="C146" s="853"/>
      <c r="D146" s="152" t="s">
        <v>183</v>
      </c>
      <c r="E146" s="95">
        <f>'17'!F146</f>
        <v>731756</v>
      </c>
      <c r="F146" s="148">
        <v>732122</v>
      </c>
      <c r="G146" s="561">
        <f t="shared" si="10"/>
        <v>366</v>
      </c>
      <c r="H146" s="99">
        <f>G146+'17'!H146</f>
        <v>7264</v>
      </c>
      <c r="I146" s="140"/>
      <c r="J146" s="328">
        <f>H146/DAY(B2)</f>
        <v>403.55555555555554</v>
      </c>
    </row>
    <row r="147" spans="1:10" ht="27.75" customHeight="1" x14ac:dyDescent="0.5">
      <c r="A147" s="813" t="s">
        <v>192</v>
      </c>
      <c r="B147" s="813"/>
      <c r="C147" s="813"/>
      <c r="D147" s="152" t="s">
        <v>183</v>
      </c>
      <c r="E147" s="95">
        <f>'17'!F147</f>
        <v>621509</v>
      </c>
      <c r="F147" s="148">
        <v>621813.56000000006</v>
      </c>
      <c r="G147" s="561">
        <f t="shared" si="10"/>
        <v>304.56000000005588</v>
      </c>
      <c r="H147" s="99">
        <f>G147+'17'!H147</f>
        <v>6531.5600000000559</v>
      </c>
      <c r="I147" s="140"/>
      <c r="J147" s="328">
        <f>H147/DAY(B2)</f>
        <v>362.86444444444754</v>
      </c>
    </row>
    <row r="148" spans="1:10" ht="27.75" customHeight="1" x14ac:dyDescent="0.5">
      <c r="A148" s="814" t="s">
        <v>193</v>
      </c>
      <c r="B148" s="815"/>
      <c r="C148" s="816"/>
      <c r="D148" s="123" t="s">
        <v>130</v>
      </c>
      <c r="E148" s="95">
        <f>'17'!F148</f>
        <v>686860</v>
      </c>
      <c r="F148" s="150">
        <v>687015.44</v>
      </c>
      <c r="G148" s="561">
        <f t="shared" si="10"/>
        <v>155.43999999994412</v>
      </c>
      <c r="H148" s="99">
        <f>G148+'17'!H148</f>
        <v>3982.3199999999488</v>
      </c>
      <c r="I148" s="124"/>
      <c r="J148" s="328">
        <f>H148/DAY(B2)</f>
        <v>221.23999999999717</v>
      </c>
    </row>
    <row r="149" spans="1:10" ht="27.75" customHeight="1" x14ac:dyDescent="0.5">
      <c r="A149" s="814" t="s">
        <v>336</v>
      </c>
      <c r="B149" s="815"/>
      <c r="C149" s="816"/>
      <c r="D149" s="227" t="s">
        <v>130</v>
      </c>
      <c r="E149" s="95">
        <f>'17'!F149</f>
        <v>17791.439999999999</v>
      </c>
      <c r="F149" s="146">
        <v>18255.259999999998</v>
      </c>
      <c r="G149" s="561">
        <f t="shared" si="10"/>
        <v>463.81999999999971</v>
      </c>
      <c r="H149" s="99">
        <f>G149+'17'!H149</f>
        <v>7506.2599999999984</v>
      </c>
      <c r="I149" s="119"/>
      <c r="J149" s="328">
        <f>H149/DAY(B2)</f>
        <v>417.01444444444434</v>
      </c>
    </row>
    <row r="150" spans="1:10" ht="27.75" customHeight="1" x14ac:dyDescent="0.5">
      <c r="A150" s="814" t="s">
        <v>337</v>
      </c>
      <c r="B150" s="815"/>
      <c r="C150" s="816"/>
      <c r="D150" s="117" t="s">
        <v>130</v>
      </c>
      <c r="E150" s="95">
        <f>'17'!F150</f>
        <v>7752.4</v>
      </c>
      <c r="F150" s="233">
        <v>7974.99</v>
      </c>
      <c r="G150" s="561">
        <f t="shared" si="10"/>
        <v>222.59000000000015</v>
      </c>
      <c r="H150" s="99">
        <f>G150+'17'!H150</f>
        <v>3922.99</v>
      </c>
      <c r="I150" s="119"/>
      <c r="J150" s="328">
        <f>H150/DAY(B2)</f>
        <v>217.94388888888886</v>
      </c>
    </row>
    <row r="151" spans="1:10" ht="27.75" customHeight="1" x14ac:dyDescent="0.5">
      <c r="A151" s="814" t="s">
        <v>338</v>
      </c>
      <c r="B151" s="815"/>
      <c r="C151" s="816"/>
      <c r="D151" s="117" t="s">
        <v>130</v>
      </c>
      <c r="E151" s="95">
        <f>'17'!F151</f>
        <v>82156</v>
      </c>
      <c r="F151" s="233">
        <v>82410</v>
      </c>
      <c r="G151" s="561">
        <f t="shared" si="10"/>
        <v>254</v>
      </c>
      <c r="H151" s="99">
        <f>G151+'17'!H151</f>
        <v>4193</v>
      </c>
      <c r="I151" s="119"/>
      <c r="J151" s="328">
        <f>H151/DAY(B2)</f>
        <v>232.94444444444446</v>
      </c>
    </row>
    <row r="152" spans="1:10" ht="27.75" customHeight="1" x14ac:dyDescent="0.5">
      <c r="A152" s="814" t="s">
        <v>339</v>
      </c>
      <c r="B152" s="815"/>
      <c r="C152" s="816"/>
      <c r="D152" s="117" t="s">
        <v>130</v>
      </c>
      <c r="E152" s="95">
        <f>'17'!F152</f>
        <v>1419.9</v>
      </c>
      <c r="F152" s="233">
        <v>1435.92</v>
      </c>
      <c r="G152" s="561">
        <f t="shared" si="10"/>
        <v>16.019999999999982</v>
      </c>
      <c r="H152" s="99">
        <f>G152+'17'!H152</f>
        <v>308.92000000000007</v>
      </c>
      <c r="I152" s="119"/>
      <c r="J152" s="328">
        <f>H152/DAY(B2)</f>
        <v>17.162222222222226</v>
      </c>
    </row>
    <row r="153" spans="1:10" ht="27.75" customHeight="1" x14ac:dyDescent="0.5">
      <c r="A153" s="817" t="s">
        <v>196</v>
      </c>
      <c r="B153" s="818"/>
      <c r="C153" s="365"/>
      <c r="D153" s="358"/>
      <c r="E153" s="360"/>
      <c r="F153" s="361"/>
      <c r="G153" s="583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27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'17'!F155</f>
        <v>23303</v>
      </c>
      <c r="F155" s="473">
        <v>23908.77</v>
      </c>
      <c r="G155" s="561">
        <f t="shared" ref="G155:G157" si="11">F155-E155</f>
        <v>605.77000000000044</v>
      </c>
      <c r="H155" s="99">
        <f>G155+'17'!H155</f>
        <v>10436.77</v>
      </c>
      <c r="I155" s="364"/>
      <c r="J155" s="328">
        <f>H155/DAY(B2)</f>
        <v>579.82055555555553</v>
      </c>
    </row>
    <row r="156" spans="1:10" ht="27.75" customHeight="1" x14ac:dyDescent="0.5">
      <c r="A156" s="813" t="s">
        <v>347</v>
      </c>
      <c r="B156" s="813"/>
      <c r="C156" s="813"/>
      <c r="D156" s="117" t="s">
        <v>130</v>
      </c>
      <c r="E156" s="95">
        <f>'17'!F156</f>
        <v>1954</v>
      </c>
      <c r="F156" s="165">
        <v>2010.05</v>
      </c>
      <c r="G156" s="561">
        <f t="shared" si="11"/>
        <v>56.049999999999955</v>
      </c>
      <c r="H156" s="99">
        <f>G156+'17'!H156</f>
        <v>922.05</v>
      </c>
      <c r="I156" s="165"/>
      <c r="J156" s="328">
        <f>H156/DAY(B2)</f>
        <v>51.224999999999994</v>
      </c>
    </row>
    <row r="157" spans="1:10" ht="27.75" customHeight="1" x14ac:dyDescent="0.5">
      <c r="A157" s="814" t="s">
        <v>364</v>
      </c>
      <c r="B157" s="815"/>
      <c r="C157" s="816"/>
      <c r="D157" s="117" t="s">
        <v>130</v>
      </c>
      <c r="E157" s="95">
        <f>'17'!F157</f>
        <v>2516.1329999999998</v>
      </c>
      <c r="F157" s="165">
        <v>2598.1799999999998</v>
      </c>
      <c r="G157" s="561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 x14ac:dyDescent="0.5">
      <c r="A158" s="814" t="s">
        <v>365</v>
      </c>
      <c r="B158" s="815"/>
      <c r="C158" s="816"/>
      <c r="D158" s="117" t="s">
        <v>130</v>
      </c>
      <c r="E158" s="95">
        <f>'17'!F158</f>
        <v>23.34</v>
      </c>
      <c r="F158" s="165">
        <v>23.34</v>
      </c>
      <c r="G158" s="561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 x14ac:dyDescent="0.5">
      <c r="A159" s="897"/>
      <c r="B159" s="898"/>
      <c r="C159" s="899"/>
      <c r="D159" s="117"/>
      <c r="E159" s="95"/>
      <c r="F159" s="165"/>
      <c r="G159" s="561"/>
      <c r="H159" s="99"/>
      <c r="I159" s="165"/>
      <c r="J159" s="328"/>
    </row>
    <row r="160" spans="1:10" ht="27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4">
        <f t="shared" ref="G161:G165" si="13">F161-E161</f>
        <v>7.5599999999976717</v>
      </c>
      <c r="H161" s="99">
        <f>G161+'17'!H161</f>
        <v>300.40000000002328</v>
      </c>
      <c r="I161" s="236"/>
      <c r="J161" s="239">
        <f>H161/DAY(B2)</f>
        <v>16.688888888890183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4">
        <f t="shared" si="13"/>
        <v>40.30000000000291</v>
      </c>
      <c r="H162" s="99">
        <f>G162+'17'!H162</f>
        <v>523.30000000000291</v>
      </c>
      <c r="I162" s="236"/>
      <c r="J162" s="239">
        <f>H162/DAY(B2)</f>
        <v>29.072222222222383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4">
        <f t="shared" si="13"/>
        <v>62.80000000000291</v>
      </c>
      <c r="H163" s="99">
        <f>G163+'17'!H163</f>
        <v>810.5</v>
      </c>
      <c r="I163" s="236"/>
      <c r="J163" s="239">
        <f>H163/DAY(B2)</f>
        <v>45.027777777777779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4">
        <f t="shared" si="13"/>
        <v>9.1000000000003638</v>
      </c>
      <c r="H164" s="99">
        <f>G164+'17'!H164</f>
        <v>38</v>
      </c>
      <c r="I164" s="236"/>
      <c r="J164" s="239">
        <f>H164/DAY(B2)</f>
        <v>2.1111111111111112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4">
        <f t="shared" si="13"/>
        <v>9.4500000000007276</v>
      </c>
      <c r="H165" s="99">
        <f>G165+'17'!H165</f>
        <v>117.90000000000146</v>
      </c>
      <c r="I165" s="236"/>
      <c r="J165" s="239">
        <f>H165/DAY(B2)</f>
        <v>6.5500000000000806</v>
      </c>
    </row>
    <row r="166" spans="1:10" ht="27.75" customHeight="1" x14ac:dyDescent="0.5">
      <c r="A166" s="822"/>
      <c r="B166" s="822"/>
      <c r="C166" s="246"/>
      <c r="D166" s="244" t="s">
        <v>180</v>
      </c>
      <c r="E166" s="95">
        <f>'17'!F166</f>
        <v>0</v>
      </c>
      <c r="F166" s="165"/>
      <c r="G166" s="581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22"/>
      <c r="B167" s="822"/>
      <c r="C167" s="246"/>
      <c r="D167" s="244" t="s">
        <v>180</v>
      </c>
      <c r="E167" s="95">
        <f>'17'!F167</f>
        <v>0</v>
      </c>
      <c r="F167" s="165"/>
      <c r="G167" s="581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22"/>
      <c r="B168" s="822"/>
      <c r="C168" s="246"/>
      <c r="D168" s="244" t="s">
        <v>180</v>
      </c>
      <c r="E168" s="95">
        <f>'17'!F168</f>
        <v>0</v>
      </c>
      <c r="F168" s="165"/>
      <c r="G168" s="581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customHeight="1" x14ac:dyDescent="0.5">
      <c r="A172" s="830"/>
      <c r="B172" s="831"/>
      <c r="C172" s="332"/>
      <c r="D172" s="228"/>
      <c r="E172" s="155"/>
      <c r="F172" s="155"/>
      <c r="G172" s="585"/>
      <c r="H172" s="156"/>
      <c r="I172" s="155"/>
      <c r="J172" s="178"/>
    </row>
    <row r="173" spans="1:10" ht="27.75" customHeight="1" x14ac:dyDescent="0.5">
      <c r="A173" s="826" t="s">
        <v>209</v>
      </c>
      <c r="B173" s="827"/>
      <c r="C173" s="333"/>
      <c r="D173" s="228" t="s">
        <v>142</v>
      </c>
      <c r="E173" s="95">
        <f>'17'!F173</f>
        <v>8126</v>
      </c>
      <c r="F173" s="155">
        <v>8126</v>
      </c>
      <c r="G173" s="585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26" t="s">
        <v>75</v>
      </c>
      <c r="B174" s="827"/>
      <c r="C174" s="333"/>
      <c r="D174" s="228" t="s">
        <v>142</v>
      </c>
      <c r="E174" s="95">
        <f>'17'!F174</f>
        <v>38444</v>
      </c>
      <c r="F174" s="157">
        <v>38457</v>
      </c>
      <c r="G174" s="585">
        <f t="shared" ref="G174:G175" si="14">F174-E174</f>
        <v>13</v>
      </c>
      <c r="H174" s="99">
        <f>G174+'17'!H174</f>
        <v>164</v>
      </c>
      <c r="I174" s="155"/>
      <c r="J174" s="178">
        <f>H174/DAY(B2)</f>
        <v>9.1111111111111107</v>
      </c>
    </row>
    <row r="175" spans="1:10" ht="27.75" customHeight="1" x14ac:dyDescent="0.5">
      <c r="A175" s="826" t="s">
        <v>76</v>
      </c>
      <c r="B175" s="866"/>
      <c r="C175" s="827"/>
      <c r="D175" s="228" t="s">
        <v>142</v>
      </c>
      <c r="E175" s="95">
        <f>'17'!F175</f>
        <v>21673</v>
      </c>
      <c r="F175" s="155">
        <v>21683</v>
      </c>
      <c r="G175" s="585">
        <f t="shared" si="14"/>
        <v>10</v>
      </c>
      <c r="H175" s="99">
        <f>G175+'17'!H175</f>
        <v>165</v>
      </c>
      <c r="I175" s="155"/>
      <c r="J175" s="178">
        <f>H175/DAY(B2)</f>
        <v>9.1666666666666661</v>
      </c>
    </row>
    <row r="176" spans="1:10" ht="27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585">
        <f>SUM(G173:G175)</f>
        <v>23</v>
      </c>
      <c r="H176" s="99">
        <f>G176+'17'!H176</f>
        <v>329</v>
      </c>
      <c r="I176" s="155"/>
      <c r="J176" s="178">
        <f>H176/DAY(B2)</f>
        <v>18.277777777777779</v>
      </c>
    </row>
    <row r="177" spans="1:11" ht="27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585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26" t="s">
        <v>210</v>
      </c>
      <c r="B178" s="827"/>
      <c r="C178" s="333"/>
      <c r="D178" s="228" t="s">
        <v>142</v>
      </c>
      <c r="E178" s="95">
        <f>'17'!F178</f>
        <v>80589</v>
      </c>
      <c r="F178" s="155">
        <v>80653</v>
      </c>
      <c r="G178" s="585">
        <f>F178-E178</f>
        <v>64</v>
      </c>
      <c r="H178" s="99">
        <f>G178+'17'!H178</f>
        <v>1039</v>
      </c>
      <c r="I178" s="155"/>
      <c r="J178" s="178">
        <f>H178/DAY(B2)</f>
        <v>57.722222222222221</v>
      </c>
    </row>
    <row r="179" spans="1:11" ht="27.75" customHeight="1" x14ac:dyDescent="0.5">
      <c r="A179" s="826" t="s">
        <v>211</v>
      </c>
      <c r="B179" s="827"/>
      <c r="C179" s="333"/>
      <c r="D179" s="228" t="s">
        <v>142</v>
      </c>
      <c r="E179" s="95">
        <f>'17'!F179</f>
        <v>34278</v>
      </c>
      <c r="F179" s="155">
        <v>34332</v>
      </c>
      <c r="G179" s="585">
        <f t="shared" ref="G179:G180" si="15">F179-E179</f>
        <v>54</v>
      </c>
      <c r="H179" s="99">
        <f>G179+'17'!H179</f>
        <v>417</v>
      </c>
      <c r="I179" s="155"/>
      <c r="J179" s="178">
        <f>H179/DAY(B2)</f>
        <v>23.166666666666668</v>
      </c>
    </row>
    <row r="180" spans="1:11" ht="27.75" customHeight="1" x14ac:dyDescent="0.5">
      <c r="A180" s="826" t="s">
        <v>212</v>
      </c>
      <c r="B180" s="827"/>
      <c r="C180" s="333"/>
      <c r="D180" s="228" t="s">
        <v>142</v>
      </c>
      <c r="E180" s="95">
        <f>'17'!F180</f>
        <v>5596</v>
      </c>
      <c r="F180" s="155">
        <v>5611</v>
      </c>
      <c r="G180" s="585">
        <f t="shared" si="15"/>
        <v>15</v>
      </c>
      <c r="H180" s="99">
        <f>G180+'17'!H180</f>
        <v>134</v>
      </c>
      <c r="I180" s="155"/>
      <c r="J180" s="178">
        <f>H180/DAY(B2)</f>
        <v>7.4444444444444446</v>
      </c>
    </row>
    <row r="181" spans="1:11" ht="27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585">
        <f>SUM(G178:G180)</f>
        <v>133</v>
      </c>
      <c r="H181" s="99">
        <f>G181+'17'!H181</f>
        <v>1590</v>
      </c>
      <c r="I181" s="155"/>
      <c r="J181" s="178">
        <f>H181/DAY(B2)</f>
        <v>88.333333333333329</v>
      </c>
    </row>
    <row r="182" spans="1:11" ht="27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585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26" t="s">
        <v>214</v>
      </c>
      <c r="B183" s="827"/>
      <c r="C183" s="334"/>
      <c r="D183" s="228" t="s">
        <v>142</v>
      </c>
      <c r="E183" s="95">
        <f>'17'!F183</f>
        <v>15146</v>
      </c>
      <c r="F183" s="157">
        <v>15161</v>
      </c>
      <c r="G183" s="586">
        <f>F183-E183</f>
        <v>15</v>
      </c>
      <c r="H183" s="99">
        <f>G183+'17'!H183</f>
        <v>214</v>
      </c>
      <c r="I183" s="155"/>
      <c r="J183" s="178">
        <f>H183/DAY(B2)</f>
        <v>11.888888888888889</v>
      </c>
    </row>
    <row r="184" spans="1:11" ht="27.75" customHeight="1" x14ac:dyDescent="0.5">
      <c r="A184" s="826" t="s">
        <v>215</v>
      </c>
      <c r="B184" s="827"/>
      <c r="C184" s="334"/>
      <c r="D184" s="228" t="s">
        <v>142</v>
      </c>
      <c r="E184" s="95">
        <f>'17'!F184</f>
        <v>10411</v>
      </c>
      <c r="F184" s="157">
        <v>10415</v>
      </c>
      <c r="G184" s="586">
        <f t="shared" ref="G184:G185" si="16">F184-E184</f>
        <v>4</v>
      </c>
      <c r="H184" s="99">
        <f>G184+'17'!H184</f>
        <v>114</v>
      </c>
      <c r="I184" s="155"/>
      <c r="J184" s="178">
        <f>H184/DAY(B2)</f>
        <v>6.333333333333333</v>
      </c>
    </row>
    <row r="185" spans="1:11" ht="27.75" customHeight="1" x14ac:dyDescent="0.5">
      <c r="A185" s="826" t="s">
        <v>216</v>
      </c>
      <c r="B185" s="827"/>
      <c r="C185" s="334"/>
      <c r="D185" s="228" t="s">
        <v>142</v>
      </c>
      <c r="E185" s="95">
        <f>'17'!F185</f>
        <v>0</v>
      </c>
      <c r="F185" s="157"/>
      <c r="G185" s="58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586">
        <f>SUM(G183:G185)</f>
        <v>19</v>
      </c>
      <c r="H186" s="99">
        <f>G186+'17'!H186</f>
        <v>328</v>
      </c>
      <c r="I186" s="157"/>
      <c r="J186" s="178">
        <f>H186/DAY(B2)</f>
        <v>18.222222222222221</v>
      </c>
    </row>
    <row r="187" spans="1:11" ht="27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587">
        <f>G62+G19</f>
        <v>123</v>
      </c>
      <c r="H187" s="99">
        <f>G187+'17'!H187</f>
        <v>2049</v>
      </c>
      <c r="I187" s="158"/>
      <c r="J187" s="179">
        <f>H187/DAY(B2)</f>
        <v>113.83333333333333</v>
      </c>
    </row>
    <row r="188" spans="1:11" ht="27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587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587">
        <f>G181</f>
        <v>133</v>
      </c>
      <c r="H189" s="99">
        <f>G189+'17'!H189</f>
        <v>1590</v>
      </c>
      <c r="I189" s="158"/>
      <c r="J189" s="179">
        <f>H189/DAY(B2)</f>
        <v>88.333333333333329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1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350</v>
      </c>
      <c r="B2" s="262">
        <v>44549</v>
      </c>
      <c r="C2" s="348" t="s">
        <v>67</v>
      </c>
      <c r="D2" s="218">
        <v>0.92979999999999996</v>
      </c>
      <c r="E2" s="100"/>
      <c r="F2" s="100"/>
      <c r="G2" s="60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60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60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f>E7+23500</f>
        <v>447673</v>
      </c>
      <c r="G7" s="609">
        <f>F7-E7</f>
        <v>23500</v>
      </c>
      <c r="H7" s="99">
        <f>G7+'18 '!H7</f>
        <v>353112</v>
      </c>
      <c r="I7" s="113">
        <f>'1'!I7</f>
        <v>12000</v>
      </c>
      <c r="J7" s="175">
        <f>H7/DAY(B2)</f>
        <v>18584.842105263157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f>E8+23500</f>
        <v>499297.83</v>
      </c>
      <c r="G8" s="610">
        <f>F8-E8</f>
        <v>23500</v>
      </c>
      <c r="H8" s="99">
        <f>G8+'18 '!H8</f>
        <v>358412.83</v>
      </c>
      <c r="I8" s="116"/>
      <c r="J8" s="175">
        <f>H8/DAY(B2)</f>
        <v>18863.833157894736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601">
        <f>E9+14000</f>
        <v>123695.53</v>
      </c>
      <c r="G9" s="609">
        <f>F9-E9</f>
        <v>14000</v>
      </c>
      <c r="H9" s="99">
        <f>G9+'18 '!H9</f>
        <v>222200.53</v>
      </c>
      <c r="I9" s="124">
        <f>I7-J7</f>
        <v>-6584.8421052631566</v>
      </c>
      <c r="J9" s="175">
        <f>H9/DAY(B2)</f>
        <v>11694.764736842106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f>E10+4500</f>
        <v>61922.18</v>
      </c>
      <c r="G10" s="609">
        <f t="shared" ref="G10:G12" si="0">F10-E10</f>
        <v>4500</v>
      </c>
      <c r="H10" s="99">
        <f>G10+'18 '!H10</f>
        <v>116828.18</v>
      </c>
      <c r="I10" s="282"/>
      <c r="J10" s="175">
        <f>H10/DAY(B2)</f>
        <v>6148.8515789473677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</v>
      </c>
      <c r="F11" s="95">
        <v>37000</v>
      </c>
      <c r="G11" s="609">
        <f t="shared" si="0"/>
        <v>33283</v>
      </c>
      <c r="H11" s="99">
        <f>G11+'18 '!H11</f>
        <v>33300</v>
      </c>
      <c r="I11" s="282"/>
      <c r="J11" s="175">
        <f>H11/DAY(B2)</f>
        <v>1752.6315789473683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</v>
      </c>
      <c r="F12" s="117">
        <v>40010</v>
      </c>
      <c r="G12" s="609">
        <f t="shared" si="0"/>
        <v>36009</v>
      </c>
      <c r="H12" s="99">
        <f>G12+'18 '!H12</f>
        <v>36009</v>
      </c>
      <c r="I12" s="282"/>
      <c r="J12" s="175">
        <f>H12/DAY(B2)</f>
        <v>1895.2105263157894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11">
        <f>G9+G10+G11+G12</f>
        <v>87792</v>
      </c>
      <c r="H13" s="99">
        <f>G13+'18 '!H13</f>
        <v>388872.4599999999</v>
      </c>
      <c r="I13" s="120">
        <f>G7-G13</f>
        <v>-64292</v>
      </c>
      <c r="J13" s="175">
        <f>H13/DAY(B2)</f>
        <v>20466.971578947363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61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601">
        <f>E15+1100</f>
        <v>1895322</v>
      </c>
      <c r="G15" s="609">
        <f>(F15-E15)</f>
        <v>1100</v>
      </c>
      <c r="H15" s="99">
        <f>G15+'18 '!H15</f>
        <v>16892</v>
      </c>
      <c r="I15" s="113">
        <f>'1'!I15</f>
        <v>800</v>
      </c>
      <c r="J15" s="175">
        <f>H15/DAY(B2)</f>
        <v>889.0526315789474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9"/>
      <c r="H16" s="124"/>
      <c r="I16" s="120">
        <f>I15-J15</f>
        <v>-89.052631578947398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61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'18 '!F18</f>
        <v>10</v>
      </c>
      <c r="F18" s="122">
        <f>E18+12</f>
        <v>22</v>
      </c>
      <c r="G18" s="611">
        <f>F18*10</f>
        <v>220</v>
      </c>
      <c r="H18" s="99">
        <f>G18+'18 '!H18</f>
        <v>2140</v>
      </c>
      <c r="I18" s="113">
        <f>'1'!I18</f>
        <v>65</v>
      </c>
      <c r="J18" s="175">
        <f>H18/DAY(B2)</f>
        <v>112.63157894736842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'18 '!F19</f>
        <v>153179</v>
      </c>
      <c r="F19" s="122">
        <f>E19+55</f>
        <v>153234</v>
      </c>
      <c r="G19" s="609">
        <f t="shared" ref="G19" si="1">F19-E19</f>
        <v>55</v>
      </c>
      <c r="H19" s="99">
        <f>G19+'18 '!H19</f>
        <v>1009</v>
      </c>
      <c r="I19" s="335"/>
      <c r="J19" s="175">
        <f>H19/DAY(B2)</f>
        <v>53.10526315789474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3">
        <f>G18+G19</f>
        <v>275</v>
      </c>
      <c r="H20" s="99">
        <f>G20+'18 '!H20</f>
        <v>3149</v>
      </c>
      <c r="I20" s="336">
        <f>I18-J20</f>
        <v>-100.73684210526315</v>
      </c>
      <c r="J20" s="175">
        <f>H20/DAY(B2)</f>
        <v>165.73684210526315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61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2250</v>
      </c>
      <c r="F23" s="122">
        <v>2000</v>
      </c>
      <c r="G23" s="611">
        <v>0</v>
      </c>
      <c r="H23" s="99">
        <f>G23+'18 '!H23</f>
        <v>250</v>
      </c>
      <c r="I23" s="118"/>
      <c r="J23" s="175">
        <f>H23/DAY(B2)</f>
        <v>13.157894736842104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1">
        <v>0</v>
      </c>
      <c r="H24" s="99">
        <f>G24+'18 '!H24</f>
        <v>250</v>
      </c>
      <c r="I24" s="118"/>
      <c r="J24" s="175">
        <f>H24/DAY(B2)</f>
        <v>13.157894736842104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61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616">
        <f>E27*F27</f>
        <v>211500</v>
      </c>
      <c r="H27" s="99">
        <f>G27+'18 '!H27</f>
        <v>3225715.47</v>
      </c>
      <c r="I27" s="138"/>
      <c r="J27" s="175">
        <f>H27/DAY(B2)</f>
        <v>169774.49842105265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616">
        <f>E28*F28</f>
        <v>57200</v>
      </c>
      <c r="H28" s="99">
        <f>G28+'18 '!H28</f>
        <v>878384</v>
      </c>
      <c r="I28" s="140"/>
      <c r="J28" s="175">
        <f>H28/DAY(B2)</f>
        <v>46230.73684210526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6">
        <f>E29*F29</f>
        <v>0</v>
      </c>
      <c r="H29" s="99">
        <f>G29+'18 '!H29</f>
        <v>17250</v>
      </c>
      <c r="I29" s="140"/>
      <c r="J29" s="175">
        <f>H29/DAY(B2)</f>
        <v>907.89473684210532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616">
        <f>E30*F30</f>
        <v>8030</v>
      </c>
      <c r="H30" s="99">
        <f>G30+'18 '!H30</f>
        <v>147314</v>
      </c>
      <c r="I30" s="140"/>
      <c r="J30" s="175">
        <f>H30/DAY(B2)</f>
        <v>7753.3684210526317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616">
        <f>E31*F31</f>
        <v>17600</v>
      </c>
      <c r="H31" s="99">
        <f>G31+'18 '!H31</f>
        <v>171200</v>
      </c>
      <c r="I31" s="140"/>
      <c r="J31" s="175">
        <f>H31/DAY(B2)</f>
        <v>9010.5263157894733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7">
        <f>G27+G28+G29+G30+G31</f>
        <v>294330</v>
      </c>
      <c r="H32" s="99">
        <f>G32+'18 '!H32</f>
        <v>4439863.4700000007</v>
      </c>
      <c r="I32" s="144"/>
      <c r="J32" s="175">
        <f>H32/DAY(B2)</f>
        <v>233677.02473684214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61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131972.82999999999</v>
      </c>
      <c r="G35" s="609">
        <f t="shared" ref="G35:G46" si="3">F35-E35</f>
        <v>117487.46999999999</v>
      </c>
      <c r="H35" s="99">
        <f>G35+'18 '!H35</f>
        <v>147172.82999999999</v>
      </c>
      <c r="I35" s="95"/>
      <c r="J35" s="175">
        <f>H35/DAY(B2)</f>
        <v>7745.9384210526305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10261</v>
      </c>
      <c r="G36" s="609">
        <f t="shared" si="3"/>
        <v>-23814.36</v>
      </c>
      <c r="H36" s="99">
        <f>G36+'18 '!H36</f>
        <v>-11266</v>
      </c>
      <c r="I36" s="95"/>
      <c r="J36" s="175">
        <f>H36/DAY(B2)</f>
        <v>-592.9473684210526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176251.83</v>
      </c>
      <c r="G37" s="609">
        <f t="shared" si="3"/>
        <v>161367.85999999999</v>
      </c>
      <c r="H37" s="99">
        <f>G37+'18 '!H37</f>
        <v>188463.83</v>
      </c>
      <c r="I37" s="95"/>
      <c r="J37" s="175">
        <f>H37/DAY(B2)</f>
        <v>9919.1489473684196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209352.93</v>
      </c>
      <c r="G38" s="609">
        <f t="shared" si="3"/>
        <v>193488.47</v>
      </c>
      <c r="H38" s="99">
        <f>G38+'18 '!H38</f>
        <v>222552.93</v>
      </c>
      <c r="I38" s="95"/>
      <c r="J38" s="175">
        <f>H38/DAY(B2)</f>
        <v>11713.312105263158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377775.95</v>
      </c>
      <c r="G39" s="609">
        <f t="shared" si="3"/>
        <v>352421.46</v>
      </c>
      <c r="H39" s="99">
        <f>G39+'18 '!H39</f>
        <v>399457.95</v>
      </c>
      <c r="I39" s="95"/>
      <c r="J39" s="175">
        <f>H39/DAY(B2)</f>
        <v>21024.10263157895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4">
        <f>'18 '!F40</f>
        <v>13643.14</v>
      </c>
      <c r="F40" s="376">
        <v>588.35</v>
      </c>
      <c r="G40" s="620">
        <f t="shared" si="3"/>
        <v>-13054.789999999999</v>
      </c>
      <c r="H40" s="99">
        <f>G40+'18 '!H40</f>
        <v>-5021.6499999999996</v>
      </c>
      <c r="I40" s="95"/>
      <c r="J40" s="175">
        <f>H40/DAY(B2)</f>
        <v>-264.29736842105262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25052.25</v>
      </c>
      <c r="G42" s="609">
        <f t="shared" si="3"/>
        <v>-48756.350000000006</v>
      </c>
      <c r="H42" s="99">
        <f>G42+'18 '!H42</f>
        <v>-48756.75</v>
      </c>
      <c r="I42" s="95"/>
      <c r="J42" s="175">
        <f>H42/DAY(B2)</f>
        <v>-2566.1447368421054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15511.63</v>
      </c>
      <c r="G43" s="609">
        <f t="shared" si="3"/>
        <v>-71869.51999999999</v>
      </c>
      <c r="H43" s="99">
        <f>G43+'18 '!H43</f>
        <v>-31749.369999999995</v>
      </c>
      <c r="I43" s="95"/>
      <c r="J43" s="175">
        <f>H43/DAY(B2)</f>
        <v>-1671.0194736842102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11">
        <f>G35+G36+G37+G38+G39+G40+G41+G42+G43+G44+G45+G46</f>
        <v>667270.23999999987</v>
      </c>
      <c r="H47" s="99">
        <f>G47+'18 '!H47</f>
        <v>860853.7699999999</v>
      </c>
      <c r="I47" s="95"/>
      <c r="J47" s="175">
        <f>H47/DAY(B2)</f>
        <v>45308.093157894735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253870.67</v>
      </c>
      <c r="G49" s="609">
        <f t="shared" ref="G49:G58" si="4">F49-E49</f>
        <v>241283.34000000003</v>
      </c>
      <c r="H49" s="99">
        <f>G49+'18 '!H49</f>
        <v>266991.67000000004</v>
      </c>
      <c r="I49" s="95"/>
      <c r="J49" s="175">
        <f>H49/DAY(B2)</f>
        <v>14052.193157894739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10858.49</v>
      </c>
      <c r="G50" s="609">
        <f t="shared" si="4"/>
        <v>-31187.440000000002</v>
      </c>
      <c r="H50" s="99">
        <f>G50+'18 '!H50</f>
        <v>-13791.510000000002</v>
      </c>
      <c r="I50" s="95"/>
      <c r="J50" s="175">
        <f>H50/DAY(B2)</f>
        <v>-725.86894736842112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9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3130.82</v>
      </c>
      <c r="G54" s="609">
        <f t="shared" si="4"/>
        <v>-2016.6</v>
      </c>
      <c r="H54" s="99">
        <f>G54+'18 '!H54</f>
        <v>4897.8999999999996</v>
      </c>
      <c r="I54" s="95"/>
      <c r="J54" s="175">
        <f>H54/DAY(B2)</f>
        <v>257.78421052631575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0</v>
      </c>
      <c r="G55" s="609">
        <f t="shared" si="4"/>
        <v>-57839.69</v>
      </c>
      <c r="H55" s="99">
        <f>G55+'18 '!H55</f>
        <v>-3511</v>
      </c>
      <c r="I55" s="95"/>
      <c r="J55" s="175">
        <f>H55/DAY(B2)</f>
        <v>-184.78947368421052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9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89681.45</v>
      </c>
      <c r="G58" s="609">
        <f t="shared" si="4"/>
        <v>87532.97</v>
      </c>
      <c r="H58" s="99">
        <f>G58+'18 '!H58</f>
        <v>90022.080000000002</v>
      </c>
      <c r="I58" s="95"/>
      <c r="J58" s="175">
        <f>H58/DAY(B2)</f>
        <v>4738.0042105263155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11">
        <f>G49+G50+G51+G52+G53+G54+G55+G56+G57+G58</f>
        <v>237772.58000000002</v>
      </c>
      <c r="H59" s="99">
        <f>G59+'18 '!H59</f>
        <v>344609.14</v>
      </c>
      <c r="I59" s="95">
        <f>G7-G60</f>
        <v>-881542.81999999983</v>
      </c>
      <c r="J59" s="175">
        <f>H59/DAY(B2)</f>
        <v>18137.323157894738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11">
        <f>G47+G59</f>
        <v>905042.81999999983</v>
      </c>
      <c r="H60" s="99">
        <f>G60+'18 '!H60</f>
        <v>1205462.9099999997</v>
      </c>
      <c r="I60" s="95">
        <f>G13-G60</f>
        <v>-817250.81999999983</v>
      </c>
      <c r="J60" s="175">
        <f>H60/DAY(B2)</f>
        <v>63445.416315789458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62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'18 '!F62</f>
        <v>268308</v>
      </c>
      <c r="F62" s="122">
        <v>265838</v>
      </c>
      <c r="G62" s="609">
        <f t="shared" ref="G62:G63" si="5">F62-E62</f>
        <v>-2470</v>
      </c>
      <c r="H62" s="99">
        <f>G62+'18 '!H62</f>
        <v>-1375</v>
      </c>
      <c r="I62" s="118"/>
      <c r="J62" s="175">
        <f>H62/DAY(B2)</f>
        <v>-72.368421052631575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'18 '!F63</f>
        <v>214242</v>
      </c>
      <c r="F63" s="122">
        <v>211377</v>
      </c>
      <c r="G63" s="609">
        <f t="shared" si="5"/>
        <v>-2865</v>
      </c>
      <c r="H63" s="99">
        <f>G63+'18 '!H63</f>
        <v>-1048</v>
      </c>
      <c r="I63" s="118"/>
      <c r="J63" s="175">
        <f>H63/DAY(B2)</f>
        <v>-55.157894736842103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'18 '!F64</f>
        <v>0</v>
      </c>
      <c r="F64" s="122"/>
      <c r="G64" s="609">
        <f>G62+G63</f>
        <v>-5335</v>
      </c>
      <c r="H64" s="99">
        <f>G64+'18 '!H64</f>
        <v>-2423</v>
      </c>
      <c r="I64" s="118"/>
      <c r="J64" s="175">
        <f>H64/DAY(B2)</f>
        <v>-127.52631578947368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'18 '!F65</f>
        <v>433856</v>
      </c>
      <c r="F65" s="122">
        <v>431409</v>
      </c>
      <c r="G65" s="609">
        <f t="shared" ref="G65:G70" si="6">F65-E65</f>
        <v>-2447</v>
      </c>
      <c r="H65" s="99">
        <f>G65+'18 '!H65</f>
        <v>-1205</v>
      </c>
      <c r="I65" s="118"/>
      <c r="J65" s="175">
        <f>H65/DAY(B2)</f>
        <v>-63.421052631578945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106973</v>
      </c>
      <c r="G66" s="609">
        <f t="shared" si="6"/>
        <v>-546</v>
      </c>
      <c r="H66" s="99">
        <f>G66+'18 '!H66</f>
        <v>-241</v>
      </c>
      <c r="I66" s="118"/>
      <c r="J66" s="175">
        <f>H66/DAY(B2)</f>
        <v>-12.684210526315789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103572</v>
      </c>
      <c r="G67" s="609">
        <f t="shared" si="6"/>
        <v>-772</v>
      </c>
      <c r="H67" s="99">
        <f>G67+'18 '!H67</f>
        <v>-356</v>
      </c>
      <c r="I67" s="118"/>
      <c r="J67" s="175">
        <f>H67/DAY(B2)</f>
        <v>-18.736842105263158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156181</v>
      </c>
      <c r="G68" s="609">
        <f t="shared" si="6"/>
        <v>-932</v>
      </c>
      <c r="H68" s="99">
        <f>G68+'18 '!H68</f>
        <v>-439</v>
      </c>
      <c r="I68" s="118"/>
      <c r="J68" s="175">
        <f>H68/DAY(B2)</f>
        <v>-23.105263157894736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10071</v>
      </c>
      <c r="G69" s="609">
        <f t="shared" si="6"/>
        <v>-318</v>
      </c>
      <c r="H69" s="99">
        <f>G69+'18 '!H69</f>
        <v>-143</v>
      </c>
      <c r="I69" s="118"/>
      <c r="J69" s="175">
        <f>H69/DAY(B2)</f>
        <v>-7.5263157894736841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7754</v>
      </c>
      <c r="G70" s="609">
        <f t="shared" si="6"/>
        <v>-241</v>
      </c>
      <c r="H70" s="99">
        <f>G70+'18 '!H70</f>
        <v>-108</v>
      </c>
      <c r="I70" s="118"/>
      <c r="J70" s="175">
        <f>H70/DAY(B2)</f>
        <v>-5.6842105263157894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95">
        <f>'18 '!F71</f>
        <v>0</v>
      </c>
      <c r="F71" s="152"/>
      <c r="G71" s="622">
        <f>SUM(G65:G70)</f>
        <v>-5256</v>
      </c>
      <c r="H71" s="99">
        <f>G71+'18 '!H71</f>
        <v>-2492</v>
      </c>
      <c r="I71" s="154"/>
      <c r="J71" s="175">
        <f>H71/DAY(B2)</f>
        <v>-131.15789473684211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623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62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'18 '!F74</f>
        <v>897366.15</v>
      </c>
      <c r="F74" s="117">
        <v>888255.31</v>
      </c>
      <c r="G74" s="609">
        <f t="shared" ref="G74:G78" si="7">F74-E74</f>
        <v>-9110.8399999999674</v>
      </c>
      <c r="H74" s="99">
        <f>G74+'18 '!H74</f>
        <v>-3776.6899999999441</v>
      </c>
      <c r="I74" s="154"/>
      <c r="J74" s="175">
        <f>H74/DAY(B2)</f>
        <v>-198.77315789473391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'18 '!F75</f>
        <v>73586.8</v>
      </c>
      <c r="F75" s="123">
        <v>73830.69</v>
      </c>
      <c r="G75" s="609">
        <f t="shared" si="7"/>
        <v>243.88999999999942</v>
      </c>
      <c r="H75" s="99">
        <f>G75+'18 '!H75</f>
        <v>243.88999999999942</v>
      </c>
      <c r="I75" s="154"/>
      <c r="J75" s="175">
        <f>H75/DAY(B2)</f>
        <v>12.836315789473653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'18 '!F76</f>
        <v>168711</v>
      </c>
      <c r="F76" s="123">
        <v>165887.20000000001</v>
      </c>
      <c r="G76" s="609">
        <f t="shared" si="7"/>
        <v>-2823.7999999999884</v>
      </c>
      <c r="H76" s="99">
        <f>G76+'18 '!H76</f>
        <v>-1319.7999999999884</v>
      </c>
      <c r="I76" s="154"/>
      <c r="J76" s="175">
        <f>H76/DAY(B2)</f>
        <v>-69.463157894736227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'18 '!F77</f>
        <v>40844</v>
      </c>
      <c r="F77" s="123">
        <v>39749.300000000003</v>
      </c>
      <c r="G77" s="609">
        <f t="shared" si="7"/>
        <v>-1094.6999999999971</v>
      </c>
      <c r="H77" s="99">
        <f>G77+'18 '!H77</f>
        <v>-566.69999999999709</v>
      </c>
      <c r="I77" s="154"/>
      <c r="J77" s="175">
        <f>H77/DAY(B2)</f>
        <v>-29.826315789473529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'18 '!F78</f>
        <v>9500</v>
      </c>
      <c r="F78" s="123">
        <v>9464.7000000000007</v>
      </c>
      <c r="G78" s="609">
        <f t="shared" si="7"/>
        <v>-35.299999999999272</v>
      </c>
      <c r="H78" s="99">
        <f>G78+'18 '!H78</f>
        <v>-21.299999999999272</v>
      </c>
      <c r="I78" s="118"/>
      <c r="J78" s="175">
        <f>H78/DAY(B2)</f>
        <v>-1.1210526315789091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'18 '!F79</f>
        <v>0</v>
      </c>
      <c r="F79" s="123"/>
      <c r="G79" s="609">
        <f>G15-SUM(G74:G78)</f>
        <v>13920.749999999953</v>
      </c>
      <c r="H79" s="99">
        <f>G79+'18 '!H79</f>
        <v>22332.599999999929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609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62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9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1844</v>
      </c>
      <c r="G85" s="609">
        <f t="shared" si="8"/>
        <v>-252.55000000000018</v>
      </c>
      <c r="H85" s="99">
        <f>G85+'18 '!H85</f>
        <v>-252.55999999999995</v>
      </c>
      <c r="I85" s="118">
        <f>G82+G83+G84+G85</f>
        <v>-252.41000000000076</v>
      </c>
      <c r="J85" s="175">
        <f>H85/DAY(B2)</f>
        <v>-13.292631578947365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42826.47</v>
      </c>
      <c r="G86" s="609">
        <f t="shared" si="8"/>
        <v>-469.58999999999651</v>
      </c>
      <c r="H86" s="99">
        <f>G86+'18 '!H86</f>
        <v>-36.529999999998836</v>
      </c>
      <c r="I86" s="118"/>
      <c r="J86" s="175">
        <f>H86/DAY(B2)</f>
        <v>-1.9226315789473072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9">
        <f t="shared" si="8"/>
        <v>0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24005.53</v>
      </c>
      <c r="G88" s="609">
        <f t="shared" si="8"/>
        <v>-55.630000000001019</v>
      </c>
      <c r="H88" s="99">
        <f>G88+'18 '!H88</f>
        <v>-41.470000000001164</v>
      </c>
      <c r="I88" s="118">
        <f>G86+G87+G88</f>
        <v>-525.21999999999753</v>
      </c>
      <c r="J88" s="175">
        <f>H88/DAY(B2)</f>
        <v>-2.1826315789474298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25583.95</v>
      </c>
      <c r="G89" s="609">
        <f t="shared" si="8"/>
        <v>-188.09999999999854</v>
      </c>
      <c r="H89" s="99">
        <f>G89+'18 '!H89</f>
        <v>-79.049999999999272</v>
      </c>
      <c r="I89" s="118"/>
      <c r="J89" s="175">
        <f>H89/DAY(B2)</f>
        <v>-4.1605263157894354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70962.95</v>
      </c>
      <c r="G90" s="609">
        <f t="shared" si="8"/>
        <v>-168.76000000000931</v>
      </c>
      <c r="H90" s="99">
        <f>G90+'18 '!H90</f>
        <v>-71.05000000000291</v>
      </c>
      <c r="I90" s="118">
        <f>G89+G90</f>
        <v>-356.86000000000786</v>
      </c>
      <c r="J90" s="175">
        <f>H90/DAY(B2)</f>
        <v>-3.7394736842106795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9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5306.26</v>
      </c>
      <c r="G92" s="609">
        <f t="shared" si="8"/>
        <v>-319.06999999999971</v>
      </c>
      <c r="H92" s="99">
        <f>G92+'18 '!H92</f>
        <v>-131.73999999999978</v>
      </c>
      <c r="I92" s="165"/>
      <c r="J92" s="175">
        <f>H92/DAY(B2)</f>
        <v>-6.9336842105263043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612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625">
        <f>G35+G43+G49+G57</f>
        <v>286901.29000000004</v>
      </c>
      <c r="H94" s="99">
        <f>G94+'18 '!H94</f>
        <v>382415.13</v>
      </c>
      <c r="I94" s="118"/>
      <c r="J94" s="175">
        <f>H94/DAY(B2)</f>
        <v>20127.112105263157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626">
        <f>G94/G7</f>
        <v>12.208565531914894</v>
      </c>
      <c r="H95" s="99">
        <f>G95+'18 '!H95</f>
        <v>17.412475029671061</v>
      </c>
      <c r="I95" s="167"/>
      <c r="J95" s="175">
        <f>H95/DAY(B2)</f>
        <v>0.91644605419321368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625">
        <f>G41+G42+G55+G56</f>
        <v>-106596.04000000001</v>
      </c>
      <c r="H96" s="99">
        <f>G96+'18 '!H96</f>
        <v>-52267.75</v>
      </c>
      <c r="I96" s="118"/>
      <c r="J96" s="175">
        <f>H96/DAY(B2)</f>
        <v>-2750.9342105263158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626">
        <f>G96/G7</f>
        <v>-4.5360017021276597</v>
      </c>
      <c r="H97" s="99">
        <f>G97+'18 '!H97</f>
        <v>-1.5608270939845088</v>
      </c>
      <c r="I97" s="167"/>
      <c r="J97" s="175">
        <f>H97/DAY(B2)</f>
        <v>-8.21487944202373E-2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625">
        <f>G39+G53</f>
        <v>352421.46</v>
      </c>
      <c r="H98" s="99">
        <f>G98+'18 '!H98</f>
        <v>399457.95</v>
      </c>
      <c r="I98" s="168"/>
      <c r="J98" s="175">
        <f>H98/DAY(B2)</f>
        <v>21024.10263157895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626">
        <f>G98/G7</f>
        <v>14.996657872340426</v>
      </c>
      <c r="H99" s="99">
        <f>G99+'18 '!H99</f>
        <v>17.571901972091901</v>
      </c>
      <c r="I99" s="168"/>
      <c r="J99" s="175">
        <f>H99/DAY(B2)</f>
        <v>0.92483694589957377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625">
        <f>G38+G52</f>
        <v>193488.47</v>
      </c>
      <c r="H100" s="99">
        <f>G100+'18 '!H100</f>
        <v>222552.93</v>
      </c>
      <c r="I100" s="118"/>
      <c r="J100" s="175">
        <f>H100/DAY(B2)</f>
        <v>11713.312105263158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626">
        <f>G100/G7</f>
        <v>8.2335519148936172</v>
      </c>
      <c r="H101" s="99">
        <f>G101+'18 '!H101</f>
        <v>9.8255888632253168</v>
      </c>
      <c r="I101" s="168"/>
      <c r="J101" s="175">
        <f>H101/DAY(B2)</f>
        <v>0.51713625595922719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625">
        <f>G36+G50</f>
        <v>-55001.8</v>
      </c>
      <c r="H102" s="99">
        <f>G102+'18 '!H102</f>
        <v>-25057.510000000002</v>
      </c>
      <c r="I102" s="168"/>
      <c r="J102" s="175">
        <f>H102/DAY(B2)</f>
        <v>-1318.8163157894737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626">
        <f>G102/G7</f>
        <v>-2.3405021276595748</v>
      </c>
      <c r="H103" s="99">
        <f>G103+'18 '!H103</f>
        <v>-0.70968309370988836</v>
      </c>
      <c r="I103" s="118"/>
      <c r="J103" s="175">
        <f>H103/DAY(B2)</f>
        <v>-3.7351741774204653E-2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625">
        <f>G37+G51</f>
        <v>161367.85999999999</v>
      </c>
      <c r="H104" s="99">
        <f>G104+'18 '!H104</f>
        <v>188463.83</v>
      </c>
      <c r="I104" s="118"/>
      <c r="J104" s="175">
        <f>H104/DAY(B2)</f>
        <v>9919.1489473684196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627">
        <f>G104/G7</f>
        <v>6.8667174468085097</v>
      </c>
      <c r="H105" s="99">
        <f>G105+'18 '!H105</f>
        <v>8.3523640583069945</v>
      </c>
      <c r="I105" s="187"/>
      <c r="J105" s="188">
        <f>H105/DAY(B2)</f>
        <v>0.43959810833194707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630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'18 '!F112</f>
        <v>57044.5</v>
      </c>
      <c r="F112" s="237">
        <v>54836.4</v>
      </c>
      <c r="G112" s="609">
        <f t="shared" ref="G112:G123" si="9">F112-E112</f>
        <v>-2208.0999999999985</v>
      </c>
      <c r="H112" s="99">
        <f>G112+'18 '!H112</f>
        <v>-844.59999999999854</v>
      </c>
      <c r="I112" s="165"/>
      <c r="J112" s="328">
        <f>H112/DAY(B2)</f>
        <v>-44.45263157894729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'18 '!F113</f>
        <v>40324.26</v>
      </c>
      <c r="F113" s="237">
        <v>26750.47</v>
      </c>
      <c r="G113" s="609">
        <f t="shared" si="9"/>
        <v>-13573.79</v>
      </c>
      <c r="H113" s="99">
        <f>G113+'18 '!H113</f>
        <v>-5444.5299999999988</v>
      </c>
      <c r="I113" s="165"/>
      <c r="J113" s="328">
        <f>H113/DAY(B2)</f>
        <v>-286.55421052631573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'18 '!F114</f>
        <v>29635.1</v>
      </c>
      <c r="F114" s="237">
        <v>21239</v>
      </c>
      <c r="G114" s="609">
        <f t="shared" si="9"/>
        <v>-8396.0999999999985</v>
      </c>
      <c r="H114" s="99">
        <f>G114+'18 '!H114</f>
        <v>-3765.6000000000004</v>
      </c>
      <c r="I114" s="165"/>
      <c r="J114" s="328">
        <f>H114/DAY(B2)</f>
        <v>-198.18947368421055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'18 '!F115</f>
        <v>8969.3700000000008</v>
      </c>
      <c r="F115" s="237">
        <v>8640.2199999999993</v>
      </c>
      <c r="G115" s="609">
        <f t="shared" si="9"/>
        <v>-329.15000000000146</v>
      </c>
      <c r="H115" s="99">
        <f>G115+'18 '!H115</f>
        <v>-144.78000000000065</v>
      </c>
      <c r="I115" s="165"/>
      <c r="J115" s="328">
        <f>H115/DAY(B2)</f>
        <v>-7.6200000000000347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'18 '!F116</f>
        <v>0</v>
      </c>
      <c r="F116" s="237">
        <v>0</v>
      </c>
      <c r="G116" s="609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'18 '!F117</f>
        <v>3023.11</v>
      </c>
      <c r="F117" s="237">
        <v>2313.1799999999998</v>
      </c>
      <c r="G117" s="609">
        <f t="shared" si="9"/>
        <v>-709.93000000000029</v>
      </c>
      <c r="H117" s="99">
        <f>G117+'18 '!H117</f>
        <v>-276.82000000000016</v>
      </c>
      <c r="I117" s="165"/>
      <c r="J117" s="328">
        <f>H117/DAY(B2)</f>
        <v>-14.569473684210536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'18 '!F118</f>
        <v>248035.49</v>
      </c>
      <c r="F118" s="237">
        <v>236963.45</v>
      </c>
      <c r="G118" s="609">
        <f t="shared" si="9"/>
        <v>-11072.039999999979</v>
      </c>
      <c r="H118" s="99">
        <f>G118+'18 '!H118</f>
        <v>-4683.5499999999884</v>
      </c>
      <c r="I118" s="165"/>
      <c r="J118" s="328">
        <f>H118/DAY(B2)</f>
        <v>-246.50263157894676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'18 '!F119</f>
        <v>252682.05</v>
      </c>
      <c r="F119" s="237">
        <v>240051.83</v>
      </c>
      <c r="G119" s="609">
        <f t="shared" si="9"/>
        <v>-12630.220000000001</v>
      </c>
      <c r="H119" s="99">
        <f>G119+'18 '!H119</f>
        <v>-5074.1700000000128</v>
      </c>
      <c r="I119" s="165"/>
      <c r="J119" s="328">
        <f>H119/DAY(B2)</f>
        <v>-267.06157894736907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'18 '!F120</f>
        <v>37580.07</v>
      </c>
      <c r="F120" s="237">
        <v>25067.9</v>
      </c>
      <c r="G120" s="609">
        <f t="shared" si="9"/>
        <v>-12512.169999999998</v>
      </c>
      <c r="H120" s="99">
        <f>G120+'18 '!H120</f>
        <v>-5010.0999999999985</v>
      </c>
      <c r="I120" s="165"/>
      <c r="J120" s="328">
        <f>H120/DAY(B2)</f>
        <v>-263.68947368421044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'18 '!F121</f>
        <v>389079</v>
      </c>
      <c r="F121" s="237">
        <v>367136</v>
      </c>
      <c r="G121" s="609">
        <f t="shared" si="9"/>
        <v>-21943</v>
      </c>
      <c r="H121" s="99">
        <f>G121+'18 '!H121</f>
        <v>-9393</v>
      </c>
      <c r="I121" s="165"/>
      <c r="J121" s="328">
        <f>H121/DAY(B2)</f>
        <v>-494.36842105263156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'18 '!F122</f>
        <v>123702</v>
      </c>
      <c r="F122" s="237">
        <v>117349</v>
      </c>
      <c r="G122" s="609">
        <f t="shared" si="9"/>
        <v>-6353</v>
      </c>
      <c r="H122" s="99">
        <f>G122+'18 '!H122</f>
        <v>-2701</v>
      </c>
      <c r="I122" s="165"/>
      <c r="J122" s="328">
        <f>H122/DAY(B2)</f>
        <v>-142.15789473684211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'18 '!F123</f>
        <v>150502.59</v>
      </c>
      <c r="F123" s="237">
        <v>140902</v>
      </c>
      <c r="G123" s="609">
        <f t="shared" si="9"/>
        <v>-9600.5899999999965</v>
      </c>
      <c r="H123" s="99">
        <f>G123+'18 '!H123</f>
        <v>-4223</v>
      </c>
      <c r="I123" s="165"/>
      <c r="J123" s="328">
        <f>H123/DAY(B2)</f>
        <v>-222.26315789473685</v>
      </c>
    </row>
    <row r="124" spans="1:18" ht="29.25" customHeight="1" x14ac:dyDescent="0.5">
      <c r="A124" s="837"/>
      <c r="B124" s="838"/>
      <c r="C124" s="839"/>
      <c r="D124" s="165"/>
      <c r="E124" s="95">
        <f>'18 '!F124</f>
        <v>0</v>
      </c>
      <c r="F124" s="165"/>
      <c r="G124" s="630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631">
        <f>SUM(G112:G124)</f>
        <v>-99328.089999999967</v>
      </c>
      <c r="H125" s="156"/>
      <c r="I125" s="327">
        <f>G125-(G39+G53)</f>
        <v>-451749.55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63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'18 '!F128</f>
        <v>43694.22</v>
      </c>
      <c r="F128" s="165">
        <v>34017.120000000003</v>
      </c>
      <c r="G128" s="609">
        <f t="shared" ref="G128:G134" si="10">F128-E128</f>
        <v>-9677.0999999999985</v>
      </c>
      <c r="H128" s="99">
        <f>G128+'18 '!H128</f>
        <v>-3986.8799999999974</v>
      </c>
      <c r="I128" s="165"/>
      <c r="J128" s="328">
        <f>H128/DAY(B2)</f>
        <v>-209.83578947368406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17749.53</v>
      </c>
      <c r="G129" s="609">
        <f t="shared" si="10"/>
        <v>-6591.4900000000016</v>
      </c>
      <c r="H129" s="99">
        <f>G129+'18 '!H129</f>
        <v>-2571.4700000000012</v>
      </c>
      <c r="I129" s="165"/>
      <c r="J129" s="328">
        <f>H129/DAY(B2)</f>
        <v>-135.34052631578953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9323.82</v>
      </c>
      <c r="G130" s="609">
        <f t="shared" si="10"/>
        <v>-19642.439999999999</v>
      </c>
      <c r="H130" s="99">
        <f>G130+'18 '!H130</f>
        <v>-9058.18</v>
      </c>
      <c r="I130" s="165"/>
      <c r="J130" s="328">
        <f>H130/DAY(B2)</f>
        <v>-476.74631578947373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'18 '!F131</f>
        <v>14447.42</v>
      </c>
      <c r="F131" s="165">
        <v>11980.9</v>
      </c>
      <c r="G131" s="609">
        <f t="shared" si="10"/>
        <v>-2466.5200000000004</v>
      </c>
      <c r="H131" s="99">
        <f>G131+'18 '!H131</f>
        <v>-1172.1000000000004</v>
      </c>
      <c r="I131" s="165"/>
      <c r="J131" s="328">
        <f>H131/DAY(B2)</f>
        <v>-61.689473684210547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'18 '!F132</f>
        <v>49682.7</v>
      </c>
      <c r="F132" s="165">
        <v>309.93</v>
      </c>
      <c r="G132" s="609">
        <f t="shared" si="10"/>
        <v>-49372.77</v>
      </c>
      <c r="H132" s="99">
        <f>G132+'18 '!H132</f>
        <v>-40713.07</v>
      </c>
      <c r="I132" s="165"/>
      <c r="J132" s="328">
        <f>H132/DAY(B2)</f>
        <v>-2142.7931578947369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'18 '!F133</f>
        <v>98583.4</v>
      </c>
      <c r="F133" s="165">
        <v>79524.36</v>
      </c>
      <c r="G133" s="609">
        <f t="shared" si="10"/>
        <v>-19059.039999999994</v>
      </c>
      <c r="H133" s="99">
        <f>G133+'18 '!H133</f>
        <v>-8178.6399999999994</v>
      </c>
      <c r="I133" s="165"/>
      <c r="J133" s="328">
        <f>H133/DAY(B2)</f>
        <v>-430.45473684210521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'18 '!F134</f>
        <v>6368.93</v>
      </c>
      <c r="F134" s="165">
        <v>663024</v>
      </c>
      <c r="G134" s="609">
        <f t="shared" si="10"/>
        <v>656655.06999999995</v>
      </c>
      <c r="H134" s="99">
        <f>G134+'18 '!H134</f>
        <v>665318</v>
      </c>
      <c r="I134" s="165"/>
      <c r="J134" s="328">
        <f>H134/DAY(B2)</f>
        <v>35016.73684210526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609">
        <f>SUM(G128:G134)</f>
        <v>549845.71</v>
      </c>
      <c r="H135" s="99">
        <f>G135+'10'!H135</f>
        <v>581069.71</v>
      </c>
      <c r="I135" s="327">
        <f>G135-(G35+G49)</f>
        <v>191074.89999999997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630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'18 '!F138</f>
        <v>865289</v>
      </c>
      <c r="F138" s="147">
        <v>862833</v>
      </c>
      <c r="G138" s="609">
        <f t="shared" ref="G138:G152" si="11">F138-E138</f>
        <v>-2456</v>
      </c>
      <c r="H138" s="99">
        <f>G138+'18 '!H138</f>
        <v>-1338</v>
      </c>
      <c r="I138" s="118"/>
      <c r="J138" s="328">
        <f>H138/DAY(B2)</f>
        <v>-70.421052631578945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'18 '!F139</f>
        <v>886551</v>
      </c>
      <c r="F139" s="148">
        <v>886455</v>
      </c>
      <c r="G139" s="609">
        <f t="shared" si="11"/>
        <v>-96</v>
      </c>
      <c r="H139" s="99">
        <f>G139+'18 '!H139</f>
        <v>-91</v>
      </c>
      <c r="I139" s="118"/>
      <c r="J139" s="328">
        <f>H139/DAY(B2)</f>
        <v>-4.7894736842105265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'18 '!F140</f>
        <v>88898</v>
      </c>
      <c r="F140" s="149">
        <v>88878.8</v>
      </c>
      <c r="G140" s="609">
        <f t="shared" si="11"/>
        <v>-19.19999999999709</v>
      </c>
      <c r="H140" s="99">
        <f>G140+'18 '!H140</f>
        <v>-3.1999999999970896</v>
      </c>
      <c r="I140" s="118"/>
      <c r="J140" s="328">
        <f>H140/DAY(B2)</f>
        <v>-0.16842105263142576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'18 '!F141</f>
        <v>52406.65</v>
      </c>
      <c r="F141" s="149">
        <v>46918.79</v>
      </c>
      <c r="G141" s="609">
        <f t="shared" si="11"/>
        <v>-5487.8600000000006</v>
      </c>
      <c r="H141" s="99">
        <f>G141+'18 '!H141</f>
        <v>-2387.2099999999991</v>
      </c>
      <c r="I141" s="118"/>
      <c r="J141" s="328">
        <f>H141/DAY(B2)</f>
        <v>-125.64263157894732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'18 '!F142</f>
        <v>20277.63</v>
      </c>
      <c r="F142" s="148">
        <v>18109.099999999999</v>
      </c>
      <c r="G142" s="609">
        <f t="shared" si="11"/>
        <v>-2168.5300000000025</v>
      </c>
      <c r="H142" s="99">
        <f>G142+'18 '!H142</f>
        <v>-899.90000000000146</v>
      </c>
      <c r="I142" s="140"/>
      <c r="J142" s="328">
        <f>H142/DAY(B2)</f>
        <v>-47.363157894736922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'18 '!F143</f>
        <v>3491.46</v>
      </c>
      <c r="F143" s="149">
        <v>2772.57</v>
      </c>
      <c r="G143" s="609">
        <f t="shared" si="11"/>
        <v>-718.88999999999987</v>
      </c>
      <c r="H143" s="99">
        <f>G143+'18 '!H143</f>
        <v>-288.42999999999984</v>
      </c>
      <c r="I143" s="140"/>
      <c r="J143" s="328">
        <f>H143/DAY(B2)</f>
        <v>-15.180526315789464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'18 '!F144</f>
        <v>873743</v>
      </c>
      <c r="F144" s="149">
        <v>866786</v>
      </c>
      <c r="G144" s="609">
        <f t="shared" si="11"/>
        <v>-6957</v>
      </c>
      <c r="H144" s="99">
        <f>G144+'18 '!H144</f>
        <v>-2884</v>
      </c>
      <c r="I144" s="140"/>
      <c r="J144" s="328">
        <f>H144/DAY(B2)</f>
        <v>-151.78947368421052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'18 '!F145</f>
        <v>4827.1899999999996</v>
      </c>
      <c r="F145" s="149">
        <v>4336.97</v>
      </c>
      <c r="G145" s="609">
        <f t="shared" si="11"/>
        <v>-490.21999999999935</v>
      </c>
      <c r="H145" s="99">
        <f>G145+'18 '!H145</f>
        <v>-221.02999999999975</v>
      </c>
      <c r="I145" s="140"/>
      <c r="J145" s="328">
        <f>H145/DAY(B2)</f>
        <v>-11.633157894736829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'18 '!F146</f>
        <v>732122</v>
      </c>
      <c r="F146" s="148">
        <v>719016</v>
      </c>
      <c r="G146" s="609">
        <f t="shared" si="11"/>
        <v>-13106</v>
      </c>
      <c r="H146" s="99">
        <f>G146+'18 '!H146</f>
        <v>-5842</v>
      </c>
      <c r="I146" s="140"/>
      <c r="J146" s="328">
        <f>H146/DAY(B2)</f>
        <v>-307.4736842105263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'18 '!F147</f>
        <v>621813.56000000006</v>
      </c>
      <c r="F147" s="148">
        <v>610354.43999999994</v>
      </c>
      <c r="G147" s="609">
        <f t="shared" si="11"/>
        <v>-11459.120000000112</v>
      </c>
      <c r="H147" s="99">
        <f>G147+'18 '!H147</f>
        <v>-4927.5600000000559</v>
      </c>
      <c r="I147" s="140"/>
      <c r="J147" s="328">
        <f>H147/DAY(B2)</f>
        <v>-259.3452631578977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'18 '!F148</f>
        <v>687015.44</v>
      </c>
      <c r="F148" s="150">
        <v>679520.75</v>
      </c>
      <c r="G148" s="609">
        <f t="shared" si="11"/>
        <v>-7494.6899999999441</v>
      </c>
      <c r="H148" s="99">
        <f>G148+'18 '!H148</f>
        <v>-3512.3699999999953</v>
      </c>
      <c r="I148" s="124"/>
      <c r="J148" s="328">
        <f>H148/DAY(B2)</f>
        <v>-184.86157894736817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v>3454</v>
      </c>
      <c r="F149" s="500">
        <v>4030</v>
      </c>
      <c r="G149" s="609">
        <f t="shared" si="11"/>
        <v>576</v>
      </c>
      <c r="H149" s="99">
        <f>G149+'18 '!H149</f>
        <v>8082.2599999999984</v>
      </c>
      <c r="I149" s="119"/>
      <c r="J149" s="328">
        <f>H149/DAY(B2)</f>
        <v>425.38210526315783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'18 '!F150</f>
        <v>7974.99</v>
      </c>
      <c r="F150" s="233">
        <v>1329.32</v>
      </c>
      <c r="G150" s="609">
        <f t="shared" si="11"/>
        <v>-6645.67</v>
      </c>
      <c r="H150" s="99">
        <f>G150+'18 '!H150</f>
        <v>-2722.6800000000003</v>
      </c>
      <c r="I150" s="119"/>
      <c r="J150" s="328">
        <f>H150/DAY(B2)</f>
        <v>-143.29894736842107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'18 '!F151</f>
        <v>82410</v>
      </c>
      <c r="F151" s="233">
        <v>75412</v>
      </c>
      <c r="G151" s="609">
        <f t="shared" si="11"/>
        <v>-6998</v>
      </c>
      <c r="H151" s="99">
        <f>G151+'18 '!H151</f>
        <v>-2805</v>
      </c>
      <c r="I151" s="119"/>
      <c r="J151" s="328">
        <f>H151/DAY(B2)</f>
        <v>-147.63157894736841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'18 '!F152</f>
        <v>1435.92</v>
      </c>
      <c r="F152" s="233">
        <v>528.4</v>
      </c>
      <c r="G152" s="609">
        <f t="shared" si="11"/>
        <v>-907.5200000000001</v>
      </c>
      <c r="H152" s="99">
        <f>G152+'18 '!H152</f>
        <v>-598.6</v>
      </c>
      <c r="I152" s="119"/>
      <c r="J152" s="328">
        <f>H152/DAY(B2)</f>
        <v>-31.505263157894738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632">
        <f>SUM(G138:G152)</f>
        <v>-64428.700000000048</v>
      </c>
      <c r="H153" s="363"/>
      <c r="I153" s="119">
        <f>G153-(G38+G52)</f>
        <v>-257917.17000000004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'18 '!F155</f>
        <v>23908.77</v>
      </c>
      <c r="F155" s="157">
        <v>4855</v>
      </c>
      <c r="G155" s="609">
        <f t="shared" ref="G155:G158" si="12">F155-E155</f>
        <v>-19053.77</v>
      </c>
      <c r="H155" s="99">
        <f>G155+'18 '!H155</f>
        <v>-8617</v>
      </c>
      <c r="I155" s="364"/>
      <c r="J155" s="328">
        <f>H155/DAY(B2)</f>
        <v>-453.5263157894737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'18 '!F156</f>
        <v>2010.05</v>
      </c>
      <c r="F156" s="157">
        <v>397</v>
      </c>
      <c r="G156" s="609">
        <f t="shared" si="12"/>
        <v>-1613.05</v>
      </c>
      <c r="H156" s="99">
        <f>G156+'18 '!H156</f>
        <v>-691</v>
      </c>
      <c r="I156" s="165"/>
      <c r="J156" s="328">
        <f>H156/DAY(B2)</f>
        <v>-36.368421052631582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'18 '!F157</f>
        <v>2598.1799999999998</v>
      </c>
      <c r="F157" s="374">
        <v>420.13</v>
      </c>
      <c r="G157" s="609">
        <f t="shared" si="12"/>
        <v>-2178.0499999999997</v>
      </c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'18 '!F158</f>
        <v>23.34</v>
      </c>
      <c r="F158" s="374">
        <v>0</v>
      </c>
      <c r="G158" s="609">
        <f t="shared" si="12"/>
        <v>-23.34</v>
      </c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609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471140.92</v>
      </c>
      <c r="G161" s="633">
        <f t="shared" ref="G161:G165" si="13">F161-E161</f>
        <v>-312.64000000001397</v>
      </c>
      <c r="H161" s="99">
        <f>G161+'18 '!H161</f>
        <v>-12.239999999990687</v>
      </c>
      <c r="I161" s="236"/>
      <c r="J161" s="239">
        <f>H161/DAY(B2)</f>
        <v>-0.64421052631529929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87215.5</v>
      </c>
      <c r="G162" s="633">
        <f t="shared" si="13"/>
        <v>-877.80000000000291</v>
      </c>
      <c r="H162" s="99">
        <f>G162+'18 '!H162</f>
        <v>-354.5</v>
      </c>
      <c r="I162" s="236"/>
      <c r="J162" s="239">
        <f>H162/DAY(B2)</f>
        <v>-18.657894736842106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77042.7</v>
      </c>
      <c r="G163" s="633">
        <f t="shared" si="13"/>
        <v>-1592.8000000000029</v>
      </c>
      <c r="H163" s="99">
        <f>G163+'18 '!H163</f>
        <v>-782.30000000000291</v>
      </c>
      <c r="I163" s="236"/>
      <c r="J163" s="239">
        <f>H163/DAY(B2)</f>
        <v>-41.173684210526467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4193.3</v>
      </c>
      <c r="G164" s="633">
        <f t="shared" si="13"/>
        <v>-86.699999999999818</v>
      </c>
      <c r="H164" s="99">
        <f>G164+'18 '!H164</f>
        <v>-48.699999999999818</v>
      </c>
      <c r="I164" s="236"/>
      <c r="J164" s="239">
        <f>H164/DAY(B2)</f>
        <v>-2.5631578947368325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29560.47</v>
      </c>
      <c r="G165" s="633">
        <f t="shared" si="13"/>
        <v>-203.43000000000029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22"/>
      <c r="B166" s="822"/>
      <c r="C166" s="246"/>
      <c r="D166" s="244" t="s">
        <v>180</v>
      </c>
      <c r="E166" s="95">
        <f>'18 '!F166</f>
        <v>0</v>
      </c>
      <c r="F166" s="165"/>
      <c r="G166" s="630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'18 '!F167</f>
        <v>0</v>
      </c>
      <c r="F167" s="165"/>
      <c r="G167" s="630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'18 '!F168</f>
        <v>0</v>
      </c>
      <c r="F168" s="165"/>
      <c r="G168" s="630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634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'18 '!F173</f>
        <v>8126</v>
      </c>
      <c r="F173" s="157">
        <v>8110</v>
      </c>
      <c r="G173" s="634">
        <f>F173-E173</f>
        <v>-16</v>
      </c>
      <c r="H173" s="99">
        <f>G173+'18 '!H173</f>
        <v>-16</v>
      </c>
      <c r="I173" s="155"/>
      <c r="J173" s="178">
        <f>H173/DAY(B2)</f>
        <v>-0.84210526315789469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'18 '!F174</f>
        <v>38457</v>
      </c>
      <c r="F174" s="157">
        <v>38114</v>
      </c>
      <c r="G174" s="634">
        <f t="shared" ref="G174:G175" si="14">F174-E174</f>
        <v>-343</v>
      </c>
      <c r="H174" s="99">
        <f>G174+'18 '!H174</f>
        <v>-179</v>
      </c>
      <c r="I174" s="155"/>
      <c r="J174" s="178">
        <f>H174/DAY(B2)</f>
        <v>-9.4210526315789469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'18 '!F175</f>
        <v>21683</v>
      </c>
      <c r="F175" s="155">
        <v>21380</v>
      </c>
      <c r="G175" s="634">
        <f t="shared" si="14"/>
        <v>-303</v>
      </c>
      <c r="H175" s="99">
        <f>G175+'18 '!H175</f>
        <v>-138</v>
      </c>
      <c r="I175" s="155"/>
      <c r="J175" s="178">
        <f>H175/DAY(B2)</f>
        <v>-7.2631578947368425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634">
        <f>SUM(G173:G175)</f>
        <v>-662</v>
      </c>
      <c r="H176" s="99">
        <f>G176+'18 '!H176</f>
        <v>-333</v>
      </c>
      <c r="I176" s="155"/>
      <c r="J176" s="178">
        <f>H176/DAY(B2)</f>
        <v>-17.526315789473685</v>
      </c>
    </row>
    <row r="177" spans="1:11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63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26" t="s">
        <v>210</v>
      </c>
      <c r="B178" s="827"/>
      <c r="C178" s="333"/>
      <c r="D178" s="228" t="s">
        <v>142</v>
      </c>
      <c r="E178" s="95">
        <f>'18 '!F178</f>
        <v>80653</v>
      </c>
      <c r="F178" s="155">
        <v>78788</v>
      </c>
      <c r="G178" s="634">
        <f>F178-E178</f>
        <v>-1865</v>
      </c>
      <c r="H178" s="99">
        <f>G178+'18 '!H178</f>
        <v>-826</v>
      </c>
      <c r="I178" s="155"/>
      <c r="J178" s="178">
        <f>H178/DAY(B2)</f>
        <v>-43.473684210526315</v>
      </c>
    </row>
    <row r="179" spans="1:11" ht="27.75" x14ac:dyDescent="0.5">
      <c r="A179" s="826" t="s">
        <v>211</v>
      </c>
      <c r="B179" s="827"/>
      <c r="C179" s="333"/>
      <c r="D179" s="228" t="s">
        <v>142</v>
      </c>
      <c r="E179" s="95">
        <f>'18 '!F179</f>
        <v>34332</v>
      </c>
      <c r="F179" s="155">
        <v>33915</v>
      </c>
      <c r="G179" s="634">
        <f t="shared" ref="G179:G180" si="15">F179-E179</f>
        <v>-417</v>
      </c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826" t="s">
        <v>212</v>
      </c>
      <c r="B180" s="827"/>
      <c r="C180" s="333"/>
      <c r="D180" s="228" t="s">
        <v>142</v>
      </c>
      <c r="E180" s="95">
        <f>'18 '!F180</f>
        <v>5611</v>
      </c>
      <c r="F180" s="155">
        <v>5397</v>
      </c>
      <c r="G180" s="634">
        <f t="shared" si="15"/>
        <v>-214</v>
      </c>
      <c r="H180" s="99">
        <f>G180+'18 '!H180</f>
        <v>-80</v>
      </c>
      <c r="I180" s="155"/>
      <c r="J180" s="178">
        <f>H180/DAY(B2)</f>
        <v>-4.2105263157894735</v>
      </c>
    </row>
    <row r="181" spans="1:11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634">
        <f>SUM(G178:G180)</f>
        <v>-2496</v>
      </c>
      <c r="H181" s="99">
        <f>G181+'18 '!H181</f>
        <v>-906</v>
      </c>
      <c r="I181" s="155"/>
      <c r="J181" s="178">
        <f>H181/DAY(B2)</f>
        <v>-47.684210526315788</v>
      </c>
    </row>
    <row r="182" spans="1:11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63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26" t="s">
        <v>214</v>
      </c>
      <c r="B183" s="827"/>
      <c r="C183" s="334"/>
      <c r="D183" s="228" t="s">
        <v>142</v>
      </c>
      <c r="E183" s="95">
        <f>'18 '!F183</f>
        <v>15161</v>
      </c>
      <c r="F183" s="157">
        <v>14773</v>
      </c>
      <c r="G183" s="635">
        <f>F183-E183</f>
        <v>-388</v>
      </c>
      <c r="H183" s="99">
        <f>G183+'18 '!H183</f>
        <v>-174</v>
      </c>
      <c r="I183" s="155"/>
      <c r="J183" s="178">
        <f>H183/DAY(B2)</f>
        <v>-9.1578947368421044</v>
      </c>
    </row>
    <row r="184" spans="1:11" ht="27.75" x14ac:dyDescent="0.5">
      <c r="A184" s="826" t="s">
        <v>215</v>
      </c>
      <c r="B184" s="827"/>
      <c r="C184" s="334"/>
      <c r="D184" s="228" t="s">
        <v>142</v>
      </c>
      <c r="E184" s="95">
        <f>'18 '!F184</f>
        <v>10415</v>
      </c>
      <c r="F184" s="157">
        <v>10212</v>
      </c>
      <c r="G184" s="635">
        <f t="shared" ref="G184:G185" si="16">F184-E184</f>
        <v>-203</v>
      </c>
      <c r="H184" s="99">
        <f>G184+'18 '!H184</f>
        <v>-89</v>
      </c>
      <c r="I184" s="155"/>
      <c r="J184" s="178">
        <f>H184/DAY(B2)</f>
        <v>-4.6842105263157894</v>
      </c>
    </row>
    <row r="185" spans="1:11" ht="30.75" customHeight="1" x14ac:dyDescent="0.5">
      <c r="A185" s="826" t="s">
        <v>216</v>
      </c>
      <c r="B185" s="827"/>
      <c r="C185" s="334"/>
      <c r="D185" s="228" t="s">
        <v>142</v>
      </c>
      <c r="E185" s="95">
        <f>'18 '!F185</f>
        <v>0</v>
      </c>
      <c r="F185" s="157"/>
      <c r="G185" s="63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635">
        <f>SUM(G183:G185)</f>
        <v>-591</v>
      </c>
      <c r="H186" s="99">
        <f>G186+'18 '!H186</f>
        <v>-263</v>
      </c>
      <c r="I186" s="157"/>
      <c r="J186" s="178">
        <f>H186/DAY(B2)</f>
        <v>-13.842105263157896</v>
      </c>
    </row>
    <row r="187" spans="1:11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636">
        <f>G62+G19</f>
        <v>-2415</v>
      </c>
      <c r="H187" s="99">
        <f>G187+'18 '!H187</f>
        <v>-366</v>
      </c>
      <c r="I187" s="158"/>
      <c r="J187" s="179">
        <f>H187/DAY(B2)</f>
        <v>-19.263157894736842</v>
      </c>
    </row>
    <row r="188" spans="1:11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636">
        <f>G65+G66+G67+G69+G70</f>
        <v>-4324</v>
      </c>
      <c r="H188" s="99">
        <f>G188+'18 '!H188</f>
        <v>-3847</v>
      </c>
      <c r="I188" s="158"/>
      <c r="J188" s="179">
        <f>H188/DAY(B2)</f>
        <v>-202.47368421052633</v>
      </c>
    </row>
    <row r="189" spans="1:11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636">
        <f>G181</f>
        <v>-2496</v>
      </c>
      <c r="H189" s="99">
        <f>G189+'30'!H238</f>
        <v>-2496</v>
      </c>
      <c r="I189" s="158"/>
      <c r="J189" s="179">
        <f>H189/DAY(B2)</f>
        <v>-131.36842105263159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5">
        <f>'18 '!G190</f>
        <v>52871</v>
      </c>
      <c r="G190" s="63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03" zoomScale="55" zoomScaleSheetLayoutView="55" zoomScalePageLayoutView="78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356</v>
      </c>
      <c r="B2" s="262">
        <v>44550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447673</v>
      </c>
      <c r="F7" s="95">
        <f>E7+23500</f>
        <v>471173</v>
      </c>
      <c r="G7" s="112">
        <f>F7-E7</f>
        <v>23500</v>
      </c>
      <c r="H7" s="99">
        <f>G7+'19'!H7</f>
        <v>376612</v>
      </c>
      <c r="I7" s="113">
        <v>24000</v>
      </c>
      <c r="J7" s="175">
        <f>H7/DAY(B2)</f>
        <v>18830.599999999999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499297.83</v>
      </c>
      <c r="F8" s="95">
        <f>E8+23500</f>
        <v>522797.83</v>
      </c>
      <c r="G8" s="115">
        <f>F8-E8</f>
        <v>23500</v>
      </c>
      <c r="H8" s="99">
        <f>G8+'19'!H8</f>
        <v>381912.83</v>
      </c>
      <c r="I8" s="116"/>
      <c r="J8" s="175">
        <f>H8/DAY(B2)</f>
        <v>19095.641500000002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123695.53</v>
      </c>
      <c r="F9" s="601">
        <f>E9+14000</f>
        <v>137695.53</v>
      </c>
      <c r="G9" s="112">
        <f>F9-E9</f>
        <v>14000</v>
      </c>
      <c r="H9" s="99">
        <f>G9+'19'!H9</f>
        <v>236200.53</v>
      </c>
      <c r="I9" s="124">
        <f>I7-J7</f>
        <v>5169.4000000000015</v>
      </c>
      <c r="J9" s="175">
        <f>H9/DAY(B2)</f>
        <v>11810.0265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61922.18</v>
      </c>
      <c r="F10" s="353">
        <f>E10+4500</f>
        <v>66422.179999999993</v>
      </c>
      <c r="G10" s="112">
        <f t="shared" ref="G10:G12" si="0">F10-E10</f>
        <v>4499.9999999999927</v>
      </c>
      <c r="H10" s="99">
        <f>G10+'19'!H10</f>
        <v>121328.18</v>
      </c>
      <c r="I10" s="282"/>
      <c r="J10" s="175">
        <f>H10/DAY(B2)</f>
        <v>6066.4089999999997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33300</v>
      </c>
      <c r="I11" s="282"/>
      <c r="J11" s="175">
        <f>H11/DAY(B2)</f>
        <v>1665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36009</v>
      </c>
      <c r="I12" s="282"/>
      <c r="J12" s="175">
        <f>H12/DAY(B2)</f>
        <v>1800.45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18499.999999999993</v>
      </c>
      <c r="H13" s="99">
        <f>G13+'19'!H13</f>
        <v>407372.4599999999</v>
      </c>
      <c r="I13" s="120">
        <f>G7-G13</f>
        <v>5000.0000000000073</v>
      </c>
      <c r="J13" s="175">
        <f>H13/DAY(B2)</f>
        <v>20368.622999999996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1895322</v>
      </c>
      <c r="F15" s="123">
        <f>E15+1100</f>
        <v>1896422</v>
      </c>
      <c r="G15" s="112">
        <f>(F15-E15)</f>
        <v>1100</v>
      </c>
      <c r="H15" s="99">
        <f>G15+'19'!H15</f>
        <v>17992</v>
      </c>
      <c r="I15" s="113">
        <f>'1'!I15</f>
        <v>800</v>
      </c>
      <c r="J15" s="175">
        <f>H15/DAY(B2)</f>
        <v>899.6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-99.600000000000023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'19'!F18</f>
        <v>22</v>
      </c>
      <c r="F18" s="122">
        <f>E18+12</f>
        <v>34</v>
      </c>
      <c r="G18" s="119">
        <f>F18*10</f>
        <v>340</v>
      </c>
      <c r="H18" s="99">
        <f>G18+'19'!H18</f>
        <v>2480</v>
      </c>
      <c r="I18" s="113">
        <f>'1'!I18</f>
        <v>65</v>
      </c>
      <c r="J18" s="175">
        <f>H18/DAY(B2)</f>
        <v>124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'19'!F19</f>
        <v>153234</v>
      </c>
      <c r="F19" s="122">
        <f>E19+55</f>
        <v>153289</v>
      </c>
      <c r="G19" s="112">
        <f t="shared" ref="G19" si="1">F19-E19</f>
        <v>55</v>
      </c>
      <c r="H19" s="99">
        <f>G19+'19'!H19</f>
        <v>1064</v>
      </c>
      <c r="I19" s="335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395</v>
      </c>
      <c r="H20" s="99">
        <f>G20+'19'!H20</f>
        <v>3544</v>
      </c>
      <c r="I20" s="336">
        <f>I18-J20</f>
        <v>-112.19999999999999</v>
      </c>
      <c r="J20" s="175">
        <f>H20/DAY(B2)</f>
        <v>177.2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250</v>
      </c>
      <c r="I23" s="118"/>
      <c r="J23" s="175">
        <f>H23/DAY(B2)</f>
        <v>12.5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250</v>
      </c>
      <c r="I24" s="118"/>
      <c r="J24" s="175">
        <f>H24/DAY(B2)</f>
        <v>12.5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G27+'19'!H27</f>
        <v>3437215.47</v>
      </c>
      <c r="I27" s="138"/>
      <c r="J27" s="175">
        <f>H27/DAY(B2)</f>
        <v>171860.77350000001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935584</v>
      </c>
      <c r="I28" s="140"/>
      <c r="J28" s="175">
        <f>H28/DAY(B2)</f>
        <v>46779.199999999997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17250</v>
      </c>
      <c r="I29" s="140"/>
      <c r="J29" s="175">
        <f>H29/DAY(B2)</f>
        <v>862.5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G30+'19'!H30</f>
        <v>155344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80</v>
      </c>
      <c r="G31" s="137">
        <f>E31*F31</f>
        <v>27200</v>
      </c>
      <c r="H31" s="99">
        <f>G31+'19'!H31</f>
        <v>198400</v>
      </c>
      <c r="I31" s="140"/>
      <c r="J31" s="175">
        <f>H31/DAY(B2)</f>
        <v>9920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303930</v>
      </c>
      <c r="H32" s="99">
        <f>G32+'19'!H32</f>
        <v>4743793.4700000007</v>
      </c>
      <c r="I32" s="144"/>
      <c r="J32" s="175">
        <f>H32/DAY(B2)</f>
        <v>237189.67350000003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131972.82999999999</v>
      </c>
      <c r="F35" s="145">
        <v>133715.63</v>
      </c>
      <c r="G35" s="112">
        <f t="shared" ref="G35:G46" si="3">F35-E35</f>
        <v>1742.8000000000175</v>
      </c>
      <c r="H35" s="99">
        <f>G35+'19'!H35</f>
        <v>148915.63</v>
      </c>
      <c r="I35" s="95"/>
      <c r="J35" s="175">
        <f>H35/DAY(B2)</f>
        <v>7445.7815000000001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10261</v>
      </c>
      <c r="F36" s="145">
        <v>11187.36</v>
      </c>
      <c r="G36" s="112">
        <f t="shared" si="3"/>
        <v>926.36000000000058</v>
      </c>
      <c r="H36" s="99">
        <f>G36+'19'!H36</f>
        <v>-10339.64</v>
      </c>
      <c r="I36" s="95"/>
      <c r="J36" s="175">
        <f>H36/DAY(B2)</f>
        <v>-516.98199999999997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176251.83</v>
      </c>
      <c r="F37" s="504">
        <v>177881.65</v>
      </c>
      <c r="G37" s="112">
        <f t="shared" si="3"/>
        <v>1629.820000000007</v>
      </c>
      <c r="H37" s="99">
        <f>G37+'19'!H37</f>
        <v>190093.65</v>
      </c>
      <c r="I37" s="95"/>
      <c r="J37" s="175">
        <f>H37/DAY(B2)</f>
        <v>9504.682499999999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209352.93</v>
      </c>
      <c r="F38" s="106">
        <v>211328.03</v>
      </c>
      <c r="G38" s="112">
        <f t="shared" si="3"/>
        <v>1975.1000000000058</v>
      </c>
      <c r="H38" s="99">
        <f>G38+'19'!H38</f>
        <v>224528.03</v>
      </c>
      <c r="I38" s="95"/>
      <c r="J38" s="175">
        <f>H38/DAY(B2)</f>
        <v>11226.4015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377775.95</v>
      </c>
      <c r="F39" s="504">
        <v>380625.63</v>
      </c>
      <c r="G39" s="112">
        <f t="shared" si="3"/>
        <v>2849.679999999993</v>
      </c>
      <c r="H39" s="99">
        <f>G39+'19'!H39</f>
        <v>402307.63</v>
      </c>
      <c r="I39" s="95"/>
      <c r="J39" s="175">
        <f>H39/DAY(B2)</f>
        <v>20115.3815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48.2</v>
      </c>
      <c r="F40" s="145">
        <v>206.68</v>
      </c>
      <c r="G40" s="112">
        <f t="shared" si="3"/>
        <v>158.48000000000002</v>
      </c>
      <c r="H40" s="99">
        <f>G40+'19'!H40</f>
        <v>-4863.17</v>
      </c>
      <c r="I40" s="95"/>
      <c r="J40" s="175">
        <f>H40/DAY(B2)</f>
        <v>-243.1585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25052.25</v>
      </c>
      <c r="F42" s="145">
        <v>29584.51</v>
      </c>
      <c r="G42" s="112">
        <f t="shared" si="3"/>
        <v>4532.2599999999984</v>
      </c>
      <c r="H42" s="99">
        <f>G42+'19'!H42</f>
        <v>-44224.490000000005</v>
      </c>
      <c r="I42" s="95"/>
      <c r="J42" s="175">
        <f>H42/DAY(B2)</f>
        <v>-2211.2245000000003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15511.63</v>
      </c>
      <c r="F43" s="145">
        <v>18230.59</v>
      </c>
      <c r="G43" s="112">
        <f t="shared" si="3"/>
        <v>2718.9600000000009</v>
      </c>
      <c r="H43" s="99">
        <f>G43+'19'!H43</f>
        <v>-29030.409999999996</v>
      </c>
      <c r="I43" s="95"/>
      <c r="J43" s="175">
        <f>H43/DAY(B2)</f>
        <v>-1451.5204999999999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16533.460000000021</v>
      </c>
      <c r="H47" s="99">
        <f>G47+'19'!H47</f>
        <v>877387.23</v>
      </c>
      <c r="I47" s="95"/>
      <c r="J47" s="175">
        <f>H47/DAY(B2)</f>
        <v>43869.361499999999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253870.67</v>
      </c>
      <c r="F49" s="145">
        <v>255613.45</v>
      </c>
      <c r="G49" s="112">
        <f t="shared" ref="G49:G58" si="4">F49-E49</f>
        <v>1742.7799999999988</v>
      </c>
      <c r="H49" s="99">
        <f>G49+'19'!H49</f>
        <v>268734.45000000007</v>
      </c>
      <c r="I49" s="95"/>
      <c r="J49" s="175">
        <f>H49/DAY(B2)</f>
        <v>13436.722500000003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10858.49</v>
      </c>
      <c r="F50" s="145">
        <v>11973.2</v>
      </c>
      <c r="G50" s="112">
        <f t="shared" si="4"/>
        <v>1114.7100000000009</v>
      </c>
      <c r="H50" s="99">
        <f>G50+'19'!H50</f>
        <v>-12676.800000000001</v>
      </c>
      <c r="I50" s="95"/>
      <c r="J50" s="175">
        <f>H50/DAY(B2)</f>
        <v>-633.84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3130.82</v>
      </c>
      <c r="F54" s="145">
        <v>3135.28</v>
      </c>
      <c r="G54" s="112">
        <f t="shared" si="4"/>
        <v>4.4600000000000364</v>
      </c>
      <c r="H54" s="99">
        <f>G54+'19'!H54</f>
        <v>4902.3599999999997</v>
      </c>
      <c r="I54" s="95"/>
      <c r="J54" s="175">
        <f>H54/DAY(B2)</f>
        <v>245.11799999999999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-3511</v>
      </c>
      <c r="I55" s="95"/>
      <c r="J55" s="175">
        <f>H55/DAY(B2)</f>
        <v>-175.55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89681.45</v>
      </c>
      <c r="F58" s="145">
        <v>89908.87</v>
      </c>
      <c r="G58" s="112">
        <f t="shared" si="4"/>
        <v>227.41999999999825</v>
      </c>
      <c r="H58" s="99">
        <f>G58+'19'!H58</f>
        <v>90249.5</v>
      </c>
      <c r="I58" s="95"/>
      <c r="J58" s="175">
        <f>H58/DAY(B2)</f>
        <v>4512.4750000000004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3089.3699999999981</v>
      </c>
      <c r="H59" s="99">
        <f>G59+'19'!H59</f>
        <v>347698.51</v>
      </c>
      <c r="I59" s="95">
        <f>G7-G60</f>
        <v>3877.1699999999801</v>
      </c>
      <c r="J59" s="175">
        <f>H59/DAY(B2)</f>
        <v>17384.925500000001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19622.83000000002</v>
      </c>
      <c r="H60" s="99">
        <f>G60+'19'!H60</f>
        <v>1225085.7399999998</v>
      </c>
      <c r="I60" s="95">
        <f>G13-G60</f>
        <v>-1122.8300000000272</v>
      </c>
      <c r="J60" s="175">
        <f>H60/DAY(B2)</f>
        <v>61254.286999999989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'19'!F62</f>
        <v>265838</v>
      </c>
      <c r="F62" s="122">
        <v>265962</v>
      </c>
      <c r="G62" s="112">
        <f t="shared" ref="G62:G63" si="5">F62-E62</f>
        <v>124</v>
      </c>
      <c r="H62" s="99">
        <f>G62+'19'!H62</f>
        <v>-1251</v>
      </c>
      <c r="I62" s="118"/>
      <c r="J62" s="175">
        <f>H62/DAY(B2)</f>
        <v>-62.55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'19'!F63</f>
        <v>211377</v>
      </c>
      <c r="F63" s="122">
        <v>211496</v>
      </c>
      <c r="G63" s="112">
        <f t="shared" si="5"/>
        <v>119</v>
      </c>
      <c r="H63" s="99">
        <f>G63+'19'!H63</f>
        <v>-929</v>
      </c>
      <c r="I63" s="118"/>
      <c r="J63" s="175">
        <f>H63/DAY(B2)</f>
        <v>-46.45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'19'!F64</f>
        <v>0</v>
      </c>
      <c r="F64" s="122"/>
      <c r="G64" s="112">
        <f>G62+G63</f>
        <v>243</v>
      </c>
      <c r="H64" s="99">
        <f>G64+'19'!H64</f>
        <v>-2180</v>
      </c>
      <c r="I64" s="118"/>
      <c r="J64" s="175">
        <f>H64/DAY(B2)</f>
        <v>-109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'19'!F65</f>
        <v>431409</v>
      </c>
      <c r="F65" s="122">
        <v>431486</v>
      </c>
      <c r="G65" s="112">
        <f t="shared" ref="G65:G70" si="6">F65-E65</f>
        <v>77</v>
      </c>
      <c r="H65" s="99">
        <f>G65+'19'!H65</f>
        <v>-1128</v>
      </c>
      <c r="I65" s="118"/>
      <c r="J65" s="175">
        <f>H65/DAY(B2)</f>
        <v>-56.4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106973</v>
      </c>
      <c r="F66" s="122">
        <v>106990</v>
      </c>
      <c r="G66" s="112">
        <f t="shared" si="6"/>
        <v>17</v>
      </c>
      <c r="H66" s="99">
        <f>G66+'19'!H66</f>
        <v>-224</v>
      </c>
      <c r="I66" s="118"/>
      <c r="J66" s="175">
        <f>H66/DAY(B2)</f>
        <v>-11.2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103572</v>
      </c>
      <c r="F67" s="122">
        <v>103598</v>
      </c>
      <c r="G67" s="112">
        <f t="shared" si="6"/>
        <v>26</v>
      </c>
      <c r="H67" s="99">
        <f>G67+'19'!H67</f>
        <v>-330</v>
      </c>
      <c r="I67" s="118"/>
      <c r="J67" s="175">
        <f>H67/DAY(B2)</f>
        <v>-16.5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156181</v>
      </c>
      <c r="F68" s="122">
        <v>156249</v>
      </c>
      <c r="G68" s="112">
        <f t="shared" si="6"/>
        <v>68</v>
      </c>
      <c r="H68" s="99">
        <f>G68+'19'!H68</f>
        <v>-371</v>
      </c>
      <c r="I68" s="118"/>
      <c r="J68" s="175">
        <f>H68/DAY(B2)</f>
        <v>-18.55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10071</v>
      </c>
      <c r="F69" s="122">
        <v>10078</v>
      </c>
      <c r="G69" s="112">
        <f t="shared" si="6"/>
        <v>7</v>
      </c>
      <c r="H69" s="99">
        <f>G69+'19'!H69</f>
        <v>-136</v>
      </c>
      <c r="I69" s="118"/>
      <c r="J69" s="175">
        <f>H69/DAY(B2)</f>
        <v>-6.8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7754</v>
      </c>
      <c r="F70" s="122">
        <v>7763</v>
      </c>
      <c r="G70" s="112">
        <f t="shared" si="6"/>
        <v>9</v>
      </c>
      <c r="H70" s="99">
        <f>G70+'19'!H70</f>
        <v>-99</v>
      </c>
      <c r="I70" s="118"/>
      <c r="J70" s="175">
        <f>H70/DAY(B2)</f>
        <v>-4.95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204</v>
      </c>
      <c r="H71" s="99">
        <f>G71+'19'!H71</f>
        <v>-2288</v>
      </c>
      <c r="I71" s="154"/>
      <c r="J71" s="175">
        <f>H71/DAY(B2)</f>
        <v>-114.4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'19'!F74</f>
        <v>888255.31</v>
      </c>
      <c r="F74" s="117">
        <v>888574</v>
      </c>
      <c r="G74" s="112">
        <f t="shared" ref="G74:G78" si="7">F74-E74</f>
        <v>318.68999999994412</v>
      </c>
      <c r="H74" s="99">
        <f>G74+'19'!H74</f>
        <v>-3458</v>
      </c>
      <c r="I74" s="154"/>
      <c r="J74" s="175">
        <f>H74/DAY(B2)</f>
        <v>-172.9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v>73586.8</v>
      </c>
      <c r="F75" s="123">
        <v>73586.8</v>
      </c>
      <c r="G75" s="112">
        <f t="shared" si="7"/>
        <v>0</v>
      </c>
      <c r="H75" s="99">
        <f>G75+'19'!H75</f>
        <v>243.88999999999942</v>
      </c>
      <c r="I75" s="154"/>
      <c r="J75" s="175">
        <f>H75/DAY(B2)</f>
        <v>12.194499999999971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'19'!F76</f>
        <v>165887.20000000001</v>
      </c>
      <c r="F76" s="123">
        <v>166014.25</v>
      </c>
      <c r="G76" s="112">
        <f t="shared" si="7"/>
        <v>127.04999999998836</v>
      </c>
      <c r="H76" s="99">
        <f>G76+'19'!H76</f>
        <v>-1192.75</v>
      </c>
      <c r="I76" s="154"/>
      <c r="J76" s="175">
        <f>H76/DAY(B2)</f>
        <v>-59.637500000000003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'19'!F77</f>
        <v>39749.300000000003</v>
      </c>
      <c r="F77" s="123">
        <v>39796</v>
      </c>
      <c r="G77" s="112">
        <f t="shared" si="7"/>
        <v>46.69999999999709</v>
      </c>
      <c r="H77" s="99">
        <f>G77+'19'!H77</f>
        <v>-520</v>
      </c>
      <c r="I77" s="154"/>
      <c r="J77" s="175">
        <f>H77/DAY(B2)</f>
        <v>-26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'19'!F78</f>
        <v>9464.7000000000007</v>
      </c>
      <c r="F78" s="123">
        <v>9466</v>
      </c>
      <c r="G78" s="112">
        <f t="shared" si="7"/>
        <v>1.2999999999992724</v>
      </c>
      <c r="H78" s="99">
        <f>G78+'19'!H78</f>
        <v>-20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'19'!F79</f>
        <v>0</v>
      </c>
      <c r="F79" s="117"/>
      <c r="G79" s="112">
        <f>G15-SUM(G74:G78)</f>
        <v>606.26000000007116</v>
      </c>
      <c r="H79" s="99">
        <f>G79+'19'!H79</f>
        <v>22938.86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5" t="s">
        <v>329</v>
      </c>
      <c r="B80" s="916"/>
      <c r="C80" s="9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41675.4</v>
      </c>
      <c r="G84" s="112">
        <f t="shared" si="8"/>
        <v>0</v>
      </c>
      <c r="H84" s="99">
        <f>G84+'19'!H84</f>
        <v>0.40000000000145519</v>
      </c>
      <c r="I84" s="118"/>
      <c r="J84" s="175">
        <f>H84/DAY(B2)</f>
        <v>2.0000000000072758E-2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1844</v>
      </c>
      <c r="F85" s="164">
        <v>1868</v>
      </c>
      <c r="G85" s="112">
        <f t="shared" si="8"/>
        <v>24</v>
      </c>
      <c r="H85" s="99">
        <f>G85+'19'!H85</f>
        <v>-228.55999999999995</v>
      </c>
      <c r="I85" s="118">
        <f>G82+G83+G84+G85</f>
        <v>24</v>
      </c>
      <c r="J85" s="175">
        <f>H85/DAY(B2)</f>
        <v>-11.427999999999997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-36.529999999998836</v>
      </c>
      <c r="I86" s="118"/>
      <c r="J86" s="175">
        <f>H86/DAY(B2)</f>
        <v>-1.8264999999999418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24005.53</v>
      </c>
      <c r="F88" s="164">
        <v>24005.53</v>
      </c>
      <c r="G88" s="112">
        <f t="shared" si="8"/>
        <v>0</v>
      </c>
      <c r="H88" s="99">
        <f>G88+'19'!H88</f>
        <v>-41.470000000001164</v>
      </c>
      <c r="I88" s="118">
        <f>G86+G87+G88</f>
        <v>0</v>
      </c>
      <c r="J88" s="175">
        <f>H88/DAY(B2)</f>
        <v>-2.0735000000000583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25583.95</v>
      </c>
      <c r="F89" s="164">
        <v>25595.63</v>
      </c>
      <c r="G89" s="112">
        <f t="shared" si="8"/>
        <v>11.680000000000291</v>
      </c>
      <c r="H89" s="99">
        <f>G89+'19'!H89</f>
        <v>-67.369999999998981</v>
      </c>
      <c r="I89" s="118"/>
      <c r="J89" s="175">
        <f>H89/DAY(B2)</f>
        <v>-3.368499999999949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70962.95</v>
      </c>
      <c r="F90" s="164">
        <v>70969.11</v>
      </c>
      <c r="G90" s="112">
        <f t="shared" si="8"/>
        <v>6.1600000000034925</v>
      </c>
      <c r="H90" s="99">
        <f>G90+'19'!H90</f>
        <v>-64.889999999999418</v>
      </c>
      <c r="I90" s="118">
        <f>G89+G90</f>
        <v>17.840000000003783</v>
      </c>
      <c r="J90" s="175">
        <f>H90/DAY(B2)</f>
        <v>-3.2444999999999711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5306.26</v>
      </c>
      <c r="F92" s="122">
        <v>5317.4</v>
      </c>
      <c r="G92" s="112">
        <f t="shared" si="8"/>
        <v>11.139999999999418</v>
      </c>
      <c r="H92" s="99">
        <f>G92+'19'!H92</f>
        <v>-120.60000000000036</v>
      </c>
      <c r="I92" s="165"/>
      <c r="J92" s="175">
        <f>H92/DAY(B2)</f>
        <v>-6.030000000000018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6204.5400000000172</v>
      </c>
      <c r="H94" s="99">
        <f>G94+'19'!H94</f>
        <v>388619.67000000004</v>
      </c>
      <c r="I94" s="118"/>
      <c r="J94" s="175">
        <f>H94/DAY(B2)</f>
        <v>19430.983500000002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0.26402297872340497</v>
      </c>
      <c r="H95" s="99">
        <f>G95+'19'!H95</f>
        <v>17.676498008394464</v>
      </c>
      <c r="I95" s="167"/>
      <c r="J95" s="175">
        <f>H95/DAY(B2)</f>
        <v>0.88382490041972317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4532.2599999999984</v>
      </c>
      <c r="H96" s="99">
        <f>G96+'19'!H96</f>
        <v>-47735.490000000005</v>
      </c>
      <c r="I96" s="118"/>
      <c r="J96" s="175">
        <f>H96/DAY(B2)</f>
        <v>-2386.7745000000004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0.19286212765957439</v>
      </c>
      <c r="H97" s="99">
        <f>G97+'19'!H97</f>
        <v>-1.3679649663249345</v>
      </c>
      <c r="I97" s="167"/>
      <c r="J97" s="175">
        <f>H97/DAY(B2)</f>
        <v>-6.8398248316246718E-2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2849.679999999993</v>
      </c>
      <c r="H98" s="99">
        <f>G98+'19'!H98</f>
        <v>402307.63</v>
      </c>
      <c r="I98" s="168"/>
      <c r="J98" s="175">
        <f>H98/DAY(B2)</f>
        <v>20115.3815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0.12126297872340396</v>
      </c>
      <c r="H99" s="99">
        <f>G99+'19'!H99</f>
        <v>17.693164950815305</v>
      </c>
      <c r="I99" s="168"/>
      <c r="J99" s="175">
        <f>H99/DAY(B2)</f>
        <v>0.88465824754076527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1975.1000000000058</v>
      </c>
      <c r="H100" s="99">
        <f>G100+'19'!H100</f>
        <v>224528.03</v>
      </c>
      <c r="I100" s="118"/>
      <c r="J100" s="175">
        <f>H100/DAY(B2)</f>
        <v>11226.4015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8.4046808510638546E-2</v>
      </c>
      <c r="H101" s="99">
        <f>G101+'19'!H101</f>
        <v>9.9096356717359555</v>
      </c>
      <c r="I101" s="168"/>
      <c r="J101" s="175">
        <f>H101/DAY(B2)</f>
        <v>0.49548178358679779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2041.0700000000015</v>
      </c>
      <c r="H102" s="99">
        <f>G102+'19'!H102</f>
        <v>-23016.440000000002</v>
      </c>
      <c r="I102" s="168"/>
      <c r="J102" s="175">
        <f>H102/DAY(B2)</f>
        <v>-1150.8220000000001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8.6854042553191554E-2</v>
      </c>
      <c r="H103" s="99">
        <f>G103+'19'!H103</f>
        <v>-0.62282905115669684</v>
      </c>
      <c r="I103" s="118"/>
      <c r="J103" s="175">
        <f>H103/DAY(B2)</f>
        <v>-3.1141452557834841E-2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1629.820000000007</v>
      </c>
      <c r="H104" s="99">
        <f>G104+'19'!H104</f>
        <v>190093.65</v>
      </c>
      <c r="I104" s="118"/>
      <c r="J104" s="175">
        <f>H104/DAY(B2)</f>
        <v>9504.682499999999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6.9354042553191789E-2</v>
      </c>
      <c r="H105" s="99">
        <f>G105+'19'!H105</f>
        <v>8.4217181008601862</v>
      </c>
      <c r="I105" s="187"/>
      <c r="J105" s="188">
        <f>H105/DAY(B2)</f>
        <v>0.4210859050430093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'19'!F112</f>
        <v>54836.4</v>
      </c>
      <c r="F112" s="237">
        <v>54909.440000000002</v>
      </c>
      <c r="G112" s="112">
        <f t="shared" ref="G112:G123" si="9">F112-E112</f>
        <v>73.040000000000873</v>
      </c>
      <c r="H112" s="99">
        <f>G112+'19'!H112</f>
        <v>-771.55999999999767</v>
      </c>
      <c r="I112" s="165"/>
      <c r="J112" s="328">
        <f>H112/DAY(B2)</f>
        <v>-38.577999999999882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'19'!F113</f>
        <v>26750.47</v>
      </c>
      <c r="F113" s="237">
        <v>27206.95</v>
      </c>
      <c r="G113" s="112">
        <f t="shared" si="9"/>
        <v>456.47999999999956</v>
      </c>
      <c r="H113" s="99">
        <f>G113+'19'!H113</f>
        <v>-4988.0499999999993</v>
      </c>
      <c r="I113" s="165"/>
      <c r="J113" s="328">
        <f>H113/DAY(B2)</f>
        <v>-249.40249999999997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'19'!F114</f>
        <v>21239</v>
      </c>
      <c r="F114" s="237">
        <v>21535.19</v>
      </c>
      <c r="G114" s="112">
        <f t="shared" si="9"/>
        <v>296.18999999999869</v>
      </c>
      <c r="H114" s="99">
        <f>G114+'19'!H114</f>
        <v>-3469.4100000000017</v>
      </c>
      <c r="I114" s="165"/>
      <c r="J114" s="328">
        <f>H114/DAY(B2)</f>
        <v>-173.47050000000007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'19'!F115</f>
        <v>8640.2199999999993</v>
      </c>
      <c r="F115" s="237">
        <v>8654.93</v>
      </c>
      <c r="G115" s="112">
        <f t="shared" si="9"/>
        <v>14.710000000000946</v>
      </c>
      <c r="H115" s="99">
        <f>G115+'19'!H115</f>
        <v>-130.06999999999971</v>
      </c>
      <c r="I115" s="165"/>
      <c r="J115" s="328">
        <f>H115/DAY(B2)</f>
        <v>-6.5034999999999856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'19'!F117</f>
        <v>2313.1799999999998</v>
      </c>
      <c r="F117" s="237">
        <v>2341.16</v>
      </c>
      <c r="G117" s="112">
        <f t="shared" si="9"/>
        <v>27.980000000000018</v>
      </c>
      <c r="H117" s="99">
        <f>G117+'19'!H117</f>
        <v>-248.84000000000015</v>
      </c>
      <c r="I117" s="165"/>
      <c r="J117" s="328">
        <f>H117/DAY(B2)</f>
        <v>-12.442000000000007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'19'!F118</f>
        <v>236963.45</v>
      </c>
      <c r="F118" s="237">
        <v>237382.29</v>
      </c>
      <c r="G118" s="112">
        <f t="shared" si="9"/>
        <v>418.83999999999651</v>
      </c>
      <c r="H118" s="99">
        <f>G118+'19'!H118</f>
        <v>-4264.7099999999919</v>
      </c>
      <c r="I118" s="165"/>
      <c r="J118" s="328">
        <f>H118/DAY(B2)</f>
        <v>-213.2354999999996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'19'!F119</f>
        <v>240051.83</v>
      </c>
      <c r="F119" s="237">
        <v>240489.23</v>
      </c>
      <c r="G119" s="112">
        <f t="shared" si="9"/>
        <v>437.40000000002328</v>
      </c>
      <c r="H119" s="99">
        <f>G119+'19'!H119</f>
        <v>-4636.7699999999895</v>
      </c>
      <c r="I119" s="165"/>
      <c r="J119" s="328">
        <f>H119/DAY(B2)</f>
        <v>-231.83849999999947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'19'!F120</f>
        <v>25067.9</v>
      </c>
      <c r="F120" s="237">
        <v>25493.41</v>
      </c>
      <c r="G120" s="112">
        <f t="shared" si="9"/>
        <v>425.5099999999984</v>
      </c>
      <c r="H120" s="99">
        <f>G120+'19'!H120</f>
        <v>-4584.59</v>
      </c>
      <c r="I120" s="165"/>
      <c r="J120" s="328">
        <f>H120/DAY(B2)</f>
        <v>-229.2295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'19'!F121</f>
        <v>367136</v>
      </c>
      <c r="F121" s="237">
        <v>367913.71</v>
      </c>
      <c r="G121" s="112">
        <f t="shared" si="9"/>
        <v>777.71000000002095</v>
      </c>
      <c r="H121" s="99">
        <f>G121+'19'!H121</f>
        <v>-8615.289999999979</v>
      </c>
      <c r="I121" s="165"/>
      <c r="J121" s="328">
        <f>H121/DAY(B2)</f>
        <v>-430.76449999999897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'19'!F122</f>
        <v>117349</v>
      </c>
      <c r="F122" s="237">
        <v>117612.63</v>
      </c>
      <c r="G122" s="112">
        <f t="shared" si="9"/>
        <v>263.63000000000466</v>
      </c>
      <c r="H122" s="99">
        <f>G122+'19'!H122</f>
        <v>-2437.3699999999953</v>
      </c>
      <c r="I122" s="165"/>
      <c r="J122" s="328">
        <f>H122/DAY(B2)</f>
        <v>-121.86849999999977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'19'!F123</f>
        <v>140902</v>
      </c>
      <c r="F123" s="237">
        <v>141264.28</v>
      </c>
      <c r="G123" s="112">
        <f t="shared" si="9"/>
        <v>362.27999999999884</v>
      </c>
      <c r="H123" s="99">
        <f>G123+'19'!H123</f>
        <v>-3860.7200000000012</v>
      </c>
      <c r="I123" s="165"/>
      <c r="J123" s="328">
        <f>H123/DAY(B2)</f>
        <v>-193.03600000000006</v>
      </c>
    </row>
    <row r="124" spans="1:18" ht="29.25" customHeight="1" x14ac:dyDescent="0.5">
      <c r="A124" s="837"/>
      <c r="B124" s="838"/>
      <c r="C124" s="83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05" t="s">
        <v>108</v>
      </c>
      <c r="B125" s="905"/>
      <c r="C125" s="245"/>
      <c r="D125" s="307"/>
      <c r="E125" s="308"/>
      <c r="F125" s="308"/>
      <c r="G125" s="309">
        <f>SUM(G112:G124)</f>
        <v>3553.7700000000427</v>
      </c>
      <c r="H125" s="156"/>
      <c r="I125" s="327">
        <f>G125-(G39+G53)</f>
        <v>704.09000000004971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'19'!F128</f>
        <v>34017.120000000003</v>
      </c>
      <c r="F128" s="165">
        <v>34356.51</v>
      </c>
      <c r="G128" s="112">
        <f t="shared" ref="G128:G134" si="10">F128-E128</f>
        <v>339.38999999999942</v>
      </c>
      <c r="H128" s="99">
        <f>G128+'19'!H128</f>
        <v>-3647.489999999998</v>
      </c>
      <c r="I128" s="165"/>
      <c r="J128" s="328">
        <f>H128/DAY(B2)</f>
        <v>-182.3744999999999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17749.53</v>
      </c>
      <c r="F129" s="165">
        <v>17955.68</v>
      </c>
      <c r="G129" s="112">
        <f t="shared" si="10"/>
        <v>206.15000000000146</v>
      </c>
      <c r="H129" s="99">
        <f>G129+'19'!H129</f>
        <v>-2365.3199999999997</v>
      </c>
      <c r="I129" s="165"/>
      <c r="J129" s="328">
        <f>H129/DAY(B2)</f>
        <v>-118.26599999999999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9323.82</v>
      </c>
      <c r="F130" s="165">
        <v>10100.120000000001</v>
      </c>
      <c r="G130" s="112">
        <f t="shared" si="10"/>
        <v>776.30000000000109</v>
      </c>
      <c r="H130" s="99">
        <f>G130+'19'!H130</f>
        <v>-8281.8799999999992</v>
      </c>
      <c r="I130" s="165"/>
      <c r="J130" s="328">
        <f>H130/DAY(B2)</f>
        <v>-414.09399999999994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'19'!F131</f>
        <v>11980.9</v>
      </c>
      <c r="F131" s="165">
        <v>12095.78</v>
      </c>
      <c r="G131" s="112">
        <f t="shared" si="10"/>
        <v>114.88000000000102</v>
      </c>
      <c r="H131" s="99">
        <f>G131+'19'!H131</f>
        <v>-1057.2199999999993</v>
      </c>
      <c r="I131" s="165"/>
      <c r="J131" s="328">
        <f>H131/DAY(B2)</f>
        <v>-52.860999999999969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'19'!F132</f>
        <v>309.93</v>
      </c>
      <c r="F132" s="165">
        <v>458.35</v>
      </c>
      <c r="G132" s="112">
        <f t="shared" si="10"/>
        <v>148.42000000000002</v>
      </c>
      <c r="H132" s="99">
        <f>G132+'19'!H132</f>
        <v>-40564.65</v>
      </c>
      <c r="I132" s="165"/>
      <c r="J132" s="328">
        <f>H132/DAY(B2)</f>
        <v>-2028.2325000000001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'19'!F133</f>
        <v>79524.36</v>
      </c>
      <c r="F133" s="165">
        <v>80371.27</v>
      </c>
      <c r="G133" s="112">
        <f t="shared" si="10"/>
        <v>846.91000000000349</v>
      </c>
      <c r="H133" s="99">
        <f>G133+'19'!H133</f>
        <v>-7331.7299999999959</v>
      </c>
      <c r="I133" s="165"/>
      <c r="J133" s="328">
        <f>H133/DAY(B2)</f>
        <v>-366.58649999999977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'19'!F134</f>
        <v>663024</v>
      </c>
      <c r="F134" s="594">
        <v>663357</v>
      </c>
      <c r="G134" s="112">
        <f t="shared" si="10"/>
        <v>333</v>
      </c>
      <c r="H134" s="99">
        <f>G134+'19'!H134</f>
        <v>665651</v>
      </c>
      <c r="I134" s="165"/>
      <c r="J134" s="328">
        <f>H134/DAY(B2)</f>
        <v>33282.550000000003</v>
      </c>
    </row>
    <row r="135" spans="1:15" ht="27.75" x14ac:dyDescent="0.5">
      <c r="A135" s="913" t="s">
        <v>108</v>
      </c>
      <c r="B135" s="914"/>
      <c r="C135" s="829"/>
      <c r="D135" s="151"/>
      <c r="E135" s="95"/>
      <c r="F135" s="165"/>
      <c r="G135" s="112">
        <f>SUM(G128:G134)</f>
        <v>2765.0500000000065</v>
      </c>
      <c r="H135" s="99"/>
      <c r="I135" s="327">
        <f>G135-(G35+G49)</f>
        <v>-720.53000000000975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'19'!F138</f>
        <v>862833</v>
      </c>
      <c r="F138" s="147">
        <v>862944</v>
      </c>
      <c r="G138" s="112">
        <f t="shared" ref="G138:G152" si="11">F138-E138</f>
        <v>111</v>
      </c>
      <c r="H138" s="99">
        <f>G138+'19'!H138</f>
        <v>-1227</v>
      </c>
      <c r="I138" s="118"/>
      <c r="J138" s="328">
        <f>H138/DAY(B2)</f>
        <v>-61.35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'19'!F139</f>
        <v>886455</v>
      </c>
      <c r="F139" s="148">
        <v>886456</v>
      </c>
      <c r="G139" s="112">
        <f t="shared" si="11"/>
        <v>1</v>
      </c>
      <c r="H139" s="99">
        <f>G139+'19'!H139</f>
        <v>-90</v>
      </c>
      <c r="I139" s="118"/>
      <c r="J139" s="328">
        <f>H139/DAY(B2)</f>
        <v>-4.5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'19'!F140</f>
        <v>88878.8</v>
      </c>
      <c r="F140" s="149">
        <v>88880.6</v>
      </c>
      <c r="G140" s="112">
        <f>F140-E140</f>
        <v>1.8000000000029104</v>
      </c>
      <c r="H140" s="99">
        <f>G140+'19'!H140</f>
        <v>-1.3999999999941792</v>
      </c>
      <c r="I140" s="118"/>
      <c r="J140" s="328">
        <f>H140/DAY(B2)</f>
        <v>-6.9999999999708962E-2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'19'!F141</f>
        <v>46918.79</v>
      </c>
      <c r="F141" s="149">
        <v>47124.61</v>
      </c>
      <c r="G141" s="112">
        <f t="shared" si="11"/>
        <v>205.81999999999971</v>
      </c>
      <c r="H141" s="99">
        <f>G141+'19'!H141</f>
        <v>-2181.3899999999994</v>
      </c>
      <c r="I141" s="118"/>
      <c r="J141" s="328">
        <f>H141/DAY(B2)</f>
        <v>-109.06949999999998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'19'!F142</f>
        <v>18109.099999999999</v>
      </c>
      <c r="F142" s="148">
        <v>18179.09</v>
      </c>
      <c r="G142" s="112">
        <f t="shared" si="11"/>
        <v>69.990000000001601</v>
      </c>
      <c r="H142" s="99">
        <f>G142+'19'!H142</f>
        <v>-829.90999999999985</v>
      </c>
      <c r="I142" s="140"/>
      <c r="J142" s="328">
        <f>H142/DAY(B2)</f>
        <v>-41.495499999999993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'19'!F143</f>
        <v>2772.57</v>
      </c>
      <c r="F143" s="149">
        <v>2802.07</v>
      </c>
      <c r="G143" s="112">
        <f t="shared" si="11"/>
        <v>29.5</v>
      </c>
      <c r="H143" s="99">
        <f>G143+'19'!H143</f>
        <v>-258.92999999999984</v>
      </c>
      <c r="I143" s="140"/>
      <c r="J143" s="328">
        <f>H143/DAY(B2)</f>
        <v>-12.946499999999991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'19'!F144</f>
        <v>866786</v>
      </c>
      <c r="F144" s="149">
        <v>867024</v>
      </c>
      <c r="G144" s="112">
        <f t="shared" si="11"/>
        <v>238</v>
      </c>
      <c r="H144" s="99">
        <f>G144+'19'!H144</f>
        <v>-2646</v>
      </c>
      <c r="I144" s="140"/>
      <c r="J144" s="328">
        <f>H144/DAY(B2)</f>
        <v>-132.30000000000001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'19'!F145</f>
        <v>4336.97</v>
      </c>
      <c r="F145" s="149">
        <v>4365.04</v>
      </c>
      <c r="G145" s="112">
        <f t="shared" si="11"/>
        <v>28.069999999999709</v>
      </c>
      <c r="H145" s="99">
        <f>G145+'19'!H145</f>
        <v>-192.96000000000004</v>
      </c>
      <c r="I145" s="140"/>
      <c r="J145" s="328">
        <f>H145/DAY(B2)</f>
        <v>-9.6480000000000015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'19'!F146</f>
        <v>719016</v>
      </c>
      <c r="F146" s="148">
        <v>719483</v>
      </c>
      <c r="G146" s="112">
        <f t="shared" si="11"/>
        <v>467</v>
      </c>
      <c r="H146" s="99">
        <f>G146+'19'!H146</f>
        <v>-5375</v>
      </c>
      <c r="I146" s="140"/>
      <c r="J146" s="328">
        <f>H146/DAY(B2)</f>
        <v>-268.75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'19'!F147</f>
        <v>610354.43999999994</v>
      </c>
      <c r="F147" s="148">
        <v>610730.52</v>
      </c>
      <c r="G147" s="112">
        <f t="shared" si="11"/>
        <v>376.08000000007451</v>
      </c>
      <c r="H147" s="99">
        <f>G147+'19'!H147</f>
        <v>-4551.4799999999814</v>
      </c>
      <c r="I147" s="140"/>
      <c r="J147" s="328">
        <f>H147/DAY(B2)</f>
        <v>-227.57399999999907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'19'!F148</f>
        <v>679520.75</v>
      </c>
      <c r="F148" s="150">
        <v>679800.4</v>
      </c>
      <c r="G148" s="112">
        <f t="shared" si="11"/>
        <v>279.65000000002328</v>
      </c>
      <c r="H148" s="99">
        <f>G148+'19'!H148</f>
        <v>-3232.7199999999721</v>
      </c>
      <c r="I148" s="124"/>
      <c r="J148" s="328">
        <f>H148/DAY(B2)</f>
        <v>-161.6359999999986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'19'!F149</f>
        <v>4030</v>
      </c>
      <c r="F149" s="146">
        <v>4621.4799999999996</v>
      </c>
      <c r="G149" s="112">
        <f t="shared" si="11"/>
        <v>591.47999999999956</v>
      </c>
      <c r="H149" s="99">
        <f>G149+'19'!H149</f>
        <v>8673.739999999998</v>
      </c>
      <c r="I149" s="119"/>
      <c r="J149" s="328">
        <f>H149/DAY(B2)</f>
        <v>433.6869999999999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'19'!F150</f>
        <v>1329.32</v>
      </c>
      <c r="F150" s="233">
        <v>1555.79</v>
      </c>
      <c r="G150" s="112">
        <f t="shared" si="11"/>
        <v>226.47000000000003</v>
      </c>
      <c r="H150" s="99">
        <f>G150+'19'!H150</f>
        <v>-2496.21</v>
      </c>
      <c r="I150" s="119"/>
      <c r="J150" s="328">
        <f>H150/DAY(B2)</f>
        <v>-124.8105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'19'!F151</f>
        <v>75412</v>
      </c>
      <c r="F151" s="233">
        <v>75645</v>
      </c>
      <c r="G151" s="112">
        <f t="shared" si="11"/>
        <v>233</v>
      </c>
      <c r="H151" s="99">
        <f>G151+'19'!H151</f>
        <v>-2572</v>
      </c>
      <c r="I151" s="119"/>
      <c r="J151" s="328">
        <f>H151/DAY(B2)</f>
        <v>-128.6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'19'!F152</f>
        <v>528.4</v>
      </c>
      <c r="F152" s="233">
        <v>578.74</v>
      </c>
      <c r="G152" s="112">
        <f t="shared" si="11"/>
        <v>50.340000000000032</v>
      </c>
      <c r="H152" s="99">
        <f>G152+'19'!H152</f>
        <v>-548.26</v>
      </c>
      <c r="I152" s="119"/>
      <c r="J152" s="328">
        <f>H152/DAY(B2)</f>
        <v>-27.413</v>
      </c>
    </row>
    <row r="153" spans="1:10" ht="27.75" x14ac:dyDescent="0.5">
      <c r="A153" s="588" t="s">
        <v>108</v>
      </c>
      <c r="B153" s="365"/>
      <c r="C153" s="365"/>
      <c r="D153" s="117"/>
      <c r="E153" s="95"/>
      <c r="F153" s="233"/>
      <c r="G153" s="112">
        <f>SUM(G138:G152)</f>
        <v>2909.2000000001017</v>
      </c>
      <c r="H153" s="99"/>
      <c r="I153" s="119">
        <f>G153-(G38+G52)</f>
        <v>934.10000000009586</v>
      </c>
      <c r="J153" s="328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'19'!F155</f>
        <v>4855</v>
      </c>
      <c r="F155" s="374">
        <v>5454.77</v>
      </c>
      <c r="G155" s="112">
        <f t="shared" ref="G155:G158" si="12">F155-E155</f>
        <v>599.77000000000044</v>
      </c>
      <c r="H155" s="99">
        <f>G155+'19'!H155</f>
        <v>-8017.23</v>
      </c>
      <c r="I155" s="364"/>
      <c r="J155" s="328">
        <f>H155/DAY(B2)</f>
        <v>-400.86149999999998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'19'!F156</f>
        <v>397</v>
      </c>
      <c r="F156" s="155">
        <v>442</v>
      </c>
      <c r="G156" s="112">
        <f t="shared" si="12"/>
        <v>45</v>
      </c>
      <c r="H156" s="99">
        <f>G156+'19'!H156</f>
        <v>-646</v>
      </c>
      <c r="I156" s="165"/>
      <c r="J156" s="328">
        <f>H156/DAY(B2)</f>
        <v>-32.299999999999997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'19'!F157</f>
        <v>420.13</v>
      </c>
      <c r="F157" s="155">
        <v>488.7</v>
      </c>
      <c r="G157" s="112">
        <f t="shared" si="12"/>
        <v>68.569999999999993</v>
      </c>
      <c r="H157" s="99">
        <f>G157+'19'!H157</f>
        <v>68.569999999999993</v>
      </c>
      <c r="I157" s="165"/>
      <c r="J157" s="328">
        <f>H157/DAY(B2)</f>
        <v>3.4284999999999997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'19'!F158</f>
        <v>0</v>
      </c>
      <c r="F158" s="155">
        <v>0.83</v>
      </c>
      <c r="G158" s="112">
        <f t="shared" si="12"/>
        <v>0.83</v>
      </c>
      <c r="H158" s="99">
        <f>G158+'19'!H158</f>
        <v>0.83</v>
      </c>
      <c r="I158" s="165"/>
      <c r="J158" s="328">
        <f>H158/DAY(B2)</f>
        <v>4.1499999999999995E-2</v>
      </c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471140.92</v>
      </c>
      <c r="F161" s="235">
        <v>471143.8</v>
      </c>
      <c r="G161" s="238">
        <f t="shared" ref="G161:G166" si="13">F161-E161</f>
        <v>2.8800000000046566</v>
      </c>
      <c r="H161" s="99">
        <f>G161+'19'!H161</f>
        <v>-9.3599999999860302</v>
      </c>
      <c r="I161" s="236"/>
      <c r="J161" s="239">
        <f>H161/DAY(B2)</f>
        <v>-0.46799999999930153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87215.5</v>
      </c>
      <c r="F162" s="235">
        <v>87247.8</v>
      </c>
      <c r="G162" s="238">
        <f t="shared" si="13"/>
        <v>32.30000000000291</v>
      </c>
      <c r="H162" s="99">
        <f>G162+'19'!H162</f>
        <v>-322.19999999999709</v>
      </c>
      <c r="I162" s="236"/>
      <c r="J162" s="239">
        <f>H162/DAY(B2)</f>
        <v>-16.109999999999854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77042.7</v>
      </c>
      <c r="F163" s="235">
        <v>77106.8</v>
      </c>
      <c r="G163" s="238">
        <f t="shared" si="13"/>
        <v>64.100000000005821</v>
      </c>
      <c r="H163" s="99">
        <f>G163+'19'!H163</f>
        <v>-718.19999999999709</v>
      </c>
      <c r="I163" s="236"/>
      <c r="J163" s="239">
        <f>H163/DAY(B2)</f>
        <v>-35.909999999999854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4193.3</v>
      </c>
      <c r="F164" s="235">
        <v>4200.8</v>
      </c>
      <c r="G164" s="238">
        <f t="shared" si="13"/>
        <v>7.5</v>
      </c>
      <c r="H164" s="99">
        <f>G164+'19'!H164</f>
        <v>-41.199999999999818</v>
      </c>
      <c r="I164" s="236"/>
      <c r="J164" s="239">
        <f>H164/DAY(B2)</f>
        <v>-2.0599999999999907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29560.47</v>
      </c>
      <c r="F165" s="235">
        <v>29569.55</v>
      </c>
      <c r="G165" s="238">
        <f t="shared" si="13"/>
        <v>9.0799999999981083</v>
      </c>
      <c r="H165" s="99">
        <f>G165+'19'!H165</f>
        <v>-76.450000000000728</v>
      </c>
      <c r="I165" s="236"/>
      <c r="J165" s="239">
        <f>H165/DAY(B2)</f>
        <v>-3.8225000000000362</v>
      </c>
    </row>
    <row r="166" spans="1:10" ht="29.25" x14ac:dyDescent="0.5">
      <c r="A166" s="822"/>
      <c r="B166" s="82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'19'!F173</f>
        <v>8110</v>
      </c>
      <c r="F173" s="155">
        <v>8110</v>
      </c>
      <c r="G173" s="155">
        <f>F173-E173</f>
        <v>0</v>
      </c>
      <c r="H173" s="99">
        <f>G173+'19'!H173</f>
        <v>-16</v>
      </c>
      <c r="I173" s="155"/>
      <c r="J173" s="178">
        <f>H173/DAY(B2)</f>
        <v>-0.8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'19'!F174</f>
        <v>38114</v>
      </c>
      <c r="F174" s="157">
        <v>38131</v>
      </c>
      <c r="G174" s="155">
        <f t="shared" ref="G174:G175" si="14">F174-E174</f>
        <v>17</v>
      </c>
      <c r="H174" s="99">
        <f>G174+'19'!H174</f>
        <v>-162</v>
      </c>
      <c r="I174" s="155"/>
      <c r="J174" s="178">
        <f>H174/DAY(B2)</f>
        <v>-8.1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'19'!F175</f>
        <v>21380</v>
      </c>
      <c r="F175" s="155">
        <v>21392</v>
      </c>
      <c r="G175" s="155">
        <f t="shared" si="14"/>
        <v>12</v>
      </c>
      <c r="H175" s="99">
        <f>G175+'19'!H175</f>
        <v>-126</v>
      </c>
      <c r="I175" s="155"/>
      <c r="J175" s="178">
        <f>H175/DAY(B2)</f>
        <v>-6.3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29</v>
      </c>
      <c r="H176" s="99">
        <f>G176+'19'!H176</f>
        <v>-304</v>
      </c>
      <c r="I176" s="155"/>
      <c r="J176" s="178">
        <f>H176/DAY(B2)</f>
        <v>-15.2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'19'!F178</f>
        <v>78788</v>
      </c>
      <c r="F178" s="155">
        <v>78855</v>
      </c>
      <c r="G178" s="155">
        <f>F178-E178</f>
        <v>67</v>
      </c>
      <c r="H178" s="99">
        <f>G178+'19'!H178</f>
        <v>-759</v>
      </c>
      <c r="I178" s="155"/>
      <c r="J178" s="178">
        <f>H178/DAY(B2)</f>
        <v>-37.950000000000003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'19'!F179</f>
        <v>33915</v>
      </c>
      <c r="F179" s="155">
        <v>33915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'19'!F180</f>
        <v>5397</v>
      </c>
      <c r="F180" s="155">
        <v>5398</v>
      </c>
      <c r="G180" s="155">
        <f t="shared" si="15"/>
        <v>1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68</v>
      </c>
      <c r="H181" s="99">
        <f>G181+'19'!H181</f>
        <v>-838</v>
      </c>
      <c r="I181" s="155"/>
      <c r="J181" s="178">
        <f>H181/DAY(B2)</f>
        <v>-41.9</v>
      </c>
    </row>
    <row r="182" spans="1:10" ht="24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26" t="s">
        <v>214</v>
      </c>
      <c r="B183" s="827"/>
      <c r="C183" s="334"/>
      <c r="D183" s="228" t="s">
        <v>142</v>
      </c>
      <c r="E183" s="95">
        <f>'19'!F183</f>
        <v>14773</v>
      </c>
      <c r="F183" s="157">
        <v>14781</v>
      </c>
      <c r="G183" s="157">
        <f>F183-E183</f>
        <v>8</v>
      </c>
      <c r="H183" s="99">
        <f>G183+'19'!H183</f>
        <v>-166</v>
      </c>
      <c r="I183" s="155"/>
      <c r="J183" s="178">
        <f>H183/DAY(B2)</f>
        <v>-8.3000000000000007</v>
      </c>
    </row>
    <row r="184" spans="1:10" ht="24.75" customHeight="1" x14ac:dyDescent="0.5">
      <c r="A184" s="826" t="s">
        <v>215</v>
      </c>
      <c r="B184" s="827"/>
      <c r="C184" s="334"/>
      <c r="D184" s="228" t="s">
        <v>142</v>
      </c>
      <c r="E184" s="95">
        <f>'19'!F184</f>
        <v>10212</v>
      </c>
      <c r="F184" s="157">
        <v>10216</v>
      </c>
      <c r="G184" s="157">
        <f t="shared" ref="G184:G185" si="16">F184-E184</f>
        <v>4</v>
      </c>
      <c r="H184" s="99">
        <f>G184+'19'!H184</f>
        <v>-85</v>
      </c>
      <c r="I184" s="155"/>
      <c r="J184" s="178">
        <f>H184/DAY(B2)</f>
        <v>-4.25</v>
      </c>
    </row>
    <row r="185" spans="1:10" ht="24.75" customHeight="1" x14ac:dyDescent="0.5">
      <c r="A185" s="826" t="s">
        <v>216</v>
      </c>
      <c r="B185" s="82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12</v>
      </c>
      <c r="H186" s="99">
        <f>G186+'19'!H186</f>
        <v>-251</v>
      </c>
      <c r="I186" s="157"/>
      <c r="J186" s="178">
        <f>H186/DAY(B2)</f>
        <v>-12.55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179</v>
      </c>
      <c r="H187" s="99">
        <f>G187+'19'!H187</f>
        <v>-187</v>
      </c>
      <c r="I187" s="158"/>
      <c r="J187" s="179">
        <f>H187/DAY(B2)</f>
        <v>-9.35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136</v>
      </c>
      <c r="H188" s="99">
        <f>G188+'19'!H188</f>
        <v>-3711</v>
      </c>
      <c r="I188" s="158"/>
      <c r="J188" s="179">
        <f>H188/DAY(B2)</f>
        <v>-185.55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68</v>
      </c>
      <c r="H189" s="99">
        <f>G189+'19'!H189</f>
        <v>-2428</v>
      </c>
      <c r="I189" s="158"/>
      <c r="J189" s="179">
        <f>H189/DAY(B2)</f>
        <v>-121.4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45" zoomScale="60" zoomScaleNormal="60" zoomScalePageLayoutView="2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356</v>
      </c>
      <c r="B2" s="262">
        <v>44551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471173</v>
      </c>
      <c r="F7" s="95">
        <f>E7+23500</f>
        <v>494673</v>
      </c>
      <c r="G7" s="112">
        <f>F7-E7</f>
        <v>23500</v>
      </c>
      <c r="H7" s="99">
        <f>G7+'20'!H7</f>
        <v>400112</v>
      </c>
      <c r="I7" s="113">
        <f>'1'!I7</f>
        <v>12000</v>
      </c>
      <c r="J7" s="175">
        <f>H7/DAY(B2)</f>
        <v>19052.952380952382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522797.83</v>
      </c>
      <c r="F8" s="95">
        <f>E8+23500</f>
        <v>546297.83000000007</v>
      </c>
      <c r="G8" s="115">
        <f>F8-E8</f>
        <v>23500.000000000058</v>
      </c>
      <c r="H8" s="99">
        <f>G8+'20'!H8</f>
        <v>405412.83000000007</v>
      </c>
      <c r="I8" s="116"/>
      <c r="J8" s="175">
        <f>H8/DAY(B2)</f>
        <v>19305.372857142862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137695.53</v>
      </c>
      <c r="F9" s="601">
        <f>E9+14000</f>
        <v>151695.53</v>
      </c>
      <c r="G9" s="112">
        <f>F9-E9</f>
        <v>14000</v>
      </c>
      <c r="H9" s="99">
        <f>G9+'20'!H9</f>
        <v>250200.53</v>
      </c>
      <c r="I9" s="124">
        <f>I7-J7</f>
        <v>-7052.9523809523816</v>
      </c>
      <c r="J9" s="175">
        <f>H9/DAY(B2)</f>
        <v>11914.310952380953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66422.179999999993</v>
      </c>
      <c r="F10" s="353">
        <f>E10+4500</f>
        <v>70922.179999999993</v>
      </c>
      <c r="G10" s="112">
        <f t="shared" ref="G10:G12" si="0">F10-E10</f>
        <v>4500</v>
      </c>
      <c r="H10" s="99">
        <f>G10+'20'!H10</f>
        <v>125828.18</v>
      </c>
      <c r="I10" s="282"/>
      <c r="J10" s="175">
        <f>H10/DAY(B2)</f>
        <v>5991.8180952380953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33300</v>
      </c>
      <c r="I11" s="282"/>
      <c r="J11" s="175">
        <f>H11/DAY(B2)</f>
        <v>1585.7142857142858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36009</v>
      </c>
      <c r="I12" s="282"/>
      <c r="J12" s="175">
        <f>H12/DAY(B2)</f>
        <v>1714.7142857142858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G13+'20'!H13</f>
        <v>425872.4599999999</v>
      </c>
      <c r="I13" s="120">
        <f>G7-G13</f>
        <v>5000</v>
      </c>
      <c r="J13" s="175">
        <f>H13/DAY(B2)</f>
        <v>20279.640952380949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1896422</v>
      </c>
      <c r="F15" s="123">
        <f>E15+1100</f>
        <v>1897522</v>
      </c>
      <c r="G15" s="112">
        <f>(F15-E15)</f>
        <v>1100</v>
      </c>
      <c r="H15" s="99">
        <f>G15+'20'!H15</f>
        <v>19092</v>
      </c>
      <c r="I15" s="113">
        <f>'1'!I15</f>
        <v>800</v>
      </c>
      <c r="J15" s="175">
        <f>H15/DAY(B2)</f>
        <v>909.14285714285711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-109.14285714285711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'20'!F18</f>
        <v>34</v>
      </c>
      <c r="F18" s="122">
        <f>E18+12</f>
        <v>46</v>
      </c>
      <c r="G18" s="119">
        <f>F18*10</f>
        <v>460</v>
      </c>
      <c r="H18" s="99">
        <f>G18+'20'!H18</f>
        <v>2940</v>
      </c>
      <c r="I18" s="113">
        <f>'1'!I18</f>
        <v>65</v>
      </c>
      <c r="J18" s="175">
        <f>H18/DAY(B2)</f>
        <v>140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'20'!F19</f>
        <v>153289</v>
      </c>
      <c r="F19" s="122">
        <f>E19+55</f>
        <v>153344</v>
      </c>
      <c r="G19" s="112">
        <f t="shared" ref="G19" si="1">F19-E19</f>
        <v>55</v>
      </c>
      <c r="H19" s="99">
        <f>G19+'20'!H19</f>
        <v>1119</v>
      </c>
      <c r="I19" s="335"/>
      <c r="J19" s="175">
        <f>H19/DAY(B2)</f>
        <v>53.285714285714285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515</v>
      </c>
      <c r="H20" s="99">
        <f>G20+'20'!H20</f>
        <v>4059</v>
      </c>
      <c r="I20" s="336">
        <f>I18-J20</f>
        <v>-128.28571428571428</v>
      </c>
      <c r="J20" s="175">
        <f>H20/DAY(B2)</f>
        <v>193.28571428571428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250</v>
      </c>
      <c r="I23" s="118"/>
      <c r="J23" s="175">
        <f>H23/DAY(B2)</f>
        <v>11.904761904761905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250</v>
      </c>
      <c r="I24" s="118"/>
      <c r="J24" s="175">
        <f>H24/DAY(B2)</f>
        <v>11.904761904761905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23500.000000000058</v>
      </c>
      <c r="F27" s="136">
        <v>9</v>
      </c>
      <c r="G27" s="137">
        <f>E27*F27</f>
        <v>211500.00000000052</v>
      </c>
      <c r="H27" s="99">
        <f>G27+'20'!H27</f>
        <v>3648715.4700000007</v>
      </c>
      <c r="I27" s="138"/>
      <c r="J27" s="175">
        <f>H27/DAY(B2)</f>
        <v>173748.35571428575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992784</v>
      </c>
      <c r="I28" s="140"/>
      <c r="J28" s="175">
        <f>H28/DAY(B2)</f>
        <v>47275.428571428572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17250</v>
      </c>
      <c r="I29" s="140"/>
      <c r="J29" s="175">
        <f>H29/DAY(B2)</f>
        <v>821.42857142857144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163374</v>
      </c>
      <c r="I30" s="140"/>
      <c r="J30" s="175">
        <f>H30/DAY(B2)</f>
        <v>7779.7142857142853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460</v>
      </c>
      <c r="F31" s="136">
        <v>80</v>
      </c>
      <c r="G31" s="137">
        <f>E31*F31</f>
        <v>36800</v>
      </c>
      <c r="H31" s="99">
        <f>G31+'20'!H31</f>
        <v>235200</v>
      </c>
      <c r="I31" s="140"/>
      <c r="J31" s="175">
        <f>H31/DAY(B2)</f>
        <v>11200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313530.00000000052</v>
      </c>
      <c r="H32" s="99">
        <f>G32+'20'!H32</f>
        <v>5057323.4700000016</v>
      </c>
      <c r="I32" s="144"/>
      <c r="J32" s="175">
        <f>H32/DAY(B2)</f>
        <v>240824.92714285722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133715.63</v>
      </c>
      <c r="F35" s="145">
        <v>135332.18</v>
      </c>
      <c r="G35" s="112">
        <f t="shared" ref="G35:G46" si="3">F35-E35</f>
        <v>1616.5499999999884</v>
      </c>
      <c r="H35" s="99">
        <f>G35+'20'!H35</f>
        <v>150532.18</v>
      </c>
      <c r="I35" s="95"/>
      <c r="J35" s="175">
        <f>H35/DAY(B2)</f>
        <v>7168.1990476190476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11187.36</v>
      </c>
      <c r="F36" s="145">
        <v>12225.39</v>
      </c>
      <c r="G36" s="112">
        <f t="shared" si="3"/>
        <v>1038.0299999999988</v>
      </c>
      <c r="H36" s="99">
        <f>G36+'20'!H36</f>
        <v>-9301.61</v>
      </c>
      <c r="I36" s="95"/>
      <c r="J36" s="175">
        <f>H36/DAY(B2)</f>
        <v>-442.93380952380954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177881.65</v>
      </c>
      <c r="F37" s="504">
        <v>179507.15</v>
      </c>
      <c r="G37" s="112">
        <f t="shared" si="3"/>
        <v>1625.5</v>
      </c>
      <c r="H37" s="99">
        <f>G37+'20'!H37</f>
        <v>191719.15</v>
      </c>
      <c r="I37" s="95"/>
      <c r="J37" s="175">
        <f>H37/DAY(B2)</f>
        <v>9129.4833333333336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211328.03</v>
      </c>
      <c r="F38" s="108">
        <v>213221.87</v>
      </c>
      <c r="G38" s="112">
        <f t="shared" si="3"/>
        <v>1893.8399999999965</v>
      </c>
      <c r="H38" s="99">
        <f>G38+'20'!H38</f>
        <v>226421.87</v>
      </c>
      <c r="I38" s="95"/>
      <c r="J38" s="175">
        <f>H38/DAY(B2)</f>
        <v>10781.993809523809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380625.63</v>
      </c>
      <c r="F39" s="504">
        <v>383436.23</v>
      </c>
      <c r="G39" s="112">
        <f t="shared" si="3"/>
        <v>2810.5999999999767</v>
      </c>
      <c r="H39" s="99">
        <f>G39+'20'!H39</f>
        <v>405118.23</v>
      </c>
      <c r="I39" s="95"/>
      <c r="J39" s="175">
        <f>H39/DAY(B2)</f>
        <v>19291.344285714284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206.68</v>
      </c>
      <c r="F40" s="145">
        <v>863.05</v>
      </c>
      <c r="G40" s="112">
        <f t="shared" si="3"/>
        <v>656.36999999999989</v>
      </c>
      <c r="H40" s="99">
        <f>G40+'20'!H40</f>
        <v>-4206.8</v>
      </c>
      <c r="I40" s="95"/>
      <c r="J40" s="175">
        <f>H40/DAY(B2)</f>
        <v>-200.32380952380953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29584.51</v>
      </c>
      <c r="F42" s="145">
        <v>34250.589999999997</v>
      </c>
      <c r="G42" s="112">
        <f t="shared" si="3"/>
        <v>4666.0799999999981</v>
      </c>
      <c r="H42" s="99">
        <f>G42+'20'!H42</f>
        <v>-39558.410000000003</v>
      </c>
      <c r="I42" s="95"/>
      <c r="J42" s="175">
        <f>H42/DAY(B2)</f>
        <v>-1883.7338095238097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18230.59</v>
      </c>
      <c r="F43" s="145">
        <v>20922.75</v>
      </c>
      <c r="G43" s="112">
        <f t="shared" si="3"/>
        <v>2692.16</v>
      </c>
      <c r="H43" s="99">
        <f>G43+'20'!H43</f>
        <v>-26338.249999999996</v>
      </c>
      <c r="I43" s="95"/>
      <c r="J43" s="175">
        <f>H43/DAY(B2)</f>
        <v>-1254.2023809523807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16999.129999999957</v>
      </c>
      <c r="H47" s="99">
        <f>G47+'20'!H47</f>
        <v>894386.36</v>
      </c>
      <c r="I47" s="95"/>
      <c r="J47" s="175">
        <f>H47/DAY(B2)</f>
        <v>42589.826666666668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255613.45</v>
      </c>
      <c r="F49" s="145">
        <v>257146.11</v>
      </c>
      <c r="G49" s="112">
        <f t="shared" ref="G49:G58" si="4">F49-E49</f>
        <v>1532.6599999999744</v>
      </c>
      <c r="H49" s="99">
        <f>G49+'20'!H49</f>
        <v>270267.11000000004</v>
      </c>
      <c r="I49" s="95"/>
      <c r="J49" s="175">
        <f>H49/DAY(B2)</f>
        <v>12869.862380952383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11973.2</v>
      </c>
      <c r="F50" s="145">
        <v>13089.88</v>
      </c>
      <c r="G50" s="112">
        <f t="shared" si="4"/>
        <v>1116.6799999999985</v>
      </c>
      <c r="H50" s="99">
        <f>G50+'20'!H50</f>
        <v>-11560.120000000003</v>
      </c>
      <c r="I50" s="95"/>
      <c r="J50" s="175">
        <f>H50/DAY(B2)</f>
        <v>-550.48190476190484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3135.28</v>
      </c>
      <c r="F54" s="145">
        <v>3139.76</v>
      </c>
      <c r="G54" s="112">
        <f t="shared" si="4"/>
        <v>4.4800000000000182</v>
      </c>
      <c r="H54" s="99">
        <f>G54+'20'!H54</f>
        <v>4906.84</v>
      </c>
      <c r="I54" s="95"/>
      <c r="J54" s="175">
        <f>H54/DAY(B2)</f>
        <v>233.65904761904761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-3511</v>
      </c>
      <c r="I55" s="95"/>
      <c r="J55" s="175">
        <f>H55/DAY(B2)</f>
        <v>-167.1904761904762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4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89908.87</v>
      </c>
      <c r="F58" s="145">
        <v>90130.03</v>
      </c>
      <c r="G58" s="112">
        <f t="shared" si="4"/>
        <v>221.16000000000349</v>
      </c>
      <c r="H58" s="99">
        <f>G58+'20'!H58</f>
        <v>90470.66</v>
      </c>
      <c r="I58" s="95"/>
      <c r="J58" s="175">
        <f>H58/DAY(B2)</f>
        <v>4308.126666666667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2874.9799999999764</v>
      </c>
      <c r="H59" s="99">
        <f>G59+'20'!H59</f>
        <v>350573.49</v>
      </c>
      <c r="I59" s="95">
        <f>G7-G60</f>
        <v>3625.8900000000649</v>
      </c>
      <c r="J59" s="175">
        <f>H59/DAY(B2)</f>
        <v>16693.975714285712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19874.109999999935</v>
      </c>
      <c r="H60" s="99">
        <f>G60+'20'!H60</f>
        <v>1244959.8499999996</v>
      </c>
      <c r="I60" s="95">
        <f>G13-G60</f>
        <v>-1374.1099999999351</v>
      </c>
      <c r="J60" s="175">
        <f>H60/DAY(B2)</f>
        <v>59283.802380952366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'20'!F62</f>
        <v>265962</v>
      </c>
      <c r="F62" s="122">
        <v>266079</v>
      </c>
      <c r="G62" s="112">
        <f t="shared" ref="G62:G63" si="5">F62-E62</f>
        <v>117</v>
      </c>
      <c r="H62" s="99">
        <f>G62+'20'!H62</f>
        <v>-1134</v>
      </c>
      <c r="I62" s="118"/>
      <c r="J62" s="175">
        <f>H62/DAY(B2)</f>
        <v>-54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'20'!F63</f>
        <v>211496</v>
      </c>
      <c r="F63" s="150">
        <v>211568</v>
      </c>
      <c r="G63" s="112">
        <f t="shared" si="5"/>
        <v>72</v>
      </c>
      <c r="H63" s="99">
        <f>G63+'20'!H63</f>
        <v>-857</v>
      </c>
      <c r="I63" s="118"/>
      <c r="J63" s="175">
        <f>H63/DAY(B2)</f>
        <v>-40.80952380952381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'20'!F64</f>
        <v>0</v>
      </c>
      <c r="F64" s="122"/>
      <c r="G64" s="112">
        <f>G62+G63</f>
        <v>189</v>
      </c>
      <c r="H64" s="99">
        <f>G64+'20'!H64</f>
        <v>-1991</v>
      </c>
      <c r="I64" s="118"/>
      <c r="J64" s="175">
        <f>H64/DAY(B2)</f>
        <v>-94.80952380952381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'20'!F65</f>
        <v>431486</v>
      </c>
      <c r="F65" s="122">
        <v>431583</v>
      </c>
      <c r="G65" s="112">
        <f t="shared" ref="G65:G70" si="6">F65-E65</f>
        <v>97</v>
      </c>
      <c r="H65" s="99">
        <f>G65+'20'!H65</f>
        <v>-1031</v>
      </c>
      <c r="I65" s="118"/>
      <c r="J65" s="175">
        <f>H65/DAY(B2)</f>
        <v>-49.095238095238095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106990</v>
      </c>
      <c r="F66" s="122">
        <v>107007</v>
      </c>
      <c r="G66" s="112">
        <f t="shared" si="6"/>
        <v>17</v>
      </c>
      <c r="H66" s="99">
        <f>G66+'20'!H66</f>
        <v>-207</v>
      </c>
      <c r="I66" s="118"/>
      <c r="J66" s="175">
        <f>H66/DAY(B2)</f>
        <v>-9.8571428571428577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103598</v>
      </c>
      <c r="F67" s="122">
        <v>103625</v>
      </c>
      <c r="G67" s="112">
        <f t="shared" si="6"/>
        <v>27</v>
      </c>
      <c r="H67" s="99">
        <f>G67+'20'!H67</f>
        <v>-303</v>
      </c>
      <c r="I67" s="118"/>
      <c r="J67" s="175">
        <f>H67/DAY(B2)</f>
        <v>-14.428571428571429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156249</v>
      </c>
      <c r="F68" s="122">
        <v>156284</v>
      </c>
      <c r="G68" s="112">
        <f t="shared" si="6"/>
        <v>35</v>
      </c>
      <c r="H68" s="99">
        <f>G68+'20'!H68</f>
        <v>-336</v>
      </c>
      <c r="I68" s="118"/>
      <c r="J68" s="175">
        <f>H68/DAY(B2)</f>
        <v>-16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10078</v>
      </c>
      <c r="F69" s="122">
        <v>10087</v>
      </c>
      <c r="G69" s="112">
        <f t="shared" si="6"/>
        <v>9</v>
      </c>
      <c r="H69" s="99">
        <f>G69+'20'!H69</f>
        <v>-127</v>
      </c>
      <c r="I69" s="118"/>
      <c r="J69" s="175">
        <f>H69/DAY(B2)</f>
        <v>-6.0476190476190474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7763</v>
      </c>
      <c r="F70" s="122">
        <v>7771</v>
      </c>
      <c r="G70" s="112">
        <f t="shared" si="6"/>
        <v>8</v>
      </c>
      <c r="H70" s="99">
        <f>G70+'20'!H70</f>
        <v>-91</v>
      </c>
      <c r="I70" s="118"/>
      <c r="J70" s="175">
        <f>H70/DAY(B2)</f>
        <v>-4.333333333333333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193</v>
      </c>
      <c r="H71" s="99">
        <f>G71+'20'!H71</f>
        <v>-2095</v>
      </c>
      <c r="I71" s="154"/>
      <c r="J71" s="175">
        <f>H71/DAY(B2)</f>
        <v>-99.761904761904759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'20'!F74</f>
        <v>888574</v>
      </c>
      <c r="F74" s="123">
        <v>888895.21</v>
      </c>
      <c r="G74" s="112">
        <f t="shared" ref="G74:G78" si="7">F74-E74</f>
        <v>321.20999999996275</v>
      </c>
      <c r="H74" s="99">
        <f>G74+'20'!H74</f>
        <v>-3136.7900000000373</v>
      </c>
      <c r="I74" s="154"/>
      <c r="J74" s="175">
        <f>H74/DAY(B2)</f>
        <v>-149.37095238095415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243.88999999999942</v>
      </c>
      <c r="I75" s="154"/>
      <c r="J75" s="175">
        <f>H75/DAY(B2)</f>
        <v>11.613809523809497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'20'!F76</f>
        <v>166014.25</v>
      </c>
      <c r="F76" s="123">
        <v>166125.73000000001</v>
      </c>
      <c r="G76" s="112">
        <f t="shared" si="7"/>
        <v>111.48000000001048</v>
      </c>
      <c r="H76" s="99">
        <f>G76+'20'!H76</f>
        <v>-1081.2699999999895</v>
      </c>
      <c r="I76" s="154"/>
      <c r="J76" s="175">
        <f>H76/DAY(B2)</f>
        <v>-51.48904761904712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'20'!F77</f>
        <v>39796</v>
      </c>
      <c r="F77" s="123">
        <v>39851</v>
      </c>
      <c r="G77" s="112">
        <f t="shared" si="7"/>
        <v>55</v>
      </c>
      <c r="H77" s="99">
        <f>G77+'20'!H77</f>
        <v>-465</v>
      </c>
      <c r="I77" s="154"/>
      <c r="J77" s="175">
        <f>H77/DAY(B2)</f>
        <v>-22.142857142857142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'20'!F78</f>
        <v>9466</v>
      </c>
      <c r="F78" s="123">
        <v>9467</v>
      </c>
      <c r="G78" s="112">
        <f t="shared" si="7"/>
        <v>1</v>
      </c>
      <c r="H78" s="99">
        <f>G78+'20'!H78</f>
        <v>-19</v>
      </c>
      <c r="I78" s="118"/>
      <c r="J78" s="175">
        <f>H78/DAY(B2)</f>
        <v>-0.90476190476190477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'20'!F79</f>
        <v>0</v>
      </c>
      <c r="F79" s="123"/>
      <c r="G79" s="112">
        <f>G15-SUM(G74:G78)</f>
        <v>611.31000000002678</v>
      </c>
      <c r="H79" s="99">
        <f>G79+'20'!H79</f>
        <v>23550.170000000027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</v>
      </c>
      <c r="F84" s="164">
        <v>41675.4</v>
      </c>
      <c r="G84" s="112">
        <f t="shared" si="8"/>
        <v>0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1868</v>
      </c>
      <c r="F85" s="164">
        <v>1892.37</v>
      </c>
      <c r="G85" s="112">
        <f t="shared" si="8"/>
        <v>24.369999999999891</v>
      </c>
      <c r="H85" s="99">
        <f>G85+'20'!H85</f>
        <v>-204.19000000000005</v>
      </c>
      <c r="I85" s="118">
        <f>G82+G83+G84+G85</f>
        <v>24.369999999999891</v>
      </c>
      <c r="J85" s="175">
        <f>H85/DAY(B2)</f>
        <v>-9.7233333333333363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-36.529999999998836</v>
      </c>
      <c r="I86" s="118"/>
      <c r="J86" s="175">
        <f>H86/DAY(B2)</f>
        <v>-1.7395238095237542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24005.53</v>
      </c>
      <c r="F88" s="164">
        <v>24005.53</v>
      </c>
      <c r="G88" s="112">
        <f t="shared" si="8"/>
        <v>0</v>
      </c>
      <c r="H88" s="99">
        <f>G88+'20'!H88</f>
        <v>-41.470000000001164</v>
      </c>
      <c r="I88" s="118">
        <f>G86+G87+G88</f>
        <v>0</v>
      </c>
      <c r="J88" s="175">
        <f>H88/DAY(B2)</f>
        <v>-1.9747619047619602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25595.63</v>
      </c>
      <c r="F89" s="164">
        <v>25606.26</v>
      </c>
      <c r="G89" s="112">
        <f t="shared" si="8"/>
        <v>10.629999999997381</v>
      </c>
      <c r="H89" s="99">
        <f>G89+'20'!H89</f>
        <v>-56.740000000001601</v>
      </c>
      <c r="I89" s="118"/>
      <c r="J89" s="175">
        <f>H89/DAY(B2)</f>
        <v>-2.7019047619048382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70969.11</v>
      </c>
      <c r="F90" s="164">
        <v>70975.42</v>
      </c>
      <c r="G90" s="112">
        <f t="shared" si="8"/>
        <v>6.3099999999976717</v>
      </c>
      <c r="H90" s="99">
        <f>G90+'20'!H90</f>
        <v>-58.580000000001746</v>
      </c>
      <c r="I90" s="118">
        <f>G89+G90</f>
        <v>16.939999999995052</v>
      </c>
      <c r="J90" s="175">
        <f>H90/DAY(B2)</f>
        <v>-2.7895238095238928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5317.4</v>
      </c>
      <c r="F92" s="122">
        <v>5328.57</v>
      </c>
      <c r="G92" s="112">
        <f t="shared" si="8"/>
        <v>11.170000000000073</v>
      </c>
      <c r="H92" s="99">
        <f>G92+'20'!H92</f>
        <v>-109.43000000000029</v>
      </c>
      <c r="I92" s="165"/>
      <c r="J92" s="175">
        <f>H92/DAY(B2)</f>
        <v>-5.2109523809523948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5841.3699999999626</v>
      </c>
      <c r="H94" s="99">
        <f>G94+'20'!H94</f>
        <v>394461.04</v>
      </c>
      <c r="I94" s="118"/>
      <c r="J94" s="175">
        <f>H94/DAY(B2)</f>
        <v>18783.859047619047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0.24856893617021117</v>
      </c>
      <c r="H95" s="99">
        <f>G95+'20'!H95</f>
        <v>17.925066944564676</v>
      </c>
      <c r="I95" s="167"/>
      <c r="J95" s="175">
        <f>H95/DAY(B2)</f>
        <v>0.85357461640784171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4666.0799999999981</v>
      </c>
      <c r="H96" s="99">
        <f>G96+'20'!H96</f>
        <v>-43069.41</v>
      </c>
      <c r="I96" s="118"/>
      <c r="J96" s="175">
        <f>H96/DAY(B2)</f>
        <v>-2050.9242857142858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0.19855659574468076</v>
      </c>
      <c r="H97" s="99">
        <f>G97+'20'!H97</f>
        <v>-1.1694083705802538</v>
      </c>
      <c r="I97" s="167"/>
      <c r="J97" s="175">
        <f>H97/DAY(B2)</f>
        <v>-5.5686112884773993E-2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2810.5999999999767</v>
      </c>
      <c r="H98" s="99">
        <f>G98+'20'!H98</f>
        <v>405118.23</v>
      </c>
      <c r="I98" s="168"/>
      <c r="J98" s="175">
        <f>H98/DAY(B2)</f>
        <v>19291.344285714284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0.11959999999999901</v>
      </c>
      <c r="H99" s="99">
        <f>G99+'20'!H99</f>
        <v>17.812764950815303</v>
      </c>
      <c r="I99" s="168"/>
      <c r="J99" s="175">
        <f>H99/DAY(B2)</f>
        <v>0.84822690241977639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1893.8399999999965</v>
      </c>
      <c r="H100" s="99">
        <f>G100+'20'!H100</f>
        <v>226421.87</v>
      </c>
      <c r="I100" s="118"/>
      <c r="J100" s="175">
        <f>H100/DAY(B2)</f>
        <v>10781.993809523809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8.0588936170212622E-2</v>
      </c>
      <c r="H101" s="99">
        <f>G101+'20'!H101</f>
        <v>9.9902246079061676</v>
      </c>
      <c r="I101" s="168"/>
      <c r="J101" s="175">
        <f>H101/DAY(B2)</f>
        <v>0.47572498132886515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2154.7099999999973</v>
      </c>
      <c r="H102" s="99">
        <f>G102+'20'!H102</f>
        <v>-20861.730000000003</v>
      </c>
      <c r="I102" s="168"/>
      <c r="J102" s="175">
        <f>H102/DAY(B2)</f>
        <v>-993.41571428571444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9.1689787234042433E-2</v>
      </c>
      <c r="H103" s="99">
        <f>G103+'20'!H103</f>
        <v>-0.53113926392265443</v>
      </c>
      <c r="I103" s="118"/>
      <c r="J103" s="175">
        <f>H103/DAY(B2)</f>
        <v>-2.5292345901078782E-2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1625.5</v>
      </c>
      <c r="H104" s="99">
        <f>G104+'20'!H104</f>
        <v>191719.15</v>
      </c>
      <c r="I104" s="118"/>
      <c r="J104" s="175">
        <f>H104/DAY(B2)</f>
        <v>9129.4833333333336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6.9170212765957445E-2</v>
      </c>
      <c r="H105" s="99">
        <f>G105+'20'!H105</f>
        <v>8.4908883136261437</v>
      </c>
      <c r="I105" s="187"/>
      <c r="J105" s="188">
        <f>H105/DAY(B2)</f>
        <v>0.40432801493457826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'20'!F112</f>
        <v>54909.440000000002</v>
      </c>
      <c r="F112" s="237">
        <v>54981.62</v>
      </c>
      <c r="G112" s="112">
        <f t="shared" ref="G112:G123" si="9">F112-E112</f>
        <v>72.180000000000291</v>
      </c>
      <c r="H112" s="99">
        <f>G112+'20'!H112</f>
        <v>-699.37999999999738</v>
      </c>
      <c r="I112" s="165"/>
      <c r="J112" s="328">
        <f>H112/DAY(B2)</f>
        <v>-33.303809523809399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'20'!F113</f>
        <v>27206.95</v>
      </c>
      <c r="F113" s="600">
        <v>27650.66</v>
      </c>
      <c r="G113" s="112">
        <f t="shared" si="9"/>
        <v>443.70999999999913</v>
      </c>
      <c r="H113" s="99">
        <f>G113+'20'!H113</f>
        <v>-4544.34</v>
      </c>
      <c r="I113" s="165"/>
      <c r="J113" s="328">
        <f>H113/DAY(B2)</f>
        <v>-216.39714285714285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'20'!F114</f>
        <v>21535.19</v>
      </c>
      <c r="F114" s="237">
        <v>21811.75</v>
      </c>
      <c r="G114" s="112">
        <f t="shared" si="9"/>
        <v>276.56000000000131</v>
      </c>
      <c r="H114" s="99">
        <f>G114+'20'!H114</f>
        <v>-3192.8500000000004</v>
      </c>
      <c r="I114" s="165"/>
      <c r="J114" s="328">
        <f>H114/DAY(B2)</f>
        <v>-152.0404761904762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'20'!F115</f>
        <v>8654.93</v>
      </c>
      <c r="F115" s="237">
        <v>8664.44</v>
      </c>
      <c r="G115" s="112">
        <f t="shared" si="9"/>
        <v>9.5100000000002183</v>
      </c>
      <c r="H115" s="99">
        <f>G115+'20'!H115</f>
        <v>-120.55999999999949</v>
      </c>
      <c r="I115" s="165"/>
      <c r="J115" s="328">
        <f>H115/DAY(B2)</f>
        <v>-5.7409523809523568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'20'!F117</f>
        <v>2341.16</v>
      </c>
      <c r="F117" s="237">
        <v>2366.94</v>
      </c>
      <c r="G117" s="112">
        <f t="shared" si="9"/>
        <v>25.7800000000002</v>
      </c>
      <c r="H117" s="99">
        <f>G117+'20'!H117</f>
        <v>-223.05999999999995</v>
      </c>
      <c r="I117" s="165"/>
      <c r="J117" s="328">
        <f>H117/DAY(B2)</f>
        <v>-10.621904761904759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'20'!F118</f>
        <v>237382.29</v>
      </c>
      <c r="F118" s="237">
        <v>237795.19</v>
      </c>
      <c r="G118" s="112">
        <f t="shared" si="9"/>
        <v>412.89999999999418</v>
      </c>
      <c r="H118" s="99">
        <f>G118+'20'!H118</f>
        <v>-3851.8099999999977</v>
      </c>
      <c r="I118" s="165"/>
      <c r="J118" s="328">
        <f>H118/DAY(B2)</f>
        <v>-183.4195238095237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'20'!F119</f>
        <v>240489.23</v>
      </c>
      <c r="F119" s="237">
        <v>240915.45</v>
      </c>
      <c r="G119" s="112">
        <f t="shared" si="9"/>
        <v>426.22000000000116</v>
      </c>
      <c r="H119" s="99">
        <f>G119+'20'!H119</f>
        <v>-4210.5499999999884</v>
      </c>
      <c r="I119" s="165"/>
      <c r="J119" s="328">
        <f>H119/DAY(B2)</f>
        <v>-200.50238095238041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'20'!F120</f>
        <v>25493.41</v>
      </c>
      <c r="F120" s="600">
        <v>25910.3</v>
      </c>
      <c r="G120" s="112">
        <f t="shared" si="9"/>
        <v>416.88999999999942</v>
      </c>
      <c r="H120" s="99">
        <f>G120+'20'!H120</f>
        <v>-4167.7000000000007</v>
      </c>
      <c r="I120" s="165"/>
      <c r="J120" s="328">
        <f>H120/DAY(B2)</f>
        <v>-198.4619047619048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'20'!F121</f>
        <v>367913.71</v>
      </c>
      <c r="F121" s="237">
        <v>368697.51</v>
      </c>
      <c r="G121" s="112">
        <f t="shared" si="9"/>
        <v>783.79999999998836</v>
      </c>
      <c r="H121" s="99">
        <f>G121+'20'!H121</f>
        <v>-7831.4899999999907</v>
      </c>
      <c r="I121" s="165"/>
      <c r="J121" s="328">
        <f>H121/DAY(B2)</f>
        <v>-372.92809523809478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'20'!F122</f>
        <v>117612.63</v>
      </c>
      <c r="F122" s="237">
        <v>117870.13</v>
      </c>
      <c r="G122" s="112">
        <f t="shared" si="9"/>
        <v>257.5</v>
      </c>
      <c r="H122" s="99">
        <f>G122+'20'!H122</f>
        <v>-2179.8699999999953</v>
      </c>
      <c r="I122" s="165"/>
      <c r="J122" s="328">
        <f>H122/DAY(B2)</f>
        <v>-103.80333333333311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'20'!F123</f>
        <v>141264.28</v>
      </c>
      <c r="F123" s="237">
        <v>141648.82999999999</v>
      </c>
      <c r="G123" s="112">
        <f t="shared" si="9"/>
        <v>384.54999999998836</v>
      </c>
      <c r="H123" s="99">
        <f>G123+'20'!H123</f>
        <v>-3476.1700000000128</v>
      </c>
      <c r="I123" s="165"/>
      <c r="J123" s="328">
        <f>H123/DAY(B2)</f>
        <v>-165.53190476190537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3509.5999999999726</v>
      </c>
      <c r="H125" s="156"/>
      <c r="I125" s="327">
        <f>G125-(G39+G53)</f>
        <v>698.99999999999591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'20'!F128</f>
        <v>34356.51</v>
      </c>
      <c r="F128" s="165">
        <v>34682.300000000003</v>
      </c>
      <c r="G128" s="112">
        <f t="shared" ref="G128:G134" si="10">F128-E128</f>
        <v>325.79000000000087</v>
      </c>
      <c r="H128" s="99">
        <f>G128+'20'!H128</f>
        <v>-3321.6999999999971</v>
      </c>
      <c r="I128" s="165"/>
      <c r="J128" s="328">
        <f>H128/DAY(B2)</f>
        <v>-158.17619047619033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17955.68</v>
      </c>
      <c r="F129" s="165">
        <v>18118.53</v>
      </c>
      <c r="G129" s="112">
        <f t="shared" si="10"/>
        <v>162.84999999999854</v>
      </c>
      <c r="H129" s="99">
        <f>G129+'20'!H129</f>
        <v>-2202.4700000000012</v>
      </c>
      <c r="I129" s="165"/>
      <c r="J129" s="328">
        <f>H129/DAY(B2)</f>
        <v>-104.87952380952386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10100.120000000001</v>
      </c>
      <c r="F130" s="594">
        <v>10812.36</v>
      </c>
      <c r="G130" s="112">
        <f t="shared" si="10"/>
        <v>712.23999999999978</v>
      </c>
      <c r="H130" s="99">
        <f>G130+'20'!H130</f>
        <v>-7569.6399999999994</v>
      </c>
      <c r="I130" s="165"/>
      <c r="J130" s="328">
        <f>H130/DAY(B2)</f>
        <v>-360.45904761904757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'20'!F131</f>
        <v>12095.78</v>
      </c>
      <c r="F131" s="165">
        <v>12207.84</v>
      </c>
      <c r="G131" s="112">
        <f t="shared" si="10"/>
        <v>112.05999999999949</v>
      </c>
      <c r="H131" s="99">
        <f>G131+'20'!H131</f>
        <v>-945.15999999999985</v>
      </c>
      <c r="I131" s="165"/>
      <c r="J131" s="328">
        <f>H131/DAY(B2)</f>
        <v>-45.007619047619038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v>35647.980000000003</v>
      </c>
      <c r="F132" s="165">
        <v>36160.97</v>
      </c>
      <c r="G132" s="112">
        <f t="shared" si="10"/>
        <v>512.98999999999796</v>
      </c>
      <c r="H132" s="99">
        <f>G132+'20'!H132</f>
        <v>-40051.660000000003</v>
      </c>
      <c r="I132" s="165"/>
      <c r="J132" s="328">
        <f>H132/DAY(B2)</f>
        <v>-1907.2219047619049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'20'!F133</f>
        <v>80371.27</v>
      </c>
      <c r="F133" s="165">
        <v>81077.960000000006</v>
      </c>
      <c r="G133" s="112">
        <f t="shared" si="10"/>
        <v>706.69000000000233</v>
      </c>
      <c r="H133" s="99">
        <f>G133+'20'!H133</f>
        <v>-6625.0399999999936</v>
      </c>
      <c r="I133" s="165"/>
      <c r="J133" s="328">
        <f>H133/DAY(B2)</f>
        <v>-315.47809523809491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'20'!F134</f>
        <v>663357</v>
      </c>
      <c r="F134" s="165">
        <v>663614</v>
      </c>
      <c r="G134" s="112">
        <f t="shared" si="10"/>
        <v>257</v>
      </c>
      <c r="H134" s="99">
        <f>G134+'20'!H134</f>
        <v>665908</v>
      </c>
      <c r="I134" s="165"/>
      <c r="J134" s="328">
        <f>H134/DAY(B2)</f>
        <v>31709.904761904763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2789.619999999999</v>
      </c>
      <c r="H135" s="99">
        <f>G135+'10'!H135</f>
        <v>34013.619999999995</v>
      </c>
      <c r="I135" s="327">
        <f>G135-(G35+G49)</f>
        <v>-359.58999999996377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'20'!F138</f>
        <v>862944</v>
      </c>
      <c r="F138" s="147">
        <v>863035</v>
      </c>
      <c r="G138" s="112">
        <f t="shared" ref="G138:G152" si="11">F138-E138</f>
        <v>91</v>
      </c>
      <c r="H138" s="99">
        <f>G138+'20'!H138</f>
        <v>-1136</v>
      </c>
      <c r="I138" s="118"/>
      <c r="J138" s="328">
        <f>H138/DAY(B2)</f>
        <v>-54.095238095238095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'20'!F139</f>
        <v>886456</v>
      </c>
      <c r="F139" s="148">
        <v>886459</v>
      </c>
      <c r="G139" s="112">
        <f t="shared" si="11"/>
        <v>3</v>
      </c>
      <c r="H139" s="99">
        <f>G139+'20'!H139</f>
        <v>-87</v>
      </c>
      <c r="I139" s="118"/>
      <c r="J139" s="328">
        <f>H139/DAY(B2)</f>
        <v>-4.1428571428571432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'20'!F140</f>
        <v>88880.6</v>
      </c>
      <c r="F140" s="149">
        <v>88881.2</v>
      </c>
      <c r="G140" s="112">
        <f t="shared" si="11"/>
        <v>0.59999999999126885</v>
      </c>
      <c r="H140" s="99">
        <f>G140+'20'!H140</f>
        <v>-0.80000000000291038</v>
      </c>
      <c r="I140" s="118"/>
      <c r="J140" s="328">
        <f>H140/DAY(B2)</f>
        <v>-3.8095238095376682E-2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'20'!F141</f>
        <v>47124.61</v>
      </c>
      <c r="F141" s="149">
        <v>47324.58</v>
      </c>
      <c r="G141" s="112">
        <f t="shared" si="11"/>
        <v>199.97000000000116</v>
      </c>
      <c r="H141" s="99">
        <f>G141+'20'!H141</f>
        <v>-1981.4199999999983</v>
      </c>
      <c r="I141" s="118"/>
      <c r="J141" s="328">
        <f>H141/DAY(B2)</f>
        <v>-94.353333333333254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'20'!F142</f>
        <v>18179.09</v>
      </c>
      <c r="F142" s="148">
        <v>18252.310000000001</v>
      </c>
      <c r="G142" s="112">
        <f t="shared" si="11"/>
        <v>73.220000000001164</v>
      </c>
      <c r="H142" s="99">
        <f>G142+'20'!H142</f>
        <v>-756.68999999999869</v>
      </c>
      <c r="I142" s="140"/>
      <c r="J142" s="328">
        <f>H142/DAY(B2)</f>
        <v>-36.032857142857083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'20'!F143</f>
        <v>2802.07</v>
      </c>
      <c r="F143" s="149">
        <v>2827.6</v>
      </c>
      <c r="G143" s="112">
        <f t="shared" si="11"/>
        <v>25.529999999999745</v>
      </c>
      <c r="H143" s="99">
        <f>G143+'20'!H143</f>
        <v>-233.40000000000009</v>
      </c>
      <c r="I143" s="140"/>
      <c r="J143" s="328">
        <f>H143/DAY(B2)</f>
        <v>-11.114285714285719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'20'!F144</f>
        <v>867024</v>
      </c>
      <c r="F144" s="147">
        <v>867266</v>
      </c>
      <c r="G144" s="112">
        <f t="shared" si="11"/>
        <v>242</v>
      </c>
      <c r="H144" s="99">
        <f>G144+'20'!H144</f>
        <v>-2404</v>
      </c>
      <c r="I144" s="140"/>
      <c r="J144" s="328">
        <f>H144/DAY(B2)</f>
        <v>-114.47619047619048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'20'!F145</f>
        <v>4365.04</v>
      </c>
      <c r="F145" s="147">
        <v>4388.93</v>
      </c>
      <c r="G145" s="112">
        <f t="shared" si="11"/>
        <v>23.890000000000327</v>
      </c>
      <c r="H145" s="99">
        <f>G145+'20'!H145</f>
        <v>-169.06999999999971</v>
      </c>
      <c r="I145" s="140"/>
      <c r="J145" s="328">
        <f>H145/DAY(B2)</f>
        <v>-8.0509523809523671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'20'!F146</f>
        <v>719483</v>
      </c>
      <c r="F146" s="148">
        <v>719980</v>
      </c>
      <c r="G146" s="112">
        <f t="shared" si="11"/>
        <v>497</v>
      </c>
      <c r="H146" s="99">
        <f>G146+'20'!H146</f>
        <v>-4878</v>
      </c>
      <c r="I146" s="140"/>
      <c r="J146" s="328">
        <f>H146/DAY(B2)</f>
        <v>-232.28571428571428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'20'!F147</f>
        <v>610730.52</v>
      </c>
      <c r="F147" s="148">
        <v>611137.48</v>
      </c>
      <c r="G147" s="112">
        <f t="shared" si="11"/>
        <v>406.95999999996275</v>
      </c>
      <c r="H147" s="99">
        <f>G147+'20'!H147</f>
        <v>-4144.5200000000186</v>
      </c>
      <c r="I147" s="140"/>
      <c r="J147" s="328">
        <f>H147/DAY(B2)</f>
        <v>-197.35809523809613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'20'!F148</f>
        <v>679800.4</v>
      </c>
      <c r="F148" s="150">
        <v>680078.48</v>
      </c>
      <c r="G148" s="112">
        <f t="shared" si="11"/>
        <v>278.07999999995809</v>
      </c>
      <c r="H148" s="99">
        <f>G148+'20'!H148</f>
        <v>-2954.640000000014</v>
      </c>
      <c r="I148" s="124"/>
      <c r="J148" s="328">
        <f>H148/DAY(B2)</f>
        <v>-140.69714285714352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'20'!F149</f>
        <v>4621.4799999999996</v>
      </c>
      <c r="F149" s="146">
        <v>5177.62</v>
      </c>
      <c r="G149" s="112">
        <f t="shared" si="11"/>
        <v>556.14000000000033</v>
      </c>
      <c r="H149" s="99">
        <f>G149+'20'!H149</f>
        <v>9229.8799999999974</v>
      </c>
      <c r="I149" s="119"/>
      <c r="J149" s="328">
        <f>H149/DAY(B2)</f>
        <v>439.5180952380951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'20'!F150</f>
        <v>1555.79</v>
      </c>
      <c r="F150" s="233">
        <v>1784.62</v>
      </c>
      <c r="G150" s="112">
        <f t="shared" si="11"/>
        <v>228.82999999999993</v>
      </c>
      <c r="H150" s="99">
        <f>G150+'20'!H150</f>
        <v>-2267.38</v>
      </c>
      <c r="I150" s="119"/>
      <c r="J150" s="328">
        <f>H150/DAY(B2)</f>
        <v>-107.97047619047619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'20'!F151</f>
        <v>75645</v>
      </c>
      <c r="F151" s="152">
        <v>75859</v>
      </c>
      <c r="G151" s="112">
        <f t="shared" si="11"/>
        <v>214</v>
      </c>
      <c r="H151" s="99">
        <f>G151+'20'!H151</f>
        <v>-2358</v>
      </c>
      <c r="I151" s="119"/>
      <c r="J151" s="328">
        <f>H151/DAY(B2)</f>
        <v>-112.28571428571429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'20'!F152</f>
        <v>578.74</v>
      </c>
      <c r="F152" s="233">
        <v>638.66999999999996</v>
      </c>
      <c r="G152" s="112">
        <f t="shared" si="11"/>
        <v>59.92999999999995</v>
      </c>
      <c r="H152" s="99">
        <f>G152+'20'!H152</f>
        <v>-488.33000000000004</v>
      </c>
      <c r="I152" s="119"/>
      <c r="J152" s="328">
        <f>H152/DAY(B2)</f>
        <v>-23.253809523809526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2900.1499999999146</v>
      </c>
      <c r="H153" s="363"/>
      <c r="I153" s="119">
        <f>G153-(G38+G52)</f>
        <v>1006.3099999999181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'20'!F155</f>
        <v>5454.77</v>
      </c>
      <c r="F155" s="374">
        <v>6155.09</v>
      </c>
      <c r="G155" s="112">
        <f t="shared" ref="G155:G158" si="12">F155-E155</f>
        <v>700.31999999999971</v>
      </c>
      <c r="H155" s="99">
        <f>G155+'20'!H155</f>
        <v>-7316.91</v>
      </c>
      <c r="I155" s="364"/>
      <c r="J155" s="328">
        <f>H155/DAY(B2)</f>
        <v>-348.4242857142857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'20'!F156</f>
        <v>442</v>
      </c>
      <c r="F156" s="155">
        <v>491.41</v>
      </c>
      <c r="G156" s="112">
        <f t="shared" si="12"/>
        <v>49.410000000000025</v>
      </c>
      <c r="H156" s="99">
        <f>G156+'20'!H156</f>
        <v>-596.58999999999992</v>
      </c>
      <c r="I156" s="165"/>
      <c r="J156" s="328">
        <f>H156/DAY(B2)</f>
        <v>-28.409047619047616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'20'!F157</f>
        <v>488.7</v>
      </c>
      <c r="F157" s="155">
        <v>556.39</v>
      </c>
      <c r="G157" s="112">
        <f t="shared" si="12"/>
        <v>67.69</v>
      </c>
      <c r="H157" s="99">
        <f>G157+'20'!H157</f>
        <v>136.26</v>
      </c>
      <c r="I157" s="165"/>
      <c r="J157" s="328">
        <f>H157/DAY(B2)</f>
        <v>6.4885714285714284</v>
      </c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'20'!F158</f>
        <v>0.83</v>
      </c>
      <c r="F158" s="155">
        <v>0.93</v>
      </c>
      <c r="G158" s="112">
        <f t="shared" si="12"/>
        <v>0.10000000000000009</v>
      </c>
      <c r="H158" s="99">
        <f>G158+'20'!H158</f>
        <v>0.93</v>
      </c>
      <c r="I158" s="165"/>
      <c r="J158" s="328">
        <f>H158/DAY(B2)</f>
        <v>4.4285714285714289E-2</v>
      </c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471143.8</v>
      </c>
      <c r="F161" s="235">
        <v>471146.76</v>
      </c>
      <c r="G161" s="238">
        <f t="shared" ref="G161:G165" si="13">F161-E161</f>
        <v>2.9600000000209548</v>
      </c>
      <c r="H161" s="99">
        <f>G161+'20'!H161</f>
        <v>-6.3999999999650754</v>
      </c>
      <c r="I161" s="236"/>
      <c r="J161" s="239">
        <f>H161/DAY(B2)</f>
        <v>-0.30476190476024168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87247.8</v>
      </c>
      <c r="F162" s="235">
        <v>87281.5</v>
      </c>
      <c r="G162" s="238">
        <f t="shared" si="13"/>
        <v>33.69999999999709</v>
      </c>
      <c r="H162" s="99">
        <f>G162+'20'!H162</f>
        <v>-288.5</v>
      </c>
      <c r="I162" s="236"/>
      <c r="J162" s="239">
        <f>H162/DAY(B2)</f>
        <v>-13.738095238095237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77106.8</v>
      </c>
      <c r="F163" s="637">
        <v>77185.7</v>
      </c>
      <c r="G163" s="238">
        <f t="shared" si="13"/>
        <v>78.899999999994179</v>
      </c>
      <c r="H163" s="99">
        <f>G163+'20'!H163</f>
        <v>-639.30000000000291</v>
      </c>
      <c r="I163" s="236"/>
      <c r="J163" s="239">
        <f>H163/DAY(B2)</f>
        <v>-30.442857142857282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4200.8</v>
      </c>
      <c r="F164" s="637">
        <v>4207.1000000000004</v>
      </c>
      <c r="G164" s="238">
        <f t="shared" si="13"/>
        <v>6.3000000000001819</v>
      </c>
      <c r="H164" s="99">
        <f>G164+'20'!H164</f>
        <v>-34.899999999999636</v>
      </c>
      <c r="I164" s="236"/>
      <c r="J164" s="239">
        <f>H164/DAY(B2)</f>
        <v>-1.6619047619047447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29569.55</v>
      </c>
      <c r="F165" s="235">
        <v>29577.54</v>
      </c>
      <c r="G165" s="238">
        <f t="shared" si="13"/>
        <v>7.9900000000016007</v>
      </c>
      <c r="H165" s="99">
        <f>G165+'20'!H165</f>
        <v>-68.459999999999127</v>
      </c>
      <c r="I165" s="236"/>
      <c r="J165" s="239">
        <f>H165/DAY(B2)</f>
        <v>-3.2599999999999585</v>
      </c>
    </row>
    <row r="166" spans="1:10" ht="29.25" x14ac:dyDescent="0.5">
      <c r="A166" s="822"/>
      <c r="B166" s="82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'20'!F173</f>
        <v>8110</v>
      </c>
      <c r="F173" s="155">
        <v>8110</v>
      </c>
      <c r="G173" s="155">
        <f>F173-E173</f>
        <v>0</v>
      </c>
      <c r="H173" s="99">
        <f>G173+'20'!H173</f>
        <v>-16</v>
      </c>
      <c r="I173" s="155"/>
      <c r="J173" s="178">
        <f>H173/DAY(B2)</f>
        <v>-0.76190476190476186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'20'!F174</f>
        <v>38131</v>
      </c>
      <c r="F174" s="157">
        <v>38147</v>
      </c>
      <c r="G174" s="155">
        <f t="shared" ref="G174:G175" si="14">F174-E174</f>
        <v>16</v>
      </c>
      <c r="H174" s="99">
        <f>G174+'20'!H174</f>
        <v>-146</v>
      </c>
      <c r="I174" s="155"/>
      <c r="J174" s="178">
        <f>H174/DAY(B2)</f>
        <v>-6.9523809523809526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'20'!F175</f>
        <v>21392</v>
      </c>
      <c r="F175" s="155">
        <v>21405</v>
      </c>
      <c r="G175" s="155">
        <f t="shared" si="14"/>
        <v>13</v>
      </c>
      <c r="H175" s="99">
        <f>G175+'20'!H175</f>
        <v>-113</v>
      </c>
      <c r="I175" s="155"/>
      <c r="J175" s="178">
        <f>H175/DAY(B2)</f>
        <v>-5.3809523809523814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29</v>
      </c>
      <c r="H176" s="99">
        <f>G176+'20'!H176</f>
        <v>-275</v>
      </c>
      <c r="I176" s="155"/>
      <c r="J176" s="178">
        <f>H176/DAY(B2)</f>
        <v>-13.095238095238095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'20'!F178</f>
        <v>78855</v>
      </c>
      <c r="F178" s="155">
        <v>78915</v>
      </c>
      <c r="G178" s="155">
        <f>F178-E178</f>
        <v>60</v>
      </c>
      <c r="H178" s="99">
        <f>G178+'20'!H178</f>
        <v>-699</v>
      </c>
      <c r="I178" s="155"/>
      <c r="J178" s="178">
        <f>H178/DAY(B2)</f>
        <v>-33.285714285714285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'20'!F179</f>
        <v>33915</v>
      </c>
      <c r="F179" s="155">
        <v>33915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'20'!F180</f>
        <v>5398</v>
      </c>
      <c r="F180" s="155">
        <v>5409</v>
      </c>
      <c r="G180" s="155">
        <f t="shared" si="15"/>
        <v>11</v>
      </c>
      <c r="H180" s="99">
        <f>G180+'20'!H180</f>
        <v>-68</v>
      </c>
      <c r="I180" s="155"/>
      <c r="J180" s="178">
        <f>H180/DAY(B2)</f>
        <v>-3.2380952380952381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71</v>
      </c>
      <c r="H181" s="99">
        <f>G181+'20'!H181</f>
        <v>-767</v>
      </c>
      <c r="I181" s="155"/>
      <c r="J181" s="178">
        <f>H181/DAY(B2)</f>
        <v>-36.523809523809526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'20'!F183</f>
        <v>14781</v>
      </c>
      <c r="F183" s="157">
        <v>14793</v>
      </c>
      <c r="G183" s="157">
        <f>F183-E183</f>
        <v>12</v>
      </c>
      <c r="H183" s="99">
        <f>G183+'20'!H183</f>
        <v>-154</v>
      </c>
      <c r="I183" s="155"/>
      <c r="J183" s="178">
        <f>H183/DAY(B2)</f>
        <v>-7.333333333333333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'20'!F184</f>
        <v>10216</v>
      </c>
      <c r="F184" s="157">
        <v>10225</v>
      </c>
      <c r="G184" s="157">
        <f t="shared" ref="G184:G185" si="16">F184-E184</f>
        <v>9</v>
      </c>
      <c r="H184" s="99">
        <f>G184+'20'!H184</f>
        <v>-76</v>
      </c>
      <c r="I184" s="155"/>
      <c r="J184" s="178">
        <f>H184/DAY(B2)</f>
        <v>-3.6190476190476191</v>
      </c>
    </row>
    <row r="185" spans="1:10" ht="32.25" customHeight="1" x14ac:dyDescent="0.5">
      <c r="A185" s="826" t="s">
        <v>216</v>
      </c>
      <c r="B185" s="82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21</v>
      </c>
      <c r="H186" s="99">
        <f>G186+'20'!H186</f>
        <v>-230</v>
      </c>
      <c r="I186" s="157"/>
      <c r="J186" s="178">
        <f>H186/DAY(B2)</f>
        <v>-10.952380952380953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172</v>
      </c>
      <c r="H187" s="99">
        <f>G187+'20'!H187</f>
        <v>-15</v>
      </c>
      <c r="I187" s="158"/>
      <c r="J187" s="179">
        <f>H187/DAY(B2)</f>
        <v>-0.7142857142857143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158</v>
      </c>
      <c r="H188" s="99">
        <f>G188+'20'!H188</f>
        <v>-3553</v>
      </c>
      <c r="I188" s="158"/>
      <c r="J188" s="179">
        <f>H188/DAY(B2)</f>
        <v>-169.1904761904762</v>
      </c>
    </row>
    <row r="189" spans="1:10" ht="21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71</v>
      </c>
      <c r="H189" s="99">
        <f>G189+'20'!H189</f>
        <v>-2357</v>
      </c>
      <c r="I189" s="158"/>
      <c r="J189" s="179">
        <f>H189/DAY(B2)</f>
        <v>-112.23809523809524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42" zoomScale="50" zoomScaleNormal="71" zoomScaleSheetLayoutView="5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356</v>
      </c>
      <c r="B2" s="262">
        <v>44552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494673</v>
      </c>
      <c r="F7" s="95">
        <f>E7+23500</f>
        <v>518173</v>
      </c>
      <c r="G7" s="112">
        <f>F7-E7</f>
        <v>23500</v>
      </c>
      <c r="H7" s="99">
        <f>G7+'21'!H7</f>
        <v>423612</v>
      </c>
      <c r="I7" s="113">
        <f>'1'!I7</f>
        <v>12000</v>
      </c>
      <c r="J7" s="175">
        <f>H7/DAY(B2)</f>
        <v>19255.090909090908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546297.83000000007</v>
      </c>
      <c r="F8" s="95">
        <f>E8+23500</f>
        <v>569797.83000000007</v>
      </c>
      <c r="G8" s="115">
        <f>F8-E8</f>
        <v>23500</v>
      </c>
      <c r="H8" s="99">
        <f>G8+'21'!H8</f>
        <v>428912.83000000007</v>
      </c>
      <c r="I8" s="116"/>
      <c r="J8" s="175">
        <f>H8/DAY(B2)</f>
        <v>19496.037727272731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151695.53</v>
      </c>
      <c r="F9" s="601">
        <f>E9+14000</f>
        <v>165695.53</v>
      </c>
      <c r="G9" s="112">
        <f>F9-E9</f>
        <v>14000</v>
      </c>
      <c r="H9" s="99">
        <f>G9+'21'!H9</f>
        <v>264200.53000000003</v>
      </c>
      <c r="I9" s="124">
        <f>I7-J7</f>
        <v>-7255.0909090909081</v>
      </c>
      <c r="J9" s="175">
        <f>H9/DAY(B2)</f>
        <v>12009.115000000002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70922.179999999993</v>
      </c>
      <c r="F10" s="353">
        <f>E10+4500</f>
        <v>75422.179999999993</v>
      </c>
      <c r="G10" s="112">
        <f t="shared" ref="G10:G12" si="0">F10-E10</f>
        <v>4500</v>
      </c>
      <c r="H10" s="99">
        <f>G10+'21'!H10</f>
        <v>130328.18</v>
      </c>
      <c r="I10" s="282"/>
      <c r="J10" s="175">
        <f>H10/DAY(B2)</f>
        <v>5924.0081818181816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33300</v>
      </c>
      <c r="I11" s="282"/>
      <c r="J11" s="175">
        <f>H11/DAY(B2)</f>
        <v>1513.6363636363637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36009</v>
      </c>
      <c r="I12" s="282"/>
      <c r="J12" s="175">
        <f>H12/DAY(B2)</f>
        <v>1636.7727272727273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G13+'21'!H13</f>
        <v>444372.4599999999</v>
      </c>
      <c r="I13" s="120">
        <f>G7-G13</f>
        <v>5000</v>
      </c>
      <c r="J13" s="175">
        <f>H13/DAY(B2)</f>
        <v>20198.748181818177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1897522</v>
      </c>
      <c r="F15" s="123">
        <f>E15+1100</f>
        <v>1898622</v>
      </c>
      <c r="G15" s="112">
        <f>(F15-E15)</f>
        <v>1100</v>
      </c>
      <c r="H15" s="99">
        <f>G15+'21'!H15</f>
        <v>20192</v>
      </c>
      <c r="I15" s="113">
        <f>'1'!I15</f>
        <v>800</v>
      </c>
      <c r="J15" s="175">
        <f>H15/DAY(B2)</f>
        <v>917.81818181818187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-117.81818181818187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'21'!F18</f>
        <v>46</v>
      </c>
      <c r="F18" s="122">
        <f>E18+12</f>
        <v>58</v>
      </c>
      <c r="G18" s="119">
        <f>F18*10</f>
        <v>580</v>
      </c>
      <c r="H18" s="99">
        <f>G18+'21'!H18</f>
        <v>3520</v>
      </c>
      <c r="I18" s="113">
        <f>'1'!I18</f>
        <v>65</v>
      </c>
      <c r="J18" s="175">
        <f>H18/DAY(B2)</f>
        <v>160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'21'!F19</f>
        <v>153344</v>
      </c>
      <c r="F19" s="122">
        <f>E19+55</f>
        <v>153399</v>
      </c>
      <c r="G19" s="112">
        <f t="shared" ref="G19" si="1">F19-E19</f>
        <v>55</v>
      </c>
      <c r="H19" s="99">
        <f>G19+'21'!H19</f>
        <v>1174</v>
      </c>
      <c r="I19" s="335"/>
      <c r="J19" s="175">
        <f>H19/DAY(B2)</f>
        <v>53.363636363636367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635</v>
      </c>
      <c r="H20" s="99">
        <f>G20+'21'!H20</f>
        <v>4694</v>
      </c>
      <c r="I20" s="336">
        <f>I18-J20</f>
        <v>-148.36363636363637</v>
      </c>
      <c r="J20" s="175">
        <f>H20/DAY(B2)</f>
        <v>213.36363636363637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250</v>
      </c>
      <c r="I23" s="118"/>
      <c r="J23" s="175">
        <f>H23/DAY(B2)</f>
        <v>11.363636363636363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250</v>
      </c>
      <c r="I24" s="118"/>
      <c r="J24" s="175">
        <f>H24/DAY(B2)</f>
        <v>11.363636363636363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G27+'21'!H27</f>
        <v>3860215.4700000007</v>
      </c>
      <c r="I27" s="138"/>
      <c r="J27" s="175">
        <f>H27/DAY(B2)</f>
        <v>175464.33954545457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1049984</v>
      </c>
      <c r="I28" s="140"/>
      <c r="J28" s="175">
        <f>H28/DAY(B2)</f>
        <v>47726.545454545456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17250</v>
      </c>
      <c r="I29" s="140"/>
      <c r="J29" s="175">
        <f>H29/DAY(B2)</f>
        <v>784.09090909090912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G30+'21'!H30</f>
        <v>171404</v>
      </c>
      <c r="I30" s="140"/>
      <c r="J30" s="175">
        <f>H30/DAY(B2)</f>
        <v>7791.090909090909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580</v>
      </c>
      <c r="F31" s="136">
        <v>80</v>
      </c>
      <c r="G31" s="137">
        <f>E31*F31</f>
        <v>46400</v>
      </c>
      <c r="H31" s="99">
        <f>G31+'21'!H31</f>
        <v>281600</v>
      </c>
      <c r="I31" s="140"/>
      <c r="J31" s="175">
        <f>H31/DAY(B2)</f>
        <v>12800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323130</v>
      </c>
      <c r="H32" s="99">
        <f>G32+'21'!H32</f>
        <v>5380453.4700000016</v>
      </c>
      <c r="I32" s="144"/>
      <c r="J32" s="175">
        <f>H32/DAY(B2)</f>
        <v>244566.06681818189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135332.18</v>
      </c>
      <c r="F35" s="504">
        <v>136855.21</v>
      </c>
      <c r="G35" s="112">
        <f t="shared" ref="G35:G46" si="3">F35-E35</f>
        <v>1523.0299999999988</v>
      </c>
      <c r="H35" s="99">
        <f>G35+'21'!H35</f>
        <v>152055.21</v>
      </c>
      <c r="I35" s="95"/>
      <c r="J35" s="175">
        <f>H35/DAY(B2)</f>
        <v>6911.6004545454543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12225.39</v>
      </c>
      <c r="F36" s="145">
        <v>13145.36</v>
      </c>
      <c r="G36" s="112">
        <f t="shared" si="3"/>
        <v>919.97000000000116</v>
      </c>
      <c r="H36" s="99">
        <f>G36+'21'!H36</f>
        <v>-8381.64</v>
      </c>
      <c r="I36" s="95"/>
      <c r="J36" s="175">
        <f>H36/DAY(B2)</f>
        <v>-380.98363636363632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179507.15</v>
      </c>
      <c r="F37" s="504">
        <v>181097.29</v>
      </c>
      <c r="G37" s="112">
        <f t="shared" si="3"/>
        <v>1590.140000000014</v>
      </c>
      <c r="H37" s="99">
        <f>G37+'21'!H37</f>
        <v>193309.29</v>
      </c>
      <c r="I37" s="95"/>
      <c r="J37" s="175">
        <f>H37/DAY(B2)</f>
        <v>8786.7859090909096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213221.87</v>
      </c>
      <c r="F38" s="108">
        <v>215136.45</v>
      </c>
      <c r="G38" s="112">
        <f t="shared" si="3"/>
        <v>1914.5800000000163</v>
      </c>
      <c r="H38" s="99">
        <f>G38+'21'!H38</f>
        <v>228336.45</v>
      </c>
      <c r="I38" s="95"/>
      <c r="J38" s="175">
        <f>H38/DAY(B2)</f>
        <v>10378.929545454546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383436.23</v>
      </c>
      <c r="F39" s="504">
        <v>386212.15</v>
      </c>
      <c r="G39" s="112">
        <f t="shared" si="3"/>
        <v>2775.9200000000419</v>
      </c>
      <c r="H39" s="99">
        <f>G39+'21'!H39</f>
        <v>407894.15</v>
      </c>
      <c r="I39" s="95"/>
      <c r="J39" s="175">
        <f>H39/DAY(B2)</f>
        <v>18540.643181818185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863.05</v>
      </c>
      <c r="F40" s="145">
        <v>1228.6199999999999</v>
      </c>
      <c r="G40" s="112">
        <f t="shared" si="3"/>
        <v>365.56999999999994</v>
      </c>
      <c r="H40" s="99">
        <f>G40+'21'!H40</f>
        <v>-3841.2300000000005</v>
      </c>
      <c r="I40" s="95"/>
      <c r="J40" s="175">
        <f>H40/DAY(B2)</f>
        <v>-174.60136363636366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34250.589999999997</v>
      </c>
      <c r="F42" s="145">
        <v>38987.9</v>
      </c>
      <c r="G42" s="112">
        <f t="shared" si="3"/>
        <v>4737.3100000000049</v>
      </c>
      <c r="H42" s="99">
        <f>G42+'21'!H42</f>
        <v>-34821.1</v>
      </c>
      <c r="I42" s="95"/>
      <c r="J42" s="175">
        <f>H42/DAY(B2)</f>
        <v>-1582.7772727272727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20922.75</v>
      </c>
      <c r="F43" s="145">
        <v>23615.5</v>
      </c>
      <c r="G43" s="112">
        <f t="shared" si="3"/>
        <v>2692.75</v>
      </c>
      <c r="H43" s="99">
        <f>G43+'21'!H43</f>
        <v>-23645.499999999996</v>
      </c>
      <c r="I43" s="95"/>
      <c r="J43" s="175">
        <f>H43/DAY(B2)</f>
        <v>-1074.7954545454543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16519.270000000077</v>
      </c>
      <c r="H47" s="99">
        <f>G47+'21'!H47</f>
        <v>910905.63000000012</v>
      </c>
      <c r="I47" s="95"/>
      <c r="J47" s="175">
        <f>H47/DAY(B2)</f>
        <v>41404.801363636368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257146.11</v>
      </c>
      <c r="F49" s="145">
        <v>258707.57</v>
      </c>
      <c r="G49" s="112">
        <f t="shared" ref="G49:G58" si="4">F49-E49</f>
        <v>1561.460000000021</v>
      </c>
      <c r="H49" s="99">
        <f>G49+'21'!H49</f>
        <v>271828.57000000007</v>
      </c>
      <c r="I49" s="95"/>
      <c r="J49" s="175">
        <f>H49/DAY(B2)</f>
        <v>12355.844090909093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13089.88</v>
      </c>
      <c r="F50" s="145">
        <v>14197.89</v>
      </c>
      <c r="G50" s="112">
        <f t="shared" si="4"/>
        <v>1108.0100000000002</v>
      </c>
      <c r="H50" s="99">
        <f>G50+'21'!H50</f>
        <v>-10452.110000000002</v>
      </c>
      <c r="I50" s="95"/>
      <c r="J50" s="175">
        <f>H50/DAY(B2)</f>
        <v>-475.09590909090917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3139.76</v>
      </c>
      <c r="F54" s="145">
        <v>3144.2</v>
      </c>
      <c r="G54" s="112">
        <f t="shared" si="4"/>
        <v>4.4399999999995998</v>
      </c>
      <c r="H54" s="99">
        <f>G54+'21'!H54</f>
        <v>4911.28</v>
      </c>
      <c r="I54" s="95"/>
      <c r="J54" s="175">
        <f>H54/DAY(B2)</f>
        <v>223.23999999999998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04">
        <v>0</v>
      </c>
      <c r="G55" s="112">
        <f t="shared" si="4"/>
        <v>0</v>
      </c>
      <c r="H55" s="99">
        <f>G55+'21'!H55</f>
        <v>-3511</v>
      </c>
      <c r="I55" s="95"/>
      <c r="J55" s="175">
        <f>H55/DAY(B2)</f>
        <v>-159.59090909090909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4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90130.03</v>
      </c>
      <c r="F58" s="145">
        <v>90345.04</v>
      </c>
      <c r="G58" s="112">
        <f t="shared" si="4"/>
        <v>215.00999999999476</v>
      </c>
      <c r="H58" s="99">
        <f>G58+'21'!H58</f>
        <v>90685.67</v>
      </c>
      <c r="I58" s="95"/>
      <c r="J58" s="175">
        <f>H58/DAY(B2)</f>
        <v>4122.0759090909087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2888.9200000000155</v>
      </c>
      <c r="H59" s="99">
        <f>G59+'21'!H59</f>
        <v>353462.41000000003</v>
      </c>
      <c r="I59" s="95">
        <f>G7-G60</f>
        <v>4091.8099999999067</v>
      </c>
      <c r="J59" s="175">
        <f>H59/DAY(B2)</f>
        <v>16066.473181818183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19408.190000000093</v>
      </c>
      <c r="H60" s="99">
        <f>G60+'21'!H60</f>
        <v>1264368.0399999998</v>
      </c>
      <c r="I60" s="95">
        <f>G13-G60</f>
        <v>-908.19000000009328</v>
      </c>
      <c r="J60" s="175">
        <f>H60/DAY(B2)</f>
        <v>57471.274545454537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'21'!F62</f>
        <v>266079</v>
      </c>
      <c r="F62" s="122">
        <v>266199</v>
      </c>
      <c r="G62" s="112">
        <f t="shared" ref="G62:G63" si="5">F62-E62</f>
        <v>120</v>
      </c>
      <c r="H62" s="99">
        <f>G62+'21'!H62</f>
        <v>-1014</v>
      </c>
      <c r="I62" s="118"/>
      <c r="J62" s="175">
        <f>H62/DAY(B2)</f>
        <v>-46.090909090909093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'21'!F63</f>
        <v>211568</v>
      </c>
      <c r="F63" s="122">
        <v>211648</v>
      </c>
      <c r="G63" s="112">
        <f t="shared" si="5"/>
        <v>80</v>
      </c>
      <c r="H63" s="99">
        <f>G63+'21'!H63</f>
        <v>-777</v>
      </c>
      <c r="I63" s="118"/>
      <c r="J63" s="175">
        <f>H63/DAY(B2)</f>
        <v>-35.31818181818182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'21'!F64</f>
        <v>0</v>
      </c>
      <c r="F64" s="122"/>
      <c r="G64" s="112">
        <f>G62+G63</f>
        <v>200</v>
      </c>
      <c r="H64" s="99">
        <f>G64+'21'!H64</f>
        <v>-1791</v>
      </c>
      <c r="I64" s="118"/>
      <c r="J64" s="175">
        <f>H64/DAY(B2)</f>
        <v>-81.409090909090907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'21'!F65</f>
        <v>431583</v>
      </c>
      <c r="F65" s="122">
        <v>431688</v>
      </c>
      <c r="G65" s="112">
        <f t="shared" ref="G65:G70" si="6">F65-E65</f>
        <v>105</v>
      </c>
      <c r="H65" s="99">
        <f>G65+'21'!H65</f>
        <v>-926</v>
      </c>
      <c r="I65" s="118"/>
      <c r="J65" s="175">
        <f>H65/DAY(B2)</f>
        <v>-42.090909090909093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107007</v>
      </c>
      <c r="F66" s="122">
        <v>107025</v>
      </c>
      <c r="G66" s="112">
        <f t="shared" si="6"/>
        <v>18</v>
      </c>
      <c r="H66" s="99">
        <f>G66+'21'!H66</f>
        <v>-189</v>
      </c>
      <c r="I66" s="118"/>
      <c r="J66" s="175">
        <f>H66/DAY(B2)</f>
        <v>-8.5909090909090917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103625</v>
      </c>
      <c r="F67" s="122">
        <v>103652</v>
      </c>
      <c r="G67" s="112">
        <f t="shared" si="6"/>
        <v>27</v>
      </c>
      <c r="H67" s="99">
        <f>G67+'21'!H67</f>
        <v>-276</v>
      </c>
      <c r="I67" s="118"/>
      <c r="J67" s="175">
        <f>H67/DAY(B2)</f>
        <v>-12.545454545454545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156284</v>
      </c>
      <c r="F68" s="122">
        <v>156316</v>
      </c>
      <c r="G68" s="112">
        <f t="shared" si="6"/>
        <v>32</v>
      </c>
      <c r="H68" s="99">
        <f>G68+'21'!H68</f>
        <v>-304</v>
      </c>
      <c r="I68" s="118"/>
      <c r="J68" s="175">
        <f>H68/DAY(B2)</f>
        <v>-13.818181818181818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10087</v>
      </c>
      <c r="F69" s="122">
        <v>10095</v>
      </c>
      <c r="G69" s="112">
        <f t="shared" si="6"/>
        <v>8</v>
      </c>
      <c r="H69" s="99">
        <f>G69+'21'!H69</f>
        <v>-119</v>
      </c>
      <c r="I69" s="118"/>
      <c r="J69" s="175">
        <f>H69/DAY(B2)</f>
        <v>-5.4090909090909092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7771</v>
      </c>
      <c r="F70" s="122">
        <v>7780</v>
      </c>
      <c r="G70" s="112">
        <f t="shared" si="6"/>
        <v>9</v>
      </c>
      <c r="H70" s="99">
        <f>G70+'21'!H70</f>
        <v>-82</v>
      </c>
      <c r="I70" s="118"/>
      <c r="J70" s="175">
        <f>H70/DAY(B2)</f>
        <v>-3.7272727272727271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199</v>
      </c>
      <c r="H71" s="99">
        <f>G71+'21'!H71</f>
        <v>-1896</v>
      </c>
      <c r="I71" s="154"/>
      <c r="J71" s="175">
        <f>H71/DAY(B2)</f>
        <v>-86.181818181818187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'21'!F74</f>
        <v>888895.21</v>
      </c>
      <c r="F74" s="123">
        <v>889227.52</v>
      </c>
      <c r="G74" s="112">
        <f t="shared" ref="G74:G78" si="7">F74-E74</f>
        <v>332.31000000005588</v>
      </c>
      <c r="H74" s="99">
        <f>G74+'21'!H74</f>
        <v>-2804.4799999999814</v>
      </c>
      <c r="I74" s="154"/>
      <c r="J74" s="175">
        <f>H74/DAY(B2)</f>
        <v>-127.47636363636279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243.88999999999942</v>
      </c>
      <c r="I75" s="154"/>
      <c r="J75" s="175">
        <f>H75/DAY(B2)</f>
        <v>11.085909090909064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'21'!F76</f>
        <v>166125.73000000001</v>
      </c>
      <c r="F76" s="123">
        <v>166217.79999999999</v>
      </c>
      <c r="G76" s="112">
        <f t="shared" si="7"/>
        <v>92.069999999977881</v>
      </c>
      <c r="H76" s="99">
        <f>G76+'21'!H76</f>
        <v>-989.20000000001164</v>
      </c>
      <c r="I76" s="154"/>
      <c r="J76" s="175">
        <f>H76/DAY(B2)</f>
        <v>-44.963636363636894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'21'!F77</f>
        <v>39851</v>
      </c>
      <c r="F77" s="123">
        <v>39898.9</v>
      </c>
      <c r="G77" s="112">
        <f t="shared" si="7"/>
        <v>47.900000000001455</v>
      </c>
      <c r="H77" s="99">
        <f>G77+'21'!H77</f>
        <v>-417.09999999999854</v>
      </c>
      <c r="I77" s="154"/>
      <c r="J77" s="175">
        <f>H77/DAY(B2)</f>
        <v>-18.959090909090843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'21'!F78</f>
        <v>9467</v>
      </c>
      <c r="F78" s="123">
        <v>9468.7000000000007</v>
      </c>
      <c r="G78" s="112">
        <f t="shared" si="7"/>
        <v>1.7000000000007276</v>
      </c>
      <c r="H78" s="99">
        <f>G78+'21'!H78</f>
        <v>-17.299999999999272</v>
      </c>
      <c r="I78" s="118"/>
      <c r="J78" s="175">
        <f>H78/DAY(B2)</f>
        <v>-0.78636363636360329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'21'!F79</f>
        <v>0</v>
      </c>
      <c r="F79" s="123"/>
      <c r="G79" s="112">
        <f>G15-SUM(G74:G78)</f>
        <v>626.01999999996406</v>
      </c>
      <c r="H79" s="99">
        <f>G79+'21'!H79</f>
        <v>24176.189999999991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1892.37</v>
      </c>
      <c r="F85" s="164">
        <v>1916.37</v>
      </c>
      <c r="G85" s="112">
        <f t="shared" si="8"/>
        <v>24</v>
      </c>
      <c r="H85" s="99">
        <f>G85+'21'!H85</f>
        <v>-180.19000000000005</v>
      </c>
      <c r="I85" s="118">
        <f>G82+G83+G84+G85</f>
        <v>24</v>
      </c>
      <c r="J85" s="175">
        <f>H85/DAY(B2)</f>
        <v>-8.1904545454545481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-36.529999999998836</v>
      </c>
      <c r="I86" s="118"/>
      <c r="J86" s="175">
        <f>H86/DAY(B2)</f>
        <v>-1.6604545454544926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24005.53</v>
      </c>
      <c r="F88" s="164">
        <v>24005.53</v>
      </c>
      <c r="G88" s="112">
        <f t="shared" si="8"/>
        <v>0</v>
      </c>
      <c r="H88" s="99">
        <f>G88+'21'!H88</f>
        <v>-41.470000000001164</v>
      </c>
      <c r="I88" s="118">
        <f>G86+G87+G88</f>
        <v>0</v>
      </c>
      <c r="J88" s="175">
        <f>H88/DAY(B2)</f>
        <v>-1.8850000000000529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25606.26</v>
      </c>
      <c r="F89" s="164">
        <v>25616.27</v>
      </c>
      <c r="G89" s="112">
        <f t="shared" si="8"/>
        <v>10.010000000002037</v>
      </c>
      <c r="H89" s="99">
        <f>G89+'21'!H89</f>
        <v>-46.729999999999563</v>
      </c>
      <c r="I89" s="118"/>
      <c r="J89" s="175">
        <f>H89/DAY(B2)</f>
        <v>-2.124090909090889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70975.42</v>
      </c>
      <c r="F90" s="164">
        <v>70981.08</v>
      </c>
      <c r="G90" s="112">
        <f t="shared" si="8"/>
        <v>5.6600000000034925</v>
      </c>
      <c r="H90" s="99">
        <f>G90+'21'!H90</f>
        <v>-52.919999999998254</v>
      </c>
      <c r="I90" s="118">
        <f>G89+G90</f>
        <v>15.67000000000553</v>
      </c>
      <c r="J90" s="175">
        <f>H90/DAY(B2)</f>
        <v>-2.4054545454544662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5328.57</v>
      </c>
      <c r="F92" s="122">
        <v>5340.01</v>
      </c>
      <c r="G92" s="112">
        <f t="shared" si="8"/>
        <v>11.440000000000509</v>
      </c>
      <c r="H92" s="99">
        <f>G92+'21'!H92</f>
        <v>-97.989999999999782</v>
      </c>
      <c r="I92" s="165"/>
      <c r="J92" s="175">
        <f>H92/DAY(B2)</f>
        <v>-4.4540909090908993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5777.2400000000198</v>
      </c>
      <c r="H94" s="99">
        <f>G94+'21'!H94</f>
        <v>400238.28</v>
      </c>
      <c r="I94" s="118"/>
      <c r="J94" s="175">
        <f>H94/DAY(B2)</f>
        <v>18192.649090909094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0.24584000000000084</v>
      </c>
      <c r="H95" s="99">
        <f>G95+'21'!H95</f>
        <v>18.170906944564678</v>
      </c>
      <c r="I95" s="167"/>
      <c r="J95" s="175">
        <f>H95/DAY(B2)</f>
        <v>0.82595031566203081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4737.3100000000049</v>
      </c>
      <c r="H96" s="99">
        <f>G96+'21'!H96</f>
        <v>-38332.1</v>
      </c>
      <c r="I96" s="118"/>
      <c r="J96" s="175">
        <f>H96/DAY(B2)</f>
        <v>-1742.3681818181817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0.20158765957446831</v>
      </c>
      <c r="H97" s="99">
        <f>G97+'21'!H97</f>
        <v>-0.96782071100578548</v>
      </c>
      <c r="I97" s="167"/>
      <c r="J97" s="175">
        <f>H97/DAY(B2)</f>
        <v>-4.3991850500262976E-2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2775.9200000000419</v>
      </c>
      <c r="H98" s="99">
        <f>G98+'21'!H98</f>
        <v>407894.15</v>
      </c>
      <c r="I98" s="168"/>
      <c r="J98" s="175">
        <f>H98/DAY(B2)</f>
        <v>18540.643181818185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0.11812425531915072</v>
      </c>
      <c r="H99" s="99">
        <f>G99+'21'!H99</f>
        <v>17.930889206134456</v>
      </c>
      <c r="I99" s="168"/>
      <c r="J99" s="175">
        <f>H99/DAY(B2)</f>
        <v>0.81504041846065711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1914.5800000000163</v>
      </c>
      <c r="H100" s="99">
        <f>G100+'21'!H100</f>
        <v>228336.45</v>
      </c>
      <c r="I100" s="118"/>
      <c r="J100" s="175">
        <f>H100/DAY(B2)</f>
        <v>10378.929545454546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8.1471489361702815E-2</v>
      </c>
      <c r="H101" s="99">
        <f>G101+'21'!H101</f>
        <v>10.071696097267871</v>
      </c>
      <c r="I101" s="168"/>
      <c r="J101" s="175">
        <f>H101/DAY(B2)</f>
        <v>0.45780436805763053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2027.9800000000014</v>
      </c>
      <c r="H102" s="99">
        <f>G102+'21'!H102</f>
        <v>-18833.75</v>
      </c>
      <c r="I102" s="168"/>
      <c r="J102" s="175">
        <f>H102/DAY(B2)</f>
        <v>-856.0795454545455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8.6297021276595803E-2</v>
      </c>
      <c r="H103" s="99">
        <f>G103+'21'!H103</f>
        <v>-0.44484224264605865</v>
      </c>
      <c r="I103" s="118"/>
      <c r="J103" s="175">
        <f>H103/DAY(B2)</f>
        <v>-2.0220101938457212E-2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1590.140000000014</v>
      </c>
      <c r="H104" s="99">
        <f>G104+'21'!H104</f>
        <v>193309.29</v>
      </c>
      <c r="I104" s="118"/>
      <c r="J104" s="175">
        <f>H104/DAY(B2)</f>
        <v>8786.7859090909096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6.7665531914894217E-2</v>
      </c>
      <c r="H105" s="99">
        <f>G105+'21'!H105</f>
        <v>8.5585538455410379</v>
      </c>
      <c r="I105" s="187"/>
      <c r="J105" s="188">
        <f>H105/DAY(B2)</f>
        <v>0.38902517479731991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'21'!F112</f>
        <v>54981.62</v>
      </c>
      <c r="F112" s="237">
        <v>55052.68</v>
      </c>
      <c r="G112" s="112">
        <f t="shared" ref="G112:G123" si="9">F112-E112</f>
        <v>71.059999999997672</v>
      </c>
      <c r="H112" s="99">
        <f>G112+'21'!H112</f>
        <v>-628.31999999999971</v>
      </c>
      <c r="I112" s="165"/>
      <c r="J112" s="328">
        <f>H112/DAY(B2)</f>
        <v>-28.559999999999988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'21'!F113</f>
        <v>27650.66</v>
      </c>
      <c r="F113" s="237">
        <v>28103.25</v>
      </c>
      <c r="G113" s="112">
        <f t="shared" si="9"/>
        <v>452.59000000000015</v>
      </c>
      <c r="H113" s="99">
        <f>G113+'21'!H113</f>
        <v>-4091.75</v>
      </c>
      <c r="I113" s="165"/>
      <c r="J113" s="328">
        <f>H113/DAY(B2)</f>
        <v>-185.98863636363637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'21'!F114</f>
        <v>21811.75</v>
      </c>
      <c r="F114" s="237">
        <v>22093.16</v>
      </c>
      <c r="G114" s="112">
        <f t="shared" si="9"/>
        <v>281.40999999999985</v>
      </c>
      <c r="H114" s="99">
        <f>G114+'21'!H114</f>
        <v>-2911.4400000000005</v>
      </c>
      <c r="I114" s="165"/>
      <c r="J114" s="328">
        <f>H114/DAY(B2)</f>
        <v>-132.33818181818185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'21'!F115</f>
        <v>8664.44</v>
      </c>
      <c r="F115" s="237">
        <v>8676.44</v>
      </c>
      <c r="G115" s="112">
        <f t="shared" si="9"/>
        <v>12</v>
      </c>
      <c r="H115" s="99">
        <f>G115+'21'!H115</f>
        <v>-108.55999999999949</v>
      </c>
      <c r="I115" s="165"/>
      <c r="J115" s="328">
        <f>H115/DAY(B2)</f>
        <v>-4.9345454545454315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'21'!F117</f>
        <v>2366.94</v>
      </c>
      <c r="F117" s="237">
        <v>2381.9299999999998</v>
      </c>
      <c r="G117" s="112">
        <f t="shared" si="9"/>
        <v>14.989999999999782</v>
      </c>
      <c r="H117" s="99">
        <f>G117+'21'!H117</f>
        <v>-208.07000000000016</v>
      </c>
      <c r="I117" s="165"/>
      <c r="J117" s="328">
        <f>H117/DAY(B2)</f>
        <v>-9.457727272727281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'21'!F118</f>
        <v>237795.19</v>
      </c>
      <c r="F118" s="237">
        <v>238200.89</v>
      </c>
      <c r="G118" s="112">
        <f t="shared" si="9"/>
        <v>405.70000000001164</v>
      </c>
      <c r="H118" s="99">
        <f>G118+'21'!H118</f>
        <v>-3446.109999999986</v>
      </c>
      <c r="I118" s="165"/>
      <c r="J118" s="328">
        <f>H118/DAY(B2)</f>
        <v>-156.641363636363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'21'!F119</f>
        <v>240915.45</v>
      </c>
      <c r="F119" s="237">
        <v>241342.97</v>
      </c>
      <c r="G119" s="112">
        <f t="shared" si="9"/>
        <v>427.51999999998952</v>
      </c>
      <c r="H119" s="99">
        <f>G119+'21'!H119</f>
        <v>-3783.0299999999988</v>
      </c>
      <c r="I119" s="165"/>
      <c r="J119" s="328">
        <f>H119/DAY(B2)</f>
        <v>-171.95590909090905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'21'!F120</f>
        <v>25910.3</v>
      </c>
      <c r="F120" s="237">
        <v>26322.51</v>
      </c>
      <c r="G120" s="112">
        <f t="shared" si="9"/>
        <v>412.20999999999913</v>
      </c>
      <c r="H120" s="99">
        <f>G120+'21'!H120</f>
        <v>-3755.4900000000016</v>
      </c>
      <c r="I120" s="165"/>
      <c r="J120" s="328">
        <f>H120/DAY(B2)</f>
        <v>-170.70409090909098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'21'!F121</f>
        <v>368697.51</v>
      </c>
      <c r="F121" s="237">
        <v>369474.35</v>
      </c>
      <c r="G121" s="112">
        <f t="shared" si="9"/>
        <v>776.8399999999674</v>
      </c>
      <c r="H121" s="99">
        <f>G121+'21'!H121</f>
        <v>-7054.6500000000233</v>
      </c>
      <c r="I121" s="165"/>
      <c r="J121" s="328">
        <f>H121/DAY(B2)</f>
        <v>-320.66590909091013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'21'!F122</f>
        <v>117870.13</v>
      </c>
      <c r="F122" s="237">
        <v>118105.71</v>
      </c>
      <c r="G122" s="112">
        <f t="shared" si="9"/>
        <v>235.58000000000175</v>
      </c>
      <c r="H122" s="99">
        <f>G122+'21'!H122</f>
        <v>-1944.2899999999936</v>
      </c>
      <c r="I122" s="165"/>
      <c r="J122" s="328">
        <f>H122/DAY(B2)</f>
        <v>-88.376818181817896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'21'!F123</f>
        <v>141648.82999999999</v>
      </c>
      <c r="F123" s="237">
        <v>142003.64000000001</v>
      </c>
      <c r="G123" s="112">
        <f t="shared" si="9"/>
        <v>354.81000000002678</v>
      </c>
      <c r="H123" s="99">
        <f>G123+'21'!H123</f>
        <v>-3121.359999999986</v>
      </c>
      <c r="I123" s="165"/>
      <c r="J123" s="328">
        <f>H123/DAY(B2)</f>
        <v>-141.87999999999937</v>
      </c>
    </row>
    <row r="124" spans="1:18" ht="29.25" customHeight="1" x14ac:dyDescent="0.5">
      <c r="A124" s="837"/>
      <c r="B124" s="838"/>
      <c r="C124" s="83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3444.7099999999937</v>
      </c>
      <c r="H125" s="156"/>
      <c r="I125" s="327">
        <f>G125-(G39+G53)</f>
        <v>668.78999999995176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'21'!F128</f>
        <v>34682.300000000003</v>
      </c>
      <c r="F128" s="165">
        <v>34988.19</v>
      </c>
      <c r="G128" s="112">
        <f t="shared" ref="G128:G134" si="10">F128-E128</f>
        <v>305.88999999999942</v>
      </c>
      <c r="H128" s="99">
        <f>G128+'21'!H128</f>
        <v>-3015.8099999999977</v>
      </c>
      <c r="I128" s="165"/>
      <c r="J128" s="328">
        <f>H128/DAY(B2)</f>
        <v>-137.08227272727262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18118.53</v>
      </c>
      <c r="F129" s="165">
        <v>18368.71</v>
      </c>
      <c r="G129" s="112">
        <f t="shared" si="10"/>
        <v>250.18000000000029</v>
      </c>
      <c r="H129" s="99">
        <f>G129+'21'!H129</f>
        <v>-1952.2900000000009</v>
      </c>
      <c r="I129" s="165"/>
      <c r="J129" s="328">
        <f>H129/DAY(B2)</f>
        <v>-88.740454545454583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10812.36</v>
      </c>
      <c r="F130" s="165">
        <v>11513.11</v>
      </c>
      <c r="G130" s="112">
        <f t="shared" si="10"/>
        <v>700.75</v>
      </c>
      <c r="H130" s="99">
        <f>G130+'21'!H130</f>
        <v>-6868.8899999999994</v>
      </c>
      <c r="I130" s="165"/>
      <c r="J130" s="328">
        <f>H130/DAY(B2)</f>
        <v>-312.2222727272727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'21'!F131</f>
        <v>12207.84</v>
      </c>
      <c r="F131" s="165">
        <v>12305.57</v>
      </c>
      <c r="G131" s="112">
        <f t="shared" si="10"/>
        <v>97.729999999999563</v>
      </c>
      <c r="H131" s="99">
        <f>G131+'21'!H131</f>
        <v>-847.43000000000029</v>
      </c>
      <c r="I131" s="165"/>
      <c r="J131" s="328">
        <f>H131/DAY(B2)</f>
        <v>-38.519545454545465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'21'!F132</f>
        <v>36160.97</v>
      </c>
      <c r="F132" s="165">
        <v>36673.07</v>
      </c>
      <c r="G132" s="112">
        <f t="shared" si="10"/>
        <v>512.09999999999854</v>
      </c>
      <c r="H132" s="99">
        <f>G132+'21'!H132</f>
        <v>-39539.560000000005</v>
      </c>
      <c r="I132" s="165"/>
      <c r="J132" s="328">
        <f>H132/DAY(B2)</f>
        <v>-1797.2527272727275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'21'!F133</f>
        <v>81077.960000000006</v>
      </c>
      <c r="F133" s="165">
        <v>81727.06</v>
      </c>
      <c r="G133" s="112">
        <f t="shared" si="10"/>
        <v>649.09999999999127</v>
      </c>
      <c r="H133" s="99">
        <f>G133+'21'!H133</f>
        <v>-5975.9400000000023</v>
      </c>
      <c r="I133" s="165"/>
      <c r="J133" s="328">
        <f>H133/DAY(B2)</f>
        <v>-271.63363636363647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'21'!F134</f>
        <v>663614</v>
      </c>
      <c r="F134" s="165">
        <v>663872</v>
      </c>
      <c r="G134" s="112">
        <f t="shared" si="10"/>
        <v>258</v>
      </c>
      <c r="H134" s="99">
        <f>G134+'21'!H134</f>
        <v>666166</v>
      </c>
      <c r="I134" s="165"/>
      <c r="J134" s="328">
        <f>H134/DAY(B2)</f>
        <v>30280.272727272728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2773.7499999999891</v>
      </c>
      <c r="H135" s="99">
        <f>G135+'10'!H135</f>
        <v>33997.749999999985</v>
      </c>
      <c r="I135" s="327">
        <f>G135-(G35+G49)</f>
        <v>-310.7400000000307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'21'!F138</f>
        <v>863035</v>
      </c>
      <c r="F138" s="147">
        <v>863144</v>
      </c>
      <c r="G138" s="112">
        <f t="shared" ref="G138:G152" si="11">F138-E138</f>
        <v>109</v>
      </c>
      <c r="H138" s="99">
        <f>G138+'21'!H138</f>
        <v>-1027</v>
      </c>
      <c r="I138" s="118"/>
      <c r="J138" s="328">
        <f>H138/DAY(B2)</f>
        <v>-46.68181818181818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'21'!F139</f>
        <v>886459</v>
      </c>
      <c r="F139" s="148">
        <v>886463</v>
      </c>
      <c r="G139" s="112">
        <f t="shared" si="11"/>
        <v>4</v>
      </c>
      <c r="H139" s="99">
        <f>G139+'21'!H139</f>
        <v>-83</v>
      </c>
      <c r="I139" s="118"/>
      <c r="J139" s="328">
        <f>H139/DAY(B2)</f>
        <v>-3.7727272727272729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'21'!F140</f>
        <v>88881.2</v>
      </c>
      <c r="F140" s="149">
        <v>88882.4</v>
      </c>
      <c r="G140" s="112">
        <f t="shared" si="11"/>
        <v>1.1999999999970896</v>
      </c>
      <c r="H140" s="99">
        <f>G140+'21'!H140</f>
        <v>0.39999999999417923</v>
      </c>
      <c r="I140" s="118"/>
      <c r="J140" s="328">
        <f>H140/DAY(B2)</f>
        <v>1.8181818181553601E-2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'21'!F141</f>
        <v>47324.58</v>
      </c>
      <c r="F141" s="149">
        <v>47522.02</v>
      </c>
      <c r="G141" s="112">
        <f t="shared" si="11"/>
        <v>197.43999999999505</v>
      </c>
      <c r="H141" s="99">
        <f>G141+'21'!H141</f>
        <v>-1783.9800000000032</v>
      </c>
      <c r="I141" s="118"/>
      <c r="J141" s="328">
        <f>H141/DAY(B2)</f>
        <v>-81.090000000000146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'21'!F142</f>
        <v>18252.310000000001</v>
      </c>
      <c r="F142" s="148">
        <v>18326.689999999999</v>
      </c>
      <c r="G142" s="112">
        <f t="shared" si="11"/>
        <v>74.379999999997381</v>
      </c>
      <c r="H142" s="99">
        <f>G142+'21'!H142</f>
        <v>-682.31000000000131</v>
      </c>
      <c r="I142" s="140"/>
      <c r="J142" s="328">
        <f>H142/DAY(B2)</f>
        <v>-31.014090909090967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'21'!F143</f>
        <v>2827.6</v>
      </c>
      <c r="F143" s="149">
        <v>2855.02</v>
      </c>
      <c r="G143" s="112">
        <f t="shared" si="11"/>
        <v>27.420000000000073</v>
      </c>
      <c r="H143" s="99">
        <f>G143+'21'!H143</f>
        <v>-205.98000000000002</v>
      </c>
      <c r="I143" s="140"/>
      <c r="J143" s="328">
        <f>H143/DAY(B2)</f>
        <v>-9.3627272727272732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'21'!F144</f>
        <v>867266</v>
      </c>
      <c r="F144" s="149">
        <v>867517</v>
      </c>
      <c r="G144" s="112">
        <f t="shared" si="11"/>
        <v>251</v>
      </c>
      <c r="H144" s="99">
        <f>G144+'21'!H144</f>
        <v>-2153</v>
      </c>
      <c r="I144" s="140"/>
      <c r="J144" s="328">
        <f>H144/DAY(B2)</f>
        <v>-97.86363636363636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'21'!F145</f>
        <v>4388.93</v>
      </c>
      <c r="F145" s="149">
        <v>4414.07</v>
      </c>
      <c r="G145" s="112">
        <f t="shared" si="11"/>
        <v>25.139999999999418</v>
      </c>
      <c r="H145" s="99">
        <f>G145+'21'!H145</f>
        <v>-143.93000000000029</v>
      </c>
      <c r="I145" s="140"/>
      <c r="J145" s="328">
        <f>H145/DAY(B2)</f>
        <v>-6.5422727272727403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'21'!F146</f>
        <v>719980</v>
      </c>
      <c r="F146" s="148">
        <v>720480</v>
      </c>
      <c r="G146" s="112">
        <f t="shared" si="11"/>
        <v>500</v>
      </c>
      <c r="H146" s="99">
        <f>G146+'21'!H146</f>
        <v>-4378</v>
      </c>
      <c r="I146" s="140"/>
      <c r="J146" s="328">
        <f>H146/DAY(B2)</f>
        <v>-199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'21'!F147</f>
        <v>611137.48</v>
      </c>
      <c r="F147" s="148">
        <v>611540.12</v>
      </c>
      <c r="G147" s="112">
        <f t="shared" si="11"/>
        <v>402.64000000001397</v>
      </c>
      <c r="H147" s="99">
        <f>G147+'21'!H147</f>
        <v>-3741.8800000000047</v>
      </c>
      <c r="I147" s="140"/>
      <c r="J147" s="328">
        <f>H147/DAY(B2)</f>
        <v>-170.08545454545475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'21'!F148</f>
        <v>680078.48</v>
      </c>
      <c r="F148" s="150">
        <v>680376.24</v>
      </c>
      <c r="G148" s="112">
        <f t="shared" si="11"/>
        <v>297.76000000000931</v>
      </c>
      <c r="H148" s="99">
        <f>G148+'21'!H148</f>
        <v>-2656.8800000000047</v>
      </c>
      <c r="I148" s="124"/>
      <c r="J148" s="328">
        <f>H148/DAY(B2)</f>
        <v>-120.76727272727294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'21'!F149</f>
        <v>5177.62</v>
      </c>
      <c r="F149" s="146">
        <v>5720.08</v>
      </c>
      <c r="G149" s="112">
        <f t="shared" si="11"/>
        <v>542.46</v>
      </c>
      <c r="H149" s="99">
        <f>G149+'21'!H149</f>
        <v>9772.3399999999965</v>
      </c>
      <c r="I149" s="119"/>
      <c r="J149" s="328">
        <f>H149/DAY(B2)</f>
        <v>444.19727272727255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'21'!F150</f>
        <v>1784.62</v>
      </c>
      <c r="F150" s="233">
        <v>2012.94</v>
      </c>
      <c r="G150" s="112">
        <f t="shared" si="11"/>
        <v>228.32000000000016</v>
      </c>
      <c r="H150" s="99">
        <f>G150+'21'!H150</f>
        <v>-2039.06</v>
      </c>
      <c r="I150" s="119"/>
      <c r="J150" s="328">
        <f>H150/DAY(B2)</f>
        <v>-92.684545454545457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'21'!F151</f>
        <v>75859</v>
      </c>
      <c r="F151" s="233">
        <v>76084</v>
      </c>
      <c r="G151" s="112">
        <f t="shared" si="11"/>
        <v>225</v>
      </c>
      <c r="H151" s="99">
        <f>G151+'21'!H151</f>
        <v>-2133</v>
      </c>
      <c r="I151" s="119"/>
      <c r="J151" s="328">
        <f>H151/DAY(B2)</f>
        <v>-96.954545454545453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'21'!F152</f>
        <v>638.66999999999996</v>
      </c>
      <c r="F152" s="233">
        <v>687.58</v>
      </c>
      <c r="G152" s="112">
        <f t="shared" si="11"/>
        <v>48.910000000000082</v>
      </c>
      <c r="H152" s="99">
        <f>G152+'21'!H152</f>
        <v>-439.41999999999996</v>
      </c>
      <c r="I152" s="119"/>
      <c r="J152" s="328">
        <f>H152/DAY(B2)</f>
        <v>-19.973636363636363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2934.6700000000128</v>
      </c>
      <c r="H153" s="363"/>
      <c r="I153" s="119">
        <f>G153-(G38+G52)</f>
        <v>1020.0899999999965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'21'!F155</f>
        <v>6155.09</v>
      </c>
      <c r="F155" s="374">
        <v>6848.03</v>
      </c>
      <c r="G155" s="112">
        <f t="shared" ref="G155:G156" si="12">F155-E155</f>
        <v>692.9399999999996</v>
      </c>
      <c r="H155" s="99">
        <f>G155+'21'!H155</f>
        <v>-6623.97</v>
      </c>
      <c r="I155" s="364"/>
      <c r="J155" s="328">
        <f>H155/DAY(B2)</f>
        <v>-301.08954545454549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'21'!F156</f>
        <v>491.41</v>
      </c>
      <c r="F156" s="155">
        <v>542.41</v>
      </c>
      <c r="G156" s="112">
        <f t="shared" si="12"/>
        <v>50.999999999999943</v>
      </c>
      <c r="H156" s="99">
        <f>G156+'21'!H156</f>
        <v>-545.58999999999992</v>
      </c>
      <c r="I156" s="165"/>
      <c r="J156" s="328">
        <f>H156/DAY(B2)</f>
        <v>-24.799545454545452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471146.76</v>
      </c>
      <c r="F161" s="235">
        <v>471149.04</v>
      </c>
      <c r="G161" s="238">
        <f t="shared" ref="G161:G165" si="13">F161-E161</f>
        <v>2.279999999969732</v>
      </c>
      <c r="H161" s="99">
        <f>G161+'21'!H161</f>
        <v>-4.1199999999953434</v>
      </c>
      <c r="I161" s="236"/>
      <c r="J161" s="239">
        <f>H161/DAY(B2)</f>
        <v>-0.18727272727251562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87281.5</v>
      </c>
      <c r="F162" s="235">
        <v>87322.5</v>
      </c>
      <c r="G162" s="238">
        <f t="shared" si="13"/>
        <v>41</v>
      </c>
      <c r="H162" s="99">
        <f>G162+'21'!H162</f>
        <v>-247.5</v>
      </c>
      <c r="I162" s="236"/>
      <c r="J162" s="239">
        <f>H162/DAY(B2)</f>
        <v>-11.25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77185.7</v>
      </c>
      <c r="F163" s="235">
        <v>77264.399999999994</v>
      </c>
      <c r="G163" s="238">
        <f t="shared" si="13"/>
        <v>78.69999999999709</v>
      </c>
      <c r="H163" s="99">
        <f>G163+'21'!H163</f>
        <v>-560.60000000000582</v>
      </c>
      <c r="I163" s="236"/>
      <c r="J163" s="239">
        <f>H163/DAY(B2)</f>
        <v>-25.481818181818447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4207.1000000000004</v>
      </c>
      <c r="F164" s="235">
        <v>4213.1000000000004</v>
      </c>
      <c r="G164" s="238">
        <f t="shared" si="13"/>
        <v>6</v>
      </c>
      <c r="H164" s="99">
        <f>G164+'21'!H164</f>
        <v>-28.899999999999636</v>
      </c>
      <c r="I164" s="236"/>
      <c r="J164" s="239">
        <f>H164/DAY(B2)</f>
        <v>-1.3136363636363471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29577.54</v>
      </c>
      <c r="F165" s="235">
        <v>29584.99</v>
      </c>
      <c r="G165" s="238">
        <f t="shared" si="13"/>
        <v>7.4500000000007276</v>
      </c>
      <c r="H165" s="99">
        <f>G165+'21'!H165</f>
        <v>-61.009999999998399</v>
      </c>
      <c r="I165" s="236"/>
      <c r="J165" s="239">
        <f>H165/DAY(B2)</f>
        <v>-2.7731818181817456</v>
      </c>
    </row>
    <row r="166" spans="1:10" ht="21.95" customHeight="1" x14ac:dyDescent="0.5">
      <c r="A166" s="822"/>
      <c r="B166" s="82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22"/>
      <c r="B167" s="82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22"/>
      <c r="B168" s="82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'21'!F173</f>
        <v>8110</v>
      </c>
      <c r="F173" s="155">
        <v>8126</v>
      </c>
      <c r="G173" s="155">
        <f>F173-E173</f>
        <v>16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'21'!F174</f>
        <v>38147</v>
      </c>
      <c r="F174" s="157">
        <v>38161</v>
      </c>
      <c r="G174" s="155">
        <f t="shared" ref="G174:G175" si="14">F174-E174</f>
        <v>14</v>
      </c>
      <c r="H174" s="99">
        <f>G174+'21'!H174</f>
        <v>-132</v>
      </c>
      <c r="I174" s="155"/>
      <c r="J174" s="178">
        <f>H174/DAY(B2)</f>
        <v>-6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'21'!F175</f>
        <v>21405</v>
      </c>
      <c r="F175" s="155">
        <v>21415</v>
      </c>
      <c r="G175" s="155">
        <f t="shared" si="14"/>
        <v>10</v>
      </c>
      <c r="H175" s="99">
        <f>G175+'21'!H175</f>
        <v>-103</v>
      </c>
      <c r="I175" s="155"/>
      <c r="J175" s="178">
        <f>H175/DAY(B2)</f>
        <v>-4.6818181818181817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40</v>
      </c>
      <c r="H176" s="99">
        <f>G176+'21'!H176</f>
        <v>-235</v>
      </c>
      <c r="I176" s="155"/>
      <c r="J176" s="178">
        <f>H176/DAY(B2)</f>
        <v>-10.681818181818182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'21'!F178</f>
        <v>78915</v>
      </c>
      <c r="F178" s="155">
        <v>78972</v>
      </c>
      <c r="G178" s="155">
        <f>F178-E178</f>
        <v>57</v>
      </c>
      <c r="H178" s="99">
        <f>G178+'21'!H178</f>
        <v>-642</v>
      </c>
      <c r="I178" s="155"/>
      <c r="J178" s="178">
        <f>H178/DAY(B2)</f>
        <v>-29.181818181818183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'21'!F179</f>
        <v>33915</v>
      </c>
      <c r="F179" s="155">
        <v>33915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'21'!F180</f>
        <v>5409</v>
      </c>
      <c r="F180" s="155">
        <v>5421</v>
      </c>
      <c r="G180" s="374">
        <f t="shared" si="15"/>
        <v>12</v>
      </c>
      <c r="H180" s="99">
        <f>G180+'21'!H180</f>
        <v>-56</v>
      </c>
      <c r="I180" s="155"/>
      <c r="J180" s="178">
        <f>H180/DAY(B2)</f>
        <v>-2.5454545454545454</v>
      </c>
    </row>
    <row r="181" spans="1:10" ht="27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69</v>
      </c>
      <c r="H181" s="99">
        <f>G181+'21'!H181</f>
        <v>-698</v>
      </c>
      <c r="I181" s="155"/>
      <c r="J181" s="178">
        <f>H181/DAY(B2)</f>
        <v>-31.727272727272727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'21'!F183</f>
        <v>14793</v>
      </c>
      <c r="F183" s="157">
        <v>14803</v>
      </c>
      <c r="G183" s="157">
        <f>F183-E183</f>
        <v>10</v>
      </c>
      <c r="H183" s="99">
        <f>G183+'21'!H183</f>
        <v>-144</v>
      </c>
      <c r="I183" s="155"/>
      <c r="J183" s="178">
        <f>H183/DAY(B2)</f>
        <v>-6.5454545454545459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'21'!F184</f>
        <v>10225</v>
      </c>
      <c r="F184" s="157">
        <v>10231</v>
      </c>
      <c r="G184" s="157">
        <f t="shared" ref="G184:G185" si="16">F184-E184</f>
        <v>6</v>
      </c>
      <c r="H184" s="99">
        <f>G184+'21'!H184</f>
        <v>-70</v>
      </c>
      <c r="I184" s="155"/>
      <c r="J184" s="178">
        <f>H184/DAY(B2)</f>
        <v>-3.1818181818181817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16</v>
      </c>
      <c r="H186" s="99">
        <f>G186+'21'!H186</f>
        <v>-214</v>
      </c>
      <c r="I186" s="157"/>
      <c r="J186" s="178">
        <f>H186/DAY(B2)</f>
        <v>-9.7272727272727266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175</v>
      </c>
      <c r="H187" s="99">
        <f>G187+'21'!H187</f>
        <v>160</v>
      </c>
      <c r="I187" s="158"/>
      <c r="J187" s="179">
        <f>H187/DAY(B2)</f>
        <v>7.2727272727272725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167</v>
      </c>
      <c r="H188" s="99">
        <f>G188+'21'!H188</f>
        <v>-3386</v>
      </c>
      <c r="I188" s="158"/>
      <c r="J188" s="179">
        <f>H188/DAY(B2)</f>
        <v>-153.90909090909091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69</v>
      </c>
      <c r="H189" s="99">
        <f>G189+'21'!H189</f>
        <v>-2288</v>
      </c>
      <c r="I189" s="158"/>
      <c r="J189" s="179">
        <f>H189/DAY(B2)</f>
        <v>-104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0.75" customHeight="1" x14ac:dyDescent="0.5">
      <c r="A2" s="191" t="s">
        <v>357</v>
      </c>
      <c r="B2" s="262">
        <v>44553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518173</v>
      </c>
      <c r="F7" s="95">
        <f>E7+23500</f>
        <v>541673</v>
      </c>
      <c r="G7" s="112">
        <f>F7-E7</f>
        <v>23500</v>
      </c>
      <c r="H7" s="99">
        <f>G7+'22'!H7</f>
        <v>447112</v>
      </c>
      <c r="I7" s="113">
        <f>'1'!I7</f>
        <v>12000</v>
      </c>
      <c r="J7" s="175">
        <f>H7/DAY(B2)</f>
        <v>19439.652173913044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569797.83000000007</v>
      </c>
      <c r="F8" s="95">
        <f>E8+23500</f>
        <v>593297.83000000007</v>
      </c>
      <c r="G8" s="115">
        <f>F8-E8</f>
        <v>23500</v>
      </c>
      <c r="H8" s="99">
        <f>G8+'22'!H8</f>
        <v>452412.83000000007</v>
      </c>
      <c r="I8" s="116"/>
      <c r="J8" s="175">
        <f>H8/DAY(B2)</f>
        <v>19670.123043478263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165695.53</v>
      </c>
      <c r="F9" s="601">
        <f>E9+14000</f>
        <v>179695.53</v>
      </c>
      <c r="G9" s="112">
        <f>F9-E9</f>
        <v>14000</v>
      </c>
      <c r="H9" s="99">
        <f>G9+'22'!H9</f>
        <v>278200.53000000003</v>
      </c>
      <c r="I9" s="124">
        <f>I7-J7</f>
        <v>-7439.652173913044</v>
      </c>
      <c r="J9" s="175">
        <f>H9/DAY(B2)</f>
        <v>12095.675217391306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75422.179999999993</v>
      </c>
      <c r="F10" s="353">
        <f>E10+4500</f>
        <v>79922.179999999993</v>
      </c>
      <c r="G10" s="112">
        <f t="shared" ref="G10:G12" si="0">F10-E10</f>
        <v>4500</v>
      </c>
      <c r="H10" s="99">
        <f>G10+'22'!H10</f>
        <v>134828.18</v>
      </c>
      <c r="I10" s="282"/>
      <c r="J10" s="175">
        <f>H10/DAY(B2)</f>
        <v>5862.0947826086949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33300</v>
      </c>
      <c r="I11" s="282"/>
      <c r="J11" s="175">
        <f>H11/DAY(B2)</f>
        <v>1447.8260869565217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36009</v>
      </c>
      <c r="I12" s="282"/>
      <c r="J12" s="175">
        <f>H12/DAY(B2)</f>
        <v>1565.608695652174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G13+'22'!H13</f>
        <v>462872.4599999999</v>
      </c>
      <c r="I13" s="120">
        <f>G7-G13</f>
        <v>5000</v>
      </c>
      <c r="J13" s="175">
        <f>H13/DAY(B2)</f>
        <v>20124.889565217389</v>
      </c>
      <c r="K13" s="79"/>
      <c r="L13" s="66"/>
      <c r="N13" s="87"/>
      <c r="O13" s="71"/>
    </row>
    <row r="14" spans="1:15" ht="30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1898622</v>
      </c>
      <c r="F15" s="123">
        <f>E15+1100</f>
        <v>1899722</v>
      </c>
      <c r="G15" s="112">
        <f>(F15-E15)</f>
        <v>1100</v>
      </c>
      <c r="H15" s="99">
        <f>G15+'22'!H15</f>
        <v>21292</v>
      </c>
      <c r="I15" s="113">
        <f>'1'!I15</f>
        <v>800</v>
      </c>
      <c r="J15" s="175">
        <f>H15/DAY(B2)</f>
        <v>925.73913043478262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-125.73913043478262</v>
      </c>
      <c r="J16" s="176"/>
      <c r="K16" s="79"/>
      <c r="L16" s="66"/>
      <c r="N16" s="87"/>
      <c r="O16" s="71"/>
    </row>
    <row r="17" spans="1:15" ht="30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4" t="s">
        <v>141</v>
      </c>
      <c r="B18" s="855"/>
      <c r="C18" s="856"/>
      <c r="D18" s="151" t="s">
        <v>142</v>
      </c>
      <c r="E18" s="95">
        <f>'22'!F18</f>
        <v>58</v>
      </c>
      <c r="F18" s="122">
        <f>E18+12</f>
        <v>70</v>
      </c>
      <c r="G18" s="119">
        <f>F18*10</f>
        <v>700</v>
      </c>
      <c r="H18" s="99">
        <f>G18+'22'!H18</f>
        <v>4220</v>
      </c>
      <c r="I18" s="113">
        <f>'1'!I18</f>
        <v>65</v>
      </c>
      <c r="J18" s="175">
        <f>H18/DAY(B2)</f>
        <v>183.47826086956522</v>
      </c>
      <c r="K18" s="79"/>
      <c r="L18" s="66"/>
      <c r="N18" s="87"/>
      <c r="O18" s="71"/>
    </row>
    <row r="19" spans="1:15" ht="30.75" customHeight="1" x14ac:dyDescent="0.5">
      <c r="A19" s="854" t="s">
        <v>69</v>
      </c>
      <c r="B19" s="855"/>
      <c r="C19" s="856"/>
      <c r="D19" s="151" t="s">
        <v>142</v>
      </c>
      <c r="E19" s="95">
        <f>'22'!F19</f>
        <v>153399</v>
      </c>
      <c r="F19" s="122">
        <f>E19+55</f>
        <v>153454</v>
      </c>
      <c r="G19" s="112">
        <f t="shared" ref="G19" si="1">F19-E19</f>
        <v>55</v>
      </c>
      <c r="H19" s="99">
        <f>G19+'22'!H19</f>
        <v>1229</v>
      </c>
      <c r="I19" s="335"/>
      <c r="J19" s="175">
        <f>H19/DAY(B2)</f>
        <v>53.434782608695649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755</v>
      </c>
      <c r="H20" s="99">
        <f>G20+'22'!H20</f>
        <v>5449</v>
      </c>
      <c r="I20" s="336">
        <f>I18-J20</f>
        <v>-171.91304347826087</v>
      </c>
      <c r="J20" s="175">
        <f>H20/DAY(B2)</f>
        <v>236.91304347826087</v>
      </c>
      <c r="K20" s="79"/>
      <c r="L20" s="66"/>
      <c r="N20" s="87"/>
      <c r="O20" s="71"/>
    </row>
    <row r="21" spans="1:15" ht="30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250</v>
      </c>
      <c r="I23" s="118"/>
      <c r="J23" s="175">
        <f>H23/DAY(B2)</f>
        <v>10.869565217391305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250</v>
      </c>
      <c r="I24" s="118"/>
      <c r="J24" s="175">
        <f>H24/DAY(B2)</f>
        <v>10.869565217391305</v>
      </c>
      <c r="K24" s="79"/>
      <c r="L24" s="66"/>
      <c r="N24" s="87"/>
      <c r="O24" s="71"/>
    </row>
    <row r="25" spans="1:15" s="88" customFormat="1" ht="30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G27+'22'!H27</f>
        <v>4071715.4700000007</v>
      </c>
      <c r="I27" s="138"/>
      <c r="J27" s="175">
        <f>H27/DAY(B2)</f>
        <v>177031.10739130437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1107184</v>
      </c>
      <c r="I28" s="140"/>
      <c r="J28" s="175">
        <f>H28/DAY(B2)</f>
        <v>48138.434782608696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17250</v>
      </c>
      <c r="I29" s="140"/>
      <c r="J29" s="175">
        <f>H29/DAY(B2)</f>
        <v>750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179434</v>
      </c>
      <c r="I30" s="140"/>
      <c r="J30" s="175">
        <f>H30/DAY(B2)</f>
        <v>7801.478260869565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700</v>
      </c>
      <c r="F31" s="136">
        <v>80</v>
      </c>
      <c r="G31" s="137">
        <f>E31*F31</f>
        <v>56000</v>
      </c>
      <c r="H31" s="99">
        <f>G31+'22'!H31</f>
        <v>337600</v>
      </c>
      <c r="I31" s="140"/>
      <c r="J31" s="175">
        <f>H31/DAY(B2)</f>
        <v>14678.260869565218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332730</v>
      </c>
      <c r="H32" s="99">
        <f>G32+'22'!H32</f>
        <v>5713183.4700000016</v>
      </c>
      <c r="I32" s="144"/>
      <c r="J32" s="175">
        <f>H32/DAY(B2)</f>
        <v>248399.28130434788</v>
      </c>
      <c r="K32" s="63"/>
      <c r="L32" s="89"/>
      <c r="N32" s="87"/>
      <c r="O32" s="71"/>
    </row>
    <row r="33" spans="1:15" ht="30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136855.21</v>
      </c>
      <c r="F35" s="145">
        <v>138344</v>
      </c>
      <c r="G35" s="112">
        <f t="shared" ref="G35:G46" si="3">F35-E35</f>
        <v>1488.7900000000081</v>
      </c>
      <c r="H35" s="99">
        <f>G35+'22'!H35</f>
        <v>153544</v>
      </c>
      <c r="I35" s="95"/>
      <c r="J35" s="175">
        <f>H35/DAY(B2)</f>
        <v>6675.826086956522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13145.36</v>
      </c>
      <c r="F36" s="145">
        <v>13967</v>
      </c>
      <c r="G36" s="112">
        <f t="shared" si="3"/>
        <v>821.63999999999942</v>
      </c>
      <c r="H36" s="99">
        <f>G36+'22'!H36</f>
        <v>-7560</v>
      </c>
      <c r="I36" s="95"/>
      <c r="J36" s="175">
        <f>H36/DAY(B2)</f>
        <v>-328.69565217391306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181097.29</v>
      </c>
      <c r="F37" s="145">
        <v>182684</v>
      </c>
      <c r="G37" s="112">
        <f t="shared" si="3"/>
        <v>1586.7099999999919</v>
      </c>
      <c r="H37" s="99">
        <f>G37+'22'!H37</f>
        <v>194896</v>
      </c>
      <c r="I37" s="95"/>
      <c r="J37" s="175">
        <f>H37/DAY(B2)</f>
        <v>8473.7391304347821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215136.45</v>
      </c>
      <c r="F38" s="108">
        <v>217070</v>
      </c>
      <c r="G38" s="112">
        <f t="shared" si="3"/>
        <v>1933.5499999999884</v>
      </c>
      <c r="H38" s="99">
        <f>G38+'22'!H38</f>
        <v>230270</v>
      </c>
      <c r="I38" s="95"/>
      <c r="J38" s="175">
        <f>H38/DAY(B2)</f>
        <v>10011.739130434782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386212.15</v>
      </c>
      <c r="F39" s="145">
        <v>388956</v>
      </c>
      <c r="G39" s="112">
        <f t="shared" si="3"/>
        <v>2743.8499999999767</v>
      </c>
      <c r="H39" s="99">
        <f>G39+'22'!H39</f>
        <v>410638</v>
      </c>
      <c r="I39" s="95"/>
      <c r="J39" s="175">
        <f>H39/DAY(B2)</f>
        <v>17853.82608695652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1228.6199999999999</v>
      </c>
      <c r="F40" s="145">
        <v>1817</v>
      </c>
      <c r="G40" s="112">
        <f t="shared" si="3"/>
        <v>588.38000000000011</v>
      </c>
      <c r="H40" s="99">
        <f>G40+'22'!H40</f>
        <v>-3252.8500000000004</v>
      </c>
      <c r="I40" s="95"/>
      <c r="J40" s="175">
        <f>H40/DAY(B2)</f>
        <v>-141.42826086956524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38987.9</v>
      </c>
      <c r="F42" s="145">
        <v>43442</v>
      </c>
      <c r="G42" s="112">
        <f t="shared" si="3"/>
        <v>4454.0999999999985</v>
      </c>
      <c r="H42" s="99">
        <f>G42+'22'!H42</f>
        <v>-30367</v>
      </c>
      <c r="I42" s="95"/>
      <c r="J42" s="175">
        <f>H42/DAY(B2)</f>
        <v>-1320.304347826087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23615.5</v>
      </c>
      <c r="F43" s="145">
        <v>26293</v>
      </c>
      <c r="G43" s="112">
        <f t="shared" si="3"/>
        <v>2677.5</v>
      </c>
      <c r="H43" s="99">
        <f>G43+'22'!H43</f>
        <v>-20967.999999999996</v>
      </c>
      <c r="I43" s="95"/>
      <c r="J43" s="175">
        <f>H43/DAY(B2)</f>
        <v>-911.65217391304327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16294.519999999964</v>
      </c>
      <c r="H47" s="99">
        <f>G47+'22'!H47</f>
        <v>927200.15000000014</v>
      </c>
      <c r="I47" s="95"/>
      <c r="J47" s="175">
        <f>H47/DAY(B2)</f>
        <v>40313.050000000003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258707.57</v>
      </c>
      <c r="F49" s="145">
        <v>260245</v>
      </c>
      <c r="G49" s="112">
        <f t="shared" ref="G49:G58" si="4">F49-E49</f>
        <v>1537.429999999993</v>
      </c>
      <c r="H49" s="99">
        <f>G49+'22'!H49</f>
        <v>273366.00000000006</v>
      </c>
      <c r="I49" s="95"/>
      <c r="J49" s="175">
        <f>H49/DAY(B2)</f>
        <v>11885.478260869568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14197.89</v>
      </c>
      <c r="F50" s="145">
        <v>15275</v>
      </c>
      <c r="G50" s="112">
        <f t="shared" si="4"/>
        <v>1077.1100000000006</v>
      </c>
      <c r="H50" s="99">
        <f>G50+'22'!H50</f>
        <v>-9375.0000000000018</v>
      </c>
      <c r="I50" s="95"/>
      <c r="J50" s="175">
        <f>H50/DAY(B2)</f>
        <v>-407.60869565217399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3144.2</v>
      </c>
      <c r="F54" s="145">
        <v>3148</v>
      </c>
      <c r="G54" s="112">
        <f t="shared" si="4"/>
        <v>3.8000000000001819</v>
      </c>
      <c r="H54" s="99">
        <f>G54+'22'!H54</f>
        <v>4915.08</v>
      </c>
      <c r="I54" s="95"/>
      <c r="J54" s="175">
        <f>H54/DAY(B2)</f>
        <v>213.6991304347826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-3511</v>
      </c>
      <c r="I55" s="95"/>
      <c r="J55" s="175">
        <f>H55/DAY(B2)</f>
        <v>-152.65217391304347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90345.04</v>
      </c>
      <c r="F58" s="145">
        <v>90581</v>
      </c>
      <c r="G58" s="112">
        <f t="shared" si="4"/>
        <v>235.9600000000064</v>
      </c>
      <c r="H58" s="99">
        <f>G58+'22'!H58</f>
        <v>90921.63</v>
      </c>
      <c r="I58" s="95"/>
      <c r="J58" s="175">
        <f>H58/DAY(B2)</f>
        <v>3953.1143478260869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2854.3</v>
      </c>
      <c r="H59" s="99">
        <f>G59+'22'!H59</f>
        <v>356316.71</v>
      </c>
      <c r="I59" s="95">
        <f>G7-G60</f>
        <v>4351.1800000000367</v>
      </c>
      <c r="J59" s="175">
        <f>H59/DAY(B2)</f>
        <v>15492.030869565218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19148.819999999963</v>
      </c>
      <c r="H60" s="99">
        <f>G60+'22'!H60</f>
        <v>1283516.8599999999</v>
      </c>
      <c r="I60" s="95">
        <f>G13-G60</f>
        <v>-648.81999999996333</v>
      </c>
      <c r="J60" s="175">
        <f>H60/DAY(B2)</f>
        <v>55805.080869565209</v>
      </c>
      <c r="K60" s="79"/>
      <c r="L60" s="66"/>
      <c r="N60" s="87"/>
      <c r="O60" s="71"/>
    </row>
    <row r="61" spans="1:15" s="68" customFormat="1" ht="30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4" t="s">
        <v>198</v>
      </c>
      <c r="B62" s="855"/>
      <c r="C62" s="856"/>
      <c r="D62" s="151" t="s">
        <v>142</v>
      </c>
      <c r="E62" s="95">
        <f>'22'!F62</f>
        <v>266199</v>
      </c>
      <c r="F62" s="122">
        <v>266319</v>
      </c>
      <c r="G62" s="112">
        <f t="shared" ref="G62:G63" si="5">F62-E62</f>
        <v>120</v>
      </c>
      <c r="H62" s="99">
        <f>G62+'22'!H62</f>
        <v>-894</v>
      </c>
      <c r="I62" s="118"/>
      <c r="J62" s="175">
        <f>H62/DAY(B2)</f>
        <v>-38.869565217391305</v>
      </c>
      <c r="K62" s="80"/>
      <c r="L62" s="66"/>
      <c r="N62" s="87"/>
      <c r="O62" s="71"/>
    </row>
    <row r="63" spans="1:15" ht="30.75" customHeight="1" x14ac:dyDescent="0.5">
      <c r="A63" s="854" t="s">
        <v>199</v>
      </c>
      <c r="B63" s="855"/>
      <c r="C63" s="856"/>
      <c r="D63" s="151" t="s">
        <v>142</v>
      </c>
      <c r="E63" s="95">
        <f>'22'!F63</f>
        <v>211648</v>
      </c>
      <c r="F63" s="122">
        <v>211714</v>
      </c>
      <c r="G63" s="112">
        <f t="shared" si="5"/>
        <v>66</v>
      </c>
      <c r="H63" s="99">
        <f>G63+'22'!H63</f>
        <v>-711</v>
      </c>
      <c r="I63" s="118"/>
      <c r="J63" s="175">
        <f>H63/DAY(B2)</f>
        <v>-30.913043478260871</v>
      </c>
      <c r="K63" s="69"/>
      <c r="L63" s="66"/>
      <c r="N63" s="87"/>
      <c r="O63" s="71"/>
    </row>
    <row r="64" spans="1:15" ht="30.75" customHeight="1" x14ac:dyDescent="0.5">
      <c r="A64" s="863" t="s">
        <v>200</v>
      </c>
      <c r="B64" s="864"/>
      <c r="C64" s="865"/>
      <c r="D64" s="151"/>
      <c r="E64" s="95">
        <f>'22'!F64</f>
        <v>0</v>
      </c>
      <c r="F64" s="122"/>
      <c r="G64" s="112">
        <f>G62+G63</f>
        <v>186</v>
      </c>
      <c r="H64" s="99">
        <f>G64+'22'!H64</f>
        <v>-1605</v>
      </c>
      <c r="I64" s="118"/>
      <c r="J64" s="175">
        <f>H64/DAY(B2)</f>
        <v>-69.782608695652172</v>
      </c>
      <c r="K64" s="69"/>
      <c r="L64" s="66"/>
      <c r="N64" s="87"/>
      <c r="O64" s="71"/>
    </row>
    <row r="65" spans="1:15" ht="30.75" customHeight="1" x14ac:dyDescent="0.5">
      <c r="A65" s="854" t="s">
        <v>201</v>
      </c>
      <c r="B65" s="855"/>
      <c r="C65" s="856"/>
      <c r="D65" s="151" t="s">
        <v>142</v>
      </c>
      <c r="E65" s="95">
        <f>'22'!F65</f>
        <v>431688</v>
      </c>
      <c r="F65" s="122">
        <v>431787</v>
      </c>
      <c r="G65" s="112">
        <f t="shared" ref="G65:G70" si="6">F65-E65</f>
        <v>99</v>
      </c>
      <c r="H65" s="99">
        <f>G65+'22'!H65</f>
        <v>-827</v>
      </c>
      <c r="I65" s="118"/>
      <c r="J65" s="175">
        <f>H65/DAY(B2)</f>
        <v>-35.956521739130437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107025</v>
      </c>
      <c r="F66" s="122">
        <v>107050</v>
      </c>
      <c r="G66" s="112">
        <f t="shared" si="6"/>
        <v>25</v>
      </c>
      <c r="H66" s="99">
        <f>G66+'22'!H66</f>
        <v>-164</v>
      </c>
      <c r="I66" s="118"/>
      <c r="J66" s="175">
        <f>H66/DAY(B2)</f>
        <v>-7.1304347826086953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103652</v>
      </c>
      <c r="F67" s="150">
        <v>103680</v>
      </c>
      <c r="G67" s="112">
        <f t="shared" si="6"/>
        <v>28</v>
      </c>
      <c r="H67" s="99">
        <f>G67+'22'!H67</f>
        <v>-248</v>
      </c>
      <c r="I67" s="118"/>
      <c r="J67" s="175">
        <f>H67/DAY(B2)</f>
        <v>-10.782608695652174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156316</v>
      </c>
      <c r="F68" s="122">
        <v>156345</v>
      </c>
      <c r="G68" s="112">
        <f t="shared" si="6"/>
        <v>29</v>
      </c>
      <c r="H68" s="99">
        <f>G68+'22'!H68</f>
        <v>-275</v>
      </c>
      <c r="I68" s="118"/>
      <c r="J68" s="175">
        <f>H68/DAY(B2)</f>
        <v>-11.956521739130435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10095</v>
      </c>
      <c r="F69" s="122">
        <v>10106</v>
      </c>
      <c r="G69" s="112">
        <f t="shared" si="6"/>
        <v>11</v>
      </c>
      <c r="H69" s="99">
        <f>G69+'22'!H69</f>
        <v>-108</v>
      </c>
      <c r="I69" s="118"/>
      <c r="J69" s="175">
        <f>H69/DAY(B2)</f>
        <v>-4.6956521739130439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7780</v>
      </c>
      <c r="F70" s="150">
        <v>7791</v>
      </c>
      <c r="G70" s="112">
        <f t="shared" si="6"/>
        <v>11</v>
      </c>
      <c r="H70" s="99">
        <f>G70+'22'!H70</f>
        <v>-71</v>
      </c>
      <c r="I70" s="118"/>
      <c r="J70" s="175">
        <f>H70/DAY(B2)</f>
        <v>-3.0869565217391304</v>
      </c>
      <c r="K70" s="69"/>
      <c r="L70" s="66"/>
      <c r="N70" s="87"/>
      <c r="O70" s="71"/>
    </row>
    <row r="71" spans="1:15" ht="30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203</v>
      </c>
      <c r="H71" s="99">
        <f>G71+'22'!H71</f>
        <v>-1693</v>
      </c>
      <c r="I71" s="154"/>
      <c r="J71" s="175">
        <f>H71/DAY(B2)</f>
        <v>-73.608695652173907</v>
      </c>
      <c r="K71" s="69"/>
      <c r="L71" s="66"/>
      <c r="N71" s="87"/>
      <c r="O71" s="71"/>
    </row>
    <row r="72" spans="1:15" s="88" customFormat="1" ht="30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4" t="s">
        <v>220</v>
      </c>
      <c r="B74" s="855"/>
      <c r="C74" s="856"/>
      <c r="D74" s="151" t="s">
        <v>139</v>
      </c>
      <c r="E74" s="95">
        <f>'22'!F74</f>
        <v>889227.52</v>
      </c>
      <c r="F74" s="117">
        <v>889529</v>
      </c>
      <c r="G74" s="112">
        <f t="shared" ref="G74:G78" si="7">F74-E74</f>
        <v>301.47999999998137</v>
      </c>
      <c r="H74" s="99">
        <f>G74+'22'!H74</f>
        <v>-2503</v>
      </c>
      <c r="I74" s="154"/>
      <c r="J74" s="175">
        <f>H74/DAY(B2)</f>
        <v>-108.82608695652173</v>
      </c>
      <c r="K74" s="69"/>
      <c r="L74" s="66"/>
      <c r="N74" s="87"/>
      <c r="O74" s="71"/>
    </row>
    <row r="75" spans="1:15" ht="30.75" customHeight="1" x14ac:dyDescent="0.5">
      <c r="A75" s="854" t="s">
        <v>221</v>
      </c>
      <c r="B75" s="855"/>
      <c r="C75" s="85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243.88999999999942</v>
      </c>
      <c r="I75" s="154"/>
      <c r="J75" s="175">
        <f>H75/DAY(B2)</f>
        <v>10.603913043478235</v>
      </c>
      <c r="K75" s="69"/>
      <c r="L75" s="66"/>
      <c r="N75" s="87"/>
      <c r="O75" s="71"/>
    </row>
    <row r="76" spans="1:15" ht="30.75" customHeight="1" x14ac:dyDescent="0.5">
      <c r="A76" s="851" t="s">
        <v>222</v>
      </c>
      <c r="B76" s="852"/>
      <c r="C76" s="853"/>
      <c r="D76" s="151" t="s">
        <v>139</v>
      </c>
      <c r="E76" s="95">
        <f>'22'!F76</f>
        <v>166217.79999999999</v>
      </c>
      <c r="F76" s="123">
        <v>166338</v>
      </c>
      <c r="G76" s="112">
        <f t="shared" si="7"/>
        <v>120.20000000001164</v>
      </c>
      <c r="H76" s="99">
        <f>G76+'22'!H76</f>
        <v>-869</v>
      </c>
      <c r="I76" s="154"/>
      <c r="J76" s="175">
        <f>H76/DAY(B2)</f>
        <v>-37.782608695652172</v>
      </c>
      <c r="K76" s="69"/>
      <c r="L76" s="66"/>
      <c r="N76" s="87"/>
      <c r="O76" s="71"/>
    </row>
    <row r="77" spans="1:15" ht="30.75" customHeight="1" x14ac:dyDescent="0.5">
      <c r="A77" s="851" t="s">
        <v>223</v>
      </c>
      <c r="B77" s="852"/>
      <c r="C77" s="853"/>
      <c r="D77" s="151" t="s">
        <v>139</v>
      </c>
      <c r="E77" s="95">
        <f>'22'!F77</f>
        <v>39898.9</v>
      </c>
      <c r="F77" s="123">
        <v>39940</v>
      </c>
      <c r="G77" s="112">
        <f t="shared" si="7"/>
        <v>41.099999999998545</v>
      </c>
      <c r="H77" s="99">
        <f>G77+'22'!H77</f>
        <v>-376</v>
      </c>
      <c r="I77" s="154"/>
      <c r="J77" s="175">
        <f>H77/DAY(B2)</f>
        <v>-16.347826086956523</v>
      </c>
      <c r="K77" s="69"/>
      <c r="L77" s="66"/>
      <c r="N77" s="87"/>
      <c r="O77" s="71"/>
    </row>
    <row r="78" spans="1:15" ht="30.75" customHeight="1" x14ac:dyDescent="0.5">
      <c r="A78" s="851" t="s">
        <v>224</v>
      </c>
      <c r="B78" s="852"/>
      <c r="C78" s="853"/>
      <c r="D78" s="151" t="s">
        <v>139</v>
      </c>
      <c r="E78" s="95">
        <f>'22'!F78</f>
        <v>9468.7000000000007</v>
      </c>
      <c r="F78" s="123">
        <v>9470</v>
      </c>
      <c r="G78" s="112">
        <f t="shared" si="7"/>
        <v>1.2999999999992724</v>
      </c>
      <c r="H78" s="99">
        <f>G78+'22'!H78</f>
        <v>-16</v>
      </c>
      <c r="I78" s="118"/>
      <c r="J78" s="175">
        <f>H78/DAY(B2)</f>
        <v>-0.69565217391304346</v>
      </c>
      <c r="K78" s="69"/>
      <c r="L78" s="66"/>
      <c r="N78" s="87"/>
      <c r="O78" s="71"/>
    </row>
    <row r="79" spans="1:15" s="57" customFormat="1" ht="30.75" customHeight="1" x14ac:dyDescent="0.5">
      <c r="A79" s="851" t="s">
        <v>225</v>
      </c>
      <c r="B79" s="852"/>
      <c r="C79" s="853"/>
      <c r="D79" s="151"/>
      <c r="E79" s="95">
        <f>'22'!F79</f>
        <v>0</v>
      </c>
      <c r="F79" s="123"/>
      <c r="G79" s="112">
        <f>G15-SUM(G74:G78)</f>
        <v>635.92000000000917</v>
      </c>
      <c r="H79" s="99">
        <f>G79+'22'!H79</f>
        <v>24812.11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1916.37</v>
      </c>
      <c r="F85" s="164">
        <v>1940</v>
      </c>
      <c r="G85" s="112">
        <f t="shared" si="8"/>
        <v>23.630000000000109</v>
      </c>
      <c r="H85" s="99">
        <f>G85+'22'!H85</f>
        <v>-156.55999999999995</v>
      </c>
      <c r="I85" s="118">
        <f>G82+G83+G84+G85</f>
        <v>23.630000000000109</v>
      </c>
      <c r="J85" s="175">
        <f>H85/DAY(B2)</f>
        <v>-6.8069565217391279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-36.529999999998836</v>
      </c>
      <c r="I86" s="118"/>
      <c r="J86" s="175">
        <f>H86/DAY(B2)</f>
        <v>-1.5882608695651668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24005.53</v>
      </c>
      <c r="F88" s="164">
        <v>24005.53</v>
      </c>
      <c r="G88" s="112">
        <f t="shared" si="8"/>
        <v>0</v>
      </c>
      <c r="H88" s="99">
        <f>G88+'22'!H88</f>
        <v>-41.470000000001164</v>
      </c>
      <c r="I88" s="118">
        <f>G86+G87+G88</f>
        <v>0</v>
      </c>
      <c r="J88" s="175">
        <f>H88/DAY(B2)</f>
        <v>-1.8030434782609202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25616.27</v>
      </c>
      <c r="F89" s="164">
        <v>25626.69</v>
      </c>
      <c r="G89" s="112">
        <f t="shared" si="8"/>
        <v>10.419999999998254</v>
      </c>
      <c r="H89" s="99">
        <f>G89+'22'!H89</f>
        <v>-36.31000000000131</v>
      </c>
      <c r="I89" s="118"/>
      <c r="J89" s="175">
        <f>H89/DAY(B2)</f>
        <v>-1.5786956521739699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70981.08</v>
      </c>
      <c r="F90" s="164">
        <v>70986.62</v>
      </c>
      <c r="G90" s="112">
        <f t="shared" si="8"/>
        <v>5.5399999999935972</v>
      </c>
      <c r="H90" s="99">
        <f>G90+'22'!H90</f>
        <v>-47.380000000004657</v>
      </c>
      <c r="I90" s="118">
        <f>G89+G90</f>
        <v>15.959999999991851</v>
      </c>
      <c r="J90" s="175">
        <f>H90/DAY(B2)</f>
        <v>-2.0600000000002026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5340.01</v>
      </c>
      <c r="F92" s="122">
        <v>5350.74</v>
      </c>
      <c r="G92" s="112">
        <f t="shared" si="8"/>
        <v>10.729999999999563</v>
      </c>
      <c r="H92" s="99">
        <f>G92+'22'!H92</f>
        <v>-87.260000000000218</v>
      </c>
      <c r="I92" s="165"/>
      <c r="J92" s="175">
        <f>H92/DAY(B2)</f>
        <v>-3.7939130434782702</v>
      </c>
      <c r="O92" s="71"/>
    </row>
    <row r="93" spans="1:15" ht="30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5703.7200000000012</v>
      </c>
      <c r="H94" s="99">
        <f>G94+'22'!H94</f>
        <v>405942</v>
      </c>
      <c r="I94" s="118"/>
      <c r="J94" s="175">
        <f>H94/DAY(B2)</f>
        <v>17649.652173913044</v>
      </c>
      <c r="K94" s="69"/>
      <c r="L94" s="66"/>
      <c r="O94" s="71"/>
    </row>
    <row r="95" spans="1:15" ht="30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0.24271148936170217</v>
      </c>
      <c r="H95" s="99">
        <f>G95+'22'!H95</f>
        <v>18.413618433926381</v>
      </c>
      <c r="I95" s="167"/>
      <c r="J95" s="175">
        <f>H95/DAY(B2)</f>
        <v>0.80059210582288609</v>
      </c>
      <c r="K95" s="69"/>
      <c r="L95" s="66"/>
      <c r="O95" s="71"/>
    </row>
    <row r="96" spans="1:15" ht="30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4454.0999999999985</v>
      </c>
      <c r="H96" s="99">
        <f>G96+'22'!H96</f>
        <v>-33878</v>
      </c>
      <c r="I96" s="118"/>
      <c r="J96" s="175">
        <f>H96/DAY(B2)</f>
        <v>-1472.9565217391305</v>
      </c>
      <c r="K96" s="69"/>
      <c r="L96" s="66"/>
      <c r="O96" s="71"/>
    </row>
    <row r="97" spans="1:15" ht="30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0.18953617021276589</v>
      </c>
      <c r="H97" s="99">
        <f>G97+'22'!H97</f>
        <v>-0.77828454079301956</v>
      </c>
      <c r="I97" s="167"/>
      <c r="J97" s="175">
        <f>H97/DAY(B2)</f>
        <v>-3.3838458295348678E-2</v>
      </c>
      <c r="K97" s="69"/>
      <c r="L97" s="66"/>
      <c r="O97" s="71"/>
    </row>
    <row r="98" spans="1:15" ht="30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2743.8499999999767</v>
      </c>
      <c r="H98" s="99">
        <f>G98+'22'!H98</f>
        <v>410638</v>
      </c>
      <c r="I98" s="168"/>
      <c r="J98" s="175">
        <f>H98/DAY(B2)</f>
        <v>17853.82608695652</v>
      </c>
      <c r="K98" s="69"/>
      <c r="L98" s="66"/>
      <c r="O98" s="71"/>
    </row>
    <row r="99" spans="1:15" ht="30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0.11675957446808412</v>
      </c>
      <c r="H99" s="99">
        <f>G99+'22'!H99</f>
        <v>18.04764878060254</v>
      </c>
      <c r="I99" s="168"/>
      <c r="J99" s="175">
        <f>H99/DAY(B2)</f>
        <v>0.78468038176532784</v>
      </c>
      <c r="O99" s="71"/>
    </row>
    <row r="100" spans="1:15" ht="30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1933.5499999999884</v>
      </c>
      <c r="H100" s="99">
        <f>G100+'22'!H100</f>
        <v>230270</v>
      </c>
      <c r="I100" s="118"/>
      <c r="J100" s="175">
        <f>H100/DAY(B2)</f>
        <v>10011.739130434782</v>
      </c>
      <c r="K100" s="70"/>
      <c r="O100" s="71"/>
    </row>
    <row r="101" spans="1:15" ht="30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8.2278723404254822E-2</v>
      </c>
      <c r="H101" s="99">
        <f>G101+'22'!H101</f>
        <v>10.153974820672126</v>
      </c>
      <c r="I101" s="168"/>
      <c r="J101" s="175">
        <f>H101/DAY(B2)</f>
        <v>0.44147716611617938</v>
      </c>
      <c r="O101" s="71"/>
    </row>
    <row r="102" spans="1:15" ht="30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1898.75</v>
      </c>
      <c r="H102" s="99">
        <f>G102+'22'!H102</f>
        <v>-16935</v>
      </c>
      <c r="I102" s="168"/>
      <c r="J102" s="175">
        <f>H102/DAY(B2)</f>
        <v>-736.304347826087</v>
      </c>
      <c r="O102" s="71"/>
    </row>
    <row r="103" spans="1:15" ht="30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8.0797872340425528E-2</v>
      </c>
      <c r="H103" s="99">
        <f>G103+'22'!H103</f>
        <v>-0.36404437030563314</v>
      </c>
      <c r="I103" s="118"/>
      <c r="J103" s="175">
        <f>H103/DAY(B2)</f>
        <v>-1.582801610024492E-2</v>
      </c>
      <c r="O103" s="71"/>
    </row>
    <row r="104" spans="1:15" ht="30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1586.7099999999919</v>
      </c>
      <c r="H104" s="99">
        <f>G104+'22'!H104</f>
        <v>194896</v>
      </c>
      <c r="I104" s="118"/>
      <c r="J104" s="175">
        <f>H104/DAY(B2)</f>
        <v>8473.7391304347821</v>
      </c>
      <c r="O104" s="71"/>
    </row>
    <row r="105" spans="1:15" ht="30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6.7519574468084764E-2</v>
      </c>
      <c r="H105" s="99">
        <f>G105+'22'!H105</f>
        <v>8.6260734200091225</v>
      </c>
      <c r="I105" s="187"/>
      <c r="J105" s="188">
        <f>H105/DAY(B2)</f>
        <v>0.37504667043517925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30.75" customHeight="1" x14ac:dyDescent="0.5">
      <c r="A109" s="871"/>
      <c r="B109" s="871"/>
    </row>
    <row r="110" spans="1:15" ht="30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30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33" t="s">
        <v>252</v>
      </c>
      <c r="B112" s="834"/>
      <c r="C112" s="835"/>
      <c r="D112" s="146" t="s">
        <v>183</v>
      </c>
      <c r="E112" s="95">
        <f>'22'!F112</f>
        <v>55052.68</v>
      </c>
      <c r="F112" s="237">
        <v>55121</v>
      </c>
      <c r="G112" s="112">
        <f t="shared" ref="G112:G123" si="9">F112-E112</f>
        <v>68.319999999999709</v>
      </c>
      <c r="H112" s="99">
        <f>G112+'22'!H112</f>
        <v>-560</v>
      </c>
      <c r="I112" s="165"/>
      <c r="J112" s="328">
        <f>H112/DAY(B2)</f>
        <v>-24.347826086956523</v>
      </c>
    </row>
    <row r="113" spans="1:18" ht="30.75" customHeight="1" x14ac:dyDescent="0.5">
      <c r="A113" s="833" t="s">
        <v>253</v>
      </c>
      <c r="B113" s="834"/>
      <c r="C113" s="835"/>
      <c r="D113" s="146" t="s">
        <v>183</v>
      </c>
      <c r="E113" s="95">
        <f>'22'!F113</f>
        <v>28103.25</v>
      </c>
      <c r="F113" s="237">
        <v>28553</v>
      </c>
      <c r="G113" s="112">
        <f t="shared" si="9"/>
        <v>449.75</v>
      </c>
      <c r="H113" s="99">
        <f>G113+'22'!H113</f>
        <v>-3642</v>
      </c>
      <c r="I113" s="165"/>
      <c r="J113" s="328">
        <f>H113/DAY(B2)</f>
        <v>-158.34782608695653</v>
      </c>
    </row>
    <row r="114" spans="1:18" ht="30.75" customHeight="1" x14ac:dyDescent="0.5">
      <c r="A114" s="833" t="s">
        <v>254</v>
      </c>
      <c r="B114" s="834"/>
      <c r="C114" s="835"/>
      <c r="D114" s="146" t="s">
        <v>183</v>
      </c>
      <c r="E114" s="95">
        <f>'22'!F114</f>
        <v>22093.16</v>
      </c>
      <c r="F114" s="237">
        <v>22386</v>
      </c>
      <c r="G114" s="112">
        <f t="shared" si="9"/>
        <v>292.84000000000015</v>
      </c>
      <c r="H114" s="99">
        <f>G114+'22'!H114</f>
        <v>-2618.6000000000004</v>
      </c>
      <c r="I114" s="165"/>
      <c r="J114" s="328">
        <f>H114/DAY(B2)</f>
        <v>-113.8521739130435</v>
      </c>
    </row>
    <row r="115" spans="1:18" ht="30.75" customHeight="1" x14ac:dyDescent="0.5">
      <c r="A115" s="833" t="s">
        <v>255</v>
      </c>
      <c r="B115" s="834"/>
      <c r="C115" s="835"/>
      <c r="D115" s="146" t="s">
        <v>183</v>
      </c>
      <c r="E115" s="95">
        <f>'22'!F115</f>
        <v>8676.44</v>
      </c>
      <c r="F115" s="237">
        <v>8687</v>
      </c>
      <c r="G115" s="112">
        <f t="shared" si="9"/>
        <v>10.559999999999491</v>
      </c>
      <c r="H115" s="99">
        <f>G115+'22'!H115</f>
        <v>-98</v>
      </c>
      <c r="I115" s="165"/>
      <c r="J115" s="328">
        <f>H115/DAY(B2)</f>
        <v>-4.2608695652173916</v>
      </c>
    </row>
    <row r="116" spans="1:18" ht="30.75" customHeight="1" x14ac:dyDescent="0.5">
      <c r="A116" s="840" t="s">
        <v>96</v>
      </c>
      <c r="B116" s="841"/>
      <c r="C116" s="84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30.75" customHeight="1" x14ac:dyDescent="0.5">
      <c r="A117" s="840" t="s">
        <v>184</v>
      </c>
      <c r="B117" s="841"/>
      <c r="C117" s="842"/>
      <c r="D117" s="146" t="s">
        <v>183</v>
      </c>
      <c r="E117" s="95">
        <f>'22'!F117</f>
        <v>2381.9299999999998</v>
      </c>
      <c r="F117" s="237">
        <v>2397</v>
      </c>
      <c r="G117" s="112">
        <f t="shared" si="9"/>
        <v>15.070000000000164</v>
      </c>
      <c r="H117" s="99">
        <f>G117+'22'!H117</f>
        <v>-193</v>
      </c>
      <c r="I117" s="165"/>
      <c r="J117" s="328">
        <f>H117/DAY(B2)</f>
        <v>-8.3913043478260878</v>
      </c>
      <c r="Q117" s="833" t="s">
        <v>312</v>
      </c>
      <c r="R117" s="835"/>
    </row>
    <row r="118" spans="1:18" ht="30.75" customHeight="1" x14ac:dyDescent="0.5">
      <c r="A118" s="832" t="s">
        <v>97</v>
      </c>
      <c r="B118" s="832"/>
      <c r="C118" s="832"/>
      <c r="D118" s="151" t="s">
        <v>183</v>
      </c>
      <c r="E118" s="95">
        <f>'22'!F118</f>
        <v>238200.89</v>
      </c>
      <c r="F118" s="237">
        <v>238577</v>
      </c>
      <c r="G118" s="112">
        <f t="shared" si="9"/>
        <v>376.10999999998603</v>
      </c>
      <c r="H118" s="99">
        <f>G118+'22'!H118</f>
        <v>-3070</v>
      </c>
      <c r="I118" s="165"/>
      <c r="J118" s="328">
        <f>H118/DAY(B2)</f>
        <v>-133.47826086956522</v>
      </c>
      <c r="Q118" s="833" t="s">
        <v>311</v>
      </c>
      <c r="R118" s="835"/>
    </row>
    <row r="119" spans="1:18" ht="30.75" customHeight="1" x14ac:dyDescent="0.5">
      <c r="A119" s="832" t="s">
        <v>98</v>
      </c>
      <c r="B119" s="832"/>
      <c r="C119" s="832"/>
      <c r="D119" s="151" t="s">
        <v>183</v>
      </c>
      <c r="E119" s="95">
        <f>'22'!F119</f>
        <v>241342.97</v>
      </c>
      <c r="F119" s="237">
        <v>241781</v>
      </c>
      <c r="G119" s="112">
        <f t="shared" si="9"/>
        <v>438.02999999999884</v>
      </c>
      <c r="H119" s="99">
        <f>G119+'22'!H119</f>
        <v>-3345</v>
      </c>
      <c r="I119" s="165"/>
      <c r="J119" s="328">
        <f>H119/DAY(B2)</f>
        <v>-145.43478260869566</v>
      </c>
    </row>
    <row r="120" spans="1:18" ht="30.75" customHeight="1" x14ac:dyDescent="0.5">
      <c r="A120" s="832" t="s">
        <v>99</v>
      </c>
      <c r="B120" s="832"/>
      <c r="C120" s="832"/>
      <c r="D120" s="151" t="s">
        <v>183</v>
      </c>
      <c r="E120" s="95">
        <f>'22'!F120</f>
        <v>26322.51</v>
      </c>
      <c r="F120" s="237">
        <v>26758</v>
      </c>
      <c r="G120" s="112">
        <f t="shared" si="9"/>
        <v>435.4900000000016</v>
      </c>
      <c r="H120" s="99">
        <f>G120+'22'!H120</f>
        <v>-3320</v>
      </c>
      <c r="I120" s="165"/>
      <c r="J120" s="328">
        <f>H120/DAY(B2)</f>
        <v>-144.34782608695653</v>
      </c>
    </row>
    <row r="121" spans="1:18" ht="30.75" customHeight="1" x14ac:dyDescent="0.5">
      <c r="A121" s="832" t="s">
        <v>100</v>
      </c>
      <c r="B121" s="832"/>
      <c r="C121" s="832"/>
      <c r="D121" s="151" t="s">
        <v>183</v>
      </c>
      <c r="E121" s="95">
        <f>'22'!F121</f>
        <v>369474.35</v>
      </c>
      <c r="F121" s="237">
        <v>370233</v>
      </c>
      <c r="G121" s="112">
        <f t="shared" si="9"/>
        <v>758.65000000002328</v>
      </c>
      <c r="H121" s="99">
        <f>G121+'22'!H121</f>
        <v>-6296</v>
      </c>
      <c r="I121" s="165"/>
      <c r="J121" s="328">
        <f>H121/DAY(B2)</f>
        <v>-273.73913043478262</v>
      </c>
    </row>
    <row r="122" spans="1:18" ht="30.75" customHeight="1" x14ac:dyDescent="0.5">
      <c r="A122" s="832" t="s">
        <v>101</v>
      </c>
      <c r="B122" s="832"/>
      <c r="C122" s="832"/>
      <c r="D122" s="151" t="s">
        <v>183</v>
      </c>
      <c r="E122" s="95">
        <f>'22'!F122</f>
        <v>118105.71</v>
      </c>
      <c r="F122" s="237">
        <v>118297</v>
      </c>
      <c r="G122" s="112">
        <f t="shared" si="9"/>
        <v>191.2899999999936</v>
      </c>
      <c r="H122" s="99">
        <f>G122+'22'!H122</f>
        <v>-1753</v>
      </c>
      <c r="I122" s="165"/>
      <c r="J122" s="328">
        <f>H122/DAY(B2)</f>
        <v>-76.217391304347828</v>
      </c>
    </row>
    <row r="123" spans="1:18" ht="30.75" customHeight="1" x14ac:dyDescent="0.5">
      <c r="A123" s="832" t="s">
        <v>102</v>
      </c>
      <c r="B123" s="832"/>
      <c r="C123" s="832"/>
      <c r="D123" s="151" t="s">
        <v>183</v>
      </c>
      <c r="E123" s="95">
        <f>'22'!F123</f>
        <v>142003.64000000001</v>
      </c>
      <c r="F123" s="237">
        <v>142355</v>
      </c>
      <c r="G123" s="112">
        <f t="shared" si="9"/>
        <v>351.35999999998603</v>
      </c>
      <c r="H123" s="99">
        <f>G123+'22'!H123</f>
        <v>-2770</v>
      </c>
      <c r="I123" s="165"/>
      <c r="J123" s="328">
        <f>H123/DAY(B2)</f>
        <v>-120.43478260869566</v>
      </c>
    </row>
    <row r="124" spans="1:18" ht="30.75" customHeight="1" x14ac:dyDescent="0.5">
      <c r="A124" s="837"/>
      <c r="B124" s="838"/>
      <c r="C124" s="83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3387.4699999999889</v>
      </c>
      <c r="H125" s="156"/>
      <c r="I125" s="327">
        <f>G125-(G39+G53)</f>
        <v>643.62000000001217</v>
      </c>
      <c r="J125" s="327"/>
    </row>
    <row r="126" spans="1:18" ht="30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30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33" t="s">
        <v>318</v>
      </c>
      <c r="B128" s="834"/>
      <c r="C128" s="835"/>
      <c r="D128" s="151" t="s">
        <v>183</v>
      </c>
      <c r="E128" s="95">
        <f>'22'!F128</f>
        <v>34988.19</v>
      </c>
      <c r="F128" s="155">
        <v>35320</v>
      </c>
      <c r="G128" s="112">
        <f t="shared" ref="G128:G134" si="10">F128-E128</f>
        <v>331.80999999999767</v>
      </c>
      <c r="H128" s="99">
        <f>G128+'22'!H128</f>
        <v>-2684</v>
      </c>
      <c r="I128" s="165"/>
      <c r="J128" s="328">
        <f>H128/DAY(B2)</f>
        <v>-116.69565217391305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18368.71</v>
      </c>
      <c r="F129" s="155">
        <v>18568</v>
      </c>
      <c r="G129" s="112">
        <f t="shared" si="10"/>
        <v>199.29000000000087</v>
      </c>
      <c r="H129" s="99">
        <f>G129+'22'!H129</f>
        <v>-1753</v>
      </c>
      <c r="I129" s="165"/>
      <c r="J129" s="328">
        <f>H129/DAY(B2)</f>
        <v>-76.217391304347828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11513.11</v>
      </c>
      <c r="F130" s="155">
        <v>12146</v>
      </c>
      <c r="G130" s="112">
        <f t="shared" si="10"/>
        <v>632.88999999999942</v>
      </c>
      <c r="H130" s="99">
        <f>G130+'22'!H130</f>
        <v>-6236</v>
      </c>
      <c r="I130" s="165"/>
      <c r="J130" s="328">
        <f>H130/DAY(B2)</f>
        <v>-271.13043478260869</v>
      </c>
      <c r="N130" s="240"/>
      <c r="O130" s="241"/>
    </row>
    <row r="131" spans="1:15" ht="30.75" customHeight="1" x14ac:dyDescent="0.5">
      <c r="A131" s="833" t="s">
        <v>321</v>
      </c>
      <c r="B131" s="834"/>
      <c r="C131" s="835"/>
      <c r="D131" s="151" t="s">
        <v>183</v>
      </c>
      <c r="E131" s="95">
        <f>'22'!F131</f>
        <v>12305.57</v>
      </c>
      <c r="F131" s="155">
        <v>12405</v>
      </c>
      <c r="G131" s="112">
        <f t="shared" si="10"/>
        <v>99.430000000000291</v>
      </c>
      <c r="H131" s="99">
        <f>G131+'22'!H131</f>
        <v>-748</v>
      </c>
      <c r="I131" s="165"/>
      <c r="J131" s="328">
        <f>H131/DAY(B2)</f>
        <v>-32.521739130434781</v>
      </c>
      <c r="N131" s="240"/>
      <c r="O131" s="241"/>
    </row>
    <row r="132" spans="1:15" ht="30.75" customHeight="1" x14ac:dyDescent="0.5">
      <c r="A132" s="833" t="s">
        <v>322</v>
      </c>
      <c r="B132" s="834"/>
      <c r="C132" s="835"/>
      <c r="D132" s="151" t="s">
        <v>183</v>
      </c>
      <c r="E132" s="95">
        <f>'22'!F132</f>
        <v>36673.07</v>
      </c>
      <c r="F132" s="155">
        <v>37178</v>
      </c>
      <c r="G132" s="112">
        <f t="shared" si="10"/>
        <v>504.93000000000029</v>
      </c>
      <c r="H132" s="99">
        <f>G132+'22'!H132</f>
        <v>-39034.630000000005</v>
      </c>
      <c r="I132" s="165"/>
      <c r="J132" s="328">
        <f>H132/DAY(B2)</f>
        <v>-1697.1578260869567</v>
      </c>
    </row>
    <row r="133" spans="1:15" ht="30.75" customHeight="1" x14ac:dyDescent="0.5">
      <c r="A133" s="833" t="s">
        <v>362</v>
      </c>
      <c r="B133" s="834"/>
      <c r="C133" s="835"/>
      <c r="D133" s="151" t="s">
        <v>183</v>
      </c>
      <c r="E133" s="95">
        <f>'22'!F133</f>
        <v>81727.06</v>
      </c>
      <c r="F133" s="155">
        <v>82391</v>
      </c>
      <c r="G133" s="112">
        <f t="shared" si="10"/>
        <v>663.94000000000233</v>
      </c>
      <c r="H133" s="99">
        <f>G133+'22'!H133</f>
        <v>-5312</v>
      </c>
      <c r="I133" s="165"/>
      <c r="J133" s="328">
        <f>H133/DAY(B2)</f>
        <v>-230.95652173913044</v>
      </c>
    </row>
    <row r="134" spans="1:15" ht="30.75" customHeight="1" x14ac:dyDescent="0.5">
      <c r="A134" s="833" t="s">
        <v>340</v>
      </c>
      <c r="B134" s="834"/>
      <c r="C134" s="835"/>
      <c r="D134" s="151" t="s">
        <v>183</v>
      </c>
      <c r="E134" s="95">
        <f>'22'!F134</f>
        <v>663872</v>
      </c>
      <c r="F134" s="374">
        <v>664239</v>
      </c>
      <c r="G134" s="112">
        <f t="shared" si="10"/>
        <v>367</v>
      </c>
      <c r="H134" s="99">
        <f>G134+'22'!H134</f>
        <v>666533</v>
      </c>
      <c r="I134" s="165"/>
      <c r="J134" s="328">
        <f>H134/DAY(B2)</f>
        <v>28979.695652173912</v>
      </c>
    </row>
    <row r="135" spans="1:15" ht="30.75" customHeight="1" x14ac:dyDescent="0.5">
      <c r="A135" s="817" t="s">
        <v>196</v>
      </c>
      <c r="B135" s="818"/>
      <c r="C135" s="331"/>
      <c r="D135" s="151"/>
      <c r="E135" s="95"/>
      <c r="F135" s="594"/>
      <c r="G135" s="112">
        <f>SUM(G128:G134)</f>
        <v>2799.2900000000009</v>
      </c>
      <c r="H135" s="99">
        <f>G135+'10'!H135</f>
        <v>34023.29</v>
      </c>
      <c r="I135" s="327">
        <f>G135-(G35+G49)</f>
        <v>-226.93000000000029</v>
      </c>
      <c r="J135" s="328"/>
    </row>
    <row r="136" spans="1:15" ht="30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32" t="s">
        <v>185</v>
      </c>
      <c r="B138" s="832"/>
      <c r="C138" s="832"/>
      <c r="D138" s="151" t="s">
        <v>183</v>
      </c>
      <c r="E138" s="95">
        <f>'22'!F138</f>
        <v>863144</v>
      </c>
      <c r="F138" s="147">
        <v>863269</v>
      </c>
      <c r="G138" s="112">
        <f t="shared" ref="G138:G152" si="11">F138-E138</f>
        <v>125</v>
      </c>
      <c r="H138" s="99">
        <f>G138+'22'!H138</f>
        <v>-902</v>
      </c>
      <c r="I138" s="118"/>
      <c r="J138" s="328">
        <f>H138/DAY(B2)</f>
        <v>-39.217391304347828</v>
      </c>
    </row>
    <row r="139" spans="1:15" ht="30.75" customHeight="1" x14ac:dyDescent="0.5">
      <c r="A139" s="832" t="s">
        <v>186</v>
      </c>
      <c r="B139" s="832"/>
      <c r="C139" s="832"/>
      <c r="D139" s="151" t="s">
        <v>183</v>
      </c>
      <c r="E139" s="95">
        <f>'22'!F139</f>
        <v>886463</v>
      </c>
      <c r="F139" s="148">
        <v>886477</v>
      </c>
      <c r="G139" s="112">
        <f t="shared" si="11"/>
        <v>14</v>
      </c>
      <c r="H139" s="99">
        <f>G139+'22'!H139</f>
        <v>-69</v>
      </c>
      <c r="I139" s="118"/>
      <c r="J139" s="328">
        <f>H139/DAY(B2)</f>
        <v>-3</v>
      </c>
    </row>
    <row r="140" spans="1:15" ht="30.75" customHeight="1" x14ac:dyDescent="0.5">
      <c r="A140" s="832" t="s">
        <v>187</v>
      </c>
      <c r="B140" s="832"/>
      <c r="C140" s="832"/>
      <c r="D140" s="151" t="s">
        <v>183</v>
      </c>
      <c r="E140" s="95">
        <f>'22'!F140</f>
        <v>88882.4</v>
      </c>
      <c r="F140" s="149">
        <v>88882.4</v>
      </c>
      <c r="G140" s="112">
        <f t="shared" si="11"/>
        <v>0</v>
      </c>
      <c r="H140" s="99">
        <f>G140+'22'!H140</f>
        <v>0.39999999999417923</v>
      </c>
      <c r="I140" s="118"/>
      <c r="J140" s="328">
        <f>H140/DAY(B2)</f>
        <v>1.7391304347573012E-2</v>
      </c>
    </row>
    <row r="141" spans="1:15" ht="30.75" customHeight="1" x14ac:dyDescent="0.5">
      <c r="A141" s="813" t="s">
        <v>188</v>
      </c>
      <c r="B141" s="813"/>
      <c r="C141" s="813"/>
      <c r="D141" s="151" t="s">
        <v>183</v>
      </c>
      <c r="E141" s="95">
        <f>'22'!F141</f>
        <v>47522.02</v>
      </c>
      <c r="F141" s="149">
        <v>47721</v>
      </c>
      <c r="G141" s="112">
        <f t="shared" si="11"/>
        <v>198.9800000000032</v>
      </c>
      <c r="H141" s="99">
        <f>G141+'22'!H141</f>
        <v>-1585</v>
      </c>
      <c r="I141" s="118"/>
      <c r="J141" s="328">
        <f>H141/DAY(B2)</f>
        <v>-68.913043478260875</v>
      </c>
    </row>
    <row r="142" spans="1:15" ht="30.75" customHeight="1" x14ac:dyDescent="0.5">
      <c r="A142" s="813" t="s">
        <v>189</v>
      </c>
      <c r="B142" s="813"/>
      <c r="C142" s="813"/>
      <c r="D142" s="151" t="s">
        <v>183</v>
      </c>
      <c r="E142" s="95">
        <f>'22'!F142</f>
        <v>18326.689999999999</v>
      </c>
      <c r="F142" s="148">
        <v>18398</v>
      </c>
      <c r="G142" s="112">
        <f t="shared" si="11"/>
        <v>71.31000000000131</v>
      </c>
      <c r="H142" s="99">
        <f>G142+'22'!H142</f>
        <v>-611</v>
      </c>
      <c r="I142" s="140"/>
      <c r="J142" s="328">
        <f>H142/DAY(B2)</f>
        <v>-26.565217391304348</v>
      </c>
    </row>
    <row r="143" spans="1:15" ht="30.75" customHeight="1" x14ac:dyDescent="0.5">
      <c r="A143" s="832" t="s">
        <v>91</v>
      </c>
      <c r="B143" s="832"/>
      <c r="C143" s="832"/>
      <c r="D143" s="151" t="s">
        <v>183</v>
      </c>
      <c r="E143" s="95">
        <f>'22'!F143</f>
        <v>2855.02</v>
      </c>
      <c r="F143" s="149">
        <v>2877</v>
      </c>
      <c r="G143" s="112">
        <f t="shared" si="11"/>
        <v>21.980000000000018</v>
      </c>
      <c r="H143" s="99">
        <f>G143+'22'!H143</f>
        <v>-184</v>
      </c>
      <c r="I143" s="140"/>
      <c r="J143" s="328">
        <f>H143/DAY(B2)</f>
        <v>-8</v>
      </c>
    </row>
    <row r="144" spans="1:15" ht="30.75" customHeight="1" x14ac:dyDescent="0.5">
      <c r="A144" s="813" t="s">
        <v>90</v>
      </c>
      <c r="B144" s="813"/>
      <c r="C144" s="813"/>
      <c r="D144" s="151" t="s">
        <v>183</v>
      </c>
      <c r="E144" s="95">
        <f>'22'!F144</f>
        <v>867517</v>
      </c>
      <c r="F144" s="149">
        <v>867751</v>
      </c>
      <c r="G144" s="112">
        <f t="shared" si="11"/>
        <v>234</v>
      </c>
      <c r="H144" s="99">
        <f>G144+'22'!H144</f>
        <v>-1919</v>
      </c>
      <c r="I144" s="140"/>
      <c r="J144" s="328">
        <f>H144/DAY(B2)</f>
        <v>-83.434782608695656</v>
      </c>
    </row>
    <row r="145" spans="1:10" ht="30.75" customHeight="1" x14ac:dyDescent="0.5">
      <c r="A145" s="832" t="s">
        <v>190</v>
      </c>
      <c r="B145" s="832"/>
      <c r="C145" s="832"/>
      <c r="D145" s="152" t="s">
        <v>183</v>
      </c>
      <c r="E145" s="95">
        <f>'22'!F145</f>
        <v>4414.07</v>
      </c>
      <c r="F145" s="149">
        <v>4439</v>
      </c>
      <c r="G145" s="112">
        <f t="shared" si="11"/>
        <v>24.930000000000291</v>
      </c>
      <c r="H145" s="99">
        <f>G145+'22'!H145</f>
        <v>-119</v>
      </c>
      <c r="I145" s="140"/>
      <c r="J145" s="328">
        <f>H145/DAY(B2)</f>
        <v>-5.1739130434782608</v>
      </c>
    </row>
    <row r="146" spans="1:10" ht="30.75" customHeight="1" x14ac:dyDescent="0.5">
      <c r="A146" s="867" t="s">
        <v>191</v>
      </c>
      <c r="B146" s="852"/>
      <c r="C146" s="853"/>
      <c r="D146" s="152" t="s">
        <v>183</v>
      </c>
      <c r="E146" s="95">
        <f>'22'!F146</f>
        <v>720480</v>
      </c>
      <c r="F146" s="148">
        <v>720962</v>
      </c>
      <c r="G146" s="112">
        <f t="shared" si="11"/>
        <v>482</v>
      </c>
      <c r="H146" s="99">
        <f>G146+'22'!H146</f>
        <v>-3896</v>
      </c>
      <c r="I146" s="140"/>
      <c r="J146" s="328">
        <f>H146/DAY(B2)</f>
        <v>-169.39130434782609</v>
      </c>
    </row>
    <row r="147" spans="1:10" ht="30.75" customHeight="1" x14ac:dyDescent="0.5">
      <c r="A147" s="813" t="s">
        <v>192</v>
      </c>
      <c r="B147" s="813"/>
      <c r="C147" s="813"/>
      <c r="D147" s="152" t="s">
        <v>183</v>
      </c>
      <c r="E147" s="95">
        <f>'22'!F147</f>
        <v>611540.12</v>
      </c>
      <c r="F147" s="148">
        <v>611914</v>
      </c>
      <c r="G147" s="112">
        <f t="shared" si="11"/>
        <v>373.88000000000466</v>
      </c>
      <c r="H147" s="99">
        <f>G147+'22'!H147</f>
        <v>-3368</v>
      </c>
      <c r="I147" s="140"/>
      <c r="J147" s="328">
        <f>H147/DAY(B2)</f>
        <v>-146.43478260869566</v>
      </c>
    </row>
    <row r="148" spans="1:10" ht="30.75" customHeight="1" x14ac:dyDescent="0.5">
      <c r="A148" s="814" t="s">
        <v>193</v>
      </c>
      <c r="B148" s="815"/>
      <c r="C148" s="816"/>
      <c r="D148" s="123" t="s">
        <v>130</v>
      </c>
      <c r="E148" s="95">
        <f>'22'!F148</f>
        <v>680376.24</v>
      </c>
      <c r="F148" s="150">
        <v>680640</v>
      </c>
      <c r="G148" s="112">
        <f t="shared" si="11"/>
        <v>263.76000000000931</v>
      </c>
      <c r="H148" s="99">
        <f>G148+'22'!H148</f>
        <v>-2393.1199999999953</v>
      </c>
      <c r="I148" s="124"/>
      <c r="J148" s="328">
        <f>H148/DAY(B2)</f>
        <v>-104.04869565217371</v>
      </c>
    </row>
    <row r="149" spans="1:10" ht="30.75" customHeight="1" x14ac:dyDescent="0.5">
      <c r="A149" s="814" t="s">
        <v>336</v>
      </c>
      <c r="B149" s="815"/>
      <c r="C149" s="816"/>
      <c r="D149" s="227" t="s">
        <v>130</v>
      </c>
      <c r="E149" s="95">
        <f>'22'!F149</f>
        <v>5720.08</v>
      </c>
      <c r="F149" s="638">
        <v>6290</v>
      </c>
      <c r="G149" s="112">
        <f t="shared" si="11"/>
        <v>569.92000000000007</v>
      </c>
      <c r="H149" s="99">
        <f>G149+'22'!H149</f>
        <v>10342.259999999997</v>
      </c>
      <c r="I149" s="119"/>
      <c r="J149" s="328">
        <f>H149/DAY(B2)</f>
        <v>449.6634782608694</v>
      </c>
    </row>
    <row r="150" spans="1:10" ht="30.75" customHeight="1" x14ac:dyDescent="0.5">
      <c r="A150" s="814" t="s">
        <v>337</v>
      </c>
      <c r="B150" s="815"/>
      <c r="C150" s="816"/>
      <c r="D150" s="117" t="s">
        <v>130</v>
      </c>
      <c r="E150" s="95">
        <f>'22'!F150</f>
        <v>2012.94</v>
      </c>
      <c r="F150" s="233">
        <v>2235</v>
      </c>
      <c r="G150" s="112">
        <f t="shared" si="11"/>
        <v>222.05999999999995</v>
      </c>
      <c r="H150" s="99">
        <f>G150+'22'!H150</f>
        <v>-1817</v>
      </c>
      <c r="I150" s="119"/>
      <c r="J150" s="328">
        <f>H150/DAY(B2)</f>
        <v>-79</v>
      </c>
    </row>
    <row r="151" spans="1:10" ht="30.75" customHeight="1" x14ac:dyDescent="0.5">
      <c r="A151" s="814" t="s">
        <v>338</v>
      </c>
      <c r="B151" s="815"/>
      <c r="C151" s="816"/>
      <c r="D151" s="117" t="s">
        <v>130</v>
      </c>
      <c r="E151" s="95">
        <f>'22'!F151</f>
        <v>76084</v>
      </c>
      <c r="F151" s="233">
        <v>76296</v>
      </c>
      <c r="G151" s="112">
        <f t="shared" si="11"/>
        <v>212</v>
      </c>
      <c r="H151" s="99">
        <f>G151+'22'!H151</f>
        <v>-1921</v>
      </c>
      <c r="I151" s="119"/>
      <c r="J151" s="328">
        <f>H151/DAY(B2)</f>
        <v>-83.521739130434781</v>
      </c>
    </row>
    <row r="152" spans="1:10" ht="30.75" customHeight="1" x14ac:dyDescent="0.5">
      <c r="A152" s="814" t="s">
        <v>339</v>
      </c>
      <c r="B152" s="815"/>
      <c r="C152" s="816"/>
      <c r="D152" s="117" t="s">
        <v>130</v>
      </c>
      <c r="E152" s="95">
        <f>'22'!F152</f>
        <v>687.58</v>
      </c>
      <c r="F152" s="233">
        <v>736</v>
      </c>
      <c r="G152" s="112">
        <f t="shared" si="11"/>
        <v>48.419999999999959</v>
      </c>
      <c r="H152" s="99">
        <f>G152+'22'!H152</f>
        <v>-391</v>
      </c>
      <c r="I152" s="119"/>
      <c r="J152" s="328">
        <f>H152/DAY(B2)</f>
        <v>-17</v>
      </c>
    </row>
    <row r="153" spans="1:10" ht="30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2862.2400000000189</v>
      </c>
      <c r="H153" s="363"/>
      <c r="I153" s="119">
        <f>G153-(G38+G52)</f>
        <v>928.69000000003052</v>
      </c>
      <c r="J153" s="366"/>
    </row>
    <row r="154" spans="1:10" ht="30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0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'22'!F155</f>
        <v>6848.03</v>
      </c>
      <c r="F155" s="374">
        <v>7467</v>
      </c>
      <c r="G155" s="112">
        <f t="shared" ref="G155:G158" si="12">F155-E155</f>
        <v>618.97000000000025</v>
      </c>
      <c r="H155" s="99">
        <f>G155+'22'!H155</f>
        <v>-6005</v>
      </c>
      <c r="I155" s="364"/>
      <c r="J155" s="161">
        <v>329</v>
      </c>
    </row>
    <row r="156" spans="1:10" ht="30.75" customHeight="1" x14ac:dyDescent="0.5">
      <c r="A156" s="813" t="s">
        <v>347</v>
      </c>
      <c r="B156" s="813"/>
      <c r="C156" s="813"/>
      <c r="D156" s="117" t="s">
        <v>130</v>
      </c>
      <c r="E156" s="95">
        <f>'22'!F156</f>
        <v>542.41</v>
      </c>
      <c r="F156" s="554">
        <v>595</v>
      </c>
      <c r="G156" s="112">
        <f t="shared" si="12"/>
        <v>52.590000000000032</v>
      </c>
      <c r="H156" s="99">
        <f>G156+'22'!H156</f>
        <v>-492.99999999999989</v>
      </c>
      <c r="I156" s="165"/>
      <c r="J156" s="328">
        <f>H156/DAY(B2)</f>
        <v>-21.434782608695649</v>
      </c>
    </row>
    <row r="157" spans="1:10" ht="30.75" customHeight="1" x14ac:dyDescent="0.5">
      <c r="A157" s="814" t="s">
        <v>364</v>
      </c>
      <c r="B157" s="815"/>
      <c r="C157" s="816"/>
      <c r="D157" s="117" t="s">
        <v>130</v>
      </c>
      <c r="E157" s="95">
        <v>0</v>
      </c>
      <c r="F157" s="95">
        <v>712</v>
      </c>
      <c r="G157" s="112">
        <f t="shared" si="12"/>
        <v>712</v>
      </c>
      <c r="H157" s="99">
        <f>G157+'22'!H157</f>
        <v>712</v>
      </c>
      <c r="I157" s="165"/>
      <c r="J157" s="328"/>
    </row>
    <row r="158" spans="1:10" ht="30.75" customHeight="1" x14ac:dyDescent="0.5">
      <c r="A158" s="814" t="s">
        <v>365</v>
      </c>
      <c r="B158" s="815"/>
      <c r="C158" s="816"/>
      <c r="D158" s="117" t="s">
        <v>130</v>
      </c>
      <c r="E158" s="95">
        <v>0</v>
      </c>
      <c r="F158" s="95">
        <v>1.08</v>
      </c>
      <c r="G158" s="112">
        <f t="shared" si="12"/>
        <v>1.08</v>
      </c>
      <c r="H158" s="99">
        <f>G158+'22'!H158</f>
        <v>1.08</v>
      </c>
      <c r="I158" s="165"/>
      <c r="J158" s="328"/>
    </row>
    <row r="159" spans="1:10" ht="30.75" customHeight="1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471149.04</v>
      </c>
      <c r="F161" s="235">
        <v>471149</v>
      </c>
      <c r="G161" s="238">
        <f t="shared" ref="G161:G165" si="13">F161-E161</f>
        <v>-3.9999999979045242E-2</v>
      </c>
      <c r="H161" s="99">
        <f>G161+'22'!H161</f>
        <v>-4.1599999999743886</v>
      </c>
      <c r="I161" s="236"/>
      <c r="J161" s="239">
        <f>H161/DAY(B2)</f>
        <v>-0.18086956521627776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87322.5</v>
      </c>
      <c r="F162" s="235">
        <v>87360</v>
      </c>
      <c r="G162" s="238">
        <f t="shared" si="13"/>
        <v>37.5</v>
      </c>
      <c r="H162" s="99">
        <f>G162+'22'!H162</f>
        <v>-210</v>
      </c>
      <c r="I162" s="236"/>
      <c r="J162" s="239">
        <f>H162/DAY(B2)</f>
        <v>-9.1304347826086953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77264.399999999994</v>
      </c>
      <c r="F163" s="235">
        <v>77324</v>
      </c>
      <c r="G163" s="238">
        <f t="shared" si="13"/>
        <v>59.600000000005821</v>
      </c>
      <c r="H163" s="99">
        <f>G163+'22'!H163</f>
        <v>-501</v>
      </c>
      <c r="I163" s="236"/>
      <c r="J163" s="239">
        <f>H163/DAY(B2)</f>
        <v>-21.782608695652176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4213.1000000000004</v>
      </c>
      <c r="F164" s="235">
        <v>4217</v>
      </c>
      <c r="G164" s="238">
        <f t="shared" si="13"/>
        <v>3.8999999999996362</v>
      </c>
      <c r="H164" s="99">
        <f>G164+'22'!H164</f>
        <v>-25</v>
      </c>
      <c r="I164" s="236"/>
      <c r="J164" s="239">
        <f>H164/DAY(B2)</f>
        <v>-1.0869565217391304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29584.99</v>
      </c>
      <c r="F165" s="235">
        <v>29592</v>
      </c>
      <c r="G165" s="238">
        <f t="shared" si="13"/>
        <v>7.0099999999983993</v>
      </c>
      <c r="H165" s="99">
        <f>G165+'22'!H165</f>
        <v>-54</v>
      </c>
      <c r="I165" s="236"/>
      <c r="J165" s="239">
        <f>H165/DAY(B2)</f>
        <v>-2.347826086956522</v>
      </c>
    </row>
    <row r="166" spans="1:10" ht="30.75" customHeight="1" x14ac:dyDescent="0.5">
      <c r="A166" s="822"/>
      <c r="B166" s="82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22"/>
      <c r="B167" s="82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22"/>
      <c r="B168" s="82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30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6" t="s">
        <v>209</v>
      </c>
      <c r="B173" s="827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26" t="s">
        <v>75</v>
      </c>
      <c r="B174" s="827"/>
      <c r="C174" s="333"/>
      <c r="D174" s="228" t="s">
        <v>142</v>
      </c>
      <c r="E174" s="95">
        <f>'22'!F174</f>
        <v>38161</v>
      </c>
      <c r="F174" s="157">
        <v>38176</v>
      </c>
      <c r="G174" s="155">
        <f t="shared" ref="G174:G175" si="14">F174-E174</f>
        <v>15</v>
      </c>
      <c r="H174" s="99">
        <f>G174+'22'!H174</f>
        <v>-117</v>
      </c>
      <c r="I174" s="155"/>
      <c r="J174" s="178">
        <f>H174/DAY(B2)</f>
        <v>-5.0869565217391308</v>
      </c>
    </row>
    <row r="175" spans="1:10" ht="30.75" customHeight="1" x14ac:dyDescent="0.5">
      <c r="A175" s="826" t="s">
        <v>76</v>
      </c>
      <c r="B175" s="866"/>
      <c r="C175" s="827"/>
      <c r="D175" s="228" t="s">
        <v>142</v>
      </c>
      <c r="E175" s="95">
        <f>'22'!F175</f>
        <v>21415</v>
      </c>
      <c r="F175" s="155">
        <v>21427</v>
      </c>
      <c r="G175" s="155">
        <f t="shared" si="14"/>
        <v>12</v>
      </c>
      <c r="H175" s="99">
        <f>G175+'22'!H175</f>
        <v>-91</v>
      </c>
      <c r="I175" s="155"/>
      <c r="J175" s="178">
        <f>H175/DAY(B2)</f>
        <v>-3.9565217391304346</v>
      </c>
    </row>
    <row r="176" spans="1:10" ht="30.75" customHeight="1" x14ac:dyDescent="0.5">
      <c r="A176" s="817" t="s">
        <v>196</v>
      </c>
      <c r="B176" s="818"/>
      <c r="C176" s="485"/>
      <c r="D176" s="228"/>
      <c r="E176" s="95"/>
      <c r="F176" s="155"/>
      <c r="G176" s="155">
        <f>SUM(G173:G175)</f>
        <v>27</v>
      </c>
      <c r="H176" s="99">
        <f>G176+'22'!H176</f>
        <v>-208</v>
      </c>
      <c r="I176" s="155"/>
      <c r="J176" s="178">
        <f>H176/DAY(B2)</f>
        <v>-9.0434782608695645</v>
      </c>
    </row>
    <row r="177" spans="1:10" ht="30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26" t="s">
        <v>210</v>
      </c>
      <c r="B178" s="827"/>
      <c r="C178" s="333"/>
      <c r="D178" s="228" t="s">
        <v>142</v>
      </c>
      <c r="E178" s="95">
        <f>'22'!F178</f>
        <v>78972</v>
      </c>
      <c r="F178" s="155">
        <v>79028</v>
      </c>
      <c r="G178" s="155">
        <f>F178-E178</f>
        <v>56</v>
      </c>
      <c r="H178" s="99">
        <f>G178+'22'!H178</f>
        <v>-586</v>
      </c>
      <c r="I178" s="155"/>
      <c r="J178" s="178">
        <f>H178/DAY(B2)</f>
        <v>-25.478260869565219</v>
      </c>
    </row>
    <row r="179" spans="1:10" ht="30.75" customHeight="1" x14ac:dyDescent="0.5">
      <c r="A179" s="826" t="s">
        <v>211</v>
      </c>
      <c r="B179" s="827"/>
      <c r="C179" s="333"/>
      <c r="D179" s="228" t="s">
        <v>142</v>
      </c>
      <c r="E179" s="95">
        <f>'22'!F179</f>
        <v>33915</v>
      </c>
      <c r="F179" s="155">
        <v>33915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826" t="s">
        <v>212</v>
      </c>
      <c r="B180" s="827"/>
      <c r="C180" s="333"/>
      <c r="D180" s="228" t="s">
        <v>142</v>
      </c>
      <c r="E180" s="95">
        <f>'22'!F180</f>
        <v>5421</v>
      </c>
      <c r="F180" s="155">
        <v>5428</v>
      </c>
      <c r="G180" s="155">
        <f t="shared" si="15"/>
        <v>7</v>
      </c>
      <c r="H180" s="99">
        <f>G180+'22'!H180</f>
        <v>-49</v>
      </c>
      <c r="I180" s="155"/>
      <c r="J180" s="178">
        <f>H180/DAY(B2)</f>
        <v>-2.1304347826086958</v>
      </c>
    </row>
    <row r="181" spans="1:10" ht="30.75" customHeight="1" x14ac:dyDescent="0.5">
      <c r="A181" s="828" t="s">
        <v>108</v>
      </c>
      <c r="B181" s="829"/>
      <c r="C181" s="485"/>
      <c r="D181" s="228"/>
      <c r="E181" s="95"/>
      <c r="F181" s="155"/>
      <c r="G181" s="155">
        <f>SUM(G178:G180)</f>
        <v>63</v>
      </c>
      <c r="H181" s="99">
        <f>G181+'22'!H181</f>
        <v>-635</v>
      </c>
      <c r="I181" s="155"/>
      <c r="J181" s="178">
        <f>H181/DAY(B2)</f>
        <v>-27.608695652173914</v>
      </c>
    </row>
    <row r="182" spans="1:10" ht="30.75" customHeight="1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26" t="s">
        <v>214</v>
      </c>
      <c r="B183" s="827"/>
      <c r="C183" s="334"/>
      <c r="D183" s="228" t="s">
        <v>142</v>
      </c>
      <c r="E183" s="95">
        <f>'22'!F183</f>
        <v>14803</v>
      </c>
      <c r="F183" s="157">
        <v>14817</v>
      </c>
      <c r="G183" s="157">
        <f>F183-E183</f>
        <v>14</v>
      </c>
      <c r="H183" s="99">
        <f>G183+'22'!H183</f>
        <v>-130</v>
      </c>
      <c r="I183" s="155"/>
      <c r="J183" s="178">
        <f>H183/DAY(B2)</f>
        <v>-5.6521739130434785</v>
      </c>
    </row>
    <row r="184" spans="1:10" ht="30.75" customHeight="1" x14ac:dyDescent="0.5">
      <c r="A184" s="826" t="s">
        <v>215</v>
      </c>
      <c r="B184" s="827"/>
      <c r="C184" s="334"/>
      <c r="D184" s="228" t="s">
        <v>142</v>
      </c>
      <c r="E184" s="95">
        <f>'22'!F184</f>
        <v>10231</v>
      </c>
      <c r="F184" s="157">
        <v>10240</v>
      </c>
      <c r="G184" s="157">
        <f t="shared" ref="G184:G185" si="16">F184-E184</f>
        <v>9</v>
      </c>
      <c r="H184" s="99">
        <f>G184+'22'!H184</f>
        <v>-61</v>
      </c>
      <c r="I184" s="155"/>
      <c r="J184" s="178">
        <f>H184/DAY(B2)</f>
        <v>-2.652173913043478</v>
      </c>
    </row>
    <row r="185" spans="1:10" ht="30.75" customHeight="1" x14ac:dyDescent="0.5">
      <c r="A185" s="826" t="s">
        <v>216</v>
      </c>
      <c r="B185" s="82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17" t="s">
        <v>196</v>
      </c>
      <c r="B186" s="818"/>
      <c r="C186" s="484"/>
      <c r="D186" s="229"/>
      <c r="E186" s="95"/>
      <c r="F186" s="157"/>
      <c r="G186" s="157">
        <f>SUM(G183:G185)</f>
        <v>23</v>
      </c>
      <c r="H186" s="99">
        <f>G186+'22'!H186</f>
        <v>-191</v>
      </c>
      <c r="I186" s="157"/>
      <c r="J186" s="178">
        <f>H186/DAY(B2)</f>
        <v>-8.304347826086957</v>
      </c>
    </row>
    <row r="187" spans="1:10" ht="30.75" customHeight="1" x14ac:dyDescent="0.5">
      <c r="A187" s="819" t="s">
        <v>217</v>
      </c>
      <c r="B187" s="820"/>
      <c r="C187" s="333"/>
      <c r="D187" s="230" t="s">
        <v>142</v>
      </c>
      <c r="E187" s="95"/>
      <c r="F187" s="159"/>
      <c r="G187" s="462">
        <f>G62+G19</f>
        <v>175</v>
      </c>
      <c r="H187" s="99">
        <f>G187+'22'!H187</f>
        <v>335</v>
      </c>
      <c r="I187" s="158"/>
      <c r="J187" s="179">
        <f>H187/DAY(B2)</f>
        <v>14.565217391304348</v>
      </c>
    </row>
    <row r="188" spans="1:10" ht="30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174</v>
      </c>
      <c r="H188" s="99">
        <f>G188+'22'!H188</f>
        <v>-3212</v>
      </c>
      <c r="I188" s="158"/>
      <c r="J188" s="179">
        <f>H188/DAY(B2)</f>
        <v>-139.65217391304347</v>
      </c>
    </row>
    <row r="189" spans="1:10" ht="30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63</v>
      </c>
      <c r="H189" s="99">
        <f>G189+'22'!H189</f>
        <v>-2225</v>
      </c>
      <c r="I189" s="158"/>
      <c r="J189" s="179">
        <f>H189/DAY(B2)</f>
        <v>-96.739130434782609</v>
      </c>
    </row>
    <row r="190" spans="1:10" ht="30.75" customHeight="1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42" zoomScale="60" zoomScaleNormal="44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44554</v>
      </c>
      <c r="C2" s="34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541673</v>
      </c>
      <c r="F7" s="95">
        <f>E7+23500</f>
        <v>565173</v>
      </c>
      <c r="G7" s="112">
        <f>F7-E7</f>
        <v>23500</v>
      </c>
      <c r="H7" s="99">
        <f>G7+'23'!H7</f>
        <v>470612</v>
      </c>
      <c r="I7" s="113">
        <f>'1'!I7</f>
        <v>12000</v>
      </c>
      <c r="J7" s="175">
        <f>H7/DAY(B2)</f>
        <v>19608.833333333332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593297.83000000007</v>
      </c>
      <c r="F8" s="95">
        <f>E8+23500</f>
        <v>616797.83000000007</v>
      </c>
      <c r="G8" s="115">
        <f>F8-E8</f>
        <v>23500</v>
      </c>
      <c r="H8" s="99">
        <f>G8+'23'!H8</f>
        <v>475912.83000000007</v>
      </c>
      <c r="I8" s="116"/>
      <c r="J8" s="175">
        <f>H8/DAY(B2)</f>
        <v>19829.701250000002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179695.53</v>
      </c>
      <c r="F9" s="601">
        <f>E9+14000</f>
        <v>193695.53</v>
      </c>
      <c r="G9" s="112">
        <f>F9-E9</f>
        <v>14000</v>
      </c>
      <c r="H9" s="99">
        <f>G9+'23'!H9</f>
        <v>292200.53000000003</v>
      </c>
      <c r="I9" s="124">
        <f>I7-J7</f>
        <v>-7608.8333333333321</v>
      </c>
      <c r="J9" s="175">
        <f>H9/DAY(B2)</f>
        <v>12175.022083333335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79922.179999999993</v>
      </c>
      <c r="F10" s="353">
        <f>E10+4500</f>
        <v>84422.18</v>
      </c>
      <c r="G10" s="112">
        <f t="shared" ref="G10:G12" si="0">F10-E10</f>
        <v>4500</v>
      </c>
      <c r="H10" s="99">
        <f>G10+'23'!H10</f>
        <v>139328.18</v>
      </c>
      <c r="I10" s="282"/>
      <c r="J10" s="175">
        <f>H10/DAY(B2)</f>
        <v>5805.3408333333327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33300</v>
      </c>
      <c r="I11" s="282"/>
      <c r="J11" s="175">
        <f>H11/DAY(B2)</f>
        <v>1387.5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36009</v>
      </c>
      <c r="I12" s="282"/>
      <c r="J12" s="175">
        <f>H12/DAY(B2)</f>
        <v>1500.375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G13+'23'!H13</f>
        <v>481372.4599999999</v>
      </c>
      <c r="I13" s="120">
        <f>G7-G13</f>
        <v>5000</v>
      </c>
      <c r="J13" s="175">
        <f>H13/DAY(B2)</f>
        <v>20057.185833333329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1899722</v>
      </c>
      <c r="F15" s="123">
        <f>E15+1100</f>
        <v>1900822</v>
      </c>
      <c r="G15" s="112">
        <f>(F15-E15)</f>
        <v>1100</v>
      </c>
      <c r="H15" s="99">
        <f>G15+'23'!H15</f>
        <v>22392</v>
      </c>
      <c r="I15" s="113">
        <f>'1'!I15</f>
        <v>800</v>
      </c>
      <c r="J15" s="175">
        <f>H15/DAY(B2)</f>
        <v>933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-133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'23'!F18</f>
        <v>70</v>
      </c>
      <c r="F18" s="122">
        <f>E18+12</f>
        <v>82</v>
      </c>
      <c r="G18" s="119">
        <f>F18*10</f>
        <v>820</v>
      </c>
      <c r="H18" s="99">
        <f>G18+'23'!H18</f>
        <v>5040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'23'!F19</f>
        <v>153454</v>
      </c>
      <c r="F19" s="122">
        <f>E19+55</f>
        <v>153509</v>
      </c>
      <c r="G19" s="112">
        <f t="shared" ref="G19" si="1">F19-E19</f>
        <v>55</v>
      </c>
      <c r="H19" s="99">
        <f>G19+'23'!H19</f>
        <v>1284</v>
      </c>
      <c r="I19" s="335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875</v>
      </c>
      <c r="H20" s="99">
        <f>G20+'23'!H20</f>
        <v>6324</v>
      </c>
      <c r="I20" s="336">
        <f>I18-J20</f>
        <v>-198.5</v>
      </c>
      <c r="J20" s="175">
        <f>H20/DAY(B2)</f>
        <v>263.5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250</v>
      </c>
      <c r="I23" s="118"/>
      <c r="J23" s="175">
        <f>H23/DAY(B2)</f>
        <v>10.416666666666666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250</v>
      </c>
      <c r="I24" s="118"/>
      <c r="J24" s="175">
        <f>H24/DAY(B2)</f>
        <v>10.416666666666666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G27+'23'!H27</f>
        <v>4283215.4700000007</v>
      </c>
      <c r="I27" s="138"/>
      <c r="J27" s="175">
        <f>H27/DAY(B2)</f>
        <v>178467.31125000003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1164384</v>
      </c>
      <c r="I28" s="140"/>
      <c r="J28" s="175">
        <f>H28/DAY(B2)</f>
        <v>48516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17250</v>
      </c>
      <c r="I29" s="140"/>
      <c r="J29" s="175">
        <f>H29/DAY(B2)</f>
        <v>718.75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187464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820</v>
      </c>
      <c r="F31" s="136">
        <v>80</v>
      </c>
      <c r="G31" s="137">
        <f>E31*F31</f>
        <v>65600</v>
      </c>
      <c r="H31" s="99">
        <f>G31+'23'!H31</f>
        <v>403200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342330</v>
      </c>
      <c r="H32" s="99">
        <f>G32+'23'!H32</f>
        <v>6055513.4700000016</v>
      </c>
      <c r="I32" s="144"/>
      <c r="J32" s="175">
        <f>H32/DAY(B2)</f>
        <v>252313.06125000006</v>
      </c>
      <c r="K32" s="63"/>
      <c r="L32" s="89"/>
      <c r="N32" s="87"/>
      <c r="O32" s="71"/>
    </row>
    <row r="33" spans="1:15" ht="25.5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138344</v>
      </c>
      <c r="F35" s="145">
        <v>139879</v>
      </c>
      <c r="G35" s="112">
        <f t="shared" ref="G35:G46" si="3">F35-E35</f>
        <v>1535</v>
      </c>
      <c r="H35" s="99">
        <f>G35+'23'!H35</f>
        <v>155079</v>
      </c>
      <c r="I35" s="95"/>
      <c r="J35" s="175">
        <f>H35/DAY(B2)</f>
        <v>6461.625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13967</v>
      </c>
      <c r="F36" s="145">
        <v>14922</v>
      </c>
      <c r="G36" s="112">
        <f t="shared" si="3"/>
        <v>955</v>
      </c>
      <c r="H36" s="99">
        <f>G36+'23'!H36</f>
        <v>-6605</v>
      </c>
      <c r="I36" s="95"/>
      <c r="J36" s="175">
        <f>H36/DAY(B2)</f>
        <v>-275.20833333333331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182684</v>
      </c>
      <c r="F37" s="145">
        <v>184300</v>
      </c>
      <c r="G37" s="112">
        <f t="shared" si="3"/>
        <v>1616</v>
      </c>
      <c r="H37" s="99">
        <f>G37+'23'!H37</f>
        <v>196512</v>
      </c>
      <c r="I37" s="95"/>
      <c r="J37" s="175">
        <f>H37/DAY(B2)</f>
        <v>8188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217070</v>
      </c>
      <c r="F38" s="108">
        <v>219024</v>
      </c>
      <c r="G38" s="112">
        <f t="shared" si="3"/>
        <v>1954</v>
      </c>
      <c r="H38" s="99">
        <f>G38+'23'!H38</f>
        <v>232224</v>
      </c>
      <c r="I38" s="95"/>
      <c r="J38" s="175">
        <f>H38/DAY(B2)</f>
        <v>9676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388956</v>
      </c>
      <c r="F39" s="145">
        <v>391702</v>
      </c>
      <c r="G39" s="112">
        <f t="shared" si="3"/>
        <v>2746</v>
      </c>
      <c r="H39" s="99">
        <f>G39+'23'!H39</f>
        <v>413384</v>
      </c>
      <c r="I39" s="95"/>
      <c r="J39" s="175">
        <f>H39/DAY(B2)</f>
        <v>17224.333333333332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1817</v>
      </c>
      <c r="F40" s="145">
        <v>2406</v>
      </c>
      <c r="G40" s="112">
        <f t="shared" si="3"/>
        <v>589</v>
      </c>
      <c r="H40" s="99">
        <f>G40+'23'!H40</f>
        <v>-2663.8500000000004</v>
      </c>
      <c r="I40" s="95"/>
      <c r="J40" s="175">
        <f>H40/DAY(B2)</f>
        <v>-110.99375000000002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43442</v>
      </c>
      <c r="F42" s="145">
        <v>48063</v>
      </c>
      <c r="G42" s="112">
        <f t="shared" si="3"/>
        <v>4621</v>
      </c>
      <c r="H42" s="99">
        <f>G42+'23'!H42</f>
        <v>-25746</v>
      </c>
      <c r="I42" s="95"/>
      <c r="J42" s="175">
        <f>H42/DAY(B2)</f>
        <v>-1072.75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26293</v>
      </c>
      <c r="F43" s="145">
        <v>28980</v>
      </c>
      <c r="G43" s="112">
        <f t="shared" si="3"/>
        <v>2687</v>
      </c>
      <c r="H43" s="99">
        <f>G43+'23'!H43</f>
        <v>-18280.999999999996</v>
      </c>
      <c r="I43" s="95"/>
      <c r="J43" s="175">
        <f>H43/DAY(B2)</f>
        <v>-761.70833333333314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16703</v>
      </c>
      <c r="H47" s="99">
        <f>G47+'23'!H47</f>
        <v>943903.15000000014</v>
      </c>
      <c r="I47" s="95"/>
      <c r="J47" s="175">
        <f>H47/DAY(B2)</f>
        <v>39329.29791666667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260245</v>
      </c>
      <c r="F49" s="145">
        <v>261805</v>
      </c>
      <c r="G49" s="112">
        <f t="shared" ref="G49:G58" si="4">F49-E49</f>
        <v>1560</v>
      </c>
      <c r="H49" s="99">
        <f>G49+'23'!H49</f>
        <v>274926.00000000006</v>
      </c>
      <c r="I49" s="95"/>
      <c r="J49" s="175">
        <f>H49/DAY(B2)</f>
        <v>11455.250000000002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15275</v>
      </c>
      <c r="F50" s="145">
        <v>16307</v>
      </c>
      <c r="G50" s="112">
        <f t="shared" si="4"/>
        <v>1032</v>
      </c>
      <c r="H50" s="99">
        <f>G50+'23'!H50</f>
        <v>-8343.0000000000018</v>
      </c>
      <c r="I50" s="95"/>
      <c r="J50" s="175">
        <f>H50/DAY(B2)</f>
        <v>-347.62500000000006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3148</v>
      </c>
      <c r="F54" s="145">
        <v>3153</v>
      </c>
      <c r="G54" s="112">
        <f t="shared" si="4"/>
        <v>5</v>
      </c>
      <c r="H54" s="99">
        <f>G54+'23'!H54</f>
        <v>4920.08</v>
      </c>
      <c r="I54" s="95"/>
      <c r="J54" s="175">
        <f>H54/DAY(B2)</f>
        <v>205.00333333333333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-3511</v>
      </c>
      <c r="I55" s="95"/>
      <c r="J55" s="175">
        <f>H55/DAY(B2)</f>
        <v>-146.29166666666666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90581</v>
      </c>
      <c r="F58" s="145">
        <v>90799</v>
      </c>
      <c r="G58" s="112">
        <f t="shared" si="4"/>
        <v>218</v>
      </c>
      <c r="H58" s="99">
        <f>G58+'23'!H58</f>
        <v>91139.63</v>
      </c>
      <c r="I58" s="95"/>
      <c r="J58" s="175">
        <f>H58/DAY(B2)</f>
        <v>3797.4845833333334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2815</v>
      </c>
      <c r="H59" s="99">
        <f>G59+'23'!H59</f>
        <v>359131.71</v>
      </c>
      <c r="I59" s="95">
        <f>G7-G60</f>
        <v>3982</v>
      </c>
      <c r="J59" s="175">
        <f>H59/DAY(B2)</f>
        <v>14963.821250000001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19518</v>
      </c>
      <c r="H60" s="99">
        <f>G60+'23'!H60</f>
        <v>1303034.8599999999</v>
      </c>
      <c r="I60" s="95">
        <f>G13-G60</f>
        <v>-1018</v>
      </c>
      <c r="J60" s="175">
        <f>H60/DAY(B2)</f>
        <v>54293.119166666664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'23'!F62</f>
        <v>266319</v>
      </c>
      <c r="F62" s="122">
        <v>266429</v>
      </c>
      <c r="G62" s="112">
        <f t="shared" ref="G62:G63" si="5">F62-E62</f>
        <v>110</v>
      </c>
      <c r="H62" s="99">
        <f>G62+'23'!H62</f>
        <v>-784</v>
      </c>
      <c r="I62" s="118"/>
      <c r="J62" s="175">
        <f>H62/DAY(B2)</f>
        <v>-32.666666666666664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'23'!F63</f>
        <v>211714</v>
      </c>
      <c r="F63" s="122">
        <v>211785</v>
      </c>
      <c r="G63" s="112">
        <f t="shared" si="5"/>
        <v>71</v>
      </c>
      <c r="H63" s="99">
        <f>G63+'23'!H63</f>
        <v>-640</v>
      </c>
      <c r="I63" s="118"/>
      <c r="J63" s="175">
        <f>H63/DAY(B2)</f>
        <v>-26.666666666666668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'23'!F64</f>
        <v>0</v>
      </c>
      <c r="F64" s="122"/>
      <c r="G64" s="112">
        <f>G62+G63</f>
        <v>181</v>
      </c>
      <c r="H64" s="99">
        <f>G64+'23'!H64</f>
        <v>-1424</v>
      </c>
      <c r="I64" s="118"/>
      <c r="J64" s="175">
        <f>H64/DAY(B2)</f>
        <v>-59.333333333333336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'23'!F65</f>
        <v>431787</v>
      </c>
      <c r="F65" s="122">
        <v>431876</v>
      </c>
      <c r="G65" s="112">
        <f t="shared" ref="G65:G70" si="6">F65-E65</f>
        <v>89</v>
      </c>
      <c r="H65" s="99">
        <f>G65+'23'!H65</f>
        <v>-738</v>
      </c>
      <c r="I65" s="118"/>
      <c r="J65" s="175">
        <f>H65/DAY(B2)</f>
        <v>-30.75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107050</v>
      </c>
      <c r="F66" s="122">
        <v>107070</v>
      </c>
      <c r="G66" s="112">
        <f t="shared" si="6"/>
        <v>20</v>
      </c>
      <c r="H66" s="99">
        <f>G66+'23'!H66</f>
        <v>-144</v>
      </c>
      <c r="I66" s="118"/>
      <c r="J66" s="175">
        <f>H66/DAY(B2)</f>
        <v>-6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103680</v>
      </c>
      <c r="F67" s="122">
        <v>103711</v>
      </c>
      <c r="G67" s="112">
        <f t="shared" si="6"/>
        <v>31</v>
      </c>
      <c r="H67" s="99">
        <f>G67+'23'!H67</f>
        <v>-217</v>
      </c>
      <c r="I67" s="118"/>
      <c r="J67" s="175">
        <f>H67/DAY(B2)</f>
        <v>-9.0416666666666661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156345</v>
      </c>
      <c r="F68" s="122">
        <v>156386</v>
      </c>
      <c r="G68" s="112">
        <f t="shared" si="6"/>
        <v>41</v>
      </c>
      <c r="H68" s="99">
        <f>G68+'23'!H68</f>
        <v>-234</v>
      </c>
      <c r="I68" s="118"/>
      <c r="J68" s="175">
        <f>H68/DAY(B2)</f>
        <v>-9.75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10106</v>
      </c>
      <c r="F69" s="122">
        <v>10118</v>
      </c>
      <c r="G69" s="112">
        <f t="shared" si="6"/>
        <v>12</v>
      </c>
      <c r="H69" s="99">
        <f>G69+'23'!H69</f>
        <v>-96</v>
      </c>
      <c r="I69" s="118"/>
      <c r="J69" s="175">
        <f>H69/DAY(B2)</f>
        <v>-4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7791</v>
      </c>
      <c r="F70" s="122">
        <v>7801</v>
      </c>
      <c r="G70" s="112">
        <f t="shared" si="6"/>
        <v>10</v>
      </c>
      <c r="H70" s="99">
        <f>G70+'23'!H70</f>
        <v>-61</v>
      </c>
      <c r="I70" s="118"/>
      <c r="J70" s="175">
        <f>H70/DAY(B2)</f>
        <v>-2.5416666666666665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203</v>
      </c>
      <c r="H71" s="99">
        <f>G71+'23'!H71</f>
        <v>-1490</v>
      </c>
      <c r="I71" s="154"/>
      <c r="J71" s="175">
        <f>H71/DAY(B2)</f>
        <v>-62.083333333333336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'23'!F74</f>
        <v>889529</v>
      </c>
      <c r="F74" s="117">
        <v>889828</v>
      </c>
      <c r="G74" s="112">
        <f t="shared" ref="G74:G78" si="7">F74-E74</f>
        <v>299</v>
      </c>
      <c r="H74" s="99">
        <f>G74+'23'!H74</f>
        <v>-2204</v>
      </c>
      <c r="I74" s="154"/>
      <c r="J74" s="175">
        <f>H74/DAY(B2)</f>
        <v>-91.833333333333329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243.88999999999942</v>
      </c>
      <c r="I75" s="154"/>
      <c r="J75" s="175">
        <f>H75/DAY(B2)</f>
        <v>10.162083333333308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'23'!F76</f>
        <v>166338</v>
      </c>
      <c r="F76" s="123">
        <v>166459</v>
      </c>
      <c r="G76" s="112">
        <f t="shared" si="7"/>
        <v>121</v>
      </c>
      <c r="H76" s="99">
        <f>G76+'23'!H76</f>
        <v>-748</v>
      </c>
      <c r="I76" s="154"/>
      <c r="J76" s="175">
        <f>H76/DAY(B2)</f>
        <v>-31.166666666666668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'23'!F77</f>
        <v>39940</v>
      </c>
      <c r="F77" s="123">
        <v>39983</v>
      </c>
      <c r="G77" s="112">
        <f t="shared" si="7"/>
        <v>43</v>
      </c>
      <c r="H77" s="99">
        <f>G77+'23'!H77</f>
        <v>-333</v>
      </c>
      <c r="I77" s="154"/>
      <c r="J77" s="175">
        <f>H77/DAY(B2)</f>
        <v>-13.875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'23'!F78</f>
        <v>9470</v>
      </c>
      <c r="F78" s="123">
        <v>9472</v>
      </c>
      <c r="G78" s="112">
        <f t="shared" si="7"/>
        <v>2</v>
      </c>
      <c r="H78" s="99">
        <f>G78+'23'!H78</f>
        <v>-14</v>
      </c>
      <c r="I78" s="118"/>
      <c r="J78" s="175">
        <f>H78/DAY(B2)</f>
        <v>-0.58333333333333337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'23'!F79</f>
        <v>0</v>
      </c>
      <c r="F79" s="117"/>
      <c r="G79" s="112">
        <f>G15-SUM(G74:G78)</f>
        <v>635</v>
      </c>
      <c r="H79" s="99">
        <f>G79+'23'!H79</f>
        <v>25447.11</v>
      </c>
      <c r="I79" s="118"/>
      <c r="J79" s="175">
        <f>H79/DAY(B2)</f>
        <v>1060.2962500000001</v>
      </c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41675.4</v>
      </c>
      <c r="G84" s="112">
        <f t="shared" si="8"/>
        <v>0</v>
      </c>
      <c r="H84" s="99">
        <f>G84+'23'!H84</f>
        <v>0.40000000000145519</v>
      </c>
      <c r="I84" s="118"/>
      <c r="J84" s="175">
        <f>H84/DAY(B2)</f>
        <v>1.6666666666727298E-2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1940</v>
      </c>
      <c r="F85" s="164">
        <v>1964</v>
      </c>
      <c r="G85" s="112">
        <f t="shared" si="8"/>
        <v>24</v>
      </c>
      <c r="H85" s="99">
        <f>G85+'23'!H85</f>
        <v>-132.55999999999995</v>
      </c>
      <c r="I85" s="118">
        <f>G82+G83+G84+G85</f>
        <v>24</v>
      </c>
      <c r="J85" s="175">
        <f>H85/DAY(B2)</f>
        <v>-5.5233333333333308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-36.529999999998836</v>
      </c>
      <c r="I86" s="118"/>
      <c r="J86" s="175">
        <f>H86/DAY(B2)</f>
        <v>-1.5220833333332848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24005.53</v>
      </c>
      <c r="F88" s="164">
        <v>24007.97</v>
      </c>
      <c r="G88" s="112">
        <f t="shared" si="8"/>
        <v>2.4400000000023283</v>
      </c>
      <c r="H88" s="99">
        <f>G88+'23'!H88</f>
        <v>-39.029999999998836</v>
      </c>
      <c r="I88" s="118">
        <f>G86+G87+G88</f>
        <v>2.4400000000023283</v>
      </c>
      <c r="J88" s="175">
        <f>H88/DAY(B2)</f>
        <v>-1.6262499999999516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25626.69</v>
      </c>
      <c r="F89" s="164">
        <v>25634</v>
      </c>
      <c r="G89" s="112">
        <f t="shared" si="8"/>
        <v>7.3100000000013097</v>
      </c>
      <c r="H89" s="99">
        <f>G89+'23'!H89</f>
        <v>-29</v>
      </c>
      <c r="I89" s="118"/>
      <c r="J89" s="175">
        <f>H89/DAY(B2)</f>
        <v>-1.2083333333333333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70986.62</v>
      </c>
      <c r="F90" s="164">
        <v>70991.8</v>
      </c>
      <c r="G90" s="112">
        <f t="shared" si="8"/>
        <v>5.180000000007567</v>
      </c>
      <c r="H90" s="99">
        <f>G90+'23'!H90</f>
        <v>-42.19999999999709</v>
      </c>
      <c r="I90" s="118">
        <f>G89+G90</f>
        <v>12.490000000008877</v>
      </c>
      <c r="J90" s="175">
        <f>H90/DAY(B2)</f>
        <v>-1.7583333333332121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5350.74</v>
      </c>
      <c r="F92" s="122">
        <v>5361</v>
      </c>
      <c r="G92" s="112">
        <f t="shared" si="8"/>
        <v>10.260000000000218</v>
      </c>
      <c r="H92" s="99">
        <f>G92+'23'!H92</f>
        <v>-77</v>
      </c>
      <c r="I92" s="165"/>
      <c r="J92" s="175">
        <f>H92/DAY(B2)</f>
        <v>-3.2083333333333335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5782</v>
      </c>
      <c r="H94" s="99">
        <f>G94+'23'!H94</f>
        <v>411724</v>
      </c>
      <c r="I94" s="118"/>
      <c r="J94" s="175">
        <f>H94/DAY(B2)</f>
        <v>17155.166666666668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0.24604255319148935</v>
      </c>
      <c r="H95" s="99">
        <f>G95+'23'!H95</f>
        <v>18.659660987117871</v>
      </c>
      <c r="I95" s="167"/>
      <c r="J95" s="175">
        <f>H95/DAY(B2)</f>
        <v>0.77748587446324458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4621</v>
      </c>
      <c r="H96" s="99">
        <f>G96+'23'!H96</f>
        <v>-29257</v>
      </c>
      <c r="I96" s="118"/>
      <c r="J96" s="175">
        <f>H96/DAY(B2)</f>
        <v>-1219.0416666666667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0.19663829787234041</v>
      </c>
      <c r="H97" s="99">
        <f>G97+'23'!H97</f>
        <v>-0.58164624292067912</v>
      </c>
      <c r="I97" s="167"/>
      <c r="J97" s="175">
        <f>H97/DAY(B2)</f>
        <v>-2.4235260121694965E-2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2746</v>
      </c>
      <c r="H98" s="99">
        <f>G98+'23'!H98</f>
        <v>413384</v>
      </c>
      <c r="I98" s="168"/>
      <c r="J98" s="175">
        <f>H98/DAY(B2)</f>
        <v>17224.333333333332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0.11685106382978723</v>
      </c>
      <c r="H99" s="99">
        <f>G99+'23'!H99</f>
        <v>18.164499844432328</v>
      </c>
      <c r="I99" s="168"/>
      <c r="J99" s="175">
        <f>H99/DAY(B2)</f>
        <v>0.75685416018468032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1954</v>
      </c>
      <c r="H100" s="99">
        <f>G100+'23'!H100</f>
        <v>232224</v>
      </c>
      <c r="I100" s="118"/>
      <c r="J100" s="175">
        <f>H100/DAY(B2)</f>
        <v>9676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8.3148936170212767E-2</v>
      </c>
      <c r="H101" s="99">
        <f>G101+'23'!H101</f>
        <v>10.237123756842339</v>
      </c>
      <c r="I101" s="168"/>
      <c r="J101" s="175">
        <f>H101/DAY(B2)</f>
        <v>0.42654682320176412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1987</v>
      </c>
      <c r="H102" s="99">
        <f>G102+'23'!H102</f>
        <v>-14948</v>
      </c>
      <c r="I102" s="168"/>
      <c r="J102" s="175">
        <f>H102/DAY(B2)</f>
        <v>-622.83333333333337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8.4553191489361704E-2</v>
      </c>
      <c r="H103" s="99">
        <f>G103+'23'!H103</f>
        <v>-0.27949117881627145</v>
      </c>
      <c r="I103" s="118"/>
      <c r="J103" s="175">
        <f>H103/DAY(B2)</f>
        <v>-1.164546578401131E-2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1616</v>
      </c>
      <c r="H104" s="99">
        <f>G104+'23'!H104</f>
        <v>196512</v>
      </c>
      <c r="I104" s="118"/>
      <c r="J104" s="175">
        <f>H104/DAY(B2)</f>
        <v>8188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6.8765957446808509E-2</v>
      </c>
      <c r="H105" s="99">
        <f>G105+'23'!H105</f>
        <v>8.6948393774559314</v>
      </c>
      <c r="I105" s="187"/>
      <c r="J105" s="188">
        <f>H105/DAY(B2)</f>
        <v>0.36228497406066379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'23'!F112</f>
        <v>55121</v>
      </c>
      <c r="F112" s="237">
        <v>55191</v>
      </c>
      <c r="G112" s="112">
        <f t="shared" ref="G112:G123" si="9">F112-E112</f>
        <v>70</v>
      </c>
      <c r="H112" s="99">
        <f>G112+'23'!H112</f>
        <v>-490</v>
      </c>
      <c r="I112" s="165"/>
      <c r="J112" s="328">
        <f>H112/DAY(B2)</f>
        <v>-20.416666666666668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'23'!F113</f>
        <v>28553</v>
      </c>
      <c r="F113" s="237">
        <v>29010</v>
      </c>
      <c r="G113" s="112">
        <f t="shared" si="9"/>
        <v>457</v>
      </c>
      <c r="H113" s="99">
        <f>G113+'23'!H113</f>
        <v>-3185</v>
      </c>
      <c r="I113" s="165"/>
      <c r="J113" s="328">
        <f>H113/DAY(B2)</f>
        <v>-132.70833333333334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'23'!F114</f>
        <v>22386</v>
      </c>
      <c r="F114" s="237">
        <v>22647</v>
      </c>
      <c r="G114" s="112">
        <f t="shared" si="9"/>
        <v>261</v>
      </c>
      <c r="H114" s="99">
        <f>G114+'23'!H114</f>
        <v>-2357.6000000000004</v>
      </c>
      <c r="I114" s="165"/>
      <c r="J114" s="328">
        <f>H114/DAY(B2)</f>
        <v>-98.233333333333348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'23'!F115</f>
        <v>8687</v>
      </c>
      <c r="F115" s="237">
        <v>8699</v>
      </c>
      <c r="G115" s="112">
        <f t="shared" si="9"/>
        <v>12</v>
      </c>
      <c r="H115" s="99">
        <f>G115+'23'!H115</f>
        <v>-86</v>
      </c>
      <c r="I115" s="165"/>
      <c r="J115" s="328">
        <f>H115/DAY(B2)</f>
        <v>-3.5833333333333335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'23'!F117</f>
        <v>2397</v>
      </c>
      <c r="F117" s="237">
        <v>2412</v>
      </c>
      <c r="G117" s="112">
        <f t="shared" si="9"/>
        <v>15</v>
      </c>
      <c r="H117" s="99">
        <f>G117+'23'!H117</f>
        <v>-178</v>
      </c>
      <c r="I117" s="165"/>
      <c r="J117" s="328">
        <f>H117/DAY(B2)</f>
        <v>-7.416666666666667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'23'!F118</f>
        <v>238577</v>
      </c>
      <c r="F118" s="237">
        <v>238965</v>
      </c>
      <c r="G118" s="112">
        <f t="shared" si="9"/>
        <v>388</v>
      </c>
      <c r="H118" s="99">
        <f>G118+'23'!H118</f>
        <v>-2682</v>
      </c>
      <c r="I118" s="165"/>
      <c r="J118" s="328">
        <f>H118/DAY(B2)</f>
        <v>-111.75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'23'!F119</f>
        <v>241781</v>
      </c>
      <c r="F119" s="237">
        <v>242198</v>
      </c>
      <c r="G119" s="112">
        <f t="shared" si="9"/>
        <v>417</v>
      </c>
      <c r="H119" s="99">
        <f>G119+'23'!H119</f>
        <v>-2928</v>
      </c>
      <c r="I119" s="165"/>
      <c r="J119" s="328">
        <f>H119/DAY(B2)</f>
        <v>-122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'23'!F120</f>
        <v>26758</v>
      </c>
      <c r="F120" s="237">
        <v>27196</v>
      </c>
      <c r="G120" s="112">
        <f t="shared" si="9"/>
        <v>438</v>
      </c>
      <c r="H120" s="99">
        <f>G120+'23'!H120</f>
        <v>-2882</v>
      </c>
      <c r="I120" s="165"/>
      <c r="J120" s="328">
        <f>H120/DAY(B2)</f>
        <v>-120.08333333333333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'23'!F121</f>
        <v>370233</v>
      </c>
      <c r="F121" s="237">
        <v>371027</v>
      </c>
      <c r="G121" s="112">
        <f t="shared" si="9"/>
        <v>794</v>
      </c>
      <c r="H121" s="99">
        <f>G121+'23'!H121</f>
        <v>-5502</v>
      </c>
      <c r="I121" s="165"/>
      <c r="J121" s="328">
        <f>H121/DAY(B2)</f>
        <v>-229.25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'23'!F122</f>
        <v>118297</v>
      </c>
      <c r="F122" s="237">
        <v>118488</v>
      </c>
      <c r="G122" s="112">
        <f t="shared" si="9"/>
        <v>191</v>
      </c>
      <c r="H122" s="99">
        <f>G122+'23'!H122</f>
        <v>-1562</v>
      </c>
      <c r="I122" s="165"/>
      <c r="J122" s="328">
        <f>H122/DAY(B2)</f>
        <v>-65.083333333333329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'23'!F123</f>
        <v>142355</v>
      </c>
      <c r="F123" s="237">
        <v>142703</v>
      </c>
      <c r="G123" s="112">
        <f t="shared" si="9"/>
        <v>348</v>
      </c>
      <c r="H123" s="99">
        <f>G123+'23'!H123</f>
        <v>-2422</v>
      </c>
      <c r="I123" s="165"/>
      <c r="J123" s="328">
        <f>H123/DAY(B2)</f>
        <v>-100.91666666666667</v>
      </c>
    </row>
    <row r="124" spans="1:18" ht="29.25" customHeight="1" x14ac:dyDescent="0.5">
      <c r="A124" s="837"/>
      <c r="B124" s="838"/>
      <c r="C124" s="83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3391</v>
      </c>
      <c r="H125" s="156"/>
      <c r="I125" s="327">
        <f>G125-(G39+G53)</f>
        <v>645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'23'!F128</f>
        <v>35320</v>
      </c>
      <c r="F128" s="165">
        <v>35649</v>
      </c>
      <c r="G128" s="112">
        <f t="shared" ref="G128:G134" si="10">F128-E128</f>
        <v>329</v>
      </c>
      <c r="H128" s="99">
        <f>G128+'23'!H128</f>
        <v>-2355</v>
      </c>
      <c r="I128" s="165"/>
      <c r="J128" s="328">
        <f>H128/DAY(B2)</f>
        <v>-98.125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18568</v>
      </c>
      <c r="F129" s="165">
        <v>18793</v>
      </c>
      <c r="G129" s="112">
        <f t="shared" si="10"/>
        <v>225</v>
      </c>
      <c r="H129" s="99">
        <f>G129+'23'!H129</f>
        <v>-1528</v>
      </c>
      <c r="I129" s="165"/>
      <c r="J129" s="328">
        <f>H129/DAY(B2)</f>
        <v>-63.666666666666664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12146</v>
      </c>
      <c r="F130" s="165">
        <v>12830</v>
      </c>
      <c r="G130" s="112">
        <f t="shared" si="10"/>
        <v>684</v>
      </c>
      <c r="H130" s="99">
        <f>G130+'23'!H130</f>
        <v>-5552</v>
      </c>
      <c r="I130" s="165"/>
      <c r="J130" s="328">
        <f>H130/DAY(B2)</f>
        <v>-231.33333333333334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'23'!F131</f>
        <v>12405</v>
      </c>
      <c r="F131" s="165">
        <v>12511</v>
      </c>
      <c r="G131" s="112">
        <f t="shared" si="10"/>
        <v>106</v>
      </c>
      <c r="H131" s="99">
        <f>G131+'23'!H131</f>
        <v>-642</v>
      </c>
      <c r="I131" s="165"/>
      <c r="J131" s="328">
        <f>H131/DAY(B2)</f>
        <v>-26.75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'23'!F132</f>
        <v>37178</v>
      </c>
      <c r="F132" s="165">
        <v>37692</v>
      </c>
      <c r="G132" s="112">
        <f t="shared" si="10"/>
        <v>514</v>
      </c>
      <c r="H132" s="99">
        <f>G132+'23'!H132</f>
        <v>-38520.630000000005</v>
      </c>
      <c r="I132" s="165"/>
      <c r="J132" s="328">
        <f>H132/DAY(B2)</f>
        <v>-1605.0262500000001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'23'!F133</f>
        <v>82391</v>
      </c>
      <c r="F133" s="165">
        <v>83070</v>
      </c>
      <c r="G133" s="112">
        <f t="shared" si="10"/>
        <v>679</v>
      </c>
      <c r="H133" s="99">
        <f>G133+'23'!H133</f>
        <v>-4633</v>
      </c>
      <c r="I133" s="165"/>
      <c r="J133" s="328">
        <f>H133/DAY(B2)</f>
        <v>-193.04166666666666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'23'!F134</f>
        <v>664239</v>
      </c>
      <c r="F134" s="502">
        <v>664602</v>
      </c>
      <c r="G134" s="112">
        <f t="shared" si="10"/>
        <v>363</v>
      </c>
      <c r="H134" s="99">
        <f>G134+'23'!H134</f>
        <v>666896</v>
      </c>
      <c r="I134" s="165"/>
      <c r="J134" s="328">
        <f>H134/DAY(B2)</f>
        <v>27787.333333333332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2900</v>
      </c>
      <c r="H135" s="99">
        <f>G135+'23'!H135</f>
        <v>36923.29</v>
      </c>
      <c r="I135" s="327">
        <f>G135-(G35+G49)</f>
        <v>-195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'23'!F138</f>
        <v>863269</v>
      </c>
      <c r="F138" s="147">
        <v>863387</v>
      </c>
      <c r="G138" s="112">
        <f t="shared" ref="G138:G152" si="11">F138-E138</f>
        <v>118</v>
      </c>
      <c r="H138" s="99">
        <f>G138+'23'!H138</f>
        <v>-784</v>
      </c>
      <c r="I138" s="118"/>
      <c r="J138" s="328">
        <f>H138/DAY(B2)</f>
        <v>-32.666666666666664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'23'!F139</f>
        <v>886477</v>
      </c>
      <c r="F139" s="148">
        <v>886484</v>
      </c>
      <c r="G139" s="112">
        <f t="shared" si="11"/>
        <v>7</v>
      </c>
      <c r="H139" s="99">
        <f>G139+'23'!H139</f>
        <v>-62</v>
      </c>
      <c r="I139" s="118"/>
      <c r="J139" s="328">
        <f>H139/DAY(B2)</f>
        <v>-2.5833333333333335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'23'!F140</f>
        <v>88882.4</v>
      </c>
      <c r="F140" s="149">
        <v>88882</v>
      </c>
      <c r="G140" s="112">
        <f t="shared" si="11"/>
        <v>-0.39999999999417923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'23'!F141</f>
        <v>47721</v>
      </c>
      <c r="F141" s="149">
        <v>47929</v>
      </c>
      <c r="G141" s="112">
        <f t="shared" si="11"/>
        <v>208</v>
      </c>
      <c r="H141" s="99">
        <f>G141+'23'!H141</f>
        <v>-1377</v>
      </c>
      <c r="I141" s="118"/>
      <c r="J141" s="328">
        <f>H141/DAY(B2)</f>
        <v>-57.375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'23'!F142</f>
        <v>18398</v>
      </c>
      <c r="F142" s="148">
        <v>18476</v>
      </c>
      <c r="G142" s="112">
        <f t="shared" si="11"/>
        <v>78</v>
      </c>
      <c r="H142" s="99">
        <f>G142+'23'!H142</f>
        <v>-533</v>
      </c>
      <c r="I142" s="140"/>
      <c r="J142" s="328">
        <f>H142/DAY(B2)</f>
        <v>-22.208333333333332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'23'!F143</f>
        <v>2877</v>
      </c>
      <c r="F143" s="149">
        <v>2900</v>
      </c>
      <c r="G143" s="112">
        <f t="shared" si="11"/>
        <v>23</v>
      </c>
      <c r="H143" s="99">
        <f>G143+'23'!H143</f>
        <v>-161</v>
      </c>
      <c r="I143" s="140"/>
      <c r="J143" s="328">
        <f>H143/DAY(B2)</f>
        <v>-6.708333333333333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'23'!F144</f>
        <v>867751</v>
      </c>
      <c r="F144" s="149">
        <v>867996</v>
      </c>
      <c r="G144" s="112">
        <f t="shared" si="11"/>
        <v>245</v>
      </c>
      <c r="H144" s="99">
        <f>G144+'23'!H144</f>
        <v>-1674</v>
      </c>
      <c r="I144" s="140"/>
      <c r="J144" s="328">
        <f>H144/DAY(B2)</f>
        <v>-69.75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'23'!F145</f>
        <v>4439</v>
      </c>
      <c r="F145" s="149">
        <v>4459</v>
      </c>
      <c r="G145" s="112">
        <f t="shared" si="11"/>
        <v>20</v>
      </c>
      <c r="H145" s="99">
        <f>G145+'23'!H145</f>
        <v>-99</v>
      </c>
      <c r="I145" s="140"/>
      <c r="J145" s="328">
        <f>H145/DAY(B2)</f>
        <v>-4.125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'23'!F146</f>
        <v>720962</v>
      </c>
      <c r="F146" s="148">
        <v>721410</v>
      </c>
      <c r="G146" s="112">
        <f t="shared" si="11"/>
        <v>448</v>
      </c>
      <c r="H146" s="99">
        <f>G146+'23'!H146</f>
        <v>-3448</v>
      </c>
      <c r="I146" s="140"/>
      <c r="J146" s="328">
        <f>H146/DAY(B2)</f>
        <v>-143.66666666666666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'23'!F147</f>
        <v>611914</v>
      </c>
      <c r="F147" s="148">
        <v>612294</v>
      </c>
      <c r="G147" s="112">
        <f t="shared" si="11"/>
        <v>380</v>
      </c>
      <c r="H147" s="99">
        <f>G147+'23'!H147</f>
        <v>-2988</v>
      </c>
      <c r="I147" s="140"/>
      <c r="J147" s="328">
        <f>H147/DAY(B2)</f>
        <v>-124.5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'23'!F148</f>
        <v>680640</v>
      </c>
      <c r="F148" s="150">
        <v>680925</v>
      </c>
      <c r="G148" s="112">
        <f t="shared" si="11"/>
        <v>285</v>
      </c>
      <c r="H148" s="99">
        <f>G148+'23'!H148</f>
        <v>-2108.1199999999953</v>
      </c>
      <c r="I148" s="124"/>
      <c r="J148" s="328">
        <f>H148/DAY(B2)</f>
        <v>-87.838333333333139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'23'!F149</f>
        <v>6290</v>
      </c>
      <c r="F149" s="146">
        <v>6843</v>
      </c>
      <c r="G149" s="112">
        <f t="shared" si="11"/>
        <v>553</v>
      </c>
      <c r="H149" s="99">
        <f>G149+'23'!H149</f>
        <v>10895.259999999997</v>
      </c>
      <c r="I149" s="119"/>
      <c r="J149" s="328">
        <f>H149/DAY(B2)</f>
        <v>453.96916666666652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'23'!F150</f>
        <v>2235</v>
      </c>
      <c r="F150" s="233">
        <v>2464</v>
      </c>
      <c r="G150" s="112">
        <f t="shared" si="11"/>
        <v>229</v>
      </c>
      <c r="H150" s="99">
        <f>G150+'23'!H150</f>
        <v>-1588</v>
      </c>
      <c r="I150" s="119"/>
      <c r="J150" s="328">
        <f>H150/DAY(B2)</f>
        <v>-66.166666666666671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'23'!F151</f>
        <v>76296</v>
      </c>
      <c r="F151" s="233">
        <v>76543</v>
      </c>
      <c r="G151" s="112">
        <f t="shared" si="11"/>
        <v>247</v>
      </c>
      <c r="H151" s="99">
        <f>G151+'23'!H151</f>
        <v>-1674</v>
      </c>
      <c r="I151" s="119"/>
      <c r="J151" s="328">
        <f>H151/DAY(B2)</f>
        <v>-69.75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'23'!F152</f>
        <v>736</v>
      </c>
      <c r="F152" s="233">
        <v>789</v>
      </c>
      <c r="G152" s="112">
        <f t="shared" si="11"/>
        <v>53</v>
      </c>
      <c r="H152" s="99">
        <f>G152+'23'!H152</f>
        <v>-338</v>
      </c>
      <c r="I152" s="119"/>
      <c r="J152" s="328">
        <f>H152/DAY(B2)</f>
        <v>-14.083333333333334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2893.6000000000058</v>
      </c>
      <c r="H153" s="363"/>
      <c r="I153" s="119">
        <f>G153-(G38+G52)</f>
        <v>939.60000000000582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'23'!F155</f>
        <v>7467</v>
      </c>
      <c r="F155" s="505">
        <v>8074</v>
      </c>
      <c r="G155" s="112">
        <f t="shared" ref="G155:G158" si="12">F155-E155</f>
        <v>607</v>
      </c>
      <c r="H155" s="99">
        <f>G155+'23'!H155</f>
        <v>-5398</v>
      </c>
      <c r="I155" s="364"/>
      <c r="J155" s="328">
        <f>H155/DAY(B2)</f>
        <v>-224.91666666666666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'23'!F156</f>
        <v>595</v>
      </c>
      <c r="F156" s="155">
        <v>646</v>
      </c>
      <c r="G156" s="112">
        <f t="shared" si="12"/>
        <v>51</v>
      </c>
      <c r="H156" s="99">
        <f>G156+'23'!H156</f>
        <v>-441.99999999999989</v>
      </c>
      <c r="I156" s="165"/>
      <c r="J156" s="328">
        <f>H156/DAY(B2)</f>
        <v>-18.416666666666661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v>712</v>
      </c>
      <c r="F157" s="155">
        <v>767</v>
      </c>
      <c r="G157" s="112">
        <f t="shared" si="12"/>
        <v>55</v>
      </c>
      <c r="H157" s="99">
        <f>G157+'23'!H157</f>
        <v>767</v>
      </c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v>1.08</v>
      </c>
      <c r="F158" s="155">
        <v>1.19</v>
      </c>
      <c r="G158" s="112">
        <f t="shared" si="12"/>
        <v>0.10999999999999988</v>
      </c>
      <c r="H158" s="99">
        <f>G158+'23'!H158</f>
        <v>1.19</v>
      </c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471149</v>
      </c>
      <c r="F161" s="235">
        <v>471149</v>
      </c>
      <c r="G161" s="238">
        <f t="shared" ref="G161:G165" si="13">F161-E161</f>
        <v>0</v>
      </c>
      <c r="H161" s="99">
        <f>G161+'23'!H161</f>
        <v>-4.1599999999743886</v>
      </c>
      <c r="I161" s="236"/>
      <c r="J161" s="239">
        <f>H161/DAY(B2)</f>
        <v>-0.17333333333226619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87360</v>
      </c>
      <c r="F162" s="235">
        <v>87391</v>
      </c>
      <c r="G162" s="238">
        <f t="shared" si="13"/>
        <v>31</v>
      </c>
      <c r="H162" s="99">
        <f>G162+'23'!H162</f>
        <v>-179</v>
      </c>
      <c r="I162" s="236"/>
      <c r="J162" s="239">
        <f>H162/DAY(B2)</f>
        <v>-7.458333333333333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77324</v>
      </c>
      <c r="F163" s="235">
        <v>77385</v>
      </c>
      <c r="G163" s="238">
        <f t="shared" si="13"/>
        <v>61</v>
      </c>
      <c r="H163" s="99">
        <f>G163+'23'!H163</f>
        <v>-440</v>
      </c>
      <c r="I163" s="236"/>
      <c r="J163" s="239">
        <f>H163/DAY(B2)</f>
        <v>-18.333333333333332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4217</v>
      </c>
      <c r="F164" s="235">
        <v>4223</v>
      </c>
      <c r="G164" s="238">
        <f t="shared" si="13"/>
        <v>6</v>
      </c>
      <c r="H164" s="99">
        <f>G164+'23'!H164</f>
        <v>-19</v>
      </c>
      <c r="I164" s="236"/>
      <c r="J164" s="239">
        <f>H164/DAY(B2)</f>
        <v>-0.79166666666666663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29592</v>
      </c>
      <c r="F165" s="235">
        <v>29602</v>
      </c>
      <c r="G165" s="238">
        <f t="shared" si="13"/>
        <v>10</v>
      </c>
      <c r="H165" s="99">
        <f>G165+'23'!H165</f>
        <v>-44</v>
      </c>
      <c r="I165" s="236"/>
      <c r="J165" s="239">
        <f>H165/DAY(B2)</f>
        <v>-1.8333333333333333</v>
      </c>
    </row>
    <row r="166" spans="1:10" ht="29.25" x14ac:dyDescent="0.5">
      <c r="A166" s="822"/>
      <c r="B166" s="82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1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26" t="s">
        <v>209</v>
      </c>
      <c r="B173" s="827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26" t="s">
        <v>75</v>
      </c>
      <c r="B174" s="827"/>
      <c r="C174" s="333"/>
      <c r="D174" s="228" t="s">
        <v>142</v>
      </c>
      <c r="E174" s="95">
        <f>'23'!F174</f>
        <v>38176</v>
      </c>
      <c r="F174" s="157">
        <v>38190</v>
      </c>
      <c r="G174" s="155">
        <f t="shared" ref="G174:G175" si="14">F174-E174</f>
        <v>14</v>
      </c>
      <c r="H174" s="99">
        <f>G174+'23'!H174</f>
        <v>-103</v>
      </c>
      <c r="I174" s="155"/>
      <c r="J174" s="178">
        <f>H174/DAY(B2)</f>
        <v>-4.291666666666667</v>
      </c>
    </row>
    <row r="175" spans="1:10" ht="27" customHeight="1" x14ac:dyDescent="0.5">
      <c r="A175" s="826" t="s">
        <v>76</v>
      </c>
      <c r="B175" s="866"/>
      <c r="C175" s="827"/>
      <c r="D175" s="228" t="s">
        <v>142</v>
      </c>
      <c r="E175" s="95">
        <f>'23'!F175</f>
        <v>21427</v>
      </c>
      <c r="F175" s="155">
        <v>21438</v>
      </c>
      <c r="G175" s="155">
        <f t="shared" si="14"/>
        <v>11</v>
      </c>
      <c r="H175" s="99">
        <f>G175+'23'!H175</f>
        <v>-80</v>
      </c>
      <c r="I175" s="155"/>
      <c r="J175" s="178">
        <f>H175/DAY(B2)</f>
        <v>-3.3333333333333335</v>
      </c>
    </row>
    <row r="176" spans="1:10" ht="21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25</v>
      </c>
      <c r="H176" s="99">
        <f>G176+'23'!H176</f>
        <v>-183</v>
      </c>
      <c r="I176" s="155"/>
      <c r="J176" s="178">
        <f>H176/DAY(B2)</f>
        <v>-7.625</v>
      </c>
    </row>
    <row r="177" spans="1:10" ht="21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'23'!F178</f>
        <v>79028</v>
      </c>
      <c r="F178" s="155">
        <v>79127</v>
      </c>
      <c r="G178" s="155">
        <f>F178-E178</f>
        <v>99</v>
      </c>
      <c r="H178" s="99">
        <f>G178+'23'!H178</f>
        <v>-487</v>
      </c>
      <c r="I178" s="155"/>
      <c r="J178" s="178">
        <f>H178/DAY(B2)</f>
        <v>-20.291666666666668</v>
      </c>
    </row>
    <row r="179" spans="1:10" ht="24" customHeight="1" x14ac:dyDescent="0.5">
      <c r="A179" s="826" t="s">
        <v>211</v>
      </c>
      <c r="B179" s="827"/>
      <c r="C179" s="333"/>
      <c r="D179" s="228" t="s">
        <v>142</v>
      </c>
      <c r="E179" s="95">
        <f>'23'!F179</f>
        <v>33915</v>
      </c>
      <c r="F179" s="155">
        <v>33915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'23'!F180</f>
        <v>5428</v>
      </c>
      <c r="F180" s="155">
        <v>5437</v>
      </c>
      <c r="G180" s="155">
        <f t="shared" si="15"/>
        <v>9</v>
      </c>
      <c r="H180" s="99">
        <f>G180+'23'!H180</f>
        <v>-40</v>
      </c>
      <c r="I180" s="155"/>
      <c r="J180" s="178">
        <f>H180/DAY(B2)</f>
        <v>-1.6666666666666667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108</v>
      </c>
      <c r="H181" s="99">
        <f>G181+'23'!H181</f>
        <v>-527</v>
      </c>
      <c r="I181" s="155"/>
      <c r="J181" s="178">
        <f>H181/DAY(B2)</f>
        <v>-21.958333333333332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'23'!F183</f>
        <v>14817</v>
      </c>
      <c r="F183" s="157">
        <v>14832</v>
      </c>
      <c r="G183" s="157">
        <f>F183-E183</f>
        <v>15</v>
      </c>
      <c r="H183" s="99">
        <f>G183+'23'!H183</f>
        <v>-115</v>
      </c>
      <c r="I183" s="155"/>
      <c r="J183" s="178">
        <f>H183/DAY(B2)</f>
        <v>-4.791666666666667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'23'!F184</f>
        <v>10240</v>
      </c>
      <c r="F184" s="157">
        <v>10248</v>
      </c>
      <c r="G184" s="157">
        <f t="shared" ref="G184:G185" si="16">F184-E184</f>
        <v>8</v>
      </c>
      <c r="H184" s="99">
        <f>G184+'23'!H184</f>
        <v>-53</v>
      </c>
      <c r="I184" s="155"/>
      <c r="J184" s="178">
        <f>H184/DAY(B2)</f>
        <v>-2.2083333333333335</v>
      </c>
    </row>
    <row r="185" spans="1:10" ht="26.25" customHeight="1" x14ac:dyDescent="0.5">
      <c r="A185" s="826" t="s">
        <v>216</v>
      </c>
      <c r="B185" s="82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23</v>
      </c>
      <c r="H186" s="99">
        <f>G186+'23'!H186</f>
        <v>-168</v>
      </c>
      <c r="I186" s="157"/>
      <c r="J186" s="178">
        <f>H186/DAY(B2)</f>
        <v>-7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>
        <f>'23'!F187</f>
        <v>0</v>
      </c>
      <c r="F187" s="159"/>
      <c r="G187" s="462">
        <f>G62+G19</f>
        <v>165</v>
      </c>
      <c r="H187" s="99">
        <f>G187+'23'!H187</f>
        <v>500</v>
      </c>
      <c r="I187" s="158"/>
      <c r="J187" s="179">
        <f>H187/DAY(B2)</f>
        <v>20.833333333333332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>
        <f>'23'!F188</f>
        <v>0</v>
      </c>
      <c r="F188" s="159"/>
      <c r="G188" s="462">
        <f>G65+G66+G67+G69+G70</f>
        <v>162</v>
      </c>
      <c r="H188" s="99">
        <f>G188+'23'!H188</f>
        <v>-3050</v>
      </c>
      <c r="I188" s="158"/>
      <c r="J188" s="179">
        <f>H188/DAY(B2)</f>
        <v>-127.08333333333333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'23'!F189</f>
        <v>0</v>
      </c>
      <c r="F189" s="157"/>
      <c r="G189" s="459">
        <f>G181</f>
        <v>108</v>
      </c>
      <c r="H189" s="99">
        <f>G189+'23'!H189</f>
        <v>-2117</v>
      </c>
      <c r="I189" s="158"/>
      <c r="J189" s="179">
        <f>H189/DAY(B2)</f>
        <v>-88.208333333333329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3" zoomScale="55" zoomScaleNormal="49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44555</v>
      </c>
      <c r="C2" s="34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565173</v>
      </c>
      <c r="F7" s="95">
        <f>E7+23500</f>
        <v>588673</v>
      </c>
      <c r="G7" s="112">
        <f>F7-E7</f>
        <v>23500</v>
      </c>
      <c r="H7" s="99">
        <f>G7+'24'!H7</f>
        <v>494112</v>
      </c>
      <c r="I7" s="113">
        <f>'1'!I7</f>
        <v>12000</v>
      </c>
      <c r="J7" s="175">
        <f>H7/DAY(B2)</f>
        <v>19764.48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0</v>
      </c>
      <c r="F8" s="604">
        <f>E8+23500</f>
        <v>23500</v>
      </c>
      <c r="G8" s="115">
        <f>F8-E8</f>
        <v>23500</v>
      </c>
      <c r="H8" s="99">
        <f>G8+'24'!H8</f>
        <v>499412.83000000007</v>
      </c>
      <c r="I8" s="116"/>
      <c r="J8" s="175">
        <f>H8/DAY(B2)</f>
        <v>19976.513200000001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193695.53</v>
      </c>
      <c r="F9" s="601">
        <f>E9+14000</f>
        <v>207695.53</v>
      </c>
      <c r="G9" s="112">
        <f>F9-E9</f>
        <v>14000</v>
      </c>
      <c r="H9" s="99">
        <f>G9+'24'!H9</f>
        <v>306200.53000000003</v>
      </c>
      <c r="I9" s="124">
        <f>I7-J7</f>
        <v>-7764.48</v>
      </c>
      <c r="J9" s="175">
        <f>H9/DAY(B2)</f>
        <v>12248.021200000001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84422.18</v>
      </c>
      <c r="F10" s="353">
        <f>E10+4500</f>
        <v>88922.18</v>
      </c>
      <c r="G10" s="112">
        <f t="shared" ref="G10:G12" si="0">F10-E10</f>
        <v>4500</v>
      </c>
      <c r="H10" s="99">
        <f>G10+'24'!H10</f>
        <v>143828.18</v>
      </c>
      <c r="I10" s="282"/>
      <c r="J10" s="175">
        <f>H10/DAY(B2)</f>
        <v>5753.1271999999999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33300</v>
      </c>
      <c r="I11" s="282"/>
      <c r="J11" s="175">
        <f>H11/DAY(B2)</f>
        <v>1332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36009</v>
      </c>
      <c r="I12" s="282"/>
      <c r="J12" s="175">
        <f>H12/DAY(B2)</f>
        <v>1440.36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G13+'24'!H13</f>
        <v>499872.4599999999</v>
      </c>
      <c r="I13" s="120">
        <f>G7-G13</f>
        <v>5000</v>
      </c>
      <c r="J13" s="175">
        <f>H13/DAY(B2)</f>
        <v>19994.898399999995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1900822</v>
      </c>
      <c r="F15" s="123">
        <f>E15+1100</f>
        <v>1901922</v>
      </c>
      <c r="G15" s="112">
        <f>(F15-E15)</f>
        <v>1100</v>
      </c>
      <c r="H15" s="99">
        <f>G15+'24'!H15</f>
        <v>23492</v>
      </c>
      <c r="I15" s="113">
        <f>'1'!I15</f>
        <v>800</v>
      </c>
      <c r="J15" s="175">
        <f>H15/DAY(B2)</f>
        <v>939.68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-139.67999999999995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'24'!F18</f>
        <v>82</v>
      </c>
      <c r="F18" s="122">
        <f>E18+12</f>
        <v>94</v>
      </c>
      <c r="G18" s="119">
        <f>F18*10</f>
        <v>940</v>
      </c>
      <c r="H18" s="99">
        <f>G18+'24'!H18</f>
        <v>5980</v>
      </c>
      <c r="I18" s="113">
        <f>'1'!I18</f>
        <v>65</v>
      </c>
      <c r="J18" s="175">
        <f>H18/DAY(B2)</f>
        <v>239.2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'24'!F19</f>
        <v>153509</v>
      </c>
      <c r="F19" s="122">
        <f>E19+55</f>
        <v>153564</v>
      </c>
      <c r="G19" s="112">
        <f t="shared" ref="G19" si="1">F19-E19</f>
        <v>55</v>
      </c>
      <c r="H19" s="99">
        <f>G19+'24'!H19</f>
        <v>1339</v>
      </c>
      <c r="I19" s="335"/>
      <c r="J19" s="175">
        <f>H19/DAY(B2)</f>
        <v>53.56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995</v>
      </c>
      <c r="H20" s="99">
        <f>G20+'24'!H20</f>
        <v>7319</v>
      </c>
      <c r="I20" s="336">
        <f>I18-J20</f>
        <v>-227.76</v>
      </c>
      <c r="J20" s="175">
        <f>H20/DAY(B2)</f>
        <v>292.76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250</v>
      </c>
      <c r="I23" s="118"/>
      <c r="J23" s="175">
        <f>H23/DAY(B2)</f>
        <v>10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250</v>
      </c>
      <c r="I24" s="118"/>
      <c r="J24" s="175">
        <f>H24/DAY(B2)</f>
        <v>10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G27+'24'!H27</f>
        <v>4494715.4700000007</v>
      </c>
      <c r="I27" s="138"/>
      <c r="J27" s="175">
        <f>H27/DAY(B2)</f>
        <v>179788.61880000003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1221584</v>
      </c>
      <c r="I28" s="140"/>
      <c r="J28" s="175">
        <f>H28/DAY(B2)</f>
        <v>48863.360000000001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17250</v>
      </c>
      <c r="I29" s="140"/>
      <c r="J29" s="175">
        <f>H29/DAY(B2)</f>
        <v>690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195494</v>
      </c>
      <c r="I30" s="140"/>
      <c r="J30" s="175">
        <f>H30/DAY(B2)</f>
        <v>7819.76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940</v>
      </c>
      <c r="F31" s="136">
        <v>80</v>
      </c>
      <c r="G31" s="137">
        <f>E31*F31</f>
        <v>75200</v>
      </c>
      <c r="H31" s="99">
        <f>G31+'24'!H31</f>
        <v>478400</v>
      </c>
      <c r="I31" s="140"/>
      <c r="J31" s="175">
        <f>H31/DAY(B2)</f>
        <v>19136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351930</v>
      </c>
      <c r="H32" s="99">
        <f>G32+'24'!H32</f>
        <v>6407443.4700000016</v>
      </c>
      <c r="I32" s="144"/>
      <c r="J32" s="175">
        <f>H32/DAY(B2)</f>
        <v>256297.73880000005</v>
      </c>
      <c r="K32" s="63"/>
      <c r="L32" s="89"/>
      <c r="N32" s="87"/>
      <c r="O32" s="71"/>
    </row>
    <row r="33" spans="1:15" ht="25.5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139879</v>
      </c>
      <c r="F35" s="145">
        <v>141529</v>
      </c>
      <c r="G35" s="112">
        <f t="shared" ref="G35:G46" si="3">F35-E35</f>
        <v>1650</v>
      </c>
      <c r="H35" s="99">
        <f>G35+'24'!H35</f>
        <v>156729</v>
      </c>
      <c r="I35" s="95"/>
      <c r="J35" s="175">
        <f>H35/DAY(B2)</f>
        <v>6269.16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14922</v>
      </c>
      <c r="F36" s="145">
        <v>16090</v>
      </c>
      <c r="G36" s="112">
        <f t="shared" si="3"/>
        <v>1168</v>
      </c>
      <c r="H36" s="99">
        <f>G36+'24'!H36</f>
        <v>-5437</v>
      </c>
      <c r="I36" s="95"/>
      <c r="J36" s="175">
        <f>H36/DAY(B2)</f>
        <v>-217.48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184300</v>
      </c>
      <c r="F37" s="145">
        <v>185932</v>
      </c>
      <c r="G37" s="112">
        <f t="shared" si="3"/>
        <v>1632</v>
      </c>
      <c r="H37" s="99">
        <f>G37+'24'!H37</f>
        <v>198144</v>
      </c>
      <c r="I37" s="95"/>
      <c r="J37" s="175">
        <f>H37/DAY(B2)</f>
        <v>7925.76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219024</v>
      </c>
      <c r="F38" s="108">
        <v>221059</v>
      </c>
      <c r="G38" s="112">
        <f t="shared" si="3"/>
        <v>2035</v>
      </c>
      <c r="H38" s="99">
        <f>G38+'24'!H38</f>
        <v>234259</v>
      </c>
      <c r="I38" s="95"/>
      <c r="J38" s="175">
        <f>H38/DAY(B2)</f>
        <v>9370.36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391702</v>
      </c>
      <c r="F39" s="145">
        <v>394552</v>
      </c>
      <c r="G39" s="112">
        <f t="shared" si="3"/>
        <v>2850</v>
      </c>
      <c r="H39" s="99">
        <f>G39+'24'!H39</f>
        <v>416234</v>
      </c>
      <c r="I39" s="95"/>
      <c r="J39" s="175">
        <f>H39/DAY(B2)</f>
        <v>16649.36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2406</v>
      </c>
      <c r="F40" s="145">
        <v>2887</v>
      </c>
      <c r="G40" s="112">
        <f t="shared" si="3"/>
        <v>481</v>
      </c>
      <c r="H40" s="99">
        <f>G40+'24'!H40</f>
        <v>-2182.8500000000004</v>
      </c>
      <c r="I40" s="95"/>
      <c r="J40" s="175">
        <f>H40/DAY(B2)</f>
        <v>-87.314000000000021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48063</v>
      </c>
      <c r="F42" s="145">
        <v>53055</v>
      </c>
      <c r="G42" s="112">
        <f t="shared" si="3"/>
        <v>4992</v>
      </c>
      <c r="H42" s="99">
        <f>G42+'24'!H42</f>
        <v>-20754</v>
      </c>
      <c r="I42" s="95"/>
      <c r="J42" s="175">
        <f>H42/DAY(B2)</f>
        <v>-830.16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28980</v>
      </c>
      <c r="F43" s="145">
        <v>31665</v>
      </c>
      <c r="G43" s="112">
        <f t="shared" si="3"/>
        <v>2685</v>
      </c>
      <c r="H43" s="99">
        <f>G43+'24'!H43</f>
        <v>-15595.999999999996</v>
      </c>
      <c r="I43" s="95"/>
      <c r="J43" s="175">
        <f>H43/DAY(B2)</f>
        <v>-623.8399999999998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17493</v>
      </c>
      <c r="H47" s="99">
        <f>G47+'24'!H47</f>
        <v>961396.15000000014</v>
      </c>
      <c r="I47" s="95"/>
      <c r="J47" s="175">
        <f>H47/DAY(B2)</f>
        <v>38455.846000000005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261805</v>
      </c>
      <c r="F49" s="145">
        <v>263398</v>
      </c>
      <c r="G49" s="112">
        <f t="shared" ref="G49:G58" si="4">F49-E49</f>
        <v>1593</v>
      </c>
      <c r="H49" s="99">
        <f>G49+'24'!H49</f>
        <v>276519.00000000006</v>
      </c>
      <c r="I49" s="95"/>
      <c r="J49" s="175">
        <f>H49/DAY(B2)</f>
        <v>11060.760000000002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16307</v>
      </c>
      <c r="F50" s="145">
        <v>17700</v>
      </c>
      <c r="G50" s="112">
        <f t="shared" si="4"/>
        <v>1393</v>
      </c>
      <c r="H50" s="99">
        <f>G50+'24'!H50</f>
        <v>-6950.0000000000018</v>
      </c>
      <c r="I50" s="95"/>
      <c r="J50" s="175">
        <f>H50/DAY(B2)</f>
        <v>-278.00000000000006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3153</v>
      </c>
      <c r="F54" s="145">
        <v>3157</v>
      </c>
      <c r="G54" s="112">
        <f t="shared" si="4"/>
        <v>4</v>
      </c>
      <c r="H54" s="99">
        <f>G54+'24'!H54</f>
        <v>4924.08</v>
      </c>
      <c r="I54" s="95"/>
      <c r="J54" s="175">
        <f>H54/DAY(B2)</f>
        <v>196.9632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-3511</v>
      </c>
      <c r="I55" s="95"/>
      <c r="J55" s="175">
        <f>H55/DAY(B2)</f>
        <v>-140.44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90799</v>
      </c>
      <c r="F58" s="145">
        <v>91011</v>
      </c>
      <c r="G58" s="112">
        <f t="shared" si="4"/>
        <v>212</v>
      </c>
      <c r="H58" s="99">
        <f>G58+'24'!H58</f>
        <v>91351.63</v>
      </c>
      <c r="I58" s="95"/>
      <c r="J58" s="175">
        <f>H58/DAY(B2)</f>
        <v>3654.0652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3202</v>
      </c>
      <c r="H59" s="99">
        <f>G59+'24'!H59</f>
        <v>362333.71</v>
      </c>
      <c r="I59" s="95">
        <f>G7-G60</f>
        <v>2805</v>
      </c>
      <c r="J59" s="175">
        <f>H59/DAY(B2)</f>
        <v>14493.348400000001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20695</v>
      </c>
      <c r="H60" s="99">
        <f>G60+'24'!H60</f>
        <v>1323729.8599999999</v>
      </c>
      <c r="I60" s="95">
        <f>G13-G60</f>
        <v>-2195</v>
      </c>
      <c r="J60" s="175">
        <f>H60/DAY(B2)</f>
        <v>52949.194399999993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'24'!F62</f>
        <v>266429</v>
      </c>
      <c r="F62" s="122">
        <v>266550</v>
      </c>
      <c r="G62" s="112">
        <f t="shared" ref="G62:G63" si="5">F62-E62</f>
        <v>121</v>
      </c>
      <c r="H62" s="99">
        <f>G62+'24'!H62</f>
        <v>-663</v>
      </c>
      <c r="I62" s="118"/>
      <c r="J62" s="175">
        <f>H62/DAY(B2)</f>
        <v>-26.52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'24'!F63</f>
        <v>211785</v>
      </c>
      <c r="F63" s="122">
        <v>211910</v>
      </c>
      <c r="G63" s="112">
        <f t="shared" si="5"/>
        <v>125</v>
      </c>
      <c r="H63" s="99">
        <f>G63+'24'!H63</f>
        <v>-515</v>
      </c>
      <c r="I63" s="118"/>
      <c r="J63" s="175">
        <f>H63/DAY(B2)</f>
        <v>-20.6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'24'!F64</f>
        <v>0</v>
      </c>
      <c r="F64" s="122"/>
      <c r="G64" s="112">
        <f>G62+G63</f>
        <v>246</v>
      </c>
      <c r="H64" s="99">
        <f>G64+'24'!H64</f>
        <v>-1178</v>
      </c>
      <c r="I64" s="118"/>
      <c r="J64" s="175">
        <f>H64/DAY(B2)</f>
        <v>-47.12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'24'!F65</f>
        <v>431876</v>
      </c>
      <c r="F65" s="122">
        <v>431967</v>
      </c>
      <c r="G65" s="112">
        <f t="shared" ref="G65:G70" si="6">F65-E65</f>
        <v>91</v>
      </c>
      <c r="H65" s="99">
        <f>G65+'24'!H65</f>
        <v>-647</v>
      </c>
      <c r="I65" s="118"/>
      <c r="J65" s="175">
        <f>H65/DAY(B2)</f>
        <v>-25.88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107070</v>
      </c>
      <c r="F66" s="122">
        <v>107094</v>
      </c>
      <c r="G66" s="112">
        <f t="shared" si="6"/>
        <v>24</v>
      </c>
      <c r="H66" s="99">
        <f>G66+'24'!H66</f>
        <v>-120</v>
      </c>
      <c r="I66" s="118"/>
      <c r="J66" s="175">
        <f>H66/DAY(B2)</f>
        <v>-4.8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103711</v>
      </c>
      <c r="F67" s="122">
        <v>103749</v>
      </c>
      <c r="G67" s="112">
        <f t="shared" si="6"/>
        <v>38</v>
      </c>
      <c r="H67" s="99">
        <f>G67+'24'!H67</f>
        <v>-179</v>
      </c>
      <c r="I67" s="118"/>
      <c r="J67" s="175">
        <f>H67/DAY(B2)</f>
        <v>-7.16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156386</v>
      </c>
      <c r="F68" s="122">
        <v>156414</v>
      </c>
      <c r="G68" s="112">
        <f t="shared" si="6"/>
        <v>28</v>
      </c>
      <c r="H68" s="99">
        <f>G68+'24'!H68</f>
        <v>-206</v>
      </c>
      <c r="I68" s="118"/>
      <c r="J68" s="175">
        <f>H68/DAY(B2)</f>
        <v>-8.24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10118</v>
      </c>
      <c r="F69" s="122">
        <v>10132</v>
      </c>
      <c r="G69" s="112">
        <f t="shared" si="6"/>
        <v>14</v>
      </c>
      <c r="H69" s="99">
        <f>G69+'24'!H69</f>
        <v>-82</v>
      </c>
      <c r="I69" s="118"/>
      <c r="J69" s="175">
        <f>H69/DAY(B2)</f>
        <v>-3.28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7801</v>
      </c>
      <c r="F70" s="122">
        <v>7811</v>
      </c>
      <c r="G70" s="112">
        <f t="shared" si="6"/>
        <v>10</v>
      </c>
      <c r="H70" s="99">
        <f>G70+'24'!H70</f>
        <v>-51</v>
      </c>
      <c r="I70" s="118"/>
      <c r="J70" s="175">
        <f>H70/DAY(B2)</f>
        <v>-2.04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205</v>
      </c>
      <c r="H71" s="99">
        <f>G71+'24'!H71</f>
        <v>-1285</v>
      </c>
      <c r="I71" s="154"/>
      <c r="J71" s="175">
        <f>H71/DAY(B2)</f>
        <v>-51.4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'24'!F74</f>
        <v>889828</v>
      </c>
      <c r="F74" s="123">
        <v>890157</v>
      </c>
      <c r="G74" s="112">
        <f t="shared" ref="G74:G78" si="7">F74-E74</f>
        <v>329</v>
      </c>
      <c r="H74" s="99">
        <f>G74+'24'!H74</f>
        <v>-1875</v>
      </c>
      <c r="I74" s="154"/>
      <c r="J74" s="175">
        <f>H74/DAY(B2)</f>
        <v>-75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243.88999999999942</v>
      </c>
      <c r="I75" s="154"/>
      <c r="J75" s="175">
        <f>H75/DAY(B2)</f>
        <v>9.7555999999999763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'24'!F76</f>
        <v>166459</v>
      </c>
      <c r="F76" s="123">
        <v>166582</v>
      </c>
      <c r="G76" s="112">
        <f t="shared" si="7"/>
        <v>123</v>
      </c>
      <c r="H76" s="99">
        <f>G76+'24'!H76</f>
        <v>-625</v>
      </c>
      <c r="I76" s="154"/>
      <c r="J76" s="175">
        <f>H76/DAY(B2)</f>
        <v>-25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'24'!F77</f>
        <v>39983</v>
      </c>
      <c r="F77" s="232">
        <v>40066</v>
      </c>
      <c r="G77" s="112">
        <f t="shared" si="7"/>
        <v>83</v>
      </c>
      <c r="H77" s="99">
        <f>G77+'24'!H77</f>
        <v>-250</v>
      </c>
      <c r="I77" s="154"/>
      <c r="J77" s="175">
        <f>H77/DAY(B2)</f>
        <v>-10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'24'!F78</f>
        <v>9472</v>
      </c>
      <c r="F78" s="123">
        <v>9476</v>
      </c>
      <c r="G78" s="112">
        <f t="shared" si="7"/>
        <v>4</v>
      </c>
      <c r="H78" s="99">
        <f>G78+'24'!H78</f>
        <v>-10</v>
      </c>
      <c r="I78" s="118"/>
      <c r="J78" s="175">
        <f>H78/DAY(B2)</f>
        <v>-0.4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'24'!F79</f>
        <v>0</v>
      </c>
      <c r="F79" s="117"/>
      <c r="G79" s="112">
        <f>G15-SUM(G74:G78)</f>
        <v>561</v>
      </c>
      <c r="H79" s="99">
        <f>G79+'24'!H79</f>
        <v>26008.11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41675.4</v>
      </c>
      <c r="F84" s="164">
        <v>41675.4</v>
      </c>
      <c r="G84" s="112">
        <f t="shared" si="8"/>
        <v>0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1964</v>
      </c>
      <c r="F85" s="164">
        <v>1988</v>
      </c>
      <c r="G85" s="112">
        <f t="shared" si="8"/>
        <v>24</v>
      </c>
      <c r="H85" s="99">
        <f>G85+'24'!H85</f>
        <v>-108.55999999999995</v>
      </c>
      <c r="I85" s="118">
        <f>G82+G83+G84+G85</f>
        <v>24</v>
      </c>
      <c r="J85" s="175">
        <f>H85/DAY(B2)</f>
        <v>-4.3423999999999978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-36.529999999998836</v>
      </c>
      <c r="I86" s="118"/>
      <c r="J86" s="175">
        <f>H86/DAY(B2)</f>
        <v>-1.4611999999999534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24007.97</v>
      </c>
      <c r="F88" s="164">
        <v>24017</v>
      </c>
      <c r="G88" s="112">
        <f t="shared" si="8"/>
        <v>9.0299999999988358</v>
      </c>
      <c r="H88" s="99">
        <f>G88+'24'!H88</f>
        <v>-30</v>
      </c>
      <c r="I88" s="118">
        <f>G86+G87+G88</f>
        <v>9.0299999999988358</v>
      </c>
      <c r="J88" s="175">
        <f>H88/DAY(B2)</f>
        <v>-1.2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25634</v>
      </c>
      <c r="F89" s="164">
        <v>25634</v>
      </c>
      <c r="G89" s="112">
        <f t="shared" si="8"/>
        <v>0</v>
      </c>
      <c r="H89" s="99">
        <f>G89+'24'!H89</f>
        <v>-29</v>
      </c>
      <c r="I89" s="118"/>
      <c r="J89" s="175">
        <f>H89/DAY(B2)</f>
        <v>-1.1599999999999999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70991.8</v>
      </c>
      <c r="F90" s="164">
        <v>70999.649999999994</v>
      </c>
      <c r="G90" s="112">
        <f t="shared" si="8"/>
        <v>7.8499999999912689</v>
      </c>
      <c r="H90" s="99">
        <f>G90+'24'!H90</f>
        <v>-34.350000000005821</v>
      </c>
      <c r="I90" s="118">
        <f>G89+G90</f>
        <v>7.8499999999912689</v>
      </c>
      <c r="J90" s="175">
        <f>H90/DAY(B2)</f>
        <v>-1.3740000000002328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5361</v>
      </c>
      <c r="F92" s="122">
        <v>5373</v>
      </c>
      <c r="G92" s="112">
        <f t="shared" si="8"/>
        <v>12</v>
      </c>
      <c r="H92" s="99">
        <f>G92+'24'!H92</f>
        <v>-65</v>
      </c>
      <c r="I92" s="165"/>
      <c r="J92" s="175">
        <f>H92/DAY(B2)</f>
        <v>-2.6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5928</v>
      </c>
      <c r="H94" s="99">
        <f>G94+'24'!H94</f>
        <v>417652</v>
      </c>
      <c r="I94" s="118"/>
      <c r="J94" s="175">
        <f>H94/DAY(B2)</f>
        <v>16706.080000000002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0.25225531914893617</v>
      </c>
      <c r="H95" s="99">
        <f>G95+'24'!H95</f>
        <v>18.911916306266807</v>
      </c>
      <c r="I95" s="167"/>
      <c r="J95" s="175">
        <f>H95/DAY(B2)</f>
        <v>0.75647665225067229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4992</v>
      </c>
      <c r="H96" s="99">
        <f>G96+'24'!H96</f>
        <v>-24265</v>
      </c>
      <c r="I96" s="118"/>
      <c r="J96" s="175">
        <f>H96/DAY(B2)</f>
        <v>-970.6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0.21242553191489361</v>
      </c>
      <c r="H97" s="99">
        <f>G97+'24'!H97</f>
        <v>-0.36922071100578552</v>
      </c>
      <c r="I97" s="167"/>
      <c r="J97" s="175">
        <f>H97/DAY(B2)</f>
        <v>-1.476882844023142E-2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2850</v>
      </c>
      <c r="H98" s="99">
        <f>G98+'24'!H98</f>
        <v>416234</v>
      </c>
      <c r="I98" s="168"/>
      <c r="J98" s="175">
        <f>H98/DAY(B2)</f>
        <v>16649.36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0.12127659574468085</v>
      </c>
      <c r="H99" s="99">
        <f>G99+'24'!H99</f>
        <v>18.28577644017701</v>
      </c>
      <c r="I99" s="168"/>
      <c r="J99" s="175">
        <f>H99/DAY(B2)</f>
        <v>0.73143105760708038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2035</v>
      </c>
      <c r="H100" s="99">
        <f>G100+'24'!H100</f>
        <v>234259</v>
      </c>
      <c r="I100" s="118"/>
      <c r="J100" s="175">
        <f>H100/DAY(B2)</f>
        <v>9370.36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8.6595744680851058E-2</v>
      </c>
      <c r="H101" s="99">
        <f>G101+'24'!H101</f>
        <v>10.32371950152319</v>
      </c>
      <c r="I101" s="168"/>
      <c r="J101" s="175">
        <f>H101/DAY(B2)</f>
        <v>0.41294878006092761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2561</v>
      </c>
      <c r="H102" s="99">
        <f>G102+'24'!H102</f>
        <v>-12387</v>
      </c>
      <c r="I102" s="168"/>
      <c r="J102" s="175">
        <f>H102/DAY(B2)</f>
        <v>-495.48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0.10897872340425532</v>
      </c>
      <c r="H103" s="99">
        <f>G103+'24'!H103</f>
        <v>-0.17051245541201612</v>
      </c>
      <c r="I103" s="118"/>
      <c r="J103" s="175">
        <f>H103/DAY(B2)</f>
        <v>-6.8204982164806445E-3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1632</v>
      </c>
      <c r="H104" s="99">
        <f>G104+'24'!H104</f>
        <v>198144</v>
      </c>
      <c r="I104" s="118"/>
      <c r="J104" s="175">
        <f>H104/DAY(B2)</f>
        <v>7925.76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6.9446808510638294E-2</v>
      </c>
      <c r="H105" s="99">
        <f>G105+'24'!H105</f>
        <v>8.7642861859665704</v>
      </c>
      <c r="I105" s="187"/>
      <c r="J105" s="188">
        <f>H105/DAY(B2)</f>
        <v>0.35057144743866281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'24'!F112</f>
        <v>55191</v>
      </c>
      <c r="F112" s="237">
        <v>55261</v>
      </c>
      <c r="G112" s="112">
        <f t="shared" ref="G112:G123" si="9">F112-E112</f>
        <v>70</v>
      </c>
      <c r="H112" s="99">
        <f>G112+'24'!H112</f>
        <v>-420</v>
      </c>
      <c r="I112" s="165"/>
      <c r="J112" s="328">
        <f>H112/DAY(B2)</f>
        <v>-16.8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'24'!F113</f>
        <v>29010</v>
      </c>
      <c r="F113" s="237">
        <v>29469</v>
      </c>
      <c r="G113" s="112">
        <f t="shared" si="9"/>
        <v>459</v>
      </c>
      <c r="H113" s="99">
        <f>G113+'24'!H113</f>
        <v>-2726</v>
      </c>
      <c r="I113" s="165"/>
      <c r="J113" s="328">
        <f>H113/DAY(B2)</f>
        <v>-109.04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'24'!F114</f>
        <v>22647</v>
      </c>
      <c r="F114" s="237">
        <v>23051</v>
      </c>
      <c r="G114" s="112">
        <f t="shared" si="9"/>
        <v>404</v>
      </c>
      <c r="H114" s="99">
        <f>G114+'24'!H114</f>
        <v>-1953.6000000000004</v>
      </c>
      <c r="I114" s="165"/>
      <c r="J114" s="328">
        <f>H114/DAY(B2)</f>
        <v>-78.14400000000002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'24'!F115</f>
        <v>8699</v>
      </c>
      <c r="F115" s="237">
        <v>8716</v>
      </c>
      <c r="G115" s="112">
        <f t="shared" si="9"/>
        <v>17</v>
      </c>
      <c r="H115" s="99">
        <f>G115+'24'!H115</f>
        <v>-69</v>
      </c>
      <c r="I115" s="165"/>
      <c r="J115" s="328">
        <f>H115/DAY(B2)</f>
        <v>-2.76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'24'!F117</f>
        <v>2412</v>
      </c>
      <c r="F117" s="237">
        <v>2444</v>
      </c>
      <c r="G117" s="112">
        <f t="shared" si="9"/>
        <v>32</v>
      </c>
      <c r="H117" s="99">
        <f>G117+'24'!H117</f>
        <v>-146</v>
      </c>
      <c r="I117" s="165"/>
      <c r="J117" s="328">
        <f>H117/DAY(B2)</f>
        <v>-5.84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'24'!F118</f>
        <v>238965</v>
      </c>
      <c r="F118" s="237">
        <v>239308</v>
      </c>
      <c r="G118" s="112">
        <f t="shared" si="9"/>
        <v>343</v>
      </c>
      <c r="H118" s="99">
        <f>G118+'24'!H118</f>
        <v>-2339</v>
      </c>
      <c r="I118" s="165"/>
      <c r="J118" s="328">
        <f>H118/DAY(B2)</f>
        <v>-93.56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'24'!F119</f>
        <v>242198</v>
      </c>
      <c r="F119" s="237">
        <v>242623</v>
      </c>
      <c r="G119" s="112">
        <f t="shared" si="9"/>
        <v>425</v>
      </c>
      <c r="H119" s="99">
        <f>G119+'24'!H119</f>
        <v>-2503</v>
      </c>
      <c r="I119" s="165"/>
      <c r="J119" s="328">
        <f>H119/DAY(B2)</f>
        <v>-100.12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'24'!F120</f>
        <v>27196</v>
      </c>
      <c r="F120" s="237">
        <v>27612</v>
      </c>
      <c r="G120" s="112">
        <f t="shared" si="9"/>
        <v>416</v>
      </c>
      <c r="H120" s="99">
        <f>G120+'24'!H120</f>
        <v>-2466</v>
      </c>
      <c r="I120" s="165"/>
      <c r="J120" s="328">
        <f>H120/DAY(B2)</f>
        <v>-98.64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'24'!F121</f>
        <v>371027</v>
      </c>
      <c r="F121" s="237">
        <v>371856</v>
      </c>
      <c r="G121" s="112">
        <f t="shared" si="9"/>
        <v>829</v>
      </c>
      <c r="H121" s="99">
        <f>G121+'24'!H121</f>
        <v>-4673</v>
      </c>
      <c r="I121" s="165"/>
      <c r="J121" s="328">
        <f>H121/DAY(B2)</f>
        <v>-186.92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'24'!F122</f>
        <v>118488</v>
      </c>
      <c r="F122" s="237">
        <v>118690</v>
      </c>
      <c r="G122" s="112">
        <f t="shared" si="9"/>
        <v>202</v>
      </c>
      <c r="H122" s="99">
        <f>G122+'24'!H122</f>
        <v>-1360</v>
      </c>
      <c r="I122" s="165"/>
      <c r="J122" s="328">
        <f>H122/DAY(B2)</f>
        <v>-54.4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'24'!F123</f>
        <v>142703</v>
      </c>
      <c r="F123" s="237">
        <v>143063</v>
      </c>
      <c r="G123" s="112">
        <f t="shared" si="9"/>
        <v>360</v>
      </c>
      <c r="H123" s="99">
        <f>G123+'24'!H123</f>
        <v>-2062</v>
      </c>
      <c r="I123" s="165"/>
      <c r="J123" s="328">
        <f>H123/DAY(B2)</f>
        <v>-82.48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3557</v>
      </c>
      <c r="H125" s="156"/>
      <c r="I125" s="327">
        <f>G125-(G39+G53)</f>
        <v>707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'24'!F128</f>
        <v>35649</v>
      </c>
      <c r="F128" s="155">
        <v>35990</v>
      </c>
      <c r="G128" s="112">
        <f t="shared" ref="G128:G134" si="10">F128-E128</f>
        <v>341</v>
      </c>
      <c r="H128" s="99">
        <f>G128+'24'!H128</f>
        <v>-2014</v>
      </c>
      <c r="I128" s="165"/>
      <c r="J128" s="328">
        <f>H128/DAY(B2)</f>
        <v>-80.56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18793</v>
      </c>
      <c r="F129" s="155">
        <v>19024</v>
      </c>
      <c r="G129" s="112">
        <f t="shared" si="10"/>
        <v>231</v>
      </c>
      <c r="H129" s="99">
        <f>G129+'24'!H129</f>
        <v>-1297</v>
      </c>
      <c r="I129" s="165"/>
      <c r="J129" s="328">
        <f>H129/DAY(B2)</f>
        <v>-51.88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12830</v>
      </c>
      <c r="F130" s="155">
        <v>13552</v>
      </c>
      <c r="G130" s="112">
        <f t="shared" si="10"/>
        <v>722</v>
      </c>
      <c r="H130" s="99">
        <f>G130+'24'!H130</f>
        <v>-4830</v>
      </c>
      <c r="I130" s="165"/>
      <c r="J130" s="328">
        <f>H130/DAY(B2)</f>
        <v>-193.2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'24'!F131</f>
        <v>12511</v>
      </c>
      <c r="F131" s="155">
        <v>12601</v>
      </c>
      <c r="G131" s="112">
        <f t="shared" si="10"/>
        <v>90</v>
      </c>
      <c r="H131" s="99">
        <f>G131+'24'!H131</f>
        <v>-552</v>
      </c>
      <c r="I131" s="165"/>
      <c r="J131" s="328">
        <f>H131/DAY(B2)</f>
        <v>-22.08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'24'!F132</f>
        <v>37692</v>
      </c>
      <c r="F132" s="155">
        <v>38204</v>
      </c>
      <c r="G132" s="112">
        <f t="shared" si="10"/>
        <v>512</v>
      </c>
      <c r="H132" s="99">
        <f>G132+'24'!H132</f>
        <v>-38008.630000000005</v>
      </c>
      <c r="I132" s="165"/>
      <c r="J132" s="328">
        <f>H132/DAY(B2)</f>
        <v>-1520.3452000000002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'24'!F133</f>
        <v>83070</v>
      </c>
      <c r="F133" s="155">
        <v>83772</v>
      </c>
      <c r="G133" s="112">
        <f t="shared" si="10"/>
        <v>702</v>
      </c>
      <c r="H133" s="99">
        <f>G133+'24'!H133</f>
        <v>-3931</v>
      </c>
      <c r="I133" s="165"/>
      <c r="J133" s="328">
        <f>H133/DAY(B2)</f>
        <v>-157.24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'24'!F134</f>
        <v>664602</v>
      </c>
      <c r="F134" s="155">
        <v>665129</v>
      </c>
      <c r="G134" s="112">
        <f t="shared" si="10"/>
        <v>527</v>
      </c>
      <c r="H134" s="99">
        <f>G134+'24'!H134</f>
        <v>667423</v>
      </c>
      <c r="I134" s="165"/>
      <c r="J134" s="328">
        <f>H134/DAY(B2)</f>
        <v>26696.92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3125</v>
      </c>
      <c r="H135" s="99">
        <f>G135+'23'!H135</f>
        <v>37148.29</v>
      </c>
      <c r="I135" s="327">
        <f>G135-(G35+G49)</f>
        <v>-118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'24'!F138</f>
        <v>863387</v>
      </c>
      <c r="F138" s="147">
        <v>863524</v>
      </c>
      <c r="G138" s="112">
        <f t="shared" ref="G138:G152" si="11">F138-E138</f>
        <v>137</v>
      </c>
      <c r="H138" s="99">
        <f>G138+'24'!H138</f>
        <v>-647</v>
      </c>
      <c r="I138" s="118"/>
      <c r="J138" s="328">
        <f>H138/DAY(B2)</f>
        <v>-25.88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'24'!F139</f>
        <v>886484</v>
      </c>
      <c r="F139" s="148">
        <v>886523</v>
      </c>
      <c r="G139" s="112">
        <f t="shared" si="11"/>
        <v>39</v>
      </c>
      <c r="H139" s="99">
        <f>G139+'24'!H139</f>
        <v>-23</v>
      </c>
      <c r="I139" s="118"/>
      <c r="J139" s="328">
        <f>H139/DAY(B2)</f>
        <v>-0.92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'24'!F140</f>
        <v>88882</v>
      </c>
      <c r="F140" s="149">
        <v>88882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'24'!F141</f>
        <v>47929</v>
      </c>
      <c r="F141" s="149">
        <v>48151</v>
      </c>
      <c r="G141" s="112">
        <f t="shared" si="11"/>
        <v>222</v>
      </c>
      <c r="H141" s="99">
        <f>G141+'24'!H141</f>
        <v>-1155</v>
      </c>
      <c r="I141" s="118"/>
      <c r="J141" s="328">
        <f>H141/DAY(B2)</f>
        <v>-46.2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'24'!F142</f>
        <v>18476</v>
      </c>
      <c r="F142" s="148">
        <v>18558</v>
      </c>
      <c r="G142" s="112">
        <f t="shared" si="11"/>
        <v>82</v>
      </c>
      <c r="H142" s="99">
        <f>G142+'24'!H142</f>
        <v>-451</v>
      </c>
      <c r="I142" s="140"/>
      <c r="J142" s="328">
        <f>H142/DAY(B2)</f>
        <v>-18.04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'24'!F143</f>
        <v>2900</v>
      </c>
      <c r="F143" s="149">
        <v>2924</v>
      </c>
      <c r="G143" s="112">
        <f t="shared" si="11"/>
        <v>24</v>
      </c>
      <c r="H143" s="99">
        <f>G143+'24'!H143</f>
        <v>-137</v>
      </c>
      <c r="I143" s="140"/>
      <c r="J143" s="328">
        <f>H143/DAY(B2)</f>
        <v>-5.48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'24'!F144</f>
        <v>867996</v>
      </c>
      <c r="F144" s="149">
        <v>868238</v>
      </c>
      <c r="G144" s="112">
        <f t="shared" si="11"/>
        <v>242</v>
      </c>
      <c r="H144" s="99">
        <f>G144+'24'!H144</f>
        <v>-1432</v>
      </c>
      <c r="I144" s="140"/>
      <c r="J144" s="328">
        <f>H144/DAY(B2)</f>
        <v>-57.28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'24'!F145</f>
        <v>4459</v>
      </c>
      <c r="F145" s="149">
        <v>4474</v>
      </c>
      <c r="G145" s="112">
        <f t="shared" si="11"/>
        <v>15</v>
      </c>
      <c r="H145" s="99">
        <f>G145+'24'!H145</f>
        <v>-84</v>
      </c>
      <c r="I145" s="140"/>
      <c r="J145" s="328">
        <f>H145/DAY(B2)</f>
        <v>-3.36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'24'!F146</f>
        <v>721410</v>
      </c>
      <c r="F146" s="148">
        <v>722039</v>
      </c>
      <c r="G146" s="112">
        <f t="shared" si="11"/>
        <v>629</v>
      </c>
      <c r="H146" s="99">
        <f>G146+'24'!H146</f>
        <v>-2819</v>
      </c>
      <c r="I146" s="140"/>
      <c r="J146" s="328">
        <f>H146/DAY(B2)</f>
        <v>-112.76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'24'!F147</f>
        <v>612294</v>
      </c>
      <c r="F147" s="148">
        <v>612768</v>
      </c>
      <c r="G147" s="112">
        <f t="shared" si="11"/>
        <v>474</v>
      </c>
      <c r="H147" s="99">
        <f>G147+'24'!H147</f>
        <v>-2514</v>
      </c>
      <c r="I147" s="140"/>
      <c r="J147" s="328">
        <f>H147/DAY(B2)</f>
        <v>-100.56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'24'!F148</f>
        <v>680925</v>
      </c>
      <c r="F148" s="488">
        <v>681323</v>
      </c>
      <c r="G148" s="112">
        <f t="shared" si="11"/>
        <v>398</v>
      </c>
      <c r="H148" s="99">
        <f>G148+'24'!H148</f>
        <v>-1710.1199999999953</v>
      </c>
      <c r="I148" s="124"/>
      <c r="J148" s="328">
        <f>H148/DAY(B2)</f>
        <v>-68.40479999999981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'24'!F149</f>
        <v>6843</v>
      </c>
      <c r="F149" s="146">
        <v>7419</v>
      </c>
      <c r="G149" s="112">
        <f t="shared" si="11"/>
        <v>576</v>
      </c>
      <c r="H149" s="99">
        <f>G149+'24'!H149</f>
        <v>11471.259999999997</v>
      </c>
      <c r="I149" s="119"/>
      <c r="J149" s="328">
        <f>H149/DAY(B2)</f>
        <v>458.85039999999987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'24'!F150</f>
        <v>2464</v>
      </c>
      <c r="F150" s="233">
        <v>2697</v>
      </c>
      <c r="G150" s="112">
        <f t="shared" si="11"/>
        <v>233</v>
      </c>
      <c r="H150" s="99">
        <f>G150+'24'!H150</f>
        <v>-1355</v>
      </c>
      <c r="I150" s="119"/>
      <c r="J150" s="328">
        <f>H150/DAY(B2)</f>
        <v>-54.2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'24'!F151</f>
        <v>76543</v>
      </c>
      <c r="F151" s="233">
        <v>76788</v>
      </c>
      <c r="G151" s="112">
        <f t="shared" si="11"/>
        <v>245</v>
      </c>
      <c r="H151" s="99">
        <f>G151+'24'!H151</f>
        <v>-1429</v>
      </c>
      <c r="I151" s="119"/>
      <c r="J151" s="328">
        <f>H151/DAY(B2)</f>
        <v>-57.16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'24'!F152</f>
        <v>789</v>
      </c>
      <c r="F152" s="233">
        <v>837</v>
      </c>
      <c r="G152" s="112">
        <f t="shared" si="11"/>
        <v>48</v>
      </c>
      <c r="H152" s="99">
        <f>G152+'24'!H152</f>
        <v>-290</v>
      </c>
      <c r="I152" s="119"/>
      <c r="J152" s="328">
        <f>H152/DAY(B2)</f>
        <v>-11.6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3364</v>
      </c>
      <c r="H153" s="363"/>
      <c r="I153" s="119">
        <f>G153-(G38+G52)</f>
        <v>1329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'24'!F155</f>
        <v>8074</v>
      </c>
      <c r="F155" s="364">
        <v>8800</v>
      </c>
      <c r="G155" s="112">
        <f t="shared" ref="G155:G158" si="12">F155-E155</f>
        <v>726</v>
      </c>
      <c r="H155" s="99">
        <f>G155+'24'!H155</f>
        <v>-4672</v>
      </c>
      <c r="I155" s="364"/>
      <c r="J155" s="328">
        <f>H155/DAY(B2)</f>
        <v>-186.88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'24'!F156</f>
        <v>646</v>
      </c>
      <c r="F156" s="155">
        <v>700</v>
      </c>
      <c r="G156" s="112">
        <f t="shared" si="12"/>
        <v>54</v>
      </c>
      <c r="H156" s="99">
        <f>G156+'24'!H156</f>
        <v>-387.99999999999989</v>
      </c>
      <c r="I156" s="165"/>
      <c r="J156" s="328">
        <f>H156/DAY(B2)</f>
        <v>-15.519999999999996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v>767</v>
      </c>
      <c r="F157" s="155">
        <v>821</v>
      </c>
      <c r="G157" s="112">
        <f t="shared" si="12"/>
        <v>54</v>
      </c>
      <c r="H157" s="99">
        <f>G157+'24'!H157</f>
        <v>821</v>
      </c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v>1.27</v>
      </c>
      <c r="F158" s="155">
        <v>1.36</v>
      </c>
      <c r="G158" s="112">
        <f t="shared" si="12"/>
        <v>9.000000000000008E-2</v>
      </c>
      <c r="H158" s="99">
        <f>G158+'24'!H158</f>
        <v>1.28</v>
      </c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471149</v>
      </c>
      <c r="F161" s="235">
        <v>471149</v>
      </c>
      <c r="G161" s="238">
        <f t="shared" ref="G161:G165" si="13">F161-E161</f>
        <v>0</v>
      </c>
      <c r="H161" s="99">
        <f>G161+'24'!H161</f>
        <v>-4.1599999999743886</v>
      </c>
      <c r="I161" s="236"/>
      <c r="J161" s="239">
        <f>H161/DAY(B2)</f>
        <v>-0.16639999999897553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87391</v>
      </c>
      <c r="F162" s="235">
        <v>87410</v>
      </c>
      <c r="G162" s="238">
        <f t="shared" si="13"/>
        <v>19</v>
      </c>
      <c r="H162" s="99">
        <f>G162+'24'!H162</f>
        <v>-160</v>
      </c>
      <c r="I162" s="236"/>
      <c r="J162" s="239">
        <f>H162/DAY(B2)</f>
        <v>-6.4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77385</v>
      </c>
      <c r="F163" s="235">
        <v>77422</v>
      </c>
      <c r="G163" s="238">
        <f t="shared" si="13"/>
        <v>37</v>
      </c>
      <c r="H163" s="99">
        <f>G163+'24'!H163</f>
        <v>-403</v>
      </c>
      <c r="I163" s="236"/>
      <c r="J163" s="239">
        <f>H163/DAY(B2)</f>
        <v>-16.12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4223</v>
      </c>
      <c r="F164" s="235">
        <v>4225</v>
      </c>
      <c r="G164" s="238">
        <f t="shared" si="13"/>
        <v>2</v>
      </c>
      <c r="H164" s="99">
        <f>G164+'24'!H164</f>
        <v>-17</v>
      </c>
      <c r="I164" s="236"/>
      <c r="J164" s="239">
        <f>H164/DAY(B2)</f>
        <v>-0.68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29602</v>
      </c>
      <c r="F165" s="235">
        <v>29608</v>
      </c>
      <c r="G165" s="238">
        <f t="shared" si="13"/>
        <v>6</v>
      </c>
      <c r="H165" s="99">
        <f>G165+'24'!H165</f>
        <v>-38</v>
      </c>
      <c r="I165" s="236"/>
      <c r="J165" s="239">
        <f>H165/DAY(B2)</f>
        <v>-1.52</v>
      </c>
    </row>
    <row r="166" spans="1:10" ht="29.25" x14ac:dyDescent="0.5">
      <c r="A166" s="822"/>
      <c r="B166" s="82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1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26" t="s">
        <v>209</v>
      </c>
      <c r="B173" s="827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26" t="s">
        <v>75</v>
      </c>
      <c r="B174" s="827"/>
      <c r="C174" s="333"/>
      <c r="D174" s="228" t="s">
        <v>142</v>
      </c>
      <c r="E174" s="95">
        <f>'24'!F174</f>
        <v>38190</v>
      </c>
      <c r="F174" s="157">
        <v>38205</v>
      </c>
      <c r="G174" s="155">
        <f t="shared" ref="G174:G175" si="14">F174-E174</f>
        <v>15</v>
      </c>
      <c r="H174" s="99">
        <f>G174+'24'!H174</f>
        <v>-88</v>
      </c>
      <c r="I174" s="155"/>
      <c r="J174" s="178">
        <f>H174/DAY(B2)</f>
        <v>-3.52</v>
      </c>
    </row>
    <row r="175" spans="1:10" ht="21.75" customHeight="1" x14ac:dyDescent="0.5">
      <c r="A175" s="826" t="s">
        <v>76</v>
      </c>
      <c r="B175" s="866"/>
      <c r="C175" s="827"/>
      <c r="D175" s="228" t="s">
        <v>142</v>
      </c>
      <c r="E175" s="95">
        <f>'24'!F175</f>
        <v>21438</v>
      </c>
      <c r="F175" s="155">
        <v>21451</v>
      </c>
      <c r="G175" s="155">
        <f t="shared" si="14"/>
        <v>13</v>
      </c>
      <c r="H175" s="99">
        <f>G175+'24'!H175</f>
        <v>-67</v>
      </c>
      <c r="I175" s="155"/>
      <c r="J175" s="178">
        <f>H175/DAY(B2)</f>
        <v>-2.68</v>
      </c>
    </row>
    <row r="176" spans="1:10" ht="23.2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28</v>
      </c>
      <c r="H176" s="99">
        <f>G176+'24'!H176</f>
        <v>-155</v>
      </c>
      <c r="I176" s="155"/>
      <c r="J176" s="178">
        <f>H176/DAY(B2)</f>
        <v>-6.2</v>
      </c>
    </row>
    <row r="177" spans="1:10" ht="21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'24'!F178</f>
        <v>79127</v>
      </c>
      <c r="F178" s="155">
        <v>79212</v>
      </c>
      <c r="G178" s="155">
        <f>F178-E178</f>
        <v>85</v>
      </c>
      <c r="H178" s="99">
        <f>G178+'24'!H178</f>
        <v>-402</v>
      </c>
      <c r="I178" s="155"/>
      <c r="J178" s="178">
        <f>H178/DAY(B2)</f>
        <v>-16.079999999999998</v>
      </c>
    </row>
    <row r="179" spans="1:10" ht="24" customHeight="1" x14ac:dyDescent="0.5">
      <c r="A179" s="826" t="s">
        <v>211</v>
      </c>
      <c r="B179" s="827"/>
      <c r="C179" s="333"/>
      <c r="D179" s="228" t="s">
        <v>142</v>
      </c>
      <c r="E179" s="95">
        <f>'24'!F179</f>
        <v>33915</v>
      </c>
      <c r="F179" s="155">
        <v>33915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'24'!F180</f>
        <v>5437</v>
      </c>
      <c r="F180" s="155">
        <v>5448</v>
      </c>
      <c r="G180" s="155">
        <f t="shared" si="15"/>
        <v>11</v>
      </c>
      <c r="H180" s="99">
        <f>G180+'24'!H180</f>
        <v>-29</v>
      </c>
      <c r="I180" s="155"/>
      <c r="J180" s="178">
        <f>H180/DAY(B2)</f>
        <v>-1.1599999999999999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96</v>
      </c>
      <c r="H181" s="99">
        <f>G181+'24'!H181</f>
        <v>-431</v>
      </c>
      <c r="I181" s="155"/>
      <c r="J181" s="178">
        <f>H181/DAY(B2)</f>
        <v>-17.239999999999998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'24'!F183</f>
        <v>14832</v>
      </c>
      <c r="F183" s="157">
        <v>14848</v>
      </c>
      <c r="G183" s="157">
        <f>F183-E183</f>
        <v>16</v>
      </c>
      <c r="H183" s="99">
        <f>G183+'24'!H183</f>
        <v>-99</v>
      </c>
      <c r="I183" s="155"/>
      <c r="J183" s="178">
        <f>H183/DAY(B2)</f>
        <v>-3.96</v>
      </c>
    </row>
    <row r="184" spans="1:10" ht="30.75" customHeight="1" x14ac:dyDescent="0.5">
      <c r="A184" s="826" t="s">
        <v>215</v>
      </c>
      <c r="B184" s="827"/>
      <c r="C184" s="334"/>
      <c r="D184" s="228" t="s">
        <v>142</v>
      </c>
      <c r="E184" s="95">
        <f>'24'!F184</f>
        <v>10248</v>
      </c>
      <c r="F184" s="157">
        <v>10257</v>
      </c>
      <c r="G184" s="157">
        <f t="shared" ref="G184:G185" si="16">F184-E184</f>
        <v>9</v>
      </c>
      <c r="H184" s="99">
        <f>G184+'24'!H184</f>
        <v>-44</v>
      </c>
      <c r="I184" s="155"/>
      <c r="J184" s="178">
        <f>H184/DAY(B2)</f>
        <v>-1.76</v>
      </c>
    </row>
    <row r="185" spans="1:10" ht="23.25" customHeight="1" x14ac:dyDescent="0.5">
      <c r="A185" s="826" t="s">
        <v>216</v>
      </c>
      <c r="B185" s="82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>
        <v>0</v>
      </c>
      <c r="G186" s="157">
        <f>SUM(G183:G185)</f>
        <v>25</v>
      </c>
      <c r="H186" s="99">
        <f>G186+'24'!H186</f>
        <v>-143</v>
      </c>
      <c r="I186" s="157"/>
      <c r="J186" s="178">
        <f>H186/DAY(B2)</f>
        <v>-5.72</v>
      </c>
    </row>
    <row r="187" spans="1:10" ht="27.75" x14ac:dyDescent="0.5">
      <c r="A187" s="819" t="s">
        <v>217</v>
      </c>
      <c r="B187" s="820"/>
      <c r="C187" s="333"/>
      <c r="D187" s="228" t="s">
        <v>142</v>
      </c>
      <c r="E187" s="95">
        <f>'24'!F187</f>
        <v>0</v>
      </c>
      <c r="F187" s="159"/>
      <c r="G187" s="462">
        <f>G62+G19</f>
        <v>176</v>
      </c>
      <c r="H187" s="99">
        <f>G187+'24'!H187</f>
        <v>676</v>
      </c>
      <c r="I187" s="158"/>
      <c r="J187" s="179">
        <f>H187/DAY(B2)</f>
        <v>27.04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>
        <f>'24'!F188</f>
        <v>0</v>
      </c>
      <c r="F188" s="159"/>
      <c r="G188" s="462">
        <f>G65+G66+G67+G69+G70</f>
        <v>177</v>
      </c>
      <c r="H188" s="99">
        <f>G188+'24'!H188</f>
        <v>-2873</v>
      </c>
      <c r="I188" s="158"/>
      <c r="J188" s="179">
        <f>H188/DAY(B2)</f>
        <v>-114.92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'24'!F189</f>
        <v>0</v>
      </c>
      <c r="F189" s="157"/>
      <c r="G189" s="459">
        <f>G181</f>
        <v>96</v>
      </c>
      <c r="H189" s="99">
        <f>G189+'24'!H189</f>
        <v>-2021</v>
      </c>
      <c r="I189" s="158"/>
      <c r="J189" s="179">
        <f>H189/DAY(B2)</f>
        <v>-80.84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44556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588673</v>
      </c>
      <c r="F7" s="95">
        <f>E7+23500</f>
        <v>612173</v>
      </c>
      <c r="G7" s="112">
        <f>F7-E7</f>
        <v>23500</v>
      </c>
      <c r="H7" s="99">
        <f>G7+'25'!H7</f>
        <v>517612</v>
      </c>
      <c r="I7" s="113">
        <f>'1'!I7</f>
        <v>12000</v>
      </c>
      <c r="J7" s="175">
        <f>H7/DAY(B2)</f>
        <v>19908.153846153848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16065</v>
      </c>
      <c r="F8" s="95">
        <f>E8+23500</f>
        <v>39565</v>
      </c>
      <c r="G8" s="115">
        <f>F8-E8</f>
        <v>23500</v>
      </c>
      <c r="H8" s="99">
        <f>G8+'25'!H8</f>
        <v>522912.83000000007</v>
      </c>
      <c r="I8" s="116"/>
      <c r="J8" s="175">
        <f>H8/DAY(B2)</f>
        <v>20112.031923076927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207695.53</v>
      </c>
      <c r="F9" s="601">
        <f>E9+14000</f>
        <v>221695.53</v>
      </c>
      <c r="G9" s="112">
        <f>F9-E9</f>
        <v>14000</v>
      </c>
      <c r="H9" s="99">
        <f>G9+'25'!H9</f>
        <v>320200.53000000003</v>
      </c>
      <c r="I9" s="124">
        <f>I7-J7</f>
        <v>-7908.1538461538476</v>
      </c>
      <c r="J9" s="175">
        <f>H9/DAY(B2)</f>
        <v>12315.405000000001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88922.18</v>
      </c>
      <c r="F10" s="353">
        <f>E10+4500</f>
        <v>93422.18</v>
      </c>
      <c r="G10" s="112">
        <f t="shared" ref="G10:G12" si="0">F10-E10</f>
        <v>4500</v>
      </c>
      <c r="H10" s="99">
        <f>G10+'25'!H10</f>
        <v>148328.18</v>
      </c>
      <c r="I10" s="282"/>
      <c r="J10" s="175">
        <f>H10/DAY(B2)</f>
        <v>5704.9299999999994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33300</v>
      </c>
      <c r="I11" s="282"/>
      <c r="J11" s="175">
        <f>H11/DAY(B2)</f>
        <v>1280.7692307692307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36009</v>
      </c>
      <c r="I12" s="282"/>
      <c r="J12" s="175">
        <f>H12/DAY(B2)</f>
        <v>1384.9615384615386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G13+'25'!H13</f>
        <v>518372.4599999999</v>
      </c>
      <c r="I13" s="120">
        <f>G7-G13</f>
        <v>5000</v>
      </c>
      <c r="J13" s="175">
        <f>H13/DAY(B2)</f>
        <v>19937.402307692304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1901922</v>
      </c>
      <c r="F15" s="123">
        <f>E15+1100</f>
        <v>1903022</v>
      </c>
      <c r="G15" s="112">
        <f>(F15-E15)</f>
        <v>1100</v>
      </c>
      <c r="H15" s="99">
        <f>G15+'25'!H15</f>
        <v>24592</v>
      </c>
      <c r="I15" s="113">
        <f>'1'!I15</f>
        <v>800</v>
      </c>
      <c r="J15" s="175">
        <f>H15/DAY(B2)</f>
        <v>945.84615384615381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-145.84615384615381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'25'!F18</f>
        <v>94</v>
      </c>
      <c r="F18" s="122">
        <f>E18+12</f>
        <v>106</v>
      </c>
      <c r="G18" s="119">
        <f>F18*10</f>
        <v>1060</v>
      </c>
      <c r="H18" s="99">
        <f>G18+'25'!H18</f>
        <v>7040</v>
      </c>
      <c r="I18" s="113">
        <f>'1'!I18</f>
        <v>65</v>
      </c>
      <c r="J18" s="175">
        <f>H18/DAY(B2)</f>
        <v>270.76923076923077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'25'!F19</f>
        <v>153564</v>
      </c>
      <c r="F19" s="122">
        <f>E19+55</f>
        <v>153619</v>
      </c>
      <c r="G19" s="112">
        <f t="shared" ref="G19" si="1">F19-E19</f>
        <v>55</v>
      </c>
      <c r="H19" s="99">
        <f>G19+'25'!H19</f>
        <v>1394</v>
      </c>
      <c r="I19" s="335"/>
      <c r="J19" s="175">
        <f>H19/DAY(B2)</f>
        <v>53.615384615384613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1115</v>
      </c>
      <c r="H20" s="99">
        <f>G20+'25'!H20</f>
        <v>8434</v>
      </c>
      <c r="I20" s="336">
        <f>I18-J20</f>
        <v>-259.38461538461536</v>
      </c>
      <c r="J20" s="175">
        <f>H20/DAY(B2)</f>
        <v>324.38461538461536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250</v>
      </c>
      <c r="I23" s="118"/>
      <c r="J23" s="175">
        <f>H23/DAY(B2)</f>
        <v>9.615384615384615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250</v>
      </c>
      <c r="I24" s="118"/>
      <c r="J24" s="175">
        <f>H24/DAY(B2)</f>
        <v>9.615384615384615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G27+'25'!H27</f>
        <v>4706215.4700000007</v>
      </c>
      <c r="I27" s="138"/>
      <c r="J27" s="175">
        <f>H27/DAY(B2)</f>
        <v>181008.28730769234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G28+'25'!H28</f>
        <v>1278784</v>
      </c>
      <c r="I28" s="140"/>
      <c r="J28" s="175">
        <f>H28/DAY(B2)</f>
        <v>49184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17250</v>
      </c>
      <c r="I29" s="140"/>
      <c r="J29" s="175">
        <f>H29/DAY(B2)</f>
        <v>663.46153846153845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203524</v>
      </c>
      <c r="I30" s="140"/>
      <c r="J30" s="175">
        <f>H30/DAY(B2)</f>
        <v>7827.8461538461543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1060</v>
      </c>
      <c r="F31" s="136">
        <v>80</v>
      </c>
      <c r="G31" s="137">
        <f>E31*F31</f>
        <v>84800</v>
      </c>
      <c r="H31" s="99">
        <f>G31+'25'!H31</f>
        <v>563200</v>
      </c>
      <c r="I31" s="140"/>
      <c r="J31" s="175">
        <f>H31/DAY(B2)</f>
        <v>21661.538461538461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361530</v>
      </c>
      <c r="H32" s="99">
        <f>G32+'25'!H32</f>
        <v>6768973.4700000016</v>
      </c>
      <c r="I32" s="144"/>
      <c r="J32" s="175">
        <f>H32/DAY(B2)</f>
        <v>260345.13346153853</v>
      </c>
      <c r="K32" s="63"/>
      <c r="L32" s="89"/>
      <c r="N32" s="87"/>
      <c r="O32" s="71"/>
    </row>
    <row r="33" spans="1:15" ht="25.5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141529</v>
      </c>
      <c r="F35" s="145">
        <v>143345</v>
      </c>
      <c r="G35" s="112">
        <f t="shared" ref="G35:G46" si="3">F35-E35</f>
        <v>1816</v>
      </c>
      <c r="H35" s="99">
        <f>G35+'25'!H35</f>
        <v>158545</v>
      </c>
      <c r="I35" s="95"/>
      <c r="J35" s="175">
        <f>H35/DAY(B2)</f>
        <v>6097.8846153846152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16090</v>
      </c>
      <c r="F36" s="145">
        <v>17358</v>
      </c>
      <c r="G36" s="112">
        <f t="shared" si="3"/>
        <v>1268</v>
      </c>
      <c r="H36" s="99">
        <f>G36+'25'!H36</f>
        <v>-4169</v>
      </c>
      <c r="I36" s="95"/>
      <c r="J36" s="175">
        <f>H36/DAY(B2)</f>
        <v>-160.34615384615384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185932</v>
      </c>
      <c r="F37" s="145">
        <v>187529</v>
      </c>
      <c r="G37" s="112">
        <f t="shared" si="3"/>
        <v>1597</v>
      </c>
      <c r="H37" s="99">
        <f>G37+'25'!H37</f>
        <v>199741</v>
      </c>
      <c r="I37" s="95"/>
      <c r="J37" s="175">
        <f>H37/DAY(B2)</f>
        <v>7682.3461538461543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221059</v>
      </c>
      <c r="F38" s="108">
        <v>223025</v>
      </c>
      <c r="G38" s="112">
        <f t="shared" si="3"/>
        <v>1966</v>
      </c>
      <c r="H38" s="99">
        <f>G38+'25'!H38</f>
        <v>236225</v>
      </c>
      <c r="I38" s="95"/>
      <c r="J38" s="175">
        <f>H38/DAY(B2)</f>
        <v>9085.5769230769238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394552</v>
      </c>
      <c r="F39" s="145">
        <v>397280</v>
      </c>
      <c r="G39" s="112">
        <f t="shared" si="3"/>
        <v>2728</v>
      </c>
      <c r="H39" s="99">
        <f>G39+'25'!H39</f>
        <v>418962</v>
      </c>
      <c r="I39" s="95"/>
      <c r="J39" s="175">
        <f>H39/DAY(B2)</f>
        <v>16113.923076923076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2887</v>
      </c>
      <c r="F40" s="145">
        <v>3311</v>
      </c>
      <c r="G40" s="112">
        <f t="shared" si="3"/>
        <v>424</v>
      </c>
      <c r="H40" s="99">
        <f>G40+'25'!H40</f>
        <v>-1758.8500000000004</v>
      </c>
      <c r="I40" s="95"/>
      <c r="J40" s="175">
        <f>H40/DAY(B2)</f>
        <v>-67.648076923076943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53055</v>
      </c>
      <c r="F42" s="145">
        <v>58144</v>
      </c>
      <c r="G42" s="112">
        <f t="shared" si="3"/>
        <v>5089</v>
      </c>
      <c r="H42" s="99">
        <f>G42+'25'!H42</f>
        <v>-15665</v>
      </c>
      <c r="I42" s="95"/>
      <c r="J42" s="175">
        <f>H42/DAY(B2)</f>
        <v>-602.5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31665</v>
      </c>
      <c r="F43" s="145">
        <v>34347</v>
      </c>
      <c r="G43" s="112">
        <f t="shared" si="3"/>
        <v>2682</v>
      </c>
      <c r="H43" s="99">
        <f>G43+'25'!H43</f>
        <v>-12913.999999999996</v>
      </c>
      <c r="I43" s="95"/>
      <c r="J43" s="175">
        <f>H43/DAY(B2)</f>
        <v>-496.69230769230757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17570</v>
      </c>
      <c r="H47" s="99">
        <f>G47+'25'!H47</f>
        <v>978966.15000000014</v>
      </c>
      <c r="I47" s="95"/>
      <c r="J47" s="175">
        <f>H47/DAY(B2)</f>
        <v>37652.544230769236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263398</v>
      </c>
      <c r="F49" s="145">
        <v>264925</v>
      </c>
      <c r="G49" s="112">
        <f t="shared" ref="G49:G58" si="4">F49-E49</f>
        <v>1527</v>
      </c>
      <c r="H49" s="99">
        <f>G49+'25'!H49</f>
        <v>278046.00000000006</v>
      </c>
      <c r="I49" s="95"/>
      <c r="J49" s="175">
        <f>H49/DAY(B2)</f>
        <v>10694.076923076926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17700</v>
      </c>
      <c r="F50" s="145">
        <v>19128</v>
      </c>
      <c r="G50" s="112">
        <f t="shared" si="4"/>
        <v>1428</v>
      </c>
      <c r="H50" s="99">
        <f>G50+'25'!H50</f>
        <v>-5522.0000000000018</v>
      </c>
      <c r="I50" s="95"/>
      <c r="J50" s="175">
        <f>H50/DAY(B2)</f>
        <v>-212.38461538461544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3157</v>
      </c>
      <c r="F54" s="145">
        <v>3162</v>
      </c>
      <c r="G54" s="112">
        <f t="shared" si="4"/>
        <v>5</v>
      </c>
      <c r="H54" s="99">
        <f>G54+'25'!H54</f>
        <v>4929.08</v>
      </c>
      <c r="I54" s="95"/>
      <c r="J54" s="175">
        <f>H54/DAY(B2)</f>
        <v>189.57999999999998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-3511</v>
      </c>
      <c r="I55" s="95"/>
      <c r="J55" s="175">
        <f>H55/DAY(B2)</f>
        <v>-135.03846153846155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91011</v>
      </c>
      <c r="F58" s="145">
        <v>91261</v>
      </c>
      <c r="G58" s="112">
        <f t="shared" si="4"/>
        <v>250</v>
      </c>
      <c r="H58" s="99">
        <f>G58+'25'!H58</f>
        <v>91601.63</v>
      </c>
      <c r="I58" s="95"/>
      <c r="J58" s="175">
        <f>H58/DAY(B2)</f>
        <v>3523.1396153846154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3210</v>
      </c>
      <c r="H59" s="99">
        <f>G59+'25'!H59</f>
        <v>365543.71</v>
      </c>
      <c r="I59" s="95">
        <f>G7-G60</f>
        <v>2720</v>
      </c>
      <c r="J59" s="175">
        <f>H59/DAY(B2)</f>
        <v>14059.373461538462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20780</v>
      </c>
      <c r="H60" s="99">
        <f>G60+'25'!H60</f>
        <v>1344509.8599999999</v>
      </c>
      <c r="I60" s="95">
        <f>G13-G60</f>
        <v>-2280</v>
      </c>
      <c r="J60" s="175">
        <f>H60/DAY(B2)</f>
        <v>51711.917692307688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'25'!F62</f>
        <v>266550</v>
      </c>
      <c r="F62" s="122">
        <v>266695</v>
      </c>
      <c r="G62" s="112">
        <f t="shared" ref="G62:G63" si="5">F62-E62</f>
        <v>145</v>
      </c>
      <c r="H62" s="99">
        <f>G62+'25'!H62</f>
        <v>-518</v>
      </c>
      <c r="I62" s="118"/>
      <c r="J62" s="175">
        <f>H62/DAY(B2)</f>
        <v>-19.923076923076923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'25'!F63</f>
        <v>211910</v>
      </c>
      <c r="F63" s="122">
        <v>212004</v>
      </c>
      <c r="G63" s="112">
        <f t="shared" si="5"/>
        <v>94</v>
      </c>
      <c r="H63" s="99">
        <f>G63+'25'!H63</f>
        <v>-421</v>
      </c>
      <c r="I63" s="118"/>
      <c r="J63" s="175">
        <f>H63/DAY(B2)</f>
        <v>-16.192307692307693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'25'!F64</f>
        <v>0</v>
      </c>
      <c r="F64" s="122"/>
      <c r="G64" s="112">
        <f>G62+G63</f>
        <v>239</v>
      </c>
      <c r="H64" s="99">
        <f>G64+'25'!H64</f>
        <v>-939</v>
      </c>
      <c r="I64" s="118"/>
      <c r="J64" s="175">
        <f>H64/DAY(B2)</f>
        <v>-36.115384615384613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'25'!F65</f>
        <v>431967</v>
      </c>
      <c r="F65" s="122">
        <v>432084</v>
      </c>
      <c r="G65" s="112">
        <f t="shared" ref="G65:G70" si="6">F65-E65</f>
        <v>117</v>
      </c>
      <c r="H65" s="99">
        <f>G65+'25'!H65</f>
        <v>-530</v>
      </c>
      <c r="I65" s="118"/>
      <c r="J65" s="175">
        <f>H65/DAY(B2)</f>
        <v>-20.384615384615383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107094</v>
      </c>
      <c r="F66" s="122">
        <v>107122</v>
      </c>
      <c r="G66" s="112">
        <f t="shared" si="6"/>
        <v>28</v>
      </c>
      <c r="H66" s="99">
        <f>G66+'25'!H66</f>
        <v>-92</v>
      </c>
      <c r="I66" s="118"/>
      <c r="J66" s="175">
        <f>H66/DAY(B2)</f>
        <v>-3.5384615384615383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103749</v>
      </c>
      <c r="F67" s="122">
        <v>103780</v>
      </c>
      <c r="G67" s="112">
        <f t="shared" si="6"/>
        <v>31</v>
      </c>
      <c r="H67" s="99">
        <f>G67+'25'!H67</f>
        <v>-148</v>
      </c>
      <c r="I67" s="118"/>
      <c r="J67" s="175">
        <f>H67/DAY(B2)</f>
        <v>-5.6923076923076925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156414</v>
      </c>
      <c r="F68" s="122">
        <v>156446</v>
      </c>
      <c r="G68" s="112">
        <f t="shared" si="6"/>
        <v>32</v>
      </c>
      <c r="H68" s="99">
        <f>G68+'25'!H68</f>
        <v>-174</v>
      </c>
      <c r="I68" s="118"/>
      <c r="J68" s="175">
        <f>H68/DAY(B2)</f>
        <v>-6.6923076923076925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10132</v>
      </c>
      <c r="F69" s="122">
        <v>10151</v>
      </c>
      <c r="G69" s="112">
        <f t="shared" si="6"/>
        <v>19</v>
      </c>
      <c r="H69" s="99">
        <f>G69+'25'!H69</f>
        <v>-63</v>
      </c>
      <c r="I69" s="118"/>
      <c r="J69" s="175">
        <f>H69/DAY(B2)</f>
        <v>-2.4230769230769229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7811</v>
      </c>
      <c r="F70" s="122">
        <v>7823</v>
      </c>
      <c r="G70" s="112">
        <f t="shared" si="6"/>
        <v>12</v>
      </c>
      <c r="H70" s="99">
        <f>G70+'25'!H70</f>
        <v>-39</v>
      </c>
      <c r="I70" s="118"/>
      <c r="J70" s="175">
        <f>H70/DAY(B2)</f>
        <v>-1.5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239</v>
      </c>
      <c r="H71" s="99">
        <f>G71+'25'!H71</f>
        <v>-1046</v>
      </c>
      <c r="I71" s="154"/>
      <c r="J71" s="175">
        <f>H71/DAY(B2)</f>
        <v>-40.230769230769234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'25'!F74</f>
        <v>890157</v>
      </c>
      <c r="F74" s="123">
        <v>890493</v>
      </c>
      <c r="G74" s="112">
        <f t="shared" ref="G74:G78" si="7">F74-E74</f>
        <v>336</v>
      </c>
      <c r="H74" s="99">
        <f>G74+'25'!H74</f>
        <v>-1539</v>
      </c>
      <c r="I74" s="154"/>
      <c r="J74" s="175">
        <f>H74/DAY(B2)</f>
        <v>-59.192307692307693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243.88999999999942</v>
      </c>
      <c r="I75" s="154"/>
      <c r="J75" s="175">
        <f>H75/DAY(B2)</f>
        <v>9.3803846153845925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'25'!F76</f>
        <v>166582</v>
      </c>
      <c r="F76" s="123">
        <v>166712</v>
      </c>
      <c r="G76" s="112">
        <f t="shared" si="7"/>
        <v>130</v>
      </c>
      <c r="H76" s="99">
        <f>G76+'25'!H76</f>
        <v>-495</v>
      </c>
      <c r="I76" s="154"/>
      <c r="J76" s="175">
        <f>H76/DAY(B2)</f>
        <v>-19.03846153846154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'25'!F77</f>
        <v>40066</v>
      </c>
      <c r="F77" s="123">
        <v>40112</v>
      </c>
      <c r="G77" s="112">
        <f t="shared" si="7"/>
        <v>46</v>
      </c>
      <c r="H77" s="99">
        <f>G77+'25'!H77</f>
        <v>-204</v>
      </c>
      <c r="I77" s="154"/>
      <c r="J77" s="175">
        <f>H77/DAY(B2)</f>
        <v>-7.8461538461538458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'25'!F78</f>
        <v>9476</v>
      </c>
      <c r="F78" s="123">
        <v>9478</v>
      </c>
      <c r="G78" s="112">
        <f t="shared" si="7"/>
        <v>2</v>
      </c>
      <c r="H78" s="99">
        <f>G78+'25'!H78</f>
        <v>-8</v>
      </c>
      <c r="I78" s="118"/>
      <c r="J78" s="175">
        <f>H78/DAY(B2)</f>
        <v>-0.30769230769230771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'25'!F79</f>
        <v>0</v>
      </c>
      <c r="F79" s="117"/>
      <c r="G79" s="112">
        <f>G15-SUM(G74:G78)</f>
        <v>586</v>
      </c>
      <c r="H79" s="99">
        <f>G79+'25'!H79</f>
        <v>26594.11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1988</v>
      </c>
      <c r="F85" s="164">
        <v>2012.32</v>
      </c>
      <c r="G85" s="112">
        <f t="shared" si="8"/>
        <v>24.319999999999936</v>
      </c>
      <c r="H85" s="99">
        <f>G85+'25'!H85</f>
        <v>-84.240000000000009</v>
      </c>
      <c r="I85" s="118">
        <f>G82+G83+G84+G85</f>
        <v>24.319999999999936</v>
      </c>
      <c r="J85" s="175">
        <f>H85/DAY(B2)</f>
        <v>-3.24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-36.529999999998836</v>
      </c>
      <c r="I86" s="118"/>
      <c r="J86" s="175">
        <f>H86/DAY(B2)</f>
        <v>-1.4049999999999552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24017</v>
      </c>
      <c r="F88" s="164">
        <v>24028</v>
      </c>
      <c r="G88" s="112">
        <f t="shared" si="8"/>
        <v>11</v>
      </c>
      <c r="H88" s="99">
        <f>G88+'25'!H88</f>
        <v>-19</v>
      </c>
      <c r="I88" s="118">
        <f>G86+G87+G88</f>
        <v>11</v>
      </c>
      <c r="J88" s="175">
        <f>H88/DAY(B2)</f>
        <v>-0.73076923076923073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25634</v>
      </c>
      <c r="F89" s="164">
        <v>25634</v>
      </c>
      <c r="G89" s="112">
        <f t="shared" si="8"/>
        <v>0</v>
      </c>
      <c r="H89" s="99">
        <f>G89+'25'!H89</f>
        <v>-29</v>
      </c>
      <c r="I89" s="118"/>
      <c r="J89" s="175">
        <f>H89/DAY(B2)</f>
        <v>-1.1153846153846154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70999.649999999994</v>
      </c>
      <c r="F90" s="164">
        <v>71005.539999999994</v>
      </c>
      <c r="G90" s="112">
        <f t="shared" si="8"/>
        <v>5.8899999999994179</v>
      </c>
      <c r="H90" s="99">
        <f>G90+'25'!H90</f>
        <v>-28.460000000006403</v>
      </c>
      <c r="I90" s="118">
        <f>G89+G90</f>
        <v>5.8899999999994179</v>
      </c>
      <c r="J90" s="175">
        <f>H90/DAY(B2)</f>
        <v>-1.0946153846156308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5373</v>
      </c>
      <c r="F92" s="122">
        <v>5384</v>
      </c>
      <c r="G92" s="112">
        <f t="shared" si="8"/>
        <v>11</v>
      </c>
      <c r="H92" s="99">
        <f>G92+'25'!H92</f>
        <v>-54</v>
      </c>
      <c r="I92" s="165"/>
      <c r="J92" s="175">
        <f>H92/DAY(B2)</f>
        <v>-2.0769230769230771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6025</v>
      </c>
      <c r="H94" s="99">
        <f>G94+'25'!H94</f>
        <v>423677</v>
      </c>
      <c r="I94" s="118"/>
      <c r="J94" s="175">
        <f>H94/DAY(B2)</f>
        <v>16295.26923076923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0.25638297872340426</v>
      </c>
      <c r="H95" s="99">
        <f>G95+'25'!H95</f>
        <v>19.168299284990212</v>
      </c>
      <c r="I95" s="167"/>
      <c r="J95" s="175">
        <f>H95/DAY(B2)</f>
        <v>0.73724228019193128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5089</v>
      </c>
      <c r="H96" s="99">
        <f>G96+'25'!H96</f>
        <v>-19176</v>
      </c>
      <c r="I96" s="118"/>
      <c r="J96" s="175">
        <f>H96/DAY(B2)</f>
        <v>-737.53846153846155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0.2165531914893617</v>
      </c>
      <c r="H97" s="99">
        <f>G97+'25'!H97</f>
        <v>-0.15266751951642382</v>
      </c>
      <c r="I97" s="167"/>
      <c r="J97" s="175">
        <f>H97/DAY(B2)</f>
        <v>-5.8718276737086085E-3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2728</v>
      </c>
      <c r="H98" s="99">
        <f>G98+'25'!H98</f>
        <v>418962</v>
      </c>
      <c r="I98" s="168"/>
      <c r="J98" s="175">
        <f>H98/DAY(B2)</f>
        <v>16113.923076923076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0.11608510638297873</v>
      </c>
      <c r="H99" s="99">
        <f>G99+'25'!H99</f>
        <v>18.401861546559989</v>
      </c>
      <c r="I99" s="168"/>
      <c r="J99" s="175">
        <f>H99/DAY(B2)</f>
        <v>0.7077639056369226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1966</v>
      </c>
      <c r="H100" s="99">
        <f>G100+'25'!H100</f>
        <v>236225</v>
      </c>
      <c r="I100" s="118"/>
      <c r="J100" s="175">
        <f>H100/DAY(B2)</f>
        <v>9085.5769230769238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8.3659574468085113E-2</v>
      </c>
      <c r="H101" s="99">
        <f>G101+'25'!H101</f>
        <v>10.407379075991274</v>
      </c>
      <c r="I101" s="168"/>
      <c r="J101" s="175">
        <f>H101/DAY(B2)</f>
        <v>0.40028381061504903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2696</v>
      </c>
      <c r="H102" s="99">
        <f>G102+'25'!H102</f>
        <v>-9691</v>
      </c>
      <c r="I102" s="168"/>
      <c r="J102" s="175">
        <f>H102/DAY(B2)</f>
        <v>-372.73076923076923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0.11472340425531916</v>
      </c>
      <c r="H103" s="99">
        <f>G103+'25'!H103</f>
        <v>-5.5789051156696967E-2</v>
      </c>
      <c r="I103" s="118"/>
      <c r="J103" s="175">
        <f>H103/DAY(B2)</f>
        <v>-2.1457327367960374E-3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1597</v>
      </c>
      <c r="H104" s="99">
        <f>G104+'25'!H104</f>
        <v>199741</v>
      </c>
      <c r="I104" s="118"/>
      <c r="J104" s="175">
        <f>H104/DAY(B2)</f>
        <v>7682.3461538461543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6.7957446808510638E-2</v>
      </c>
      <c r="H105" s="99">
        <f>G105+'25'!H105</f>
        <v>8.8322436327750804</v>
      </c>
      <c r="I105" s="187"/>
      <c r="J105" s="188">
        <f>H105/DAY(B2)</f>
        <v>0.33970167818365693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'25'!F112</f>
        <v>55261</v>
      </c>
      <c r="F112" s="237">
        <v>55331</v>
      </c>
      <c r="G112" s="112">
        <f t="shared" ref="G112:G123" si="9">F112-E112</f>
        <v>70</v>
      </c>
      <c r="H112" s="99">
        <f>G112+'25'!H112</f>
        <v>-350</v>
      </c>
      <c r="I112" s="165"/>
      <c r="J112" s="328">
        <f>H112/DAY(B2)</f>
        <v>-13.461538461538462</v>
      </c>
    </row>
    <row r="113" spans="1:18" ht="27.75" x14ac:dyDescent="0.5">
      <c r="A113" s="833" t="s">
        <v>253</v>
      </c>
      <c r="B113" s="834"/>
      <c r="C113" s="835"/>
      <c r="D113" s="146" t="s">
        <v>183</v>
      </c>
      <c r="E113" s="95">
        <f>'25'!F113</f>
        <v>29469</v>
      </c>
      <c r="F113" s="237">
        <v>29930</v>
      </c>
      <c r="G113" s="112">
        <f t="shared" si="9"/>
        <v>461</v>
      </c>
      <c r="H113" s="99">
        <f>G113+'25'!H113</f>
        <v>-2265</v>
      </c>
      <c r="I113" s="165"/>
      <c r="J113" s="328">
        <f>H113/DAY(B2)</f>
        <v>-87.115384615384613</v>
      </c>
    </row>
    <row r="114" spans="1:18" ht="27.75" x14ac:dyDescent="0.5">
      <c r="A114" s="833" t="s">
        <v>254</v>
      </c>
      <c r="B114" s="834"/>
      <c r="C114" s="835"/>
      <c r="D114" s="146" t="s">
        <v>183</v>
      </c>
      <c r="E114" s="95">
        <f>'25'!F114</f>
        <v>23051</v>
      </c>
      <c r="F114" s="237">
        <v>23348</v>
      </c>
      <c r="G114" s="112">
        <f t="shared" si="9"/>
        <v>297</v>
      </c>
      <c r="H114" s="99">
        <f>G114+'25'!H114</f>
        <v>-1656.6000000000004</v>
      </c>
      <c r="I114" s="165"/>
      <c r="J114" s="328">
        <f>H114/DAY(B2)</f>
        <v>-63.715384615384629</v>
      </c>
    </row>
    <row r="115" spans="1:18" ht="27.75" x14ac:dyDescent="0.5">
      <c r="A115" s="833" t="s">
        <v>255</v>
      </c>
      <c r="B115" s="834"/>
      <c r="C115" s="835"/>
      <c r="D115" s="146" t="s">
        <v>183</v>
      </c>
      <c r="E115" s="95">
        <f>'25'!F115</f>
        <v>8716</v>
      </c>
      <c r="F115" s="237">
        <v>8732</v>
      </c>
      <c r="G115" s="112">
        <f t="shared" si="9"/>
        <v>16</v>
      </c>
      <c r="H115" s="99">
        <f>G115+'25'!H115</f>
        <v>-53</v>
      </c>
      <c r="I115" s="165"/>
      <c r="J115" s="328">
        <f>H115/DAY(B2)</f>
        <v>-2.0384615384615383</v>
      </c>
    </row>
    <row r="116" spans="1:18" ht="27.75" x14ac:dyDescent="0.5">
      <c r="A116" s="840" t="s">
        <v>96</v>
      </c>
      <c r="B116" s="841"/>
      <c r="C116" s="84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7.75" x14ac:dyDescent="0.5">
      <c r="A117" s="840" t="s">
        <v>184</v>
      </c>
      <c r="B117" s="841"/>
      <c r="C117" s="842"/>
      <c r="D117" s="146" t="s">
        <v>183</v>
      </c>
      <c r="E117" s="95">
        <f>'25'!F117</f>
        <v>2444</v>
      </c>
      <c r="F117" s="237">
        <v>2485</v>
      </c>
      <c r="G117" s="112">
        <f t="shared" si="9"/>
        <v>41</v>
      </c>
      <c r="H117" s="99">
        <f>G117+'25'!H117</f>
        <v>-105</v>
      </c>
      <c r="I117" s="165"/>
      <c r="J117" s="328">
        <f>H117/DAY(B2)</f>
        <v>-4.0384615384615383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'25'!F118</f>
        <v>239308</v>
      </c>
      <c r="F118" s="237">
        <v>239648</v>
      </c>
      <c r="G118" s="112">
        <f t="shared" si="9"/>
        <v>340</v>
      </c>
      <c r="H118" s="99">
        <f>G118+'25'!H118</f>
        <v>-1999</v>
      </c>
      <c r="I118" s="165"/>
      <c r="J118" s="328">
        <f>H118/DAY(B2)</f>
        <v>-76.884615384615387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'25'!F119</f>
        <v>242623</v>
      </c>
      <c r="F119" s="237">
        <v>243057</v>
      </c>
      <c r="G119" s="112">
        <f t="shared" si="9"/>
        <v>434</v>
      </c>
      <c r="H119" s="99">
        <f>G119+'25'!H119</f>
        <v>-2069</v>
      </c>
      <c r="I119" s="165"/>
      <c r="J119" s="328">
        <f>H119/DAY(B2)</f>
        <v>-79.57692307692308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'25'!F120</f>
        <v>27612</v>
      </c>
      <c r="F120" s="237">
        <v>28021</v>
      </c>
      <c r="G120" s="112">
        <f t="shared" si="9"/>
        <v>409</v>
      </c>
      <c r="H120" s="99">
        <f>G120+'25'!H120</f>
        <v>-2057</v>
      </c>
      <c r="I120" s="165"/>
      <c r="J120" s="328">
        <f>H120/DAY(B2)</f>
        <v>-79.115384615384613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'25'!F121</f>
        <v>371856</v>
      </c>
      <c r="F121" s="237">
        <v>372629</v>
      </c>
      <c r="G121" s="112">
        <f t="shared" si="9"/>
        <v>773</v>
      </c>
      <c r="H121" s="99">
        <f>G121+'25'!H121</f>
        <v>-3900</v>
      </c>
      <c r="I121" s="165"/>
      <c r="J121" s="328">
        <f>H121/DAY(B2)</f>
        <v>-150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'25'!F122</f>
        <v>118690</v>
      </c>
      <c r="F122" s="237">
        <v>118921</v>
      </c>
      <c r="G122" s="112">
        <f t="shared" si="9"/>
        <v>231</v>
      </c>
      <c r="H122" s="99">
        <f>G122+'25'!H122</f>
        <v>-1129</v>
      </c>
      <c r="I122" s="165"/>
      <c r="J122" s="328">
        <f>H122/DAY(B2)</f>
        <v>-43.42307692307692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'25'!F123</f>
        <v>143063</v>
      </c>
      <c r="F123" s="237">
        <v>143418</v>
      </c>
      <c r="G123" s="112">
        <f t="shared" si="9"/>
        <v>355</v>
      </c>
      <c r="H123" s="99">
        <f>G123+'25'!H123</f>
        <v>-1707</v>
      </c>
      <c r="I123" s="165"/>
      <c r="J123" s="328">
        <f>H123/DAY(B2)</f>
        <v>-65.65384615384616</v>
      </c>
    </row>
    <row r="124" spans="1:18" ht="27.75" x14ac:dyDescent="0.5">
      <c r="A124" s="837"/>
      <c r="B124" s="838"/>
      <c r="C124" s="83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3427</v>
      </c>
      <c r="H125" s="156"/>
      <c r="I125" s="327">
        <f>G125-(G39+G53)</f>
        <v>699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33" t="s">
        <v>318</v>
      </c>
      <c r="B128" s="834"/>
      <c r="C128" s="835"/>
      <c r="D128" s="151" t="s">
        <v>183</v>
      </c>
      <c r="E128" s="95">
        <f>'25'!F128</f>
        <v>35990</v>
      </c>
      <c r="F128" s="165">
        <v>36310</v>
      </c>
      <c r="G128" s="112">
        <f t="shared" ref="G128:G134" si="10">F128-E128</f>
        <v>320</v>
      </c>
      <c r="H128" s="99">
        <f>G128+'25'!H128</f>
        <v>-1694</v>
      </c>
      <c r="I128" s="165"/>
      <c r="J128" s="328">
        <f>H128/DAY(B2)</f>
        <v>-65.15384615384616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19024</v>
      </c>
      <c r="F129" s="165">
        <v>19235</v>
      </c>
      <c r="G129" s="112">
        <f t="shared" si="10"/>
        <v>211</v>
      </c>
      <c r="H129" s="99">
        <f>G129+'25'!H129</f>
        <v>-1086</v>
      </c>
      <c r="I129" s="165"/>
      <c r="J129" s="328">
        <f>H129/DAY(B2)</f>
        <v>-41.769230769230766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13552</v>
      </c>
      <c r="F130" s="165">
        <v>14307</v>
      </c>
      <c r="G130" s="112">
        <f t="shared" si="10"/>
        <v>755</v>
      </c>
      <c r="H130" s="99">
        <f>G130+'25'!H130</f>
        <v>-4075</v>
      </c>
      <c r="I130" s="165"/>
      <c r="J130" s="328">
        <f>H130/DAY(B2)</f>
        <v>-156.73076923076923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'25'!F131</f>
        <v>12601</v>
      </c>
      <c r="F131" s="165">
        <v>12700</v>
      </c>
      <c r="G131" s="112">
        <f t="shared" si="10"/>
        <v>99</v>
      </c>
      <c r="H131" s="99">
        <f>G131+'25'!H131</f>
        <v>-453</v>
      </c>
      <c r="I131" s="165"/>
      <c r="J131" s="328">
        <f>H131/DAY(B2)</f>
        <v>-17.423076923076923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'25'!F132</f>
        <v>38204</v>
      </c>
      <c r="F132" s="165">
        <v>38721</v>
      </c>
      <c r="G132" s="112">
        <f t="shared" si="10"/>
        <v>517</v>
      </c>
      <c r="H132" s="99">
        <f>G132+'25'!H132</f>
        <v>-37491.630000000005</v>
      </c>
      <c r="I132" s="165"/>
      <c r="J132" s="328">
        <f>H132/DAY(B2)</f>
        <v>-1441.9857692307694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'25'!F133</f>
        <v>83772</v>
      </c>
      <c r="F133" s="165">
        <v>84445</v>
      </c>
      <c r="G133" s="112">
        <f t="shared" si="10"/>
        <v>673</v>
      </c>
      <c r="H133" s="99">
        <f>G133+'25'!H133</f>
        <v>-3258</v>
      </c>
      <c r="I133" s="165"/>
      <c r="J133" s="328">
        <f>H133/DAY(B2)</f>
        <v>-125.30769230769231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'25'!F134</f>
        <v>665129</v>
      </c>
      <c r="F134" s="165">
        <v>665751</v>
      </c>
      <c r="G134" s="112">
        <f t="shared" si="10"/>
        <v>622</v>
      </c>
      <c r="H134" s="99">
        <f>G134+'25'!H134</f>
        <v>668045</v>
      </c>
      <c r="I134" s="165"/>
      <c r="J134" s="328">
        <f>H134/DAY(B2)</f>
        <v>25694.038461538461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3197</v>
      </c>
      <c r="H135" s="99">
        <f>G135+'23'!H135</f>
        <v>37220.29</v>
      </c>
      <c r="I135" s="327">
        <f>G135-(G35+G49)</f>
        <v>-146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'25'!F138</f>
        <v>863524</v>
      </c>
      <c r="F138" s="147">
        <v>863642</v>
      </c>
      <c r="G138" s="112">
        <f t="shared" ref="G138:G152" si="11">F138-E138</f>
        <v>118</v>
      </c>
      <c r="H138" s="99">
        <f>G138+'25'!H138</f>
        <v>-529</v>
      </c>
      <c r="I138" s="118"/>
      <c r="J138" s="328">
        <f>H138/DAY(B2)</f>
        <v>-20.346153846153847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'25'!F139</f>
        <v>886523</v>
      </c>
      <c r="F139" s="148">
        <v>886525</v>
      </c>
      <c r="G139" s="112">
        <f t="shared" si="11"/>
        <v>2</v>
      </c>
      <c r="H139" s="99">
        <f>G139+'25'!H139</f>
        <v>-21</v>
      </c>
      <c r="I139" s="118"/>
      <c r="J139" s="328">
        <f>H139/DAY(B2)</f>
        <v>-0.80769230769230771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'25'!F140</f>
        <v>88882</v>
      </c>
      <c r="F140" s="149">
        <v>88882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'25'!F141</f>
        <v>48151</v>
      </c>
      <c r="F141" s="149">
        <v>48352</v>
      </c>
      <c r="G141" s="112">
        <f t="shared" si="11"/>
        <v>201</v>
      </c>
      <c r="H141" s="99">
        <f>G141+'25'!H141</f>
        <v>-954</v>
      </c>
      <c r="I141" s="118"/>
      <c r="J141" s="328">
        <f>H141/DAY(B2)</f>
        <v>-36.692307692307693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'25'!F142</f>
        <v>18558</v>
      </c>
      <c r="F142" s="148">
        <v>18631</v>
      </c>
      <c r="G142" s="112">
        <f t="shared" si="11"/>
        <v>73</v>
      </c>
      <c r="H142" s="99">
        <f>G142+'25'!H142</f>
        <v>-378</v>
      </c>
      <c r="I142" s="140"/>
      <c r="J142" s="328">
        <f>H142/DAY(B2)</f>
        <v>-14.538461538461538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'25'!F143</f>
        <v>2924</v>
      </c>
      <c r="F143" s="149">
        <v>2946</v>
      </c>
      <c r="G143" s="112">
        <f t="shared" si="11"/>
        <v>22</v>
      </c>
      <c r="H143" s="99">
        <f>G143+'25'!H143</f>
        <v>-115</v>
      </c>
      <c r="I143" s="140"/>
      <c r="J143" s="328">
        <f>H143/DAY(B2)</f>
        <v>-4.4230769230769234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'25'!F144</f>
        <v>868238</v>
      </c>
      <c r="F144" s="149">
        <v>868486</v>
      </c>
      <c r="G144" s="112">
        <f t="shared" si="11"/>
        <v>248</v>
      </c>
      <c r="H144" s="99">
        <f>G144+'25'!H144</f>
        <v>-1184</v>
      </c>
      <c r="I144" s="140"/>
      <c r="J144" s="328">
        <f>H144/DAY(B2)</f>
        <v>-45.53846153846154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'25'!F145</f>
        <v>4474</v>
      </c>
      <c r="F145" s="149">
        <v>4491</v>
      </c>
      <c r="G145" s="112">
        <f t="shared" si="11"/>
        <v>17</v>
      </c>
      <c r="H145" s="99">
        <f>G145+'25'!H145</f>
        <v>-67</v>
      </c>
      <c r="I145" s="140"/>
      <c r="J145" s="328">
        <f>H145/DAY(B2)</f>
        <v>-2.5769230769230771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'25'!F146</f>
        <v>722039</v>
      </c>
      <c r="F146" s="148">
        <v>722504</v>
      </c>
      <c r="G146" s="112">
        <f t="shared" si="11"/>
        <v>465</v>
      </c>
      <c r="H146" s="99">
        <f>G146+'25'!H146</f>
        <v>-2354</v>
      </c>
      <c r="I146" s="140"/>
      <c r="J146" s="328">
        <f>H146/DAY(B2)</f>
        <v>-90.538461538461533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'25'!F147</f>
        <v>612768</v>
      </c>
      <c r="F147" s="148">
        <v>613642</v>
      </c>
      <c r="G147" s="112">
        <f t="shared" si="11"/>
        <v>874</v>
      </c>
      <c r="H147" s="99">
        <f>G147+'25'!H147</f>
        <v>-1640</v>
      </c>
      <c r="I147" s="140"/>
      <c r="J147" s="328">
        <f>H147/DAY(B2)</f>
        <v>-63.07692307692308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'25'!F148</f>
        <v>681323</v>
      </c>
      <c r="F148" s="150">
        <v>681670</v>
      </c>
      <c r="G148" s="112">
        <f t="shared" si="11"/>
        <v>347</v>
      </c>
      <c r="H148" s="99">
        <f>G148+'25'!H148</f>
        <v>-1363.1199999999953</v>
      </c>
      <c r="I148" s="124"/>
      <c r="J148" s="328">
        <f>H148/DAY(B2)</f>
        <v>-52.427692307692126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'25'!F149</f>
        <v>7419</v>
      </c>
      <c r="F149" s="146">
        <v>8034</v>
      </c>
      <c r="G149" s="112">
        <f t="shared" si="11"/>
        <v>615</v>
      </c>
      <c r="H149" s="99">
        <f>G149+'25'!H149</f>
        <v>12086.259999999997</v>
      </c>
      <c r="I149" s="119"/>
      <c r="J149" s="328">
        <f>H149/DAY(B2)</f>
        <v>464.85615384615369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'25'!F150</f>
        <v>2697</v>
      </c>
      <c r="F150" s="233">
        <v>2930</v>
      </c>
      <c r="G150" s="112">
        <f t="shared" si="11"/>
        <v>233</v>
      </c>
      <c r="H150" s="99">
        <f>G150+'25'!H150</f>
        <v>-1122</v>
      </c>
      <c r="I150" s="119"/>
      <c r="J150" s="328">
        <f>H150/DAY(B2)</f>
        <v>-43.153846153846153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'25'!F151</f>
        <v>76788</v>
      </c>
      <c r="F151" s="233">
        <v>77013</v>
      </c>
      <c r="G151" s="112">
        <f t="shared" si="11"/>
        <v>225</v>
      </c>
      <c r="H151" s="99">
        <f>G151+'25'!H151</f>
        <v>-1204</v>
      </c>
      <c r="I151" s="119"/>
      <c r="J151" s="328">
        <f>H151/DAY(B2)</f>
        <v>-46.307692307692307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'25'!F152</f>
        <v>837</v>
      </c>
      <c r="F152" s="233">
        <v>886</v>
      </c>
      <c r="G152" s="112">
        <f t="shared" si="11"/>
        <v>49</v>
      </c>
      <c r="H152" s="99">
        <f>G152+'25'!H152</f>
        <v>-241</v>
      </c>
      <c r="I152" s="119"/>
      <c r="J152" s="328">
        <f>H152/DAY(B2)</f>
        <v>-9.2692307692307701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3489</v>
      </c>
      <c r="H153" s="363"/>
      <c r="I153" s="119">
        <f>G153-(G38+G52)</f>
        <v>1523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'25'!F155</f>
        <v>8800</v>
      </c>
      <c r="F155" s="595">
        <v>9494</v>
      </c>
      <c r="G155" s="112">
        <f t="shared" ref="G155:G158" si="12">F155-E155</f>
        <v>694</v>
      </c>
      <c r="H155" s="99">
        <f>G155+'25'!H155</f>
        <v>-3978</v>
      </c>
      <c r="I155" s="364"/>
      <c r="J155" s="328">
        <f>H155/DAY(B2)</f>
        <v>-153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'25'!F156</f>
        <v>700</v>
      </c>
      <c r="F156" s="155">
        <v>756</v>
      </c>
      <c r="G156" s="112">
        <f t="shared" si="12"/>
        <v>56</v>
      </c>
      <c r="H156" s="99">
        <f>G156+'25'!H156</f>
        <v>-331.99999999999989</v>
      </c>
      <c r="I156" s="165"/>
      <c r="J156" s="328">
        <f>H156/DAY(B2)</f>
        <v>-12.769230769230765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'25'!F157</f>
        <v>821</v>
      </c>
      <c r="F157" s="155">
        <v>880</v>
      </c>
      <c r="G157" s="112">
        <f t="shared" si="12"/>
        <v>59</v>
      </c>
      <c r="H157" s="99">
        <f>G157+'25'!H157</f>
        <v>880</v>
      </c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'25'!F158</f>
        <v>1.36</v>
      </c>
      <c r="F158" s="155">
        <v>1.36</v>
      </c>
      <c r="G158" s="112">
        <f t="shared" si="12"/>
        <v>0</v>
      </c>
      <c r="H158" s="99">
        <f>G158+'25'!H158</f>
        <v>1.28</v>
      </c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471149</v>
      </c>
      <c r="F161" s="235">
        <v>471149</v>
      </c>
      <c r="G161" s="238">
        <f t="shared" ref="G161:G165" si="13">F161-E161</f>
        <v>0</v>
      </c>
      <c r="H161" s="99">
        <f>G161+'25'!H161</f>
        <v>-4.1599999999743886</v>
      </c>
      <c r="I161" s="236"/>
      <c r="J161" s="239">
        <f>H161/DAY(B2)</f>
        <v>-0.15999999999901496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87410</v>
      </c>
      <c r="F162" s="235">
        <v>87424</v>
      </c>
      <c r="G162" s="238">
        <f t="shared" si="13"/>
        <v>14</v>
      </c>
      <c r="H162" s="99">
        <f>G162+'25'!H162</f>
        <v>-146</v>
      </c>
      <c r="I162" s="236"/>
      <c r="J162" s="239">
        <f>H162/DAY(B2)</f>
        <v>-5.615384615384615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77422</v>
      </c>
      <c r="F163" s="235">
        <v>77457</v>
      </c>
      <c r="G163" s="238">
        <f t="shared" si="13"/>
        <v>35</v>
      </c>
      <c r="H163" s="99">
        <f>G163+'25'!H163</f>
        <v>-368</v>
      </c>
      <c r="I163" s="236"/>
      <c r="J163" s="239">
        <f>H163/DAY(B2)</f>
        <v>-14.153846153846153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4225</v>
      </c>
      <c r="F164" s="235">
        <v>4226</v>
      </c>
      <c r="G164" s="238">
        <f t="shared" si="13"/>
        <v>1</v>
      </c>
      <c r="H164" s="99">
        <f>G164+'25'!H164</f>
        <v>-16</v>
      </c>
      <c r="I164" s="236"/>
      <c r="J164" s="239">
        <f>H164/DAY(B2)</f>
        <v>-0.61538461538461542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29608</v>
      </c>
      <c r="F165" s="235">
        <v>29613</v>
      </c>
      <c r="G165" s="238">
        <f t="shared" si="13"/>
        <v>5</v>
      </c>
      <c r="H165" s="99">
        <f>G165+'25'!H165</f>
        <v>-33</v>
      </c>
      <c r="I165" s="236"/>
      <c r="J165" s="239">
        <f>H165/DAY(B2)</f>
        <v>-1.2692307692307692</v>
      </c>
    </row>
    <row r="166" spans="1:10" ht="29.25" x14ac:dyDescent="0.5">
      <c r="A166" s="822"/>
      <c r="B166" s="82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'25'!F174</f>
        <v>38205</v>
      </c>
      <c r="F174" s="157">
        <v>38221</v>
      </c>
      <c r="G174" s="155">
        <f t="shared" ref="G174:G175" si="14">F174-E174</f>
        <v>16</v>
      </c>
      <c r="H174" s="99">
        <f>G174+'25'!H174</f>
        <v>-72</v>
      </c>
      <c r="I174" s="155"/>
      <c r="J174" s="178">
        <f>H174/DAY(B2)</f>
        <v>-2.7692307692307692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'25'!F175</f>
        <v>21451</v>
      </c>
      <c r="F175" s="155">
        <v>21463</v>
      </c>
      <c r="G175" s="155">
        <f t="shared" si="14"/>
        <v>12</v>
      </c>
      <c r="H175" s="99">
        <f>G175+'25'!H175</f>
        <v>-55</v>
      </c>
      <c r="I175" s="155"/>
      <c r="J175" s="178">
        <f>H175/DAY(B2)</f>
        <v>-2.1153846153846154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28</v>
      </c>
      <c r="H176" s="99">
        <f>G176+'25'!H176</f>
        <v>-127</v>
      </c>
      <c r="I176" s="155"/>
      <c r="J176" s="178">
        <f>H176/DAY(B2)</f>
        <v>-4.884615384615385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'25'!F178</f>
        <v>79212</v>
      </c>
      <c r="F178" s="155">
        <v>79276</v>
      </c>
      <c r="G178" s="155">
        <f>F178-E178</f>
        <v>64</v>
      </c>
      <c r="H178" s="99">
        <f>G178+'25'!H178</f>
        <v>-338</v>
      </c>
      <c r="I178" s="155"/>
      <c r="J178" s="178">
        <f>H178/DAY(B2)</f>
        <v>-13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'25'!F179</f>
        <v>33915</v>
      </c>
      <c r="F179" s="155">
        <v>33915</v>
      </c>
      <c r="G179" s="1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'25'!F180</f>
        <v>5448</v>
      </c>
      <c r="F180" s="155">
        <v>5449</v>
      </c>
      <c r="G180" s="155">
        <f t="shared" si="15"/>
        <v>1</v>
      </c>
      <c r="H180" s="99">
        <f>G180+'25'!H180</f>
        <v>-28</v>
      </c>
      <c r="I180" s="155"/>
      <c r="J180" s="178">
        <f>H180/DAY(B2)</f>
        <v>-1.0769230769230769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65</v>
      </c>
      <c r="H181" s="99">
        <f>G181+'25'!H181</f>
        <v>-366</v>
      </c>
      <c r="I181" s="155"/>
      <c r="J181" s="178">
        <f>H181/DAY(B2)</f>
        <v>-14.076923076923077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'25'!F183</f>
        <v>14848</v>
      </c>
      <c r="F183" s="157">
        <v>14872</v>
      </c>
      <c r="G183" s="157">
        <f>F183-E183</f>
        <v>24</v>
      </c>
      <c r="H183" s="99">
        <f>G183+'25'!H183</f>
        <v>-75</v>
      </c>
      <c r="I183" s="155"/>
      <c r="J183" s="178">
        <f>H183/DAY(B2)</f>
        <v>-2.8846153846153846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'25'!F184</f>
        <v>10257</v>
      </c>
      <c r="F184" s="157">
        <v>10265</v>
      </c>
      <c r="G184" s="157">
        <f t="shared" ref="G184:G185" si="16">F184-E184</f>
        <v>8</v>
      </c>
      <c r="H184" s="99">
        <f>G184+'25'!H184</f>
        <v>-36</v>
      </c>
      <c r="I184" s="155"/>
      <c r="J184" s="178">
        <f>H184/DAY(B2)</f>
        <v>-1.3846153846153846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32</v>
      </c>
      <c r="H186" s="99">
        <f>G186+'25'!H186</f>
        <v>-111</v>
      </c>
      <c r="I186" s="157"/>
      <c r="J186" s="178">
        <f>H186/DAY(B2)</f>
        <v>-4.2692307692307692</v>
      </c>
    </row>
    <row r="187" spans="1:10" ht="27.75" x14ac:dyDescent="0.5">
      <c r="A187" s="819" t="s">
        <v>217</v>
      </c>
      <c r="B187" s="820"/>
      <c r="C187" s="333"/>
      <c r="D187" s="228" t="s">
        <v>142</v>
      </c>
      <c r="E187" s="95">
        <f>'25'!F187</f>
        <v>0</v>
      </c>
      <c r="F187" s="159"/>
      <c r="G187" s="462">
        <f>G62+G19</f>
        <v>200</v>
      </c>
      <c r="H187" s="99">
        <f>G187+'25'!H187</f>
        <v>876</v>
      </c>
      <c r="I187" s="158"/>
      <c r="J187" s="179">
        <f>H187/DAY(B2)</f>
        <v>33.692307692307693</v>
      </c>
    </row>
    <row r="188" spans="1:10" ht="27.75" x14ac:dyDescent="0.5">
      <c r="A188" s="819" t="s">
        <v>218</v>
      </c>
      <c r="B188" s="820"/>
      <c r="C188" s="333"/>
      <c r="D188" s="228" t="s">
        <v>142</v>
      </c>
      <c r="E188" s="95">
        <f>'25'!F188</f>
        <v>0</v>
      </c>
      <c r="F188" s="159"/>
      <c r="G188" s="462">
        <f>G65+G66+G67+G69+G70</f>
        <v>207</v>
      </c>
      <c r="H188" s="99">
        <f>G188+'25'!H188</f>
        <v>-2666</v>
      </c>
      <c r="I188" s="158"/>
      <c r="J188" s="179">
        <f>H188/DAY(B2)</f>
        <v>-102.53846153846153</v>
      </c>
    </row>
    <row r="189" spans="1:10" ht="27.75" x14ac:dyDescent="0.5">
      <c r="A189" s="819" t="s">
        <v>219</v>
      </c>
      <c r="B189" s="820"/>
      <c r="C189" s="333"/>
      <c r="D189" s="228" t="s">
        <v>142</v>
      </c>
      <c r="E189" s="95">
        <f>'25'!F189</f>
        <v>0</v>
      </c>
      <c r="F189" s="157"/>
      <c r="G189" s="459">
        <f>G181</f>
        <v>65</v>
      </c>
      <c r="H189" s="99">
        <f>G189+'25'!H189</f>
        <v>-1956</v>
      </c>
      <c r="I189" s="158"/>
      <c r="J189" s="179">
        <f>H189/DAY(B2)</f>
        <v>-75.230769230769226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44557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0</v>
      </c>
      <c r="F7" s="95">
        <f>E7+23500</f>
        <v>23500</v>
      </c>
      <c r="G7" s="112">
        <f>F7-E7</f>
        <v>23500</v>
      </c>
      <c r="H7" s="99">
        <f>G7+'26'!H7</f>
        <v>541112</v>
      </c>
      <c r="I7" s="113">
        <f>'1'!I7</f>
        <v>12000</v>
      </c>
      <c r="J7" s="175">
        <f>H7/DAY(B2)</f>
        <v>20041.185185185186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39565</v>
      </c>
      <c r="F8" s="95">
        <f>E8+23500</f>
        <v>63065</v>
      </c>
      <c r="G8" s="115">
        <f>F8-E8</f>
        <v>23500</v>
      </c>
      <c r="H8" s="99">
        <f>G8+'26'!H8</f>
        <v>546412.83000000007</v>
      </c>
      <c r="I8" s="116"/>
      <c r="J8" s="175">
        <f>H8/DAY(B2)</f>
        <v>20237.512222222223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221695.53</v>
      </c>
      <c r="F9" s="601">
        <f>E9+14000</f>
        <v>235695.53</v>
      </c>
      <c r="G9" s="112">
        <f>F9-E9</f>
        <v>14000</v>
      </c>
      <c r="H9" s="99">
        <f>G9+'26'!H9</f>
        <v>334200.53000000003</v>
      </c>
      <c r="I9" s="124">
        <f>I7-J7</f>
        <v>-8041.1851851851861</v>
      </c>
      <c r="J9" s="175">
        <f>H9/DAY(B2)</f>
        <v>12377.797407407408</v>
      </c>
      <c r="K9" s="79">
        <f>K8-100</f>
        <v>1715817</v>
      </c>
      <c r="L9" s="66"/>
      <c r="N9" s="87"/>
      <c r="O9" s="71">
        <f>G8-G7</f>
        <v>0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93422.18</v>
      </c>
      <c r="F10" s="353">
        <f>E10+4500</f>
        <v>97922.18</v>
      </c>
      <c r="G10" s="112">
        <f t="shared" ref="G10:G12" si="0">F10-E10</f>
        <v>4500</v>
      </c>
      <c r="H10" s="99">
        <f>G10+'26'!H10</f>
        <v>152828.18</v>
      </c>
      <c r="I10" s="282"/>
      <c r="J10" s="175">
        <f>H10/DAY(B2)</f>
        <v>5660.3029629629627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33300</v>
      </c>
      <c r="I11" s="282"/>
      <c r="J11" s="175">
        <f>H11/DAY(B2)</f>
        <v>1233.3333333333333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36009</v>
      </c>
      <c r="I12" s="282"/>
      <c r="J12" s="175">
        <f>H12/DAY(B2)</f>
        <v>1333.6666666666667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G13+'26'!H13</f>
        <v>536872.46</v>
      </c>
      <c r="I13" s="120">
        <f>G7-G13</f>
        <v>5000</v>
      </c>
      <c r="J13" s="175">
        <f>H13/DAY(B2)</f>
        <v>19884.165185185182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1903022</v>
      </c>
      <c r="F15" s="123">
        <f>E15+1100</f>
        <v>1904122</v>
      </c>
      <c r="G15" s="112">
        <f>(F15-E15)</f>
        <v>1100</v>
      </c>
      <c r="H15" s="99">
        <f>G15+'26'!H15</f>
        <v>25692</v>
      </c>
      <c r="I15" s="113">
        <f>'1'!I15</f>
        <v>800</v>
      </c>
      <c r="J15" s="175">
        <f>H15/DAY(B2)</f>
        <v>951.55555555555554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-151.55555555555554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'26'!F18</f>
        <v>106</v>
      </c>
      <c r="F18" s="122">
        <f>E18+12</f>
        <v>118</v>
      </c>
      <c r="G18" s="119">
        <f>F18*10</f>
        <v>1180</v>
      </c>
      <c r="H18" s="99">
        <f>G18+'26'!H18</f>
        <v>8220</v>
      </c>
      <c r="I18" s="113">
        <f>'1'!I18</f>
        <v>65</v>
      </c>
      <c r="J18" s="175">
        <f>H18/DAY(B2)</f>
        <v>304.44444444444446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'26'!F19</f>
        <v>153619</v>
      </c>
      <c r="F19" s="122">
        <f>E19+55</f>
        <v>153674</v>
      </c>
      <c r="G19" s="112">
        <f t="shared" ref="G19" si="1">F19-E19</f>
        <v>55</v>
      </c>
      <c r="H19" s="99">
        <f>G19+'26'!H19</f>
        <v>1449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1235</v>
      </c>
      <c r="H20" s="99">
        <f>G20+'26'!H20</f>
        <v>9669</v>
      </c>
      <c r="I20" s="336">
        <f>I18-J20</f>
        <v>-293.11111111111109</v>
      </c>
      <c r="J20" s="175">
        <f>H20/DAY(B2)</f>
        <v>358.11111111111109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250</v>
      </c>
      <c r="I23" s="118"/>
      <c r="J23" s="175">
        <f>H23/DAY(B2)</f>
        <v>9.2592592592592595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250</v>
      </c>
      <c r="I24" s="118"/>
      <c r="J24" s="175">
        <f>H24/DAY(B2)</f>
        <v>9.2592592592592595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G27+'26'!H27</f>
        <v>4917715.4700000007</v>
      </c>
      <c r="I27" s="138"/>
      <c r="J27" s="175">
        <f>H27/DAY(B2)</f>
        <v>182137.61000000002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1335984</v>
      </c>
      <c r="I28" s="140"/>
      <c r="J28" s="175">
        <f>H28/DAY(B2)</f>
        <v>49480.888888888891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17250</v>
      </c>
      <c r="I29" s="140"/>
      <c r="J29" s="175">
        <f>H29/DAY(B2)</f>
        <v>638.88888888888891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G30+'26'!H30</f>
        <v>211554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1180</v>
      </c>
      <c r="F31" s="136">
        <v>80</v>
      </c>
      <c r="G31" s="137">
        <f>E31*F31</f>
        <v>94400</v>
      </c>
      <c r="H31" s="99">
        <f>G31+'26'!H31</f>
        <v>657600</v>
      </c>
      <c r="I31" s="140"/>
      <c r="J31" s="175">
        <f>H31/DAY(B2)</f>
        <v>24355.555555555555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371130</v>
      </c>
      <c r="H32" s="99">
        <f>G32+'26'!H32</f>
        <v>7140103.4700000016</v>
      </c>
      <c r="I32" s="144"/>
      <c r="J32" s="175">
        <f>H32/DAY(B2)</f>
        <v>264448.27666666673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143345</v>
      </c>
      <c r="F35" s="145">
        <v>145179</v>
      </c>
      <c r="G35" s="112">
        <f t="shared" ref="G35:G46" si="3">F35-E35</f>
        <v>1834</v>
      </c>
      <c r="H35" s="99">
        <f>G35+'26'!H35</f>
        <v>160379</v>
      </c>
      <c r="I35" s="95"/>
      <c r="J35" s="175">
        <f>H35/DAY(B2)</f>
        <v>5939.9629629629626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17358</v>
      </c>
      <c r="F36" s="145">
        <v>18238</v>
      </c>
      <c r="G36" s="112">
        <f t="shared" si="3"/>
        <v>880</v>
      </c>
      <c r="H36" s="99">
        <f>G36+'26'!H36</f>
        <v>-3289</v>
      </c>
      <c r="I36" s="95"/>
      <c r="J36" s="175">
        <f>H36/DAY(B2)</f>
        <v>-121.81481481481481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187529</v>
      </c>
      <c r="F37" s="145">
        <v>189109</v>
      </c>
      <c r="G37" s="112">
        <f t="shared" si="3"/>
        <v>1580</v>
      </c>
      <c r="H37" s="99">
        <f>G37+'26'!H37</f>
        <v>201321</v>
      </c>
      <c r="I37" s="95"/>
      <c r="J37" s="175">
        <f>H37/DAY(B2)</f>
        <v>7456.333333333333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223025</v>
      </c>
      <c r="F38" s="108">
        <v>224984</v>
      </c>
      <c r="G38" s="112">
        <f t="shared" si="3"/>
        <v>1959</v>
      </c>
      <c r="H38" s="99">
        <f>G38+'26'!H38</f>
        <v>238184</v>
      </c>
      <c r="I38" s="95"/>
      <c r="J38" s="175">
        <f>H38/DAY(B2)</f>
        <v>8821.6296296296296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397280</v>
      </c>
      <c r="F39" s="145">
        <v>400137</v>
      </c>
      <c r="G39" s="112">
        <f t="shared" si="3"/>
        <v>2857</v>
      </c>
      <c r="H39" s="99">
        <f>G39+'26'!H39</f>
        <v>421819</v>
      </c>
      <c r="I39" s="95"/>
      <c r="J39" s="175">
        <f>H39/DAY(B2)</f>
        <v>15622.925925925925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3311</v>
      </c>
      <c r="F40" s="145">
        <v>4084</v>
      </c>
      <c r="G40" s="112">
        <f t="shared" si="3"/>
        <v>773</v>
      </c>
      <c r="H40" s="99">
        <f>G40+'26'!H40</f>
        <v>-985.85000000000036</v>
      </c>
      <c r="I40" s="95"/>
      <c r="J40" s="175">
        <f>H40/DAY(B2)</f>
        <v>-36.512962962962973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58144</v>
      </c>
      <c r="F42" s="145">
        <v>63114</v>
      </c>
      <c r="G42" s="112">
        <f t="shared" si="3"/>
        <v>4970</v>
      </c>
      <c r="H42" s="99">
        <f>G42+'26'!H42</f>
        <v>-10695</v>
      </c>
      <c r="I42" s="95"/>
      <c r="J42" s="175">
        <f>H42/DAY(B2)</f>
        <v>-396.11111111111109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34347</v>
      </c>
      <c r="F43" s="145">
        <v>37050</v>
      </c>
      <c r="G43" s="112">
        <f t="shared" si="3"/>
        <v>2703</v>
      </c>
      <c r="H43" s="99">
        <f>G43+'26'!H43</f>
        <v>-10210.999999999996</v>
      </c>
      <c r="I43" s="95"/>
      <c r="J43" s="175">
        <f>H43/DAY(B2)</f>
        <v>-378.18518518518505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17556</v>
      </c>
      <c r="H47" s="99">
        <f>G47+'26'!H47</f>
        <v>996522.15000000014</v>
      </c>
      <c r="I47" s="95"/>
      <c r="J47" s="175">
        <f>H47/DAY(B2)</f>
        <v>36908.227777777785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264925</v>
      </c>
      <c r="F49" s="145">
        <v>266456</v>
      </c>
      <c r="G49" s="112">
        <f t="shared" ref="G49:G58" si="4">F49-E49</f>
        <v>1531</v>
      </c>
      <c r="H49" s="99">
        <f>G49+'26'!H49</f>
        <v>279577.00000000006</v>
      </c>
      <c r="I49" s="95"/>
      <c r="J49" s="175">
        <f>H49/DAY(B2)</f>
        <v>10354.703703703706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19128</v>
      </c>
      <c r="F50" s="145">
        <v>20426</v>
      </c>
      <c r="G50" s="112">
        <f t="shared" si="4"/>
        <v>1298</v>
      </c>
      <c r="H50" s="99">
        <f>G50+'26'!H50</f>
        <v>-4224.0000000000018</v>
      </c>
      <c r="I50" s="95"/>
      <c r="J50" s="175">
        <f>H50/DAY(B2)</f>
        <v>-156.44444444444451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3162</v>
      </c>
      <c r="F54" s="145">
        <v>3166</v>
      </c>
      <c r="G54" s="112">
        <f t="shared" si="4"/>
        <v>4</v>
      </c>
      <c r="H54" s="99">
        <f>G54+'26'!H54</f>
        <v>4933.08</v>
      </c>
      <c r="I54" s="95"/>
      <c r="J54" s="175">
        <f>H54/DAY(B2)</f>
        <v>182.70666666666668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-3511</v>
      </c>
      <c r="I55" s="95"/>
      <c r="J55" s="175">
        <f>H55/DAY(B2)</f>
        <v>-130.03703703703704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91261</v>
      </c>
      <c r="F58" s="145">
        <v>91484</v>
      </c>
      <c r="G58" s="112">
        <f t="shared" si="4"/>
        <v>223</v>
      </c>
      <c r="H58" s="99">
        <f>G58+'26'!H58</f>
        <v>91824.63</v>
      </c>
      <c r="I58" s="95"/>
      <c r="J58" s="175">
        <f>H58/DAY(B2)</f>
        <v>3400.9122222222222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3056</v>
      </c>
      <c r="H59" s="99">
        <f>G59+'26'!H59</f>
        <v>368599.71</v>
      </c>
      <c r="I59" s="95">
        <f>G7-G60</f>
        <v>2888</v>
      </c>
      <c r="J59" s="175">
        <f>H59/DAY(B2)</f>
        <v>13651.841111111113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20612</v>
      </c>
      <c r="H60" s="99">
        <f>G60+'26'!H60</f>
        <v>1365121.8599999999</v>
      </c>
      <c r="I60" s="95">
        <f>G13-G60</f>
        <v>-2112</v>
      </c>
      <c r="J60" s="175">
        <f>H60/DAY(B2)</f>
        <v>50560.068888888884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'26'!F62</f>
        <v>266695</v>
      </c>
      <c r="F62" s="122">
        <v>266818</v>
      </c>
      <c r="G62" s="112">
        <f t="shared" ref="G62:G63" si="5">F62-E62</f>
        <v>123</v>
      </c>
      <c r="H62" s="99">
        <f>G62+'26'!H62</f>
        <v>-395</v>
      </c>
      <c r="I62" s="118"/>
      <c r="J62" s="175">
        <f>H62/DAY(B2)</f>
        <v>-14.62962962962963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'26'!F63</f>
        <v>212004</v>
      </c>
      <c r="F63" s="122">
        <v>212062</v>
      </c>
      <c r="G63" s="112">
        <f t="shared" si="5"/>
        <v>58</v>
      </c>
      <c r="H63" s="99">
        <f>G63+'26'!H63</f>
        <v>-363</v>
      </c>
      <c r="I63" s="118"/>
      <c r="J63" s="175">
        <f>H63/DAY(B2)</f>
        <v>-13.444444444444445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'26'!F64</f>
        <v>0</v>
      </c>
      <c r="F64" s="122"/>
      <c r="G64" s="112">
        <f>G62+G63</f>
        <v>181</v>
      </c>
      <c r="H64" s="99">
        <f>G64+'26'!H64</f>
        <v>-758</v>
      </c>
      <c r="I64" s="118"/>
      <c r="J64" s="175">
        <f>H64/DAY(B2)</f>
        <v>-28.074074074074073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'26'!F65</f>
        <v>432084</v>
      </c>
      <c r="F65" s="122">
        <v>432179</v>
      </c>
      <c r="G65" s="112">
        <f t="shared" ref="G65:G70" si="6">F65-E65</f>
        <v>95</v>
      </c>
      <c r="H65" s="99">
        <f>G65+'26'!H65</f>
        <v>-435</v>
      </c>
      <c r="I65" s="118"/>
      <c r="J65" s="175">
        <f>H65/DAY(B2)</f>
        <v>-16.111111111111111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107122</v>
      </c>
      <c r="F66" s="122">
        <v>107141</v>
      </c>
      <c r="G66" s="112">
        <f t="shared" si="6"/>
        <v>19</v>
      </c>
      <c r="H66" s="99">
        <f>G66+'26'!H66</f>
        <v>-73</v>
      </c>
      <c r="I66" s="118"/>
      <c r="J66" s="175">
        <f>H66/DAY(B2)</f>
        <v>-2.7037037037037037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103780</v>
      </c>
      <c r="F67" s="122">
        <v>103808</v>
      </c>
      <c r="G67" s="112">
        <f t="shared" si="6"/>
        <v>28</v>
      </c>
      <c r="H67" s="99">
        <f>G67+'26'!H67</f>
        <v>-120</v>
      </c>
      <c r="I67" s="118"/>
      <c r="J67" s="175">
        <f>H67/DAY(B2)</f>
        <v>-4.4444444444444446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156446</v>
      </c>
      <c r="F68" s="122">
        <v>156480</v>
      </c>
      <c r="G68" s="112">
        <f t="shared" si="6"/>
        <v>34</v>
      </c>
      <c r="H68" s="99">
        <f>G68+'26'!H68</f>
        <v>-140</v>
      </c>
      <c r="I68" s="118"/>
      <c r="J68" s="175">
        <f>H68/DAY(B2)</f>
        <v>-5.1851851851851851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10151</v>
      </c>
      <c r="F69" s="122">
        <v>10159</v>
      </c>
      <c r="G69" s="112">
        <f t="shared" si="6"/>
        <v>8</v>
      </c>
      <c r="H69" s="99">
        <f>G69+'26'!H69</f>
        <v>-55</v>
      </c>
      <c r="I69" s="118"/>
      <c r="J69" s="175">
        <f>H69/DAY(B2)</f>
        <v>-2.0370370370370372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7823</v>
      </c>
      <c r="F70" s="122">
        <v>7837</v>
      </c>
      <c r="G70" s="112">
        <f t="shared" si="6"/>
        <v>14</v>
      </c>
      <c r="H70" s="99">
        <f>G70+'26'!H70</f>
        <v>-25</v>
      </c>
      <c r="I70" s="118"/>
      <c r="J70" s="175">
        <f>H70/DAY(B2)</f>
        <v>-0.92592592592592593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198</v>
      </c>
      <c r="H71" s="99">
        <f>G71+'26'!H71</f>
        <v>-848</v>
      </c>
      <c r="I71" s="154"/>
      <c r="J71" s="175">
        <f>H71/DAY(B2)</f>
        <v>-31.407407407407408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'26'!F74</f>
        <v>890493</v>
      </c>
      <c r="F74" s="117">
        <v>890804</v>
      </c>
      <c r="G74" s="112">
        <f t="shared" ref="G74:G78" si="7">F74-E74</f>
        <v>311</v>
      </c>
      <c r="H74" s="99">
        <f>G74+'26'!H74</f>
        <v>-1228</v>
      </c>
      <c r="I74" s="154"/>
      <c r="J74" s="175">
        <f>H74/DAY(B2)</f>
        <v>-45.481481481481481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243.88999999999942</v>
      </c>
      <c r="I75" s="154"/>
      <c r="J75" s="175">
        <f>H75/DAY(B2)</f>
        <v>9.0329629629629409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'26'!F76</f>
        <v>166712</v>
      </c>
      <c r="F76" s="123">
        <v>166821</v>
      </c>
      <c r="G76" s="112">
        <f t="shared" si="7"/>
        <v>109</v>
      </c>
      <c r="H76" s="99">
        <f>G76+'26'!H76</f>
        <v>-386</v>
      </c>
      <c r="I76" s="154"/>
      <c r="J76" s="175">
        <f>H76/DAY(B2)</f>
        <v>-14.296296296296296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'26'!F77</f>
        <v>40112</v>
      </c>
      <c r="F77" s="123">
        <v>40160</v>
      </c>
      <c r="G77" s="112">
        <f t="shared" si="7"/>
        <v>48</v>
      </c>
      <c r="H77" s="99">
        <f>G77+'26'!H77</f>
        <v>-156</v>
      </c>
      <c r="I77" s="154"/>
      <c r="J77" s="175">
        <f>H77/DAY(B2)</f>
        <v>-5.7777777777777777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'26'!F78</f>
        <v>9478</v>
      </c>
      <c r="F78" s="123">
        <v>9479</v>
      </c>
      <c r="G78" s="112">
        <f t="shared" si="7"/>
        <v>1</v>
      </c>
      <c r="H78" s="99">
        <f>G78+'26'!H78</f>
        <v>-7</v>
      </c>
      <c r="I78" s="118"/>
      <c r="J78" s="175">
        <f>H78/DAY(B2)</f>
        <v>-0.25925925925925924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'26'!F79</f>
        <v>0</v>
      </c>
      <c r="F79" s="123"/>
      <c r="G79" s="112">
        <f>G15-SUM(G74:G78)</f>
        <v>631</v>
      </c>
      <c r="H79" s="99">
        <f>G79+'26'!H79</f>
        <v>27225.11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2012.32</v>
      </c>
      <c r="F85" s="164">
        <v>2036</v>
      </c>
      <c r="G85" s="112">
        <f t="shared" si="8"/>
        <v>23.680000000000064</v>
      </c>
      <c r="H85" s="99">
        <f>G85+'26'!H85</f>
        <v>-60.559999999999945</v>
      </c>
      <c r="I85" s="118">
        <f>G82+G83+G84+G85</f>
        <v>23.680000000000064</v>
      </c>
      <c r="J85" s="175">
        <f>H85/DAY(B2)</f>
        <v>-2.2429629629629608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-36.529999999998836</v>
      </c>
      <c r="I86" s="118"/>
      <c r="J86" s="175">
        <f>H86/DAY(B2)</f>
        <v>-1.3529629629629198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24028</v>
      </c>
      <c r="F88" s="164">
        <v>24039</v>
      </c>
      <c r="G88" s="112">
        <f t="shared" si="8"/>
        <v>11</v>
      </c>
      <c r="H88" s="99">
        <f>G88+'26'!H88</f>
        <v>-8</v>
      </c>
      <c r="I88" s="118">
        <f>G86+G87+G88</f>
        <v>11</v>
      </c>
      <c r="J88" s="175">
        <f>H88/DAY(B2)</f>
        <v>-0.29629629629629628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25634</v>
      </c>
      <c r="F89" s="164">
        <v>25634</v>
      </c>
      <c r="G89" s="112">
        <f t="shared" si="8"/>
        <v>0</v>
      </c>
      <c r="H89" s="99">
        <f>G89+'26'!H89</f>
        <v>-29</v>
      </c>
      <c r="I89" s="118"/>
      <c r="J89" s="175">
        <f>H89/DAY(B2)</f>
        <v>-1.0740740740740742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71005.539999999994</v>
      </c>
      <c r="F90" s="164">
        <v>71011</v>
      </c>
      <c r="G90" s="112">
        <f t="shared" si="8"/>
        <v>5.4600000000064028</v>
      </c>
      <c r="H90" s="99">
        <v>23</v>
      </c>
      <c r="I90" s="118">
        <f>G89+G90</f>
        <v>5.4600000000064028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5384</v>
      </c>
      <c r="F92" s="122">
        <v>5395</v>
      </c>
      <c r="G92" s="112">
        <f t="shared" si="8"/>
        <v>11</v>
      </c>
      <c r="H92" s="99">
        <f>G92+'26'!H92</f>
        <v>-43</v>
      </c>
      <c r="I92" s="165"/>
      <c r="J92" s="175">
        <f>H92/DAY(B2)</f>
        <v>-1.5925925925925926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6068</v>
      </c>
      <c r="H94" s="99">
        <f>G94+'26'!H94</f>
        <v>429745</v>
      </c>
      <c r="I94" s="118"/>
      <c r="J94" s="175">
        <f>H94/DAY(B2)</f>
        <v>15916.481481481482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0.2582127659574468</v>
      </c>
      <c r="H95" s="99">
        <f>G95+'26'!H95</f>
        <v>19.426512050947657</v>
      </c>
      <c r="I95" s="167"/>
      <c r="J95" s="175">
        <f>H95/DAY(B2)</f>
        <v>0.71950044633139476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4970</v>
      </c>
      <c r="H96" s="99">
        <f>G96+'26'!H96</f>
        <v>-14206</v>
      </c>
      <c r="I96" s="118"/>
      <c r="J96" s="175">
        <f>H96/DAY(B2)</f>
        <v>-526.14814814814815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0.21148936170212765</v>
      </c>
      <c r="H97" s="99">
        <f>G97+'26'!H97</f>
        <v>5.8821842185703826E-2</v>
      </c>
      <c r="I97" s="167"/>
      <c r="J97" s="175">
        <f>H97/DAY(B2)</f>
        <v>2.1785867476186603E-3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2857</v>
      </c>
      <c r="H98" s="99">
        <f>G98+'26'!H98</f>
        <v>421819</v>
      </c>
      <c r="I98" s="168"/>
      <c r="J98" s="175">
        <f>H98/DAY(B2)</f>
        <v>15622.925925925925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0.12157446808510639</v>
      </c>
      <c r="H99" s="99">
        <f>G99+'26'!H99</f>
        <v>18.523436014645096</v>
      </c>
      <c r="I99" s="168"/>
      <c r="J99" s="175">
        <f>H99/DAY(B2)</f>
        <v>0.6860531857275961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1959</v>
      </c>
      <c r="H100" s="99">
        <f>G100+'26'!H100</f>
        <v>238184</v>
      </c>
      <c r="I100" s="118"/>
      <c r="J100" s="175">
        <f>H100/DAY(B2)</f>
        <v>8821.6296296296296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8.3361702127659573E-2</v>
      </c>
      <c r="H101" s="99">
        <f>G101+'26'!H101</f>
        <v>10.490740778118933</v>
      </c>
      <c r="I101" s="168"/>
      <c r="J101" s="175">
        <f>H101/DAY(B2)</f>
        <v>0.38854595474514569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2178</v>
      </c>
      <c r="H102" s="99">
        <f>G102+'26'!H102</f>
        <v>-7513</v>
      </c>
      <c r="I102" s="168"/>
      <c r="J102" s="175">
        <f>H102/DAY(B2)</f>
        <v>-278.25925925925924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9.2680851063829783E-2</v>
      </c>
      <c r="H103" s="99">
        <f>G103+'26'!H103</f>
        <v>3.6891799907132816E-2</v>
      </c>
      <c r="I103" s="118"/>
      <c r="J103" s="175">
        <f>H103/DAY(B2)</f>
        <v>1.3663629595234376E-3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1580</v>
      </c>
      <c r="H104" s="99">
        <f>G104+'26'!H104</f>
        <v>201321</v>
      </c>
      <c r="I104" s="118"/>
      <c r="J104" s="175">
        <f>H104/DAY(B2)</f>
        <v>7456.333333333333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6.7234042553191486E-2</v>
      </c>
      <c r="H105" s="99">
        <f>G105+'26'!H105</f>
        <v>8.8994776753282725</v>
      </c>
      <c r="I105" s="187"/>
      <c r="J105" s="188">
        <f>H105/DAY(B2)</f>
        <v>0.32961028427141748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'26'!F112</f>
        <v>55331</v>
      </c>
      <c r="F112" s="237">
        <v>55401</v>
      </c>
      <c r="G112" s="112">
        <f t="shared" ref="G112:G123" si="9">F112-E112</f>
        <v>70</v>
      </c>
      <c r="H112" s="99">
        <f>G112+'26'!H112</f>
        <v>-280</v>
      </c>
      <c r="I112" s="165"/>
      <c r="J112" s="328">
        <f>H112/DAY(B2)</f>
        <v>-10.37037037037037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'26'!F113</f>
        <v>29930</v>
      </c>
      <c r="F113" s="237">
        <v>30408</v>
      </c>
      <c r="G113" s="112">
        <f t="shared" si="9"/>
        <v>478</v>
      </c>
      <c r="H113" s="99">
        <f>G113+'26'!H113</f>
        <v>-1787</v>
      </c>
      <c r="I113" s="165"/>
      <c r="J113" s="328">
        <f>H113/DAY(B2)</f>
        <v>-66.18518518518519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'26'!F114</f>
        <v>23348</v>
      </c>
      <c r="F114" s="237">
        <v>23479</v>
      </c>
      <c r="G114" s="112">
        <f t="shared" si="9"/>
        <v>131</v>
      </c>
      <c r="H114" s="99">
        <f>G114+'26'!H114</f>
        <v>-1525.6000000000004</v>
      </c>
      <c r="I114" s="165"/>
      <c r="J114" s="328">
        <f>H114/DAY(B2)</f>
        <v>-56.503703703703714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'26'!F115</f>
        <v>8732</v>
      </c>
      <c r="F115" s="237">
        <v>8749</v>
      </c>
      <c r="G115" s="112">
        <f t="shared" si="9"/>
        <v>17</v>
      </c>
      <c r="H115" s="99">
        <f>G115+'26'!H115</f>
        <v>-36</v>
      </c>
      <c r="I115" s="165"/>
      <c r="J115" s="328">
        <f>H115/DAY(B2)</f>
        <v>-1.3333333333333333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'26'!F117</f>
        <v>2485</v>
      </c>
      <c r="F117" s="237">
        <v>2505</v>
      </c>
      <c r="G117" s="112">
        <f t="shared" si="9"/>
        <v>20</v>
      </c>
      <c r="H117" s="99">
        <f>G117+'26'!H117</f>
        <v>-85</v>
      </c>
      <c r="I117" s="165"/>
      <c r="J117" s="328">
        <f>H117/DAY(B2)</f>
        <v>-3.1481481481481484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'26'!F118</f>
        <v>239648</v>
      </c>
      <c r="F118" s="237">
        <v>240064</v>
      </c>
      <c r="G118" s="112">
        <f t="shared" si="9"/>
        <v>416</v>
      </c>
      <c r="H118" s="99">
        <f>G118+'26'!H118</f>
        <v>-1583</v>
      </c>
      <c r="I118" s="165"/>
      <c r="J118" s="328">
        <f>H118/DAY(B2)</f>
        <v>-58.629629629629626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'26'!F119</f>
        <v>243057</v>
      </c>
      <c r="F119" s="237">
        <v>243480</v>
      </c>
      <c r="G119" s="112">
        <f t="shared" si="9"/>
        <v>423</v>
      </c>
      <c r="H119" s="99">
        <f>G119+'26'!H119</f>
        <v>-1646</v>
      </c>
      <c r="I119" s="165"/>
      <c r="J119" s="328">
        <f>H119/DAY(B2)</f>
        <v>-60.962962962962962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'26'!F120</f>
        <v>28021</v>
      </c>
      <c r="F120" s="237">
        <v>28427</v>
      </c>
      <c r="G120" s="112">
        <f t="shared" si="9"/>
        <v>406</v>
      </c>
      <c r="H120" s="99">
        <f>G120+'26'!H120</f>
        <v>-1651</v>
      </c>
      <c r="I120" s="165"/>
      <c r="J120" s="328">
        <f>H120/DAY(B2)</f>
        <v>-61.148148148148145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'26'!F121</f>
        <v>372629</v>
      </c>
      <c r="F121" s="237">
        <v>373420</v>
      </c>
      <c r="G121" s="112">
        <f t="shared" si="9"/>
        <v>791</v>
      </c>
      <c r="H121" s="99">
        <f>G121+'26'!H121</f>
        <v>-3109</v>
      </c>
      <c r="I121" s="165"/>
      <c r="J121" s="328">
        <f>H121/DAY(B2)</f>
        <v>-115.14814814814815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'26'!F122</f>
        <v>118921</v>
      </c>
      <c r="F122" s="237">
        <v>119141</v>
      </c>
      <c r="G122" s="112">
        <f t="shared" si="9"/>
        <v>220</v>
      </c>
      <c r="H122" s="99">
        <f>G122+'26'!H122</f>
        <v>-909</v>
      </c>
      <c r="I122" s="165"/>
      <c r="J122" s="328">
        <f>H122/DAY(B2)</f>
        <v>-33.666666666666664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'26'!F123</f>
        <v>143418</v>
      </c>
      <c r="F123" s="237">
        <v>143766</v>
      </c>
      <c r="G123" s="112">
        <f t="shared" si="9"/>
        <v>348</v>
      </c>
      <c r="H123" s="99">
        <f>G123+'26'!H123</f>
        <v>-1359</v>
      </c>
      <c r="I123" s="165"/>
      <c r="J123" s="328">
        <f>H123/DAY(B2)</f>
        <v>-50.333333333333336</v>
      </c>
    </row>
    <row r="124" spans="1:18" ht="29.25" customHeight="1" x14ac:dyDescent="0.5">
      <c r="A124" s="837"/>
      <c r="B124" s="838"/>
      <c r="C124" s="83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3320</v>
      </c>
      <c r="H125" s="156"/>
      <c r="I125" s="327">
        <f>G125-(G39+G53)</f>
        <v>463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'26'!F128</f>
        <v>36310</v>
      </c>
      <c r="F128" s="155">
        <v>36625</v>
      </c>
      <c r="G128" s="112">
        <f t="shared" ref="G128:G134" si="10">F128-E128</f>
        <v>315</v>
      </c>
      <c r="H128" s="99">
        <f>G128+'26'!H128</f>
        <v>-1379</v>
      </c>
      <c r="I128" s="165"/>
      <c r="J128" s="328">
        <f>H128/DAY(B2)</f>
        <v>-51.074074074074076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19235</v>
      </c>
      <c r="F129" s="155">
        <v>19441</v>
      </c>
      <c r="G129" s="112">
        <f t="shared" si="10"/>
        <v>206</v>
      </c>
      <c r="H129" s="99">
        <f>G129+'26'!H129</f>
        <v>-880</v>
      </c>
      <c r="I129" s="165"/>
      <c r="J129" s="328">
        <f>H129/DAY(B2)</f>
        <v>-32.592592592592595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14307</v>
      </c>
      <c r="F130" s="155">
        <v>15070</v>
      </c>
      <c r="G130" s="112">
        <f t="shared" si="10"/>
        <v>763</v>
      </c>
      <c r="H130" s="99">
        <f>G130+'26'!H130</f>
        <v>-3312</v>
      </c>
      <c r="I130" s="165"/>
      <c r="J130" s="328">
        <f>H130/DAY(B2)</f>
        <v>-122.66666666666667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'26'!F131</f>
        <v>12700</v>
      </c>
      <c r="F131" s="155">
        <v>12802</v>
      </c>
      <c r="G131" s="112">
        <f t="shared" si="10"/>
        <v>102</v>
      </c>
      <c r="H131" s="99">
        <f>G131+'26'!H131</f>
        <v>-351</v>
      </c>
      <c r="I131" s="165"/>
      <c r="J131" s="328">
        <f>H131/DAY(B2)</f>
        <v>-13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'26'!F132</f>
        <v>38721</v>
      </c>
      <c r="F132" s="155">
        <v>39228</v>
      </c>
      <c r="G132" s="112">
        <f t="shared" si="10"/>
        <v>507</v>
      </c>
      <c r="H132" s="99">
        <f>G132+'26'!H132</f>
        <v>-36984.630000000005</v>
      </c>
      <c r="I132" s="165"/>
      <c r="J132" s="328">
        <f>H132/DAY(B2)</f>
        <v>-1369.8011111111114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'26'!F133</f>
        <v>84445</v>
      </c>
      <c r="F133" s="155">
        <v>85102</v>
      </c>
      <c r="G133" s="112">
        <f t="shared" si="10"/>
        <v>657</v>
      </c>
      <c r="H133" s="99">
        <f>G133+'26'!H133</f>
        <v>-2601</v>
      </c>
      <c r="I133" s="165"/>
      <c r="J133" s="328">
        <f>H133/DAY(B2)</f>
        <v>-96.333333333333329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'26'!F134</f>
        <v>665751</v>
      </c>
      <c r="F134" s="155">
        <v>666384</v>
      </c>
      <c r="G134" s="112">
        <f t="shared" si="10"/>
        <v>633</v>
      </c>
      <c r="H134" s="99">
        <f>G134+'26'!H134</f>
        <v>668678</v>
      </c>
      <c r="I134" s="165"/>
      <c r="J134" s="328">
        <f>H134/DAY(B2)</f>
        <v>24765.85185185185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3183</v>
      </c>
      <c r="H135" s="99">
        <f>G135+'23'!H135</f>
        <v>37206.29</v>
      </c>
      <c r="I135" s="327">
        <f>G135-(G35+G49)</f>
        <v>-182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'26'!F138</f>
        <v>863642</v>
      </c>
      <c r="F138" s="147">
        <v>863742</v>
      </c>
      <c r="G138" s="112">
        <f t="shared" ref="G138:G152" si="11">F138-E138</f>
        <v>100</v>
      </c>
      <c r="H138" s="99">
        <f>G138+'26'!H138</f>
        <v>-429</v>
      </c>
      <c r="I138" s="118"/>
      <c r="J138" s="328">
        <f>H138/DAY(B2)</f>
        <v>-15.888888888888889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'26'!F139</f>
        <v>886525</v>
      </c>
      <c r="F139" s="148">
        <v>886542</v>
      </c>
      <c r="G139" s="112">
        <f t="shared" si="11"/>
        <v>17</v>
      </c>
      <c r="H139" s="99">
        <f>G139+'26'!H139</f>
        <v>-4</v>
      </c>
      <c r="I139" s="118"/>
      <c r="J139" s="328">
        <f>H139/DAY(B2)</f>
        <v>-0.14814814814814814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'26'!F140</f>
        <v>88882</v>
      </c>
      <c r="F140" s="149">
        <v>88882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'26'!F141</f>
        <v>48352</v>
      </c>
      <c r="F141" s="149">
        <v>48555</v>
      </c>
      <c r="G141" s="112">
        <f t="shared" si="11"/>
        <v>203</v>
      </c>
      <c r="H141" s="99">
        <f>G141+'26'!H141</f>
        <v>-751</v>
      </c>
      <c r="I141" s="118"/>
      <c r="J141" s="328">
        <f>H141/DAY(B2)</f>
        <v>-27.814814814814813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'26'!F142</f>
        <v>18631</v>
      </c>
      <c r="F142" s="148">
        <v>18702</v>
      </c>
      <c r="G142" s="112">
        <f t="shared" si="11"/>
        <v>71</v>
      </c>
      <c r="H142" s="99">
        <f>G142+'26'!H142</f>
        <v>-307</v>
      </c>
      <c r="I142" s="140"/>
      <c r="J142" s="328">
        <f>H142/DAY(B2)</f>
        <v>-11.37037037037037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'26'!F143</f>
        <v>2946</v>
      </c>
      <c r="F143" s="149">
        <v>2968</v>
      </c>
      <c r="G143" s="112">
        <f t="shared" si="11"/>
        <v>22</v>
      </c>
      <c r="H143" s="99">
        <f>G143+'26'!H143</f>
        <v>-93</v>
      </c>
      <c r="I143" s="140"/>
      <c r="J143" s="328">
        <f>H143/DAY(B2)</f>
        <v>-3.4444444444444446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'26'!F144</f>
        <v>868486</v>
      </c>
      <c r="F144" s="149">
        <v>868722</v>
      </c>
      <c r="G144" s="112">
        <f t="shared" si="11"/>
        <v>236</v>
      </c>
      <c r="H144" s="99">
        <f>G144+'26'!H144</f>
        <v>-948</v>
      </c>
      <c r="I144" s="140"/>
      <c r="J144" s="328">
        <f>H144/DAY(B2)</f>
        <v>-35.111111111111114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'26'!F145</f>
        <v>4491</v>
      </c>
      <c r="F145" s="149">
        <v>4506</v>
      </c>
      <c r="G145" s="112">
        <f t="shared" si="11"/>
        <v>15</v>
      </c>
      <c r="H145" s="99">
        <f>G145+'26'!H145</f>
        <v>-52</v>
      </c>
      <c r="I145" s="140"/>
      <c r="J145" s="328">
        <f>H145/DAY(B2)</f>
        <v>-1.9259259259259258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'26'!F146</f>
        <v>722504</v>
      </c>
      <c r="F146" s="148">
        <v>722992</v>
      </c>
      <c r="G146" s="112">
        <f t="shared" si="11"/>
        <v>488</v>
      </c>
      <c r="H146" s="99">
        <f>G146+'26'!H146</f>
        <v>-1866</v>
      </c>
      <c r="I146" s="140"/>
      <c r="J146" s="328">
        <f>H146/DAY(B2)</f>
        <v>-69.111111111111114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'26'!F147</f>
        <v>613642</v>
      </c>
      <c r="F147" s="148">
        <v>613648</v>
      </c>
      <c r="G147" s="112">
        <f t="shared" si="11"/>
        <v>6</v>
      </c>
      <c r="H147" s="99">
        <f>G147+'26'!H147</f>
        <v>-1634</v>
      </c>
      <c r="I147" s="140"/>
      <c r="J147" s="328">
        <f>H147/DAY(B2)</f>
        <v>-60.518518518518519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'26'!F148</f>
        <v>681670</v>
      </c>
      <c r="F148" s="150">
        <v>681948</v>
      </c>
      <c r="G148" s="112">
        <f t="shared" si="11"/>
        <v>278</v>
      </c>
      <c r="H148" s="99">
        <f>G148+'26'!H148</f>
        <v>-1085.1199999999953</v>
      </c>
      <c r="I148" s="124"/>
      <c r="J148" s="328">
        <f>H148/DAY(B2)</f>
        <v>-40.189629629629458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'26'!F149</f>
        <v>8034</v>
      </c>
      <c r="F149" s="146">
        <v>8605</v>
      </c>
      <c r="G149" s="112">
        <f t="shared" si="11"/>
        <v>571</v>
      </c>
      <c r="H149" s="99">
        <f>G149+'26'!H149</f>
        <v>12657.259999999997</v>
      </c>
      <c r="I149" s="119"/>
      <c r="J149" s="328">
        <f>H149/DAY(B2)</f>
        <v>468.78740740740727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'26'!F150</f>
        <v>2930</v>
      </c>
      <c r="F150" s="233">
        <v>3160</v>
      </c>
      <c r="G150" s="112">
        <f t="shared" si="11"/>
        <v>230</v>
      </c>
      <c r="H150" s="99">
        <f>G150+'26'!H150</f>
        <v>-892</v>
      </c>
      <c r="I150" s="119"/>
      <c r="J150" s="328">
        <f>H150/DAY(B2)</f>
        <v>-33.037037037037038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'26'!F151</f>
        <v>77013</v>
      </c>
      <c r="F151" s="233">
        <v>77224</v>
      </c>
      <c r="G151" s="112">
        <f t="shared" si="11"/>
        <v>211</v>
      </c>
      <c r="H151" s="99">
        <f>G151+'26'!H151</f>
        <v>-993</v>
      </c>
      <c r="I151" s="119"/>
      <c r="J151" s="328">
        <f>H151/DAY(B2)</f>
        <v>-36.777777777777779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'26'!F152</f>
        <v>886</v>
      </c>
      <c r="F152" s="233">
        <v>934</v>
      </c>
      <c r="G152" s="112">
        <f t="shared" si="11"/>
        <v>48</v>
      </c>
      <c r="H152" s="99">
        <f>G152+'26'!H152</f>
        <v>-193</v>
      </c>
      <c r="I152" s="119"/>
      <c r="J152" s="328">
        <f>H152/DAY(B2)</f>
        <v>-7.1481481481481479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2496</v>
      </c>
      <c r="H153" s="363"/>
      <c r="I153" s="119">
        <f>G153-(G38+G52)</f>
        <v>537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'26'!F155</f>
        <v>9494</v>
      </c>
      <c r="F155" s="473">
        <v>10144</v>
      </c>
      <c r="G155" s="112">
        <f t="shared" ref="G155:G158" si="12">F155-E155</f>
        <v>650</v>
      </c>
      <c r="H155" s="99">
        <f>G155+'26'!H155</f>
        <v>-3328</v>
      </c>
      <c r="I155" s="364"/>
      <c r="J155" s="328">
        <f>H155/DAY(B2)</f>
        <v>-123.25925925925925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'26'!F156</f>
        <v>756</v>
      </c>
      <c r="F156" s="155">
        <v>812</v>
      </c>
      <c r="G156" s="112">
        <f t="shared" si="12"/>
        <v>56</v>
      </c>
      <c r="H156" s="99">
        <f>G156+'26'!H156</f>
        <v>-275.99999999999989</v>
      </c>
      <c r="I156" s="165"/>
      <c r="J156" s="328">
        <f>H156/DAY(B2)</f>
        <v>-10.222222222222218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'26'!F157</f>
        <v>880</v>
      </c>
      <c r="F157" s="155">
        <v>942</v>
      </c>
      <c r="G157" s="112">
        <f t="shared" si="12"/>
        <v>62</v>
      </c>
      <c r="H157" s="99">
        <f>G157+'26'!H157</f>
        <v>942</v>
      </c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'26'!F158</f>
        <v>1.36</v>
      </c>
      <c r="F158" s="155">
        <v>1.43</v>
      </c>
      <c r="G158" s="112">
        <f t="shared" si="12"/>
        <v>6.999999999999984E-2</v>
      </c>
      <c r="H158" s="99">
        <f>G158+'26'!H158</f>
        <v>1.3499999999999999</v>
      </c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471149</v>
      </c>
      <c r="F161" s="235">
        <v>471151</v>
      </c>
      <c r="G161" s="238">
        <f t="shared" ref="G161:G165" si="13">F161-E161</f>
        <v>2</v>
      </c>
      <c r="H161" s="99">
        <f>G161+'26'!H161</f>
        <v>-2.1599999999743886</v>
      </c>
      <c r="I161" s="236"/>
      <c r="J161" s="239">
        <f>H161/DAY(B2)</f>
        <v>-7.9999999999051427E-2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87424</v>
      </c>
      <c r="F162" s="235">
        <v>87454</v>
      </c>
      <c r="G162" s="238">
        <f t="shared" si="13"/>
        <v>30</v>
      </c>
      <c r="H162" s="99">
        <f>G162+'26'!H162</f>
        <v>-116</v>
      </c>
      <c r="I162" s="236"/>
      <c r="J162" s="239">
        <f>H162/DAY(B2)</f>
        <v>-4.2962962962962967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77457</v>
      </c>
      <c r="F163" s="235">
        <v>77551</v>
      </c>
      <c r="G163" s="238">
        <f t="shared" si="13"/>
        <v>94</v>
      </c>
      <c r="H163" s="99">
        <f>G163+'26'!H163</f>
        <v>-274</v>
      </c>
      <c r="I163" s="236"/>
      <c r="J163" s="239">
        <f>H163/DAY(B2)</f>
        <v>-10.148148148148149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4226</v>
      </c>
      <c r="F164" s="235">
        <v>4230</v>
      </c>
      <c r="G164" s="238">
        <f t="shared" si="13"/>
        <v>4</v>
      </c>
      <c r="H164" s="99">
        <f>G164+'26'!H164</f>
        <v>-12</v>
      </c>
      <c r="I164" s="236"/>
      <c r="J164" s="239">
        <f>H164/DAY(B2)</f>
        <v>-0.44444444444444442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29613</v>
      </c>
      <c r="F165" s="235">
        <v>29619</v>
      </c>
      <c r="G165" s="238">
        <f t="shared" si="13"/>
        <v>6</v>
      </c>
      <c r="H165" s="99">
        <f>G165+'26'!H165</f>
        <v>-27</v>
      </c>
      <c r="I165" s="236"/>
      <c r="J165" s="239">
        <f>H165/DAY(B2)</f>
        <v>-1</v>
      </c>
    </row>
    <row r="166" spans="1:10" ht="29.25" x14ac:dyDescent="0.5">
      <c r="A166" s="822"/>
      <c r="B166" s="82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'26'!F174</f>
        <v>38221</v>
      </c>
      <c r="F174" s="157">
        <v>38236</v>
      </c>
      <c r="G174" s="155">
        <f t="shared" ref="G174:G175" si="14">F174-E174</f>
        <v>15</v>
      </c>
      <c r="H174" s="99">
        <f>G174+'26'!H174</f>
        <v>-57</v>
      </c>
      <c r="I174" s="155"/>
      <c r="J174" s="178">
        <f>H174/DAY(B2)</f>
        <v>-2.1111111111111112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'26'!F175</f>
        <v>21463</v>
      </c>
      <c r="F175" s="155">
        <v>21475</v>
      </c>
      <c r="G175" s="155">
        <f t="shared" si="14"/>
        <v>12</v>
      </c>
      <c r="H175" s="99">
        <f>G175+'26'!H175</f>
        <v>-43</v>
      </c>
      <c r="I175" s="155"/>
      <c r="J175" s="178">
        <f>H175/DAY(B2)</f>
        <v>-1.5925925925925926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27</v>
      </c>
      <c r="H176" s="99">
        <f>G176+'26'!H176</f>
        <v>-100</v>
      </c>
      <c r="I176" s="155"/>
      <c r="J176" s="178">
        <f>H176/DAY(B2)</f>
        <v>-3.7037037037037037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'26'!F178</f>
        <v>79276</v>
      </c>
      <c r="F178" s="155">
        <v>79338</v>
      </c>
      <c r="G178" s="155">
        <f>F178-E178</f>
        <v>62</v>
      </c>
      <c r="H178" s="99">
        <f>G178+'26'!H178</f>
        <v>-276</v>
      </c>
      <c r="I178" s="155"/>
      <c r="J178" s="178">
        <f>H178/DAY(B2)</f>
        <v>-10.222222222222221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'26'!F179</f>
        <v>33915</v>
      </c>
      <c r="F179" s="155">
        <v>33915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'26'!F180</f>
        <v>5449</v>
      </c>
      <c r="F180" s="155">
        <v>5457</v>
      </c>
      <c r="G180" s="155">
        <f t="shared" si="15"/>
        <v>8</v>
      </c>
      <c r="H180" s="99">
        <f>G180+'26'!H180</f>
        <v>-20</v>
      </c>
      <c r="I180" s="155"/>
      <c r="J180" s="178">
        <f>H180/DAY(B2)</f>
        <v>-0.7407407407407407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70</v>
      </c>
      <c r="H181" s="99">
        <f>G181+'26'!H181</f>
        <v>-296</v>
      </c>
      <c r="I181" s="155"/>
      <c r="J181" s="178">
        <f>H181/DAY(B2)</f>
        <v>-10.962962962962964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'26'!F183</f>
        <v>14872</v>
      </c>
      <c r="F183" s="157">
        <v>14881</v>
      </c>
      <c r="G183" s="157">
        <f>F183-E183</f>
        <v>9</v>
      </c>
      <c r="H183" s="99">
        <f>G183+'26'!H183</f>
        <v>-66</v>
      </c>
      <c r="I183" s="155"/>
      <c r="J183" s="178">
        <f>H183/DAY(B2)</f>
        <v>-2.4444444444444446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'26'!F184</f>
        <v>10265</v>
      </c>
      <c r="F184" s="157">
        <v>10279</v>
      </c>
      <c r="G184" s="157">
        <f t="shared" ref="G184:G185" si="16">F184-E184</f>
        <v>14</v>
      </c>
      <c r="H184" s="99">
        <f>G184+'26'!H184</f>
        <v>-22</v>
      </c>
      <c r="I184" s="155"/>
      <c r="J184" s="178">
        <f>H184/DAY(B2)</f>
        <v>-0.81481481481481477</v>
      </c>
    </row>
    <row r="185" spans="1:10" ht="25.5" customHeight="1" x14ac:dyDescent="0.5">
      <c r="A185" s="826" t="s">
        <v>216</v>
      </c>
      <c r="B185" s="82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23</v>
      </c>
      <c r="H186" s="99">
        <f>G186+'26'!H186</f>
        <v>-88</v>
      </c>
      <c r="I186" s="157"/>
      <c r="J186" s="178">
        <f>H186/DAY(B2)</f>
        <v>-3.2592592592592591</v>
      </c>
    </row>
    <row r="187" spans="1:10" ht="27.75" x14ac:dyDescent="0.5">
      <c r="A187" s="819" t="s">
        <v>217</v>
      </c>
      <c r="B187" s="820"/>
      <c r="C187" s="333"/>
      <c r="D187" s="228" t="s">
        <v>142</v>
      </c>
      <c r="E187" s="95">
        <f>'26'!F187</f>
        <v>0</v>
      </c>
      <c r="F187" s="159"/>
      <c r="G187" s="462">
        <f>G62+G19</f>
        <v>178</v>
      </c>
      <c r="H187" s="99">
        <f>G187+'26'!H187</f>
        <v>1054</v>
      </c>
      <c r="I187" s="158"/>
      <c r="J187" s="179">
        <f>H187/DAY(B2)</f>
        <v>39.037037037037038</v>
      </c>
    </row>
    <row r="188" spans="1:10" ht="27.75" x14ac:dyDescent="0.5">
      <c r="A188" s="819" t="s">
        <v>218</v>
      </c>
      <c r="B188" s="820"/>
      <c r="C188" s="333"/>
      <c r="D188" s="228" t="s">
        <v>142</v>
      </c>
      <c r="E188" s="95">
        <f>'26'!F188</f>
        <v>0</v>
      </c>
      <c r="F188" s="159"/>
      <c r="G188" s="462">
        <f>G65+G66+G67+G69+G70</f>
        <v>164</v>
      </c>
      <c r="H188" s="99">
        <f>G188+'26'!H188</f>
        <v>-2502</v>
      </c>
      <c r="I188" s="158"/>
      <c r="J188" s="179">
        <f>H188/DAY(B2)</f>
        <v>-92.666666666666671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'26'!F189</f>
        <v>0</v>
      </c>
      <c r="F189" s="157"/>
      <c r="G189" s="459">
        <f>G181</f>
        <v>70</v>
      </c>
      <c r="H189" s="99">
        <f>G189+'26'!H189</f>
        <v>-1886</v>
      </c>
      <c r="I189" s="158"/>
      <c r="J189" s="179">
        <f>H189/DAY(B2)</f>
        <v>-69.851851851851848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34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350</v>
      </c>
      <c r="B2" s="262">
        <v>44528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23500</v>
      </c>
      <c r="F7" s="95">
        <f>E7+23500</f>
        <v>47000</v>
      </c>
      <c r="G7" s="112">
        <f>F7-E7+7214</f>
        <v>30714</v>
      </c>
      <c r="H7" s="99">
        <f>G7+'27'!H7</f>
        <v>571826</v>
      </c>
      <c r="I7" s="113">
        <f>'1'!I7</f>
        <v>12000</v>
      </c>
      <c r="J7" s="175">
        <f>H7/DAY(B2)</f>
        <v>20422.357142857141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63065</v>
      </c>
      <c r="F8" s="95">
        <f>E8+23500</f>
        <v>86565</v>
      </c>
      <c r="G8" s="115">
        <f>F8-E8</f>
        <v>23500</v>
      </c>
      <c r="H8" s="99">
        <f>G8+'27'!H8</f>
        <v>569912.83000000007</v>
      </c>
      <c r="I8" s="116"/>
      <c r="J8" s="175">
        <f>H8/DAY(B2)</f>
        <v>20354.029642857146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23300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235695.53</v>
      </c>
      <c r="F9" s="601">
        <f>E9+14000</f>
        <v>249695.53</v>
      </c>
      <c r="G9" s="112">
        <f>F9-E9</f>
        <v>14000</v>
      </c>
      <c r="H9" s="99">
        <f>G9+'27'!H9</f>
        <v>348200.53</v>
      </c>
      <c r="I9" s="124">
        <f>I7-J7</f>
        <v>-8422.3571428571413</v>
      </c>
      <c r="J9" s="175">
        <f>H9/DAY(B2)</f>
        <v>12435.733214285716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97922.18</v>
      </c>
      <c r="F10" s="353">
        <f>E10+4500</f>
        <v>102422.18</v>
      </c>
      <c r="G10" s="112">
        <f t="shared" ref="G10:G12" si="0">F10-E10</f>
        <v>4500</v>
      </c>
      <c r="H10" s="99">
        <f>G10+'27'!H10</f>
        <v>157328.18</v>
      </c>
      <c r="I10" s="282"/>
      <c r="J10" s="175">
        <f>H10/DAY(B2)</f>
        <v>5618.863571428571</v>
      </c>
      <c r="K10" s="79"/>
      <c r="L10" s="66"/>
      <c r="N10" s="87"/>
      <c r="O10" s="71">
        <f>F7-O8</f>
        <v>23700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33300</v>
      </c>
      <c r="I11" s="282"/>
      <c r="J11" s="175">
        <f>H11/DAY(B2)</f>
        <v>1189.2857142857142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36009</v>
      </c>
      <c r="I12" s="282"/>
      <c r="J12" s="175">
        <f>H12/DAY(B2)</f>
        <v>1286.0357142857142</v>
      </c>
      <c r="K12" s="79"/>
      <c r="L12" s="66"/>
      <c r="N12" s="87"/>
      <c r="O12" s="71">
        <f>G7-O8</f>
        <v>7414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G13+'27'!H13</f>
        <v>555372.46</v>
      </c>
      <c r="I13" s="120">
        <f>G7-G13</f>
        <v>12214</v>
      </c>
      <c r="J13" s="175">
        <f>H13/DAY(B2)</f>
        <v>19834.730714285713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1904122</v>
      </c>
      <c r="F15" s="123">
        <f>E15+1100</f>
        <v>1905222</v>
      </c>
      <c r="G15" s="112">
        <f>(F15-E15)</f>
        <v>1100</v>
      </c>
      <c r="H15" s="99">
        <f>G15+'27'!H15</f>
        <v>26792</v>
      </c>
      <c r="I15" s="113">
        <f>'1'!I15</f>
        <v>800</v>
      </c>
      <c r="J15" s="175">
        <f>H15/DAY(B2)</f>
        <v>956.85714285714289</v>
      </c>
      <c r="K15" s="79"/>
      <c r="L15" s="66"/>
      <c r="N15" s="87"/>
      <c r="O15" s="71">
        <f>G8-200</f>
        <v>23300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-156.85714285714289</v>
      </c>
      <c r="J16" s="176"/>
      <c r="K16" s="79"/>
      <c r="L16" s="66"/>
      <c r="N16" s="87"/>
      <c r="O16" s="71"/>
    </row>
    <row r="17" spans="1:16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54" t="s">
        <v>141</v>
      </c>
      <c r="B18" s="855"/>
      <c r="C18" s="856"/>
      <c r="D18" s="151" t="s">
        <v>142</v>
      </c>
      <c r="E18" s="95">
        <f>'27'!F18</f>
        <v>118</v>
      </c>
      <c r="F18" s="122">
        <f>E18+12</f>
        <v>130</v>
      </c>
      <c r="G18" s="119">
        <f>F18*10</f>
        <v>1300</v>
      </c>
      <c r="H18" s="99">
        <f>G18+'27'!H18</f>
        <v>9520</v>
      </c>
      <c r="I18" s="113">
        <f>'1'!I18</f>
        <v>65</v>
      </c>
      <c r="J18" s="175">
        <f>H18/DAY(B2)</f>
        <v>340</v>
      </c>
      <c r="K18" s="79"/>
      <c r="L18" s="66"/>
      <c r="N18" s="87"/>
      <c r="O18" s="71"/>
    </row>
    <row r="19" spans="1:16" ht="27.75" x14ac:dyDescent="0.5">
      <c r="A19" s="854" t="s">
        <v>69</v>
      </c>
      <c r="B19" s="855"/>
      <c r="C19" s="856"/>
      <c r="D19" s="151" t="s">
        <v>142</v>
      </c>
      <c r="E19" s="95">
        <f>'27'!F19</f>
        <v>153674</v>
      </c>
      <c r="F19" s="122">
        <f>E19+55</f>
        <v>153729</v>
      </c>
      <c r="G19" s="112">
        <f t="shared" ref="G19" si="1">F19-E19</f>
        <v>55</v>
      </c>
      <c r="H19" s="99">
        <f>G19+'27'!H19</f>
        <v>1504</v>
      </c>
      <c r="I19" s="335"/>
      <c r="J19" s="175">
        <f>H19/DAY(B2)</f>
        <v>53.714285714285715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1355</v>
      </c>
      <c r="H20" s="99">
        <f>G20+'27'!H20</f>
        <v>11024</v>
      </c>
      <c r="I20" s="336">
        <f>I18-J20</f>
        <v>-328.71428571428572</v>
      </c>
      <c r="J20" s="175">
        <f>H20/DAY(B2)</f>
        <v>393.71428571428572</v>
      </c>
      <c r="K20" s="79"/>
      <c r="L20" s="66"/>
      <c r="N20" s="87"/>
      <c r="O20" s="71"/>
    </row>
    <row r="21" spans="1:16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250</v>
      </c>
      <c r="I23" s="118"/>
      <c r="J23" s="175">
        <f>H23/DAY(B2)</f>
        <v>8.9285714285714288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250</v>
      </c>
      <c r="I24" s="118"/>
      <c r="J24" s="175">
        <f>H24/DAY(B2)</f>
        <v>8.9285714285714288</v>
      </c>
      <c r="K24" s="79"/>
      <c r="L24" s="66"/>
      <c r="N24" s="87"/>
      <c r="O24" s="71"/>
    </row>
    <row r="25" spans="1:16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G27+'27'!H27</f>
        <v>5129215.4700000007</v>
      </c>
      <c r="I27" s="138"/>
      <c r="J27" s="175">
        <f>H27/DAY(B2)</f>
        <v>183186.26678571431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1393184</v>
      </c>
      <c r="I28" s="140"/>
      <c r="J28" s="175">
        <f>H28/DAY(B2)</f>
        <v>49756.571428571428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17250</v>
      </c>
      <c r="I29" s="140"/>
      <c r="J29" s="175">
        <f>H29/DAY(B2)</f>
        <v>616.07142857142856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G30+'27'!H30</f>
        <v>219584</v>
      </c>
      <c r="I30" s="140"/>
      <c r="J30" s="175">
        <f>H30/DAY(B2)</f>
        <v>7842.2857142857147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1300</v>
      </c>
      <c r="F31" s="136">
        <v>80</v>
      </c>
      <c r="G31" s="137">
        <f>E31*F31</f>
        <v>104000</v>
      </c>
      <c r="H31" s="99">
        <f>G31+'27'!H31</f>
        <v>761600</v>
      </c>
      <c r="I31" s="140"/>
      <c r="J31" s="175">
        <f>H31/DAY(B2)</f>
        <v>27200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380730</v>
      </c>
      <c r="H32" s="99">
        <f>G32+'27'!H32</f>
        <v>7520833.4700000016</v>
      </c>
      <c r="I32" s="144"/>
      <c r="J32" s="175">
        <f>H32/DAY(B2)</f>
        <v>268601.19535714289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145179</v>
      </c>
      <c r="F35" s="145">
        <v>147015.26999999999</v>
      </c>
      <c r="G35" s="112">
        <f t="shared" ref="G35:G46" si="3">F35-E35</f>
        <v>1836.2699999999895</v>
      </c>
      <c r="H35" s="99">
        <f>G35+'27'!H35</f>
        <v>162215.26999999999</v>
      </c>
      <c r="I35" s="95"/>
      <c r="J35" s="175">
        <f>H35/DAY(B2)</f>
        <v>5793.4024999999992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18238</v>
      </c>
      <c r="F36" s="145">
        <v>19004.939999999999</v>
      </c>
      <c r="G36" s="112">
        <f t="shared" si="3"/>
        <v>766.93999999999869</v>
      </c>
      <c r="H36" s="99">
        <f>G36+'27'!H36</f>
        <v>-2522.0600000000013</v>
      </c>
      <c r="I36" s="95"/>
      <c r="J36" s="175">
        <f>H36/DAY(B2)</f>
        <v>-90.073571428571469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189109</v>
      </c>
      <c r="F37" s="145">
        <v>190645.23</v>
      </c>
      <c r="G37" s="112">
        <f t="shared" si="3"/>
        <v>1536.2300000000105</v>
      </c>
      <c r="H37" s="99">
        <f>G37+'27'!H37</f>
        <v>202857.23</v>
      </c>
      <c r="I37" s="95"/>
      <c r="J37" s="175">
        <f>H37/DAY(B2)</f>
        <v>7244.9010714285714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224984</v>
      </c>
      <c r="F38" s="108">
        <v>226951.49</v>
      </c>
      <c r="G38" s="112">
        <f t="shared" si="3"/>
        <v>1967.4899999999907</v>
      </c>
      <c r="H38" s="99">
        <f>G38+'27'!H38</f>
        <v>240151.49</v>
      </c>
      <c r="I38" s="95"/>
      <c r="J38" s="175">
        <f>H38/DAY(B2)</f>
        <v>8576.8389285714275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400137</v>
      </c>
      <c r="F39" s="145">
        <v>402877.43</v>
      </c>
      <c r="G39" s="112">
        <f t="shared" si="3"/>
        <v>2740.429999999993</v>
      </c>
      <c r="H39" s="99">
        <f>G39+'27'!H39</f>
        <v>424559.43</v>
      </c>
      <c r="I39" s="95"/>
      <c r="J39" s="175">
        <f>H39/DAY(B2)</f>
        <v>15162.836785714286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4084</v>
      </c>
      <c r="F40" s="145">
        <v>5066.7700000000004</v>
      </c>
      <c r="G40" s="112">
        <f t="shared" si="3"/>
        <v>982.77000000000044</v>
      </c>
      <c r="H40" s="99">
        <f>G40+'27'!H40</f>
        <v>-3.0799999999999272</v>
      </c>
      <c r="I40" s="95"/>
      <c r="J40" s="175">
        <f>H40/DAY(B2)</f>
        <v>-0.10999999999999741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63114</v>
      </c>
      <c r="F42" s="145">
        <v>67675.429999999993</v>
      </c>
      <c r="G42" s="112">
        <f t="shared" si="3"/>
        <v>4561.429999999993</v>
      </c>
      <c r="H42" s="99">
        <f>G42+'27'!H42</f>
        <v>-6133.570000000007</v>
      </c>
      <c r="I42" s="95"/>
      <c r="J42" s="175">
        <f>H42/DAY(B2)</f>
        <v>-219.05607142857167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37050</v>
      </c>
      <c r="F43" s="145">
        <v>39532.07</v>
      </c>
      <c r="G43" s="112">
        <f t="shared" si="3"/>
        <v>2482.0699999999997</v>
      </c>
      <c r="H43" s="99">
        <f>G43+'27'!H43</f>
        <v>-7728.9299999999967</v>
      </c>
      <c r="I43" s="95"/>
      <c r="J43" s="175">
        <f>H43/DAY(B2)</f>
        <v>-276.03321428571417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16873.629999999976</v>
      </c>
      <c r="H47" s="99">
        <f>G47+'27'!H47</f>
        <v>1013395.7800000001</v>
      </c>
      <c r="I47" s="95"/>
      <c r="J47" s="175">
        <f>H47/DAY(B2)</f>
        <v>36192.706428571437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266456</v>
      </c>
      <c r="F49" s="145">
        <v>267940.40999999997</v>
      </c>
      <c r="G49" s="112">
        <f t="shared" ref="G49:G58" si="4">F49-E49</f>
        <v>1484.4099999999744</v>
      </c>
      <c r="H49" s="99">
        <f>G49+'27'!H49</f>
        <v>281061.41000000003</v>
      </c>
      <c r="I49" s="95"/>
      <c r="J49" s="175">
        <f>H49/DAY(B2)</f>
        <v>10037.907500000001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20426</v>
      </c>
      <c r="F50" s="145">
        <v>21574.2</v>
      </c>
      <c r="G50" s="112">
        <f t="shared" si="4"/>
        <v>1148.2000000000007</v>
      </c>
      <c r="H50" s="99">
        <f>G50+'27'!H50</f>
        <v>-3075.8000000000011</v>
      </c>
      <c r="I50" s="95"/>
      <c r="J50" s="175">
        <f>H50/DAY(B2)</f>
        <v>-109.85000000000004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3166</v>
      </c>
      <c r="F54" s="145">
        <v>3170.4</v>
      </c>
      <c r="G54" s="112">
        <f t="shared" si="4"/>
        <v>4.4000000000000909</v>
      </c>
      <c r="H54" s="99">
        <f>G54+'27'!H54</f>
        <v>4937.4799999999996</v>
      </c>
      <c r="I54" s="95"/>
      <c r="J54" s="175">
        <f>H54/DAY(B2)</f>
        <v>176.33857142857141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-3511</v>
      </c>
      <c r="I55" s="95"/>
      <c r="J55" s="175">
        <f>H55/DAY(B2)</f>
        <v>-125.39285714285714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91484</v>
      </c>
      <c r="F58" s="145">
        <v>91702.32</v>
      </c>
      <c r="G58" s="112">
        <f t="shared" si="4"/>
        <v>218.32000000000698</v>
      </c>
      <c r="H58" s="99">
        <f>G58+'27'!H58</f>
        <v>92042.950000000012</v>
      </c>
      <c r="I58" s="95"/>
      <c r="J58" s="175">
        <f>H58/DAY(B2)</f>
        <v>3287.2482142857148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2855.3299999999822</v>
      </c>
      <c r="H59" s="99">
        <f>G59+'27'!H59</f>
        <v>371455.04</v>
      </c>
      <c r="I59" s="95">
        <f>G7-G60</f>
        <v>10985.040000000041</v>
      </c>
      <c r="J59" s="175">
        <f>H59/DAY(B2)</f>
        <v>13266.251428571428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19728.959999999959</v>
      </c>
      <c r="H60" s="99">
        <f>G60+'27'!H60</f>
        <v>1384850.8199999998</v>
      </c>
      <c r="I60" s="95">
        <f>G13-G60</f>
        <v>-1228.9599999999591</v>
      </c>
      <c r="J60" s="175">
        <f>H60/DAY(B2)</f>
        <v>49458.95785714285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'27'!F62</f>
        <v>266818</v>
      </c>
      <c r="F62" s="122">
        <v>266956</v>
      </c>
      <c r="G62" s="112">
        <f t="shared" ref="G62:G63" si="5">F62-E62</f>
        <v>138</v>
      </c>
      <c r="H62" s="99">
        <f>G62+'27'!H62</f>
        <v>-257</v>
      </c>
      <c r="I62" s="118"/>
      <c r="J62" s="175">
        <f>H62/DAY(B2)</f>
        <v>-9.1785714285714288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'27'!F63</f>
        <v>212062</v>
      </c>
      <c r="F63" s="122">
        <v>212166.1</v>
      </c>
      <c r="G63" s="112">
        <f t="shared" si="5"/>
        <v>104.10000000000582</v>
      </c>
      <c r="H63" s="99">
        <f>G63+'27'!H63</f>
        <v>-258.89999999999418</v>
      </c>
      <c r="I63" s="118"/>
      <c r="J63" s="175">
        <f>H63/DAY(B2)</f>
        <v>-9.2464285714283641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'27'!F64</f>
        <v>0</v>
      </c>
      <c r="F64" s="122"/>
      <c r="G64" s="112">
        <f>G62+G63</f>
        <v>242.10000000000582</v>
      </c>
      <c r="H64" s="99">
        <f>G64+'27'!H64</f>
        <v>-515.89999999999418</v>
      </c>
      <c r="I64" s="118"/>
      <c r="J64" s="175">
        <f>H64/DAY(B2)</f>
        <v>-18.424999999999791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'27'!F65</f>
        <v>432179</v>
      </c>
      <c r="F65" s="122">
        <v>432313</v>
      </c>
      <c r="G65" s="112">
        <f t="shared" ref="G65:G70" si="6">F65-E65</f>
        <v>134</v>
      </c>
      <c r="H65" s="99">
        <f>G65+'27'!H65</f>
        <v>-301</v>
      </c>
      <c r="I65" s="118"/>
      <c r="J65" s="175">
        <f>H65/DAY(B2)</f>
        <v>-10.75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107141</v>
      </c>
      <c r="F66" s="122">
        <v>107157</v>
      </c>
      <c r="G66" s="112">
        <f t="shared" si="6"/>
        <v>16</v>
      </c>
      <c r="H66" s="99">
        <f>G66+'27'!H66</f>
        <v>-57</v>
      </c>
      <c r="I66" s="118"/>
      <c r="J66" s="175">
        <f>H66/DAY(B2)</f>
        <v>-2.0357142857142856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103808</v>
      </c>
      <c r="F67" s="122">
        <v>103834</v>
      </c>
      <c r="G67" s="112">
        <f t="shared" si="6"/>
        <v>26</v>
      </c>
      <c r="H67" s="99">
        <f>G67+'27'!H67</f>
        <v>-94</v>
      </c>
      <c r="I67" s="118"/>
      <c r="J67" s="175">
        <f>H67/DAY(B2)</f>
        <v>-3.3571428571428572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156480</v>
      </c>
      <c r="F68" s="122">
        <v>156520</v>
      </c>
      <c r="G68" s="112">
        <f t="shared" si="6"/>
        <v>40</v>
      </c>
      <c r="H68" s="99">
        <f>G68+'27'!H68</f>
        <v>-100</v>
      </c>
      <c r="I68" s="118"/>
      <c r="J68" s="175">
        <f>H68/DAY(B2)</f>
        <v>-3.5714285714285716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10159</v>
      </c>
      <c r="F69" s="122">
        <v>10176</v>
      </c>
      <c r="G69" s="112">
        <f t="shared" si="6"/>
        <v>17</v>
      </c>
      <c r="H69" s="99">
        <f>G69+'27'!H69</f>
        <v>-38</v>
      </c>
      <c r="I69" s="118"/>
      <c r="J69" s="175">
        <f>H69/DAY(B2)</f>
        <v>-1.3571428571428572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7837</v>
      </c>
      <c r="F70" s="122">
        <v>7843</v>
      </c>
      <c r="G70" s="112">
        <f t="shared" si="6"/>
        <v>6</v>
      </c>
      <c r="H70" s="99">
        <f>G70+'27'!H70</f>
        <v>-19</v>
      </c>
      <c r="I70" s="118"/>
      <c r="J70" s="175">
        <f>H70/DAY(B2)</f>
        <v>-0.6785714285714286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239</v>
      </c>
      <c r="H71" s="99">
        <f>G71+'27'!H71</f>
        <v>-609</v>
      </c>
      <c r="I71" s="154"/>
      <c r="J71" s="175">
        <f>H71/DAY(B2)</f>
        <v>-21.75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'27'!F74</f>
        <v>890804</v>
      </c>
      <c r="F74" s="117">
        <v>891129.92099999997</v>
      </c>
      <c r="G74" s="112">
        <f t="shared" ref="G74:G78" si="7">F74-E74</f>
        <v>325.92099999997299</v>
      </c>
      <c r="H74" s="99">
        <f>G74+'27'!H74</f>
        <v>-902.07900000002701</v>
      </c>
      <c r="I74" s="154"/>
      <c r="J74" s="175">
        <f>H74/DAY(B2)</f>
        <v>-32.217107142858104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243.88999999999942</v>
      </c>
      <c r="I75" s="154"/>
      <c r="J75" s="175">
        <f>H75/DAY(B2)</f>
        <v>8.7103571428571218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'27'!F76</f>
        <v>166821</v>
      </c>
      <c r="F76" s="123">
        <v>166906.94</v>
      </c>
      <c r="G76" s="112">
        <f t="shared" si="7"/>
        <v>85.940000000002328</v>
      </c>
      <c r="H76" s="99">
        <f>G76+'27'!H76</f>
        <v>-300.05999999999767</v>
      </c>
      <c r="I76" s="154"/>
      <c r="J76" s="175">
        <f>H76/DAY(B2)</f>
        <v>-10.716428571428489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'27'!F77</f>
        <v>40160</v>
      </c>
      <c r="F77" s="123">
        <v>40190</v>
      </c>
      <c r="G77" s="112">
        <f t="shared" si="7"/>
        <v>30</v>
      </c>
      <c r="H77" s="99">
        <f>G77+'27'!H77</f>
        <v>-126</v>
      </c>
      <c r="I77" s="154"/>
      <c r="J77" s="175">
        <f>H77/DAY(B2)</f>
        <v>-4.5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'27'!F78</f>
        <v>9479</v>
      </c>
      <c r="F78" s="123">
        <v>9479.9</v>
      </c>
      <c r="G78" s="112">
        <f t="shared" si="7"/>
        <v>0.8999999999996362</v>
      </c>
      <c r="H78" s="99">
        <f>G78+'27'!H78</f>
        <v>-6.1000000000003638</v>
      </c>
      <c r="I78" s="118"/>
      <c r="J78" s="175">
        <f>H78/DAY(B2)</f>
        <v>-0.21785714285715585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'27'!F79</f>
        <v>0</v>
      </c>
      <c r="F79" s="123"/>
      <c r="G79" s="112">
        <f>G15-SUM(G74:G78)</f>
        <v>657.23900000002504</v>
      </c>
      <c r="H79" s="99">
        <f>G79+'27'!H79</f>
        <v>27882.349000000024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41675.25</v>
      </c>
      <c r="G84" s="112">
        <f t="shared" si="8"/>
        <v>-0.15000000000145519</v>
      </c>
      <c r="H84" s="99">
        <f>G84+'27'!H84</f>
        <v>0.25</v>
      </c>
      <c r="I84" s="118"/>
      <c r="J84" s="175">
        <f>H84/DAY(B2)</f>
        <v>8.9285714285714281E-3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90">
        <f>'27'!F85</f>
        <v>2036</v>
      </c>
      <c r="F85" s="164">
        <v>2060.0700000000002</v>
      </c>
      <c r="G85" s="236">
        <f t="shared" si="8"/>
        <v>24.070000000000164</v>
      </c>
      <c r="H85" s="99">
        <f>G85+'27'!H85</f>
        <v>-36.489999999999782</v>
      </c>
      <c r="I85" s="118">
        <f>G82+G83+G84+G85</f>
        <v>23.919999999998709</v>
      </c>
      <c r="J85" s="175">
        <f>H85/DAY(B2)</f>
        <v>-1.3032142857142779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-37</v>
      </c>
      <c r="I86" s="118"/>
      <c r="J86" s="175">
        <f>H86/DAY(B2)</f>
        <v>-1.3214285714285714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24039</v>
      </c>
      <c r="F88" s="164">
        <v>24040.87</v>
      </c>
      <c r="G88" s="112">
        <f t="shared" si="8"/>
        <v>1.8699999999989814</v>
      </c>
      <c r="H88" s="99">
        <f>G88+'27'!H88</f>
        <v>-6.1300000000010186</v>
      </c>
      <c r="I88" s="118">
        <f>G86+G87+G88</f>
        <v>1.3999999999978172</v>
      </c>
      <c r="J88" s="175">
        <f>H88/DAY(B2)</f>
        <v>-0.2189285714286078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25634</v>
      </c>
      <c r="F89" s="164">
        <v>25641.94</v>
      </c>
      <c r="G89" s="112">
        <f t="shared" si="8"/>
        <v>7.9399999999986903</v>
      </c>
      <c r="H89" s="99">
        <f>G89+'27'!H89</f>
        <v>-21.06000000000131</v>
      </c>
      <c r="I89" s="118"/>
      <c r="J89" s="175">
        <f>H89/DAY(B2)</f>
        <v>-0.75214285714290396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71011</v>
      </c>
      <c r="F90" s="164">
        <v>71016.929999999993</v>
      </c>
      <c r="G90" s="112">
        <f t="shared" si="8"/>
        <v>5.9299999999930151</v>
      </c>
      <c r="H90" s="99">
        <f>G90+'27'!H90</f>
        <v>28.929999999993015</v>
      </c>
      <c r="I90" s="118">
        <f>G89+G90</f>
        <v>13.869999999991705</v>
      </c>
      <c r="J90" s="175">
        <f>H90/DAY(B2)</f>
        <v>1.0332142857140363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5395</v>
      </c>
      <c r="F92" s="122">
        <v>5406.68</v>
      </c>
      <c r="G92" s="112">
        <f t="shared" si="8"/>
        <v>11.680000000000291</v>
      </c>
      <c r="H92" s="99">
        <f>G92+'27'!H92</f>
        <v>-31.319999999999709</v>
      </c>
      <c r="I92" s="165"/>
      <c r="J92" s="175">
        <f>H92/DAY(B2)</f>
        <v>-1.1185714285714181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5802.7499999999636</v>
      </c>
      <c r="H94" s="99">
        <f>G94+'27'!H94</f>
        <v>435547.74999999994</v>
      </c>
      <c r="I94" s="118"/>
      <c r="J94" s="175">
        <f>H94/DAY(B2)</f>
        <v>15555.276785714284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0.18892850166047936</v>
      </c>
      <c r="H95" s="99">
        <f>G95+'27'!H95</f>
        <v>19.615440552608138</v>
      </c>
      <c r="I95" s="167"/>
      <c r="J95" s="175">
        <f>H95/DAY(B2)</f>
        <v>0.70055144830743354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4561.429999999993</v>
      </c>
      <c r="H96" s="99">
        <f>G96+'27'!H96</f>
        <v>-9644.570000000007</v>
      </c>
      <c r="I96" s="118"/>
      <c r="J96" s="175">
        <f>H96/DAY(B2)</f>
        <v>-344.44892857142884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0.14851305593540381</v>
      </c>
      <c r="H97" s="99">
        <f>G97+'27'!H97</f>
        <v>0.20733489812110764</v>
      </c>
      <c r="I97" s="167"/>
      <c r="J97" s="175">
        <f>H97/DAY(B2)</f>
        <v>7.4048177900395582E-3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2740.429999999993</v>
      </c>
      <c r="H98" s="99">
        <f>G98+'27'!H98</f>
        <v>424559.43</v>
      </c>
      <c r="I98" s="168"/>
      <c r="J98" s="175">
        <f>H98/DAY(B2)</f>
        <v>15162.836785714286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8.9224132317509697E-2</v>
      </c>
      <c r="H99" s="99">
        <f>G99+'27'!H99</f>
        <v>18.612660146962607</v>
      </c>
      <c r="I99" s="168"/>
      <c r="J99" s="175">
        <f>H99/DAY(B2)</f>
        <v>0.66473786239152166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1967.4899999999907</v>
      </c>
      <c r="H100" s="99">
        <f>G100+'27'!H100</f>
        <v>240151.49</v>
      </c>
      <c r="I100" s="118"/>
      <c r="J100" s="175">
        <f>H100/DAY(B2)</f>
        <v>8576.8389285714275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6.4058409845672681E-2</v>
      </c>
      <c r="H101" s="99">
        <f>G101+'27'!H101</f>
        <v>10.554799187964607</v>
      </c>
      <c r="I101" s="168"/>
      <c r="J101" s="175">
        <f>H101/DAY(B2)</f>
        <v>0.37695711385587882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1915.1399999999994</v>
      </c>
      <c r="H102" s="99">
        <f>G102+'27'!H102</f>
        <v>-5597.8600000000006</v>
      </c>
      <c r="I102" s="168"/>
      <c r="J102" s="175">
        <f>H102/DAY(B2)</f>
        <v>-199.92357142857145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6.2353975385817523E-2</v>
      </c>
      <c r="H103" s="99">
        <f>G103+'27'!H103</f>
        <v>9.9245775292950339E-2</v>
      </c>
      <c r="I103" s="118"/>
      <c r="J103" s="175">
        <f>H103/DAY(B2)</f>
        <v>3.5444919747482265E-3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1536.2300000000105</v>
      </c>
      <c r="H104" s="99">
        <f>G104+'27'!H104</f>
        <v>202857.23</v>
      </c>
      <c r="I104" s="118"/>
      <c r="J104" s="175">
        <f>H104/DAY(B2)</f>
        <v>7244.9010714285714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5.0017255974474525E-2</v>
      </c>
      <c r="H105" s="99">
        <f>G105+'27'!H105</f>
        <v>8.9494949313027465</v>
      </c>
      <c r="I105" s="187"/>
      <c r="J105" s="188">
        <f>H105/DAY(B2)</f>
        <v>0.31962481897509809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'27'!F112</f>
        <v>55401</v>
      </c>
      <c r="F112" s="237">
        <v>55471.73</v>
      </c>
      <c r="G112" s="112">
        <f t="shared" ref="G112:G123" si="9">F112-E112</f>
        <v>70.730000000003201</v>
      </c>
      <c r="H112" s="99">
        <f>G112+'27'!H112</f>
        <v>-209.2699999999968</v>
      </c>
      <c r="I112" s="165"/>
      <c r="J112" s="328">
        <f>H112/DAY(B2)</f>
        <v>-7.4739285714284573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95">
        <f>'27'!F113</f>
        <v>30408</v>
      </c>
      <c r="F113" s="237">
        <v>30853.22</v>
      </c>
      <c r="G113" s="112">
        <f t="shared" si="9"/>
        <v>445.22000000000116</v>
      </c>
      <c r="H113" s="99">
        <f>G113+'27'!H113</f>
        <v>-1341.7799999999988</v>
      </c>
      <c r="I113" s="165"/>
      <c r="J113" s="328">
        <f>H113/DAY(B2)</f>
        <v>-47.920714285714247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95">
        <f>'27'!F114</f>
        <v>23479</v>
      </c>
      <c r="F114" s="237">
        <v>24047.77</v>
      </c>
      <c r="G114" s="112">
        <f t="shared" si="9"/>
        <v>568.77000000000044</v>
      </c>
      <c r="H114" s="99">
        <f>G114+'27'!H114</f>
        <v>-956.82999999999993</v>
      </c>
      <c r="I114" s="165"/>
      <c r="J114" s="328">
        <f>H114/DAY(B2)</f>
        <v>-34.172499999999999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95">
        <f>'27'!F115</f>
        <v>8749</v>
      </c>
      <c r="F115" s="237">
        <v>8758.1299999999992</v>
      </c>
      <c r="G115" s="112">
        <f t="shared" si="9"/>
        <v>9.1299999999991996</v>
      </c>
      <c r="H115" s="99">
        <f>G115+'27'!H115</f>
        <v>-26.8700000000008</v>
      </c>
      <c r="I115" s="165"/>
      <c r="J115" s="328">
        <f>H115/DAY(B2)</f>
        <v>-0.95964285714288577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33"/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95">
        <f>'27'!F117</f>
        <v>2505</v>
      </c>
      <c r="F117" s="237">
        <v>2526.06</v>
      </c>
      <c r="G117" s="112">
        <f t="shared" si="9"/>
        <v>21.059999999999945</v>
      </c>
      <c r="H117" s="99">
        <f>G117+'27'!H117</f>
        <v>-63.940000000000055</v>
      </c>
      <c r="I117" s="165"/>
      <c r="J117" s="328">
        <f>H117/DAY(B2)</f>
        <v>-2.2835714285714306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'27'!F118</f>
        <v>240064</v>
      </c>
      <c r="F118" s="237">
        <v>240490.67</v>
      </c>
      <c r="G118" s="112">
        <f t="shared" si="9"/>
        <v>426.67000000001281</v>
      </c>
      <c r="H118" s="99">
        <f>G118+'27'!H118</f>
        <v>-1156.3299999999872</v>
      </c>
      <c r="I118" s="165"/>
      <c r="J118" s="328">
        <f>H118/DAY(B2)</f>
        <v>-41.297499999999545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'27'!F119</f>
        <v>243480</v>
      </c>
      <c r="F119" s="237">
        <v>243904.25</v>
      </c>
      <c r="G119" s="112">
        <f t="shared" si="9"/>
        <v>424.25</v>
      </c>
      <c r="H119" s="99">
        <f>G119+'27'!H119</f>
        <v>-1221.75</v>
      </c>
      <c r="I119" s="165"/>
      <c r="J119" s="328">
        <f>H119/DAY(B2)</f>
        <v>-43.633928571428569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'27'!F120</f>
        <v>28427</v>
      </c>
      <c r="F120" s="237">
        <v>28841.64</v>
      </c>
      <c r="G120" s="112">
        <f t="shared" si="9"/>
        <v>414.63999999999942</v>
      </c>
      <c r="H120" s="99">
        <f>G120+'27'!H120</f>
        <v>-1236.3600000000006</v>
      </c>
      <c r="I120" s="165"/>
      <c r="J120" s="328">
        <f>H120/DAY(B2)</f>
        <v>-44.155714285714303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'27'!F121</f>
        <v>373420</v>
      </c>
      <c r="F121" s="237">
        <v>374219.141</v>
      </c>
      <c r="G121" s="112">
        <f t="shared" si="9"/>
        <v>799.14100000000326</v>
      </c>
      <c r="H121" s="99">
        <f>G121+'27'!H121</f>
        <v>-2309.8589999999967</v>
      </c>
      <c r="I121" s="165"/>
      <c r="J121" s="328">
        <f>H121/DAY(B2)</f>
        <v>-82.494964285714175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'27'!F122</f>
        <v>119141</v>
      </c>
      <c r="F122" s="237">
        <v>119369.52</v>
      </c>
      <c r="G122" s="112">
        <f t="shared" si="9"/>
        <v>228.52000000000407</v>
      </c>
      <c r="H122" s="99">
        <f>G122+'27'!H122</f>
        <v>-680.47999999999593</v>
      </c>
      <c r="I122" s="165"/>
      <c r="J122" s="328">
        <f>H122/DAY(B2)</f>
        <v>-24.302857142856997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'27'!F123</f>
        <v>143766</v>
      </c>
      <c r="F123" s="237">
        <v>144113.63</v>
      </c>
      <c r="G123" s="112">
        <f t="shared" si="9"/>
        <v>347.63000000000466</v>
      </c>
      <c r="H123" s="99">
        <f>G123+'27'!H123</f>
        <v>-1011.3699999999953</v>
      </c>
      <c r="I123" s="165"/>
      <c r="J123" s="328">
        <f>H123/DAY(B2)</f>
        <v>-36.120357142856975</v>
      </c>
    </row>
    <row r="124" spans="1:18" ht="29.25" customHeight="1" x14ac:dyDescent="0.5">
      <c r="A124" s="837"/>
      <c r="B124" s="838"/>
      <c r="C124" s="83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3755.7610000000282</v>
      </c>
      <c r="H125" s="156"/>
      <c r="I125" s="327">
        <f>G125-(G39+G53)</f>
        <v>1015.3310000000351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'27'!F128</f>
        <v>36625</v>
      </c>
      <c r="F128" s="165">
        <v>36930.68</v>
      </c>
      <c r="G128" s="112">
        <f t="shared" ref="G128:G134" si="10">F128-E128</f>
        <v>305.68000000000029</v>
      </c>
      <c r="H128" s="99">
        <f>G128+'27'!H128</f>
        <v>-1073.3199999999997</v>
      </c>
      <c r="I128" s="165"/>
      <c r="J128" s="328">
        <f>H128/DAY(B2)</f>
        <v>-38.332857142857129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19441</v>
      </c>
      <c r="F129" s="165">
        <v>19701.93</v>
      </c>
      <c r="G129" s="112">
        <f t="shared" si="10"/>
        <v>260.93000000000029</v>
      </c>
      <c r="H129" s="99">
        <f>G129+'27'!H129</f>
        <v>-619.06999999999971</v>
      </c>
      <c r="I129" s="165"/>
      <c r="J129" s="328">
        <f>H129/DAY(B2)</f>
        <v>-22.109642857142848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15070</v>
      </c>
      <c r="F130" s="165">
        <v>15841.03</v>
      </c>
      <c r="G130" s="112">
        <f t="shared" si="10"/>
        <v>771.03000000000065</v>
      </c>
      <c r="H130" s="99">
        <f>G130+'27'!H130</f>
        <v>-2540.9699999999993</v>
      </c>
      <c r="I130" s="165"/>
      <c r="J130" s="328">
        <f>H130/DAY(B2)</f>
        <v>-90.74892857142855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'27'!F131</f>
        <v>12802</v>
      </c>
      <c r="F131" s="165">
        <v>12900.78</v>
      </c>
      <c r="G131" s="112">
        <f t="shared" si="10"/>
        <v>98.780000000000655</v>
      </c>
      <c r="H131" s="99">
        <f>G131+'27'!H131</f>
        <v>-252.21999999999935</v>
      </c>
      <c r="I131" s="165"/>
      <c r="J131" s="328">
        <f>H131/DAY(B2)</f>
        <v>-9.0078571428571195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'27'!F132</f>
        <v>39228</v>
      </c>
      <c r="F132" s="165">
        <v>39678.32</v>
      </c>
      <c r="G132" s="112">
        <f t="shared" si="10"/>
        <v>450.31999999999971</v>
      </c>
      <c r="H132" s="99">
        <f>G132+'27'!H132</f>
        <v>-36534.310000000005</v>
      </c>
      <c r="I132" s="165"/>
      <c r="J132" s="328">
        <f>H132/DAY(B2)</f>
        <v>-1304.796785714286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'27'!F133</f>
        <v>85102</v>
      </c>
      <c r="F133" s="165">
        <v>85760.93</v>
      </c>
      <c r="G133" s="112">
        <f t="shared" si="10"/>
        <v>658.92999999999302</v>
      </c>
      <c r="H133" s="99">
        <f>G133+'27'!H133</f>
        <v>-1942.070000000007</v>
      </c>
      <c r="I133" s="165"/>
      <c r="J133" s="328">
        <f>H133/DAY(B2)</f>
        <v>-69.359642857143101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'27'!F134</f>
        <v>666384</v>
      </c>
      <c r="F134" s="158">
        <v>666995</v>
      </c>
      <c r="G134" s="112">
        <f t="shared" si="10"/>
        <v>611</v>
      </c>
      <c r="H134" s="99">
        <f>G134+'27'!H134</f>
        <v>669289</v>
      </c>
      <c r="I134" s="165"/>
      <c r="J134" s="328">
        <f>H134/DAY(B2)</f>
        <v>23903.178571428572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3156.6699999999946</v>
      </c>
      <c r="H135" s="99">
        <f>G135+'23'!H135</f>
        <v>37179.959999999992</v>
      </c>
      <c r="I135" s="327">
        <f>G135-(G35+G49)</f>
        <v>-164.0099999999693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'27'!F138</f>
        <v>863742</v>
      </c>
      <c r="F138" s="147">
        <v>863869</v>
      </c>
      <c r="G138" s="112">
        <f t="shared" ref="G138:G152" si="11">F138-E138</f>
        <v>127</v>
      </c>
      <c r="H138" s="99">
        <f>G138+'27'!H138</f>
        <v>-302</v>
      </c>
      <c r="I138" s="118"/>
      <c r="J138" s="328">
        <f>H138/DAY(B2)</f>
        <v>-10.785714285714286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'27'!F139</f>
        <v>886542</v>
      </c>
      <c r="F139" s="148">
        <v>886544</v>
      </c>
      <c r="G139" s="112">
        <f t="shared" si="11"/>
        <v>2</v>
      </c>
      <c r="H139" s="99">
        <f>G139+'27'!H139</f>
        <v>-2</v>
      </c>
      <c r="I139" s="118"/>
      <c r="J139" s="328">
        <f>H139/DAY(B2)</f>
        <v>-7.1428571428571425E-2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'27'!F140</f>
        <v>88882</v>
      </c>
      <c r="F140" s="149">
        <v>88882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'27'!F141</f>
        <v>48555</v>
      </c>
      <c r="F141" s="149">
        <v>48738.38</v>
      </c>
      <c r="G141" s="112">
        <f t="shared" si="11"/>
        <v>183.37999999999738</v>
      </c>
      <c r="H141" s="99">
        <f>G141+'27'!H141</f>
        <v>-567.62000000000262</v>
      </c>
      <c r="I141" s="118"/>
      <c r="J141" s="328">
        <f>H141/DAY(B2)</f>
        <v>-20.272142857142949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'27'!F142</f>
        <v>18702</v>
      </c>
      <c r="F142" s="148">
        <v>18783.34</v>
      </c>
      <c r="G142" s="112">
        <f t="shared" si="11"/>
        <v>81.340000000000146</v>
      </c>
      <c r="H142" s="99">
        <f>G142+'27'!H142</f>
        <v>-225.65999999999985</v>
      </c>
      <c r="I142" s="140"/>
      <c r="J142" s="328">
        <f>H142/DAY(B2)</f>
        <v>-8.0592857142857088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'27'!F143</f>
        <v>2968</v>
      </c>
      <c r="F143" s="149">
        <v>2992.89</v>
      </c>
      <c r="G143" s="112">
        <f t="shared" si="11"/>
        <v>24.889999999999873</v>
      </c>
      <c r="H143" s="99">
        <f>G143+'27'!H143</f>
        <v>-68.110000000000127</v>
      </c>
      <c r="I143" s="140"/>
      <c r="J143" s="328">
        <f>H143/DAY(B2)</f>
        <v>-2.4325000000000045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'27'!F144</f>
        <v>868722</v>
      </c>
      <c r="F144" s="149">
        <v>868966</v>
      </c>
      <c r="G144" s="112">
        <f t="shared" si="11"/>
        <v>244</v>
      </c>
      <c r="H144" s="99">
        <f>G144+'27'!H144</f>
        <v>-704</v>
      </c>
      <c r="I144" s="140"/>
      <c r="J144" s="328">
        <f>H144/DAY(B2)</f>
        <v>-25.142857142857142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'27'!F145</f>
        <v>4506</v>
      </c>
      <c r="F145" s="149">
        <v>4518.78</v>
      </c>
      <c r="G145" s="112">
        <f t="shared" si="11"/>
        <v>12.779999999999745</v>
      </c>
      <c r="H145" s="99">
        <f>G145+'27'!H145</f>
        <v>-39.220000000000255</v>
      </c>
      <c r="I145" s="140"/>
      <c r="J145" s="328">
        <f>H145/DAY(B2)</f>
        <v>-1.4007142857142949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'27'!F146</f>
        <v>722992</v>
      </c>
      <c r="F146" s="148">
        <v>723472</v>
      </c>
      <c r="G146" s="112">
        <f t="shared" si="11"/>
        <v>480</v>
      </c>
      <c r="H146" s="99">
        <f>G146+'27'!H146</f>
        <v>-1386</v>
      </c>
      <c r="I146" s="140"/>
      <c r="J146" s="328">
        <f>H146/DAY(B2)</f>
        <v>-49.5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'27'!F147</f>
        <v>613648</v>
      </c>
      <c r="F147" s="148">
        <v>614078.76</v>
      </c>
      <c r="G147" s="112">
        <f t="shared" si="11"/>
        <v>430.76000000000931</v>
      </c>
      <c r="H147" s="99">
        <f>G147+'27'!H147</f>
        <v>-1203.2399999999907</v>
      </c>
      <c r="I147" s="140"/>
      <c r="J147" s="328">
        <f>H147/DAY(B2)</f>
        <v>-42.97285714285681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'27'!F148</f>
        <v>681948</v>
      </c>
      <c r="F148" s="150">
        <v>682204.08</v>
      </c>
      <c r="G148" s="112">
        <f t="shared" si="11"/>
        <v>256.07999999995809</v>
      </c>
      <c r="H148" s="99">
        <f>G148+'27'!H148</f>
        <v>-829.04000000003725</v>
      </c>
      <c r="I148" s="124"/>
      <c r="J148" s="328">
        <f>H148/DAY(B2)</f>
        <v>-29.608571428572759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'27'!F149</f>
        <v>8605</v>
      </c>
      <c r="F149" s="146">
        <v>9193.01</v>
      </c>
      <c r="G149" s="112">
        <f t="shared" si="11"/>
        <v>588.01000000000022</v>
      </c>
      <c r="H149" s="99">
        <f>G149+'27'!H149</f>
        <v>13245.269999999997</v>
      </c>
      <c r="I149" s="119"/>
      <c r="J149" s="328">
        <f>H149/DAY(B2)</f>
        <v>473.04535714285703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'27'!F150</f>
        <v>3160</v>
      </c>
      <c r="F150" s="233">
        <v>3385.75</v>
      </c>
      <c r="G150" s="112">
        <f t="shared" si="11"/>
        <v>225.75</v>
      </c>
      <c r="H150" s="99">
        <f>G150+'27'!H150</f>
        <v>-666.25</v>
      </c>
      <c r="I150" s="119"/>
      <c r="J150" s="328">
        <f>H150/DAY(B2)</f>
        <v>-23.794642857142858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'27'!F151</f>
        <v>77224</v>
      </c>
      <c r="F151" s="233">
        <v>77480</v>
      </c>
      <c r="G151" s="112">
        <f t="shared" si="11"/>
        <v>256</v>
      </c>
      <c r="H151" s="99">
        <f>G151+'27'!H151</f>
        <v>-737</v>
      </c>
      <c r="I151" s="119"/>
      <c r="J151" s="328">
        <f>H151/DAY(B2)</f>
        <v>-26.321428571428573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'27'!F152</f>
        <v>934</v>
      </c>
      <c r="F152" s="233">
        <v>983.48</v>
      </c>
      <c r="G152" s="112">
        <f t="shared" si="11"/>
        <v>49.480000000000018</v>
      </c>
      <c r="H152" s="99">
        <f>G152+'27'!H152</f>
        <v>-143.51999999999998</v>
      </c>
      <c r="I152" s="119"/>
      <c r="J152" s="328">
        <f>H152/DAY(B2)</f>
        <v>-5.1257142857142854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2961.4699999999648</v>
      </c>
      <c r="H153" s="363"/>
      <c r="I153" s="119">
        <f>G153-(G38+G52)</f>
        <v>993.9799999999741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639">
        <f>'27'!F155</f>
        <v>10144</v>
      </c>
      <c r="F155" s="640">
        <v>10784</v>
      </c>
      <c r="G155" s="112">
        <f t="shared" ref="G155:G158" si="12">F155-E155</f>
        <v>640</v>
      </c>
      <c r="H155" s="99">
        <f>G155+'27'!H155</f>
        <v>-2688</v>
      </c>
      <c r="I155" s="364"/>
      <c r="J155" s="328">
        <f>H155/DAY(B2)</f>
        <v>-96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'27'!F156</f>
        <v>812</v>
      </c>
      <c r="F156" s="165">
        <v>872</v>
      </c>
      <c r="G156" s="112">
        <f t="shared" si="12"/>
        <v>60</v>
      </c>
      <c r="H156" s="99">
        <f>G156+'27'!H156</f>
        <v>-215.99999999999989</v>
      </c>
      <c r="I156" s="165"/>
      <c r="J156" s="328">
        <f>H156/DAY(B2)</f>
        <v>-7.71428571428571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490">
        <v>0</v>
      </c>
      <c r="F157" s="158">
        <v>0</v>
      </c>
      <c r="G157" s="112">
        <f t="shared" si="12"/>
        <v>0</v>
      </c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'27'!F158</f>
        <v>1.43</v>
      </c>
      <c r="F158" s="165">
        <v>1.46</v>
      </c>
      <c r="G158" s="112">
        <f t="shared" si="12"/>
        <v>3.0000000000000027E-2</v>
      </c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471151</v>
      </c>
      <c r="F161" s="235">
        <v>471152</v>
      </c>
      <c r="G161" s="238">
        <f t="shared" ref="G161:G165" si="13">F161-E161</f>
        <v>1</v>
      </c>
      <c r="H161" s="99">
        <f>G161+'27'!H161</f>
        <v>-1.1599999999743886</v>
      </c>
      <c r="I161" s="236"/>
      <c r="J161" s="239">
        <f>H161/DAY(B2)</f>
        <v>-4.1428571427656734E-2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87454</v>
      </c>
      <c r="F162" s="235">
        <v>87481.2</v>
      </c>
      <c r="G162" s="238">
        <f t="shared" si="13"/>
        <v>27.19999999999709</v>
      </c>
      <c r="H162" s="99">
        <f>G162+'27'!H162</f>
        <v>-88.80000000000291</v>
      </c>
      <c r="I162" s="236"/>
      <c r="J162" s="239">
        <f>H162/DAY(B2)</f>
        <v>-3.1714285714286752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77551</v>
      </c>
      <c r="F163" s="235">
        <v>77645.399999999994</v>
      </c>
      <c r="G163" s="238">
        <f t="shared" si="13"/>
        <v>94.399999999994179</v>
      </c>
      <c r="H163" s="99">
        <f>G163+'27'!H163</f>
        <v>-179.60000000000582</v>
      </c>
      <c r="I163" s="236"/>
      <c r="J163" s="239">
        <f>H163/DAY(B2)</f>
        <v>-6.4142857142859224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4230</v>
      </c>
      <c r="F164" s="235">
        <v>4235.5</v>
      </c>
      <c r="G164" s="238">
        <f t="shared" si="13"/>
        <v>5.5</v>
      </c>
      <c r="H164" s="99">
        <f>G164+'27'!H164</f>
        <v>-6.5</v>
      </c>
      <c r="I164" s="236"/>
      <c r="J164" s="239">
        <f>H164/DAY(B2)</f>
        <v>-0.23214285714285715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29619</v>
      </c>
      <c r="F165" s="235">
        <v>29629.22</v>
      </c>
      <c r="G165" s="238">
        <f t="shared" si="13"/>
        <v>10.220000000001164</v>
      </c>
      <c r="H165" s="99">
        <f>G165+'27'!H165</f>
        <v>-16.779999999998836</v>
      </c>
      <c r="I165" s="236"/>
      <c r="J165" s="239">
        <f>H165/DAY(B2)</f>
        <v>-0.59928571428567268</v>
      </c>
    </row>
    <row r="166" spans="1:10" ht="29.25" x14ac:dyDescent="0.5">
      <c r="A166" s="822"/>
      <c r="B166" s="82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'27'!F174</f>
        <v>38236</v>
      </c>
      <c r="F174" s="157">
        <v>38252</v>
      </c>
      <c r="G174" s="155">
        <f t="shared" ref="G174:G175" si="14">F174-E174</f>
        <v>16</v>
      </c>
      <c r="H174" s="99">
        <f>G174+'27'!H174</f>
        <v>-41</v>
      </c>
      <c r="I174" s="155"/>
      <c r="J174" s="178">
        <f>H174/DAY(B2)</f>
        <v>-1.4642857142857142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'27'!F175</f>
        <v>21475</v>
      </c>
      <c r="F175" s="155">
        <v>21486</v>
      </c>
      <c r="G175" s="155">
        <f t="shared" si="14"/>
        <v>11</v>
      </c>
      <c r="H175" s="99">
        <f>G175+'27'!H175</f>
        <v>-32</v>
      </c>
      <c r="I175" s="155"/>
      <c r="J175" s="178">
        <f>H175/DAY(B2)</f>
        <v>-1.1428571428571428</v>
      </c>
    </row>
    <row r="176" spans="1:10" ht="27.75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27</v>
      </c>
      <c r="H176" s="99">
        <f>G176+'27'!H176</f>
        <v>-73</v>
      </c>
      <c r="I176" s="155"/>
      <c r="J176" s="178">
        <f>H176/DAY(B2)</f>
        <v>-2.6071428571428572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'27'!F178</f>
        <v>79338</v>
      </c>
      <c r="F178" s="155">
        <v>79402</v>
      </c>
      <c r="G178" s="155">
        <f>F178-E178</f>
        <v>64</v>
      </c>
      <c r="H178" s="99">
        <f>G178+'27'!H178</f>
        <v>-212</v>
      </c>
      <c r="I178" s="155"/>
      <c r="J178" s="178">
        <f>H178/DAY(B2)</f>
        <v>-7.5714285714285712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'27'!F179</f>
        <v>33915</v>
      </c>
      <c r="F179" s="155">
        <v>33915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'27'!F180</f>
        <v>5457</v>
      </c>
      <c r="F180" s="155">
        <v>5463</v>
      </c>
      <c r="G180" s="155">
        <f t="shared" si="15"/>
        <v>6</v>
      </c>
      <c r="H180" s="99">
        <f>G180+'27'!H180</f>
        <v>-14</v>
      </c>
      <c r="I180" s="155"/>
      <c r="J180" s="178">
        <f>H180/DAY(B2)</f>
        <v>-0.5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70</v>
      </c>
      <c r="H181" s="99">
        <f>G181+'27'!H181</f>
        <v>-226</v>
      </c>
      <c r="I181" s="155"/>
      <c r="J181" s="178">
        <f>H181/DAY(B2)</f>
        <v>-8.0714285714285712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'27'!F183</f>
        <v>14881</v>
      </c>
      <c r="F183" s="157">
        <v>14901</v>
      </c>
      <c r="G183" s="157">
        <f>F183-E183</f>
        <v>20</v>
      </c>
      <c r="H183" s="99">
        <f>G183+'27'!H183</f>
        <v>-46</v>
      </c>
      <c r="I183" s="155"/>
      <c r="J183" s="178">
        <f>H183/DAY(B2)</f>
        <v>-1.6428571428571428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'27'!F184</f>
        <v>10279</v>
      </c>
      <c r="F184" s="157">
        <v>10282</v>
      </c>
      <c r="G184" s="157">
        <f t="shared" ref="G184:G185" si="16">F184-E184</f>
        <v>3</v>
      </c>
      <c r="H184" s="99">
        <f>G184+'27'!H184</f>
        <v>-19</v>
      </c>
      <c r="I184" s="155"/>
      <c r="J184" s="178">
        <f>H184/DAY(B2)</f>
        <v>-0.6785714285714286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23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>
        <f>'27'!F187</f>
        <v>0</v>
      </c>
      <c r="F187" s="159"/>
      <c r="G187" s="462">
        <f>G62+G19</f>
        <v>193</v>
      </c>
      <c r="H187" s="99">
        <f>G187+'27'!H187</f>
        <v>1247</v>
      </c>
      <c r="I187" s="158"/>
      <c r="J187" s="179">
        <f>H187/DAY(B2)</f>
        <v>44.535714285714285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>
        <f>'27'!F188</f>
        <v>0</v>
      </c>
      <c r="F188" s="159"/>
      <c r="G188" s="462">
        <f>G65+G66+G67+G69+G70</f>
        <v>199</v>
      </c>
      <c r="H188" s="99">
        <f>G188+'27'!H188</f>
        <v>-2303</v>
      </c>
      <c r="I188" s="158"/>
      <c r="J188" s="179">
        <f>H188/DAY(B2)</f>
        <v>-82.25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'27'!F189</f>
        <v>0</v>
      </c>
      <c r="F189" s="157"/>
      <c r="G189" s="459">
        <f>G181</f>
        <v>70</v>
      </c>
      <c r="H189" s="99">
        <f>G189+'27'!H189</f>
        <v>-1816</v>
      </c>
      <c r="I189" s="158"/>
      <c r="J189" s="179">
        <f>H189/DAY(B2)</f>
        <v>-64.857142857142861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25" zoomScale="55" zoomScaleNormal="78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350</v>
      </c>
      <c r="B2" s="262">
        <v>44529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47000</v>
      </c>
      <c r="F7" s="95">
        <f>E7+23500</f>
        <v>70500</v>
      </c>
      <c r="G7" s="112">
        <f>F7-E7</f>
        <v>23500</v>
      </c>
      <c r="H7" s="99">
        <f>G7+'28'!H7</f>
        <v>595326</v>
      </c>
      <c r="I7" s="113">
        <f>'1'!I7</f>
        <v>12000</v>
      </c>
      <c r="J7" s="175">
        <f>H7/DAY(B2)</f>
        <v>20528.482758620688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86565</v>
      </c>
      <c r="F8" s="95">
        <f>E8+23500</f>
        <v>110065</v>
      </c>
      <c r="G8" s="115">
        <f>F8-E8</f>
        <v>23500</v>
      </c>
      <c r="H8" s="99">
        <f>G8+'28'!H8</f>
        <v>593412.83000000007</v>
      </c>
      <c r="I8" s="116"/>
      <c r="J8" s="175">
        <f>H8/DAY(B2)</f>
        <v>20462.511379310348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249695.53</v>
      </c>
      <c r="F9" s="601">
        <f>E9+14000</f>
        <v>263695.53000000003</v>
      </c>
      <c r="G9" s="112">
        <f>F9-E9</f>
        <v>14000.000000000029</v>
      </c>
      <c r="H9" s="99">
        <f>G9+'28'!H9</f>
        <v>362200.53</v>
      </c>
      <c r="I9" s="124">
        <f>I7-J7</f>
        <v>-8528.4827586206884</v>
      </c>
      <c r="J9" s="175">
        <f>H9/DAY(B2)</f>
        <v>12489.673448275864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102422.18</v>
      </c>
      <c r="F10" s="353">
        <f>E10+4500</f>
        <v>106922.18</v>
      </c>
      <c r="G10" s="112">
        <f t="shared" ref="G10:G12" si="0">F10-E10</f>
        <v>4500</v>
      </c>
      <c r="H10" s="99">
        <f>G10+'28'!H10</f>
        <v>161828.18</v>
      </c>
      <c r="I10" s="282"/>
      <c r="J10" s="175">
        <f>H10/DAY(B2)</f>
        <v>5580.2820689655173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33300</v>
      </c>
      <c r="I11" s="282"/>
      <c r="J11" s="175">
        <f>H11/DAY(B2)</f>
        <v>1148.2758620689656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36009</v>
      </c>
      <c r="I12" s="282"/>
      <c r="J12" s="175">
        <f>H12/DAY(B2)</f>
        <v>1241.6896551724137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18500.000000000029</v>
      </c>
      <c r="H13" s="99">
        <f>G13+'28'!H13</f>
        <v>573872.46</v>
      </c>
      <c r="I13" s="120">
        <f>G7-G13</f>
        <v>4999.9999999999709</v>
      </c>
      <c r="J13" s="175">
        <f>H13/DAY(B2)</f>
        <v>19788.705517241378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1905222</v>
      </c>
      <c r="F15" s="123">
        <f>E15+1100</f>
        <v>1906322</v>
      </c>
      <c r="G15" s="112">
        <f>(F15-E15)</f>
        <v>1100</v>
      </c>
      <c r="H15" s="99">
        <f>G15+'28'!H15</f>
        <v>27892</v>
      </c>
      <c r="I15" s="113">
        <f>'1'!I15</f>
        <v>800</v>
      </c>
      <c r="J15" s="175">
        <f>H15/DAY(B2)</f>
        <v>961.79310344827582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-161.79310344827582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'28'!F18</f>
        <v>130</v>
      </c>
      <c r="F18" s="122">
        <f>E18+12</f>
        <v>142</v>
      </c>
      <c r="G18" s="119">
        <f>F18*10</f>
        <v>1420</v>
      </c>
      <c r="H18" s="99">
        <f>G18+'28'!H18</f>
        <v>10940</v>
      </c>
      <c r="I18" s="113">
        <f>'1'!I18</f>
        <v>65</v>
      </c>
      <c r="J18" s="175">
        <f>H18/DAY(B2)</f>
        <v>377.24137931034483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'28'!F19</f>
        <v>153729</v>
      </c>
      <c r="F19" s="122">
        <f>E19+55</f>
        <v>153784</v>
      </c>
      <c r="G19" s="112">
        <f t="shared" ref="G19" si="1">F19-E19</f>
        <v>55</v>
      </c>
      <c r="H19" s="99">
        <f>G19+'28'!H19</f>
        <v>1559</v>
      </c>
      <c r="I19" s="335"/>
      <c r="J19" s="175">
        <f>H19/DAY(B2)</f>
        <v>53.758620689655174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1475</v>
      </c>
      <c r="H20" s="99">
        <f>G20+'28'!H20</f>
        <v>12499</v>
      </c>
      <c r="I20" s="336">
        <f>I18-J20</f>
        <v>-366</v>
      </c>
      <c r="J20" s="175">
        <f>H20/DAY(B2)</f>
        <v>431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250</v>
      </c>
      <c r="I23" s="118"/>
      <c r="J23" s="175">
        <f>H23/DAY(B2)</f>
        <v>8.6206896551724146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250</v>
      </c>
      <c r="I24" s="118"/>
      <c r="J24" s="175">
        <f>H24/DAY(B2)</f>
        <v>8.6206896551724146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G27+'28'!H27</f>
        <v>5340715.4700000007</v>
      </c>
      <c r="I27" s="138"/>
      <c r="J27" s="175">
        <f>H27/DAY(B2)</f>
        <v>184162.60241379312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1450384</v>
      </c>
      <c r="I28" s="140"/>
      <c r="J28" s="175">
        <f>H28/DAY(B2)</f>
        <v>50013.241379310348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17250</v>
      </c>
      <c r="I29" s="140"/>
      <c r="J29" s="175">
        <f>H29/DAY(B2)</f>
        <v>594.82758620689651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227614</v>
      </c>
      <c r="I30" s="140"/>
      <c r="J30" s="175">
        <f>H30/DAY(B2)</f>
        <v>7848.7586206896549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1420</v>
      </c>
      <c r="F31" s="136">
        <v>80</v>
      </c>
      <c r="G31" s="137">
        <f>E31*F31</f>
        <v>113600</v>
      </c>
      <c r="H31" s="99">
        <f>G31+'28'!H31</f>
        <v>875200</v>
      </c>
      <c r="I31" s="140"/>
      <c r="J31" s="175">
        <f>H31/DAY(B2)</f>
        <v>30179.310344827587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390330</v>
      </c>
      <c r="H32" s="99">
        <f>G32+'28'!H32</f>
        <v>7911163.4700000016</v>
      </c>
      <c r="I32" s="144"/>
      <c r="J32" s="175">
        <f>H32/DAY(B2)</f>
        <v>272798.74034482765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147015.26999999999</v>
      </c>
      <c r="F35" s="145">
        <v>148886.99</v>
      </c>
      <c r="G35" s="112">
        <f t="shared" ref="G35:G46" si="3">F35-E35</f>
        <v>1871.7200000000012</v>
      </c>
      <c r="H35" s="99">
        <f>G35+'28'!H35</f>
        <v>164086.99</v>
      </c>
      <c r="I35" s="95"/>
      <c r="J35" s="175">
        <f>H35/DAY(B2)</f>
        <v>5658.1720689655167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19004.939999999999</v>
      </c>
      <c r="F36" s="145">
        <v>19822.169999999998</v>
      </c>
      <c r="G36" s="112">
        <f t="shared" si="3"/>
        <v>817.22999999999956</v>
      </c>
      <c r="H36" s="99">
        <f>G36+'28'!H36</f>
        <v>-1704.8300000000017</v>
      </c>
      <c r="I36" s="95"/>
      <c r="J36" s="175">
        <f>H36/DAY(B2)</f>
        <v>-58.787241379310402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190645.23</v>
      </c>
      <c r="F37" s="145">
        <v>192189.71</v>
      </c>
      <c r="G37" s="112">
        <f t="shared" si="3"/>
        <v>1544.4799999999814</v>
      </c>
      <c r="H37" s="99">
        <f>G37+'28'!H37</f>
        <v>204401.71</v>
      </c>
      <c r="I37" s="95"/>
      <c r="J37" s="175">
        <f>H37/DAY(B2)</f>
        <v>7048.3348275862063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226951.49</v>
      </c>
      <c r="F38" s="108">
        <v>228822.07</v>
      </c>
      <c r="G38" s="112">
        <f t="shared" si="3"/>
        <v>1870.5800000000163</v>
      </c>
      <c r="H38" s="99">
        <f>G38+'28'!H38</f>
        <v>242022.07</v>
      </c>
      <c r="I38" s="95"/>
      <c r="J38" s="175">
        <f>H38/DAY(B2)</f>
        <v>8345.5886206896557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402877.43</v>
      </c>
      <c r="F39" s="145">
        <v>405604.75</v>
      </c>
      <c r="G39" s="112">
        <f t="shared" si="3"/>
        <v>2727.320000000007</v>
      </c>
      <c r="H39" s="99">
        <f>G39+'28'!H39</f>
        <v>427286.75</v>
      </c>
      <c r="I39" s="95"/>
      <c r="J39" s="175">
        <f>H39/DAY(B2)</f>
        <v>14734.025862068966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5066.7700000000004</v>
      </c>
      <c r="F40" s="145">
        <v>5448.67</v>
      </c>
      <c r="G40" s="112">
        <f t="shared" si="3"/>
        <v>381.89999999999964</v>
      </c>
      <c r="H40" s="99">
        <f>G40+'28'!H40</f>
        <v>378.81999999999971</v>
      </c>
      <c r="I40" s="95"/>
      <c r="J40" s="175">
        <f>H40/DAY(B2)</f>
        <v>13.062758620689646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67675.429999999993</v>
      </c>
      <c r="F42" s="145">
        <v>71900.37</v>
      </c>
      <c r="G42" s="112">
        <f t="shared" si="3"/>
        <v>4224.9400000000023</v>
      </c>
      <c r="H42" s="99">
        <f>G42+'28'!H42</f>
        <v>-1908.6300000000047</v>
      </c>
      <c r="I42" s="95"/>
      <c r="J42" s="175">
        <f>H42/DAY(B2)</f>
        <v>-65.814827586207059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39532.07</v>
      </c>
      <c r="F43" s="145">
        <v>41991.99</v>
      </c>
      <c r="G43" s="112">
        <f t="shared" si="3"/>
        <v>2459.9199999999983</v>
      </c>
      <c r="H43" s="99">
        <f>G43+'28'!H43</f>
        <v>-5269.0099999999984</v>
      </c>
      <c r="I43" s="95"/>
      <c r="J43" s="175">
        <f>H43/DAY(B2)</f>
        <v>-181.68999999999994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15898.090000000006</v>
      </c>
      <c r="H47" s="99">
        <f>G47+'28'!H47</f>
        <v>1029293.8700000001</v>
      </c>
      <c r="I47" s="95"/>
      <c r="J47" s="175">
        <f>H47/DAY(B2)</f>
        <v>35492.892068965521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267940.40999999997</v>
      </c>
      <c r="F49" s="145">
        <v>269374.25</v>
      </c>
      <c r="G49" s="112">
        <f t="shared" ref="G49:G58" si="4">F49-E49</f>
        <v>1433.8400000000256</v>
      </c>
      <c r="H49" s="99">
        <f>G49+'28'!H49</f>
        <v>282495.25000000006</v>
      </c>
      <c r="I49" s="95"/>
      <c r="J49" s="175">
        <f>H49/DAY(B2)</f>
        <v>9741.2155172413804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21574.2</v>
      </c>
      <c r="F50" s="145">
        <v>22524.6</v>
      </c>
      <c r="G50" s="112">
        <f t="shared" si="4"/>
        <v>950.39999999999782</v>
      </c>
      <c r="H50" s="99">
        <f>G50+'28'!H50</f>
        <v>-2125.4000000000033</v>
      </c>
      <c r="I50" s="95"/>
      <c r="J50" s="175">
        <f>H50/DAY(B2)</f>
        <v>-73.289655172413902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3170.4</v>
      </c>
      <c r="F54" s="145">
        <v>3174.76</v>
      </c>
      <c r="G54" s="112">
        <f t="shared" si="4"/>
        <v>4.3600000000001273</v>
      </c>
      <c r="H54" s="99">
        <f>G54+'28'!H54</f>
        <v>4941.84</v>
      </c>
      <c r="I54" s="95"/>
      <c r="J54" s="175">
        <f>H54/DAY(B2)</f>
        <v>170.40827586206896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-3511</v>
      </c>
      <c r="I55" s="95"/>
      <c r="J55" s="175">
        <f>H55/DAY(B2)</f>
        <v>-121.06896551724138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91702.32</v>
      </c>
      <c r="F58" s="145">
        <v>91883.6</v>
      </c>
      <c r="G58" s="112">
        <f t="shared" si="4"/>
        <v>181.27999999999884</v>
      </c>
      <c r="H58" s="99">
        <f>G58+'28'!H58</f>
        <v>92224.23000000001</v>
      </c>
      <c r="I58" s="95"/>
      <c r="J58" s="175">
        <f>H58/DAY(B2)</f>
        <v>3180.1458620689659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2569.8800000000224</v>
      </c>
      <c r="H59" s="99">
        <f>G59+'28'!H59</f>
        <v>374024.92</v>
      </c>
      <c r="I59" s="95">
        <f>G7-G60</f>
        <v>5032.0299999999734</v>
      </c>
      <c r="J59" s="175">
        <f>H59/DAY(B2)</f>
        <v>12897.411034482759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18467.970000000027</v>
      </c>
      <c r="H60" s="99">
        <f>G60+'28'!H60</f>
        <v>1403318.7899999998</v>
      </c>
      <c r="I60" s="95">
        <f>G13-G60</f>
        <v>32.030000000002474</v>
      </c>
      <c r="J60" s="175">
        <f>H60/DAY(B2)</f>
        <v>48390.30310344827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'28'!F62</f>
        <v>266956</v>
      </c>
      <c r="F62" s="122">
        <v>267087</v>
      </c>
      <c r="G62" s="112">
        <f t="shared" ref="G62:G63" si="5">F62-E62</f>
        <v>131</v>
      </c>
      <c r="H62" s="99">
        <f>G62+'28'!H62</f>
        <v>-126</v>
      </c>
      <c r="I62" s="118"/>
      <c r="J62" s="175">
        <f>H62/DAY(B2)</f>
        <v>-4.3448275862068968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'28'!F63</f>
        <v>212166.1</v>
      </c>
      <c r="F63" s="122">
        <v>212242</v>
      </c>
      <c r="G63" s="112">
        <f t="shared" si="5"/>
        <v>75.899999999994179</v>
      </c>
      <c r="H63" s="99">
        <f>G63+'28'!H63</f>
        <v>-183</v>
      </c>
      <c r="I63" s="118"/>
      <c r="J63" s="175">
        <f>H63/DAY(B2)</f>
        <v>-6.3103448275862073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'28'!F64</f>
        <v>0</v>
      </c>
      <c r="F64" s="122"/>
      <c r="G64" s="112">
        <f>G62+G63</f>
        <v>206.89999999999418</v>
      </c>
      <c r="H64" s="99">
        <f>G64+'28'!H64</f>
        <v>-309</v>
      </c>
      <c r="I64" s="118"/>
      <c r="J64" s="175">
        <f>H64/DAY(B2)</f>
        <v>-10.655172413793103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'28'!F65</f>
        <v>432313</v>
      </c>
      <c r="F65" s="122">
        <v>432417</v>
      </c>
      <c r="G65" s="112">
        <f t="shared" ref="G65:G70" si="6">F65-E65</f>
        <v>104</v>
      </c>
      <c r="H65" s="99">
        <f>G65+'28'!H65</f>
        <v>-197</v>
      </c>
      <c r="I65" s="118"/>
      <c r="J65" s="175">
        <f>H65/DAY(B2)</f>
        <v>-6.7931034482758621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107157</v>
      </c>
      <c r="F66" s="122">
        <v>107177</v>
      </c>
      <c r="G66" s="112">
        <f t="shared" si="6"/>
        <v>20</v>
      </c>
      <c r="H66" s="99">
        <f>G66+'28'!H66</f>
        <v>-37</v>
      </c>
      <c r="I66" s="118"/>
      <c r="J66" s="175">
        <f>H66/DAY(B2)</f>
        <v>-1.2758620689655173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103834</v>
      </c>
      <c r="F67" s="122">
        <v>103862</v>
      </c>
      <c r="G67" s="112">
        <f t="shared" si="6"/>
        <v>28</v>
      </c>
      <c r="H67" s="99">
        <f>G67+'28'!H67</f>
        <v>-66</v>
      </c>
      <c r="I67" s="118"/>
      <c r="J67" s="175">
        <f>H67/DAY(B2)</f>
        <v>-2.2758620689655173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156520</v>
      </c>
      <c r="F68" s="122">
        <v>156560</v>
      </c>
      <c r="G68" s="112">
        <f t="shared" si="6"/>
        <v>40</v>
      </c>
      <c r="H68" s="99">
        <f>G68+'28'!H68</f>
        <v>-60</v>
      </c>
      <c r="I68" s="118"/>
      <c r="J68" s="175">
        <f>H68/DAY(B2)</f>
        <v>-2.0689655172413794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10176</v>
      </c>
      <c r="F69" s="122">
        <v>10194</v>
      </c>
      <c r="G69" s="112">
        <f t="shared" si="6"/>
        <v>18</v>
      </c>
      <c r="H69" s="99">
        <f>G69+'28'!H69</f>
        <v>-20</v>
      </c>
      <c r="I69" s="118"/>
      <c r="J69" s="175">
        <f>H69/DAY(B2)</f>
        <v>-0.68965517241379315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7843</v>
      </c>
      <c r="F70" s="122">
        <v>7849</v>
      </c>
      <c r="G70" s="112">
        <f t="shared" si="6"/>
        <v>6</v>
      </c>
      <c r="H70" s="99">
        <f>G70+'28'!H70</f>
        <v>-13</v>
      </c>
      <c r="I70" s="118"/>
      <c r="J70" s="175">
        <f>H70/DAY(B2)</f>
        <v>-0.44827586206896552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95">
        <f>'28'!F71</f>
        <v>0</v>
      </c>
      <c r="F71" s="152"/>
      <c r="G71" s="153">
        <f>SUM(G65:G70)</f>
        <v>216</v>
      </c>
      <c r="H71" s="99">
        <f>G71+'28'!H71</f>
        <v>-393</v>
      </c>
      <c r="I71" s="154"/>
      <c r="J71" s="175">
        <f>H71/DAY(B2)</f>
        <v>-13.551724137931034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'28'!F74</f>
        <v>891129.92099999997</v>
      </c>
      <c r="F74" s="117">
        <v>891456.32</v>
      </c>
      <c r="G74" s="112">
        <f t="shared" ref="G74:G78" si="7">F74-E74</f>
        <v>326.39899999997579</v>
      </c>
      <c r="H74" s="99">
        <f>G74+'28'!H74</f>
        <v>-575.68000000005122</v>
      </c>
      <c r="I74" s="154"/>
      <c r="J74" s="175">
        <f>H74/DAY(B2)</f>
        <v>-19.851034482760387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243.88999999999942</v>
      </c>
      <c r="I75" s="154"/>
      <c r="J75" s="175">
        <f>H75/DAY(B2)</f>
        <v>8.4099999999999806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'28'!F76</f>
        <v>166906.94</v>
      </c>
      <c r="F76" s="123">
        <v>167000.53</v>
      </c>
      <c r="G76" s="112">
        <f t="shared" si="7"/>
        <v>93.589999999996508</v>
      </c>
      <c r="H76" s="99">
        <f>G76+'28'!H76</f>
        <v>-206.47000000000116</v>
      </c>
      <c r="I76" s="154"/>
      <c r="J76" s="175">
        <f>H76/DAY(B2)</f>
        <v>-7.1196551724138333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'28'!F77</f>
        <v>40190</v>
      </c>
      <c r="F77" s="123">
        <v>40226</v>
      </c>
      <c r="G77" s="112">
        <f t="shared" si="7"/>
        <v>36</v>
      </c>
      <c r="H77" s="99">
        <f>G77+'28'!H77</f>
        <v>-90</v>
      </c>
      <c r="I77" s="154"/>
      <c r="J77" s="175">
        <f>H77/DAY(B2)</f>
        <v>-3.103448275862069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'28'!F78</f>
        <v>9479.9</v>
      </c>
      <c r="F78" s="123">
        <v>9481.2000000000007</v>
      </c>
      <c r="G78" s="112">
        <f t="shared" si="7"/>
        <v>1.3000000000010914</v>
      </c>
      <c r="H78" s="99">
        <f>G78+'28'!H78</f>
        <v>-4.7999999999992724</v>
      </c>
      <c r="I78" s="118"/>
      <c r="J78" s="175">
        <f>H78/DAY(B2)</f>
        <v>-0.16551724137928525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'28'!F79</f>
        <v>0</v>
      </c>
      <c r="F79" s="117"/>
      <c r="G79" s="112">
        <f>G15-SUM(G74:G78)</f>
        <v>642.71100000002662</v>
      </c>
      <c r="H79" s="99">
        <f>G79+'28'!H79</f>
        <v>28525.060000000049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41675.25</v>
      </c>
      <c r="F84" s="164">
        <v>41675.26</v>
      </c>
      <c r="G84" s="112">
        <f t="shared" si="8"/>
        <v>1.0000000002037268E-2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2060.0700000000002</v>
      </c>
      <c r="F85" s="164">
        <v>2083.59</v>
      </c>
      <c r="G85" s="112">
        <f t="shared" si="8"/>
        <v>23.519999999999982</v>
      </c>
      <c r="H85" s="99">
        <f>G85+'28'!H85</f>
        <v>-12.9699999999998</v>
      </c>
      <c r="I85" s="118">
        <f>G82+G83+G84+G85</f>
        <v>23.530000000002019</v>
      </c>
      <c r="J85" s="175">
        <f>H85/DAY(B2)</f>
        <v>-0.44724137931033792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42826</v>
      </c>
      <c r="F86" s="164">
        <v>42826.07</v>
      </c>
      <c r="G86" s="112">
        <f t="shared" si="8"/>
        <v>6.9999999999708962E-2</v>
      </c>
      <c r="H86" s="99">
        <f>G86+'28'!H86</f>
        <v>-36.930000000000291</v>
      </c>
      <c r="I86" s="118"/>
      <c r="J86" s="175">
        <f>H86/DAY(B2)</f>
        <v>-1.2734482758620791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24040.87</v>
      </c>
      <c r="F88" s="164">
        <v>24041.06</v>
      </c>
      <c r="G88" s="112">
        <f t="shared" si="8"/>
        <v>0.19000000000232831</v>
      </c>
      <c r="H88" s="99">
        <f>G88+'28'!H88</f>
        <v>-5.9399999999986903</v>
      </c>
      <c r="I88" s="118">
        <f>G86+G87+G88</f>
        <v>0.26000000000203727</v>
      </c>
      <c r="J88" s="175">
        <f>H88/DAY(B2)</f>
        <v>-0.2048275862068514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25641.94</v>
      </c>
      <c r="F89" s="164">
        <v>25651.26</v>
      </c>
      <c r="G89" s="112">
        <f t="shared" si="8"/>
        <v>9.319999999999709</v>
      </c>
      <c r="H89" s="99">
        <f>G89+'28'!H89</f>
        <v>-11.740000000001601</v>
      </c>
      <c r="I89" s="118"/>
      <c r="J89" s="175">
        <f>H89/DAY(B2)</f>
        <v>-0.40482758620695175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71016.929999999993</v>
      </c>
      <c r="F90" s="164">
        <v>71022.03</v>
      </c>
      <c r="G90" s="112">
        <f t="shared" si="8"/>
        <v>5.1000000000058208</v>
      </c>
      <c r="H90" s="99">
        <f>G90+'28'!H90</f>
        <v>34.029999999998836</v>
      </c>
      <c r="I90" s="118">
        <f>G89+G90</f>
        <v>14.42000000000553</v>
      </c>
      <c r="J90" s="175">
        <f>H90/DAY(B2)</f>
        <v>1.1734482758620288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5406.68</v>
      </c>
      <c r="F92" s="122">
        <v>5418.13</v>
      </c>
      <c r="G92" s="112">
        <f t="shared" si="8"/>
        <v>11.449999999999818</v>
      </c>
      <c r="H92" s="99">
        <f>G92+'28'!H92</f>
        <v>-19.869999999999891</v>
      </c>
      <c r="I92" s="165"/>
      <c r="J92" s="175">
        <f>H92/DAY(B2)</f>
        <v>-0.68517241379309968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5765.480000000025</v>
      </c>
      <c r="H94" s="99">
        <f>G94+'28'!H94</f>
        <v>441313.23</v>
      </c>
      <c r="I94" s="118"/>
      <c r="J94" s="175">
        <f>H94/DAY(B2)</f>
        <v>15217.697586206896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0.24533957446808616</v>
      </c>
      <c r="H95" s="99">
        <f>G95+'28'!H95</f>
        <v>19.860780127076225</v>
      </c>
      <c r="I95" s="167"/>
      <c r="J95" s="175">
        <f>H95/DAY(B2)</f>
        <v>0.68485448714055952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4224.9400000000023</v>
      </c>
      <c r="H96" s="99">
        <f>G96+'28'!H96</f>
        <v>-5419.6300000000047</v>
      </c>
      <c r="I96" s="118"/>
      <c r="J96" s="175">
        <f>H96/DAY(B2)</f>
        <v>-186.88379310344843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0.17978468085106392</v>
      </c>
      <c r="H97" s="99">
        <f>G97+'28'!H97</f>
        <v>0.38711957897217153</v>
      </c>
      <c r="I97" s="167"/>
      <c r="J97" s="175">
        <f>H97/DAY(B2)</f>
        <v>1.3348950999040397E-2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2727.320000000007</v>
      </c>
      <c r="H98" s="99">
        <f>G98+'28'!H98</f>
        <v>427286.75</v>
      </c>
      <c r="I98" s="168"/>
      <c r="J98" s="175">
        <f>H98/DAY(B2)</f>
        <v>14734.025862068966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0.11605617021276625</v>
      </c>
      <c r="H99" s="99">
        <f>G99+'28'!H99</f>
        <v>18.728716317175373</v>
      </c>
      <c r="I99" s="168"/>
      <c r="J99" s="175">
        <f>H99/DAY(B2)</f>
        <v>0.64581780404053013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1870.5800000000163</v>
      </c>
      <c r="H100" s="99">
        <f>G100+'28'!H100</f>
        <v>242022.07</v>
      </c>
      <c r="I100" s="118"/>
      <c r="J100" s="175">
        <f>H100/DAY(B2)</f>
        <v>8345.5886206896557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7.9599148936170913E-2</v>
      </c>
      <c r="H101" s="99">
        <f>G101+'28'!H101</f>
        <v>10.634398336900777</v>
      </c>
      <c r="I101" s="168"/>
      <c r="J101" s="175">
        <f>H101/DAY(B2)</f>
        <v>0.366703390927613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1767.6299999999974</v>
      </c>
      <c r="H102" s="99">
        <f>G102+'28'!H102</f>
        <v>-3830.2300000000032</v>
      </c>
      <c r="I102" s="168"/>
      <c r="J102" s="175">
        <f>H102/DAY(B2)</f>
        <v>-132.07689655172425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7.5218297872340315E-2</v>
      </c>
      <c r="H103" s="99">
        <f>G103+'28'!H103</f>
        <v>0.17446407316529067</v>
      </c>
      <c r="I103" s="118"/>
      <c r="J103" s="175">
        <f>H103/DAY(B2)</f>
        <v>6.0160025229410571E-3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1544.4799999999814</v>
      </c>
      <c r="H104" s="99">
        <f>G104+'28'!H104</f>
        <v>204401.71</v>
      </c>
      <c r="I104" s="118"/>
      <c r="J104" s="175">
        <f>H104/DAY(B2)</f>
        <v>7048.3348275862063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6.5722553191488564E-2</v>
      </c>
      <c r="H105" s="99">
        <f>G105+'28'!H105</f>
        <v>9.0152174844942348</v>
      </c>
      <c r="I105" s="187"/>
      <c r="J105" s="188">
        <f>H105/DAY(B2)</f>
        <v>0.31086956843083569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'28'!F112</f>
        <v>55471.73</v>
      </c>
      <c r="F112" s="237">
        <v>53273.53</v>
      </c>
      <c r="G112" s="112">
        <v>5541.25</v>
      </c>
      <c r="H112" s="99">
        <f>G112+'28'!H112</f>
        <v>5331.9800000000032</v>
      </c>
      <c r="I112" s="165"/>
      <c r="J112" s="328">
        <f>H112/DAY(B2)</f>
        <v>183.86137931034494</v>
      </c>
    </row>
    <row r="113" spans="1:18" ht="27.75" x14ac:dyDescent="0.5">
      <c r="A113" s="833" t="s">
        <v>253</v>
      </c>
      <c r="B113" s="834"/>
      <c r="C113" s="835"/>
      <c r="D113" s="146" t="s">
        <v>183</v>
      </c>
      <c r="E113" s="95">
        <f>'28'!F113</f>
        <v>30853.22</v>
      </c>
      <c r="F113" s="237">
        <v>31290.99</v>
      </c>
      <c r="G113" s="112">
        <f t="shared" ref="G113:G123" si="9">F113-E113</f>
        <v>437.77000000000044</v>
      </c>
      <c r="H113" s="99">
        <f>G113+'28'!H113</f>
        <v>-904.0099999999984</v>
      </c>
      <c r="I113" s="165"/>
      <c r="J113" s="328">
        <f>H113/DAY(B2)</f>
        <v>-31.172758620689599</v>
      </c>
    </row>
    <row r="114" spans="1:18" ht="27.75" x14ac:dyDescent="0.5">
      <c r="A114" s="833" t="s">
        <v>254</v>
      </c>
      <c r="B114" s="834"/>
      <c r="C114" s="835"/>
      <c r="D114" s="146" t="s">
        <v>183</v>
      </c>
      <c r="E114" s="95">
        <f>'28'!F114</f>
        <v>24047.77</v>
      </c>
      <c r="F114" s="237">
        <v>24321.7</v>
      </c>
      <c r="G114" s="112">
        <f t="shared" si="9"/>
        <v>273.93000000000029</v>
      </c>
      <c r="H114" s="99">
        <f>G114+'28'!H114</f>
        <v>-682.89999999999964</v>
      </c>
      <c r="I114" s="165"/>
      <c r="J114" s="328">
        <f>H114/DAY(B2)</f>
        <v>-23.548275862068952</v>
      </c>
    </row>
    <row r="115" spans="1:18" ht="27.75" x14ac:dyDescent="0.5">
      <c r="A115" s="833" t="s">
        <v>255</v>
      </c>
      <c r="B115" s="834"/>
      <c r="C115" s="835"/>
      <c r="D115" s="146" t="s">
        <v>183</v>
      </c>
      <c r="E115" s="95">
        <f>'28'!F115</f>
        <v>8758.1299999999992</v>
      </c>
      <c r="F115" s="237">
        <v>8765.64</v>
      </c>
      <c r="G115" s="112">
        <f t="shared" si="9"/>
        <v>7.5100000000002183</v>
      </c>
      <c r="H115" s="99">
        <f>G115+'28'!H115</f>
        <v>-19.360000000000582</v>
      </c>
      <c r="I115" s="165"/>
      <c r="J115" s="328">
        <f>H115/DAY(B2)</f>
        <v>-0.66758620689657178</v>
      </c>
    </row>
    <row r="116" spans="1:18" ht="27.75" x14ac:dyDescent="0.5">
      <c r="A116" s="840" t="s">
        <v>96</v>
      </c>
      <c r="B116" s="841"/>
      <c r="C116" s="842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27.75" x14ac:dyDescent="0.5">
      <c r="A117" s="840" t="s">
        <v>184</v>
      </c>
      <c r="B117" s="841"/>
      <c r="C117" s="842"/>
      <c r="D117" s="146" t="s">
        <v>183</v>
      </c>
      <c r="E117" s="95">
        <f>'28'!F117</f>
        <v>2526.06</v>
      </c>
      <c r="F117" s="237">
        <v>2547.0100000000002</v>
      </c>
      <c r="G117" s="112">
        <f t="shared" si="9"/>
        <v>20.950000000000273</v>
      </c>
      <c r="H117" s="99">
        <f>G117+'28'!H117</f>
        <v>-42.989999999999782</v>
      </c>
      <c r="I117" s="165"/>
      <c r="J117" s="328">
        <f>H117/DAY(B2)</f>
        <v>-1.4824137931034407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'28'!F118</f>
        <v>240490.67</v>
      </c>
      <c r="F118" s="237">
        <v>240930.71</v>
      </c>
      <c r="G118" s="112">
        <f t="shared" si="9"/>
        <v>440.03999999997905</v>
      </c>
      <c r="H118" s="99">
        <f>G118+'28'!H118</f>
        <v>-716.29000000000815</v>
      </c>
      <c r="I118" s="165"/>
      <c r="J118" s="328">
        <f>H118/DAY(B2)</f>
        <v>-24.699655172414076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'28'!F119</f>
        <v>243904.25</v>
      </c>
      <c r="F119" s="237">
        <v>244293.29</v>
      </c>
      <c r="G119" s="112">
        <f t="shared" si="9"/>
        <v>389.04000000000815</v>
      </c>
      <c r="H119" s="99">
        <f>G119+'28'!H119</f>
        <v>-832.70999999999185</v>
      </c>
      <c r="I119" s="165"/>
      <c r="J119" s="328">
        <f>H119/DAY(B2)</f>
        <v>-28.714137931034202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'28'!F120</f>
        <v>28841.64</v>
      </c>
      <c r="F120" s="237">
        <v>29243.51</v>
      </c>
      <c r="G120" s="112">
        <f t="shared" si="9"/>
        <v>401.86999999999898</v>
      </c>
      <c r="H120" s="99">
        <f>G120+'28'!H120</f>
        <v>-834.4900000000016</v>
      </c>
      <c r="I120" s="165"/>
      <c r="J120" s="328">
        <f>H120/DAY(B2)</f>
        <v>-28.775517241379365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'28'!F121</f>
        <v>374219.141</v>
      </c>
      <c r="F121" s="237">
        <v>374958.61</v>
      </c>
      <c r="G121" s="112">
        <f t="shared" si="9"/>
        <v>739.46899999998277</v>
      </c>
      <c r="H121" s="99">
        <f>G121+'28'!H121</f>
        <v>-1570.390000000014</v>
      </c>
      <c r="I121" s="165"/>
      <c r="J121" s="328">
        <f>H121/DAY(B2)</f>
        <v>-54.151379310345312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'28'!F122</f>
        <v>119369.52</v>
      </c>
      <c r="F122" s="237">
        <v>119588.07</v>
      </c>
      <c r="G122" s="112">
        <f t="shared" si="9"/>
        <v>218.55000000000291</v>
      </c>
      <c r="H122" s="99">
        <f>G122+'28'!H122</f>
        <v>-461.92999999999302</v>
      </c>
      <c r="I122" s="165"/>
      <c r="J122" s="328">
        <f>H122/DAY(B2)</f>
        <v>-15.928620689654931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95">
        <f>'28'!F123</f>
        <v>144113.63</v>
      </c>
      <c r="F123" s="237">
        <v>144462.63</v>
      </c>
      <c r="G123" s="112">
        <f t="shared" si="9"/>
        <v>349</v>
      </c>
      <c r="H123" s="99">
        <f>G123+'28'!H123</f>
        <v>-662.36999999999534</v>
      </c>
      <c r="I123" s="165"/>
      <c r="J123" s="328">
        <f>H123/DAY(B2)</f>
        <v>-22.840344827586048</v>
      </c>
    </row>
    <row r="124" spans="1:18" ht="27.75" x14ac:dyDescent="0.5">
      <c r="A124" s="837"/>
      <c r="B124" s="838"/>
      <c r="C124" s="83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8819.3789999999735</v>
      </c>
      <c r="H125" s="156"/>
      <c r="I125" s="327">
        <f>G125-(G39+G53)</f>
        <v>6092.0589999999665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33" t="s">
        <v>318</v>
      </c>
      <c r="B128" s="834"/>
      <c r="C128" s="835"/>
      <c r="D128" s="151" t="s">
        <v>183</v>
      </c>
      <c r="E128" s="95">
        <f>'28'!F128</f>
        <v>36930.68</v>
      </c>
      <c r="F128" s="165">
        <v>37254.01</v>
      </c>
      <c r="G128" s="112">
        <f t="shared" ref="G128:G134" si="10">F128-E128</f>
        <v>323.33000000000175</v>
      </c>
      <c r="H128" s="99">
        <f>G128+'28'!H128</f>
        <v>-749.98999999999796</v>
      </c>
      <c r="I128" s="165"/>
      <c r="J128" s="328">
        <f>H128/DAY(B2)</f>
        <v>-25.861724137930963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19701.93</v>
      </c>
      <c r="F129" s="165">
        <v>19911.98</v>
      </c>
      <c r="G129" s="112">
        <f t="shared" si="10"/>
        <v>210.04999999999927</v>
      </c>
      <c r="H129" s="99">
        <f>G129+'28'!H129</f>
        <v>-409.02000000000044</v>
      </c>
      <c r="I129" s="165"/>
      <c r="J129" s="328">
        <f>H129/DAY(B2)</f>
        <v>-14.104137931034497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15841.03</v>
      </c>
      <c r="F130" s="165">
        <v>16637.02</v>
      </c>
      <c r="G130" s="112">
        <f t="shared" si="10"/>
        <v>795.98999999999978</v>
      </c>
      <c r="H130" s="99">
        <f>G130+'28'!H130</f>
        <v>-1744.9799999999996</v>
      </c>
      <c r="I130" s="165"/>
      <c r="J130" s="328">
        <f>H130/DAY(B2)</f>
        <v>-60.171724137931022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'28'!F131</f>
        <v>12900.78</v>
      </c>
      <c r="F131" s="165">
        <v>13006.7</v>
      </c>
      <c r="G131" s="112">
        <f t="shared" si="10"/>
        <v>105.92000000000007</v>
      </c>
      <c r="H131" s="99">
        <f>G131+'28'!H131</f>
        <v>-146.29999999999927</v>
      </c>
      <c r="I131" s="165"/>
      <c r="J131" s="328">
        <f>H131/DAY(B2)</f>
        <v>-5.0448275862068712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'28'!F132</f>
        <v>39678.32</v>
      </c>
      <c r="F132" s="165">
        <v>40127.279999999999</v>
      </c>
      <c r="G132" s="112">
        <f t="shared" si="10"/>
        <v>448.95999999999913</v>
      </c>
      <c r="H132" s="99">
        <f>G132+'28'!H132</f>
        <v>-36085.350000000006</v>
      </c>
      <c r="I132" s="165"/>
      <c r="J132" s="328">
        <f>H132/DAY(B2)</f>
        <v>-1244.3224137931036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'28'!F133</f>
        <v>85760.93</v>
      </c>
      <c r="F133" s="165">
        <v>86468.29</v>
      </c>
      <c r="G133" s="112">
        <f t="shared" si="10"/>
        <v>707.36000000000058</v>
      </c>
      <c r="H133" s="99">
        <f>G133+'28'!H133</f>
        <v>-1234.7100000000064</v>
      </c>
      <c r="I133" s="165"/>
      <c r="J133" s="328">
        <f>H133/DAY(B2)</f>
        <v>-42.576206896551945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'28'!F134</f>
        <v>666995</v>
      </c>
      <c r="F134" s="165">
        <v>667634</v>
      </c>
      <c r="G134" s="112">
        <f t="shared" si="10"/>
        <v>639</v>
      </c>
      <c r="H134" s="99">
        <f>G134+'28'!H134</f>
        <v>669928</v>
      </c>
      <c r="I134" s="165"/>
      <c r="J134" s="328">
        <f>H134/DAY(B2)</f>
        <v>23100.96551724138</v>
      </c>
    </row>
    <row r="135" spans="1:15" ht="27.75" x14ac:dyDescent="0.5">
      <c r="A135" s="817" t="s">
        <v>196</v>
      </c>
      <c r="B135" s="818"/>
      <c r="C135" s="331"/>
      <c r="D135" s="151"/>
      <c r="E135" s="95"/>
      <c r="F135" s="165"/>
      <c r="G135" s="112">
        <f>SUM(G127:G134)</f>
        <v>3230.6100000000006</v>
      </c>
      <c r="H135" s="99">
        <f>G135+'23'!H135</f>
        <v>37253.9</v>
      </c>
      <c r="I135" s="327">
        <f>G135-(G35+G49)</f>
        <v>-74.950000000026193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'28'!F138</f>
        <v>863869</v>
      </c>
      <c r="F138" s="147">
        <v>863973</v>
      </c>
      <c r="G138" s="112">
        <f t="shared" ref="G138:G152" si="11">F138-E138</f>
        <v>104</v>
      </c>
      <c r="H138" s="99">
        <f>G138+'28'!H138</f>
        <v>-198</v>
      </c>
      <c r="I138" s="118"/>
      <c r="J138" s="328">
        <f>H138/DAY(B2)</f>
        <v>-6.8275862068965516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'28'!F139</f>
        <v>886544</v>
      </c>
      <c r="F139" s="148">
        <v>886545</v>
      </c>
      <c r="G139" s="112">
        <f t="shared" si="11"/>
        <v>1</v>
      </c>
      <c r="H139" s="99">
        <f>G139+'28'!H139</f>
        <v>-1</v>
      </c>
      <c r="I139" s="118"/>
      <c r="J139" s="328">
        <f>H139/DAY(B2)</f>
        <v>-3.4482758620689655E-2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'28'!F140</f>
        <v>88882</v>
      </c>
      <c r="F140" s="149">
        <v>88882</v>
      </c>
      <c r="G140" s="112">
        <f t="shared" si="11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'28'!F141</f>
        <v>48738.38</v>
      </c>
      <c r="F141" s="149">
        <v>48918.58</v>
      </c>
      <c r="G141" s="112">
        <f t="shared" si="11"/>
        <v>180.20000000000437</v>
      </c>
      <c r="H141" s="99">
        <f>G141+'28'!H141</f>
        <v>-387.41999999999825</v>
      </c>
      <c r="I141" s="118"/>
      <c r="J141" s="328">
        <f>H141/DAY(B2)</f>
        <v>-13.359310344827525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'28'!F142</f>
        <v>18783.34</v>
      </c>
      <c r="F142" s="148">
        <v>18855.740000000002</v>
      </c>
      <c r="G142" s="112">
        <f t="shared" si="11"/>
        <v>72.400000000001455</v>
      </c>
      <c r="H142" s="99">
        <f>G142+'28'!H142</f>
        <v>-153.2599999999984</v>
      </c>
      <c r="I142" s="140"/>
      <c r="J142" s="328">
        <f>H142/DAY(B2)</f>
        <v>-5.2848275862068412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'28'!F143</f>
        <v>2992.89</v>
      </c>
      <c r="F143" s="149">
        <v>3016.9</v>
      </c>
      <c r="G143" s="112">
        <f t="shared" si="11"/>
        <v>24.010000000000218</v>
      </c>
      <c r="H143" s="99">
        <f>G143+'28'!H143</f>
        <v>-44.099999999999909</v>
      </c>
      <c r="I143" s="140"/>
      <c r="J143" s="328">
        <f>H143/DAY(B2)</f>
        <v>-1.5206896551724107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'28'!F144</f>
        <v>868966</v>
      </c>
      <c r="F144" s="149">
        <v>869213</v>
      </c>
      <c r="G144" s="112">
        <f t="shared" si="11"/>
        <v>247</v>
      </c>
      <c r="H144" s="99">
        <f>G144+'28'!H144</f>
        <v>-457</v>
      </c>
      <c r="I144" s="140"/>
      <c r="J144" s="328">
        <f>H144/DAY(B2)</f>
        <v>-15.758620689655173</v>
      </c>
    </row>
    <row r="145" spans="1:10" ht="27.75" x14ac:dyDescent="0.5">
      <c r="A145" s="832" t="s">
        <v>190</v>
      </c>
      <c r="B145" s="832"/>
      <c r="C145" s="832"/>
      <c r="D145" s="152" t="s">
        <v>183</v>
      </c>
      <c r="E145" s="95">
        <f>'28'!F145</f>
        <v>4518.78</v>
      </c>
      <c r="F145" s="149">
        <v>4530</v>
      </c>
      <c r="G145" s="112">
        <f t="shared" si="11"/>
        <v>11.220000000000255</v>
      </c>
      <c r="H145" s="99">
        <f>G145+'28'!H145</f>
        <v>-28</v>
      </c>
      <c r="I145" s="140"/>
      <c r="J145" s="328">
        <f>H145/DAY(B2)</f>
        <v>-0.96551724137931039</v>
      </c>
    </row>
    <row r="146" spans="1:10" ht="27.75" x14ac:dyDescent="0.5">
      <c r="A146" s="867" t="s">
        <v>191</v>
      </c>
      <c r="B146" s="852"/>
      <c r="C146" s="853"/>
      <c r="D146" s="152" t="s">
        <v>183</v>
      </c>
      <c r="E146" s="95">
        <f>'28'!F146</f>
        <v>723472</v>
      </c>
      <c r="F146" s="148">
        <v>723915</v>
      </c>
      <c r="G146" s="112">
        <f t="shared" si="11"/>
        <v>443</v>
      </c>
      <c r="H146" s="99">
        <f>G146+'28'!H146</f>
        <v>-943</v>
      </c>
      <c r="I146" s="140"/>
      <c r="J146" s="328">
        <f>H146/DAY(B2)</f>
        <v>-32.517241379310342</v>
      </c>
    </row>
    <row r="147" spans="1:10" ht="27.75" x14ac:dyDescent="0.5">
      <c r="A147" s="813" t="s">
        <v>192</v>
      </c>
      <c r="B147" s="813"/>
      <c r="C147" s="813"/>
      <c r="D147" s="152" t="s">
        <v>183</v>
      </c>
      <c r="E147" s="95">
        <f>'28'!F147</f>
        <v>614078.76</v>
      </c>
      <c r="F147" s="148">
        <v>614450.28</v>
      </c>
      <c r="G147" s="112">
        <f t="shared" si="11"/>
        <v>371.52000000001863</v>
      </c>
      <c r="H147" s="99">
        <f>G147+'28'!H147</f>
        <v>-831.71999999997206</v>
      </c>
      <c r="I147" s="140"/>
      <c r="J147" s="328">
        <f>H147/DAY(B2)</f>
        <v>-28.679999999999037</v>
      </c>
    </row>
    <row r="148" spans="1:10" ht="27.75" x14ac:dyDescent="0.5">
      <c r="A148" s="814" t="s">
        <v>193</v>
      </c>
      <c r="B148" s="815"/>
      <c r="C148" s="816"/>
      <c r="D148" s="123" t="s">
        <v>130</v>
      </c>
      <c r="E148" s="95">
        <f>'28'!F148</f>
        <v>682204.08</v>
      </c>
      <c r="F148" s="150">
        <v>682450.96</v>
      </c>
      <c r="G148" s="112">
        <f t="shared" si="11"/>
        <v>246.88000000000466</v>
      </c>
      <c r="H148" s="99">
        <f>G148+'28'!H148</f>
        <v>-582.1600000000326</v>
      </c>
      <c r="I148" s="124"/>
      <c r="J148" s="328">
        <f>H148/DAY(B2)</f>
        <v>-20.074482758621812</v>
      </c>
    </row>
    <row r="149" spans="1:10" ht="27.75" x14ac:dyDescent="0.5">
      <c r="A149" s="814" t="s">
        <v>336</v>
      </c>
      <c r="B149" s="815"/>
      <c r="C149" s="816"/>
      <c r="D149" s="227" t="s">
        <v>130</v>
      </c>
      <c r="E149" s="95">
        <f>'28'!F149</f>
        <v>9193.01</v>
      </c>
      <c r="F149" s="146">
        <v>9770.5</v>
      </c>
      <c r="G149" s="112">
        <f t="shared" si="11"/>
        <v>577.48999999999978</v>
      </c>
      <c r="H149" s="99">
        <f>G149+'28'!H149</f>
        <v>13822.759999999997</v>
      </c>
      <c r="I149" s="119"/>
      <c r="J149" s="328">
        <f>H149/DAY(B2)</f>
        <v>476.64689655172401</v>
      </c>
    </row>
    <row r="150" spans="1:10" ht="27.75" x14ac:dyDescent="0.5">
      <c r="A150" s="814" t="s">
        <v>337</v>
      </c>
      <c r="B150" s="815"/>
      <c r="C150" s="816"/>
      <c r="D150" s="117" t="s">
        <v>130</v>
      </c>
      <c r="E150" s="95">
        <f>'28'!F150</f>
        <v>3385.75</v>
      </c>
      <c r="F150" s="233">
        <v>3603.3</v>
      </c>
      <c r="G150" s="112">
        <f t="shared" si="11"/>
        <v>217.55000000000018</v>
      </c>
      <c r="H150" s="99">
        <f>G150+'28'!H150</f>
        <v>-448.69999999999982</v>
      </c>
      <c r="I150" s="119"/>
      <c r="J150" s="328">
        <f>H150/DAY(B2)</f>
        <v>-15.472413793103442</v>
      </c>
    </row>
    <row r="151" spans="1:10" ht="27.75" x14ac:dyDescent="0.5">
      <c r="A151" s="814" t="s">
        <v>338</v>
      </c>
      <c r="B151" s="815"/>
      <c r="C151" s="816"/>
      <c r="D151" s="117" t="s">
        <v>130</v>
      </c>
      <c r="E151" s="95">
        <f>'28'!F151</f>
        <v>77480</v>
      </c>
      <c r="F151" s="233">
        <v>77703</v>
      </c>
      <c r="G151" s="112">
        <f t="shared" si="11"/>
        <v>223</v>
      </c>
      <c r="H151" s="99">
        <f>G151+'28'!H151</f>
        <v>-514</v>
      </c>
      <c r="I151" s="119"/>
      <c r="J151" s="328">
        <f>H151/DAY(B2)</f>
        <v>-17.724137931034484</v>
      </c>
    </row>
    <row r="152" spans="1:10" ht="27.75" x14ac:dyDescent="0.5">
      <c r="A152" s="814" t="s">
        <v>339</v>
      </c>
      <c r="B152" s="815"/>
      <c r="C152" s="816"/>
      <c r="D152" s="117" t="s">
        <v>130</v>
      </c>
      <c r="E152" s="95">
        <f>'28'!F152</f>
        <v>983.48</v>
      </c>
      <c r="F152" s="233">
        <v>1030</v>
      </c>
      <c r="G152" s="112">
        <f t="shared" si="11"/>
        <v>46.519999999999982</v>
      </c>
      <c r="H152" s="99">
        <f>G152+'28'!H152</f>
        <v>-97</v>
      </c>
      <c r="I152" s="119"/>
      <c r="J152" s="328">
        <f>H152/DAY(B2)</f>
        <v>-3.3448275862068964</v>
      </c>
    </row>
    <row r="153" spans="1:10" ht="27.75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2765.7900000000295</v>
      </c>
      <c r="H153" s="363"/>
      <c r="I153" s="119">
        <f>G153-(G38+G52)</f>
        <v>895.21000000001322</v>
      </c>
      <c r="J153" s="366"/>
    </row>
    <row r="154" spans="1:10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1.5" x14ac:dyDescent="0.55000000000000004">
      <c r="A155" s="813" t="s">
        <v>345</v>
      </c>
      <c r="B155" s="813"/>
      <c r="C155" s="813"/>
      <c r="D155" s="117" t="s">
        <v>130</v>
      </c>
      <c r="E155" s="95">
        <f>'28'!F155</f>
        <v>10784</v>
      </c>
      <c r="F155" s="364">
        <v>11473</v>
      </c>
      <c r="G155" s="112">
        <f t="shared" ref="G155:G158" si="12">F155-E155</f>
        <v>689</v>
      </c>
      <c r="H155" s="99">
        <f>G155+'28'!H155</f>
        <v>-1999</v>
      </c>
      <c r="I155" s="364"/>
      <c r="J155" s="328">
        <f>H155/DAY(B2)</f>
        <v>-68.931034482758619</v>
      </c>
    </row>
    <row r="156" spans="1:10" ht="27.75" x14ac:dyDescent="0.5">
      <c r="A156" s="813" t="s">
        <v>347</v>
      </c>
      <c r="B156" s="813"/>
      <c r="C156" s="813"/>
      <c r="D156" s="117" t="s">
        <v>130</v>
      </c>
      <c r="E156" s="95">
        <f>'28'!F156</f>
        <v>872</v>
      </c>
      <c r="F156" s="165">
        <f>872+61</f>
        <v>933</v>
      </c>
      <c r="G156" s="112">
        <f t="shared" si="12"/>
        <v>61</v>
      </c>
      <c r="H156" s="99">
        <f>G156+'28'!H156</f>
        <v>-154.99999999999989</v>
      </c>
      <c r="I156" s="165"/>
      <c r="J156" s="328">
        <f>H156/DAY(B2)</f>
        <v>-5.3448275862068924</v>
      </c>
    </row>
    <row r="157" spans="1:10" ht="27.75" x14ac:dyDescent="0.5">
      <c r="A157" s="814" t="s">
        <v>364</v>
      </c>
      <c r="B157" s="815"/>
      <c r="C157" s="816"/>
      <c r="D157" s="117" t="s">
        <v>130</v>
      </c>
      <c r="E157" s="95">
        <f>'28'!F157</f>
        <v>0</v>
      </c>
      <c r="F157" s="165">
        <v>0</v>
      </c>
      <c r="G157" s="112">
        <f t="shared" si="12"/>
        <v>0</v>
      </c>
      <c r="H157" s="99"/>
      <c r="I157" s="165"/>
      <c r="J157" s="328"/>
    </row>
    <row r="158" spans="1:10" ht="27.75" x14ac:dyDescent="0.5">
      <c r="A158" s="814" t="s">
        <v>365</v>
      </c>
      <c r="B158" s="815"/>
      <c r="C158" s="816"/>
      <c r="D158" s="117" t="s">
        <v>130</v>
      </c>
      <c r="E158" s="95">
        <f>'28'!F158</f>
        <v>1.46</v>
      </c>
      <c r="F158" s="165">
        <v>1.5</v>
      </c>
      <c r="G158" s="112">
        <f t="shared" si="12"/>
        <v>4.0000000000000036E-2</v>
      </c>
      <c r="H158" s="99"/>
      <c r="I158" s="165"/>
      <c r="J158" s="328"/>
    </row>
    <row r="159" spans="1:10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471152</v>
      </c>
      <c r="F161" s="235">
        <v>471152.04</v>
      </c>
      <c r="G161" s="238">
        <f t="shared" ref="G161:G165" si="13">F161-E161</f>
        <v>3.9999999979045242E-2</v>
      </c>
      <c r="H161" s="99">
        <f>G161+'28'!H161</f>
        <v>-1.1199999999953434</v>
      </c>
      <c r="I161" s="236"/>
      <c r="J161" s="239">
        <f>H161/DAY(B2)</f>
        <v>-3.8620689655011843E-2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87481.2</v>
      </c>
      <c r="F162" s="235">
        <v>87511.6</v>
      </c>
      <c r="G162" s="238">
        <f t="shared" si="13"/>
        <v>30.400000000008731</v>
      </c>
      <c r="H162" s="99">
        <f>G162+'28'!H162</f>
        <v>-58.399999999994179</v>
      </c>
      <c r="I162" s="236"/>
      <c r="J162" s="239">
        <f>H162/DAY(B2)</f>
        <v>-2.0137931034480752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77645.399999999994</v>
      </c>
      <c r="F163" s="235">
        <v>77753.8</v>
      </c>
      <c r="G163" s="238">
        <f t="shared" si="13"/>
        <v>108.40000000000873</v>
      </c>
      <c r="H163" s="99">
        <f>G163+'28'!H163</f>
        <v>-71.19999999999709</v>
      </c>
      <c r="I163" s="236"/>
      <c r="J163" s="239">
        <f>H163/DAY(B2)</f>
        <v>-2.4551724137930031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4235.5</v>
      </c>
      <c r="F164" s="235">
        <v>4241.2</v>
      </c>
      <c r="G164" s="238">
        <f t="shared" si="13"/>
        <v>5.6999999999998181</v>
      </c>
      <c r="H164" s="99">
        <f>G164+'28'!H164</f>
        <v>-0.8000000000001819</v>
      </c>
      <c r="I164" s="236"/>
      <c r="J164" s="239">
        <f>H164/DAY(B2)</f>
        <v>-2.7586206896557997E-2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29629.22</v>
      </c>
      <c r="F165" s="235">
        <v>29635.200000000001</v>
      </c>
      <c r="G165" s="238">
        <f t="shared" si="13"/>
        <v>5.9799999999995634</v>
      </c>
      <c r="H165" s="99">
        <f>G165+'28'!H165</f>
        <v>-10.799999999999272</v>
      </c>
      <c r="I165" s="236"/>
      <c r="J165" s="239">
        <f>H165/DAY(B2)</f>
        <v>-0.37241379310342321</v>
      </c>
    </row>
    <row r="166" spans="1:10" ht="29.25" x14ac:dyDescent="0.5">
      <c r="A166" s="822"/>
      <c r="B166" s="82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'28'!F174</f>
        <v>38252</v>
      </c>
      <c r="F174" s="157">
        <v>38262</v>
      </c>
      <c r="G174" s="155">
        <f t="shared" ref="G174:G175" si="14">F174-E174</f>
        <v>10</v>
      </c>
      <c r="H174" s="99">
        <f>G174+'28'!H174</f>
        <v>-31</v>
      </c>
      <c r="I174" s="155"/>
      <c r="J174" s="178">
        <f>H174/DAY(B2)</f>
        <v>-1.0689655172413792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'28'!F175</f>
        <v>21486</v>
      </c>
      <c r="F175" s="155">
        <v>21498</v>
      </c>
      <c r="G175" s="155">
        <f t="shared" si="14"/>
        <v>12</v>
      </c>
      <c r="H175" s="99">
        <f>G175+'28'!H175</f>
        <v>-20</v>
      </c>
      <c r="I175" s="155"/>
      <c r="J175" s="178">
        <f>H175/DAY(B2)</f>
        <v>-0.68965517241379315</v>
      </c>
    </row>
    <row r="176" spans="1:10" ht="27.75" x14ac:dyDescent="0.5">
      <c r="A176" s="817" t="s">
        <v>196</v>
      </c>
      <c r="B176" s="818"/>
      <c r="C176" s="485"/>
      <c r="D176" s="228"/>
      <c r="E176" s="95"/>
      <c r="F176" s="155"/>
      <c r="G176" s="155">
        <f>SUM(G173:G175)</f>
        <v>22</v>
      </c>
      <c r="H176" s="99">
        <f>G176+'28'!H176</f>
        <v>-51</v>
      </c>
      <c r="I176" s="155"/>
      <c r="J176" s="178">
        <f>H176/DAY(B2)</f>
        <v>-1.7586206896551724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'28'!F178</f>
        <v>79402</v>
      </c>
      <c r="F178" s="155">
        <v>79497</v>
      </c>
      <c r="G178" s="155">
        <f>F178-E178</f>
        <v>95</v>
      </c>
      <c r="H178" s="99">
        <f>G178+'28'!H178</f>
        <v>-117</v>
      </c>
      <c r="I178" s="155"/>
      <c r="J178" s="178">
        <f>H178/DAY(B2)</f>
        <v>-4.0344827586206895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'28'!F179</f>
        <v>33915</v>
      </c>
      <c r="F179" s="155">
        <v>33915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'28'!F180</f>
        <v>5463</v>
      </c>
      <c r="F180" s="155">
        <v>5471</v>
      </c>
      <c r="G180" s="155">
        <f t="shared" si="15"/>
        <v>8</v>
      </c>
      <c r="H180" s="99">
        <f>G180+'28'!H180</f>
        <v>-6</v>
      </c>
      <c r="I180" s="155"/>
      <c r="J180" s="178">
        <f>H180/DAY(B2)</f>
        <v>-0.20689655172413793</v>
      </c>
    </row>
    <row r="181" spans="1:10" ht="27.75" x14ac:dyDescent="0.5">
      <c r="A181" s="828" t="s">
        <v>108</v>
      </c>
      <c r="B181" s="829"/>
      <c r="C181" s="485"/>
      <c r="D181" s="228"/>
      <c r="E181" s="95"/>
      <c r="F181" s="155"/>
      <c r="G181" s="155">
        <f>SUM(G178:G180)</f>
        <v>103</v>
      </c>
      <c r="H181" s="99">
        <f>G181+'28'!H181</f>
        <v>-123</v>
      </c>
      <c r="I181" s="155"/>
      <c r="J181" s="178">
        <f>H181/DAY(B2)</f>
        <v>-4.2413793103448274</v>
      </c>
    </row>
    <row r="182" spans="1:10" ht="27.75" x14ac:dyDescent="0.5">
      <c r="A182" s="826" t="s">
        <v>213</v>
      </c>
      <c r="B182" s="82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'28'!F183</f>
        <v>14901</v>
      </c>
      <c r="F183" s="157">
        <v>14923</v>
      </c>
      <c r="G183" s="157">
        <f>F183-E183</f>
        <v>22</v>
      </c>
      <c r="H183" s="99">
        <f>G183+'28'!H183</f>
        <v>-24</v>
      </c>
      <c r="I183" s="155"/>
      <c r="J183" s="178">
        <f>H183/DAY(B2)</f>
        <v>-0.82758620689655171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'28'!F184</f>
        <v>10282</v>
      </c>
      <c r="F184" s="157">
        <v>10289</v>
      </c>
      <c r="G184" s="157">
        <f t="shared" ref="G184:G185" si="16">F184-E184</f>
        <v>7</v>
      </c>
      <c r="H184" s="99">
        <f>G184+'28'!H184</f>
        <v>-12</v>
      </c>
      <c r="I184" s="155"/>
      <c r="J184" s="178">
        <f>H184/DAY(B2)</f>
        <v>-0.41379310344827586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9"/>
      <c r="E186" s="95"/>
      <c r="F186" s="157"/>
      <c r="G186" s="157">
        <f>SUM(G183:G185)</f>
        <v>29</v>
      </c>
      <c r="H186" s="99">
        <f>G186+'28'!H186</f>
        <v>-36</v>
      </c>
      <c r="I186" s="157"/>
      <c r="J186" s="178">
        <f>H186/DAY(B2)</f>
        <v>-1.2413793103448276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>
        <f>'28'!F187</f>
        <v>0</v>
      </c>
      <c r="F187" s="159"/>
      <c r="G187" s="596">
        <f>G62+G19</f>
        <v>186</v>
      </c>
      <c r="H187" s="99">
        <f>G187+'28'!H187</f>
        <v>1433</v>
      </c>
      <c r="I187" s="158"/>
      <c r="J187" s="179">
        <f>H187/DAY(B2)</f>
        <v>49.413793103448278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>
        <f>'28'!F188</f>
        <v>0</v>
      </c>
      <c r="F188" s="159"/>
      <c r="G188" s="596">
        <f>G65+G66+G67+G69+G70</f>
        <v>176</v>
      </c>
      <c r="H188" s="99">
        <f>G188+'28'!H188</f>
        <v>-2127</v>
      </c>
      <c r="I188" s="158"/>
      <c r="J188" s="179">
        <f>H188/DAY(B2)</f>
        <v>-73.34482758620689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'28'!F189</f>
        <v>0</v>
      </c>
      <c r="F189" s="157"/>
      <c r="G189" s="501">
        <f>G181</f>
        <v>103</v>
      </c>
      <c r="H189" s="99">
        <f>G189+'28'!H189</f>
        <v>-1713</v>
      </c>
      <c r="I189" s="158"/>
      <c r="J189" s="179">
        <f>H189/DAY(B2)</f>
        <v>-59.068965517241381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0.75" customHeight="1" x14ac:dyDescent="0.5">
      <c r="A2" s="191" t="s">
        <v>357</v>
      </c>
      <c r="B2" s="262">
        <v>44560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70500</v>
      </c>
      <c r="F7" s="95">
        <f>E7+23500</f>
        <v>94000</v>
      </c>
      <c r="G7" s="112">
        <f>F7-E7</f>
        <v>23500</v>
      </c>
      <c r="H7" s="99">
        <f>G7+'29'!H7</f>
        <v>618826</v>
      </c>
      <c r="I7" s="113">
        <f>'1'!I7</f>
        <v>12000</v>
      </c>
      <c r="J7" s="175">
        <f>H7/DAY(B2)</f>
        <v>20627.533333333333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110065</v>
      </c>
      <c r="F8" s="95">
        <f>E8+23500</f>
        <v>133565</v>
      </c>
      <c r="G8" s="112">
        <f>F8-E8</f>
        <v>23500</v>
      </c>
      <c r="H8" s="99">
        <f>G8+'29'!H8</f>
        <v>616912.83000000007</v>
      </c>
      <c r="I8" s="116"/>
      <c r="J8" s="175">
        <f>H8/DAY(B2)</f>
        <v>20563.761000000002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263695.53000000003</v>
      </c>
      <c r="F9" s="601">
        <f>E9+14000</f>
        <v>277695.53000000003</v>
      </c>
      <c r="G9" s="357">
        <f>F9-E9</f>
        <v>14000</v>
      </c>
      <c r="H9" s="99">
        <f>G9+'29'!H9</f>
        <v>376200.53</v>
      </c>
      <c r="I9" s="124">
        <f>I7-J7</f>
        <v>-8627.5333333333328</v>
      </c>
      <c r="J9" s="175">
        <f>H9/DAY(B2)</f>
        <v>12540.017666666668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106922.18</v>
      </c>
      <c r="F10" s="353">
        <f>E10+4500</f>
        <v>111422.18</v>
      </c>
      <c r="G10" s="112">
        <f t="shared" ref="G10:G12" si="0">F10-E10</f>
        <v>4500</v>
      </c>
      <c r="H10" s="99">
        <f>G10+'29'!H10</f>
        <v>166328.18</v>
      </c>
      <c r="I10" s="282"/>
      <c r="J10" s="175">
        <f>H10/DAY(B2)</f>
        <v>5544.2726666666667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33300</v>
      </c>
      <c r="I11" s="282"/>
      <c r="J11" s="175">
        <f>H11/DAY(B2)</f>
        <v>1110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36009</v>
      </c>
      <c r="I12" s="282"/>
      <c r="J12" s="175">
        <f>H12/DAY(B2)</f>
        <v>1200.3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G13+'29'!H13</f>
        <v>592372.46</v>
      </c>
      <c r="I13" s="120">
        <f>G7-G13</f>
        <v>5000</v>
      </c>
      <c r="J13" s="175">
        <f>H13/DAY(B2)</f>
        <v>19745.748666666666</v>
      </c>
      <c r="K13" s="79"/>
      <c r="L13" s="66"/>
      <c r="N13" s="87"/>
      <c r="O13" s="71"/>
    </row>
    <row r="14" spans="1:15" ht="30.75" customHeight="1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1906322</v>
      </c>
      <c r="F15" s="123">
        <f>E15+1100</f>
        <v>1907422</v>
      </c>
      <c r="G15" s="112">
        <f>(F15-E15)</f>
        <v>1100</v>
      </c>
      <c r="H15" s="99">
        <f>G15+'29'!H15</f>
        <v>28992</v>
      </c>
      <c r="I15" s="113">
        <f>'1'!I15</f>
        <v>800</v>
      </c>
      <c r="J15" s="175">
        <f>H15/DAY(B2)</f>
        <v>966.4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-166.39999999999998</v>
      </c>
      <c r="J16" s="176"/>
      <c r="K16" s="79"/>
      <c r="L16" s="66"/>
      <c r="N16" s="87"/>
      <c r="O16" s="71"/>
    </row>
    <row r="17" spans="1:15" ht="30.75" customHeight="1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4" t="s">
        <v>141</v>
      </c>
      <c r="B18" s="855"/>
      <c r="C18" s="856"/>
      <c r="D18" s="151" t="s">
        <v>142</v>
      </c>
      <c r="E18" s="95">
        <f>'29'!F18</f>
        <v>142</v>
      </c>
      <c r="F18" s="122">
        <f>E18+12</f>
        <v>154</v>
      </c>
      <c r="G18" s="119">
        <f>F18*10</f>
        <v>1540</v>
      </c>
      <c r="H18" s="99">
        <f>G18+'29'!H18</f>
        <v>12480</v>
      </c>
      <c r="I18" s="113">
        <f>'1'!I18</f>
        <v>65</v>
      </c>
      <c r="J18" s="175">
        <f>H18/DAY(B2)</f>
        <v>416</v>
      </c>
      <c r="K18" s="79"/>
      <c r="L18" s="66"/>
      <c r="N18" s="87"/>
      <c r="O18" s="71"/>
    </row>
    <row r="19" spans="1:15" ht="30.75" customHeight="1" x14ac:dyDescent="0.5">
      <c r="A19" s="854" t="s">
        <v>69</v>
      </c>
      <c r="B19" s="855"/>
      <c r="C19" s="856"/>
      <c r="D19" s="151" t="s">
        <v>142</v>
      </c>
      <c r="E19" s="95">
        <f>'29'!F19</f>
        <v>153784</v>
      </c>
      <c r="F19" s="122">
        <f>E19+55</f>
        <v>153839</v>
      </c>
      <c r="G19" s="112">
        <f t="shared" ref="G19" si="1">F19-E19</f>
        <v>55</v>
      </c>
      <c r="H19" s="99">
        <f>G19+'29'!H19</f>
        <v>1614</v>
      </c>
      <c r="I19" s="335"/>
      <c r="J19" s="175">
        <f>H19/DAY(B2)</f>
        <v>53.8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1595</v>
      </c>
      <c r="H20" s="99">
        <f>G20+'29'!H20</f>
        <v>14094</v>
      </c>
      <c r="I20" s="336">
        <f>I18-J20</f>
        <v>-404.8</v>
      </c>
      <c r="J20" s="175">
        <f>H20/DAY(B2)</f>
        <v>469.8</v>
      </c>
      <c r="K20" s="79"/>
      <c r="L20" s="66"/>
      <c r="N20" s="87"/>
      <c r="O20" s="71"/>
    </row>
    <row r="21" spans="1:15" ht="30.75" customHeight="1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250</v>
      </c>
      <c r="I23" s="118"/>
      <c r="J23" s="175">
        <f>H23/DAY(B2)</f>
        <v>8.3333333333333339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250</v>
      </c>
      <c r="I24" s="118"/>
      <c r="J24" s="175">
        <f>H24/DAY(B2)</f>
        <v>8.3333333333333339</v>
      </c>
      <c r="K24" s="79"/>
      <c r="L24" s="66"/>
      <c r="N24" s="87"/>
      <c r="O24" s="71"/>
    </row>
    <row r="25" spans="1:15" s="88" customFormat="1" ht="30.75" customHeight="1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G27+'29'!H27</f>
        <v>5552215.4700000007</v>
      </c>
      <c r="I27" s="138"/>
      <c r="J27" s="175">
        <f>H27/DAY(B2)</f>
        <v>185073.84900000002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1507584</v>
      </c>
      <c r="I28" s="140"/>
      <c r="J28" s="175">
        <f>H28/DAY(B2)</f>
        <v>50252.800000000003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17250</v>
      </c>
      <c r="I29" s="140"/>
      <c r="J29" s="175">
        <f>H29/DAY(B2)</f>
        <v>575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G30+'29'!H30</f>
        <v>235644</v>
      </c>
      <c r="I30" s="140"/>
      <c r="J30" s="175">
        <f>H30/DAY(B2)</f>
        <v>7854.8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1540</v>
      </c>
      <c r="F31" s="136">
        <v>80</v>
      </c>
      <c r="G31" s="137">
        <f>E31*F31</f>
        <v>123200</v>
      </c>
      <c r="H31" s="99">
        <f>G31+'29'!H31</f>
        <v>998400</v>
      </c>
      <c r="I31" s="140"/>
      <c r="J31" s="175">
        <f>H31/DAY(B2)</f>
        <v>33280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399930</v>
      </c>
      <c r="H32" s="99">
        <f>G32+'29'!H32</f>
        <v>8311093.4700000016</v>
      </c>
      <c r="I32" s="144"/>
      <c r="J32" s="175">
        <f>H32/DAY(B2)</f>
        <v>277036.44900000008</v>
      </c>
      <c r="K32" s="63"/>
      <c r="L32" s="89"/>
      <c r="N32" s="87"/>
      <c r="O32" s="71"/>
    </row>
    <row r="33" spans="1:15" ht="30.7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148886.99</v>
      </c>
      <c r="F35" s="145">
        <v>150949</v>
      </c>
      <c r="G35" s="112">
        <f t="shared" ref="G35:G46" si="3">F35-E35</f>
        <v>2062.0100000000093</v>
      </c>
      <c r="H35" s="99">
        <f>G35+'29'!H35</f>
        <v>166149</v>
      </c>
      <c r="I35" s="95"/>
      <c r="J35" s="175">
        <f>H35/DAY(B2)</f>
        <v>5538.3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19822.169999999998</v>
      </c>
      <c r="F36" s="145">
        <v>20670</v>
      </c>
      <c r="G36" s="112">
        <f t="shared" si="3"/>
        <v>847.83000000000175</v>
      </c>
      <c r="H36" s="99">
        <f>G36+'29'!H36</f>
        <v>-857</v>
      </c>
      <c r="I36" s="95"/>
      <c r="J36" s="175">
        <f>H36/DAY(B2)</f>
        <v>-28.566666666666666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192189.71</v>
      </c>
      <c r="F37" s="145">
        <v>193788</v>
      </c>
      <c r="G37" s="112">
        <f t="shared" si="3"/>
        <v>1598.2900000000081</v>
      </c>
      <c r="H37" s="99">
        <f>G37+'29'!H37</f>
        <v>206000</v>
      </c>
      <c r="I37" s="95"/>
      <c r="J37" s="175">
        <f>H37/DAY(B2)</f>
        <v>6866.666666666667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228822.07</v>
      </c>
      <c r="F38" s="108">
        <v>230731</v>
      </c>
      <c r="G38" s="112">
        <f t="shared" si="3"/>
        <v>1908.929999999993</v>
      </c>
      <c r="H38" s="99">
        <f>G38+'29'!H38</f>
        <v>243931</v>
      </c>
      <c r="I38" s="95"/>
      <c r="J38" s="175">
        <f>H38/DAY(B2)</f>
        <v>8131.0333333333338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405604.75</v>
      </c>
      <c r="F39" s="145">
        <v>408317</v>
      </c>
      <c r="G39" s="112">
        <f t="shared" si="3"/>
        <v>2712.25</v>
      </c>
      <c r="H39" s="99">
        <f>G39+'29'!H39</f>
        <v>429999</v>
      </c>
      <c r="I39" s="95"/>
      <c r="J39" s="175">
        <f>H39/DAY(B2)</f>
        <v>14333.3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5448.67</v>
      </c>
      <c r="F40" s="145">
        <v>5609</v>
      </c>
      <c r="G40" s="112">
        <f t="shared" si="3"/>
        <v>160.32999999999993</v>
      </c>
      <c r="H40" s="99">
        <f>G40+'29'!H40</f>
        <v>539.14999999999964</v>
      </c>
      <c r="I40" s="95"/>
      <c r="J40" s="175">
        <f>H40/DAY(B2)</f>
        <v>17.971666666666653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71900.37</v>
      </c>
      <c r="F42" s="145">
        <v>73809</v>
      </c>
      <c r="G42" s="112">
        <f t="shared" si="3"/>
        <v>1908.6300000000047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41991.99</v>
      </c>
      <c r="F43" s="145">
        <v>44654</v>
      </c>
      <c r="G43" s="112">
        <f t="shared" si="3"/>
        <v>2662.010000000002</v>
      </c>
      <c r="H43" s="99">
        <f>G43+'29'!H43</f>
        <v>-2606.9999999999964</v>
      </c>
      <c r="I43" s="95"/>
      <c r="J43" s="175">
        <f>H43/DAY(B2)</f>
        <v>-86.899999999999878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13860.280000000019</v>
      </c>
      <c r="H47" s="99">
        <f>G47+'29'!H47</f>
        <v>1043154.1500000001</v>
      </c>
      <c r="I47" s="95"/>
      <c r="J47" s="175">
        <f>H47/DAY(B2)</f>
        <v>34771.805000000008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269374.25</v>
      </c>
      <c r="F49" s="145">
        <v>270808</v>
      </c>
      <c r="G49" s="112">
        <f t="shared" ref="G49:G58" si="4">F49-E49</f>
        <v>1433.75</v>
      </c>
      <c r="H49" s="99">
        <f>G49+'29'!H49</f>
        <v>283929.00000000006</v>
      </c>
      <c r="I49" s="95"/>
      <c r="J49" s="175">
        <f>H49/DAY(B2)</f>
        <v>9464.3000000000011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22524.6</v>
      </c>
      <c r="F50" s="145">
        <v>23571</v>
      </c>
      <c r="G50" s="112">
        <f t="shared" si="4"/>
        <v>1046.4000000000015</v>
      </c>
      <c r="H50" s="99">
        <f>G50+'29'!H50</f>
        <v>-1079.0000000000018</v>
      </c>
      <c r="I50" s="95"/>
      <c r="J50" s="175">
        <f>H50/DAY(B2)</f>
        <v>-35.966666666666725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3174.76</v>
      </c>
      <c r="F54" s="145">
        <v>3179</v>
      </c>
      <c r="G54" s="112">
        <f t="shared" si="4"/>
        <v>4.2399999999997817</v>
      </c>
      <c r="H54" s="99">
        <f>G54+'29'!H54</f>
        <v>4946.08</v>
      </c>
      <c r="I54" s="95"/>
      <c r="J54" s="175">
        <f>H54/DAY(B2)</f>
        <v>164.86933333333334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376">
        <v>2254</v>
      </c>
      <c r="G55" s="112">
        <f t="shared" si="4"/>
        <v>2254</v>
      </c>
      <c r="H55" s="99">
        <f>G55+'29'!H55</f>
        <v>-1257</v>
      </c>
      <c r="I55" s="95"/>
      <c r="J55" s="175">
        <f>H55/DAY(B2)</f>
        <v>-41.9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91883.6</v>
      </c>
      <c r="F58" s="145">
        <v>92071</v>
      </c>
      <c r="G58" s="112">
        <f t="shared" si="4"/>
        <v>187.39999999999418</v>
      </c>
      <c r="H58" s="99">
        <f>G58+'29'!H58</f>
        <v>92411.63</v>
      </c>
      <c r="I58" s="95"/>
      <c r="J58" s="175">
        <f>H58/DAY(B2)</f>
        <v>3080.387666666667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4925.7899999999954</v>
      </c>
      <c r="H59" s="99">
        <f>G59+'29'!H59</f>
        <v>378950.70999999996</v>
      </c>
      <c r="I59" s="95">
        <f>G7-G60</f>
        <v>4713.9299999999857</v>
      </c>
      <c r="J59" s="175">
        <f>H59/DAY(B2)</f>
        <v>12631.690333333332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18786.070000000014</v>
      </c>
      <c r="H60" s="99">
        <f>G60+'29'!H60</f>
        <v>1422104.8599999999</v>
      </c>
      <c r="I60" s="95">
        <f>G13-G60</f>
        <v>-286.07000000001426</v>
      </c>
      <c r="J60" s="175">
        <f>H60/DAY(B2)</f>
        <v>47403.495333333332</v>
      </c>
      <c r="K60" s="79"/>
      <c r="L60" s="66"/>
      <c r="N60" s="87"/>
      <c r="O60" s="71"/>
    </row>
    <row r="61" spans="1:15" s="68" customFormat="1" ht="30.7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4" t="s">
        <v>198</v>
      </c>
      <c r="B62" s="855"/>
      <c r="C62" s="856"/>
      <c r="D62" s="151" t="s">
        <v>142</v>
      </c>
      <c r="E62" s="95">
        <f>'29'!F62</f>
        <v>267087</v>
      </c>
      <c r="F62" s="122">
        <v>267207</v>
      </c>
      <c r="G62" s="112">
        <f t="shared" ref="G62:G63" si="5">F62-E62</f>
        <v>120</v>
      </c>
      <c r="H62" s="99">
        <f>G62+'29'!H62</f>
        <v>-6</v>
      </c>
      <c r="I62" s="118"/>
      <c r="J62" s="175">
        <f>H62/DAY(B2)</f>
        <v>-0.2</v>
      </c>
      <c r="K62" s="80"/>
      <c r="L62" s="66"/>
      <c r="N62" s="87"/>
      <c r="O62" s="71"/>
    </row>
    <row r="63" spans="1:15" ht="30.75" customHeight="1" x14ac:dyDescent="0.5">
      <c r="A63" s="854" t="s">
        <v>199</v>
      </c>
      <c r="B63" s="855"/>
      <c r="C63" s="856"/>
      <c r="D63" s="151" t="s">
        <v>142</v>
      </c>
      <c r="E63" s="95">
        <f>'29'!F63</f>
        <v>212242</v>
      </c>
      <c r="F63" s="122">
        <v>212339</v>
      </c>
      <c r="G63" s="112">
        <f t="shared" si="5"/>
        <v>97</v>
      </c>
      <c r="H63" s="99">
        <f>G63+'29'!H63</f>
        <v>-86</v>
      </c>
      <c r="I63" s="118"/>
      <c r="J63" s="175">
        <f>H63/DAY(B2)</f>
        <v>-2.8666666666666667</v>
      </c>
      <c r="K63" s="69"/>
      <c r="L63" s="66"/>
      <c r="N63" s="87"/>
      <c r="O63" s="71"/>
    </row>
    <row r="64" spans="1:15" ht="30.75" customHeight="1" x14ac:dyDescent="0.5">
      <c r="A64" s="863" t="s">
        <v>200</v>
      </c>
      <c r="B64" s="864"/>
      <c r="C64" s="865"/>
      <c r="D64" s="151"/>
      <c r="E64" s="95">
        <f>'29'!F64</f>
        <v>0</v>
      </c>
      <c r="F64" s="122"/>
      <c r="G64" s="112">
        <f>G62+G63</f>
        <v>217</v>
      </c>
      <c r="H64" s="99">
        <f>G64+'29'!H64</f>
        <v>-92</v>
      </c>
      <c r="I64" s="118"/>
      <c r="J64" s="175">
        <f>H64/DAY(B2)</f>
        <v>-3.0666666666666669</v>
      </c>
      <c r="K64" s="69"/>
      <c r="L64" s="66"/>
      <c r="N64" s="87"/>
      <c r="O64" s="71"/>
    </row>
    <row r="65" spans="1:15" ht="30.75" customHeight="1" x14ac:dyDescent="0.5">
      <c r="A65" s="854" t="s">
        <v>201</v>
      </c>
      <c r="B65" s="855"/>
      <c r="C65" s="856"/>
      <c r="D65" s="151" t="s">
        <v>142</v>
      </c>
      <c r="E65" s="95">
        <f>'29'!F65</f>
        <v>432417</v>
      </c>
      <c r="F65" s="122">
        <v>432520</v>
      </c>
      <c r="G65" s="112">
        <f t="shared" ref="G65:G70" si="6">F65-E65</f>
        <v>103</v>
      </c>
      <c r="H65" s="99">
        <f>G65+'29'!H65</f>
        <v>-94</v>
      </c>
      <c r="I65" s="118"/>
      <c r="J65" s="175">
        <f>H65/DAY(B2)</f>
        <v>-3.1333333333333333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107177</v>
      </c>
      <c r="F66" s="122">
        <v>107195</v>
      </c>
      <c r="G66" s="112">
        <f t="shared" si="6"/>
        <v>18</v>
      </c>
      <c r="H66" s="99">
        <f>G66+'29'!H66</f>
        <v>-19</v>
      </c>
      <c r="I66" s="118"/>
      <c r="J66" s="175">
        <f>H66/DAY(B2)</f>
        <v>-0.6333333333333333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103862</v>
      </c>
      <c r="F67" s="488">
        <v>103897</v>
      </c>
      <c r="G67" s="112">
        <f t="shared" si="6"/>
        <v>35</v>
      </c>
      <c r="H67" s="99">
        <f>G67+'29'!H67</f>
        <v>-31</v>
      </c>
      <c r="I67" s="118"/>
      <c r="J67" s="175">
        <f>H67/DAY(B2)</f>
        <v>-1.0333333333333334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156560</v>
      </c>
      <c r="F68" s="122">
        <v>156596</v>
      </c>
      <c r="G68" s="112">
        <f t="shared" si="6"/>
        <v>36</v>
      </c>
      <c r="H68" s="99">
        <f>G68+'29'!H68</f>
        <v>-24</v>
      </c>
      <c r="I68" s="118"/>
      <c r="J68" s="175">
        <f>H68/DAY(B2)</f>
        <v>-0.8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10194</v>
      </c>
      <c r="F69" s="122">
        <v>10206</v>
      </c>
      <c r="G69" s="112">
        <f t="shared" si="6"/>
        <v>12</v>
      </c>
      <c r="H69" s="99">
        <f>G69+'29'!H69</f>
        <v>-8</v>
      </c>
      <c r="I69" s="118"/>
      <c r="J69" s="175">
        <f>H69/DAY(B2)</f>
        <v>-0.26666666666666666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7849</v>
      </c>
      <c r="F70" s="488">
        <v>7855</v>
      </c>
      <c r="G70" s="112">
        <f t="shared" si="6"/>
        <v>6</v>
      </c>
      <c r="H70" s="99">
        <f>G70+'29'!H70</f>
        <v>-7</v>
      </c>
      <c r="I70" s="118"/>
      <c r="J70" s="175">
        <f>H70/DAY(B2)</f>
        <v>-0.23333333333333334</v>
      </c>
      <c r="K70" s="69"/>
      <c r="L70" s="66"/>
      <c r="N70" s="87"/>
      <c r="O70" s="71"/>
    </row>
    <row r="71" spans="1:15" ht="30.75" customHeight="1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210</v>
      </c>
      <c r="H71" s="99">
        <f>G71+'29'!H71</f>
        <v>-183</v>
      </c>
      <c r="I71" s="154"/>
      <c r="J71" s="175">
        <f>H71/DAY(B2)</f>
        <v>-6.1</v>
      </c>
      <c r="K71" s="69"/>
      <c r="L71" s="66"/>
      <c r="N71" s="87"/>
      <c r="O71" s="71"/>
    </row>
    <row r="72" spans="1:15" s="88" customFormat="1" ht="30.75" customHeight="1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4" t="s">
        <v>220</v>
      </c>
      <c r="B74" s="855"/>
      <c r="C74" s="856"/>
      <c r="D74" s="151" t="s">
        <v>139</v>
      </c>
      <c r="E74" s="95">
        <f>'29'!F74</f>
        <v>891456.32</v>
      </c>
      <c r="F74" s="123">
        <v>891763</v>
      </c>
      <c r="G74" s="112">
        <f t="shared" ref="G74:G78" si="7">F74-E74</f>
        <v>306.68000000005122</v>
      </c>
      <c r="H74" s="99">
        <f>G74+'29'!H74</f>
        <v>-269</v>
      </c>
      <c r="I74" s="154"/>
      <c r="J74" s="175">
        <f>H74/DAY(B2)</f>
        <v>-8.9666666666666668</v>
      </c>
      <c r="K74" s="69"/>
      <c r="L74" s="66"/>
      <c r="N74" s="87"/>
      <c r="O74" s="71"/>
    </row>
    <row r="75" spans="1:15" ht="30.75" customHeight="1" x14ac:dyDescent="0.5">
      <c r="A75" s="854" t="s">
        <v>221</v>
      </c>
      <c r="B75" s="855"/>
      <c r="C75" s="85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243.88999999999942</v>
      </c>
      <c r="I75" s="154"/>
      <c r="J75" s="175">
        <f>H75/DAY(B2)</f>
        <v>8.1296666666666475</v>
      </c>
      <c r="K75" s="69"/>
      <c r="L75" s="66"/>
      <c r="N75" s="87"/>
      <c r="O75" s="71"/>
    </row>
    <row r="76" spans="1:15" ht="30.75" customHeight="1" x14ac:dyDescent="0.5">
      <c r="A76" s="851" t="s">
        <v>222</v>
      </c>
      <c r="B76" s="852"/>
      <c r="C76" s="853"/>
      <c r="D76" s="151" t="s">
        <v>139</v>
      </c>
      <c r="E76" s="95">
        <f>'29'!F76</f>
        <v>167000.53</v>
      </c>
      <c r="F76" s="123">
        <v>167093</v>
      </c>
      <c r="G76" s="112">
        <f t="shared" si="7"/>
        <v>92.470000000001164</v>
      </c>
      <c r="H76" s="99">
        <f>G76+'29'!H76</f>
        <v>-114</v>
      </c>
      <c r="I76" s="154"/>
      <c r="J76" s="175">
        <f>H76/DAY(B2)</f>
        <v>-3.8</v>
      </c>
      <c r="K76" s="69"/>
      <c r="L76" s="66"/>
      <c r="N76" s="87"/>
      <c r="O76" s="71"/>
    </row>
    <row r="77" spans="1:15" ht="30.75" customHeight="1" x14ac:dyDescent="0.5">
      <c r="A77" s="851" t="s">
        <v>223</v>
      </c>
      <c r="B77" s="852"/>
      <c r="C77" s="853"/>
      <c r="D77" s="151" t="s">
        <v>139</v>
      </c>
      <c r="E77" s="95">
        <f>'29'!F77</f>
        <v>40226</v>
      </c>
      <c r="F77" s="123">
        <v>40267</v>
      </c>
      <c r="G77" s="112">
        <f t="shared" si="7"/>
        <v>41</v>
      </c>
      <c r="H77" s="99">
        <f>G77+'29'!H77</f>
        <v>-49</v>
      </c>
      <c r="I77" s="154"/>
      <c r="J77" s="175">
        <f>H77/DAY(B2)</f>
        <v>-1.6333333333333333</v>
      </c>
      <c r="K77" s="69"/>
      <c r="L77" s="66"/>
      <c r="N77" s="87"/>
      <c r="O77" s="71"/>
    </row>
    <row r="78" spans="1:15" ht="30.75" customHeight="1" x14ac:dyDescent="0.5">
      <c r="A78" s="851" t="s">
        <v>224</v>
      </c>
      <c r="B78" s="852"/>
      <c r="C78" s="853"/>
      <c r="D78" s="151" t="s">
        <v>139</v>
      </c>
      <c r="E78" s="95">
        <f>'29'!F78</f>
        <v>9481.2000000000007</v>
      </c>
      <c r="F78" s="123">
        <v>9482</v>
      </c>
      <c r="G78" s="112">
        <f t="shared" si="7"/>
        <v>0.7999999999992724</v>
      </c>
      <c r="H78" s="99">
        <f>G78+'29'!H78</f>
        <v>-4</v>
      </c>
      <c r="I78" s="118"/>
      <c r="J78" s="175">
        <f>H78/DAY(B2)</f>
        <v>-0.13333333333333333</v>
      </c>
      <c r="K78" s="69"/>
      <c r="L78" s="66"/>
      <c r="N78" s="87"/>
      <c r="O78" s="71"/>
    </row>
    <row r="79" spans="1:15" s="57" customFormat="1" ht="30.75" customHeight="1" x14ac:dyDescent="0.5">
      <c r="A79" s="851" t="s">
        <v>225</v>
      </c>
      <c r="B79" s="852"/>
      <c r="C79" s="853"/>
      <c r="D79" s="151"/>
      <c r="E79" s="95">
        <f>'29'!F79</f>
        <v>0</v>
      </c>
      <c r="F79" s="117"/>
      <c r="G79" s="112">
        <f>G15-SUM(G74:G78)</f>
        <v>659.04999999994834</v>
      </c>
      <c r="H79" s="99">
        <f>G79+'29'!H79</f>
        <v>29184.109999999997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2083.59</v>
      </c>
      <c r="F85" s="164">
        <v>2096.56</v>
      </c>
      <c r="G85" s="112">
        <f t="shared" si="8"/>
        <v>12.9699999999998</v>
      </c>
      <c r="H85" s="99">
        <f>G85+'29'!H85</f>
        <v>0</v>
      </c>
      <c r="I85" s="118">
        <f>G82+G83+G84+G85</f>
        <v>12.9699999999998</v>
      </c>
      <c r="J85" s="175">
        <f>H85/DAY(B2)</f>
        <v>0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42826.07</v>
      </c>
      <c r="F86" s="164">
        <v>42839</v>
      </c>
      <c r="G86" s="112">
        <f t="shared" si="8"/>
        <v>12.930000000000291</v>
      </c>
      <c r="H86" s="99">
        <f>G86+'29'!H86</f>
        <v>-24</v>
      </c>
      <c r="I86" s="118"/>
      <c r="J86" s="175">
        <f>H86/DAY(B2)</f>
        <v>-0.8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24041.06</v>
      </c>
      <c r="F88" s="164">
        <v>24041</v>
      </c>
      <c r="G88" s="112">
        <f t="shared" si="8"/>
        <v>-6.0000000001309672E-2</v>
      </c>
      <c r="H88" s="99">
        <f>G88+'29'!H88</f>
        <v>-6</v>
      </c>
      <c r="I88" s="118">
        <f>G86+G87+G88</f>
        <v>12.869999999998981</v>
      </c>
      <c r="J88" s="175">
        <f>H88/DAY(B2)</f>
        <v>-0.2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25651.26</v>
      </c>
      <c r="F89" s="164">
        <v>25661</v>
      </c>
      <c r="G89" s="112">
        <f t="shared" si="8"/>
        <v>9.7400000000016007</v>
      </c>
      <c r="H89" s="99">
        <f>G89+'29'!H89</f>
        <v>-2</v>
      </c>
      <c r="I89" s="118"/>
      <c r="J89" s="175">
        <f>H89/DAY(B2)</f>
        <v>-6.6666666666666666E-2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71022.03</v>
      </c>
      <c r="F90" s="164">
        <v>71027</v>
      </c>
      <c r="G90" s="112">
        <f t="shared" si="8"/>
        <v>4.9700000000011642</v>
      </c>
      <c r="H90" s="99">
        <f>G90+'29'!H90</f>
        <v>39</v>
      </c>
      <c r="I90" s="118">
        <f>G89+G90</f>
        <v>14.710000000002765</v>
      </c>
      <c r="J90" s="175">
        <f>H90/DAY(B2)</f>
        <v>1.3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5418.13</v>
      </c>
      <c r="F92" s="122">
        <v>5429</v>
      </c>
      <c r="G92" s="112">
        <f t="shared" si="8"/>
        <v>10.869999999999891</v>
      </c>
      <c r="H92" s="99">
        <f>G92+'29'!H92</f>
        <v>-9</v>
      </c>
      <c r="I92" s="165"/>
      <c r="J92" s="175">
        <f>H92/DAY(B2)</f>
        <v>-0.3</v>
      </c>
      <c r="O92" s="71"/>
    </row>
    <row r="93" spans="1:15" ht="30.75" customHeight="1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6157.7700000000114</v>
      </c>
      <c r="H94" s="99">
        <f>G94+'29'!H94</f>
        <v>447471</v>
      </c>
      <c r="I94" s="118"/>
      <c r="J94" s="175">
        <f>H94/DAY(B2)</f>
        <v>14915.7</v>
      </c>
      <c r="K94" s="69"/>
      <c r="L94" s="66"/>
      <c r="O94" s="71"/>
    </row>
    <row r="95" spans="1:15" ht="30.75" customHeight="1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0.26203276595744729</v>
      </c>
      <c r="H95" s="99">
        <f>G95+'29'!H95</f>
        <v>20.122812893033672</v>
      </c>
      <c r="I95" s="167"/>
      <c r="J95" s="175">
        <f>H95/DAY(B2)</f>
        <v>0.67076042976778905</v>
      </c>
      <c r="K95" s="69"/>
      <c r="L95" s="66"/>
      <c r="O95" s="71"/>
    </row>
    <row r="96" spans="1:15" ht="30.75" customHeight="1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4162.6300000000047</v>
      </c>
      <c r="H96" s="99">
        <f>G96+'29'!H96</f>
        <v>-1257</v>
      </c>
      <c r="I96" s="118"/>
      <c r="J96" s="175">
        <f>H96/DAY(B2)</f>
        <v>-41.9</v>
      </c>
      <c r="K96" s="69"/>
      <c r="L96" s="66"/>
      <c r="O96" s="71"/>
    </row>
    <row r="97" spans="1:15" ht="30.75" customHeight="1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0.17713319148936191</v>
      </c>
      <c r="H97" s="99">
        <f>G97+'29'!H97</f>
        <v>0.56425277046153344</v>
      </c>
      <c r="I97" s="167"/>
      <c r="J97" s="175">
        <f>H97/DAY(B2)</f>
        <v>1.8808425682051114E-2</v>
      </c>
      <c r="K97" s="69"/>
      <c r="L97" s="66"/>
      <c r="O97" s="71"/>
    </row>
    <row r="98" spans="1:15" ht="30.75" customHeight="1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2712.25</v>
      </c>
      <c r="H98" s="99">
        <f>G98+'29'!H98</f>
        <v>429999</v>
      </c>
      <c r="I98" s="168"/>
      <c r="J98" s="175">
        <f>H98/DAY(B2)</f>
        <v>14333.3</v>
      </c>
      <c r="K98" s="69"/>
      <c r="L98" s="66"/>
      <c r="O98" s="71"/>
    </row>
    <row r="99" spans="1:15" ht="30.75" customHeight="1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0.11541489361702127</v>
      </c>
      <c r="H99" s="99">
        <f>G99+'29'!H99</f>
        <v>18.844131210792394</v>
      </c>
      <c r="I99" s="168"/>
      <c r="J99" s="175">
        <f>H99/DAY(B2)</f>
        <v>0.62813770702641314</v>
      </c>
      <c r="O99" s="71"/>
    </row>
    <row r="100" spans="1:15" ht="30.75" customHeight="1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1908.929999999993</v>
      </c>
      <c r="H100" s="99">
        <f>G100+'29'!H100</f>
        <v>243931</v>
      </c>
      <c r="I100" s="118"/>
      <c r="J100" s="175">
        <f>H100/DAY(B2)</f>
        <v>8131.0333333333338</v>
      </c>
      <c r="K100" s="70"/>
      <c r="O100" s="71"/>
    </row>
    <row r="101" spans="1:15" ht="30.75" customHeight="1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8.123106382978694E-2</v>
      </c>
      <c r="H101" s="99">
        <f>G101+'29'!H101</f>
        <v>10.715629400730563</v>
      </c>
      <c r="I101" s="168"/>
      <c r="J101" s="175">
        <f>H101/DAY(B2)</f>
        <v>0.35718764669101877</v>
      </c>
      <c r="O101" s="71"/>
    </row>
    <row r="102" spans="1:15" ht="30.75" customHeight="1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1894.2300000000032</v>
      </c>
      <c r="H102" s="99">
        <f>G102+'29'!H102</f>
        <v>-1936</v>
      </c>
      <c r="I102" s="168"/>
      <c r="J102" s="175">
        <f>H102/DAY(B2)</f>
        <v>-64.533333333333331</v>
      </c>
      <c r="O102" s="71"/>
    </row>
    <row r="103" spans="1:15" ht="30.75" customHeight="1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8.0605531914893752E-2</v>
      </c>
      <c r="H103" s="99">
        <f>G103+'29'!H103</f>
        <v>0.25506960508018439</v>
      </c>
      <c r="I103" s="118"/>
      <c r="J103" s="175">
        <f>H103/DAY(B2)</f>
        <v>8.5023201693394789E-3</v>
      </c>
      <c r="O103" s="71"/>
    </row>
    <row r="104" spans="1:15" ht="30.75" customHeight="1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1598.2900000000081</v>
      </c>
      <c r="H104" s="99">
        <f>G104+'29'!H104</f>
        <v>206000</v>
      </c>
      <c r="I104" s="118"/>
      <c r="J104" s="175">
        <f>H104/DAY(B2)</f>
        <v>6866.666666666667</v>
      </c>
      <c r="O104" s="71"/>
    </row>
    <row r="105" spans="1:15" ht="30.75" customHeight="1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6.8012340425532267E-2</v>
      </c>
      <c r="H105" s="99">
        <f>G105+'29'!H105</f>
        <v>9.0832298249197674</v>
      </c>
      <c r="I105" s="187"/>
      <c r="J105" s="188">
        <f>H105/DAY(B2)</f>
        <v>0.30277432749732558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30.75" customHeight="1" x14ac:dyDescent="0.5">
      <c r="A109" s="871"/>
      <c r="B109" s="871"/>
    </row>
    <row r="110" spans="1:15" ht="30.7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30.7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33" t="s">
        <v>252</v>
      </c>
      <c r="B112" s="834"/>
      <c r="C112" s="835"/>
      <c r="D112" s="146" t="s">
        <v>183</v>
      </c>
      <c r="E112" s="95">
        <f>'29'!F112</f>
        <v>53273.53</v>
      </c>
      <c r="F112" s="237">
        <v>55612</v>
      </c>
      <c r="G112" s="112">
        <f t="shared" ref="G112:G123" si="9">F112-E112</f>
        <v>2338.4700000000012</v>
      </c>
      <c r="H112" s="99">
        <f>G112+'29'!H112</f>
        <v>7670.4500000000044</v>
      </c>
      <c r="I112" s="165"/>
      <c r="J112" s="328">
        <f>H112/DAY(B2)</f>
        <v>255.68166666666681</v>
      </c>
    </row>
    <row r="113" spans="1:18" ht="30.75" customHeight="1" x14ac:dyDescent="0.5">
      <c r="A113" s="833" t="s">
        <v>253</v>
      </c>
      <c r="B113" s="834"/>
      <c r="C113" s="835"/>
      <c r="D113" s="146" t="s">
        <v>183</v>
      </c>
      <c r="E113" s="95">
        <f>'29'!F113</f>
        <v>31290.99</v>
      </c>
      <c r="F113" s="237">
        <v>31737</v>
      </c>
      <c r="G113" s="112">
        <f t="shared" si="9"/>
        <v>446.0099999999984</v>
      </c>
      <c r="H113" s="99">
        <f>G113+'29'!H113</f>
        <v>-458</v>
      </c>
      <c r="I113" s="165"/>
      <c r="J113" s="328">
        <f>H113/DAY(B2)</f>
        <v>-15.266666666666667</v>
      </c>
    </row>
    <row r="114" spans="1:18" ht="30.75" customHeight="1" x14ac:dyDescent="0.5">
      <c r="A114" s="833" t="s">
        <v>254</v>
      </c>
      <c r="B114" s="834"/>
      <c r="C114" s="835"/>
      <c r="D114" s="146" t="s">
        <v>183</v>
      </c>
      <c r="E114" s="95">
        <f>'29'!F114</f>
        <v>24321.7</v>
      </c>
      <c r="F114" s="237">
        <v>24596</v>
      </c>
      <c r="G114" s="112">
        <f t="shared" si="9"/>
        <v>274.29999999999927</v>
      </c>
      <c r="H114" s="99">
        <f>G114+'29'!H114</f>
        <v>-408.60000000000036</v>
      </c>
      <c r="I114" s="165"/>
      <c r="J114" s="328">
        <f>H114/DAY(B2)</f>
        <v>-13.620000000000012</v>
      </c>
    </row>
    <row r="115" spans="1:18" ht="30.75" customHeight="1" x14ac:dyDescent="0.5">
      <c r="A115" s="833" t="s">
        <v>255</v>
      </c>
      <c r="B115" s="834"/>
      <c r="C115" s="835"/>
      <c r="D115" s="146" t="s">
        <v>183</v>
      </c>
      <c r="E115" s="95">
        <f>'29'!F115</f>
        <v>8765.64</v>
      </c>
      <c r="F115" s="237">
        <v>8774</v>
      </c>
      <c r="G115" s="112">
        <f t="shared" si="9"/>
        <v>8.3600000000005821</v>
      </c>
      <c r="H115" s="99">
        <f>G115+'29'!H115</f>
        <v>-11</v>
      </c>
      <c r="I115" s="165"/>
      <c r="J115" s="328">
        <f>H115/DAY(B2)</f>
        <v>-0.36666666666666664</v>
      </c>
    </row>
    <row r="116" spans="1:18" ht="30.75" customHeight="1" x14ac:dyDescent="0.5">
      <c r="A116" s="840" t="s">
        <v>96</v>
      </c>
      <c r="B116" s="841"/>
      <c r="C116" s="84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33" t="s">
        <v>311</v>
      </c>
      <c r="R116" s="835"/>
    </row>
    <row r="117" spans="1:18" ht="30.75" customHeight="1" x14ac:dyDescent="0.5">
      <c r="A117" s="840" t="s">
        <v>184</v>
      </c>
      <c r="B117" s="841"/>
      <c r="C117" s="842"/>
      <c r="D117" s="146" t="s">
        <v>183</v>
      </c>
      <c r="E117" s="95">
        <f>'29'!F117</f>
        <v>2547.0100000000002</v>
      </c>
      <c r="F117" s="237">
        <v>2569</v>
      </c>
      <c r="G117" s="112">
        <f t="shared" si="9"/>
        <v>21.989999999999782</v>
      </c>
      <c r="H117" s="99">
        <f>G117+'29'!H117</f>
        <v>-21</v>
      </c>
      <c r="I117" s="165"/>
      <c r="J117" s="328">
        <f>H117/DAY(B2)</f>
        <v>-0.7</v>
      </c>
      <c r="Q117" s="833" t="s">
        <v>312</v>
      </c>
      <c r="R117" s="835"/>
    </row>
    <row r="118" spans="1:18" ht="30.75" customHeight="1" x14ac:dyDescent="0.5">
      <c r="A118" s="832" t="s">
        <v>97</v>
      </c>
      <c r="B118" s="832"/>
      <c r="C118" s="832"/>
      <c r="D118" s="151" t="s">
        <v>183</v>
      </c>
      <c r="E118" s="95">
        <f>'29'!F118</f>
        <v>240930.71</v>
      </c>
      <c r="F118" s="237">
        <v>241294</v>
      </c>
      <c r="G118" s="112">
        <f t="shared" si="9"/>
        <v>363.29000000000815</v>
      </c>
      <c r="H118" s="99">
        <f>G118+'29'!H118</f>
        <v>-353</v>
      </c>
      <c r="I118" s="165"/>
      <c r="J118" s="328">
        <f>H118/DAY(B2)</f>
        <v>-11.766666666666667</v>
      </c>
      <c r="Q118" s="833" t="s">
        <v>311</v>
      </c>
      <c r="R118" s="835"/>
    </row>
    <row r="119" spans="1:18" ht="30.75" customHeight="1" x14ac:dyDescent="0.5">
      <c r="A119" s="832" t="s">
        <v>98</v>
      </c>
      <c r="B119" s="832"/>
      <c r="C119" s="832"/>
      <c r="D119" s="151" t="s">
        <v>183</v>
      </c>
      <c r="E119" s="95">
        <f>'29'!F119</f>
        <v>244293.29</v>
      </c>
      <c r="F119" s="237">
        <v>244702</v>
      </c>
      <c r="G119" s="112">
        <f t="shared" si="9"/>
        <v>408.70999999999185</v>
      </c>
      <c r="H119" s="99">
        <f>G119+'29'!H119</f>
        <v>-424</v>
      </c>
      <c r="I119" s="165"/>
      <c r="J119" s="328">
        <f>H119/DAY(B2)</f>
        <v>-14.133333333333333</v>
      </c>
    </row>
    <row r="120" spans="1:18" ht="30.75" customHeight="1" x14ac:dyDescent="0.5">
      <c r="A120" s="832" t="s">
        <v>99</v>
      </c>
      <c r="B120" s="832"/>
      <c r="C120" s="832"/>
      <c r="D120" s="151" t="s">
        <v>183</v>
      </c>
      <c r="E120" s="95">
        <f>'29'!F120</f>
        <v>29243.51</v>
      </c>
      <c r="F120" s="237">
        <v>29665</v>
      </c>
      <c r="G120" s="112">
        <f t="shared" si="9"/>
        <v>421.4900000000016</v>
      </c>
      <c r="H120" s="99">
        <f>G120+'29'!H120</f>
        <v>-413</v>
      </c>
      <c r="I120" s="165"/>
      <c r="J120" s="328">
        <f>H120/DAY(B2)</f>
        <v>-13.766666666666667</v>
      </c>
    </row>
    <row r="121" spans="1:18" ht="30.75" customHeight="1" x14ac:dyDescent="0.5">
      <c r="A121" s="832" t="s">
        <v>100</v>
      </c>
      <c r="B121" s="832"/>
      <c r="C121" s="832"/>
      <c r="D121" s="151" t="s">
        <v>183</v>
      </c>
      <c r="E121" s="95">
        <f>'29'!F121</f>
        <v>374958.61</v>
      </c>
      <c r="F121" s="237">
        <v>375730</v>
      </c>
      <c r="G121" s="112">
        <f t="shared" si="9"/>
        <v>771.39000000001397</v>
      </c>
      <c r="H121" s="99">
        <f>G121+'29'!H121</f>
        <v>-799</v>
      </c>
      <c r="I121" s="165"/>
      <c r="J121" s="328">
        <f>H121/DAY(B2)</f>
        <v>-26.633333333333333</v>
      </c>
    </row>
    <row r="122" spans="1:18" ht="30.75" customHeight="1" x14ac:dyDescent="0.5">
      <c r="A122" s="832" t="s">
        <v>101</v>
      </c>
      <c r="B122" s="832"/>
      <c r="C122" s="832"/>
      <c r="D122" s="151" t="s">
        <v>183</v>
      </c>
      <c r="E122" s="95">
        <f>'29'!F122</f>
        <v>119588.07</v>
      </c>
      <c r="F122" s="237">
        <v>119804</v>
      </c>
      <c r="G122" s="112">
        <f t="shared" si="9"/>
        <v>215.92999999999302</v>
      </c>
      <c r="H122" s="99">
        <f>G122+'29'!H122</f>
        <v>-246</v>
      </c>
      <c r="I122" s="165"/>
      <c r="J122" s="328">
        <f>H122/DAY(B2)</f>
        <v>-8.1999999999999993</v>
      </c>
    </row>
    <row r="123" spans="1:18" ht="30.75" customHeight="1" x14ac:dyDescent="0.5">
      <c r="A123" s="832" t="s">
        <v>102</v>
      </c>
      <c r="B123" s="832"/>
      <c r="C123" s="832"/>
      <c r="D123" s="151" t="s">
        <v>183</v>
      </c>
      <c r="E123" s="95">
        <f>'29'!F123</f>
        <v>144462.63</v>
      </c>
      <c r="F123" s="237">
        <v>144787</v>
      </c>
      <c r="G123" s="112">
        <f t="shared" si="9"/>
        <v>324.36999999999534</v>
      </c>
      <c r="H123" s="99">
        <f>G123+'29'!H123</f>
        <v>-338</v>
      </c>
      <c r="I123" s="165"/>
      <c r="J123" s="328">
        <f>H123/DAY(B2)</f>
        <v>-11.266666666666667</v>
      </c>
    </row>
    <row r="124" spans="1:18" ht="30.75" customHeight="1" x14ac:dyDescent="0.5">
      <c r="A124" s="837"/>
      <c r="B124" s="838"/>
      <c r="C124" s="83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17" t="s">
        <v>196</v>
      </c>
      <c r="B125" s="818"/>
      <c r="C125" s="245"/>
      <c r="D125" s="307"/>
      <c r="E125" s="308"/>
      <c r="F125" s="308"/>
      <c r="G125" s="309">
        <f>SUM(G112:G124)</f>
        <v>5594.3100000000031</v>
      </c>
      <c r="H125" s="156"/>
      <c r="I125" s="327">
        <f>G125-(G39+G53)</f>
        <v>2882.0600000000031</v>
      </c>
      <c r="J125" s="327"/>
    </row>
    <row r="126" spans="1:18" ht="30.75" customHeight="1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30.75" customHeight="1" x14ac:dyDescent="0.5">
      <c r="A127" s="822"/>
      <c r="B127" s="82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33" t="s">
        <v>318</v>
      </c>
      <c r="B128" s="834"/>
      <c r="C128" s="835"/>
      <c r="D128" s="151" t="s">
        <v>183</v>
      </c>
      <c r="E128" s="95">
        <f>'29'!F128</f>
        <v>37254.01</v>
      </c>
      <c r="F128" s="165">
        <v>37627</v>
      </c>
      <c r="G128" s="112">
        <f t="shared" ref="G128:G134" si="10">F128-E128</f>
        <v>372.98999999999796</v>
      </c>
      <c r="H128" s="99">
        <f>G128+'29'!H128</f>
        <v>-377</v>
      </c>
      <c r="I128" s="165"/>
      <c r="J128" s="328">
        <f>H128/DAY(B2)</f>
        <v>-12.566666666666666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19911.98</v>
      </c>
      <c r="F129" s="165">
        <v>20114</v>
      </c>
      <c r="G129" s="112">
        <f t="shared" si="10"/>
        <v>202.02000000000044</v>
      </c>
      <c r="H129" s="99">
        <f>G129+'29'!H129</f>
        <v>-207</v>
      </c>
      <c r="I129" s="165"/>
      <c r="J129" s="328">
        <f>H129/DAY(B2)</f>
        <v>-6.9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16637.02</v>
      </c>
      <c r="F130" s="165">
        <v>17602</v>
      </c>
      <c r="G130" s="112">
        <f t="shared" si="10"/>
        <v>964.97999999999956</v>
      </c>
      <c r="H130" s="99">
        <f>G130+'29'!H130</f>
        <v>-780</v>
      </c>
      <c r="I130" s="165"/>
      <c r="J130" s="328">
        <f>H130/DAY(B2)</f>
        <v>-26</v>
      </c>
      <c r="N130" s="240"/>
      <c r="O130" s="241"/>
    </row>
    <row r="131" spans="1:15" ht="30.75" customHeight="1" x14ac:dyDescent="0.5">
      <c r="A131" s="833" t="s">
        <v>321</v>
      </c>
      <c r="B131" s="834"/>
      <c r="C131" s="835"/>
      <c r="D131" s="151" t="s">
        <v>183</v>
      </c>
      <c r="E131" s="95">
        <f>'29'!F131</f>
        <v>13006.7</v>
      </c>
      <c r="F131" s="165">
        <v>13076</v>
      </c>
      <c r="G131" s="112">
        <f t="shared" si="10"/>
        <v>69.299999999999272</v>
      </c>
      <c r="H131" s="99">
        <f>G131+'29'!H131</f>
        <v>-77</v>
      </c>
      <c r="I131" s="165"/>
      <c r="J131" s="328">
        <f>H131/DAY(B2)</f>
        <v>-2.5666666666666669</v>
      </c>
      <c r="N131" s="240"/>
      <c r="O131" s="241"/>
    </row>
    <row r="132" spans="1:15" ht="30.75" customHeight="1" x14ac:dyDescent="0.5">
      <c r="A132" s="833" t="s">
        <v>322</v>
      </c>
      <c r="B132" s="834"/>
      <c r="C132" s="835"/>
      <c r="D132" s="151" t="s">
        <v>183</v>
      </c>
      <c r="E132" s="95">
        <f>'29'!F132</f>
        <v>40127.279999999999</v>
      </c>
      <c r="F132" s="165">
        <v>40577</v>
      </c>
      <c r="G132" s="112">
        <f t="shared" si="10"/>
        <v>449.72000000000116</v>
      </c>
      <c r="H132" s="99">
        <f>G132+'29'!H132</f>
        <v>-35635.630000000005</v>
      </c>
      <c r="I132" s="165"/>
      <c r="J132" s="328">
        <f>H132/DAY(B2)</f>
        <v>-1187.8543333333334</v>
      </c>
    </row>
    <row r="133" spans="1:15" ht="30.75" customHeight="1" x14ac:dyDescent="0.5">
      <c r="A133" s="833" t="s">
        <v>362</v>
      </c>
      <c r="B133" s="834"/>
      <c r="C133" s="835"/>
      <c r="D133" s="151" t="s">
        <v>183</v>
      </c>
      <c r="E133" s="95">
        <f>'29'!F133</f>
        <v>86468.29</v>
      </c>
      <c r="F133" s="165">
        <v>87056</v>
      </c>
      <c r="G133" s="112">
        <f t="shared" si="10"/>
        <v>587.7100000000064</v>
      </c>
      <c r="H133" s="99">
        <f>G133+'29'!H133</f>
        <v>-647</v>
      </c>
      <c r="I133" s="165"/>
      <c r="J133" s="328">
        <f>H133/DAY(B2)</f>
        <v>-21.566666666666666</v>
      </c>
    </row>
    <row r="134" spans="1:15" ht="30.75" customHeight="1" x14ac:dyDescent="0.5">
      <c r="A134" s="833" t="s">
        <v>340</v>
      </c>
      <c r="B134" s="834"/>
      <c r="C134" s="835"/>
      <c r="D134" s="151" t="s">
        <v>183</v>
      </c>
      <c r="E134" s="95">
        <f>'29'!F134</f>
        <v>667634</v>
      </c>
      <c r="F134" s="597">
        <v>668262</v>
      </c>
      <c r="G134" s="112">
        <f t="shared" si="10"/>
        <v>628</v>
      </c>
      <c r="H134" s="99">
        <f>G134+'29'!H134</f>
        <v>670556</v>
      </c>
      <c r="I134" s="165"/>
      <c r="J134" s="328">
        <f>H134/DAY(B2)</f>
        <v>22351.866666666665</v>
      </c>
    </row>
    <row r="135" spans="1:15" ht="30.75" customHeight="1" x14ac:dyDescent="0.5">
      <c r="A135" s="817" t="s">
        <v>196</v>
      </c>
      <c r="B135" s="818"/>
      <c r="C135" s="331"/>
      <c r="D135" s="151"/>
      <c r="E135" s="95"/>
      <c r="F135" s="165"/>
      <c r="G135" s="112">
        <f>SUM(G128:G134)</f>
        <v>3274.7200000000048</v>
      </c>
      <c r="H135" s="99">
        <f>G135+'23'!H135</f>
        <v>37298.010000000009</v>
      </c>
      <c r="I135" s="327">
        <f>G135-(G35+G49)</f>
        <v>-221.04000000000451</v>
      </c>
      <c r="J135" s="328"/>
    </row>
    <row r="136" spans="1:15" ht="30.7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32" t="s">
        <v>185</v>
      </c>
      <c r="B138" s="832"/>
      <c r="C138" s="832"/>
      <c r="D138" s="151" t="s">
        <v>183</v>
      </c>
      <c r="E138" s="95">
        <f>'29'!F138</f>
        <v>863973</v>
      </c>
      <c r="F138" s="147">
        <v>864069</v>
      </c>
      <c r="G138" s="112">
        <f t="shared" ref="G138:G152" si="11">F138-E138</f>
        <v>96</v>
      </c>
      <c r="H138" s="99">
        <f>G138+'29'!H138</f>
        <v>-102</v>
      </c>
      <c r="I138" s="118"/>
      <c r="J138" s="328">
        <f>H138/DAY(B2)</f>
        <v>-3.4</v>
      </c>
    </row>
    <row r="139" spans="1:15" ht="30.75" customHeight="1" x14ac:dyDescent="0.5">
      <c r="A139" s="832" t="s">
        <v>186</v>
      </c>
      <c r="B139" s="832"/>
      <c r="C139" s="832"/>
      <c r="D139" s="151" t="s">
        <v>183</v>
      </c>
      <c r="E139" s="95">
        <f>'29'!F139</f>
        <v>886545</v>
      </c>
      <c r="F139" s="148">
        <v>886546</v>
      </c>
      <c r="G139" s="112">
        <f t="shared" si="11"/>
        <v>1</v>
      </c>
      <c r="H139" s="99">
        <f>G139+'29'!H139</f>
        <v>0</v>
      </c>
      <c r="I139" s="118"/>
      <c r="J139" s="328">
        <f>H139/DAY(B2)</f>
        <v>0</v>
      </c>
    </row>
    <row r="140" spans="1:15" ht="30.75" customHeight="1" x14ac:dyDescent="0.5">
      <c r="A140" s="832" t="s">
        <v>187</v>
      </c>
      <c r="B140" s="832"/>
      <c r="C140" s="832"/>
      <c r="D140" s="151" t="s">
        <v>183</v>
      </c>
      <c r="E140" s="95">
        <f>'29'!F140</f>
        <v>88882</v>
      </c>
      <c r="F140" s="149">
        <v>88882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13" t="s">
        <v>188</v>
      </c>
      <c r="B141" s="813"/>
      <c r="C141" s="813"/>
      <c r="D141" s="151" t="s">
        <v>183</v>
      </c>
      <c r="E141" s="95">
        <f>'29'!F141</f>
        <v>48918.58</v>
      </c>
      <c r="F141" s="149">
        <v>49098</v>
      </c>
      <c r="G141" s="112">
        <f t="shared" si="11"/>
        <v>179.41999999999825</v>
      </c>
      <c r="H141" s="99">
        <f>G141+'29'!H141</f>
        <v>-208</v>
      </c>
      <c r="I141" s="118"/>
      <c r="J141" s="328">
        <f>H141/DAY(B2)</f>
        <v>-6.9333333333333336</v>
      </c>
    </row>
    <row r="142" spans="1:15" ht="30.75" customHeight="1" x14ac:dyDescent="0.5">
      <c r="A142" s="813" t="s">
        <v>189</v>
      </c>
      <c r="B142" s="813"/>
      <c r="C142" s="813"/>
      <c r="D142" s="151" t="s">
        <v>183</v>
      </c>
      <c r="E142" s="95">
        <f>'29'!F142</f>
        <v>18855.740000000002</v>
      </c>
      <c r="F142" s="148">
        <v>18931</v>
      </c>
      <c r="G142" s="112">
        <f t="shared" si="11"/>
        <v>75.259999999998399</v>
      </c>
      <c r="H142" s="99">
        <f>G142+'29'!H142</f>
        <v>-78</v>
      </c>
      <c r="I142" s="140"/>
      <c r="J142" s="328">
        <f>H142/DAY(B2)</f>
        <v>-2.6</v>
      </c>
    </row>
    <row r="143" spans="1:15" ht="30.75" customHeight="1" x14ac:dyDescent="0.5">
      <c r="A143" s="832" t="s">
        <v>91</v>
      </c>
      <c r="B143" s="832"/>
      <c r="C143" s="832"/>
      <c r="D143" s="151" t="s">
        <v>183</v>
      </c>
      <c r="E143" s="95">
        <f>'29'!F143</f>
        <v>3016.9</v>
      </c>
      <c r="F143" s="149">
        <v>3040</v>
      </c>
      <c r="G143" s="112">
        <f t="shared" si="11"/>
        <v>23.099999999999909</v>
      </c>
      <c r="H143" s="99">
        <f>G143+'29'!H143</f>
        <v>-21</v>
      </c>
      <c r="I143" s="140"/>
      <c r="J143" s="328">
        <f>H143/DAY(B2)</f>
        <v>-0.7</v>
      </c>
    </row>
    <row r="144" spans="1:15" ht="30.75" customHeight="1" x14ac:dyDescent="0.5">
      <c r="A144" s="813" t="s">
        <v>90</v>
      </c>
      <c r="B144" s="813"/>
      <c r="C144" s="813"/>
      <c r="D144" s="151" t="s">
        <v>183</v>
      </c>
      <c r="E144" s="95">
        <f>'29'!F144</f>
        <v>869213</v>
      </c>
      <c r="F144" s="149">
        <v>869441</v>
      </c>
      <c r="G144" s="112">
        <f t="shared" si="11"/>
        <v>228</v>
      </c>
      <c r="H144" s="99">
        <f>G144+'29'!H144</f>
        <v>-229</v>
      </c>
      <c r="I144" s="140"/>
      <c r="J144" s="328">
        <f>H144/DAY(B2)</f>
        <v>-7.6333333333333337</v>
      </c>
    </row>
    <row r="145" spans="1:10" ht="30.75" customHeight="1" x14ac:dyDescent="0.5">
      <c r="A145" s="832" t="s">
        <v>190</v>
      </c>
      <c r="B145" s="832"/>
      <c r="C145" s="832"/>
      <c r="D145" s="152" t="s">
        <v>183</v>
      </c>
      <c r="E145" s="95">
        <f>'29'!F145</f>
        <v>4530</v>
      </c>
      <c r="F145" s="149">
        <v>4544</v>
      </c>
      <c r="G145" s="112">
        <f t="shared" si="11"/>
        <v>14</v>
      </c>
      <c r="H145" s="99">
        <f>G145+'29'!H145</f>
        <v>-14</v>
      </c>
      <c r="I145" s="140"/>
      <c r="J145" s="328">
        <f>H145/DAY(B2)</f>
        <v>-0.46666666666666667</v>
      </c>
    </row>
    <row r="146" spans="1:10" ht="30.75" customHeight="1" x14ac:dyDescent="0.5">
      <c r="A146" s="867" t="s">
        <v>191</v>
      </c>
      <c r="B146" s="852"/>
      <c r="C146" s="853"/>
      <c r="D146" s="152" t="s">
        <v>183</v>
      </c>
      <c r="E146" s="95">
        <f>'29'!F146</f>
        <v>723915</v>
      </c>
      <c r="F146" s="148">
        <v>724396</v>
      </c>
      <c r="G146" s="112">
        <f t="shared" si="11"/>
        <v>481</v>
      </c>
      <c r="H146" s="99">
        <f>G146+'29'!H146</f>
        <v>-462</v>
      </c>
      <c r="I146" s="140"/>
      <c r="J146" s="328">
        <f>H146/DAY(B2)</f>
        <v>-15.4</v>
      </c>
    </row>
    <row r="147" spans="1:10" ht="30.75" customHeight="1" x14ac:dyDescent="0.5">
      <c r="A147" s="813" t="s">
        <v>192</v>
      </c>
      <c r="B147" s="813"/>
      <c r="C147" s="813"/>
      <c r="D147" s="152" t="s">
        <v>183</v>
      </c>
      <c r="E147" s="95">
        <f>'29'!F147</f>
        <v>614450.28</v>
      </c>
      <c r="F147" s="148">
        <v>614855</v>
      </c>
      <c r="G147" s="112">
        <f t="shared" si="11"/>
        <v>404.71999999997206</v>
      </c>
      <c r="H147" s="99">
        <f>G147+'29'!H147</f>
        <v>-427</v>
      </c>
      <c r="I147" s="140"/>
      <c r="J147" s="328">
        <f>H147/DAY(B2)</f>
        <v>-14.233333333333333</v>
      </c>
    </row>
    <row r="148" spans="1:10" ht="30.75" customHeight="1" x14ac:dyDescent="0.5">
      <c r="A148" s="814" t="s">
        <v>193</v>
      </c>
      <c r="B148" s="815"/>
      <c r="C148" s="816"/>
      <c r="D148" s="123" t="s">
        <v>130</v>
      </c>
      <c r="E148" s="95">
        <f>'29'!F148</f>
        <v>682450.96</v>
      </c>
      <c r="F148" s="150">
        <v>682733</v>
      </c>
      <c r="G148" s="112">
        <f t="shared" si="11"/>
        <v>282.04000000003725</v>
      </c>
      <c r="H148" s="99">
        <f>G148+'29'!H148</f>
        <v>-300.11999999999534</v>
      </c>
      <c r="I148" s="124"/>
      <c r="J148" s="328">
        <f>H148/DAY(B2)</f>
        <v>-10.003999999999845</v>
      </c>
    </row>
    <row r="149" spans="1:10" ht="30.75" customHeight="1" x14ac:dyDescent="0.5">
      <c r="A149" s="814" t="s">
        <v>336</v>
      </c>
      <c r="B149" s="815"/>
      <c r="C149" s="816"/>
      <c r="D149" s="227" t="s">
        <v>130</v>
      </c>
      <c r="E149" s="95">
        <f>'29'!F149</f>
        <v>9770.5</v>
      </c>
      <c r="F149" s="146">
        <v>10367</v>
      </c>
      <c r="G149" s="112">
        <f t="shared" si="11"/>
        <v>596.5</v>
      </c>
      <c r="H149" s="99">
        <f>G149+'29'!H149</f>
        <v>14419.259999999997</v>
      </c>
      <c r="I149" s="119"/>
      <c r="J149" s="328">
        <f>H149/DAY(B2)</f>
        <v>480.64199999999988</v>
      </c>
    </row>
    <row r="150" spans="1:10" ht="30.75" customHeight="1" x14ac:dyDescent="0.5">
      <c r="A150" s="814" t="s">
        <v>337</v>
      </c>
      <c r="B150" s="815"/>
      <c r="C150" s="816"/>
      <c r="D150" s="117" t="s">
        <v>130</v>
      </c>
      <c r="E150" s="95">
        <f>'29'!F150</f>
        <v>3603.3</v>
      </c>
      <c r="F150" s="233">
        <v>3832</v>
      </c>
      <c r="G150" s="112">
        <f t="shared" si="11"/>
        <v>228.69999999999982</v>
      </c>
      <c r="H150" s="99">
        <f>G150+'29'!H150</f>
        <v>-220</v>
      </c>
      <c r="I150" s="119"/>
      <c r="J150" s="328">
        <f>H150/DAY(B2)</f>
        <v>-7.333333333333333</v>
      </c>
    </row>
    <row r="151" spans="1:10" ht="30.75" customHeight="1" x14ac:dyDescent="0.5">
      <c r="A151" s="814" t="s">
        <v>338</v>
      </c>
      <c r="B151" s="815"/>
      <c r="C151" s="816"/>
      <c r="D151" s="117" t="s">
        <v>130</v>
      </c>
      <c r="E151" s="95">
        <f>'29'!F151</f>
        <v>77703</v>
      </c>
      <c r="F151" s="233">
        <v>77944</v>
      </c>
      <c r="G151" s="112">
        <f t="shared" si="11"/>
        <v>241</v>
      </c>
      <c r="H151" s="99">
        <f>G151+'29'!H151</f>
        <v>-273</v>
      </c>
      <c r="I151" s="119"/>
      <c r="J151" s="328">
        <f>H151/DAY(B2)</f>
        <v>-9.1</v>
      </c>
    </row>
    <row r="152" spans="1:10" ht="30.75" customHeight="1" x14ac:dyDescent="0.5">
      <c r="A152" s="814" t="s">
        <v>339</v>
      </c>
      <c r="B152" s="815"/>
      <c r="C152" s="816"/>
      <c r="D152" s="117" t="s">
        <v>130</v>
      </c>
      <c r="E152" s="95">
        <f>'29'!F152</f>
        <v>1030</v>
      </c>
      <c r="F152" s="233">
        <v>1077</v>
      </c>
      <c r="G152" s="112">
        <f t="shared" si="11"/>
        <v>47</v>
      </c>
      <c r="H152" s="99">
        <f>G152+'29'!H152</f>
        <v>-50</v>
      </c>
      <c r="I152" s="119"/>
      <c r="J152" s="328">
        <f>H152/DAY(B2)</f>
        <v>-1.6666666666666667</v>
      </c>
    </row>
    <row r="153" spans="1:10" ht="30.75" customHeight="1" x14ac:dyDescent="0.5">
      <c r="A153" s="817" t="s">
        <v>196</v>
      </c>
      <c r="B153" s="818"/>
      <c r="C153" s="365"/>
      <c r="D153" s="358"/>
      <c r="E153" s="360"/>
      <c r="F153" s="361"/>
      <c r="G153" s="362">
        <f>SUM(G138:G152)</f>
        <v>2897.7400000000057</v>
      </c>
      <c r="H153" s="363"/>
      <c r="I153" s="119">
        <f>G153-(G38+G52)</f>
        <v>988.81000000001268</v>
      </c>
      <c r="J153" s="366"/>
    </row>
    <row r="154" spans="1:10" ht="30.75" customHeight="1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0" ht="30.75" customHeight="1" x14ac:dyDescent="0.55000000000000004">
      <c r="A155" s="813" t="s">
        <v>345</v>
      </c>
      <c r="B155" s="813"/>
      <c r="C155" s="813"/>
      <c r="D155" s="117" t="s">
        <v>130</v>
      </c>
      <c r="E155" s="95">
        <f>'29'!F155</f>
        <v>11473</v>
      </c>
      <c r="F155" s="364">
        <v>12107</v>
      </c>
      <c r="G155" s="112">
        <f t="shared" ref="G155:G156" si="12">F155-E155</f>
        <v>634</v>
      </c>
      <c r="H155" s="99">
        <f>G155+'29'!H155</f>
        <v>-1365</v>
      </c>
      <c r="I155" s="364"/>
      <c r="J155" s="328">
        <f>H155/DAY(B2)</f>
        <v>-45.5</v>
      </c>
    </row>
    <row r="156" spans="1:10" ht="30.75" customHeight="1" x14ac:dyDescent="0.5">
      <c r="A156" s="813" t="s">
        <v>347</v>
      </c>
      <c r="B156" s="813"/>
      <c r="C156" s="813"/>
      <c r="D156" s="117" t="s">
        <v>130</v>
      </c>
      <c r="E156" s="95">
        <f>'29'!F156</f>
        <v>933</v>
      </c>
      <c r="F156" s="165">
        <v>979</v>
      </c>
      <c r="G156" s="112">
        <f t="shared" si="12"/>
        <v>46</v>
      </c>
      <c r="H156" s="99">
        <f>G156+'29'!H156</f>
        <v>-108.99999999999989</v>
      </c>
      <c r="I156" s="165"/>
      <c r="J156" s="328">
        <f>H156/DAY(B2)</f>
        <v>-3.6333333333333298</v>
      </c>
    </row>
    <row r="157" spans="1:10" ht="30.75" customHeight="1" x14ac:dyDescent="0.5">
      <c r="A157" s="814" t="s">
        <v>364</v>
      </c>
      <c r="B157" s="815"/>
      <c r="C157" s="816"/>
      <c r="D157" s="117" t="s">
        <v>130</v>
      </c>
      <c r="E157" s="95"/>
      <c r="F157" s="165">
        <v>1169</v>
      </c>
      <c r="G157" s="112"/>
      <c r="H157" s="99"/>
      <c r="I157" s="165"/>
      <c r="J157" s="328"/>
    </row>
    <row r="158" spans="1:10" ht="30.75" customHeight="1" x14ac:dyDescent="0.5">
      <c r="A158" s="814" t="s">
        <v>365</v>
      </c>
      <c r="B158" s="815"/>
      <c r="C158" s="816"/>
      <c r="D158" s="117" t="s">
        <v>130</v>
      </c>
      <c r="E158" s="95"/>
      <c r="F158" s="165">
        <v>7.76</v>
      </c>
      <c r="G158" s="112"/>
      <c r="H158" s="99"/>
      <c r="I158" s="165"/>
      <c r="J158" s="328"/>
    </row>
    <row r="159" spans="1:10" ht="30.75" customHeight="1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21"/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471152.04</v>
      </c>
      <c r="F161" s="235">
        <v>471153</v>
      </c>
      <c r="G161" s="238">
        <f t="shared" ref="G161:G165" si="13">F161-E161</f>
        <v>0.96000000002095476</v>
      </c>
      <c r="H161" s="99">
        <f>G161+'29'!H161</f>
        <v>-0.15999999997438863</v>
      </c>
      <c r="I161" s="236"/>
      <c r="J161" s="239">
        <f>H161/DAY(B2)</f>
        <v>-5.3333333324796211E-3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87511.6</v>
      </c>
      <c r="F162" s="235">
        <v>87545</v>
      </c>
      <c r="G162" s="238">
        <f t="shared" si="13"/>
        <v>33.399999999994179</v>
      </c>
      <c r="H162" s="99">
        <f>G162+'29'!H162</f>
        <v>-25</v>
      </c>
      <c r="I162" s="236"/>
      <c r="J162" s="239">
        <f>H162/DAY(B2)</f>
        <v>-0.83333333333333337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77753.8</v>
      </c>
      <c r="F163" s="235">
        <v>77791</v>
      </c>
      <c r="G163" s="238">
        <f t="shared" si="13"/>
        <v>37.19999999999709</v>
      </c>
      <c r="H163" s="99">
        <f>G163+'29'!H163</f>
        <v>-34</v>
      </c>
      <c r="I163" s="236"/>
      <c r="J163" s="239">
        <f>H163/DAY(B2)</f>
        <v>-1.1333333333333333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4241.2</v>
      </c>
      <c r="F164" s="235">
        <v>4242</v>
      </c>
      <c r="G164" s="238">
        <f t="shared" si="13"/>
        <v>0.8000000000001819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29635.200000000001</v>
      </c>
      <c r="F165" s="235">
        <v>29641</v>
      </c>
      <c r="G165" s="238">
        <f t="shared" si="13"/>
        <v>5.7999999999992724</v>
      </c>
      <c r="H165" s="99">
        <f>G165+'29'!H165</f>
        <v>-5</v>
      </c>
      <c r="I165" s="236"/>
      <c r="J165" s="239">
        <f>H165/DAY(B2)</f>
        <v>-0.16666666666666666</v>
      </c>
    </row>
    <row r="166" spans="1:10" ht="30.75" customHeight="1" x14ac:dyDescent="0.5">
      <c r="A166" s="822"/>
      <c r="B166" s="82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22"/>
      <c r="B167" s="82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22"/>
      <c r="B168" s="82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30.75" customHeight="1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6" t="s">
        <v>209</v>
      </c>
      <c r="B173" s="82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26" t="s">
        <v>75</v>
      </c>
      <c r="B174" s="827"/>
      <c r="C174" s="333"/>
      <c r="D174" s="228" t="s">
        <v>142</v>
      </c>
      <c r="E174" s="95">
        <f>'29'!F174</f>
        <v>38262</v>
      </c>
      <c r="F174" s="157">
        <v>38279</v>
      </c>
      <c r="G174" s="155">
        <f t="shared" ref="G174:G175" si="14">F174-E174</f>
        <v>17</v>
      </c>
      <c r="H174" s="99">
        <f>G174+'29'!H174</f>
        <v>-14</v>
      </c>
      <c r="I174" s="155"/>
      <c r="J174" s="178">
        <f>H174/DAY(B2)</f>
        <v>-0.46666666666666667</v>
      </c>
    </row>
    <row r="175" spans="1:10" ht="30.75" customHeight="1" x14ac:dyDescent="0.5">
      <c r="A175" s="826" t="s">
        <v>76</v>
      </c>
      <c r="B175" s="866"/>
      <c r="C175" s="827"/>
      <c r="D175" s="228" t="s">
        <v>142</v>
      </c>
      <c r="E175" s="95">
        <f>'29'!F175</f>
        <v>21498</v>
      </c>
      <c r="F175" s="155">
        <v>21510</v>
      </c>
      <c r="G175" s="155">
        <f t="shared" si="14"/>
        <v>12</v>
      </c>
      <c r="H175" s="99">
        <f>G175+'29'!H175</f>
        <v>-8</v>
      </c>
      <c r="I175" s="155"/>
      <c r="J175" s="178">
        <f>H175/DAY(B2)</f>
        <v>-0.26666666666666666</v>
      </c>
    </row>
    <row r="176" spans="1:10" ht="30.75" customHeight="1" x14ac:dyDescent="0.5">
      <c r="A176" s="817" t="s">
        <v>196</v>
      </c>
      <c r="B176" s="818"/>
      <c r="C176" s="485"/>
      <c r="D176" s="228" t="s">
        <v>142</v>
      </c>
      <c r="E176" s="95"/>
      <c r="F176" s="155"/>
      <c r="G176" s="155">
        <f>SUM(G173:G175)</f>
        <v>29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26" t="s">
        <v>210</v>
      </c>
      <c r="B178" s="827"/>
      <c r="C178" s="333"/>
      <c r="D178" s="228" t="s">
        <v>142</v>
      </c>
      <c r="E178" s="95">
        <f>'29'!F178</f>
        <v>79497</v>
      </c>
      <c r="F178" s="155">
        <v>79569</v>
      </c>
      <c r="G178" s="155">
        <f>F178-E178</f>
        <v>72</v>
      </c>
      <c r="H178" s="99">
        <f>G178+'29'!H178</f>
        <v>-45</v>
      </c>
      <c r="I178" s="155"/>
      <c r="J178" s="178">
        <f>H178/DAY(B2)</f>
        <v>-1.5</v>
      </c>
    </row>
    <row r="179" spans="1:10" ht="30.75" customHeight="1" x14ac:dyDescent="0.5">
      <c r="A179" s="826" t="s">
        <v>211</v>
      </c>
      <c r="B179" s="827"/>
      <c r="C179" s="333"/>
      <c r="D179" s="228" t="s">
        <v>142</v>
      </c>
      <c r="E179" s="95">
        <f>'29'!F179</f>
        <v>33915</v>
      </c>
      <c r="F179" s="155">
        <v>33915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26" t="s">
        <v>212</v>
      </c>
      <c r="B180" s="827"/>
      <c r="C180" s="333"/>
      <c r="D180" s="228" t="s">
        <v>142</v>
      </c>
      <c r="E180" s="95">
        <f>'29'!F180</f>
        <v>5471</v>
      </c>
      <c r="F180" s="155">
        <v>5471</v>
      </c>
      <c r="G180" s="155">
        <f t="shared" si="15"/>
        <v>0</v>
      </c>
      <c r="H180" s="99">
        <f>G180+'29'!H180</f>
        <v>-6</v>
      </c>
      <c r="I180" s="155"/>
      <c r="J180" s="178">
        <f>H180/DAY(B2)</f>
        <v>-0.2</v>
      </c>
    </row>
    <row r="181" spans="1:10" ht="30.75" customHeight="1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72</v>
      </c>
      <c r="H181" s="99">
        <f>G181+'29'!H181</f>
        <v>-51</v>
      </c>
      <c r="I181" s="155"/>
      <c r="J181" s="178">
        <f>H181/DAY(B2)</f>
        <v>-1.7</v>
      </c>
    </row>
    <row r="182" spans="1:10" ht="30.75" customHeight="1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26" t="s">
        <v>214</v>
      </c>
      <c r="B183" s="827"/>
      <c r="C183" s="334"/>
      <c r="D183" s="228" t="s">
        <v>142</v>
      </c>
      <c r="E183" s="95">
        <f>'29'!F183</f>
        <v>14923</v>
      </c>
      <c r="F183" s="157">
        <v>14938</v>
      </c>
      <c r="G183" s="157">
        <f>F183-E183</f>
        <v>15</v>
      </c>
      <c r="H183" s="99">
        <f>G183+'29'!H183</f>
        <v>-9</v>
      </c>
      <c r="I183" s="155"/>
      <c r="J183" s="178">
        <f>H183/DAY(B2)</f>
        <v>-0.3</v>
      </c>
    </row>
    <row r="184" spans="1:10" ht="30.75" customHeight="1" x14ac:dyDescent="0.5">
      <c r="A184" s="826" t="s">
        <v>215</v>
      </c>
      <c r="B184" s="827"/>
      <c r="C184" s="334"/>
      <c r="D184" s="228" t="s">
        <v>142</v>
      </c>
      <c r="E184" s="95">
        <f>'29'!F184</f>
        <v>10289</v>
      </c>
      <c r="F184" s="157">
        <v>10295</v>
      </c>
      <c r="G184" s="157">
        <f t="shared" ref="G184:G185" si="16">F184-E184</f>
        <v>6</v>
      </c>
      <c r="H184" s="99">
        <f>G184+'29'!H184</f>
        <v>-6</v>
      </c>
      <c r="I184" s="155"/>
      <c r="J184" s="178">
        <f>H184/DAY(B2)</f>
        <v>-0.2</v>
      </c>
    </row>
    <row r="185" spans="1:10" ht="30.75" customHeight="1" x14ac:dyDescent="0.5">
      <c r="A185" s="826" t="s">
        <v>216</v>
      </c>
      <c r="B185" s="82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21</v>
      </c>
      <c r="H186" s="99">
        <f>G186+'29'!H186</f>
        <v>-15</v>
      </c>
      <c r="I186" s="157"/>
      <c r="J186" s="178">
        <f>H186/DAY(B2)</f>
        <v>-0.5</v>
      </c>
    </row>
    <row r="187" spans="1:10" ht="30.75" customHeight="1" x14ac:dyDescent="0.5">
      <c r="A187" s="819" t="s">
        <v>217</v>
      </c>
      <c r="B187" s="820"/>
      <c r="C187" s="333"/>
      <c r="D187" s="228" t="s">
        <v>142</v>
      </c>
      <c r="E187" s="95"/>
      <c r="F187" s="159"/>
      <c r="G187" s="462">
        <f>G62+G19</f>
        <v>175</v>
      </c>
      <c r="H187" s="99">
        <f>G187+'29'!H187</f>
        <v>1608</v>
      </c>
      <c r="I187" s="158"/>
      <c r="J187" s="179">
        <f>H187/DAY(B2)</f>
        <v>53.6</v>
      </c>
    </row>
    <row r="188" spans="1:10" ht="30.75" customHeight="1" x14ac:dyDescent="0.5">
      <c r="A188" s="819" t="s">
        <v>218</v>
      </c>
      <c r="B188" s="820"/>
      <c r="C188" s="333"/>
      <c r="D188" s="230" t="s">
        <v>142</v>
      </c>
      <c r="E188" s="95"/>
      <c r="F188" s="159"/>
      <c r="G188" s="462">
        <f>G65+G66+G67+G69+G70</f>
        <v>174</v>
      </c>
      <c r="H188" s="99">
        <f>G188+'29'!H188</f>
        <v>-1953</v>
      </c>
      <c r="I188" s="158"/>
      <c r="J188" s="179">
        <f>H188/DAY(B2)</f>
        <v>-65.099999999999994</v>
      </c>
    </row>
    <row r="189" spans="1:10" ht="30.75" customHeight="1" x14ac:dyDescent="0.5">
      <c r="A189" s="819" t="s">
        <v>219</v>
      </c>
      <c r="B189" s="820"/>
      <c r="C189" s="333"/>
      <c r="D189" s="230" t="s">
        <v>142</v>
      </c>
      <c r="E189" s="95"/>
      <c r="F189" s="157"/>
      <c r="G189" s="459">
        <f>G181</f>
        <v>72</v>
      </c>
      <c r="H189" s="99">
        <f>G189+'29'!H189</f>
        <v>-1641</v>
      </c>
      <c r="I189" s="158"/>
      <c r="J189" s="179">
        <f>H189/DAY(B2)</f>
        <v>-54.7</v>
      </c>
    </row>
    <row r="190" spans="1:10" ht="30.75" customHeight="1" x14ac:dyDescent="0.5">
      <c r="A190" s="740" t="s">
        <v>360</v>
      </c>
      <c r="B190" s="741"/>
      <c r="C190" s="483"/>
      <c r="D190" s="480"/>
      <c r="E190" s="480">
        <v>52942.203000000001</v>
      </c>
      <c r="F190" s="480">
        <v>52948.703000000001</v>
      </c>
      <c r="G190" s="480">
        <f>F190-E190</f>
        <v>6.5</v>
      </c>
      <c r="H190" s="481"/>
      <c r="I190" s="480"/>
      <c r="J190" s="482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40" zoomScaleNormal="75" zoomScaleSheetLayoutView="4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357</v>
      </c>
      <c r="B2" s="262">
        <v>44561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2" t="s">
        <v>129</v>
      </c>
      <c r="B7" s="923"/>
      <c r="C7" s="924"/>
      <c r="D7" s="151" t="s">
        <v>130</v>
      </c>
      <c r="E7" s="95">
        <f>'30'!F7</f>
        <v>94000</v>
      </c>
      <c r="F7" s="95">
        <f>E7+23500</f>
        <v>117500</v>
      </c>
      <c r="G7" s="112">
        <f>F7-E7</f>
        <v>23500</v>
      </c>
      <c r="H7" s="99">
        <f>G7+'30'!H7</f>
        <v>642326</v>
      </c>
      <c r="I7" s="113">
        <f>'1'!I7</f>
        <v>12000</v>
      </c>
      <c r="J7" s="175">
        <f>H7/DAY(B2)</f>
        <v>20720.193548387098</v>
      </c>
      <c r="K7" s="172">
        <v>1375467</v>
      </c>
      <c r="L7" s="66"/>
      <c r="N7" s="87">
        <f>F7-'3'!E7</f>
        <v>-16556.899999999994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95">
        <f>E8+23500</f>
        <v>157065</v>
      </c>
      <c r="G8" s="115">
        <f>F8-E8</f>
        <v>23500</v>
      </c>
      <c r="H8" s="99">
        <f>G8+'30'!H8</f>
        <v>640412.83000000007</v>
      </c>
      <c r="I8" s="116"/>
      <c r="J8" s="175">
        <f>H8/DAY(B2)</f>
        <v>20658.478387096777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25" t="s">
        <v>132</v>
      </c>
      <c r="B9" s="926"/>
      <c r="C9" s="927"/>
      <c r="D9" s="151" t="s">
        <v>130</v>
      </c>
      <c r="E9" s="95">
        <f>'30'!F9</f>
        <v>277695.53000000003</v>
      </c>
      <c r="F9" s="601">
        <f>E9+14000</f>
        <v>291695.53000000003</v>
      </c>
      <c r="G9" s="112">
        <f>F9-E9</f>
        <v>14000</v>
      </c>
      <c r="H9" s="99">
        <f>G9+'30'!H9</f>
        <v>390200.53</v>
      </c>
      <c r="I9" s="124">
        <f>I7-J7</f>
        <v>-8720.1935483870984</v>
      </c>
      <c r="J9" s="175">
        <f>H9/DAY(B2)</f>
        <v>12587.113870967743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2" t="s">
        <v>133</v>
      </c>
      <c r="B10" s="923"/>
      <c r="C10" s="924"/>
      <c r="D10" s="151" t="s">
        <v>130</v>
      </c>
      <c r="E10" s="95">
        <f>'30'!F10</f>
        <v>111422.18</v>
      </c>
      <c r="F10" s="353">
        <f>E10+4500</f>
        <v>115922.18</v>
      </c>
      <c r="G10" s="112">
        <f t="shared" ref="G10:G12" si="0">F10-E10</f>
        <v>4500</v>
      </c>
      <c r="H10" s="99">
        <f>G10+'30'!H10</f>
        <v>170828.18</v>
      </c>
      <c r="I10" s="282"/>
      <c r="J10" s="175">
        <f>H10/DAY(B2)</f>
        <v>5510.5864516129031</v>
      </c>
      <c r="K10" s="79"/>
      <c r="L10" s="66"/>
      <c r="N10" s="87"/>
      <c r="O10" s="71"/>
    </row>
    <row r="11" spans="1:15" ht="21.95" customHeight="1" x14ac:dyDescent="0.4">
      <c r="A11" s="922" t="s">
        <v>134</v>
      </c>
      <c r="B11" s="923"/>
      <c r="C11" s="924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33300</v>
      </c>
      <c r="I11" s="282"/>
      <c r="J11" s="175">
        <f>H11/DAY(B2)</f>
        <v>1074.1935483870968</v>
      </c>
      <c r="K11" s="79"/>
      <c r="L11" s="66"/>
      <c r="N11" s="87"/>
      <c r="O11" s="71"/>
    </row>
    <row r="12" spans="1:15" ht="21.95" customHeight="1" x14ac:dyDescent="0.4">
      <c r="A12" s="922" t="s">
        <v>135</v>
      </c>
      <c r="B12" s="923"/>
      <c r="C12" s="92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36009</v>
      </c>
      <c r="I12" s="282"/>
      <c r="J12" s="175">
        <f>H12/DAY(B2)</f>
        <v>1161.5806451612902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G13+'30'!H13</f>
        <v>610872.46</v>
      </c>
      <c r="I13" s="120">
        <f>G7-G13</f>
        <v>5000</v>
      </c>
      <c r="J13" s="175">
        <f>H13/DAY(B2)</f>
        <v>19705.563225806451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54" t="s">
        <v>138</v>
      </c>
      <c r="B15" s="855"/>
      <c r="C15" s="856"/>
      <c r="D15" s="151" t="s">
        <v>139</v>
      </c>
      <c r="E15" s="95">
        <f>'30'!F15</f>
        <v>1907422</v>
      </c>
      <c r="F15" s="123">
        <f>E15+1100</f>
        <v>1908522</v>
      </c>
      <c r="G15" s="112">
        <f>(F15-E15)</f>
        <v>1100</v>
      </c>
      <c r="H15" s="99">
        <f>G15+'30'!H15</f>
        <v>30092</v>
      </c>
      <c r="I15" s="113">
        <f>'1'!I15</f>
        <v>800</v>
      </c>
      <c r="J15" s="175">
        <f>H15/DAY(B2)</f>
        <v>970.70967741935488</v>
      </c>
      <c r="K15" s="79"/>
      <c r="L15" s="66"/>
      <c r="N15" s="87"/>
      <c r="O15" s="71"/>
    </row>
    <row r="16" spans="1:15" ht="21.95" customHeight="1" x14ac:dyDescent="0.4">
      <c r="A16" s="919"/>
      <c r="B16" s="920"/>
      <c r="C16" s="921"/>
      <c r="D16" s="152"/>
      <c r="E16" s="123"/>
      <c r="F16" s="123"/>
      <c r="G16" s="112"/>
      <c r="H16" s="124"/>
      <c r="I16" s="120">
        <f>I15-J15</f>
        <v>-170.70967741935488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'30'!F18</f>
        <v>154</v>
      </c>
      <c r="F18" s="122">
        <f>E18+12</f>
        <v>166</v>
      </c>
      <c r="G18" s="119">
        <f>F18*10</f>
        <v>1660</v>
      </c>
      <c r="H18" s="99">
        <f>G18+'30'!H18</f>
        <v>14140</v>
      </c>
      <c r="I18" s="113">
        <f>'1'!I18</f>
        <v>65</v>
      </c>
      <c r="J18" s="175">
        <f>H18/DAY(B2)</f>
        <v>456.12903225806451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'30'!F19</f>
        <v>153839</v>
      </c>
      <c r="F19" s="122">
        <f>E19+55</f>
        <v>153894</v>
      </c>
      <c r="G19" s="112">
        <f t="shared" ref="G19" si="1">F19-E19</f>
        <v>55</v>
      </c>
      <c r="H19" s="99">
        <f>G19+'30'!H19</f>
        <v>1669</v>
      </c>
      <c r="I19" s="335"/>
      <c r="J19" s="175">
        <f>H19/DAY(B2)</f>
        <v>53.838709677419352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1715</v>
      </c>
      <c r="H20" s="99">
        <f>G20+'30'!H20</f>
        <v>15809</v>
      </c>
      <c r="I20" s="336">
        <f>I18-J20</f>
        <v>-444.96774193548384</v>
      </c>
      <c r="J20" s="175">
        <f>H20/DAY(B2)</f>
        <v>509.96774193548384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250</v>
      </c>
      <c r="I23" s="118"/>
      <c r="J23" s="175">
        <f>H23/DAY(B2)</f>
        <v>8.064516129032258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250</v>
      </c>
      <c r="I24" s="118"/>
      <c r="J24" s="175">
        <f>H24/DAY(B2)</f>
        <v>8.064516129032258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G27+'30'!H27</f>
        <v>5763715.4700000007</v>
      </c>
      <c r="I27" s="138"/>
      <c r="J27" s="175">
        <f>H27/DAY(B2)</f>
        <v>185926.30548387099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1564784</v>
      </c>
      <c r="I28" s="140"/>
      <c r="J28" s="175">
        <f>H28/DAY(B2)</f>
        <v>50476.903225806454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17250</v>
      </c>
      <c r="I29" s="140"/>
      <c r="J29" s="175">
        <f>H29/DAY(B2)</f>
        <v>556.45161290322585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G30+'30'!H30</f>
        <v>243674</v>
      </c>
      <c r="I30" s="140"/>
      <c r="J30" s="175">
        <f>H30/DAY(B2)</f>
        <v>7860.4516129032254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1660</v>
      </c>
      <c r="F31" s="136">
        <v>80</v>
      </c>
      <c r="G31" s="137">
        <f>E31*F31</f>
        <v>132800</v>
      </c>
      <c r="H31" s="99">
        <f>G31+'30'!H31</f>
        <v>1131200</v>
      </c>
      <c r="I31" s="140"/>
      <c r="J31" s="175">
        <f>H31/DAY(B2)</f>
        <v>36490.322580645159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409530</v>
      </c>
      <c r="H32" s="99">
        <f>G32+'30'!H32</f>
        <v>8720623.4700000025</v>
      </c>
      <c r="I32" s="144"/>
      <c r="J32" s="175">
        <f>H32/DAY(B2)</f>
        <v>281310.43451612914</v>
      </c>
      <c r="K32" s="63"/>
      <c r="L32" s="89"/>
      <c r="N32" s="87"/>
      <c r="O32" s="71"/>
    </row>
    <row r="33" spans="1:15" ht="25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150949</v>
      </c>
      <c r="F35" s="145">
        <v>152842</v>
      </c>
      <c r="G35" s="112">
        <f t="shared" ref="G35:G46" si="3">F35-E35</f>
        <v>1893</v>
      </c>
      <c r="H35" s="99">
        <f>G35+'30'!H35</f>
        <v>168042</v>
      </c>
      <c r="I35" s="95"/>
      <c r="J35" s="175">
        <f>H35/DAY(B2)</f>
        <v>5420.7096774193551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20670</v>
      </c>
      <c r="F36" s="145">
        <v>21527</v>
      </c>
      <c r="G36" s="112">
        <f t="shared" si="3"/>
        <v>857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193788</v>
      </c>
      <c r="F37" s="145">
        <v>195393</v>
      </c>
      <c r="G37" s="112">
        <f t="shared" si="3"/>
        <v>1605</v>
      </c>
      <c r="H37" s="99">
        <f>G37+'30'!H37</f>
        <v>207605</v>
      </c>
      <c r="I37" s="95"/>
      <c r="J37" s="175">
        <f>H37/DAY(B2)</f>
        <v>6696.9354838709678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230731</v>
      </c>
      <c r="F38" s="108">
        <v>232482</v>
      </c>
      <c r="G38" s="112">
        <f t="shared" si="3"/>
        <v>1751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408317</v>
      </c>
      <c r="F39" s="145">
        <v>411079</v>
      </c>
      <c r="G39" s="112">
        <f t="shared" si="3"/>
        <v>2762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5609</v>
      </c>
      <c r="F40" s="145">
        <v>5610</v>
      </c>
      <c r="G40" s="112">
        <f t="shared" si="3"/>
        <v>1</v>
      </c>
      <c r="H40" s="99">
        <f>G40+'30'!H40</f>
        <v>540.14999999999964</v>
      </c>
      <c r="I40" s="95"/>
      <c r="J40" s="175">
        <f>H40/DAY(B2)</f>
        <v>17.424193548387084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73809</v>
      </c>
      <c r="F42" s="145">
        <v>73809</v>
      </c>
      <c r="G42" s="112">
        <f t="shared" si="3"/>
        <v>0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44654</v>
      </c>
      <c r="F43" s="145">
        <v>47261</v>
      </c>
      <c r="G43" s="112">
        <f t="shared" si="3"/>
        <v>2607</v>
      </c>
      <c r="H43" s="99">
        <f>G43+'30'!H43</f>
        <v>3.637978807091713E-12</v>
      </c>
      <c r="I43" s="95"/>
      <c r="J43" s="175">
        <f>H43/DAY(B2)</f>
        <v>1.1735415506747461E-13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11476</v>
      </c>
      <c r="H47" s="99">
        <f>G47+'30'!H47</f>
        <v>1054630.1500000001</v>
      </c>
      <c r="I47" s="95"/>
      <c r="J47" s="175">
        <f>H47/DAY(B2)</f>
        <v>34020.327419354842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272240</v>
      </c>
      <c r="G49" s="112">
        <f t="shared" ref="G49:G58" si="4">F49-E49</f>
        <v>1432</v>
      </c>
      <c r="H49" s="99">
        <f>G49+'30'!H49</f>
        <v>285361.00000000006</v>
      </c>
      <c r="I49" s="95"/>
      <c r="J49" s="175">
        <f>H49/DAY(B2)</f>
        <v>9205.1935483870984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24650</v>
      </c>
      <c r="G50" s="112">
        <f t="shared" si="4"/>
        <v>1079</v>
      </c>
      <c r="H50" s="99">
        <f>G50+'30'!H50</f>
        <v>-1.8189894035458565E-12</v>
      </c>
      <c r="I50" s="95"/>
      <c r="J50" s="175">
        <f>H50/DAY(B2)</f>
        <v>-5.8677077533737304E-14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3183</v>
      </c>
      <c r="G54" s="112">
        <f t="shared" si="4"/>
        <v>4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145">
        <v>3511</v>
      </c>
      <c r="G55" s="112">
        <f t="shared" si="4"/>
        <v>3511</v>
      </c>
      <c r="H55" s="99">
        <f>G55+'30'!H55</f>
        <v>2254</v>
      </c>
      <c r="I55" s="95"/>
      <c r="J55" s="175">
        <f>H55/DAY(B2)</f>
        <v>72.709677419354833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92285</v>
      </c>
      <c r="G58" s="112">
        <f t="shared" si="4"/>
        <v>214</v>
      </c>
      <c r="H58" s="99">
        <f>G58+'30'!H58</f>
        <v>92625.63</v>
      </c>
      <c r="I58" s="95"/>
      <c r="J58" s="175">
        <f>H58/DAY(B2)</f>
        <v>2987.9235483870971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6240</v>
      </c>
      <c r="H59" s="99">
        <f>G59+'30'!H59</f>
        <v>385190.70999999996</v>
      </c>
      <c r="I59" s="95">
        <f>G7-G60</f>
        <v>5784</v>
      </c>
      <c r="J59" s="175">
        <f>H59/DAY(B2)</f>
        <v>12425.506774193547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17716</v>
      </c>
      <c r="H60" s="99">
        <f>G60+'30'!H60</f>
        <v>1439820.8599999999</v>
      </c>
      <c r="I60" s="95">
        <f>G13-G60</f>
        <v>784</v>
      </c>
      <c r="J60" s="175">
        <f>H60/DAY(B2)</f>
        <v>46445.834193548384</v>
      </c>
      <c r="K60" s="79"/>
      <c r="L60" s="66"/>
      <c r="N60" s="87"/>
      <c r="O60" s="71"/>
    </row>
    <row r="61" spans="1:15" s="68" customFormat="1" ht="27.75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'30'!F62</f>
        <v>267207</v>
      </c>
      <c r="F62" s="122">
        <v>267213</v>
      </c>
      <c r="G62" s="112">
        <f t="shared" ref="G62:G63" si="5">F62-E62</f>
        <v>6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'30'!F63</f>
        <v>212339</v>
      </c>
      <c r="F63" s="122">
        <v>212425</v>
      </c>
      <c r="G63" s="112">
        <f t="shared" si="5"/>
        <v>86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95">
        <f>'30'!F64</f>
        <v>0</v>
      </c>
      <c r="F64" s="122"/>
      <c r="G64" s="112">
        <f>G62+G63</f>
        <v>92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'30'!F65</f>
        <v>432520</v>
      </c>
      <c r="F65" s="122">
        <v>432614</v>
      </c>
      <c r="G65" s="112">
        <f t="shared" ref="G65:G70" si="6">F65-E65</f>
        <v>94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107195</v>
      </c>
      <c r="F66" s="122">
        <v>107214</v>
      </c>
      <c r="G66" s="112">
        <f t="shared" si="6"/>
        <v>19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103897</v>
      </c>
      <c r="F67" s="122">
        <v>103928</v>
      </c>
      <c r="G67" s="112">
        <f t="shared" si="6"/>
        <v>31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156596</v>
      </c>
      <c r="F68" s="122">
        <v>156620</v>
      </c>
      <c r="G68" s="112">
        <f t="shared" si="6"/>
        <v>24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10206</v>
      </c>
      <c r="F69" s="122">
        <v>10214</v>
      </c>
      <c r="G69" s="112">
        <f t="shared" si="6"/>
        <v>8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7855</v>
      </c>
      <c r="F70" s="122">
        <v>7862</v>
      </c>
      <c r="G70" s="112">
        <f t="shared" si="6"/>
        <v>7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95">
        <f>'30'!F71</f>
        <v>0</v>
      </c>
      <c r="F71" s="152"/>
      <c r="G71" s="153">
        <f>SUM(G65:G70)</f>
        <v>183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'30'!F74</f>
        <v>891763</v>
      </c>
      <c r="F74" s="123">
        <v>892032</v>
      </c>
      <c r="G74" s="112">
        <f t="shared" ref="G74:G78" si="7">F74-E74</f>
        <v>269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243.88999999999942</v>
      </c>
      <c r="I75" s="154"/>
      <c r="J75" s="175">
        <f>H75/DAY(B2)</f>
        <v>7.8674193548386908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'30'!F76</f>
        <v>167093</v>
      </c>
      <c r="F76" s="123">
        <v>167207</v>
      </c>
      <c r="G76" s="112">
        <f t="shared" si="7"/>
        <v>114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'30'!F77</f>
        <v>40267</v>
      </c>
      <c r="F77" s="494">
        <v>40316</v>
      </c>
      <c r="G77" s="112">
        <f t="shared" si="7"/>
        <v>49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'30'!F78</f>
        <v>9482</v>
      </c>
      <c r="F78" s="123">
        <v>9486</v>
      </c>
      <c r="G78" s="112">
        <f t="shared" si="7"/>
        <v>4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95">
        <f>'30'!F79</f>
        <v>0</v>
      </c>
      <c r="F79" s="123"/>
      <c r="G79" s="112">
        <f>G15-SUM(G74:G78)</f>
        <v>664</v>
      </c>
      <c r="H79" s="99">
        <f>G79+'30'!H79</f>
        <v>29848.109999999997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-77</v>
      </c>
      <c r="I82" s="118"/>
      <c r="J82" s="175">
        <f>H82/DAY(B2)</f>
        <v>-2.4838709677419355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2096.56</v>
      </c>
      <c r="F85" s="164">
        <v>2096.56</v>
      </c>
      <c r="G85" s="112">
        <f t="shared" si="8"/>
        <v>0</v>
      </c>
      <c r="H85" s="99">
        <f>G85+'30'!H85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42839</v>
      </c>
      <c r="F86" s="164">
        <v>42863</v>
      </c>
      <c r="G86" s="112">
        <f t="shared" si="8"/>
        <v>24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34598.550000000003</v>
      </c>
      <c r="G87" s="112">
        <f t="shared" si="8"/>
        <v>0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24041</v>
      </c>
      <c r="F88" s="164">
        <v>24047</v>
      </c>
      <c r="G88" s="112">
        <f t="shared" si="8"/>
        <v>6</v>
      </c>
      <c r="H88" s="99">
        <f>G88+'30'!H88</f>
        <v>0</v>
      </c>
      <c r="I88" s="118">
        <f>G86+G87+G88</f>
        <v>30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25661</v>
      </c>
      <c r="F89" s="164">
        <v>25663</v>
      </c>
      <c r="G89" s="112">
        <f t="shared" si="8"/>
        <v>2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71027</v>
      </c>
      <c r="F90" s="164">
        <v>71034</v>
      </c>
      <c r="G90" s="112">
        <f>F90-E90</f>
        <v>7</v>
      </c>
      <c r="H90" s="99">
        <f>G90+'30'!H90</f>
        <v>46</v>
      </c>
      <c r="I90" s="118">
        <f>G89+G90</f>
        <v>9</v>
      </c>
      <c r="J90" s="175">
        <f>H90/DAY(B2)</f>
        <v>1.4838709677419355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5429</v>
      </c>
      <c r="F92" s="122">
        <v>5438</v>
      </c>
      <c r="G92" s="112">
        <f t="shared" si="8"/>
        <v>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5932</v>
      </c>
      <c r="H94" s="99">
        <f>G94+'30'!H94</f>
        <v>453403</v>
      </c>
      <c r="I94" s="118"/>
      <c r="J94" s="175">
        <f>H94/DAY(B2)</f>
        <v>14625.903225806451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0.25242553191489364</v>
      </c>
      <c r="H95" s="99">
        <f>G95+'30'!H95</f>
        <v>20.375238424948567</v>
      </c>
      <c r="I95" s="167"/>
      <c r="J95" s="175">
        <f>H95/DAY(B2)</f>
        <v>0.65726575564350209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3511</v>
      </c>
      <c r="H96" s="99">
        <f>G96+'30'!H96</f>
        <v>2254</v>
      </c>
      <c r="I96" s="118"/>
      <c r="J96" s="175">
        <f>H96/DAY(B2)</f>
        <v>72.709677419354833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0.14940425531914894</v>
      </c>
      <c r="H97" s="99">
        <f>G97+'30'!H97</f>
        <v>0.71365702578068235</v>
      </c>
      <c r="I97" s="167"/>
      <c r="J97" s="175">
        <f>H97/DAY(B2)</f>
        <v>2.3021194380022012E-2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2762</v>
      </c>
      <c r="H98" s="99">
        <f>G98+'30'!H98</f>
        <v>432761</v>
      </c>
      <c r="I98" s="168"/>
      <c r="J98" s="175">
        <f>H98/DAY(B2)</f>
        <v>13960.032258064517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0.11753191489361701</v>
      </c>
      <c r="H99" s="99">
        <f>G99+'30'!H99</f>
        <v>18.961663125686012</v>
      </c>
      <c r="I99" s="168"/>
      <c r="J99" s="175">
        <f>H99/DAY(B2)</f>
        <v>0.61166655244148427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1751</v>
      </c>
      <c r="H100" s="99">
        <f>G100+'30'!H100</f>
        <v>245682</v>
      </c>
      <c r="I100" s="118"/>
      <c r="J100" s="175">
        <f>H100/DAY(B2)</f>
        <v>7925.2258064516127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7.4510638297872342E-2</v>
      </c>
      <c r="H101" s="99">
        <f>G101+'30'!H101</f>
        <v>10.790140039028435</v>
      </c>
      <c r="I101" s="168"/>
      <c r="J101" s="175">
        <f>H101/DAY(B2)</f>
        <v>0.34806903351704627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1936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8.2382978723404249E-2</v>
      </c>
      <c r="H103" s="99">
        <f>G103+'30'!H103</f>
        <v>0.33745258380358867</v>
      </c>
      <c r="I103" s="118"/>
      <c r="J103" s="175">
        <f>H103/DAY(B2)</f>
        <v>1.0885567219470602E-2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1605</v>
      </c>
      <c r="H104" s="99">
        <f>G104+'30'!H104</f>
        <v>207605</v>
      </c>
      <c r="I104" s="118"/>
      <c r="J104" s="175">
        <f>H104/DAY(B2)</f>
        <v>6696.9354838709678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6.8297872340425531E-2</v>
      </c>
      <c r="H105" s="99">
        <f>G105+'30'!H105</f>
        <v>9.1515276972601924</v>
      </c>
      <c r="I105" s="187"/>
      <c r="J105" s="188">
        <f>H105/DAY(B2)</f>
        <v>0.29521057087936103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7.75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33" t="s">
        <v>252</v>
      </c>
      <c r="B112" s="834"/>
      <c r="C112" s="835"/>
      <c r="D112" s="146" t="s">
        <v>183</v>
      </c>
      <c r="E112" s="95">
        <f>'30'!F112</f>
        <v>55612</v>
      </c>
      <c r="F112" s="237">
        <v>55681</v>
      </c>
      <c r="G112" s="112">
        <f t="shared" ref="G112:G123" si="9">F112-E112</f>
        <v>69</v>
      </c>
      <c r="H112" s="99">
        <f>G112+'30'!H112</f>
        <v>7739.4500000000044</v>
      </c>
      <c r="I112" s="165"/>
      <c r="J112" s="328">
        <f>H112/DAY(B2)</f>
        <v>249.65967741935498</v>
      </c>
    </row>
    <row r="113" spans="1:18" ht="27.75" x14ac:dyDescent="0.5">
      <c r="A113" s="833" t="s">
        <v>253</v>
      </c>
      <c r="B113" s="834"/>
      <c r="C113" s="835"/>
      <c r="D113" s="146" t="s">
        <v>183</v>
      </c>
      <c r="E113" s="95">
        <f>'30'!F113</f>
        <v>31737</v>
      </c>
      <c r="F113" s="237">
        <v>32195</v>
      </c>
      <c r="G113" s="112">
        <f t="shared" si="9"/>
        <v>458</v>
      </c>
      <c r="H113" s="99">
        <f>G113+'30'!H113</f>
        <v>0</v>
      </c>
      <c r="I113" s="165"/>
      <c r="J113" s="328">
        <f>H113/DAY(B2)</f>
        <v>0</v>
      </c>
    </row>
    <row r="114" spans="1:18" ht="27.75" x14ac:dyDescent="0.5">
      <c r="A114" s="833" t="s">
        <v>254</v>
      </c>
      <c r="B114" s="834"/>
      <c r="C114" s="835"/>
      <c r="D114" s="146" t="s">
        <v>183</v>
      </c>
      <c r="E114" s="95">
        <f>'30'!F114</f>
        <v>24596</v>
      </c>
      <c r="F114" s="237">
        <v>24871</v>
      </c>
      <c r="G114" s="112">
        <f t="shared" si="9"/>
        <v>275</v>
      </c>
      <c r="H114" s="99">
        <f>G114+'30'!H114</f>
        <v>-133.60000000000036</v>
      </c>
      <c r="I114" s="165"/>
      <c r="J114" s="328">
        <f>H114/DAY(B2)</f>
        <v>-4.3096774193548502</v>
      </c>
    </row>
    <row r="115" spans="1:18" ht="27.75" x14ac:dyDescent="0.5">
      <c r="A115" s="833" t="s">
        <v>255</v>
      </c>
      <c r="B115" s="834"/>
      <c r="C115" s="835"/>
      <c r="D115" s="146" t="s">
        <v>183</v>
      </c>
      <c r="E115" s="95">
        <f>'30'!F115</f>
        <v>8774</v>
      </c>
      <c r="F115" s="237">
        <v>8785</v>
      </c>
      <c r="G115" s="112">
        <f t="shared" si="9"/>
        <v>11</v>
      </c>
      <c r="H115" s="99">
        <f>G115+'30'!H115</f>
        <v>0</v>
      </c>
      <c r="I115" s="165"/>
      <c r="J115" s="328">
        <f>H115/DAY(B2)</f>
        <v>0</v>
      </c>
    </row>
    <row r="116" spans="1:18" ht="27.75" x14ac:dyDescent="0.5">
      <c r="A116" s="840" t="s">
        <v>96</v>
      </c>
      <c r="B116" s="841"/>
      <c r="C116" s="84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28">
        <f>H116/DAY(B2)</f>
        <v>0</v>
      </c>
      <c r="Q116" s="833"/>
      <c r="R116" s="835"/>
    </row>
    <row r="117" spans="1:18" ht="27.75" x14ac:dyDescent="0.5">
      <c r="A117" s="840" t="s">
        <v>184</v>
      </c>
      <c r="B117" s="841"/>
      <c r="C117" s="842"/>
      <c r="D117" s="146" t="s">
        <v>183</v>
      </c>
      <c r="E117" s="95">
        <f>'30'!F117</f>
        <v>2569</v>
      </c>
      <c r="F117" s="237">
        <v>2590</v>
      </c>
      <c r="G117" s="112">
        <f t="shared" si="9"/>
        <v>21</v>
      </c>
      <c r="H117" s="99">
        <f>G117+'30'!H117</f>
        <v>0</v>
      </c>
      <c r="I117" s="165"/>
      <c r="J117" s="328">
        <f>H117/DAY(B2)</f>
        <v>0</v>
      </c>
      <c r="Q117" s="833"/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95">
        <f>'30'!F118</f>
        <v>241294</v>
      </c>
      <c r="F118" s="237">
        <v>241647</v>
      </c>
      <c r="G118" s="112">
        <f t="shared" si="9"/>
        <v>353</v>
      </c>
      <c r="H118" s="99">
        <f>G118+'30'!H118</f>
        <v>0</v>
      </c>
      <c r="I118" s="165"/>
      <c r="J118" s="328">
        <f>H118/DAY(B2)</f>
        <v>0</v>
      </c>
      <c r="Q118" s="833"/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95">
        <f>'30'!F119</f>
        <v>244702</v>
      </c>
      <c r="F119" s="237">
        <v>245126</v>
      </c>
      <c r="G119" s="112">
        <f t="shared" si="9"/>
        <v>424</v>
      </c>
      <c r="H119" s="99">
        <f>G119+'30'!H119</f>
        <v>0</v>
      </c>
      <c r="I119" s="165"/>
      <c r="J119" s="328">
        <f>H119/DAY(B2)</f>
        <v>0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95">
        <f>'30'!F120</f>
        <v>29665</v>
      </c>
      <c r="F120" s="237">
        <v>30078</v>
      </c>
      <c r="G120" s="112">
        <f t="shared" si="9"/>
        <v>413</v>
      </c>
      <c r="H120" s="99">
        <f>G120+'30'!H120</f>
        <v>0</v>
      </c>
      <c r="I120" s="165"/>
      <c r="J120" s="328">
        <f>H120/DAY(B2)</f>
        <v>0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95">
        <f>'30'!F121</f>
        <v>375730</v>
      </c>
      <c r="F121" s="237">
        <v>376529</v>
      </c>
      <c r="G121" s="112">
        <f t="shared" si="9"/>
        <v>799</v>
      </c>
      <c r="H121" s="99">
        <f>G121+'30'!H121</f>
        <v>0</v>
      </c>
      <c r="I121" s="165"/>
      <c r="J121" s="328">
        <f>H121/DAY(B2)</f>
        <v>0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95">
        <f>'30'!F122</f>
        <v>119804</v>
      </c>
      <c r="F122" s="237">
        <v>120050</v>
      </c>
      <c r="G122" s="112">
        <f t="shared" si="9"/>
        <v>246</v>
      </c>
      <c r="H122" s="99">
        <f>G122+'30'!H122</f>
        <v>0</v>
      </c>
      <c r="I122" s="165"/>
      <c r="J122" s="328">
        <f>H122/DAY(B2)</f>
        <v>0</v>
      </c>
    </row>
    <row r="123" spans="1:18" ht="27.75" x14ac:dyDescent="0.5">
      <c r="A123" s="832" t="s">
        <v>348</v>
      </c>
      <c r="B123" s="832"/>
      <c r="C123" s="832"/>
      <c r="D123" s="151" t="s">
        <v>183</v>
      </c>
      <c r="E123" s="95">
        <f>'30'!F123</f>
        <v>144787</v>
      </c>
      <c r="F123" s="237">
        <v>145125</v>
      </c>
      <c r="G123" s="112">
        <f t="shared" si="9"/>
        <v>338</v>
      </c>
      <c r="H123" s="99">
        <f>G123+'30'!H123</f>
        <v>0</v>
      </c>
      <c r="I123" s="165"/>
      <c r="J123" s="328">
        <f>H123/DAY(B2)</f>
        <v>0</v>
      </c>
    </row>
    <row r="124" spans="1:18" ht="27.75" x14ac:dyDescent="0.5">
      <c r="A124" s="837"/>
      <c r="B124" s="838"/>
      <c r="C124" s="839"/>
      <c r="D124" s="165"/>
      <c r="E124" s="95">
        <f>'30'!F124</f>
        <v>0</v>
      </c>
      <c r="F124" s="165"/>
      <c r="G124" s="327"/>
      <c r="H124" s="99">
        <f>G124+'30'!H124</f>
        <v>0</v>
      </c>
      <c r="I124" s="165"/>
      <c r="J124" s="327"/>
    </row>
    <row r="125" spans="1:18" ht="27.75" x14ac:dyDescent="0.5">
      <c r="A125" s="817" t="s">
        <v>196</v>
      </c>
      <c r="B125" s="918"/>
      <c r="C125" s="818"/>
      <c r="D125" s="307"/>
      <c r="E125" s="308"/>
      <c r="F125" s="308"/>
      <c r="G125" s="309">
        <f>SUM(G112:G124)</f>
        <v>3407</v>
      </c>
      <c r="H125" s="156"/>
      <c r="I125" s="327">
        <f>G125-(G39+G53)</f>
        <v>645</v>
      </c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G127+'30'!H127</f>
        <v>0</v>
      </c>
      <c r="I127" s="165"/>
      <c r="J127" s="328">
        <f>H127/DAY(B2)</f>
        <v>0</v>
      </c>
    </row>
    <row r="128" spans="1:18" ht="27.75" x14ac:dyDescent="0.5">
      <c r="A128" s="833" t="s">
        <v>318</v>
      </c>
      <c r="B128" s="834"/>
      <c r="C128" s="835"/>
      <c r="D128" s="151" t="s">
        <v>183</v>
      </c>
      <c r="E128" s="95">
        <f>'30'!F128</f>
        <v>37627</v>
      </c>
      <c r="F128" s="165">
        <v>38004</v>
      </c>
      <c r="G128" s="112">
        <f t="shared" ref="G128:G134" si="10">F128-E128</f>
        <v>377</v>
      </c>
      <c r="H128" s="99">
        <f>G128+'30'!H128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20114</v>
      </c>
      <c r="F129" s="165">
        <v>20321</v>
      </c>
      <c r="G129" s="112">
        <f t="shared" si="10"/>
        <v>207</v>
      </c>
      <c r="H129" s="99">
        <f>G129+'30'!H129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17602</v>
      </c>
      <c r="F130" s="165">
        <v>18382</v>
      </c>
      <c r="G130" s="112">
        <f t="shared" si="10"/>
        <v>780</v>
      </c>
      <c r="H130" s="99">
        <f>G130+'30'!H130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833" t="s">
        <v>321</v>
      </c>
      <c r="B131" s="834"/>
      <c r="C131" s="835"/>
      <c r="D131" s="151" t="s">
        <v>183</v>
      </c>
      <c r="E131" s="95">
        <f>'30'!F131</f>
        <v>13076</v>
      </c>
      <c r="F131" s="165">
        <v>13153</v>
      </c>
      <c r="G131" s="112">
        <f t="shared" si="10"/>
        <v>77</v>
      </c>
      <c r="H131" s="99">
        <f>G131+'30'!H131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833" t="s">
        <v>322</v>
      </c>
      <c r="B132" s="834"/>
      <c r="C132" s="835"/>
      <c r="D132" s="151" t="s">
        <v>183</v>
      </c>
      <c r="E132" s="95">
        <f>'30'!F132</f>
        <v>40577</v>
      </c>
      <c r="F132" s="165">
        <v>41023</v>
      </c>
      <c r="G132" s="112">
        <f t="shared" si="10"/>
        <v>446</v>
      </c>
      <c r="H132" s="99">
        <f>G132+'30'!H132</f>
        <v>-35189.630000000005</v>
      </c>
      <c r="I132" s="165"/>
      <c r="J132" s="328">
        <f>H132/DAY(B2)</f>
        <v>-1135.1493548387098</v>
      </c>
    </row>
    <row r="133" spans="1:15" ht="27.75" x14ac:dyDescent="0.5">
      <c r="A133" s="833" t="s">
        <v>362</v>
      </c>
      <c r="B133" s="834"/>
      <c r="C133" s="835"/>
      <c r="D133" s="151" t="s">
        <v>183</v>
      </c>
      <c r="E133" s="95">
        <f>'30'!F133</f>
        <v>87056</v>
      </c>
      <c r="F133" s="165">
        <v>87703</v>
      </c>
      <c r="G133" s="112">
        <f t="shared" si="10"/>
        <v>647</v>
      </c>
      <c r="H133" s="99">
        <f>G133+'30'!H133</f>
        <v>0</v>
      </c>
      <c r="I133" s="165"/>
      <c r="J133" s="328">
        <f>H133/DAY(B2)</f>
        <v>0</v>
      </c>
    </row>
    <row r="134" spans="1:15" ht="27.75" x14ac:dyDescent="0.5">
      <c r="A134" s="833" t="s">
        <v>340</v>
      </c>
      <c r="B134" s="834"/>
      <c r="C134" s="835"/>
      <c r="D134" s="151" t="s">
        <v>183</v>
      </c>
      <c r="E134" s="95">
        <f>'30'!F134</f>
        <v>668262</v>
      </c>
      <c r="F134" s="165">
        <v>668880</v>
      </c>
      <c r="G134" s="112">
        <f t="shared" si="10"/>
        <v>618</v>
      </c>
      <c r="H134" s="99">
        <f>G134+'30'!H134</f>
        <v>671174</v>
      </c>
      <c r="I134" s="165"/>
      <c r="J134" s="328">
        <f>H134/DAY(B2)</f>
        <v>21650.774193548386</v>
      </c>
    </row>
    <row r="135" spans="1:15" ht="27.75" x14ac:dyDescent="0.5">
      <c r="A135" s="817" t="s">
        <v>196</v>
      </c>
      <c r="B135" s="918"/>
      <c r="C135" s="818"/>
      <c r="D135" s="151"/>
      <c r="E135" s="95"/>
      <c r="F135" s="165"/>
      <c r="G135" s="112">
        <f>SUM(G128:G134)</f>
        <v>3152</v>
      </c>
      <c r="H135" s="99">
        <f>G135+'23'!H135</f>
        <v>37175.29</v>
      </c>
      <c r="I135" s="327">
        <f>G135-(G35+G49)</f>
        <v>-173</v>
      </c>
      <c r="J135" s="328"/>
    </row>
    <row r="136" spans="1:15" ht="31.5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'30'!F138</f>
        <v>864069</v>
      </c>
      <c r="F138" s="147">
        <v>864171</v>
      </c>
      <c r="G138" s="112">
        <f t="shared" ref="G138:G152" si="11">F138-E138</f>
        <v>102</v>
      </c>
      <c r="H138" s="99">
        <f>G138+'30'!H138</f>
        <v>0</v>
      </c>
      <c r="I138" s="118"/>
      <c r="J138" s="328">
        <f>H138/DAY(B2)</f>
        <v>0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'30'!F139</f>
        <v>886546</v>
      </c>
      <c r="F139" s="148">
        <v>886546</v>
      </c>
      <c r="G139" s="112">
        <f t="shared" si="11"/>
        <v>0</v>
      </c>
      <c r="H139" s="99">
        <f>G139+'30'!H139</f>
        <v>0</v>
      </c>
      <c r="I139" s="118"/>
      <c r="J139" s="328">
        <f>H139/DAY(B2)</f>
        <v>0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'30'!F140</f>
        <v>88882</v>
      </c>
      <c r="F140" s="149">
        <v>88882</v>
      </c>
      <c r="G140" s="112">
        <f t="shared" si="11"/>
        <v>0</v>
      </c>
      <c r="H140" s="99">
        <f>G140+'30'!H140</f>
        <v>0</v>
      </c>
      <c r="I140" s="118"/>
      <c r="J140" s="328">
        <f>H140/DAY(B2)</f>
        <v>0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'30'!F141</f>
        <v>49098</v>
      </c>
      <c r="F141" s="149">
        <v>49306</v>
      </c>
      <c r="G141" s="112">
        <f t="shared" si="11"/>
        <v>208</v>
      </c>
      <c r="H141" s="99">
        <f>G141+'30'!H141</f>
        <v>0</v>
      </c>
      <c r="I141" s="118"/>
      <c r="J141" s="328">
        <f>H141/DAY(B2)</f>
        <v>0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'30'!F142</f>
        <v>18931</v>
      </c>
      <c r="F142" s="148">
        <v>19009</v>
      </c>
      <c r="G142" s="112">
        <f t="shared" si="11"/>
        <v>78</v>
      </c>
      <c r="H142" s="99">
        <f>G142+'30'!H142</f>
        <v>0</v>
      </c>
      <c r="I142" s="140"/>
      <c r="J142" s="328">
        <f>H142/DAY(B2)</f>
        <v>0</v>
      </c>
    </row>
    <row r="143" spans="1:15" ht="27.75" x14ac:dyDescent="0.5">
      <c r="A143" s="832" t="s">
        <v>91</v>
      </c>
      <c r="B143" s="832"/>
      <c r="C143" s="832"/>
      <c r="D143" s="151" t="s">
        <v>183</v>
      </c>
      <c r="E143" s="95">
        <f>'30'!F143</f>
        <v>3040</v>
      </c>
      <c r="F143" s="149">
        <v>3061</v>
      </c>
      <c r="G143" s="112">
        <f t="shared" si="11"/>
        <v>21</v>
      </c>
      <c r="H143" s="99">
        <f>G143+'30'!H143</f>
        <v>0</v>
      </c>
      <c r="I143" s="140"/>
      <c r="J143" s="328">
        <f>H143/DAY(B2)</f>
        <v>0</v>
      </c>
    </row>
    <row r="144" spans="1:15" ht="27.75" x14ac:dyDescent="0.5">
      <c r="A144" s="813" t="s">
        <v>90</v>
      </c>
      <c r="B144" s="813"/>
      <c r="C144" s="813"/>
      <c r="D144" s="151" t="s">
        <v>183</v>
      </c>
      <c r="E144" s="95">
        <f>'30'!F144</f>
        <v>869441</v>
      </c>
      <c r="F144" s="149">
        <v>869670</v>
      </c>
      <c r="G144" s="112">
        <f t="shared" si="11"/>
        <v>229</v>
      </c>
      <c r="H144" s="99">
        <f>G144+'30'!H144</f>
        <v>0</v>
      </c>
      <c r="I144" s="140"/>
      <c r="J144" s="328">
        <f>H144/DAY(B2)</f>
        <v>0</v>
      </c>
    </row>
    <row r="145" spans="1:11" ht="27.75" x14ac:dyDescent="0.5">
      <c r="A145" s="832" t="s">
        <v>190</v>
      </c>
      <c r="B145" s="832"/>
      <c r="C145" s="832"/>
      <c r="D145" s="152" t="s">
        <v>183</v>
      </c>
      <c r="E145" s="95">
        <f>'30'!F145</f>
        <v>4544</v>
      </c>
      <c r="F145" s="149">
        <v>4558</v>
      </c>
      <c r="G145" s="112">
        <f t="shared" si="11"/>
        <v>14</v>
      </c>
      <c r="H145" s="99">
        <f>G145+'30'!H145</f>
        <v>0</v>
      </c>
      <c r="I145" s="140"/>
      <c r="J145" s="328">
        <f>H145/DAY(B2)</f>
        <v>0</v>
      </c>
    </row>
    <row r="146" spans="1:11" ht="27.75" x14ac:dyDescent="0.5">
      <c r="A146" s="867" t="s">
        <v>191</v>
      </c>
      <c r="B146" s="852"/>
      <c r="C146" s="853"/>
      <c r="D146" s="152" t="s">
        <v>183</v>
      </c>
      <c r="E146" s="95">
        <f>'30'!F146</f>
        <v>724396</v>
      </c>
      <c r="F146" s="148">
        <v>724858</v>
      </c>
      <c r="G146" s="112">
        <f t="shared" si="11"/>
        <v>462</v>
      </c>
      <c r="H146" s="99">
        <f>G146+'30'!H146</f>
        <v>0</v>
      </c>
      <c r="I146" s="140"/>
      <c r="J146" s="328">
        <f>H146/DAY(B2)</f>
        <v>0</v>
      </c>
    </row>
    <row r="147" spans="1:11" ht="27.75" x14ac:dyDescent="0.5">
      <c r="A147" s="813" t="s">
        <v>192</v>
      </c>
      <c r="B147" s="813"/>
      <c r="C147" s="813"/>
      <c r="D147" s="152" t="s">
        <v>183</v>
      </c>
      <c r="E147" s="95">
        <f>'30'!F147</f>
        <v>614855</v>
      </c>
      <c r="F147" s="148">
        <v>615282</v>
      </c>
      <c r="G147" s="112">
        <f t="shared" si="11"/>
        <v>427</v>
      </c>
      <c r="H147" s="99">
        <f>G147+'30'!H147</f>
        <v>0</v>
      </c>
      <c r="I147" s="140"/>
      <c r="J147" s="328">
        <f>H147/DAY(B2)</f>
        <v>0</v>
      </c>
    </row>
    <row r="148" spans="1:11" ht="27.75" x14ac:dyDescent="0.5">
      <c r="A148" s="814" t="s">
        <v>193</v>
      </c>
      <c r="B148" s="815"/>
      <c r="C148" s="816"/>
      <c r="D148" s="123" t="s">
        <v>130</v>
      </c>
      <c r="E148" s="95">
        <f>'30'!F148</f>
        <v>682733</v>
      </c>
      <c r="F148" s="150">
        <v>683033.12</v>
      </c>
      <c r="G148" s="112">
        <f t="shared" si="11"/>
        <v>300.11999999999534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14" t="s">
        <v>336</v>
      </c>
      <c r="B149" s="815"/>
      <c r="C149" s="816"/>
      <c r="D149" s="227" t="s">
        <v>130</v>
      </c>
      <c r="E149" s="95">
        <f>'30'!F149</f>
        <v>10367</v>
      </c>
      <c r="F149" s="146">
        <v>10749</v>
      </c>
      <c r="G149" s="112">
        <f t="shared" si="11"/>
        <v>382</v>
      </c>
      <c r="H149" s="99">
        <f>G149+'30'!H149</f>
        <v>14801.259999999997</v>
      </c>
      <c r="I149" s="119"/>
      <c r="J149" s="328">
        <f>H149/DAY(B2)</f>
        <v>477.45999999999987</v>
      </c>
    </row>
    <row r="150" spans="1:11" ht="27.75" x14ac:dyDescent="0.5">
      <c r="A150" s="814" t="s">
        <v>337</v>
      </c>
      <c r="B150" s="815"/>
      <c r="C150" s="816"/>
      <c r="D150" s="117" t="s">
        <v>130</v>
      </c>
      <c r="E150" s="95">
        <f>'30'!F150</f>
        <v>3832</v>
      </c>
      <c r="F150" s="233">
        <v>4052</v>
      </c>
      <c r="G150" s="112">
        <f t="shared" si="11"/>
        <v>220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14" t="s">
        <v>338</v>
      </c>
      <c r="B151" s="815"/>
      <c r="C151" s="816"/>
      <c r="D151" s="117" t="s">
        <v>130</v>
      </c>
      <c r="E151" s="95">
        <f>'30'!F151</f>
        <v>77944</v>
      </c>
      <c r="F151" s="233">
        <v>78217</v>
      </c>
      <c r="G151" s="112">
        <f t="shared" si="11"/>
        <v>273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14" t="s">
        <v>339</v>
      </c>
      <c r="B152" s="815"/>
      <c r="C152" s="816"/>
      <c r="D152" s="117" t="s">
        <v>130</v>
      </c>
      <c r="E152" s="95">
        <f>'30'!F152</f>
        <v>1077</v>
      </c>
      <c r="F152" s="233">
        <v>1127</v>
      </c>
      <c r="G152" s="112">
        <f t="shared" si="11"/>
        <v>50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17" t="s">
        <v>196</v>
      </c>
      <c r="B153" s="918"/>
      <c r="C153" s="818"/>
      <c r="D153" s="358"/>
      <c r="E153" s="360"/>
      <c r="F153" s="361"/>
      <c r="G153" s="362">
        <f>SUM(G138:G152)</f>
        <v>2766.1199999999953</v>
      </c>
      <c r="H153" s="363"/>
      <c r="I153" s="119">
        <f>G153-(G38+G52)</f>
        <v>1015.1199999999953</v>
      </c>
      <c r="J153" s="366"/>
    </row>
    <row r="154" spans="1:11" ht="31.5" x14ac:dyDescent="0.55000000000000004">
      <c r="A154" s="821" t="s">
        <v>344</v>
      </c>
      <c r="B154" s="821"/>
      <c r="C154" s="821"/>
      <c r="D154" s="821"/>
      <c r="E154" s="821"/>
      <c r="F154" s="821"/>
      <c r="G154" s="821"/>
      <c r="H154" s="821"/>
      <c r="I154" s="821"/>
      <c r="J154" s="821"/>
    </row>
    <row r="155" spans="1:11" ht="31.5" x14ac:dyDescent="0.55000000000000004">
      <c r="A155" s="813" t="s">
        <v>345</v>
      </c>
      <c r="B155" s="813"/>
      <c r="C155" s="813"/>
      <c r="D155" s="117" t="s">
        <v>130</v>
      </c>
      <c r="E155" s="95">
        <f>'30'!F155</f>
        <v>12107</v>
      </c>
      <c r="F155" s="364">
        <v>12792</v>
      </c>
      <c r="G155" s="112">
        <f t="shared" ref="G155:G158" si="12">F155-E155</f>
        <v>685</v>
      </c>
      <c r="H155" s="99">
        <f>G155+'30'!H155</f>
        <v>-680</v>
      </c>
      <c r="I155" s="364"/>
      <c r="J155" s="328">
        <f>H155/DAY(B2)</f>
        <v>-21.93548387096774</v>
      </c>
    </row>
    <row r="156" spans="1:11" ht="27.75" x14ac:dyDescent="0.5">
      <c r="A156" s="813" t="s">
        <v>347</v>
      </c>
      <c r="B156" s="813"/>
      <c r="C156" s="813"/>
      <c r="D156" s="117" t="s">
        <v>130</v>
      </c>
      <c r="E156" s="95">
        <f>'30'!F156</f>
        <v>979</v>
      </c>
      <c r="F156" s="155">
        <v>1034</v>
      </c>
      <c r="G156" s="112">
        <f t="shared" si="12"/>
        <v>55</v>
      </c>
      <c r="H156" s="99">
        <f>G156+'30'!H156</f>
        <v>-53.999999999999886</v>
      </c>
      <c r="I156" s="165"/>
      <c r="J156" s="328">
        <f>H156/DAY(B2)</f>
        <v>-1.741935483870964</v>
      </c>
    </row>
    <row r="157" spans="1:11" ht="27.75" x14ac:dyDescent="0.5">
      <c r="A157" s="814" t="s">
        <v>364</v>
      </c>
      <c r="B157" s="815"/>
      <c r="C157" s="816"/>
      <c r="D157" s="117" t="s">
        <v>130</v>
      </c>
      <c r="E157" s="95">
        <f>'30'!F157</f>
        <v>1169</v>
      </c>
      <c r="F157" s="95">
        <v>1236</v>
      </c>
      <c r="G157" s="112">
        <f t="shared" si="12"/>
        <v>67</v>
      </c>
      <c r="H157" s="99">
        <f>G157+'30'!H157</f>
        <v>67</v>
      </c>
      <c r="I157" s="99"/>
      <c r="J157" s="165"/>
      <c r="K157" s="328"/>
    </row>
    <row r="158" spans="1:11" ht="27.75" x14ac:dyDescent="0.5">
      <c r="A158" s="814" t="s">
        <v>365</v>
      </c>
      <c r="B158" s="815"/>
      <c r="C158" s="816"/>
      <c r="D158" s="117" t="s">
        <v>130</v>
      </c>
      <c r="E158" s="95">
        <f>'30'!F158</f>
        <v>7.76</v>
      </c>
      <c r="F158" s="155">
        <v>7.83</v>
      </c>
      <c r="G158" s="112">
        <f t="shared" si="12"/>
        <v>7.0000000000000284E-2</v>
      </c>
      <c r="H158" s="99">
        <f>G158+'30'!H158</f>
        <v>7.0000000000000284E-2</v>
      </c>
      <c r="I158" s="165"/>
      <c r="J158" s="328"/>
    </row>
    <row r="159" spans="1:11" ht="27.75" x14ac:dyDescent="0.5">
      <c r="A159" s="897"/>
      <c r="B159" s="898"/>
      <c r="C159" s="899"/>
      <c r="D159" s="117"/>
      <c r="E159" s="95"/>
      <c r="F159" s="165"/>
      <c r="G159" s="112"/>
      <c r="H159" s="99"/>
      <c r="I159" s="165"/>
      <c r="J159" s="328"/>
    </row>
    <row r="160" spans="1:11" ht="31.5" x14ac:dyDescent="0.55000000000000004">
      <c r="A160" s="821" t="s">
        <v>326</v>
      </c>
      <c r="B160" s="821"/>
      <c r="C160" s="821"/>
      <c r="D160" s="821"/>
      <c r="E160" s="821"/>
      <c r="F160" s="821"/>
      <c r="G160" s="821"/>
      <c r="H160" s="821"/>
      <c r="I160" s="821"/>
      <c r="J160" s="821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471153</v>
      </c>
      <c r="F161" s="235">
        <v>471163.16</v>
      </c>
      <c r="G161" s="238">
        <f t="shared" ref="G161:G165" si="13">F161-E161</f>
        <v>10.159999999974389</v>
      </c>
      <c r="H161" s="99">
        <f>G161+'30'!H161</f>
        <v>10</v>
      </c>
      <c r="I161" s="236"/>
      <c r="J161" s="239">
        <f>H161/DAY(B2)</f>
        <v>0.32258064516129031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87545</v>
      </c>
      <c r="F162" s="235">
        <v>87570</v>
      </c>
      <c r="G162" s="238">
        <f t="shared" si="13"/>
        <v>25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77791</v>
      </c>
      <c r="F163" s="235">
        <v>77825</v>
      </c>
      <c r="G163" s="238">
        <f t="shared" si="13"/>
        <v>34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4242</v>
      </c>
      <c r="F164" s="235">
        <v>4242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29641</v>
      </c>
      <c r="F165" s="235">
        <v>29646</v>
      </c>
      <c r="G165" s="238">
        <f t="shared" si="13"/>
        <v>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22"/>
      <c r="B166" s="822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22"/>
      <c r="B167" s="822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22"/>
      <c r="B168" s="822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3" t="s">
        <v>330</v>
      </c>
      <c r="B171" s="824"/>
      <c r="C171" s="824"/>
      <c r="D171" s="824"/>
      <c r="E171" s="824"/>
      <c r="F171" s="824"/>
      <c r="G171" s="824"/>
      <c r="H171" s="824"/>
      <c r="I171" s="824"/>
      <c r="J171" s="825"/>
    </row>
    <row r="172" spans="1:10" ht="27.75" x14ac:dyDescent="0.5">
      <c r="A172" s="830"/>
      <c r="B172" s="83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6" t="s">
        <v>209</v>
      </c>
      <c r="B173" s="827"/>
      <c r="C173" s="333"/>
      <c r="D173" s="228" t="s">
        <v>142</v>
      </c>
      <c r="E173" s="95">
        <f>'30'!F173</f>
        <v>8126</v>
      </c>
      <c r="F173" s="155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26" t="s">
        <v>75</v>
      </c>
      <c r="B174" s="827"/>
      <c r="C174" s="333"/>
      <c r="D174" s="228" t="s">
        <v>142</v>
      </c>
      <c r="E174" s="95">
        <f>'30'!F174</f>
        <v>38279</v>
      </c>
      <c r="F174" s="157">
        <v>38293</v>
      </c>
      <c r="G174" s="155">
        <f t="shared" ref="G174:G175" si="14">F174-E174</f>
        <v>14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26" t="s">
        <v>76</v>
      </c>
      <c r="B175" s="866"/>
      <c r="C175" s="827"/>
      <c r="D175" s="228" t="s">
        <v>142</v>
      </c>
      <c r="E175" s="95">
        <f>'30'!F175</f>
        <v>21510</v>
      </c>
      <c r="F175" s="155">
        <v>21518</v>
      </c>
      <c r="G175" s="155">
        <f t="shared" si="14"/>
        <v>8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17" t="s">
        <v>196</v>
      </c>
      <c r="B176" s="918"/>
      <c r="C176" s="818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26" t="s">
        <v>77</v>
      </c>
      <c r="B177" s="82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26" t="s">
        <v>210</v>
      </c>
      <c r="B178" s="827"/>
      <c r="C178" s="333"/>
      <c r="D178" s="228" t="s">
        <v>142</v>
      </c>
      <c r="E178" s="95">
        <f>'30'!F178</f>
        <v>79569</v>
      </c>
      <c r="F178" s="155">
        <v>79614</v>
      </c>
      <c r="G178" s="155">
        <f>F178-E178</f>
        <v>45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26" t="s">
        <v>211</v>
      </c>
      <c r="B179" s="827"/>
      <c r="C179" s="333"/>
      <c r="D179" s="228" t="s">
        <v>142</v>
      </c>
      <c r="E179" s="95">
        <f>'30'!F179</f>
        <v>33915</v>
      </c>
      <c r="F179" s="155">
        <v>33915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26" t="s">
        <v>212</v>
      </c>
      <c r="B180" s="827"/>
      <c r="C180" s="333"/>
      <c r="D180" s="228" t="s">
        <v>142</v>
      </c>
      <c r="E180" s="95">
        <f>'30'!F180</f>
        <v>5471</v>
      </c>
      <c r="F180" s="155">
        <v>5477</v>
      </c>
      <c r="G180" s="155">
        <f t="shared" si="15"/>
        <v>6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28" t="s">
        <v>108</v>
      </c>
      <c r="B181" s="829"/>
      <c r="C181" s="485"/>
      <c r="D181" s="228" t="s">
        <v>142</v>
      </c>
      <c r="E181" s="95"/>
      <c r="F181" s="155"/>
      <c r="G181" s="155">
        <f>SUM(G178:G180)</f>
        <v>51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26" t="s">
        <v>213</v>
      </c>
      <c r="B182" s="82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26" t="s">
        <v>214</v>
      </c>
      <c r="B183" s="827"/>
      <c r="C183" s="334"/>
      <c r="D183" s="228" t="s">
        <v>142</v>
      </c>
      <c r="E183" s="95">
        <f>'30'!F183</f>
        <v>14938</v>
      </c>
      <c r="F183" s="157">
        <v>14947</v>
      </c>
      <c r="G183" s="157">
        <f>F183-E183</f>
        <v>9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26" t="s">
        <v>215</v>
      </c>
      <c r="B184" s="827"/>
      <c r="C184" s="334"/>
      <c r="D184" s="228" t="s">
        <v>142</v>
      </c>
      <c r="E184" s="95">
        <f>'30'!F184</f>
        <v>10295</v>
      </c>
      <c r="F184" s="157">
        <v>10301</v>
      </c>
      <c r="G184" s="157">
        <f t="shared" ref="G184:G185" si="16">F184-E184</f>
        <v>6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26" t="s">
        <v>216</v>
      </c>
      <c r="B185" s="82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17" t="s">
        <v>196</v>
      </c>
      <c r="B186" s="818"/>
      <c r="C186" s="484"/>
      <c r="D186" s="228" t="s">
        <v>142</v>
      </c>
      <c r="E186" s="95"/>
      <c r="F186" s="157"/>
      <c r="G186" s="157">
        <f>SUM(G183:G185)</f>
        <v>15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19" t="s">
        <v>217</v>
      </c>
      <c r="B187" s="820"/>
      <c r="C187" s="333"/>
      <c r="D187" s="230" t="s">
        <v>142</v>
      </c>
      <c r="E187" s="95">
        <f>'30'!F187</f>
        <v>0</v>
      </c>
      <c r="F187" s="159"/>
      <c r="G187" s="462">
        <f>G62+G19</f>
        <v>61</v>
      </c>
      <c r="H187" s="99">
        <f>G187+'30'!H187</f>
        <v>1669</v>
      </c>
      <c r="I187" s="158"/>
      <c r="J187" s="179">
        <f>H187/DAY(B2)</f>
        <v>53.838709677419352</v>
      </c>
    </row>
    <row r="188" spans="1:10" ht="27.75" x14ac:dyDescent="0.5">
      <c r="A188" s="819" t="s">
        <v>218</v>
      </c>
      <c r="B188" s="820"/>
      <c r="C188" s="333"/>
      <c r="D188" s="230" t="s">
        <v>142</v>
      </c>
      <c r="E188" s="95">
        <f>'30'!F188</f>
        <v>0</v>
      </c>
      <c r="F188" s="159"/>
      <c r="G188" s="462">
        <f>G65+G66+G67+G69+G70</f>
        <v>159</v>
      </c>
      <c r="H188" s="99">
        <f>G188+'30'!H188</f>
        <v>-1794</v>
      </c>
      <c r="I188" s="158"/>
      <c r="J188" s="179">
        <f>H188/DAY(B2)</f>
        <v>-57.87096774193548</v>
      </c>
    </row>
    <row r="189" spans="1:10" ht="27.75" x14ac:dyDescent="0.5">
      <c r="A189" s="819" t="s">
        <v>219</v>
      </c>
      <c r="B189" s="820"/>
      <c r="C189" s="333"/>
      <c r="D189" s="230" t="s">
        <v>142</v>
      </c>
      <c r="E189" s="95">
        <f>'30'!F189</f>
        <v>0</v>
      </c>
      <c r="F189" s="157"/>
      <c r="G189" s="459">
        <f>G181</f>
        <v>51</v>
      </c>
      <c r="H189" s="99">
        <f>G189+'30'!H189</f>
        <v>-1590</v>
      </c>
      <c r="I189" s="158"/>
      <c r="J189" s="179">
        <f>H189/DAY(B2)</f>
        <v>-51.29032258064516</v>
      </c>
    </row>
    <row r="190" spans="1:10" ht="27.75" x14ac:dyDescent="0.5">
      <c r="A190" s="740"/>
      <c r="B190" s="741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09"/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11" t="s">
        <v>6</v>
      </c>
      <c r="F2" s="711"/>
      <c r="G2" s="711"/>
      <c r="H2" s="717" t="s">
        <v>14</v>
      </c>
      <c r="I2" s="717"/>
      <c r="J2" s="717"/>
      <c r="K2" s="264" t="s">
        <v>15</v>
      </c>
      <c r="L2" s="717" t="s">
        <v>16</v>
      </c>
      <c r="M2" s="717"/>
      <c r="N2" s="717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 x14ac:dyDescent="0.2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 x14ac:dyDescent="0.2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 x14ac:dyDescent="0.2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 x14ac:dyDescent="0.2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 x14ac:dyDescent="0.2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 x14ac:dyDescent="0.2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 x14ac:dyDescent="0.2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19082</v>
      </c>
      <c r="G13" s="21">
        <f t="shared" si="0"/>
        <v>52666320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 x14ac:dyDescent="0.2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19082</v>
      </c>
      <c r="G14" s="21">
        <f t="shared" si="0"/>
        <v>55459924.799999885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 x14ac:dyDescent="0.2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19082</v>
      </c>
      <c r="G15" s="20">
        <f t="shared" si="0"/>
        <v>53658584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 x14ac:dyDescent="0.2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19082</v>
      </c>
      <c r="G16" s="20">
        <f t="shared" si="0"/>
        <v>54593602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19082</v>
      </c>
      <c r="G17" s="20">
        <f t="shared" si="0"/>
        <v>59764824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19082</v>
      </c>
      <c r="G18" s="20">
        <f t="shared" si="0"/>
        <v>57405716.34000019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24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94000</v>
      </c>
      <c r="F7" s="95">
        <v>298691</v>
      </c>
      <c r="G7" s="112">
        <f>F7-E7</f>
        <v>204691</v>
      </c>
      <c r="H7" s="99">
        <f>G7+'30'!H7</f>
        <v>823517</v>
      </c>
      <c r="I7" s="113">
        <f>'1'!I7</f>
        <v>12000</v>
      </c>
      <c r="J7" s="175">
        <f>H7/DAY(B2)</f>
        <v>26565.064516129034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114">
        <v>309572</v>
      </c>
      <c r="G8" s="115">
        <f>F8-E8</f>
        <v>176007</v>
      </c>
      <c r="H8" s="99">
        <f>G8+'30'!H8</f>
        <v>792919.83000000007</v>
      </c>
      <c r="I8" s="116"/>
      <c r="J8" s="175">
        <f>H8/DAY(B2)</f>
        <v>25578.059032258068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395974.53</v>
      </c>
      <c r="I9" s="124">
        <f>I7-J7</f>
        <v>-14565.064516129034</v>
      </c>
      <c r="J9" s="175">
        <f>H9/DAY(B2)</f>
        <v>12773.371935483872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111422.18</v>
      </c>
      <c r="F10" s="117">
        <v>2607</v>
      </c>
      <c r="G10" s="112">
        <f t="shared" ref="G10:G12" si="0">F10-E10</f>
        <v>-108815.18</v>
      </c>
      <c r="H10" s="99">
        <f>G10+'30'!H10</f>
        <v>57513</v>
      </c>
      <c r="I10" s="282"/>
      <c r="J10" s="175">
        <f>H10/DAY(B2)</f>
        <v>1855.258064516129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33300</v>
      </c>
      <c r="I11" s="282"/>
      <c r="J11" s="175">
        <f>H11/DAY(B2)</f>
        <v>1074.1935483870968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36009</v>
      </c>
      <c r="I12" s="282"/>
      <c r="J12" s="175">
        <f>H12/DAY(B2)</f>
        <v>1161.5806451612902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-89041.18</v>
      </c>
      <c r="H13" s="99">
        <f>G13+'30'!H13</f>
        <v>503331.27999999997</v>
      </c>
      <c r="I13" s="120">
        <f>G7-G13</f>
        <v>293732.18</v>
      </c>
      <c r="J13" s="175">
        <f>H13/DAY(B2)</f>
        <v>16236.492903225806</v>
      </c>
      <c r="K13" s="79"/>
      <c r="L13" s="66"/>
      <c r="N13" s="87"/>
      <c r="O13" s="71"/>
    </row>
    <row r="14" spans="1:15" ht="29.25" x14ac:dyDescent="0.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2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29741</v>
      </c>
      <c r="I15" s="113">
        <f>'1'!I15</f>
        <v>800</v>
      </c>
      <c r="J15" s="175">
        <f>H15/DAY(B2)</f>
        <v>959.38709677419354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-159.38709677419354</v>
      </c>
      <c r="J16" s="176"/>
      <c r="K16" s="79"/>
      <c r="L16" s="66"/>
      <c r="N16" s="87"/>
      <c r="O16" s="71"/>
    </row>
    <row r="17" spans="1:15" ht="29.25" x14ac:dyDescent="0.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4" t="s">
        <v>141</v>
      </c>
      <c r="B18" s="855"/>
      <c r="C18" s="856"/>
      <c r="D18" s="151" t="s">
        <v>142</v>
      </c>
      <c r="E18" s="95">
        <f>'30'!F18</f>
        <v>154</v>
      </c>
      <c r="F18" s="122">
        <v>14</v>
      </c>
      <c r="G18" s="119">
        <f>F18*10</f>
        <v>140</v>
      </c>
      <c r="H18" s="99">
        <f>G18+'30'!H18</f>
        <v>12620</v>
      </c>
      <c r="I18" s="113">
        <f>'1'!I18</f>
        <v>65</v>
      </c>
      <c r="J18" s="175">
        <f>H18/DAY(B2)</f>
        <v>407.09677419354841</v>
      </c>
      <c r="K18" s="79"/>
      <c r="L18" s="66"/>
      <c r="N18" s="87"/>
      <c r="O18" s="71"/>
    </row>
    <row r="19" spans="1:15" ht="27.75" x14ac:dyDescent="0.5">
      <c r="A19" s="854" t="s">
        <v>69</v>
      </c>
      <c r="B19" s="855"/>
      <c r="C19" s="856"/>
      <c r="D19" s="151" t="s">
        <v>142</v>
      </c>
      <c r="E19" s="95">
        <f>'30'!F19</f>
        <v>153839</v>
      </c>
      <c r="F19" s="122">
        <v>145338</v>
      </c>
      <c r="G19" s="112">
        <f t="shared" ref="G19" si="1">F19-E19</f>
        <v>-8501</v>
      </c>
      <c r="H19" s="99">
        <f>G19+'30'!H19</f>
        <v>-6887</v>
      </c>
      <c r="I19" s="335"/>
      <c r="J19" s="175">
        <f>H19/DAY(B2)</f>
        <v>-222.16129032258064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-8361</v>
      </c>
      <c r="H20" s="99">
        <f>G20+'30'!H20</f>
        <v>5733</v>
      </c>
      <c r="I20" s="336">
        <f>I18-J20</f>
        <v>-119.93548387096774</v>
      </c>
      <c r="J20" s="175">
        <f>H20/DAY(B2)</f>
        <v>184.93548387096774</v>
      </c>
      <c r="K20" s="79"/>
      <c r="L20" s="66"/>
      <c r="N20" s="87"/>
      <c r="O20" s="71"/>
    </row>
    <row r="21" spans="1:15" ht="29.25" x14ac:dyDescent="0.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2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2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250</v>
      </c>
      <c r="I23" s="118"/>
      <c r="J23" s="175">
        <f>H23/DAY(B2)</f>
        <v>8.064516129032258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250</v>
      </c>
      <c r="I24" s="118"/>
      <c r="J24" s="175">
        <f>H24/DAY(B2)</f>
        <v>8.064516129032258</v>
      </c>
      <c r="K24" s="79"/>
      <c r="L24" s="66"/>
      <c r="N24" s="87"/>
      <c r="O24" s="71"/>
    </row>
    <row r="25" spans="1:15" s="88" customFormat="1" ht="27" x14ac:dyDescent="0.3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176007</v>
      </c>
      <c r="F27" s="136">
        <v>9</v>
      </c>
      <c r="G27" s="137">
        <f>E27*F27</f>
        <v>1584063</v>
      </c>
      <c r="H27" s="99">
        <f>G27+'30'!H27</f>
        <v>7136278.4700000007</v>
      </c>
      <c r="I27" s="138"/>
      <c r="J27" s="175">
        <f>H27/DAY(B2)</f>
        <v>230202.5312903226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1546532</v>
      </c>
      <c r="I28" s="140"/>
      <c r="J28" s="175">
        <f>H28/DAY(B2)</f>
        <v>49888.129032258068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17250</v>
      </c>
      <c r="I29" s="140"/>
      <c r="J29" s="175">
        <f>H29/DAY(B2)</f>
        <v>556.45161290322585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-8501</v>
      </c>
      <c r="F30" s="136">
        <v>146</v>
      </c>
      <c r="G30" s="137">
        <f>E30*F30</f>
        <v>-1241146</v>
      </c>
      <c r="H30" s="99">
        <f>G30+'30'!H30</f>
        <v>-1005502</v>
      </c>
      <c r="I30" s="140"/>
      <c r="J30" s="175">
        <f>H30/DAY(B2)</f>
        <v>-32435.548387096773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1009600</v>
      </c>
      <c r="I31" s="140"/>
      <c r="J31" s="175">
        <f>H31/DAY(B2)</f>
        <v>32567.741935483871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393065</v>
      </c>
      <c r="H32" s="99">
        <f>G32+'30'!H32</f>
        <v>8704158.4700000025</v>
      </c>
      <c r="I32" s="144"/>
      <c r="J32" s="175">
        <f>H32/DAY(B2)</f>
        <v>280779.30548387102</v>
      </c>
      <c r="K32" s="63"/>
      <c r="L32" s="89"/>
      <c r="N32" s="87"/>
      <c r="O32" s="71"/>
    </row>
    <row r="33" spans="1:15" ht="34.5" customHeight="1" x14ac:dyDescent="0.3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26"/>
      <c r="C34" s="32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166149</v>
      </c>
      <c r="I35" s="95"/>
      <c r="J35" s="175">
        <f>H35/DAY(B2)</f>
        <v>5359.6451612903229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-189</v>
      </c>
      <c r="I36" s="95"/>
      <c r="J36" s="175">
        <f>H36/DAY(B2)</f>
        <v>-6.096774193548387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207163</v>
      </c>
      <c r="I37" s="95"/>
      <c r="J37" s="175">
        <f>H37/DAY(B2)</f>
        <v>6682.677419354839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245599</v>
      </c>
      <c r="I38" s="95"/>
      <c r="J38" s="175">
        <f>H38/DAY(B2)</f>
        <v>7922.5483870967746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433885</v>
      </c>
      <c r="I39" s="95"/>
      <c r="J39" s="175">
        <f>H39/DAY(B2)</f>
        <v>13996.290322580646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917.14999999999964</v>
      </c>
      <c r="I40" s="95"/>
      <c r="J40" s="175">
        <f>H40/DAY(B2)</f>
        <v>29.585483870967732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</v>
      </c>
      <c r="I42" s="95"/>
      <c r="J42" s="175">
        <f>H42/DAY(B2)</f>
        <v>148.54838709677421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-111.99999999999636</v>
      </c>
      <c r="I43" s="95"/>
      <c r="J43" s="175">
        <f>H43/DAY(B2)</f>
        <v>-3.6129032258063343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1058017.1500000001</v>
      </c>
      <c r="I47" s="95"/>
      <c r="J47" s="175">
        <f>H47/DAY(B2)</f>
        <v>34129.585483870971</v>
      </c>
      <c r="K47" s="79"/>
      <c r="L47" s="66"/>
      <c r="N47" s="87"/>
      <c r="O47" s="71"/>
    </row>
    <row r="48" spans="1:15" ht="29.25" x14ac:dyDescent="0.5">
      <c r="A48" s="214" t="s">
        <v>174</v>
      </c>
      <c r="B48" s="326"/>
      <c r="C48" s="32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419822</v>
      </c>
      <c r="G49" s="112">
        <f t="shared" ref="G49:G58" si="4">F49-E49</f>
        <v>149014</v>
      </c>
      <c r="H49" s="99">
        <f>G49+'30'!H49</f>
        <v>432943.00000000006</v>
      </c>
      <c r="I49" s="95"/>
      <c r="J49" s="175">
        <f>H49/DAY(B2)</f>
        <v>13965.903225806453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607298</v>
      </c>
      <c r="G50" s="112">
        <f t="shared" si="4"/>
        <v>583727</v>
      </c>
      <c r="H50" s="99">
        <f>G50+'30'!H50</f>
        <v>582648</v>
      </c>
      <c r="I50" s="95"/>
      <c r="J50" s="175">
        <f>H50/DAY(B2)</f>
        <v>18795.096774193549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14967</v>
      </c>
      <c r="G54" s="112">
        <f t="shared" si="4"/>
        <v>11788</v>
      </c>
      <c r="H54" s="99">
        <f>G54+'30'!H54</f>
        <v>16734.080000000002</v>
      </c>
      <c r="I54" s="95"/>
      <c r="J54" s="175">
        <f>H54/DAY(B2)</f>
        <v>539.80903225806458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2254</v>
      </c>
      <c r="F55" s="145">
        <v>306268.99</v>
      </c>
      <c r="G55" s="112">
        <f t="shared" si="4"/>
        <v>304014.99</v>
      </c>
      <c r="H55" s="99">
        <f>G55+'30'!H55</f>
        <v>302757.99</v>
      </c>
      <c r="I55" s="95"/>
      <c r="J55" s="175">
        <f>H55/DAY(B2)</f>
        <v>9766.3867741935483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661019</v>
      </c>
      <c r="G56" s="112">
        <f t="shared" si="4"/>
        <v>652408.46</v>
      </c>
      <c r="H56" s="99">
        <f>G56+'30'!H56</f>
        <v>652408.46</v>
      </c>
      <c r="I56" s="95"/>
      <c r="J56" s="175">
        <f>H56/DAY(B2)</f>
        <v>21045.434193548386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66014</v>
      </c>
      <c r="G58" s="112">
        <f t="shared" si="4"/>
        <v>-26057</v>
      </c>
      <c r="H58" s="99">
        <f>G58+'30'!H58</f>
        <v>66354.63</v>
      </c>
      <c r="I58" s="95"/>
      <c r="J58" s="175">
        <f>H58/DAY(B2)</f>
        <v>2140.4719354838712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2801084.45</v>
      </c>
      <c r="H59" s="99">
        <f>G59+'30'!H59</f>
        <v>3180035.16</v>
      </c>
      <c r="I59" s="95">
        <f>G7-G60</f>
        <v>-2611256.4500000002</v>
      </c>
      <c r="J59" s="175">
        <f>H59/DAY(B2)</f>
        <v>102581.77935483871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2815947.45</v>
      </c>
      <c r="H60" s="99">
        <f>G60+'30'!H60</f>
        <v>4238052.3100000005</v>
      </c>
      <c r="I60" s="95">
        <f>G13-G60</f>
        <v>-2904988.6300000004</v>
      </c>
      <c r="J60" s="175">
        <f>H60/DAY(B2)</f>
        <v>136711.36483870971</v>
      </c>
      <c r="K60" s="79"/>
      <c r="L60" s="66"/>
      <c r="N60" s="87"/>
      <c r="O60" s="71"/>
    </row>
    <row r="61" spans="1:15" s="68" customFormat="1" ht="29.25" customHeight="1" x14ac:dyDescent="0.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4" t="s">
        <v>198</v>
      </c>
      <c r="B62" s="855"/>
      <c r="C62" s="856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54" t="s">
        <v>199</v>
      </c>
      <c r="B63" s="855"/>
      <c r="C63" s="856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645130</v>
      </c>
      <c r="I63" s="118"/>
      <c r="J63" s="175">
        <f>H63/DAY(B2)</f>
        <v>20810.645161290322</v>
      </c>
      <c r="K63" s="69"/>
      <c r="L63" s="66"/>
      <c r="N63" s="87"/>
      <c r="O63" s="71"/>
    </row>
    <row r="64" spans="1:15" ht="29.25" x14ac:dyDescent="0.5">
      <c r="A64" s="863" t="s">
        <v>200</v>
      </c>
      <c r="B64" s="864"/>
      <c r="C64" s="865"/>
      <c r="D64" s="151"/>
      <c r="E64" s="122"/>
      <c r="F64" s="122"/>
      <c r="G64" s="112">
        <f>G62+G63</f>
        <v>451111</v>
      </c>
      <c r="H64" s="99">
        <f>G64+'30'!H95</f>
        <v>451131.12281289301</v>
      </c>
      <c r="I64" s="118"/>
      <c r="J64" s="175">
        <f>H64/DAY(B2)</f>
        <v>14552.616864932033</v>
      </c>
      <c r="K64" s="69"/>
      <c r="L64" s="66"/>
      <c r="N64" s="87"/>
      <c r="O64" s="71"/>
    </row>
    <row r="65" spans="1:15" ht="27.75" x14ac:dyDescent="0.5">
      <c r="A65" s="854" t="s">
        <v>201</v>
      </c>
      <c r="B65" s="855"/>
      <c r="C65" s="856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419762</v>
      </c>
      <c r="I65" s="118"/>
      <c r="J65" s="175">
        <f>H65/DAY(B2)</f>
        <v>13540.709677419354</v>
      </c>
      <c r="K65" s="69"/>
      <c r="L65" s="66"/>
      <c r="N65" s="87"/>
      <c r="O65" s="71"/>
    </row>
    <row r="66" spans="1:15" ht="27.75" x14ac:dyDescent="0.5">
      <c r="A66" s="322" t="s">
        <v>202</v>
      </c>
      <c r="B66" s="323"/>
      <c r="C66" s="32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104636.56425277046</v>
      </c>
      <c r="I66" s="118"/>
      <c r="J66" s="175">
        <f>H66/DAY(B2)</f>
        <v>3375.3730404119506</v>
      </c>
      <c r="K66" s="78"/>
      <c r="L66" s="66"/>
      <c r="N66" s="87"/>
      <c r="O66" s="71"/>
    </row>
    <row r="67" spans="1:15" ht="27.75" x14ac:dyDescent="0.5">
      <c r="A67" s="322" t="s">
        <v>203</v>
      </c>
      <c r="B67" s="323"/>
      <c r="C67" s="32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530369</v>
      </c>
      <c r="I67" s="118"/>
      <c r="J67" s="175">
        <f>H67/DAY(B2)</f>
        <v>17108.677419354837</v>
      </c>
      <c r="K67" s="81"/>
      <c r="L67" s="66"/>
      <c r="N67" s="87"/>
      <c r="O67" s="71"/>
    </row>
    <row r="68" spans="1:15" ht="27.75" x14ac:dyDescent="0.5">
      <c r="A68" s="322" t="s">
        <v>204</v>
      </c>
      <c r="B68" s="323"/>
      <c r="C68" s="32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152153.84413121079</v>
      </c>
      <c r="I68" s="118"/>
      <c r="J68" s="175">
        <f>H68/DAY(B2)</f>
        <v>4908.1885203616384</v>
      </c>
      <c r="K68" s="69"/>
      <c r="L68" s="66"/>
      <c r="N68" s="87"/>
      <c r="O68" s="71"/>
    </row>
    <row r="69" spans="1:15" ht="27.75" x14ac:dyDescent="0.5">
      <c r="A69" s="322" t="s">
        <v>205</v>
      </c>
      <c r="B69" s="323"/>
      <c r="C69" s="32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252576</v>
      </c>
      <c r="I69" s="118"/>
      <c r="J69" s="175">
        <f>H69/DAY(B2)</f>
        <v>8147.6129032258068</v>
      </c>
      <c r="K69" s="69"/>
      <c r="L69" s="66"/>
      <c r="N69" s="87"/>
      <c r="O69" s="71"/>
    </row>
    <row r="70" spans="1:15" ht="27.75" x14ac:dyDescent="0.5">
      <c r="A70" s="322" t="s">
        <v>206</v>
      </c>
      <c r="B70" s="323"/>
      <c r="C70" s="32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6383.7156294007309</v>
      </c>
      <c r="I70" s="118"/>
      <c r="J70" s="175">
        <f>H70/DAY(B2)</f>
        <v>205.92631062583004</v>
      </c>
      <c r="K70" s="69"/>
      <c r="L70" s="66"/>
      <c r="N70" s="87"/>
      <c r="O70" s="71"/>
    </row>
    <row r="71" spans="1:15" ht="29.25" x14ac:dyDescent="0.5">
      <c r="A71" s="863" t="s">
        <v>208</v>
      </c>
      <c r="B71" s="864"/>
      <c r="C71" s="865"/>
      <c r="D71" s="152"/>
      <c r="E71" s="152"/>
      <c r="F71" s="152"/>
      <c r="G71" s="153">
        <f>SUM(G65:G70)</f>
        <v>793178</v>
      </c>
      <c r="H71" s="99">
        <f>G71+'30'!H102</f>
        <v>791242</v>
      </c>
      <c r="I71" s="154"/>
      <c r="J71" s="175">
        <f>H71/DAY(B2)</f>
        <v>25523.935483870966</v>
      </c>
      <c r="K71" s="69"/>
      <c r="L71" s="66"/>
      <c r="N71" s="87"/>
      <c r="O71" s="71"/>
    </row>
    <row r="72" spans="1:15" s="88" customFormat="1" ht="27.75" x14ac:dyDescent="0.5">
      <c r="A72" s="850"/>
      <c r="B72" s="835"/>
      <c r="C72" s="32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0" t="s">
        <v>333</v>
      </c>
      <c r="B73" s="861"/>
      <c r="C73" s="86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4" t="s">
        <v>220</v>
      </c>
      <c r="B74" s="855"/>
      <c r="C74" s="856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54" t="s">
        <v>221</v>
      </c>
      <c r="B75" s="855"/>
      <c r="C75" s="856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51" t="s">
        <v>222</v>
      </c>
      <c r="B76" s="852"/>
      <c r="C76" s="853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51" t="s">
        <v>223</v>
      </c>
      <c r="B77" s="852"/>
      <c r="C77" s="853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51" t="s">
        <v>224</v>
      </c>
      <c r="B78" s="852"/>
      <c r="C78" s="853"/>
      <c r="D78" s="151" t="s">
        <v>139</v>
      </c>
      <c r="E78" s="95">
        <f>'30'!F128</f>
        <v>37627</v>
      </c>
      <c r="F78" s="232">
        <v>9180</v>
      </c>
      <c r="G78" s="112">
        <f t="shared" si="7"/>
        <v>-28447</v>
      </c>
      <c r="H78" s="99">
        <f>G78+'30'!H128</f>
        <v>-28824</v>
      </c>
      <c r="I78" s="118"/>
      <c r="J78" s="175">
        <f>H78/DAY(B2)</f>
        <v>-929.80645161290317</v>
      </c>
      <c r="K78" s="69"/>
      <c r="L78" s="66"/>
      <c r="N78" s="87"/>
      <c r="O78" s="71"/>
    </row>
    <row r="79" spans="1:15" s="57" customFormat="1" ht="27.75" x14ac:dyDescent="0.5">
      <c r="A79" s="851" t="s">
        <v>225</v>
      </c>
      <c r="B79" s="852"/>
      <c r="C79" s="853"/>
      <c r="D79" s="151"/>
      <c r="E79" s="117"/>
      <c r="F79" s="117"/>
      <c r="G79" s="112">
        <f>G15-SUM(G74:G78)</f>
        <v>-1089445.3999999999</v>
      </c>
      <c r="H79" s="99">
        <f>G79+'30'!H129</f>
        <v>-1089652.3999999999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3" t="s">
        <v>329</v>
      </c>
      <c r="B80" s="864"/>
      <c r="C80" s="865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68" t="s">
        <v>226</v>
      </c>
      <c r="B81" s="869"/>
      <c r="C81" s="87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22" t="s">
        <v>227</v>
      </c>
      <c r="B82" s="323"/>
      <c r="C82" s="323"/>
      <c r="D82" s="151" t="s">
        <v>228</v>
      </c>
      <c r="E82" s="95">
        <f>'30'!F131</f>
        <v>13076</v>
      </c>
      <c r="F82" s="122"/>
      <c r="G82" s="112">
        <f t="shared" ref="G82:G92" si="8">F82-E82</f>
        <v>-13076</v>
      </c>
      <c r="H82" s="99">
        <f>G82+'30'!H131</f>
        <v>-13153</v>
      </c>
      <c r="I82" s="118"/>
      <c r="J82" s="175">
        <f>H82/DAY(B2)</f>
        <v>-424.29032258064518</v>
      </c>
      <c r="O82" s="71"/>
    </row>
    <row r="83" spans="1:15" ht="27.75" x14ac:dyDescent="0.5">
      <c r="A83" s="322" t="s">
        <v>229</v>
      </c>
      <c r="B83" s="323"/>
      <c r="C83" s="323"/>
      <c r="D83" s="151" t="s">
        <v>228</v>
      </c>
      <c r="E83" s="95">
        <f>'30'!F132</f>
        <v>40577</v>
      </c>
      <c r="F83" s="122"/>
      <c r="G83" s="112">
        <f t="shared" si="8"/>
        <v>-40577</v>
      </c>
      <c r="H83" s="99">
        <f>G83+'30'!H132</f>
        <v>-76212.63</v>
      </c>
      <c r="I83" s="118"/>
      <c r="J83" s="175">
        <f>H83/DAY(B2)</f>
        <v>-2458.4719354838712</v>
      </c>
      <c r="O83" s="71"/>
    </row>
    <row r="84" spans="1:15" ht="27.75" x14ac:dyDescent="0.5">
      <c r="A84" s="322" t="s">
        <v>230</v>
      </c>
      <c r="B84" s="323"/>
      <c r="C84" s="323"/>
      <c r="D84" s="151" t="s">
        <v>228</v>
      </c>
      <c r="E84" s="95">
        <f>'30'!F133</f>
        <v>87056</v>
      </c>
      <c r="F84" s="164">
        <v>40922</v>
      </c>
      <c r="G84" s="112">
        <f t="shared" si="8"/>
        <v>-46134</v>
      </c>
      <c r="H84" s="99">
        <f>G84+'30'!H133</f>
        <v>-46781</v>
      </c>
      <c r="I84" s="118"/>
      <c r="J84" s="175">
        <f>H84/DAY(B2)</f>
        <v>-1509.0645161290322</v>
      </c>
      <c r="O84" s="71"/>
    </row>
    <row r="85" spans="1:15" ht="27.75" x14ac:dyDescent="0.5">
      <c r="A85" s="322" t="s">
        <v>231</v>
      </c>
      <c r="B85" s="323"/>
      <c r="C85" s="323"/>
      <c r="D85" s="151" t="s">
        <v>228</v>
      </c>
      <c r="E85" s="95">
        <f>'30'!F134</f>
        <v>668262</v>
      </c>
      <c r="F85" s="164">
        <v>856</v>
      </c>
      <c r="G85" s="112">
        <f t="shared" si="8"/>
        <v>-667406</v>
      </c>
      <c r="H85" s="99">
        <f>G85+'30'!H134</f>
        <v>3150</v>
      </c>
      <c r="I85" s="118">
        <f>G82+G83+G84+G85</f>
        <v>-767193</v>
      </c>
      <c r="J85" s="175">
        <f>H85/DAY(B2)</f>
        <v>101.61290322580645</v>
      </c>
      <c r="O85" s="71"/>
    </row>
    <row r="86" spans="1:15" ht="27.75" x14ac:dyDescent="0.5">
      <c r="A86" s="322" t="s">
        <v>232</v>
      </c>
      <c r="B86" s="323"/>
      <c r="C86" s="32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80120.010000000009</v>
      </c>
      <c r="I86" s="118"/>
      <c r="J86" s="175">
        <f>H86/DAY(B2)</f>
        <v>2584.5164516129034</v>
      </c>
      <c r="O86" s="71"/>
    </row>
    <row r="87" spans="1:15" ht="27.75" x14ac:dyDescent="0.5">
      <c r="A87" s="322" t="s">
        <v>233</v>
      </c>
      <c r="B87" s="323"/>
      <c r="C87" s="32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22" t="s">
        <v>234</v>
      </c>
      <c r="B88" s="323"/>
      <c r="C88" s="32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22" t="s">
        <v>235</v>
      </c>
      <c r="B89" s="323"/>
      <c r="C89" s="323"/>
      <c r="D89" s="151" t="s">
        <v>228</v>
      </c>
      <c r="E89" s="95">
        <f>'30'!F138</f>
        <v>864069</v>
      </c>
      <c r="F89" s="164">
        <v>25132.959999999999</v>
      </c>
      <c r="G89" s="112">
        <f t="shared" si="8"/>
        <v>-838936.04</v>
      </c>
      <c r="H89" s="99">
        <f>G89+'30'!H138</f>
        <v>-839038.04</v>
      </c>
      <c r="I89" s="118"/>
      <c r="J89" s="175">
        <f>H89/DAY(B2)</f>
        <v>-27065.743225806455</v>
      </c>
      <c r="O89" s="71"/>
    </row>
    <row r="90" spans="1:15" ht="27.75" x14ac:dyDescent="0.5">
      <c r="A90" s="322" t="s">
        <v>236</v>
      </c>
      <c r="B90" s="323"/>
      <c r="C90" s="323"/>
      <c r="D90" s="151" t="s">
        <v>228</v>
      </c>
      <c r="E90" s="95">
        <f>'30'!F139</f>
        <v>886546</v>
      </c>
      <c r="F90" s="164">
        <v>70524.55</v>
      </c>
      <c r="G90" s="112">
        <f t="shared" si="8"/>
        <v>-816021.45</v>
      </c>
      <c r="H90" s="99">
        <f>G90+'30'!H139</f>
        <v>-816021.45</v>
      </c>
      <c r="I90" s="118">
        <f>G89+G90</f>
        <v>-1654957.49</v>
      </c>
      <c r="J90" s="175">
        <f>H90/DAY(B2)</f>
        <v>-26323.27258064516</v>
      </c>
      <c r="O90" s="71"/>
    </row>
    <row r="91" spans="1:15" ht="27.75" x14ac:dyDescent="0.5">
      <c r="A91" s="322" t="s">
        <v>237</v>
      </c>
      <c r="B91" s="323"/>
      <c r="C91" s="323"/>
      <c r="D91" s="151" t="s">
        <v>228</v>
      </c>
      <c r="E91" s="95">
        <f>'30'!F140</f>
        <v>88882</v>
      </c>
      <c r="F91" s="122">
        <v>2627.98</v>
      </c>
      <c r="G91" s="112">
        <f t="shared" si="8"/>
        <v>-86254.02</v>
      </c>
      <c r="H91" s="99">
        <f>G91+'30'!H140</f>
        <v>-86254.02</v>
      </c>
      <c r="I91" s="165"/>
      <c r="J91" s="175">
        <f>H91/DAY(B2)</f>
        <v>-2782.387741935484</v>
      </c>
      <c r="O91" s="71"/>
    </row>
    <row r="92" spans="1:15" ht="27.75" x14ac:dyDescent="0.5">
      <c r="A92" s="322" t="s">
        <v>238</v>
      </c>
      <c r="B92" s="323"/>
      <c r="C92" s="323"/>
      <c r="D92" s="151" t="s">
        <v>228</v>
      </c>
      <c r="E92" s="95">
        <f>'30'!F141</f>
        <v>49098</v>
      </c>
      <c r="F92" s="122">
        <v>4754</v>
      </c>
      <c r="G92" s="112">
        <f t="shared" si="8"/>
        <v>-44344</v>
      </c>
      <c r="H92" s="99">
        <f>G92+'30'!H141</f>
        <v>-44552</v>
      </c>
      <c r="I92" s="165"/>
      <c r="J92" s="175">
        <f>H92/DAY(B2)</f>
        <v>-1437.1612903225807</v>
      </c>
      <c r="O92" s="71"/>
    </row>
    <row r="93" spans="1:15" ht="29.25" x14ac:dyDescent="0.5">
      <c r="A93" s="857" t="s">
        <v>239</v>
      </c>
      <c r="B93" s="858"/>
      <c r="C93" s="85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4" t="s">
        <v>240</v>
      </c>
      <c r="B94" s="855"/>
      <c r="C94" s="856"/>
      <c r="D94" s="151" t="s">
        <v>130</v>
      </c>
      <c r="E94" s="151"/>
      <c r="F94" s="151"/>
      <c r="G94" s="99">
        <f>G35+G43+G49+G57</f>
        <v>159220</v>
      </c>
      <c r="H94" s="99">
        <f>G94+'30'!H143</f>
        <v>159199</v>
      </c>
      <c r="I94" s="118"/>
      <c r="J94" s="175">
        <f>H94/DAY(B2)</f>
        <v>5135.4516129032254</v>
      </c>
      <c r="K94" s="69"/>
      <c r="L94" s="66"/>
      <c r="O94" s="71"/>
    </row>
    <row r="95" spans="1:15" ht="27.75" x14ac:dyDescent="0.5">
      <c r="A95" s="854" t="s">
        <v>241</v>
      </c>
      <c r="B95" s="855"/>
      <c r="C95" s="856"/>
      <c r="D95" s="151" t="s">
        <v>23</v>
      </c>
      <c r="E95" s="146"/>
      <c r="F95" s="146"/>
      <c r="G95" s="166">
        <f>G94/G7</f>
        <v>0.77785540155649247</v>
      </c>
      <c r="H95" s="99">
        <f>G95+'30'!H144</f>
        <v>-228.22214459844352</v>
      </c>
      <c r="I95" s="167"/>
      <c r="J95" s="175">
        <f>H95/DAY(B2)</f>
        <v>-7.3620046644659203</v>
      </c>
      <c r="K95" s="69"/>
      <c r="L95" s="66"/>
      <c r="O95" s="71"/>
    </row>
    <row r="96" spans="1:15" ht="27.75" x14ac:dyDescent="0.5">
      <c r="A96" s="854" t="s">
        <v>242</v>
      </c>
      <c r="B96" s="855"/>
      <c r="C96" s="856"/>
      <c r="D96" s="151" t="s">
        <v>130</v>
      </c>
      <c r="E96" s="95"/>
      <c r="F96" s="95"/>
      <c r="G96" s="99">
        <f>G41+G42+G55+G56</f>
        <v>961028.45</v>
      </c>
      <c r="H96" s="99">
        <f>G96+'30'!H145</f>
        <v>961014.45</v>
      </c>
      <c r="I96" s="118"/>
      <c r="J96" s="175">
        <f>H96/DAY(B2)</f>
        <v>31000.466129032258</v>
      </c>
      <c r="K96" s="69"/>
      <c r="L96" s="66"/>
      <c r="O96" s="71"/>
    </row>
    <row r="97" spans="1:15" ht="27.75" x14ac:dyDescent="0.5">
      <c r="A97" s="854" t="s">
        <v>243</v>
      </c>
      <c r="B97" s="855"/>
      <c r="C97" s="856"/>
      <c r="D97" s="151" t="s">
        <v>23</v>
      </c>
      <c r="E97" s="95"/>
      <c r="F97" s="95"/>
      <c r="G97" s="166">
        <f>G96/G7</f>
        <v>4.6950205431601777</v>
      </c>
      <c r="H97" s="99">
        <f>G97+'30'!H146</f>
        <v>-457.30497945683982</v>
      </c>
      <c r="I97" s="167"/>
      <c r="J97" s="175">
        <f>H97/DAY(B2)</f>
        <v>-14.751773530865801</v>
      </c>
      <c r="K97" s="69"/>
      <c r="L97" s="66"/>
      <c r="O97" s="71"/>
    </row>
    <row r="98" spans="1:15" ht="27.75" x14ac:dyDescent="0.5">
      <c r="A98" s="854" t="s">
        <v>244</v>
      </c>
      <c r="B98" s="855"/>
      <c r="C98" s="856"/>
      <c r="D98" s="151" t="s">
        <v>130</v>
      </c>
      <c r="E98" s="95"/>
      <c r="F98" s="95"/>
      <c r="G98" s="99">
        <f>G39+G53</f>
        <v>438118</v>
      </c>
      <c r="H98" s="99">
        <f>G98+'30'!H147</f>
        <v>437691</v>
      </c>
      <c r="I98" s="168"/>
      <c r="J98" s="175">
        <f>H98/DAY(B2)</f>
        <v>14119.064516129032</v>
      </c>
      <c r="K98" s="69"/>
      <c r="L98" s="66"/>
      <c r="O98" s="71"/>
    </row>
    <row r="99" spans="1:15" ht="27.75" x14ac:dyDescent="0.5">
      <c r="A99" s="854" t="s">
        <v>245</v>
      </c>
      <c r="B99" s="855"/>
      <c r="C99" s="856"/>
      <c r="D99" s="151" t="s">
        <v>23</v>
      </c>
      <c r="E99" s="95"/>
      <c r="F99" s="95"/>
      <c r="G99" s="166">
        <f>G98/G7</f>
        <v>2.1403872178063521</v>
      </c>
      <c r="H99" s="99">
        <f>G99+'30'!H148</f>
        <v>-297.97961278218901</v>
      </c>
      <c r="I99" s="168"/>
      <c r="J99" s="175">
        <f>H99/DAY(B2)</f>
        <v>-9.6122455736190009</v>
      </c>
      <c r="O99" s="71"/>
    </row>
    <row r="100" spans="1:15" ht="27.75" x14ac:dyDescent="0.5">
      <c r="A100" s="854" t="s">
        <v>246</v>
      </c>
      <c r="B100" s="855"/>
      <c r="C100" s="856"/>
      <c r="D100" s="151" t="s">
        <v>180</v>
      </c>
      <c r="E100" s="95"/>
      <c r="F100" s="95"/>
      <c r="G100" s="99">
        <f>G38+G52</f>
        <v>541274</v>
      </c>
      <c r="H100" s="99">
        <f>G100+'30'!H149</f>
        <v>555693.26</v>
      </c>
      <c r="I100" s="118"/>
      <c r="J100" s="175">
        <f>H100/DAY(B2)</f>
        <v>17925.589032258064</v>
      </c>
      <c r="K100" s="70"/>
      <c r="O100" s="71"/>
    </row>
    <row r="101" spans="1:15" ht="27.75" x14ac:dyDescent="0.5">
      <c r="A101" s="854" t="s">
        <v>247</v>
      </c>
      <c r="B101" s="855"/>
      <c r="C101" s="856"/>
      <c r="D101" s="151" t="s">
        <v>23</v>
      </c>
      <c r="E101" s="95"/>
      <c r="F101" s="95"/>
      <c r="G101" s="166">
        <f>G100/G7</f>
        <v>2.6443468447562424</v>
      </c>
      <c r="H101" s="99">
        <f>G101+'30'!H150</f>
        <v>-217.35565315524377</v>
      </c>
      <c r="I101" s="168"/>
      <c r="J101" s="175">
        <f>H101/DAY(B2)</f>
        <v>-7.0114726824272182</v>
      </c>
      <c r="O101" s="71"/>
    </row>
    <row r="102" spans="1:15" ht="27.75" x14ac:dyDescent="0.5">
      <c r="A102" s="854" t="s">
        <v>248</v>
      </c>
      <c r="B102" s="855"/>
      <c r="C102" s="856"/>
      <c r="D102" s="151" t="s">
        <v>180</v>
      </c>
      <c r="E102" s="95"/>
      <c r="F102" s="95"/>
      <c r="G102" s="99">
        <f>G36+G50</f>
        <v>584395</v>
      </c>
      <c r="H102" s="99">
        <f>G102+'30'!H156</f>
        <v>584286</v>
      </c>
      <c r="I102" s="168"/>
      <c r="J102" s="175">
        <f>H102/DAY(B2)</f>
        <v>18847.935483870966</v>
      </c>
      <c r="O102" s="71"/>
    </row>
    <row r="103" spans="1:15" ht="27.75" x14ac:dyDescent="0.5">
      <c r="A103" s="854" t="s">
        <v>249</v>
      </c>
      <c r="B103" s="855"/>
      <c r="C103" s="856"/>
      <c r="D103" s="151" t="s">
        <v>23</v>
      </c>
      <c r="E103" s="95"/>
      <c r="F103" s="95"/>
      <c r="G103" s="166">
        <f>G102/G7</f>
        <v>2.8550107234807589</v>
      </c>
      <c r="H103" s="99">
        <f>G103+'30'!H160</f>
        <v>2.8550107234807589</v>
      </c>
      <c r="I103" s="118"/>
      <c r="J103" s="175">
        <f>H103/DAY(B2)</f>
        <v>9.2097120112282549E-2</v>
      </c>
      <c r="O103" s="71"/>
    </row>
    <row r="104" spans="1:15" ht="27.75" x14ac:dyDescent="0.5">
      <c r="A104" s="854" t="s">
        <v>250</v>
      </c>
      <c r="B104" s="855"/>
      <c r="C104" s="856"/>
      <c r="D104" s="151" t="s">
        <v>180</v>
      </c>
      <c r="E104" s="95"/>
      <c r="F104" s="95"/>
      <c r="G104" s="99">
        <f>G37+G51</f>
        <v>145803</v>
      </c>
      <c r="H104" s="99">
        <f>G104+'30'!H161</f>
        <v>145802.84000000003</v>
      </c>
      <c r="I104" s="118"/>
      <c r="J104" s="175">
        <f>H104/DAY(B2)</f>
        <v>4703.3174193548393</v>
      </c>
      <c r="O104" s="71"/>
    </row>
    <row r="105" spans="1:15" ht="28.5" thickBot="1" x14ac:dyDescent="0.55000000000000004">
      <c r="A105" s="847" t="s">
        <v>251</v>
      </c>
      <c r="B105" s="848"/>
      <c r="C105" s="849"/>
      <c r="D105" s="231" t="s">
        <v>23</v>
      </c>
      <c r="E105" s="185"/>
      <c r="F105" s="185"/>
      <c r="G105" s="186">
        <f>G104/G7</f>
        <v>0.71230782008002302</v>
      </c>
      <c r="H105" s="99">
        <f>G105+'30'!H162</f>
        <v>-24.287692179919976</v>
      </c>
      <c r="I105" s="187"/>
      <c r="J105" s="188">
        <f>H105/DAY(B2)</f>
        <v>-0.78347394128774117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43" t="s">
        <v>324</v>
      </c>
      <c r="B108" s="843"/>
      <c r="C108" s="843"/>
      <c r="D108" s="843"/>
      <c r="E108" s="843"/>
      <c r="F108" s="843"/>
      <c r="G108" s="843"/>
      <c r="H108" s="843"/>
      <c r="I108" s="843"/>
      <c r="J108" s="843"/>
    </row>
    <row r="109" spans="1:15" ht="29.25" x14ac:dyDescent="0.5">
      <c r="A109" s="871"/>
      <c r="B109" s="871"/>
    </row>
    <row r="110" spans="1:15" ht="29.25" customHeight="1" x14ac:dyDescent="0.5">
      <c r="A110" s="844" t="s">
        <v>165</v>
      </c>
      <c r="B110" s="845"/>
      <c r="C110" s="845"/>
      <c r="D110" s="845"/>
      <c r="E110" s="845"/>
      <c r="F110" s="845"/>
      <c r="G110" s="845"/>
      <c r="H110" s="845"/>
      <c r="I110" s="845"/>
      <c r="J110" s="846"/>
    </row>
    <row r="111" spans="1:15" ht="29.25" customHeight="1" x14ac:dyDescent="0.5">
      <c r="A111" s="837"/>
      <c r="B111" s="838"/>
      <c r="C111" s="839"/>
      <c r="D111" s="165"/>
      <c r="E111" s="165"/>
      <c r="F111" s="165"/>
      <c r="G111" s="165"/>
      <c r="H111" s="156"/>
      <c r="I111" s="165"/>
      <c r="J111" s="327"/>
    </row>
    <row r="112" spans="1:15" ht="29.25" customHeight="1" x14ac:dyDescent="0.5">
      <c r="A112" s="833" t="s">
        <v>252</v>
      </c>
      <c r="B112" s="834"/>
      <c r="C112" s="835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28" t="e">
        <f t="shared" ref="J112:J123" si="10">H112/DAY(B31)</f>
        <v>#DIV/0!</v>
      </c>
    </row>
    <row r="113" spans="1:18" ht="29.25" customHeight="1" x14ac:dyDescent="0.5">
      <c r="A113" s="833" t="s">
        <v>253</v>
      </c>
      <c r="B113" s="834"/>
      <c r="C113" s="835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28" t="e">
        <f t="shared" si="10"/>
        <v>#DIV/0!</v>
      </c>
    </row>
    <row r="114" spans="1:18" ht="29.25" customHeight="1" x14ac:dyDescent="0.5">
      <c r="A114" s="833" t="s">
        <v>254</v>
      </c>
      <c r="B114" s="834"/>
      <c r="C114" s="835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28" t="e">
        <f t="shared" si="10"/>
        <v>#DIV/0!</v>
      </c>
    </row>
    <row r="115" spans="1:18" ht="29.25" customHeight="1" x14ac:dyDescent="0.5">
      <c r="A115" s="833" t="s">
        <v>255</v>
      </c>
      <c r="B115" s="834"/>
      <c r="C115" s="835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28" t="e">
        <f t="shared" si="10"/>
        <v>#DIV/0!</v>
      </c>
    </row>
    <row r="116" spans="1:18" ht="29.25" customHeight="1" x14ac:dyDescent="0.5">
      <c r="A116" s="840" t="s">
        <v>96</v>
      </c>
      <c r="B116" s="841"/>
      <c r="C116" s="842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28" t="e">
        <f t="shared" si="10"/>
        <v>#DIV/0!</v>
      </c>
      <c r="Q116" s="833" t="s">
        <v>311</v>
      </c>
      <c r="R116" s="835"/>
    </row>
    <row r="117" spans="1:18" ht="29.25" customHeight="1" x14ac:dyDescent="0.5">
      <c r="A117" s="840" t="s">
        <v>184</v>
      </c>
      <c r="B117" s="841"/>
      <c r="C117" s="842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44919</v>
      </c>
      <c r="I117" s="165"/>
      <c r="J117" s="328" t="e">
        <f t="shared" si="10"/>
        <v>#DIV/0!</v>
      </c>
      <c r="Q117" s="833" t="s">
        <v>312</v>
      </c>
      <c r="R117" s="835"/>
    </row>
    <row r="118" spans="1:18" ht="27.75" x14ac:dyDescent="0.5">
      <c r="A118" s="832" t="s">
        <v>97</v>
      </c>
      <c r="B118" s="832"/>
      <c r="C118" s="832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44925</v>
      </c>
      <c r="I118" s="165"/>
      <c r="J118" s="328" t="e">
        <f t="shared" si="10"/>
        <v>#DIV/0!</v>
      </c>
      <c r="Q118" s="833" t="s">
        <v>311</v>
      </c>
      <c r="R118" s="835"/>
    </row>
    <row r="119" spans="1:18" ht="27.75" x14ac:dyDescent="0.5">
      <c r="A119" s="832" t="s">
        <v>98</v>
      </c>
      <c r="B119" s="832"/>
      <c r="C119" s="832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44911</v>
      </c>
      <c r="I119" s="165"/>
      <c r="J119" s="328" t="e">
        <f t="shared" si="10"/>
        <v>#DIV/0!</v>
      </c>
    </row>
    <row r="120" spans="1:18" ht="27.75" x14ac:dyDescent="0.5">
      <c r="A120" s="832" t="s">
        <v>99</v>
      </c>
      <c r="B120" s="832"/>
      <c r="C120" s="832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28" t="e">
        <f t="shared" si="10"/>
        <v>#DIV/0!</v>
      </c>
    </row>
    <row r="121" spans="1:18" ht="27.75" x14ac:dyDescent="0.5">
      <c r="A121" s="832" t="s">
        <v>100</v>
      </c>
      <c r="B121" s="832"/>
      <c r="C121" s="832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44888</v>
      </c>
      <c r="I121" s="165"/>
      <c r="J121" s="328" t="e">
        <f t="shared" si="10"/>
        <v>#DIV/0!</v>
      </c>
    </row>
    <row r="122" spans="1:18" ht="27.75" x14ac:dyDescent="0.5">
      <c r="A122" s="832" t="s">
        <v>101</v>
      </c>
      <c r="B122" s="832"/>
      <c r="C122" s="832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28" t="e">
        <f t="shared" si="10"/>
        <v>#DIV/0!</v>
      </c>
    </row>
    <row r="123" spans="1:18" ht="27.75" x14ac:dyDescent="0.5">
      <c r="A123" s="832" t="s">
        <v>102</v>
      </c>
      <c r="B123" s="832"/>
      <c r="C123" s="832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44927</v>
      </c>
      <c r="I123" s="165"/>
      <c r="J123" s="328" t="e">
        <f t="shared" si="10"/>
        <v>#DIV/0!</v>
      </c>
    </row>
    <row r="124" spans="1:18" ht="29.25" customHeight="1" x14ac:dyDescent="0.5">
      <c r="A124" s="837"/>
      <c r="B124" s="838"/>
      <c r="C124" s="83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22"/>
      <c r="B125" s="822"/>
      <c r="C125" s="245"/>
      <c r="D125" s="307"/>
      <c r="E125" s="308"/>
      <c r="F125" s="308"/>
      <c r="G125" s="309"/>
      <c r="H125" s="156"/>
      <c r="I125" s="165"/>
      <c r="J125" s="327"/>
    </row>
    <row r="126" spans="1:18" ht="27.75" x14ac:dyDescent="0.5">
      <c r="A126" s="836" t="s">
        <v>317</v>
      </c>
      <c r="B126" s="836"/>
      <c r="C126" s="836"/>
      <c r="D126" s="836"/>
      <c r="E126" s="836"/>
      <c r="F126" s="836"/>
      <c r="G126" s="836"/>
      <c r="H126" s="836"/>
      <c r="I126" s="836"/>
      <c r="J126" s="836"/>
    </row>
    <row r="127" spans="1:18" ht="27.75" x14ac:dyDescent="0.5">
      <c r="A127" s="822"/>
      <c r="B127" s="822"/>
      <c r="C127" s="245"/>
      <c r="D127" s="307"/>
      <c r="E127" s="308"/>
      <c r="F127" s="308"/>
      <c r="G127" s="309"/>
      <c r="H127" s="99">
        <f>G127+'30'!H184</f>
        <v>-6</v>
      </c>
      <c r="I127" s="165"/>
      <c r="J127" s="328" t="e">
        <f t="shared" ref="J127:J135" si="11">H127/DAY(B46)</f>
        <v>#DIV/0!</v>
      </c>
    </row>
    <row r="128" spans="1:18" ht="29.25" customHeight="1" x14ac:dyDescent="0.5">
      <c r="A128" s="833" t="s">
        <v>318</v>
      </c>
      <c r="B128" s="834"/>
      <c r="C128" s="835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28" t="e">
        <f t="shared" si="11"/>
        <v>#DIV/0!</v>
      </c>
    </row>
    <row r="129" spans="1:15" ht="29.25" customHeight="1" x14ac:dyDescent="0.5">
      <c r="A129" s="329" t="s">
        <v>319</v>
      </c>
      <c r="B129" s="330"/>
      <c r="C129" s="331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-15</v>
      </c>
      <c r="I129" s="165"/>
      <c r="J129" s="328" t="e">
        <f t="shared" si="11"/>
        <v>#DIV/0!</v>
      </c>
      <c r="N129" s="240"/>
      <c r="O129" s="241"/>
    </row>
    <row r="130" spans="1:15" ht="29.25" customHeight="1" x14ac:dyDescent="0.5">
      <c r="A130" s="329" t="s">
        <v>320</v>
      </c>
      <c r="B130" s="330"/>
      <c r="C130" s="331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1608</v>
      </c>
      <c r="I130" s="165"/>
      <c r="J130" s="328" t="e">
        <f t="shared" si="11"/>
        <v>#DIV/0!</v>
      </c>
      <c r="N130" s="240"/>
      <c r="O130" s="241"/>
    </row>
    <row r="131" spans="1:15" ht="29.25" customHeight="1" x14ac:dyDescent="0.5">
      <c r="A131" s="833" t="s">
        <v>321</v>
      </c>
      <c r="B131" s="834"/>
      <c r="C131" s="835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-1953</v>
      </c>
      <c r="I131" s="165"/>
      <c r="J131" s="328" t="e">
        <f t="shared" si="11"/>
        <v>#DIV/0!</v>
      </c>
      <c r="N131" s="240"/>
      <c r="O131" s="241"/>
    </row>
    <row r="132" spans="1:15" ht="29.25" customHeight="1" x14ac:dyDescent="0.5">
      <c r="A132" s="833" t="s">
        <v>322</v>
      </c>
      <c r="B132" s="834"/>
      <c r="C132" s="835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-1641</v>
      </c>
      <c r="I132" s="165"/>
      <c r="J132" s="328" t="e">
        <f t="shared" si="11"/>
        <v>#DIV/0!</v>
      </c>
    </row>
    <row r="133" spans="1:15" ht="29.25" customHeight="1" x14ac:dyDescent="0.5">
      <c r="A133" s="833" t="s">
        <v>323</v>
      </c>
      <c r="B133" s="834"/>
      <c r="C133" s="835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28" t="e">
        <f t="shared" si="11"/>
        <v>#DIV/0!</v>
      </c>
    </row>
    <row r="134" spans="1:15" ht="29.25" customHeight="1" x14ac:dyDescent="0.5">
      <c r="A134" s="837"/>
      <c r="B134" s="838"/>
      <c r="C134" s="839"/>
      <c r="D134" s="151"/>
      <c r="E134" s="95"/>
      <c r="F134" s="165"/>
      <c r="G134" s="112"/>
      <c r="H134" s="99">
        <f>G134+'30'!H191</f>
        <v>0</v>
      </c>
      <c r="I134" s="165"/>
      <c r="J134" s="328" t="e">
        <f t="shared" si="11"/>
        <v>#DIV/0!</v>
      </c>
    </row>
    <row r="135" spans="1:15" ht="29.25" customHeight="1" x14ac:dyDescent="0.5">
      <c r="A135" s="837"/>
      <c r="B135" s="838"/>
      <c r="C135" s="839"/>
      <c r="D135" s="151"/>
      <c r="E135" s="95"/>
      <c r="F135" s="165"/>
      <c r="G135" s="112"/>
      <c r="H135" s="99">
        <f>G135+'30'!H192</f>
        <v>0</v>
      </c>
      <c r="I135" s="165"/>
      <c r="J135" s="328" t="e">
        <f t="shared" si="11"/>
        <v>#DIV/0!</v>
      </c>
    </row>
    <row r="136" spans="1:15" ht="35.25" customHeight="1" x14ac:dyDescent="0.55000000000000004">
      <c r="A136" s="821" t="s">
        <v>325</v>
      </c>
      <c r="B136" s="821"/>
      <c r="C136" s="821"/>
      <c r="D136" s="821"/>
      <c r="E136" s="821"/>
      <c r="F136" s="821"/>
      <c r="G136" s="821"/>
      <c r="H136" s="821"/>
      <c r="I136" s="821"/>
      <c r="J136" s="821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32" t="s">
        <v>185</v>
      </c>
      <c r="B138" s="832"/>
      <c r="C138" s="832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28" t="e">
        <f>H138/DAY(B77)</f>
        <v>#DIV/0!</v>
      </c>
    </row>
    <row r="139" spans="1:15" ht="27.75" x14ac:dyDescent="0.5">
      <c r="A139" s="832" t="s">
        <v>186</v>
      </c>
      <c r="B139" s="832"/>
      <c r="C139" s="832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28" t="e">
        <f>H139/DAY(B77)</f>
        <v>#DIV/0!</v>
      </c>
    </row>
    <row r="140" spans="1:15" ht="27.75" x14ac:dyDescent="0.5">
      <c r="A140" s="832" t="s">
        <v>187</v>
      </c>
      <c r="B140" s="832"/>
      <c r="C140" s="832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28" t="e">
        <f>H140/DAY(B77)</f>
        <v>#DIV/0!</v>
      </c>
    </row>
    <row r="141" spans="1:15" ht="27.75" x14ac:dyDescent="0.5">
      <c r="A141" s="813" t="s">
        <v>188</v>
      </c>
      <c r="B141" s="813"/>
      <c r="C141" s="813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28" t="e">
        <f>H141/DAY(B77)</f>
        <v>#DIV/0!</v>
      </c>
    </row>
    <row r="142" spans="1:15" ht="27.75" x14ac:dyDescent="0.5">
      <c r="A142" s="813" t="s">
        <v>189</v>
      </c>
      <c r="B142" s="813"/>
      <c r="C142" s="813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28" t="e">
        <f>H142/DAY(B77)</f>
        <v>#DIV/0!</v>
      </c>
    </row>
    <row r="143" spans="1:15" ht="27.75" x14ac:dyDescent="0.5">
      <c r="A143" s="832" t="s">
        <v>190</v>
      </c>
      <c r="B143" s="832"/>
      <c r="C143" s="832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28" t="e">
        <f>H143/DAY(B77)</f>
        <v>#DIV/0!</v>
      </c>
    </row>
    <row r="144" spans="1:15" ht="27.75" x14ac:dyDescent="0.5">
      <c r="A144" s="867" t="s">
        <v>191</v>
      </c>
      <c r="B144" s="852"/>
      <c r="C144" s="853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28" t="e">
        <f>H144/DAY(B77)</f>
        <v>#DIV/0!</v>
      </c>
    </row>
    <row r="145" spans="1:10" ht="27.75" x14ac:dyDescent="0.5">
      <c r="A145" s="813" t="s">
        <v>90</v>
      </c>
      <c r="B145" s="813"/>
      <c r="C145" s="813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28" t="e">
        <f>H145/DAY(B77)</f>
        <v>#DIV/0!</v>
      </c>
    </row>
    <row r="146" spans="1:10" ht="27.75" x14ac:dyDescent="0.5">
      <c r="A146" s="813" t="s">
        <v>192</v>
      </c>
      <c r="B146" s="813"/>
      <c r="C146" s="813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28" t="e">
        <f>H146/DAY(B77)</f>
        <v>#DIV/0!</v>
      </c>
    </row>
    <row r="147" spans="1:10" ht="27.75" x14ac:dyDescent="0.5">
      <c r="A147" s="813" t="s">
        <v>193</v>
      </c>
      <c r="B147" s="813"/>
      <c r="C147" s="813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28" t="e">
        <f>H147/DAY(B77)</f>
        <v>#DIV/0!</v>
      </c>
    </row>
    <row r="148" spans="1:10" ht="27.75" x14ac:dyDescent="0.5">
      <c r="A148" s="813" t="s">
        <v>91</v>
      </c>
      <c r="B148" s="813"/>
      <c r="C148" s="813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28" t="e">
        <f>H148/DAY(B77)</f>
        <v>#DIV/0!</v>
      </c>
    </row>
    <row r="149" spans="1:10" ht="27.75" x14ac:dyDescent="0.5">
      <c r="A149" s="813" t="s">
        <v>194</v>
      </c>
      <c r="B149" s="813"/>
      <c r="C149" s="813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28" t="e">
        <f>H149/DAY(B77)</f>
        <v>#DIV/0!</v>
      </c>
    </row>
    <row r="150" spans="1:10" ht="29.25" x14ac:dyDescent="0.5">
      <c r="A150" s="325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28" t="e">
        <f>H150/DAY(B77)</f>
        <v>#DIV/0!</v>
      </c>
    </row>
    <row r="151" spans="1:10" ht="29.25" x14ac:dyDescent="0.5"/>
    <row r="152" spans="1:10" ht="31.5" x14ac:dyDescent="0.55000000000000004">
      <c r="A152" s="821" t="s">
        <v>326</v>
      </c>
      <c r="B152" s="821"/>
      <c r="C152" s="821"/>
      <c r="D152" s="821"/>
      <c r="E152" s="821"/>
      <c r="F152" s="821"/>
      <c r="G152" s="821"/>
      <c r="H152" s="821"/>
      <c r="I152" s="821"/>
      <c r="J152" s="821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822" t="s">
        <v>328</v>
      </c>
      <c r="B158" s="822"/>
      <c r="C158" s="246"/>
      <c r="D158" s="244" t="s">
        <v>180</v>
      </c>
      <c r="E158" s="165"/>
      <c r="F158" s="165"/>
      <c r="G158" s="165"/>
      <c r="H158" s="156"/>
      <c r="I158" s="165"/>
      <c r="J158" s="327"/>
    </row>
    <row r="159" spans="1:10" ht="29.25" x14ac:dyDescent="0.5">
      <c r="A159" s="822" t="s">
        <v>327</v>
      </c>
      <c r="B159" s="82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29.25" x14ac:dyDescent="0.5">
      <c r="A160" s="822" t="s">
        <v>328</v>
      </c>
      <c r="B160" s="82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29.25" x14ac:dyDescent="0.5"/>
    <row r="162" spans="1:10" ht="29.25" x14ac:dyDescent="0.5"/>
    <row r="163" spans="1:10" ht="34.5" customHeight="1" x14ac:dyDescent="0.35">
      <c r="A163" s="823" t="s">
        <v>330</v>
      </c>
      <c r="B163" s="824"/>
      <c r="C163" s="824"/>
      <c r="D163" s="824"/>
      <c r="E163" s="824"/>
      <c r="F163" s="824"/>
      <c r="G163" s="824"/>
      <c r="H163" s="824"/>
      <c r="I163" s="824"/>
      <c r="J163" s="825"/>
    </row>
    <row r="164" spans="1:10" ht="27.75" x14ac:dyDescent="0.5">
      <c r="A164" s="830"/>
      <c r="B164" s="831"/>
      <c r="C164" s="33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826" t="s">
        <v>209</v>
      </c>
      <c r="B165" s="827"/>
      <c r="C165" s="333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826" t="s">
        <v>75</v>
      </c>
      <c r="B166" s="827"/>
      <c r="C166" s="333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826" t="s">
        <v>76</v>
      </c>
      <c r="B167" s="866"/>
      <c r="C167" s="827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826" t="s">
        <v>196</v>
      </c>
      <c r="B168" s="827"/>
      <c r="C168" s="333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826" t="s">
        <v>77</v>
      </c>
      <c r="B169" s="827"/>
      <c r="C169" s="333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826" t="s">
        <v>210</v>
      </c>
      <c r="B170" s="827"/>
      <c r="C170" s="333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826" t="s">
        <v>211</v>
      </c>
      <c r="B171" s="827"/>
      <c r="C171" s="333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826" t="s">
        <v>212</v>
      </c>
      <c r="B172" s="827"/>
      <c r="C172" s="333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819" t="s">
        <v>108</v>
      </c>
      <c r="B173" s="820"/>
      <c r="C173" s="333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826" t="s">
        <v>213</v>
      </c>
      <c r="B174" s="827"/>
      <c r="C174" s="333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826" t="s">
        <v>214</v>
      </c>
      <c r="B175" s="827"/>
      <c r="C175" s="334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826" t="s">
        <v>215</v>
      </c>
      <c r="B176" s="827"/>
      <c r="C176" s="334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826" t="s">
        <v>216</v>
      </c>
      <c r="B177" s="827"/>
      <c r="C177" s="334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826" t="s">
        <v>196</v>
      </c>
      <c r="B178" s="827"/>
      <c r="C178" s="334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819" t="s">
        <v>217</v>
      </c>
      <c r="B179" s="820"/>
      <c r="C179" s="333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819" t="s">
        <v>218</v>
      </c>
      <c r="B180" s="820"/>
      <c r="C180" s="333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819" t="s">
        <v>219</v>
      </c>
      <c r="B181" s="820"/>
      <c r="C181" s="333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819"/>
      <c r="B182" s="820"/>
      <c r="C182" s="33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2022-01-19T05:35:56Z</dcterms:modified>
</cp:coreProperties>
</file>