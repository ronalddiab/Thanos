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350" yWindow="165" windowWidth="12915" windowHeight="11835" tabRatio="579" activeTab="3"/>
  </bookViews>
  <sheets>
    <sheet name="Total" sheetId="81" r:id="rId1"/>
    <sheet name="tanks" sheetId="7" r:id="rId2"/>
    <sheet name="Submetering" sheetId="82" r:id="rId3"/>
    <sheet name="ELEC" sheetId="2" r:id="rId4"/>
    <sheet name="B5" sheetId="1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5">WATER!$A$3:$C$37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3" i="3"/>
  <c r="C24" i="3"/>
  <c r="AL25" i="5"/>
  <c r="H24" i="5"/>
  <c r="J23" i="5"/>
  <c r="W23" i="2"/>
  <c r="W24" i="2"/>
  <c r="W25" i="2"/>
  <c r="W26" i="2"/>
  <c r="W27" i="2"/>
  <c r="W28" i="2"/>
  <c r="W29" i="2"/>
  <c r="W30" i="2"/>
  <c r="W31" i="2"/>
  <c r="W32" i="2"/>
  <c r="W33" i="2"/>
  <c r="W34" i="2"/>
  <c r="W22" i="2"/>
  <c r="E15" i="2"/>
  <c r="E16" i="2"/>
  <c r="P30" i="1"/>
  <c r="P31" i="1"/>
  <c r="P32" i="1"/>
  <c r="P33" i="1"/>
  <c r="P34" i="1"/>
  <c r="P35" i="1"/>
  <c r="Q29" i="1"/>
  <c r="Q30" i="1"/>
  <c r="Q31" i="1"/>
  <c r="Q32" i="1"/>
  <c r="Q33" i="1"/>
  <c r="Q34" i="1"/>
  <c r="Q35" i="1"/>
  <c r="O14" i="2"/>
  <c r="D14" i="73"/>
  <c r="D15" i="73"/>
  <c r="D16" i="73"/>
  <c r="D17" i="73"/>
  <c r="D18" i="73"/>
  <c r="D19" i="73"/>
  <c r="D20" i="73"/>
  <c r="N8" i="2"/>
  <c r="R8" i="2"/>
  <c r="R7" i="2"/>
  <c r="R5" i="2"/>
  <c r="R6" i="2"/>
  <c r="R9" i="2"/>
  <c r="R10" i="2"/>
  <c r="Y13" i="2"/>
  <c r="Y14" i="2"/>
  <c r="Y15" i="2"/>
  <c r="Y16" i="2"/>
  <c r="Y17" i="2"/>
  <c r="Y18" i="2"/>
  <c r="Y19" i="2"/>
  <c r="Y20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B4" i="3"/>
  <c r="B5" i="3" s="1"/>
  <c r="B11" i="3" s="1"/>
  <c r="B12" i="3" s="1"/>
  <c r="B18" i="3" s="1"/>
  <c r="B19" i="3" s="1"/>
  <c r="B6" i="1"/>
  <c r="B7" i="1" s="1"/>
  <c r="B13" i="1" s="1"/>
  <c r="B14" i="1" s="1"/>
  <c r="B20" i="1" s="1"/>
  <c r="B21" i="1" s="1"/>
  <c r="B27" i="1" s="1"/>
  <c r="B28" i="1" s="1"/>
  <c r="B29" i="1" s="1"/>
  <c r="B32" i="1" s="1"/>
  <c r="B33" i="1" s="1"/>
  <c r="B34" i="1" s="1"/>
  <c r="B35" i="1" s="1"/>
  <c r="D6" i="2"/>
  <c r="D12" i="2" s="1"/>
  <c r="D13" i="2" s="1"/>
  <c r="P5" i="2"/>
  <c r="P6" i="2" s="1"/>
  <c r="P12" i="2" s="1"/>
  <c r="P13" i="2" s="1"/>
  <c r="P19" i="2" s="1"/>
  <c r="P20" i="2" s="1"/>
  <c r="P27" i="2" s="1"/>
  <c r="P28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7" i="2" s="1"/>
  <c r="H28" i="2" s="1"/>
  <c r="H31" i="2" s="1"/>
  <c r="H32" i="2" s="1"/>
  <c r="H33" i="2" s="1"/>
  <c r="H34" i="2" s="1"/>
  <c r="F5" i="2"/>
  <c r="F6" i="2" s="1"/>
  <c r="F12" i="2" s="1"/>
  <c r="F13" i="2" s="1"/>
  <c r="F19" i="2" s="1"/>
  <c r="F20" i="2" s="1"/>
  <c r="F27" i="2" s="1"/>
  <c r="F28" i="2" s="1"/>
  <c r="F31" i="2" s="1"/>
  <c r="F32" i="2" s="1"/>
  <c r="F33" i="2" s="1"/>
  <c r="F34" i="2" s="1"/>
  <c r="J5" i="2"/>
  <c r="J6" i="2" s="1"/>
  <c r="J12" i="2" s="1"/>
  <c r="J13" i="2" s="1"/>
  <c r="J19" i="2" s="1"/>
  <c r="J20" i="2" s="1"/>
  <c r="J27" i="2" s="1"/>
  <c r="J28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7" i="2" s="1"/>
  <c r="L28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20" i="1" s="1"/>
  <c r="H21" i="1" s="1"/>
  <c r="H25" i="1" s="1"/>
  <c r="H27" i="1" s="1"/>
  <c r="H28" i="1" s="1"/>
  <c r="H29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20" i="1" s="1"/>
  <c r="AE21" i="1" s="1"/>
  <c r="AE22" i="1" s="1"/>
  <c r="AE24" i="1" s="1"/>
  <c r="AE25" i="1" s="1"/>
  <c r="AE27" i="1" s="1"/>
  <c r="AE28" i="1" s="1"/>
  <c r="AE29" i="1" s="1"/>
  <c r="AE30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9" i="5" s="1"/>
  <c r="AT21" i="5" s="1"/>
  <c r="AT22" i="5" s="1"/>
  <c r="AT24" i="5" s="1"/>
  <c r="AT26" i="5" s="1"/>
  <c r="AT28" i="5" s="1"/>
  <c r="AT29" i="5" s="1"/>
  <c r="AT30" i="5" s="1"/>
  <c r="AT33" i="5" s="1"/>
  <c r="AT34" i="5" s="1"/>
  <c r="AT35" i="5" s="1"/>
  <c r="AT36" i="5" s="1"/>
  <c r="AV7" i="5"/>
  <c r="AV8" i="5" s="1"/>
  <c r="AV9" i="5" s="1"/>
  <c r="AV14" i="5" s="1"/>
  <c r="AV15" i="5" s="1"/>
  <c r="AV21" i="5" s="1"/>
  <c r="AV22" i="5" s="1"/>
  <c r="AV24" i="5" s="1"/>
  <c r="AV26" i="5" s="1"/>
  <c r="AV28" i="5" s="1"/>
  <c r="AV29" i="5" s="1"/>
  <c r="AV30" i="5" s="1"/>
  <c r="AV33" i="5" s="1"/>
  <c r="AV34" i="5" s="1"/>
  <c r="AV35" i="5" s="1"/>
  <c r="AV36" i="5" s="1"/>
  <c r="AX7" i="5"/>
  <c r="AX8" i="5" s="1"/>
  <c r="AX12" i="5" s="1"/>
  <c r="AX14" i="5" s="1"/>
  <c r="AX15" i="5" s="1"/>
  <c r="AX18" i="5" s="1"/>
  <c r="AX21" i="5" s="1"/>
  <c r="AX22" i="5" s="1"/>
  <c r="AX24" i="5" s="1"/>
  <c r="AX26" i="5" s="1"/>
  <c r="AX28" i="5" s="1"/>
  <c r="AX29" i="5" s="1"/>
  <c r="AX30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1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F19" i="76" l="1"/>
  <c r="F20" i="76" s="1"/>
  <c r="F21" i="76" s="1"/>
  <c r="F22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F16" i="76"/>
  <c r="H19" i="76"/>
  <c r="H20" i="76" s="1"/>
  <c r="H21" i="76" s="1"/>
  <c r="H22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H16" i="76"/>
  <c r="F20" i="1"/>
  <c r="F21" i="1" s="1"/>
  <c r="F25" i="1" s="1"/>
  <c r="F27" i="1" s="1"/>
  <c r="F28" i="1" s="1"/>
  <c r="F29" i="1" s="1"/>
  <c r="F32" i="1" s="1"/>
  <c r="F33" i="1" s="1"/>
  <c r="F34" i="1" s="1"/>
  <c r="G18" i="1"/>
  <c r="E17" i="2"/>
  <c r="D5" i="1"/>
  <c r="C6" i="1"/>
  <c r="C7" i="1" s="1"/>
  <c r="C13" i="1" s="1"/>
  <c r="C14" i="1" s="1"/>
  <c r="C20" i="1" s="1"/>
  <c r="C21" i="1" s="1"/>
  <c r="C27" i="1" s="1"/>
  <c r="C28" i="1" s="1"/>
  <c r="C32" i="1" s="1"/>
  <c r="C33" i="1" s="1"/>
  <c r="C34" i="1" s="1"/>
  <c r="C35" i="1" s="1"/>
  <c r="Z6" i="7"/>
  <c r="B25" i="3"/>
  <c r="C25" i="3" s="1"/>
  <c r="D19" i="2" l="1"/>
  <c r="E18" i="2"/>
  <c r="B26" i="3"/>
  <c r="C26" i="3" s="1"/>
  <c r="A24" i="1"/>
  <c r="D13" i="73"/>
  <c r="D12" i="73"/>
  <c r="D11" i="73"/>
  <c r="D20" i="2" l="1"/>
  <c r="E19" i="2"/>
  <c r="B27" i="3"/>
  <c r="C27" i="3" s="1"/>
  <c r="E20" i="2" l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7" i="1" s="1"/>
  <c r="AC28" i="1" s="1"/>
  <c r="AC29" i="1" s="1"/>
  <c r="AC30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C28" i="3" l="1"/>
  <c r="E21" i="2"/>
  <c r="Q24" i="1"/>
  <c r="Q25" i="1" s="1"/>
  <c r="Q26" i="1" s="1"/>
  <c r="Q27" i="1" s="1"/>
  <c r="Q28" i="1" s="1"/>
  <c r="I30" i="1"/>
  <c r="B30" i="3" l="1"/>
  <c r="C29" i="3"/>
  <c r="E22" i="2"/>
  <c r="AM18" i="5"/>
  <c r="B31" i="3" l="1"/>
  <c r="C30" i="3"/>
  <c r="D27" i="2"/>
  <c r="D28" i="2" s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B32" i="3" l="1"/>
  <c r="C31" i="3"/>
  <c r="E29" i="2"/>
  <c r="AF14" i="1"/>
  <c r="AF15" i="1"/>
  <c r="AF16" i="1"/>
  <c r="AF17" i="1"/>
  <c r="B33" i="3" l="1"/>
  <c r="C33" i="3" s="1"/>
  <c r="C32" i="3"/>
  <c r="D31" i="2"/>
  <c r="D32" i="2" s="1"/>
  <c r="D33" i="2" s="1"/>
  <c r="D34" i="2" s="1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B14" i="76" s="1"/>
  <c r="B15" i="76" s="1"/>
  <c r="B16" i="76" s="1"/>
  <c r="B19" i="76"/>
  <c r="B20" i="76" s="1"/>
  <c r="B21" i="76" s="1"/>
  <c r="B22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9" i="5" s="1"/>
  <c r="V20" i="5" s="1"/>
  <c r="V21" i="5" s="1"/>
  <c r="V22" i="5" s="1"/>
  <c r="V23" i="5" s="1"/>
  <c r="V24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9" i="5" s="1"/>
  <c r="G20" i="5" s="1"/>
  <c r="G21" i="5" s="1"/>
  <c r="G22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J19" i="76" l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G26" i="5"/>
  <c r="G28" i="5" s="1"/>
  <c r="G29" i="5" s="1"/>
  <c r="G30" i="5" s="1"/>
  <c r="G32" i="5" s="1"/>
  <c r="G33" i="5" s="1"/>
  <c r="G34" i="5" s="1"/>
  <c r="G35" i="5" s="1"/>
  <c r="G36" i="5" s="1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C4" i="63"/>
  <c r="D4" i="63" s="1"/>
  <c r="E5" i="81"/>
  <c r="S11" i="76"/>
  <c r="N13" i="2"/>
  <c r="R13" i="2" s="1"/>
  <c r="N12" i="2"/>
  <c r="R12" i="2" s="1"/>
  <c r="N9" i="2"/>
  <c r="E7" i="81" s="1"/>
  <c r="E6" i="81"/>
  <c r="E9" i="81" l="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<sst xmlns="http://schemas.openxmlformats.org/spreadsheetml/2006/main" count="666" uniqueCount="418">
  <si>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</si>
  <si>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</si>
  <si>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</si>
  <si>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</si>
  <si>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</si>
  <si>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</si>
  <si>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</si>
  <si>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</si>
  <si>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</si>
  <si>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</si>
  <si>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</si>
  <si>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</si>
  <si>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</si>
  <si>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</si>
  <si>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</si>
  <si>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</si>
  <si>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</si>
  <si>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</si>
  <si>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</si>
  <si>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</si>
  <si>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</si>
  <si>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</si>
  <si>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</si>
  <si>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</si>
  <si>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</si>
  <si>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</si>
  <si>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</si>
  <si>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</si>
  <si>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</si>
  <si>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</si>
  <si>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</si>
  <si>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</si>
  <si>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</si>
  <si>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</si>
  <si>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Delivery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</si>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</sst>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calcChain" Target="calcChain.xml"/><Relationship Id="rId48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61384"/>
        <c:axId val="185824504"/>
      </c:lineChart>
      <c:catAx>
        <c:axId val="450861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824504"/>
        <c:crosses val="autoZero"/>
        <c:auto val="1"/>
        <c:lblAlgn val="ctr"/>
        <c:lblOffset val="100"/>
        <c:noMultiLvlLbl val="0"/>
      </c:catAx>
      <c:valAx>
        <c:axId val="185824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61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148616"/>
        <c:axId val="450149000"/>
      </c:lineChart>
      <c:catAx>
        <c:axId val="450148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149000"/>
        <c:crosses val="autoZero"/>
        <c:auto val="1"/>
        <c:lblAlgn val="ctr"/>
        <c:lblOffset val="100"/>
        <c:noMultiLvlLbl val="0"/>
      </c:catAx>
      <c:valAx>
        <c:axId val="450149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148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733096"/>
        <c:axId val="451733480"/>
      </c:lineChart>
      <c:catAx>
        <c:axId val="451733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733480"/>
        <c:crosses val="autoZero"/>
        <c:auto val="1"/>
        <c:lblAlgn val="ctr"/>
        <c:lblOffset val="100"/>
        <c:noMultiLvlLbl val="0"/>
      </c:catAx>
      <c:valAx>
        <c:axId val="4517334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733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96336"/>
        <c:axId val="184996728"/>
      </c:lineChart>
      <c:catAx>
        <c:axId val="1849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96728"/>
        <c:crosses val="autoZero"/>
        <c:auto val="1"/>
        <c:lblAlgn val="ctr"/>
        <c:lblOffset val="100"/>
        <c:noMultiLvlLbl val="0"/>
      </c:catAx>
      <c:valAx>
        <c:axId val="184996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9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88880"/>
        <c:axId val="451894368"/>
      </c:lineChart>
      <c:catAx>
        <c:axId val="45188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4368"/>
        <c:crosses val="autoZero"/>
        <c:auto val="1"/>
        <c:lblAlgn val="ctr"/>
        <c:lblOffset val="100"/>
        <c:noMultiLvlLbl val="0"/>
      </c:catAx>
      <c:valAx>
        <c:axId val="451894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8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95152"/>
        <c:axId val="451892408"/>
      </c:lineChart>
      <c:catAx>
        <c:axId val="45189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2408"/>
        <c:crosses val="autoZero"/>
        <c:auto val="1"/>
        <c:lblAlgn val="ctr"/>
        <c:lblOffset val="100"/>
        <c:noMultiLvlLbl val="0"/>
      </c:catAx>
      <c:valAx>
        <c:axId val="451892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90056"/>
        <c:axId val="451894760"/>
      </c:lineChart>
      <c:catAx>
        <c:axId val="451890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4760"/>
        <c:crosses val="autoZero"/>
        <c:auto val="1"/>
        <c:lblAlgn val="ctr"/>
        <c:lblOffset val="100"/>
        <c:noMultiLvlLbl val="0"/>
      </c:catAx>
      <c:valAx>
        <c:axId val="451894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0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87704"/>
        <c:axId val="451888096"/>
      </c:lineChart>
      <c:catAx>
        <c:axId val="45188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88096"/>
        <c:crosses val="autoZero"/>
        <c:auto val="1"/>
        <c:lblAlgn val="ctr"/>
        <c:lblOffset val="100"/>
        <c:noMultiLvlLbl val="0"/>
      </c:catAx>
      <c:valAx>
        <c:axId val="45188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87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93192"/>
        <c:axId val="451888488"/>
      </c:lineChart>
      <c:catAx>
        <c:axId val="451893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88488"/>
        <c:crosses val="autoZero"/>
        <c:auto val="1"/>
        <c:lblAlgn val="ctr"/>
        <c:lblOffset val="100"/>
        <c:noMultiLvlLbl val="0"/>
      </c:catAx>
      <c:valAx>
        <c:axId val="451888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3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92016"/>
        <c:axId val="451891232"/>
      </c:lineChart>
      <c:catAx>
        <c:axId val="45189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1232"/>
        <c:crosses val="autoZero"/>
        <c:auto val="1"/>
        <c:lblAlgn val="ctr"/>
        <c:lblOffset val="100"/>
        <c:noMultiLvlLbl val="0"/>
      </c:catAx>
      <c:valAx>
        <c:axId val="45189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89272"/>
        <c:axId val="451892800"/>
      </c:lineChart>
      <c:catAx>
        <c:axId val="451889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92800"/>
        <c:crosses val="autoZero"/>
        <c:auto val="1"/>
        <c:lblAlgn val="ctr"/>
        <c:lblOffset val="100"/>
        <c:noMultiLvlLbl val="0"/>
      </c:catAx>
      <c:valAx>
        <c:axId val="45189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889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81312"/>
        <c:axId val="451479352"/>
      </c:lineChart>
      <c:catAx>
        <c:axId val="45148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9352"/>
        <c:crosses val="autoZero"/>
        <c:auto val="1"/>
        <c:lblAlgn val="ctr"/>
        <c:lblOffset val="100"/>
        <c:noMultiLvlLbl val="0"/>
      </c:catAx>
      <c:valAx>
        <c:axId val="4514793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476</c:v>
                </c:pt>
                <c:pt idx="14">
                  <c:v>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79744"/>
        <c:axId val="451482096"/>
      </c:lineChart>
      <c:catAx>
        <c:axId val="45147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2096"/>
        <c:crosses val="autoZero"/>
        <c:auto val="1"/>
        <c:lblAlgn val="ctr"/>
        <c:lblOffset val="100"/>
        <c:noMultiLvlLbl val="0"/>
      </c:catAx>
      <c:valAx>
        <c:axId val="45148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138</c:v>
                </c:pt>
                <c:pt idx="14">
                  <c:v>47</c:v>
                </c:pt>
                <c:pt idx="15">
                  <c:v>326</c:v>
                </c:pt>
                <c:pt idx="16">
                  <c:v>0</c:v>
                </c:pt>
                <c:pt idx="17">
                  <c:v>0</c:v>
                </c:pt>
                <c:pt idx="18">
                  <c:v>281</c:v>
                </c:pt>
                <c:pt idx="19">
                  <c:v>162</c:v>
                </c:pt>
                <c:pt idx="20">
                  <c:v>128</c:v>
                </c:pt>
                <c:pt idx="21">
                  <c:v>0</c:v>
                </c:pt>
                <c:pt idx="22">
                  <c:v>239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175</c:v>
                </c:pt>
                <c:pt idx="27">
                  <c:v>177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77392"/>
        <c:axId val="451478176"/>
      </c:lineChart>
      <c:catAx>
        <c:axId val="45147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8176"/>
        <c:crosses val="autoZero"/>
        <c:auto val="1"/>
        <c:lblAlgn val="ctr"/>
        <c:lblOffset val="100"/>
        <c:noMultiLvlLbl val="0"/>
      </c:catAx>
      <c:valAx>
        <c:axId val="45147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84448"/>
        <c:axId val="451480920"/>
      </c:lineChart>
      <c:catAx>
        <c:axId val="45148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0920"/>
        <c:crosses val="autoZero"/>
        <c:auto val="1"/>
        <c:lblAlgn val="ctr"/>
        <c:lblOffset val="100"/>
        <c:noMultiLvlLbl val="0"/>
      </c:catAx>
      <c:valAx>
        <c:axId val="4514809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82880"/>
        <c:axId val="451483272"/>
      </c:lineChart>
      <c:catAx>
        <c:axId val="4514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3272"/>
        <c:crosses val="autoZero"/>
        <c:auto val="1"/>
        <c:lblAlgn val="ctr"/>
        <c:lblOffset val="100"/>
        <c:noMultiLvlLbl val="0"/>
      </c:catAx>
      <c:valAx>
        <c:axId val="4514832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84840"/>
        <c:axId val="451477784"/>
      </c:lineChart>
      <c:catAx>
        <c:axId val="451484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7784"/>
        <c:crosses val="autoZero"/>
        <c:auto val="1"/>
        <c:lblAlgn val="ctr"/>
        <c:lblOffset val="100"/>
        <c:noMultiLvlLbl val="0"/>
      </c:catAx>
      <c:valAx>
        <c:axId val="451477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4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80528"/>
        <c:axId val="451478960"/>
      </c:lineChart>
      <c:catAx>
        <c:axId val="45148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78960"/>
        <c:crosses val="autoZero"/>
        <c:auto val="1"/>
        <c:lblAlgn val="ctr"/>
        <c:lblOffset val="100"/>
        <c:noMultiLvlLbl val="0"/>
      </c:catAx>
      <c:valAx>
        <c:axId val="4514789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8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-920.03225806450064</c:v>
                </c:pt>
                <c:pt idx="13">
                  <c:v>-1226.7096774193487</c:v>
                </c:pt>
                <c:pt idx="14">
                  <c:v>-53.096774193574674</c:v>
                </c:pt>
                <c:pt idx="15">
                  <c:v>0</c:v>
                </c:pt>
                <c:pt idx="16">
                  <c:v>0</c:v>
                </c:pt>
                <c:pt idx="17">
                  <c:v>-1226.7096774193342</c:v>
                </c:pt>
                <c:pt idx="18">
                  <c:v>-1226.7096774193342</c:v>
                </c:pt>
                <c:pt idx="19">
                  <c:v>-1156.7096774193633</c:v>
                </c:pt>
                <c:pt idx="20">
                  <c:v>-1060.0322580645443</c:v>
                </c:pt>
                <c:pt idx="21">
                  <c:v>-731.69354838709114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-968.37096774192469</c:v>
                </c:pt>
                <c:pt idx="26">
                  <c:v>-920.03225806450064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6248"/>
        <c:axId val="452854680"/>
      </c:lineChart>
      <c:catAx>
        <c:axId val="452856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4680"/>
        <c:crosses val="autoZero"/>
        <c:auto val="1"/>
        <c:lblAlgn val="ctr"/>
        <c:lblOffset val="100"/>
        <c:noMultiLvlLbl val="0"/>
      </c:catAx>
      <c:valAx>
        <c:axId val="4528546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6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49584"/>
        <c:axId val="452855072"/>
      </c:lineChart>
      <c:catAx>
        <c:axId val="45284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5072"/>
        <c:crosses val="autoZero"/>
        <c:auto val="1"/>
        <c:lblAlgn val="ctr"/>
        <c:lblOffset val="100"/>
        <c:noMultiLvlLbl val="0"/>
      </c:catAx>
      <c:valAx>
        <c:axId val="45285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4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6640"/>
        <c:axId val="452857032"/>
      </c:lineChart>
      <c:catAx>
        <c:axId val="45285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7032"/>
        <c:crosses val="autoZero"/>
        <c:auto val="1"/>
        <c:lblAlgn val="ctr"/>
        <c:lblOffset val="100"/>
        <c:noMultiLvlLbl val="0"/>
      </c:catAx>
      <c:valAx>
        <c:axId val="4528570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0368"/>
        <c:axId val="452855464"/>
      </c:lineChart>
      <c:catAx>
        <c:axId val="4528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5464"/>
        <c:crosses val="autoZero"/>
        <c:auto val="1"/>
        <c:lblAlgn val="ctr"/>
        <c:lblOffset val="100"/>
        <c:noMultiLvlLbl val="0"/>
      </c:catAx>
      <c:valAx>
        <c:axId val="452855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5856"/>
        <c:axId val="452851544"/>
      </c:lineChart>
      <c:catAx>
        <c:axId val="45285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1544"/>
        <c:crosses val="autoZero"/>
        <c:auto val="1"/>
        <c:lblAlgn val="ctr"/>
        <c:lblOffset val="100"/>
        <c:noMultiLvlLbl val="0"/>
      </c:catAx>
      <c:valAx>
        <c:axId val="452851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3112"/>
        <c:axId val="452853504"/>
      </c:lineChart>
      <c:catAx>
        <c:axId val="452853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3504"/>
        <c:crosses val="autoZero"/>
        <c:auto val="1"/>
        <c:lblAlgn val="ctr"/>
        <c:lblOffset val="100"/>
        <c:noMultiLvlLbl val="0"/>
      </c:catAx>
      <c:valAx>
        <c:axId val="45285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3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54288"/>
        <c:axId val="453083640"/>
      </c:lineChart>
      <c:catAx>
        <c:axId val="45285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3640"/>
        <c:crosses val="autoZero"/>
        <c:auto val="1"/>
        <c:lblAlgn val="ctr"/>
        <c:lblOffset val="100"/>
        <c:noMultiLvlLbl val="0"/>
      </c:catAx>
      <c:valAx>
        <c:axId val="453083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5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86384"/>
        <c:axId val="453089128"/>
      </c:lineChart>
      <c:catAx>
        <c:axId val="45308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9128"/>
        <c:crosses val="autoZero"/>
        <c:auto val="1"/>
        <c:lblAlgn val="ctr"/>
        <c:lblOffset val="100"/>
        <c:noMultiLvlLbl val="0"/>
      </c:catAx>
      <c:valAx>
        <c:axId val="45308912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84032"/>
        <c:axId val="453084424"/>
      </c:lineChart>
      <c:catAx>
        <c:axId val="45308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4424"/>
        <c:crosses val="autoZero"/>
        <c:auto val="1"/>
        <c:lblAlgn val="ctr"/>
        <c:lblOffset val="100"/>
        <c:noMultiLvlLbl val="0"/>
      </c:catAx>
      <c:valAx>
        <c:axId val="4530844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84816"/>
        <c:axId val="453088344"/>
      </c:lineChart>
      <c:catAx>
        <c:axId val="453084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8344"/>
        <c:crosses val="autoZero"/>
        <c:auto val="1"/>
        <c:lblAlgn val="ctr"/>
        <c:lblOffset val="100"/>
        <c:noMultiLvlLbl val="0"/>
      </c:catAx>
      <c:valAx>
        <c:axId val="45308834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08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/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/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0.28237358873179363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0.37486876010841685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0.39168122160960234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0.36442183169273995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0.40301395154852088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0.29227516317270641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5.7970970045768948E-2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0.24294903996051645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2847</v>
      </c>
      <c r="F14" s="282">
        <f>SUM('EDl log'!T16)</f>
        <v>0.28511069032130959</v>
      </c>
      <c r="G14" s="192">
        <f>-tanks!AW18</f>
        <v>138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95</v>
      </c>
      <c r="L14" s="283">
        <f>SUM(WATER!J18)</f>
        <v>2.5466893039049237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1879</v>
      </c>
      <c r="F15" s="282">
        <f>SUM('EDl log'!T17)</f>
        <v>0.63558452024471679</v>
      </c>
      <c r="G15" s="192">
        <f>-tanks!AW19</f>
        <v>47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2633</v>
      </c>
      <c r="F16" s="282">
        <f>SUM('EDl log'!T18)</f>
        <v>-2.2772017666702598E-2</v>
      </c>
      <c r="G16" s="192">
        <f>-tanks!AW20</f>
        <v>326</v>
      </c>
      <c r="H16" s="530">
        <f>tanks!AV20</f>
        <v>0.88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2643</v>
      </c>
      <c r="F19" s="282">
        <f>SUM('EDl log'!T21)</f>
        <v>0.35913702898328742</v>
      </c>
      <c r="G19" s="192">
        <f>-tanks!AW23</f>
        <v>281</v>
      </c>
      <c r="H19" s="530">
        <f>tanks!AV23</f>
        <v>0.88</v>
      </c>
      <c r="I19" s="10">
        <f>('B5'!AU22)*0.51</f>
        <v>0</v>
      </c>
      <c r="J19" s="265">
        <f>'B5'!AX22/0.51</f>
        <v>1.5686274509803921</v>
      </c>
      <c r="K19" s="192">
        <f>WATER!I23</f>
        <v>37</v>
      </c>
      <c r="L19" s="283">
        <f>SUM(WATER!J23)</f>
        <v>6.5387968613775067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2671</v>
      </c>
      <c r="F20" s="282">
        <f>SUM('EDl log'!T22)</f>
        <v>0.39279639371127995</v>
      </c>
      <c r="G20" s="192">
        <f>-tanks!AW24</f>
        <v>162</v>
      </c>
      <c r="H20" s="530">
        <f>tanks!AV24</f>
        <v>0.88</v>
      </c>
      <c r="I20" s="10">
        <f>('B5'!AU23)*0.51</f>
        <v>0</v>
      </c>
      <c r="J20" s="265">
        <f>'B5'!AX23/0.51</f>
        <v>1.5686274509803921</v>
      </c>
      <c r="K20" s="192">
        <f>WATER!I24</f>
        <v>223</v>
      </c>
      <c r="L20" s="283">
        <f>SUM(WATER!J24)</f>
        <v>1.0849124837263127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3045</v>
      </c>
      <c r="F21" s="282">
        <f>SUM('EDl log'!T23)</f>
        <v>0.33901225022371473</v>
      </c>
      <c r="G21" s="192">
        <f>-tanks!AW25</f>
        <v>128</v>
      </c>
      <c r="H21" s="530">
        <f>tanks!AV25</f>
        <v>0.88</v>
      </c>
      <c r="I21" s="10">
        <f>('B5'!AU24)*0.51</f>
        <v>0</v>
      </c>
      <c r="J21" s="265">
        <f>'B5'!AX24/0.51</f>
        <v>1.5686274509803921</v>
      </c>
      <c r="K21" s="192">
        <f>WATER!I25</f>
        <v>9</v>
      </c>
      <c r="L21" s="283">
        <f>SUM(WATER!J25)</f>
        <v>26.881720430107528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2093</v>
      </c>
      <c r="F22" s="282">
        <f>SUM('EDl log'!T24)</f>
        <v>0.49939328014563072</v>
      </c>
      <c r="G22" s="192">
        <f>-tanks!AW26</f>
        <v>0</v>
      </c>
      <c r="H22" s="530">
        <f>tanks!AV26</f>
        <v>0.88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2295</v>
      </c>
      <c r="F23" s="282">
        <f>SUM('EDl log'!T25)</f>
        <v>0.24778458353627211</v>
      </c>
      <c r="G23" s="192">
        <f>-tanks!AW27</f>
        <v>239</v>
      </c>
      <c r="H23" s="530">
        <f>tanks!AV27</f>
        <v>0.88</v>
      </c>
      <c r="I23" s="10">
        <f>('B5'!AU26)*0.51</f>
        <v>0</v>
      </c>
      <c r="J23" s="265">
        <f>'B5'!AX26/0.51</f>
        <v>1.5686274509803921</v>
      </c>
      <c r="K23" s="192">
        <f>WATER!I27</f>
        <v>90</v>
      </c>
      <c r="L23" s="283">
        <f>SUM(WATER!J27)</f>
        <v>2.6881720430107525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390</v>
      </c>
      <c r="F24" s="282">
        <f>SUM('EDl log'!T26)</f>
        <v>0.39693086812971262</v>
      </c>
      <c r="G24" s="192">
        <f>-tanks!AW28</f>
        <v>0</v>
      </c>
      <c r="H24" s="530">
        <f>tanks!AV28</f>
        <v>0.88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1432</v>
      </c>
      <c r="F27" s="282">
        <f>SUM('EDl log'!T29)</f>
        <v>0.57348788510740545</v>
      </c>
      <c r="G27" s="192">
        <f>-tanks!AW31</f>
        <v>175</v>
      </c>
      <c r="H27" s="530">
        <f>tanks!AV31</f>
        <v>0.88</v>
      </c>
      <c r="I27" s="10">
        <f>('B5'!AU30)*0.51</f>
        <v>0</v>
      </c>
      <c r="J27" s="265">
        <f>'B5'!AX30/0.51</f>
        <v>1.5686274509803921</v>
      </c>
      <c r="K27" s="192">
        <f>WATER!I31</f>
        <v>12</v>
      </c>
      <c r="L27" s="283">
        <f>SUM(WATER!J31)</f>
        <v>20.161290322580644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2255</v>
      </c>
      <c r="F28" s="282">
        <f>SUM('EDl log'!T30)</f>
        <v>0.34543243252539624</v>
      </c>
      <c r="G28" s="192">
        <f>-tanks!AW32</f>
        <v>177</v>
      </c>
      <c r="H28" s="530">
        <f>tanks!AV32</f>
        <v>0.88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30">
        <f>tanks!AV33</f>
        <v>0.88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30">
        <f>tanks!AV34</f>
        <v>0.88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30">
        <f>tanks!AV35</f>
        <v>0.88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B1" activePane="topRight" state="frozen"/>
      <selection pane="topRight" activeCell="A33" sqref="A33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16</v>
      </c>
      <c r="C2" s="7"/>
      <c r="D2" s="7" t="s">
        <v>17</v>
      </c>
      <c r="E2" s="7"/>
      <c r="F2" s="7" t="s">
        <v>18</v>
      </c>
      <c r="G2" s="7"/>
      <c r="H2" s="7" t="s">
        <v>19</v>
      </c>
      <c r="I2" s="7"/>
      <c r="J2" s="7" t="s">
        <v>20</v>
      </c>
      <c r="K2" s="7"/>
      <c r="L2" s="7" t="s">
        <v>21</v>
      </c>
      <c r="M2" s="7"/>
      <c r="N2" s="7" t="s">
        <v>22</v>
      </c>
      <c r="O2" s="7"/>
      <c r="P2" s="7" t="s">
        <v>23</v>
      </c>
      <c r="Q2" s="7"/>
      <c r="R2" s="7" t="s">
        <v>24</v>
      </c>
      <c r="T2" s="7" t="s">
        <v>25</v>
      </c>
      <c r="V2" s="7" t="s">
        <v>26</v>
      </c>
      <c r="W2" s="7"/>
      <c r="X2" s="209"/>
      <c r="Y2" s="7"/>
      <c r="Z2" s="8" t="s">
        <v>16</v>
      </c>
      <c r="AA2" s="8"/>
      <c r="AB2" s="8" t="s">
        <v>17</v>
      </c>
      <c r="AC2" s="8"/>
      <c r="AD2" s="8" t="s">
        <v>18</v>
      </c>
      <c r="AE2" s="8"/>
      <c r="AF2" s="8" t="s">
        <v>19</v>
      </c>
      <c r="AG2" s="8"/>
      <c r="AH2" s="8" t="s">
        <v>20</v>
      </c>
      <c r="AI2" s="8"/>
      <c r="AJ2" s="8" t="s">
        <v>21</v>
      </c>
      <c r="AK2" s="8"/>
      <c r="AL2" s="8" t="s">
        <v>22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33" t="s">
        <v>27</v>
      </c>
      <c r="AS3" s="533" t="s">
        <v>28</v>
      </c>
      <c r="AT3" s="531" t="s">
        <v>29</v>
      </c>
      <c r="AU3" s="532"/>
      <c r="AV3" s="261"/>
      <c r="AW3" s="3"/>
      <c r="AX3" s="3"/>
      <c r="AY3" s="3"/>
      <c r="AZ3" s="3"/>
      <c r="BA3" s="3"/>
      <c r="BB3" s="3"/>
      <c r="BC3" s="3"/>
      <c r="BD3" s="3"/>
      <c r="BE3" s="13" t="s">
        <v>30</v>
      </c>
      <c r="BF3" s="13" t="s">
        <v>31</v>
      </c>
      <c r="BG3" s="13" t="s">
        <v>32</v>
      </c>
      <c r="BH3" s="12" t="s">
        <v>33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34"/>
      <c r="AS4" s="534"/>
      <c r="AT4" s="3" t="s">
        <v>34</v>
      </c>
      <c r="AU4" s="3" t="s">
        <v>35</v>
      </c>
      <c r="AV4" s="262"/>
      <c r="AW4" s="3" t="s">
        <v>36</v>
      </c>
      <c r="AX4" s="3" t="s">
        <v>37</v>
      </c>
      <c r="AY4" s="3"/>
      <c r="AZ4" s="93" t="s">
        <v>38</v>
      </c>
      <c r="BA4" s="93" t="s">
        <v>39</v>
      </c>
      <c r="BB4" s="93" t="s">
        <v>40</v>
      </c>
      <c r="BC4" s="3"/>
      <c r="BD4" s="3"/>
      <c r="BE4" s="13"/>
      <c r="BF4" s="13"/>
      <c r="BG4" s="13"/>
      <c r="BH4" s="11"/>
    </row>
    <row r="5" spans="1:63">
      <c r="A5" s="379">
        <f>[1]tanks!$A$35</f>
        <v>44895</v>
      </c>
      <c r="B5" s="440">
        <f>[1]tanks!B35</f>
        <v>243</v>
      </c>
      <c r="C5" s="440">
        <f>[1]tanks!C35</f>
        <v>5228.4193548387093</v>
      </c>
      <c r="D5" s="440">
        <f>[1]tanks!D35</f>
        <v>243</v>
      </c>
      <c r="E5" s="440">
        <f>[1]tanks!E35</f>
        <v>5228.4193548387093</v>
      </c>
      <c r="F5" s="440">
        <f>[1]tanks!F35</f>
        <v>243</v>
      </c>
      <c r="G5" s="440">
        <f>[1]tanks!G35</f>
        <v>5228.4193548387093</v>
      </c>
      <c r="H5" s="440">
        <f>[1]tanks!H35</f>
        <v>243</v>
      </c>
      <c r="I5" s="440">
        <f>[1]tanks!I35</f>
        <v>5228.4193548387093</v>
      </c>
      <c r="J5" s="440">
        <f>[1]tanks!J35</f>
        <v>243</v>
      </c>
      <c r="K5" s="440">
        <f>[1]tanks!K35</f>
        <v>5228.4193548387093</v>
      </c>
      <c r="L5" s="440">
        <f>[1]tanks!L35</f>
        <v>243</v>
      </c>
      <c r="M5" s="440">
        <f>[1]tanks!M35</f>
        <v>5228.4193548387093</v>
      </c>
      <c r="N5" s="440">
        <f>[1]tanks!N35</f>
        <v>243</v>
      </c>
      <c r="O5" s="440">
        <f>[1]tanks!O35</f>
        <v>5228.4193548387093</v>
      </c>
      <c r="P5" s="440">
        <f>[1]tanks!P35</f>
        <v>243</v>
      </c>
      <c r="Q5" s="440">
        <f>[1]tanks!Q35</f>
        <v>5228.4193548387093</v>
      </c>
      <c r="R5" s="440">
        <f>[1]tanks!R35</f>
        <v>243</v>
      </c>
      <c r="S5" s="440">
        <f>[1]tanks!S35</f>
        <v>5228.4193548387093</v>
      </c>
      <c r="T5" s="440">
        <f>[1]tanks!T35</f>
        <v>243</v>
      </c>
      <c r="U5" s="440">
        <f>[1]tanks!U35</f>
        <v>5228.4193548387093</v>
      </c>
      <c r="V5" s="440">
        <f>[1]tanks!V35</f>
        <v>243</v>
      </c>
      <c r="W5" s="440">
        <f>[1]tanks!W35</f>
        <v>5228.4193548387093</v>
      </c>
      <c r="X5" s="424">
        <f>[1]tanks!X35</f>
        <v>0.78387096774193554</v>
      </c>
      <c r="Y5" s="440">
        <f>[1]tanks!Y35</f>
        <v>57512.61290322581</v>
      </c>
      <c r="Z5" s="440">
        <f>[1]tanks!Z35</f>
        <v>250</v>
      </c>
      <c r="AA5" s="440">
        <f>[1]tanks!AA35</f>
        <v>2500</v>
      </c>
      <c r="AB5" s="440">
        <f>[1]tanks!AB35</f>
        <v>250</v>
      </c>
      <c r="AC5" s="440">
        <f>[1]tanks!AC35</f>
        <v>2500</v>
      </c>
      <c r="AD5" s="440">
        <f>[1]tanks!AD35</f>
        <v>250</v>
      </c>
      <c r="AE5" s="440">
        <f>[1]tanks!AE35</f>
        <v>2500</v>
      </c>
      <c r="AF5" s="440">
        <f>[1]tanks!AF35</f>
        <v>250</v>
      </c>
      <c r="AG5" s="440">
        <f>[1]tanks!AG35</f>
        <v>2500</v>
      </c>
      <c r="AH5" s="440">
        <f>[1]tanks!AH35</f>
        <v>250</v>
      </c>
      <c r="AI5" s="440">
        <f>[1]tanks!AI35</f>
        <v>2500</v>
      </c>
      <c r="AJ5" s="440">
        <f>[1]tanks!AJ35</f>
        <v>250</v>
      </c>
      <c r="AK5" s="440">
        <f>[1]tanks!AK35</f>
        <v>2500</v>
      </c>
      <c r="AL5" s="440">
        <f>[1]tanks!AL35</f>
        <v>250</v>
      </c>
      <c r="AM5" s="440">
        <f>[1]tanks!AM35</f>
        <v>2500</v>
      </c>
      <c r="AN5" s="424">
        <f>[1]tanks!AN35</f>
        <v>0.8928571428571429</v>
      </c>
      <c r="AO5" s="440">
        <f>[1]tanks!AO35</f>
        <v>17500</v>
      </c>
      <c r="AP5" s="440"/>
      <c r="AQ5" s="424">
        <f>[1]tanks!AQ35</f>
        <v>0.80684750890852763</v>
      </c>
      <c r="AR5" s="525">
        <f>[1]tanks!AR35</f>
        <v>75012.612903225818</v>
      </c>
      <c r="AS5" s="525">
        <f>[1]tanks!AS35</f>
        <v>-31.29032258062216</v>
      </c>
      <c r="AT5" s="525">
        <f>[1]tanks!AT35</f>
        <v>10765</v>
      </c>
      <c r="AU5" s="525">
        <f>[1]tanks!AU35</f>
        <v>0.95299999999999996</v>
      </c>
      <c r="AV5" s="525">
        <f>[1]tanks!AV35</f>
        <v>0.95299999999999996</v>
      </c>
      <c r="AW5" s="525">
        <f>[1]tanks!AW35</f>
        <v>-223</v>
      </c>
      <c r="AX5" s="525">
        <f>[1]tanks!AX35</f>
        <v>191.70967741937784</v>
      </c>
      <c r="AY5" s="525">
        <f>[1]tanks!AY35</f>
        <v>-31.29032258062216</v>
      </c>
      <c r="AZ5" s="424">
        <f>[1]tanks!AZ35</f>
        <v>0</v>
      </c>
      <c r="BA5" s="525">
        <f>[1]tanks!BA35</f>
        <v>19.5</v>
      </c>
      <c r="BB5" s="424">
        <f>[1]tanks!BB35</f>
        <v>0.76</v>
      </c>
      <c r="BC5" s="525">
        <f>[1]tanks!BC35</f>
        <v>1</v>
      </c>
      <c r="BD5" s="525">
        <f>[1]tanks!BD35</f>
        <v>19224</v>
      </c>
      <c r="BE5" s="525" t="e">
        <f>[1]tanks!BE35</f>
        <v>#REF!</v>
      </c>
      <c r="BF5" s="525">
        <f>[1]tanks!BF35</f>
        <v>0</v>
      </c>
      <c r="BG5" s="525" t="e">
        <f>[1]tanks!BG35</f>
        <v>#REF!</v>
      </c>
      <c r="BH5" s="525">
        <f>[1]tanks!BH35</f>
        <v>0</v>
      </c>
      <c r="BI5" s="525">
        <f>[1]tanks!BI35</f>
        <v>22</v>
      </c>
      <c r="BJ5" s="525">
        <f>[1]tanks!BJ35</f>
        <v>8.714076246335356</v>
      </c>
      <c r="BK5" s="525">
        <f>[1]tanks!BK35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587.35021097026947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234</v>
      </c>
      <c r="C18" s="192">
        <f t="shared" si="17"/>
        <v>5034.7741935483873</v>
      </c>
      <c r="D18">
        <f t="shared" si="18"/>
        <v>234</v>
      </c>
      <c r="E18" s="192">
        <f t="shared" si="17"/>
        <v>5034.7741935483873</v>
      </c>
      <c r="F18">
        <f t="shared" si="19"/>
        <v>234</v>
      </c>
      <c r="G18" s="192">
        <f t="shared" si="1"/>
        <v>5034.7741935483873</v>
      </c>
      <c r="H18" s="192">
        <f t="shared" si="20"/>
        <v>234</v>
      </c>
      <c r="I18" s="192">
        <f t="shared" si="2"/>
        <v>5034.7741935483873</v>
      </c>
      <c r="J18" s="192">
        <f t="shared" si="21"/>
        <v>234</v>
      </c>
      <c r="K18" s="192">
        <f t="shared" si="3"/>
        <v>5034.7741935483873</v>
      </c>
      <c r="L18" s="192">
        <f t="shared" si="22"/>
        <v>234</v>
      </c>
      <c r="M18" s="192">
        <f t="shared" si="4"/>
        <v>5034.7741935483873</v>
      </c>
      <c r="N18" s="192">
        <f t="shared" si="23"/>
        <v>234</v>
      </c>
      <c r="O18" s="192">
        <f t="shared" si="5"/>
        <v>5034.7741935483873</v>
      </c>
      <c r="P18" s="192">
        <f t="shared" si="24"/>
        <v>234</v>
      </c>
      <c r="Q18" s="192">
        <f t="shared" si="6"/>
        <v>5034.7741935483873</v>
      </c>
      <c r="R18" s="192">
        <f t="shared" si="25"/>
        <v>234</v>
      </c>
      <c r="S18" s="192">
        <f t="shared" si="7"/>
        <v>5034.7741935483873</v>
      </c>
      <c r="T18" s="192">
        <f t="shared" si="26"/>
        <v>234</v>
      </c>
      <c r="U18" s="192">
        <f t="shared" si="8"/>
        <v>5034.7741935483873</v>
      </c>
      <c r="V18" s="192">
        <f t="shared" si="27"/>
        <v>234</v>
      </c>
      <c r="W18" s="192">
        <f t="shared" si="9"/>
        <v>5034.7741935483873</v>
      </c>
      <c r="X18" s="34">
        <f t="shared" si="28"/>
        <v>0.75483870967741939</v>
      </c>
      <c r="Y18" s="35">
        <f t="shared" si="29"/>
        <v>55382.516129032258</v>
      </c>
      <c r="Z18" s="440">
        <f>'B5'!C17</f>
        <v>240</v>
      </c>
      <c r="AA18" s="192">
        <f t="shared" si="30"/>
        <v>2400</v>
      </c>
      <c r="AB18" s="192">
        <f t="shared" si="31"/>
        <v>240</v>
      </c>
      <c r="AC18" s="192">
        <f t="shared" si="30"/>
        <v>2400</v>
      </c>
      <c r="AD18" s="192">
        <f t="shared" si="32"/>
        <v>240</v>
      </c>
      <c r="AE18" s="192">
        <f t="shared" si="10"/>
        <v>2400</v>
      </c>
      <c r="AF18" s="192">
        <f t="shared" si="33"/>
        <v>240</v>
      </c>
      <c r="AG18" s="192">
        <f t="shared" si="11"/>
        <v>2400</v>
      </c>
      <c r="AH18" s="192">
        <f t="shared" si="34"/>
        <v>240</v>
      </c>
      <c r="AI18" s="192">
        <f t="shared" si="12"/>
        <v>2400</v>
      </c>
      <c r="AJ18" s="192">
        <f t="shared" si="35"/>
        <v>240</v>
      </c>
      <c r="AK18" s="192">
        <f t="shared" si="13"/>
        <v>2400</v>
      </c>
      <c r="AL18" s="192">
        <f t="shared" si="36"/>
        <v>240</v>
      </c>
      <c r="AM18" s="192">
        <f t="shared" si="14"/>
        <v>2400</v>
      </c>
      <c r="AN18" s="34">
        <f t="shared" si="15"/>
        <v>0.8571428571428571</v>
      </c>
      <c r="AO18" s="35">
        <f t="shared" si="39"/>
        <v>16800</v>
      </c>
      <c r="AQ18" s="208">
        <f t="shared" si="40"/>
        <v>0.77640654113189478</v>
      </c>
      <c r="AR18" s="37">
        <f t="shared" si="41"/>
        <v>72182.516129032258</v>
      </c>
      <c r="AS18" s="186">
        <f>SUM(AR18-AR17-AT18)</f>
        <v>-920.03225806450064</v>
      </c>
      <c r="AT18" s="303"/>
      <c r="AU18" s="475"/>
      <c r="AV18" s="432">
        <f t="shared" ref="AV18:AV36" si="47">IF(AT18&gt;0,AU18,AV17)</f>
        <v>0.8</v>
      </c>
      <c r="AW18" s="251">
        <f>-SUM('B5'!AI17)</f>
        <v>-138</v>
      </c>
      <c r="AX18" s="251">
        <f t="shared" si="16"/>
        <v>-782.03225806450064</v>
      </c>
      <c r="AY18" s="36">
        <f t="shared" si="37"/>
        <v>-920.03225806450064</v>
      </c>
      <c r="AZ18" s="96">
        <f>ELEC!A16</f>
        <v>0</v>
      </c>
      <c r="BA18" s="114">
        <f>'General information '!D17</f>
        <v>20.5</v>
      </c>
      <c r="BB18" s="193">
        <f>SUM('General information '!E17)</f>
        <v>0.56999999999999995</v>
      </c>
      <c r="BC18" s="3">
        <f t="shared" si="44"/>
        <v>0</v>
      </c>
      <c r="BD18" s="98">
        <v>19222</v>
      </c>
      <c r="BE18" s="14">
        <f>(305/1185)*ELEC!Q17</f>
        <v>561.6118143461714</v>
      </c>
      <c r="BF18" s="14"/>
      <c r="BG18" s="14" t="e">
        <f>#REF!-BE18</f>
        <v>#REF!</v>
      </c>
      <c r="BH18" s="11"/>
      <c r="BI18">
        <v>5</v>
      </c>
      <c r="BJ18">
        <f t="shared" si="46"/>
        <v>-156.40645161290013</v>
      </c>
      <c r="BK18" s="469"/>
    </row>
    <row r="19" spans="1:64">
      <c r="A19" s="379">
        <f>ELEC!C17</f>
        <v>44909</v>
      </c>
      <c r="B19" s="440">
        <f>'B5'!B18</f>
        <v>230</v>
      </c>
      <c r="C19" s="192">
        <f t="shared" si="17"/>
        <v>4948.7096774193551</v>
      </c>
      <c r="D19">
        <f t="shared" si="18"/>
        <v>230</v>
      </c>
      <c r="E19" s="192">
        <f t="shared" si="17"/>
        <v>4948.7096774193551</v>
      </c>
      <c r="F19">
        <f t="shared" si="19"/>
        <v>230</v>
      </c>
      <c r="G19" s="192">
        <f t="shared" si="1"/>
        <v>4948.7096774193551</v>
      </c>
      <c r="H19" s="192">
        <f t="shared" si="20"/>
        <v>230</v>
      </c>
      <c r="I19" s="192">
        <f t="shared" si="2"/>
        <v>4948.7096774193551</v>
      </c>
      <c r="J19" s="192">
        <f t="shared" si="21"/>
        <v>230</v>
      </c>
      <c r="K19" s="192">
        <f t="shared" si="3"/>
        <v>4948.7096774193551</v>
      </c>
      <c r="L19" s="192">
        <f t="shared" si="22"/>
        <v>230</v>
      </c>
      <c r="M19" s="192">
        <f t="shared" si="4"/>
        <v>4948.7096774193551</v>
      </c>
      <c r="N19" s="192">
        <f t="shared" si="23"/>
        <v>230</v>
      </c>
      <c r="O19" s="192">
        <f t="shared" si="5"/>
        <v>4948.7096774193551</v>
      </c>
      <c r="P19" s="192">
        <f t="shared" si="24"/>
        <v>230</v>
      </c>
      <c r="Q19" s="192">
        <f t="shared" si="6"/>
        <v>4948.7096774193551</v>
      </c>
      <c r="R19" s="192">
        <f t="shared" si="25"/>
        <v>230</v>
      </c>
      <c r="S19" s="192">
        <f t="shared" si="7"/>
        <v>4948.7096774193551</v>
      </c>
      <c r="T19" s="192">
        <f t="shared" si="26"/>
        <v>230</v>
      </c>
      <c r="U19" s="192">
        <f t="shared" si="8"/>
        <v>4948.7096774193551</v>
      </c>
      <c r="V19" s="192">
        <f t="shared" si="27"/>
        <v>230</v>
      </c>
      <c r="W19" s="192">
        <f t="shared" si="9"/>
        <v>4948.7096774193551</v>
      </c>
      <c r="X19" s="34">
        <f t="shared" si="28"/>
        <v>0.74193548387096786</v>
      </c>
      <c r="Y19" s="35">
        <f t="shared" si="29"/>
        <v>54435.806451612909</v>
      </c>
      <c r="Z19" s="440">
        <f>'B5'!C18</f>
        <v>236</v>
      </c>
      <c r="AA19" s="192">
        <f t="shared" si="30"/>
        <v>2360</v>
      </c>
      <c r="AB19" s="192">
        <f t="shared" si="31"/>
        <v>236</v>
      </c>
      <c r="AC19" s="192">
        <f t="shared" si="30"/>
        <v>2360</v>
      </c>
      <c r="AD19" s="192">
        <f t="shared" si="32"/>
        <v>236</v>
      </c>
      <c r="AE19" s="192">
        <f t="shared" si="10"/>
        <v>2360</v>
      </c>
      <c r="AF19" s="192">
        <f t="shared" si="33"/>
        <v>236</v>
      </c>
      <c r="AG19" s="192">
        <f t="shared" si="11"/>
        <v>2360</v>
      </c>
      <c r="AH19" s="192">
        <f t="shared" si="34"/>
        <v>236</v>
      </c>
      <c r="AI19" s="192">
        <f t="shared" si="12"/>
        <v>2360</v>
      </c>
      <c r="AJ19" s="192">
        <f t="shared" si="35"/>
        <v>236</v>
      </c>
      <c r="AK19" s="192">
        <f t="shared" si="13"/>
        <v>2360</v>
      </c>
      <c r="AL19" s="192">
        <f t="shared" si="36"/>
        <v>236</v>
      </c>
      <c r="AM19" s="192">
        <f t="shared" si="14"/>
        <v>2360</v>
      </c>
      <c r="AN19" s="34">
        <f t="shared" si="15"/>
        <v>0.84285714285714286</v>
      </c>
      <c r="AO19" s="35">
        <f t="shared" si="39"/>
        <v>16520</v>
      </c>
      <c r="AQ19" s="208">
        <f t="shared" si="40"/>
        <v>0.76321185814362602</v>
      </c>
      <c r="AR19" s="37">
        <f t="shared" si="41"/>
        <v>70955.806451612909</v>
      </c>
      <c r="AS19" s="186">
        <f t="shared" si="42"/>
        <v>-1226.7096774193487</v>
      </c>
      <c r="AT19" s="303"/>
      <c r="AU19" s="475"/>
      <c r="AV19" s="432">
        <f t="shared" si="47"/>
        <v>0.8</v>
      </c>
      <c r="AW19" s="251">
        <f>-SUM('B5'!AI18)</f>
        <v>-47</v>
      </c>
      <c r="AX19" s="251">
        <f t="shared" si="16"/>
        <v>-1179.7096774193487</v>
      </c>
      <c r="AY19" s="36">
        <f t="shared" si="37"/>
        <v>-1226.7096774193487</v>
      </c>
      <c r="AZ19" s="96">
        <f>ELEC!A17</f>
        <v>0</v>
      </c>
      <c r="BA19" s="114">
        <f>'General information '!D18</f>
        <v>19</v>
      </c>
      <c r="BB19" s="193">
        <f>SUM('General information '!E18)</f>
        <v>0.64</v>
      </c>
      <c r="BC19" s="3">
        <f t="shared" si="44"/>
        <v>0</v>
      </c>
      <c r="BD19" s="98">
        <v>19222</v>
      </c>
      <c r="BE19" s="14">
        <f>(305/1185)*ELEC!Q18</f>
        <v>692.36286919797521</v>
      </c>
      <c r="BF19" s="14"/>
      <c r="BG19" s="14" t="e">
        <f>#REF!-BE19</f>
        <v>#REF!</v>
      </c>
      <c r="BH19" s="11"/>
      <c r="BI19">
        <v>6</v>
      </c>
      <c r="BJ19">
        <f t="shared" si="46"/>
        <v>-196.61827956989146</v>
      </c>
      <c r="BK19" s="469"/>
    </row>
    <row r="20" spans="1:64">
      <c r="A20" s="379">
        <f>ELEC!C18</f>
        <v>44910</v>
      </c>
      <c r="B20" s="440">
        <f>'B5'!B19</f>
        <v>252</v>
      </c>
      <c r="C20" s="192">
        <f t="shared" si="17"/>
        <v>5422.0645161290322</v>
      </c>
      <c r="D20">
        <f t="shared" si="18"/>
        <v>252</v>
      </c>
      <c r="E20" s="192">
        <f t="shared" si="17"/>
        <v>5422.0645161290322</v>
      </c>
      <c r="F20">
        <f t="shared" si="19"/>
        <v>252</v>
      </c>
      <c r="G20" s="192">
        <f t="shared" si="1"/>
        <v>5422.0645161290322</v>
      </c>
      <c r="H20" s="192">
        <f t="shared" si="20"/>
        <v>252</v>
      </c>
      <c r="I20" s="192">
        <f t="shared" si="2"/>
        <v>5422.0645161290322</v>
      </c>
      <c r="J20" s="192">
        <f t="shared" si="21"/>
        <v>252</v>
      </c>
      <c r="K20" s="192">
        <f t="shared" si="3"/>
        <v>5422.0645161290322</v>
      </c>
      <c r="L20" s="192">
        <f t="shared" si="22"/>
        <v>252</v>
      </c>
      <c r="M20" s="192">
        <f t="shared" si="4"/>
        <v>5422.0645161290322</v>
      </c>
      <c r="N20" s="192">
        <f t="shared" si="23"/>
        <v>252</v>
      </c>
      <c r="O20" s="192">
        <f t="shared" si="5"/>
        <v>5422.0645161290322</v>
      </c>
      <c r="P20" s="192">
        <f t="shared" si="24"/>
        <v>252</v>
      </c>
      <c r="Q20" s="192">
        <f t="shared" si="6"/>
        <v>5422.0645161290322</v>
      </c>
      <c r="R20" s="192">
        <f t="shared" si="25"/>
        <v>252</v>
      </c>
      <c r="S20" s="192">
        <f t="shared" si="7"/>
        <v>5422.0645161290322</v>
      </c>
      <c r="T20" s="192">
        <f t="shared" si="26"/>
        <v>252</v>
      </c>
      <c r="U20" s="192">
        <f t="shared" si="8"/>
        <v>5422.0645161290322</v>
      </c>
      <c r="V20" s="192">
        <f t="shared" si="27"/>
        <v>252</v>
      </c>
      <c r="W20" s="192">
        <f t="shared" si="9"/>
        <v>5422.0645161290322</v>
      </c>
      <c r="X20" s="34">
        <f t="shared" si="28"/>
        <v>0.81290322580645147</v>
      </c>
      <c r="Y20" s="35">
        <f t="shared" si="29"/>
        <v>59642.709677419341</v>
      </c>
      <c r="Z20" s="440">
        <f>'B5'!C19</f>
        <v>258</v>
      </c>
      <c r="AA20" s="192">
        <f t="shared" si="30"/>
        <v>2580</v>
      </c>
      <c r="AB20" s="192">
        <f t="shared" si="31"/>
        <v>258</v>
      </c>
      <c r="AC20" s="192">
        <f t="shared" si="30"/>
        <v>2580</v>
      </c>
      <c r="AD20" s="192">
        <f t="shared" si="32"/>
        <v>258</v>
      </c>
      <c r="AE20" s="192">
        <f t="shared" si="10"/>
        <v>2580</v>
      </c>
      <c r="AF20" s="192">
        <f t="shared" si="33"/>
        <v>258</v>
      </c>
      <c r="AG20" s="192">
        <f t="shared" si="11"/>
        <v>2580</v>
      </c>
      <c r="AH20" s="192">
        <f t="shared" si="34"/>
        <v>258</v>
      </c>
      <c r="AI20" s="192">
        <f t="shared" si="12"/>
        <v>2580</v>
      </c>
      <c r="AJ20" s="192">
        <f t="shared" si="35"/>
        <v>258</v>
      </c>
      <c r="AK20" s="192">
        <f t="shared" si="13"/>
        <v>2580</v>
      </c>
      <c r="AL20" s="192">
        <f t="shared" si="36"/>
        <v>258</v>
      </c>
      <c r="AM20" s="192">
        <f t="shared" si="14"/>
        <v>2580</v>
      </c>
      <c r="AN20" s="34">
        <f t="shared" si="15"/>
        <v>0.92142857142857137</v>
      </c>
      <c r="AO20" s="35">
        <f t="shared" si="39"/>
        <v>18060</v>
      </c>
      <c r="AQ20" s="208">
        <f t="shared" si="40"/>
        <v>0.83578261457910441</v>
      </c>
      <c r="AR20" s="37">
        <f t="shared" si="41"/>
        <v>77702.709677419334</v>
      </c>
      <c r="AS20" s="186">
        <f t="shared" si="42"/>
        <v>-53.096774193574674</v>
      </c>
      <c r="AT20" s="303">
        <v>6800</v>
      </c>
      <c r="AU20" s="475">
        <v>0.88</v>
      </c>
      <c r="AV20" s="432">
        <f t="shared" si="47"/>
        <v>0.88</v>
      </c>
      <c r="AW20" s="251">
        <f>-SUM('B5'!AI19)</f>
        <v>-326</v>
      </c>
      <c r="AX20" s="251">
        <f>-SUM(AW20-AS20)</f>
        <v>272.90322580642533</v>
      </c>
      <c r="AY20" s="36">
        <f t="shared" si="37"/>
        <v>-53.096774193574674</v>
      </c>
      <c r="AZ20" s="96">
        <f>ELEC!A18</f>
        <v>0</v>
      </c>
      <c r="BA20" s="114">
        <f>'General information '!D19</f>
        <v>19</v>
      </c>
      <c r="BB20" s="193">
        <f>SUM('General information '!E19)</f>
        <v>0.78</v>
      </c>
      <c r="BC20" s="3">
        <f t="shared" si="44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38.986175115203615</v>
      </c>
      <c r="BK20" s="469">
        <f>GEN!AF17</f>
        <v>0.15284090909083467</v>
      </c>
      <c r="BL20" s="192"/>
    </row>
    <row r="21" spans="1:64">
      <c r="A21" s="379">
        <f>ELEC!C19</f>
        <v>44911</v>
      </c>
      <c r="B21" s="440">
        <f>'B5'!B20</f>
        <v>252</v>
      </c>
      <c r="C21" s="192">
        <f t="shared" si="17"/>
        <v>5422.0645161290322</v>
      </c>
      <c r="D21">
        <f t="shared" si="18"/>
        <v>252</v>
      </c>
      <c r="E21" s="192">
        <f t="shared" si="17"/>
        <v>5422.0645161290322</v>
      </c>
      <c r="F21">
        <f t="shared" si="19"/>
        <v>252</v>
      </c>
      <c r="G21" s="192">
        <f t="shared" si="1"/>
        <v>5422.0645161290322</v>
      </c>
      <c r="H21" s="192">
        <f t="shared" si="20"/>
        <v>252</v>
      </c>
      <c r="I21" s="192">
        <f t="shared" si="2"/>
        <v>5422.0645161290322</v>
      </c>
      <c r="J21" s="192">
        <f t="shared" si="21"/>
        <v>252</v>
      </c>
      <c r="K21" s="192">
        <f t="shared" si="3"/>
        <v>5422.0645161290322</v>
      </c>
      <c r="L21" s="192">
        <f t="shared" si="22"/>
        <v>252</v>
      </c>
      <c r="M21" s="192">
        <f t="shared" si="4"/>
        <v>5422.0645161290322</v>
      </c>
      <c r="N21" s="192">
        <f t="shared" si="23"/>
        <v>252</v>
      </c>
      <c r="O21" s="192">
        <f t="shared" si="5"/>
        <v>5422.0645161290322</v>
      </c>
      <c r="P21" s="192">
        <f t="shared" si="24"/>
        <v>252</v>
      </c>
      <c r="Q21" s="192">
        <f t="shared" si="6"/>
        <v>5422.0645161290322</v>
      </c>
      <c r="R21" s="192">
        <f t="shared" si="25"/>
        <v>252</v>
      </c>
      <c r="S21" s="192">
        <f t="shared" si="7"/>
        <v>5422.0645161290322</v>
      </c>
      <c r="T21" s="192">
        <f t="shared" si="26"/>
        <v>252</v>
      </c>
      <c r="U21" s="192">
        <f t="shared" si="8"/>
        <v>5422.0645161290322</v>
      </c>
      <c r="V21" s="192">
        <f t="shared" si="27"/>
        <v>252</v>
      </c>
      <c r="W21" s="192">
        <f t="shared" si="9"/>
        <v>5422.0645161290322</v>
      </c>
      <c r="X21" s="34">
        <f t="shared" si="28"/>
        <v>0.81290322580645147</v>
      </c>
      <c r="Y21" s="35">
        <f t="shared" si="29"/>
        <v>59642.709677419341</v>
      </c>
      <c r="Z21" s="440">
        <f>'B5'!C20</f>
        <v>258</v>
      </c>
      <c r="AA21" s="192">
        <f t="shared" si="30"/>
        <v>2580</v>
      </c>
      <c r="AB21" s="192">
        <f t="shared" si="31"/>
        <v>258</v>
      </c>
      <c r="AC21" s="192">
        <f t="shared" si="30"/>
        <v>2580</v>
      </c>
      <c r="AD21" s="192">
        <f t="shared" si="32"/>
        <v>258</v>
      </c>
      <c r="AE21" s="192">
        <f t="shared" si="10"/>
        <v>2580</v>
      </c>
      <c r="AF21" s="192">
        <f t="shared" si="33"/>
        <v>258</v>
      </c>
      <c r="AG21" s="192">
        <f t="shared" si="11"/>
        <v>2580</v>
      </c>
      <c r="AH21" s="192">
        <f t="shared" si="34"/>
        <v>258</v>
      </c>
      <c r="AI21" s="192">
        <f t="shared" si="12"/>
        <v>2580</v>
      </c>
      <c r="AJ21" s="192">
        <f t="shared" si="35"/>
        <v>258</v>
      </c>
      <c r="AK21" s="192">
        <f t="shared" si="13"/>
        <v>2580</v>
      </c>
      <c r="AL21" s="192">
        <f t="shared" si="36"/>
        <v>258</v>
      </c>
      <c r="AM21" s="192">
        <f t="shared" si="14"/>
        <v>2580</v>
      </c>
      <c r="AN21" s="34">
        <f t="shared" si="15"/>
        <v>0.92142857142857137</v>
      </c>
      <c r="AO21" s="35">
        <f t="shared" si="39"/>
        <v>18060</v>
      </c>
      <c r="AQ21" s="208">
        <f t="shared" si="40"/>
        <v>0.83578261457910441</v>
      </c>
      <c r="AR21" s="37">
        <f t="shared" si="41"/>
        <v>77702.709677419334</v>
      </c>
      <c r="AS21" s="186">
        <f>SUM(AR21-AR20-AT21)</f>
        <v>0</v>
      </c>
      <c r="AT21" s="303"/>
      <c r="AU21" s="475"/>
      <c r="AV21" s="432">
        <f t="shared" si="47"/>
        <v>0.88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252</v>
      </c>
      <c r="C22" s="192">
        <f t="shared" si="17"/>
        <v>5422.0645161290322</v>
      </c>
      <c r="D22">
        <f t="shared" si="18"/>
        <v>252</v>
      </c>
      <c r="E22" s="192">
        <f t="shared" si="17"/>
        <v>5422.0645161290322</v>
      </c>
      <c r="F22">
        <f t="shared" si="19"/>
        <v>252</v>
      </c>
      <c r="G22" s="192">
        <f t="shared" si="1"/>
        <v>5422.0645161290322</v>
      </c>
      <c r="H22" s="192">
        <f t="shared" si="20"/>
        <v>252</v>
      </c>
      <c r="I22" s="192">
        <f t="shared" si="2"/>
        <v>5422.0645161290322</v>
      </c>
      <c r="J22" s="192">
        <f t="shared" si="21"/>
        <v>252</v>
      </c>
      <c r="K22" s="192">
        <f t="shared" si="3"/>
        <v>5422.0645161290322</v>
      </c>
      <c r="L22" s="192">
        <f t="shared" si="22"/>
        <v>252</v>
      </c>
      <c r="M22" s="192">
        <f t="shared" si="4"/>
        <v>5422.0645161290322</v>
      </c>
      <c r="N22" s="192">
        <f t="shared" si="23"/>
        <v>252</v>
      </c>
      <c r="O22" s="192">
        <f t="shared" si="5"/>
        <v>5422.0645161290322</v>
      </c>
      <c r="P22" s="192">
        <f t="shared" si="24"/>
        <v>252</v>
      </c>
      <c r="Q22" s="192">
        <f t="shared" si="6"/>
        <v>5422.0645161290322</v>
      </c>
      <c r="R22" s="192">
        <f t="shared" si="25"/>
        <v>252</v>
      </c>
      <c r="S22" s="192">
        <f t="shared" si="7"/>
        <v>5422.0645161290322</v>
      </c>
      <c r="T22" s="192">
        <f t="shared" si="26"/>
        <v>252</v>
      </c>
      <c r="U22" s="192">
        <f t="shared" si="8"/>
        <v>5422.0645161290322</v>
      </c>
      <c r="V22" s="192">
        <f t="shared" si="27"/>
        <v>252</v>
      </c>
      <c r="W22" s="192">
        <f t="shared" si="9"/>
        <v>5422.0645161290322</v>
      </c>
      <c r="X22" s="34">
        <f t="shared" si="28"/>
        <v>0.81290322580645147</v>
      </c>
      <c r="Y22" s="35">
        <f t="shared" si="29"/>
        <v>59642.709677419341</v>
      </c>
      <c r="Z22" s="440">
        <f>'B5'!C21</f>
        <v>258</v>
      </c>
      <c r="AA22" s="192">
        <f t="shared" si="30"/>
        <v>2580</v>
      </c>
      <c r="AB22" s="192">
        <f t="shared" si="31"/>
        <v>258</v>
      </c>
      <c r="AC22" s="192">
        <f t="shared" si="30"/>
        <v>2580</v>
      </c>
      <c r="AD22" s="192">
        <f t="shared" si="32"/>
        <v>258</v>
      </c>
      <c r="AE22" s="192">
        <f t="shared" si="10"/>
        <v>2580</v>
      </c>
      <c r="AF22" s="192">
        <f t="shared" si="33"/>
        <v>258</v>
      </c>
      <c r="AG22" s="192">
        <f t="shared" si="11"/>
        <v>2580</v>
      </c>
      <c r="AH22" s="192">
        <f t="shared" si="34"/>
        <v>258</v>
      </c>
      <c r="AI22" s="192">
        <f t="shared" si="12"/>
        <v>2580</v>
      </c>
      <c r="AJ22" s="192">
        <f t="shared" si="35"/>
        <v>258</v>
      </c>
      <c r="AK22" s="192">
        <f t="shared" si="13"/>
        <v>2580</v>
      </c>
      <c r="AL22" s="192">
        <f t="shared" si="36"/>
        <v>258</v>
      </c>
      <c r="AM22" s="192">
        <f t="shared" si="14"/>
        <v>2580</v>
      </c>
      <c r="AN22" s="34">
        <f t="shared" si="15"/>
        <v>0.92142857142857137</v>
      </c>
      <c r="AO22" s="35">
        <f t="shared" si="39"/>
        <v>18060</v>
      </c>
      <c r="AQ22" s="208">
        <f t="shared" si="40"/>
        <v>0.83578261457910441</v>
      </c>
      <c r="AR22" s="37">
        <f t="shared" si="41"/>
        <v>77702.709677419334</v>
      </c>
      <c r="AS22" s="186">
        <f t="shared" ref="AS22:AS32" si="48">SUM(AR22-AR21-AT22)</f>
        <v>0</v>
      </c>
      <c r="AT22" s="303"/>
      <c r="AU22" s="475"/>
      <c r="AV22" s="432">
        <f t="shared" si="47"/>
        <v>0.88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642.17299578032862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248</v>
      </c>
      <c r="C23" s="192">
        <f t="shared" si="17"/>
        <v>5336</v>
      </c>
      <c r="D23">
        <f t="shared" si="18"/>
        <v>248</v>
      </c>
      <c r="E23" s="192">
        <f t="shared" si="17"/>
        <v>5336</v>
      </c>
      <c r="F23">
        <f t="shared" si="19"/>
        <v>248</v>
      </c>
      <c r="G23" s="192">
        <f t="shared" si="1"/>
        <v>5336</v>
      </c>
      <c r="H23" s="192">
        <f t="shared" si="20"/>
        <v>248</v>
      </c>
      <c r="I23" s="192">
        <f t="shared" si="2"/>
        <v>5336</v>
      </c>
      <c r="J23" s="192">
        <f t="shared" si="21"/>
        <v>248</v>
      </c>
      <c r="K23" s="192">
        <f t="shared" si="3"/>
        <v>5336</v>
      </c>
      <c r="L23" s="192">
        <f t="shared" si="22"/>
        <v>248</v>
      </c>
      <c r="M23" s="192">
        <f t="shared" si="4"/>
        <v>5336</v>
      </c>
      <c r="N23" s="192">
        <f t="shared" si="23"/>
        <v>248</v>
      </c>
      <c r="O23" s="192">
        <f t="shared" si="5"/>
        <v>5336</v>
      </c>
      <c r="P23" s="192">
        <f t="shared" si="24"/>
        <v>248</v>
      </c>
      <c r="Q23" s="192">
        <f t="shared" si="6"/>
        <v>5336</v>
      </c>
      <c r="R23" s="192">
        <f t="shared" si="25"/>
        <v>248</v>
      </c>
      <c r="S23" s="192">
        <f t="shared" si="7"/>
        <v>5336</v>
      </c>
      <c r="T23" s="192">
        <f t="shared" si="26"/>
        <v>248</v>
      </c>
      <c r="U23" s="192">
        <f t="shared" si="8"/>
        <v>5336</v>
      </c>
      <c r="V23" s="192">
        <f t="shared" si="27"/>
        <v>248</v>
      </c>
      <c r="W23" s="192">
        <f t="shared" si="9"/>
        <v>5336</v>
      </c>
      <c r="X23" s="34">
        <f t="shared" si="28"/>
        <v>0.8</v>
      </c>
      <c r="Y23" s="35">
        <f t="shared" si="29"/>
        <v>58696</v>
      </c>
      <c r="Z23" s="440">
        <f>'B5'!C22</f>
        <v>254</v>
      </c>
      <c r="AA23" s="192">
        <f t="shared" si="30"/>
        <v>2540</v>
      </c>
      <c r="AB23" s="192">
        <f t="shared" si="31"/>
        <v>254</v>
      </c>
      <c r="AC23" s="192">
        <f t="shared" si="30"/>
        <v>2540</v>
      </c>
      <c r="AD23" s="192">
        <f t="shared" si="32"/>
        <v>254</v>
      </c>
      <c r="AE23" s="192">
        <f t="shared" si="10"/>
        <v>2540</v>
      </c>
      <c r="AF23" s="192">
        <f t="shared" si="33"/>
        <v>254</v>
      </c>
      <c r="AG23" s="192">
        <f t="shared" si="11"/>
        <v>2540</v>
      </c>
      <c r="AH23" s="192">
        <f t="shared" si="34"/>
        <v>254</v>
      </c>
      <c r="AI23" s="192">
        <f t="shared" si="12"/>
        <v>2540</v>
      </c>
      <c r="AJ23" s="192">
        <f t="shared" si="35"/>
        <v>254</v>
      </c>
      <c r="AK23" s="192">
        <f t="shared" si="13"/>
        <v>2540</v>
      </c>
      <c r="AL23" s="192">
        <f t="shared" si="36"/>
        <v>254</v>
      </c>
      <c r="AM23" s="192">
        <f t="shared" si="14"/>
        <v>2540</v>
      </c>
      <c r="AN23" s="34">
        <f t="shared" si="15"/>
        <v>0.90714285714285714</v>
      </c>
      <c r="AO23" s="35">
        <f t="shared" si="39"/>
        <v>17780</v>
      </c>
      <c r="AQ23" s="208">
        <f t="shared" si="40"/>
        <v>0.82258793159083576</v>
      </c>
      <c r="AR23" s="37">
        <f t="shared" si="41"/>
        <v>76476</v>
      </c>
      <c r="AS23" s="186">
        <f t="shared" si="48"/>
        <v>-1226.7096774193342</v>
      </c>
      <c r="AT23" s="303"/>
      <c r="AU23" s="475"/>
      <c r="AV23" s="432">
        <f t="shared" si="47"/>
        <v>0.88</v>
      </c>
      <c r="AW23" s="251">
        <f>-SUM('B5'!AI22)</f>
        <v>-281</v>
      </c>
      <c r="AX23" s="251">
        <f t="shared" si="16"/>
        <v>-945.70967741933418</v>
      </c>
      <c r="AY23" s="36">
        <f t="shared" si="37"/>
        <v>-1226.7096774193342</v>
      </c>
      <c r="AZ23" s="96">
        <f>ELEC!A21</f>
        <v>0</v>
      </c>
      <c r="BA23" s="114">
        <f>'General information '!D22</f>
        <v>19</v>
      </c>
      <c r="BB23" s="193">
        <f>SUM('General information '!E22)</f>
        <v>0.59</v>
      </c>
      <c r="BC23" s="3">
        <f t="shared" si="44"/>
        <v>0</v>
      </c>
      <c r="BD23" s="98">
        <v>19222</v>
      </c>
      <c r="BE23" s="14">
        <f>(305/1185)*ELEC!Q22</f>
        <v>689.27426160334562</v>
      </c>
      <c r="BF23" s="14"/>
      <c r="BG23" s="14" t="e">
        <f>#REF!-BE23</f>
        <v>#REF!</v>
      </c>
      <c r="BH23" s="11"/>
      <c r="BI23">
        <v>10</v>
      </c>
      <c r="BJ23">
        <f t="shared" si="46"/>
        <v>-94.570967741933416</v>
      </c>
      <c r="BK23" s="469">
        <f>GEN!AF20</f>
        <v>0.14176136363630576</v>
      </c>
    </row>
    <row r="24" spans="1:64">
      <c r="A24" s="379">
        <f>ELEC!C22</f>
        <v>44914</v>
      </c>
      <c r="B24" s="440">
        <f>'B5'!B23</f>
        <v>244</v>
      </c>
      <c r="C24" s="192">
        <f t="shared" si="17"/>
        <v>5249.9354838709678</v>
      </c>
      <c r="D24">
        <f t="shared" si="18"/>
        <v>244</v>
      </c>
      <c r="E24" s="192">
        <f t="shared" si="17"/>
        <v>5249.9354838709678</v>
      </c>
      <c r="F24">
        <f t="shared" si="19"/>
        <v>244</v>
      </c>
      <c r="G24" s="192">
        <f t="shared" si="1"/>
        <v>5249.9354838709678</v>
      </c>
      <c r="H24" s="192">
        <f t="shared" si="20"/>
        <v>244</v>
      </c>
      <c r="I24" s="192">
        <f t="shared" si="2"/>
        <v>5249.9354838709678</v>
      </c>
      <c r="J24" s="192">
        <f t="shared" si="21"/>
        <v>244</v>
      </c>
      <c r="K24" s="192">
        <f t="shared" si="3"/>
        <v>5249.9354838709678</v>
      </c>
      <c r="L24" s="192">
        <f t="shared" si="22"/>
        <v>244</v>
      </c>
      <c r="M24" s="192">
        <f t="shared" si="4"/>
        <v>5249.9354838709678</v>
      </c>
      <c r="N24" s="192">
        <f t="shared" si="23"/>
        <v>244</v>
      </c>
      <c r="O24" s="192">
        <f t="shared" si="5"/>
        <v>5249.9354838709678</v>
      </c>
      <c r="P24" s="192">
        <f t="shared" si="24"/>
        <v>244</v>
      </c>
      <c r="Q24" s="192">
        <f t="shared" si="6"/>
        <v>5249.9354838709678</v>
      </c>
      <c r="R24" s="192">
        <f t="shared" si="25"/>
        <v>244</v>
      </c>
      <c r="S24" s="192">
        <f t="shared" si="7"/>
        <v>5249.9354838709678</v>
      </c>
      <c r="T24" s="192">
        <f t="shared" si="26"/>
        <v>244</v>
      </c>
      <c r="U24" s="192">
        <f t="shared" si="8"/>
        <v>5249.9354838709678</v>
      </c>
      <c r="V24" s="192">
        <f t="shared" si="27"/>
        <v>244</v>
      </c>
      <c r="W24" s="192">
        <f t="shared" si="9"/>
        <v>5249.9354838709678</v>
      </c>
      <c r="X24" s="34">
        <f t="shared" si="28"/>
        <v>0.78709677419354862</v>
      </c>
      <c r="Y24" s="35">
        <f t="shared" si="29"/>
        <v>57749.290322580659</v>
      </c>
      <c r="Z24" s="440">
        <f>'B5'!C23</f>
        <v>250</v>
      </c>
      <c r="AA24" s="192">
        <f t="shared" si="30"/>
        <v>2500</v>
      </c>
      <c r="AB24" s="192">
        <f t="shared" si="31"/>
        <v>250</v>
      </c>
      <c r="AC24" s="192">
        <f t="shared" si="30"/>
        <v>2500</v>
      </c>
      <c r="AD24" s="192">
        <f t="shared" si="32"/>
        <v>250</v>
      </c>
      <c r="AE24" s="192">
        <f t="shared" si="10"/>
        <v>2500</v>
      </c>
      <c r="AF24" s="192">
        <f t="shared" si="33"/>
        <v>250</v>
      </c>
      <c r="AG24" s="192">
        <f t="shared" si="11"/>
        <v>2500</v>
      </c>
      <c r="AH24" s="192">
        <f t="shared" si="34"/>
        <v>250</v>
      </c>
      <c r="AI24" s="192">
        <f t="shared" si="12"/>
        <v>2500</v>
      </c>
      <c r="AJ24" s="192">
        <f t="shared" si="35"/>
        <v>250</v>
      </c>
      <c r="AK24" s="192">
        <f t="shared" si="13"/>
        <v>2500</v>
      </c>
      <c r="AL24" s="192">
        <f t="shared" si="36"/>
        <v>250</v>
      </c>
      <c r="AM24" s="192">
        <f t="shared" si="14"/>
        <v>2500</v>
      </c>
      <c r="AN24" s="34">
        <f t="shared" si="15"/>
        <v>0.8928571428571429</v>
      </c>
      <c r="AO24" s="35">
        <f t="shared" si="39"/>
        <v>17500</v>
      </c>
      <c r="AQ24" s="208">
        <f t="shared" si="40"/>
        <v>0.80939324860256712</v>
      </c>
      <c r="AR24" s="37">
        <f t="shared" si="41"/>
        <v>75249.290322580666</v>
      </c>
      <c r="AS24" s="186">
        <f t="shared" si="48"/>
        <v>-1226.7096774193342</v>
      </c>
      <c r="AT24" s="303"/>
      <c r="AU24" s="475"/>
      <c r="AV24" s="432">
        <f t="shared" si="47"/>
        <v>0.88</v>
      </c>
      <c r="AW24" s="251">
        <f>-SUM('B5'!AI23)</f>
        <v>-162</v>
      </c>
      <c r="AX24" s="251">
        <f t="shared" si="16"/>
        <v>-1064.7096774193342</v>
      </c>
      <c r="AY24" s="36">
        <f t="shared" si="37"/>
        <v>-1226.7096774193342</v>
      </c>
      <c r="AZ24" s="96">
        <f>ELEC!A22</f>
        <v>0</v>
      </c>
      <c r="BA24" s="114">
        <f>'General information '!D23</f>
        <v>18.5</v>
      </c>
      <c r="BB24" s="193">
        <f>SUM('General information '!E23)</f>
        <v>0.53</v>
      </c>
      <c r="BC24" s="3">
        <f t="shared" si="44"/>
        <v>0</v>
      </c>
      <c r="BD24" s="98">
        <v>19222</v>
      </c>
      <c r="BE24" s="14">
        <f>(305/1185)*ELEC!Q23</f>
        <v>755.16455696231003</v>
      </c>
      <c r="BF24" s="14"/>
      <c r="BG24" s="14" t="e">
        <f>#REF!-BE24</f>
        <v>#REF!</v>
      </c>
      <c r="BH24" s="11"/>
      <c r="BI24">
        <v>11</v>
      </c>
      <c r="BJ24">
        <f t="shared" si="46"/>
        <v>-96.791788856303114</v>
      </c>
      <c r="BK24" s="469">
        <f>GEN!AF21</f>
        <v>0.1394791666666606</v>
      </c>
    </row>
    <row r="25" spans="1:64">
      <c r="A25" s="379">
        <f>ELEC!C23</f>
        <v>44915</v>
      </c>
      <c r="B25" s="440">
        <f>'B5'!B24</f>
        <v>240</v>
      </c>
      <c r="C25" s="192">
        <f t="shared" si="17"/>
        <v>5163.8709677419356</v>
      </c>
      <c r="D25">
        <f t="shared" si="18"/>
        <v>240</v>
      </c>
      <c r="E25" s="192">
        <f t="shared" si="17"/>
        <v>5163.8709677419356</v>
      </c>
      <c r="F25">
        <f t="shared" si="19"/>
        <v>240</v>
      </c>
      <c r="G25" s="192">
        <f t="shared" si="1"/>
        <v>5163.8709677419356</v>
      </c>
      <c r="H25" s="192">
        <f t="shared" si="20"/>
        <v>240</v>
      </c>
      <c r="I25" s="192">
        <f t="shared" si="2"/>
        <v>5163.8709677419356</v>
      </c>
      <c r="J25" s="192">
        <f t="shared" si="21"/>
        <v>240</v>
      </c>
      <c r="K25" s="192">
        <f t="shared" si="3"/>
        <v>5163.8709677419356</v>
      </c>
      <c r="L25" s="192">
        <f t="shared" si="22"/>
        <v>240</v>
      </c>
      <c r="M25" s="192">
        <f t="shared" si="4"/>
        <v>5163.8709677419356</v>
      </c>
      <c r="N25" s="192">
        <f t="shared" si="23"/>
        <v>240</v>
      </c>
      <c r="O25" s="192">
        <f t="shared" si="5"/>
        <v>5163.8709677419356</v>
      </c>
      <c r="P25" s="192">
        <f t="shared" si="24"/>
        <v>240</v>
      </c>
      <c r="Q25" s="192">
        <f t="shared" si="6"/>
        <v>5163.8709677419356</v>
      </c>
      <c r="R25" s="192">
        <f t="shared" si="25"/>
        <v>240</v>
      </c>
      <c r="S25" s="192">
        <f t="shared" si="7"/>
        <v>5163.8709677419356</v>
      </c>
      <c r="T25" s="192">
        <f t="shared" si="26"/>
        <v>240</v>
      </c>
      <c r="U25" s="192">
        <f t="shared" si="8"/>
        <v>5163.8709677419356</v>
      </c>
      <c r="V25" s="192">
        <f t="shared" si="27"/>
        <v>240</v>
      </c>
      <c r="W25" s="192">
        <f t="shared" si="9"/>
        <v>5163.8709677419356</v>
      </c>
      <c r="X25" s="34">
        <f t="shared" si="28"/>
        <v>0.77419354838709697</v>
      </c>
      <c r="Y25" s="35">
        <f t="shared" si="29"/>
        <v>56802.580645161303</v>
      </c>
      <c r="Z25" s="440">
        <f>'B5'!C24</f>
        <v>247</v>
      </c>
      <c r="AA25" s="192">
        <f t="shared" si="30"/>
        <v>2470</v>
      </c>
      <c r="AB25" s="192">
        <f t="shared" si="31"/>
        <v>247</v>
      </c>
      <c r="AC25" s="192">
        <f t="shared" si="30"/>
        <v>2470</v>
      </c>
      <c r="AD25" s="192">
        <f t="shared" si="32"/>
        <v>247</v>
      </c>
      <c r="AE25" s="192">
        <f t="shared" si="10"/>
        <v>2470</v>
      </c>
      <c r="AF25" s="192">
        <f t="shared" si="33"/>
        <v>247</v>
      </c>
      <c r="AG25" s="192">
        <f t="shared" si="11"/>
        <v>2470</v>
      </c>
      <c r="AH25" s="192">
        <f t="shared" si="34"/>
        <v>247</v>
      </c>
      <c r="AI25" s="192">
        <f t="shared" si="12"/>
        <v>2470</v>
      </c>
      <c r="AJ25" s="192">
        <f t="shared" si="35"/>
        <v>247</v>
      </c>
      <c r="AK25" s="192">
        <f t="shared" si="13"/>
        <v>2470</v>
      </c>
      <c r="AL25" s="192">
        <f t="shared" si="36"/>
        <v>247</v>
      </c>
      <c r="AM25" s="192">
        <f t="shared" si="14"/>
        <v>2470</v>
      </c>
      <c r="AN25" s="34">
        <f t="shared" si="15"/>
        <v>0.88214285714285712</v>
      </c>
      <c r="AO25" s="35">
        <f t="shared" si="39"/>
        <v>17290</v>
      </c>
      <c r="AQ25" s="208">
        <f t="shared" si="40"/>
        <v>0.79695149666732601</v>
      </c>
      <c r="AR25" s="37">
        <f t="shared" si="41"/>
        <v>74092.580645161303</v>
      </c>
      <c r="AS25" s="186">
        <f t="shared" si="48"/>
        <v>-1156.7096774193633</v>
      </c>
      <c r="AT25" s="303"/>
      <c r="AU25" s="475"/>
      <c r="AV25" s="432">
        <f t="shared" si="47"/>
        <v>0.88</v>
      </c>
      <c r="AW25" s="251">
        <f>-SUM('B5'!AI24)</f>
        <v>-128</v>
      </c>
      <c r="AX25" s="251">
        <f t="shared" si="16"/>
        <v>-1028.7096774193633</v>
      </c>
      <c r="AY25" s="36">
        <f t="shared" si="37"/>
        <v>-1156.7096774193633</v>
      </c>
      <c r="AZ25" s="96">
        <f>ELEC!A23</f>
        <v>0</v>
      </c>
      <c r="BA25" s="114">
        <f>'General information '!D24</f>
        <v>18</v>
      </c>
      <c r="BB25" s="193">
        <f>SUM('General information '!E24)</f>
        <v>0.49</v>
      </c>
      <c r="BC25" s="3">
        <f t="shared" si="44"/>
        <v>0</v>
      </c>
      <c r="BD25" s="98">
        <v>19222</v>
      </c>
      <c r="BE25" s="14">
        <f>(305/1185)*ELEC!Q24</f>
        <v>482.59493670886081</v>
      </c>
      <c r="BF25" s="14"/>
      <c r="BG25" s="14" t="e">
        <f>#REF!-BE25</f>
        <v>#REF!</v>
      </c>
      <c r="BH25" s="11"/>
      <c r="BI25">
        <v>12</v>
      </c>
      <c r="BJ25">
        <f t="shared" si="46"/>
        <v>-85.725806451613607</v>
      </c>
      <c r="BK25" s="469"/>
    </row>
    <row r="26" spans="1:64">
      <c r="A26" s="379">
        <f>ELEC!C24</f>
        <v>44916</v>
      </c>
      <c r="B26" s="440">
        <f>'B5'!B25</f>
        <v>237</v>
      </c>
      <c r="C26" s="192">
        <f t="shared" si="17"/>
        <v>5099.322580645161</v>
      </c>
      <c r="D26">
        <f t="shared" si="18"/>
        <v>237</v>
      </c>
      <c r="E26" s="192">
        <f t="shared" si="17"/>
        <v>5099.322580645161</v>
      </c>
      <c r="F26">
        <f t="shared" si="19"/>
        <v>237</v>
      </c>
      <c r="G26" s="192">
        <f t="shared" si="1"/>
        <v>5099.322580645161</v>
      </c>
      <c r="H26" s="192">
        <f t="shared" si="20"/>
        <v>237</v>
      </c>
      <c r="I26" s="192">
        <f t="shared" si="2"/>
        <v>5099.322580645161</v>
      </c>
      <c r="J26" s="192">
        <f t="shared" si="21"/>
        <v>237</v>
      </c>
      <c r="K26" s="192">
        <f t="shared" si="3"/>
        <v>5099.322580645161</v>
      </c>
      <c r="L26" s="192">
        <f t="shared" si="22"/>
        <v>237</v>
      </c>
      <c r="M26" s="192">
        <f t="shared" si="4"/>
        <v>5099.322580645161</v>
      </c>
      <c r="N26" s="192">
        <f t="shared" si="23"/>
        <v>237</v>
      </c>
      <c r="O26" s="192">
        <f t="shared" si="5"/>
        <v>5099.322580645161</v>
      </c>
      <c r="P26" s="192">
        <f t="shared" si="24"/>
        <v>237</v>
      </c>
      <c r="Q26" s="192">
        <f t="shared" si="6"/>
        <v>5099.322580645161</v>
      </c>
      <c r="R26" s="192">
        <f t="shared" si="25"/>
        <v>237</v>
      </c>
      <c r="S26" s="192">
        <f t="shared" si="7"/>
        <v>5099.322580645161</v>
      </c>
      <c r="T26" s="192">
        <f t="shared" si="26"/>
        <v>237</v>
      </c>
      <c r="U26" s="192">
        <f t="shared" si="8"/>
        <v>5099.322580645161</v>
      </c>
      <c r="V26" s="192">
        <f t="shared" si="27"/>
        <v>237</v>
      </c>
      <c r="W26" s="192">
        <f t="shared" si="9"/>
        <v>5099.322580645161</v>
      </c>
      <c r="X26" s="34">
        <f t="shared" si="28"/>
        <v>0.76451612903225785</v>
      </c>
      <c r="Y26" s="35">
        <f t="shared" si="29"/>
        <v>56092.548387096758</v>
      </c>
      <c r="Z26" s="440">
        <f>'B5'!C25</f>
        <v>242</v>
      </c>
      <c r="AA26" s="192">
        <f t="shared" si="30"/>
        <v>2420</v>
      </c>
      <c r="AB26" s="192">
        <f t="shared" si="31"/>
        <v>242</v>
      </c>
      <c r="AC26" s="192">
        <f t="shared" si="30"/>
        <v>2420</v>
      </c>
      <c r="AD26" s="192">
        <f t="shared" si="32"/>
        <v>242</v>
      </c>
      <c r="AE26" s="192">
        <f t="shared" si="10"/>
        <v>2420</v>
      </c>
      <c r="AF26" s="192">
        <f t="shared" si="33"/>
        <v>242</v>
      </c>
      <c r="AG26" s="192">
        <f t="shared" si="11"/>
        <v>2420</v>
      </c>
      <c r="AH26" s="192">
        <f t="shared" si="34"/>
        <v>242</v>
      </c>
      <c r="AI26" s="192">
        <f t="shared" si="12"/>
        <v>2420</v>
      </c>
      <c r="AJ26" s="192">
        <f t="shared" si="35"/>
        <v>242</v>
      </c>
      <c r="AK26" s="192">
        <f t="shared" si="13"/>
        <v>2420</v>
      </c>
      <c r="AL26" s="192">
        <f t="shared" si="36"/>
        <v>242</v>
      </c>
      <c r="AM26" s="192">
        <f t="shared" si="14"/>
        <v>2420</v>
      </c>
      <c r="AN26" s="34">
        <f t="shared" si="15"/>
        <v>0.86428571428571432</v>
      </c>
      <c r="AO26" s="35">
        <f t="shared" si="39"/>
        <v>16940</v>
      </c>
      <c r="AQ26" s="208">
        <f t="shared" si="40"/>
        <v>0.78554962232006842</v>
      </c>
      <c r="AR26" s="37">
        <f t="shared" si="41"/>
        <v>73032.548387096758</v>
      </c>
      <c r="AS26" s="186">
        <f t="shared" si="48"/>
        <v>-1060.0322580645443</v>
      </c>
      <c r="AT26" s="303"/>
      <c r="AU26" s="475"/>
      <c r="AV26" s="432">
        <f t="shared" si="47"/>
        <v>0.88</v>
      </c>
      <c r="AW26" s="251">
        <f>-SUM('B5'!AI25)</f>
        <v>0</v>
      </c>
      <c r="AX26" s="251">
        <f t="shared" si="16"/>
        <v>-1060.0322580645443</v>
      </c>
      <c r="AY26" s="36">
        <f t="shared" si="37"/>
        <v>-1060.0322580645443</v>
      </c>
      <c r="AZ26" s="96">
        <f>ELEC!A24</f>
        <v>0</v>
      </c>
      <c r="BA26" s="114">
        <f>'General information '!D25</f>
        <v>16.5</v>
      </c>
      <c r="BB26" s="193">
        <f>SUM('General information '!E25)</f>
        <v>0.48</v>
      </c>
      <c r="BC26" s="3">
        <f t="shared" si="44"/>
        <v>0</v>
      </c>
      <c r="BD26" s="98">
        <v>19222</v>
      </c>
      <c r="BE26" s="14">
        <f>(305/1185)*ELEC!Q25</f>
        <v>605.62447257362248</v>
      </c>
      <c r="BF26" s="14"/>
      <c r="BG26" s="14" t="e">
        <f>#REF!-BE26</f>
        <v>#REF!</v>
      </c>
      <c r="BH26" s="11"/>
      <c r="BI26">
        <v>13</v>
      </c>
      <c r="BJ26">
        <f t="shared" si="46"/>
        <v>-81.540942928041872</v>
      </c>
      <c r="BK26" s="469"/>
    </row>
    <row r="27" spans="1:64">
      <c r="A27" s="379">
        <f>ELEC!C25</f>
        <v>44917</v>
      </c>
      <c r="B27" s="440">
        <f>'B5'!B26</f>
        <v>234.5</v>
      </c>
      <c r="C27" s="192">
        <f t="shared" si="17"/>
        <v>5045.5322580645161</v>
      </c>
      <c r="D27">
        <f t="shared" si="18"/>
        <v>234.5</v>
      </c>
      <c r="E27" s="192">
        <f t="shared" si="17"/>
        <v>5045.5322580645161</v>
      </c>
      <c r="F27">
        <f t="shared" si="19"/>
        <v>234.5</v>
      </c>
      <c r="G27" s="192">
        <f t="shared" si="1"/>
        <v>5045.5322580645161</v>
      </c>
      <c r="H27" s="192">
        <f t="shared" si="20"/>
        <v>234.5</v>
      </c>
      <c r="I27" s="192">
        <f t="shared" si="2"/>
        <v>5045.5322580645161</v>
      </c>
      <c r="J27" s="192">
        <f t="shared" si="21"/>
        <v>234.5</v>
      </c>
      <c r="K27" s="192">
        <f t="shared" si="3"/>
        <v>5045.5322580645161</v>
      </c>
      <c r="L27" s="192">
        <f t="shared" si="22"/>
        <v>234.5</v>
      </c>
      <c r="M27" s="192">
        <f t="shared" si="4"/>
        <v>5045.5322580645161</v>
      </c>
      <c r="N27" s="192">
        <f t="shared" si="23"/>
        <v>234.5</v>
      </c>
      <c r="O27" s="192">
        <f t="shared" si="5"/>
        <v>5045.5322580645161</v>
      </c>
      <c r="P27" s="192">
        <f t="shared" si="24"/>
        <v>234.5</v>
      </c>
      <c r="Q27" s="192">
        <f t="shared" si="6"/>
        <v>5045.5322580645161</v>
      </c>
      <c r="R27" s="192">
        <f t="shared" si="25"/>
        <v>234.5</v>
      </c>
      <c r="S27" s="192">
        <f t="shared" si="7"/>
        <v>5045.5322580645161</v>
      </c>
      <c r="T27" s="192">
        <f t="shared" si="26"/>
        <v>234.5</v>
      </c>
      <c r="U27" s="192">
        <f t="shared" si="8"/>
        <v>5045.5322580645161</v>
      </c>
      <c r="V27" s="192">
        <f t="shared" si="27"/>
        <v>234.5</v>
      </c>
      <c r="W27" s="192">
        <f t="shared" si="9"/>
        <v>5045.5322580645161</v>
      </c>
      <c r="X27" s="34">
        <f t="shared" si="28"/>
        <v>0.75645161290322571</v>
      </c>
      <c r="Y27" s="35">
        <f t="shared" si="29"/>
        <v>55500.854838709674</v>
      </c>
      <c r="Z27" s="440">
        <f>'B5'!C26</f>
        <v>240</v>
      </c>
      <c r="AA27" s="192">
        <f t="shared" si="30"/>
        <v>2400</v>
      </c>
      <c r="AB27" s="192">
        <f t="shared" si="31"/>
        <v>240</v>
      </c>
      <c r="AC27" s="192">
        <f t="shared" si="30"/>
        <v>2400</v>
      </c>
      <c r="AD27" s="192">
        <f t="shared" si="32"/>
        <v>240</v>
      </c>
      <c r="AE27" s="192">
        <f t="shared" si="10"/>
        <v>2400</v>
      </c>
      <c r="AF27" s="192">
        <f t="shared" si="33"/>
        <v>240</v>
      </c>
      <c r="AG27" s="192">
        <f t="shared" si="11"/>
        <v>2400</v>
      </c>
      <c r="AH27" s="192">
        <f t="shared" si="34"/>
        <v>240</v>
      </c>
      <c r="AI27" s="192">
        <f t="shared" si="12"/>
        <v>2400</v>
      </c>
      <c r="AJ27" s="192">
        <f t="shared" si="35"/>
        <v>240</v>
      </c>
      <c r="AK27" s="192">
        <f t="shared" si="13"/>
        <v>2400</v>
      </c>
      <c r="AL27" s="192">
        <f t="shared" si="36"/>
        <v>240</v>
      </c>
      <c r="AM27" s="192">
        <f t="shared" si="14"/>
        <v>2400</v>
      </c>
      <c r="AN27" s="34">
        <f t="shared" si="15"/>
        <v>0.8571428571428571</v>
      </c>
      <c r="AO27" s="35">
        <f t="shared" si="39"/>
        <v>16800</v>
      </c>
      <c r="AQ27" s="208">
        <f t="shared" si="40"/>
        <v>0.77767941097891435</v>
      </c>
      <c r="AR27" s="37">
        <f t="shared" si="41"/>
        <v>72300.854838709667</v>
      </c>
      <c r="AS27" s="186">
        <f t="shared" si="48"/>
        <v>-731.69354838709114</v>
      </c>
      <c r="AT27" s="303"/>
      <c r="AU27" s="475"/>
      <c r="AV27" s="432">
        <f t="shared" si="47"/>
        <v>0.88</v>
      </c>
      <c r="AW27" s="251">
        <f>-SUM('B5'!AI26)</f>
        <v>-239</v>
      </c>
      <c r="AX27" s="251">
        <f t="shared" si="16"/>
        <v>-492.69354838709114</v>
      </c>
      <c r="AY27" s="36">
        <f t="shared" si="37"/>
        <v>-731.69354838709114</v>
      </c>
      <c r="AZ27" s="96">
        <f>ELEC!A25</f>
        <v>0</v>
      </c>
      <c r="BA27" s="114">
        <f>'General information '!D26</f>
        <v>16.5</v>
      </c>
      <c r="BB27" s="193">
        <f>SUM('General information '!E26)</f>
        <v>0.48</v>
      </c>
      <c r="BC27" s="3">
        <f t="shared" si="44"/>
        <v>0</v>
      </c>
      <c r="BD27" s="98">
        <v>19222</v>
      </c>
      <c r="BE27" s="14">
        <f>(305/1185)*ELEC!Q26</f>
        <v>101.66666666677904</v>
      </c>
      <c r="BF27" s="14"/>
      <c r="BG27" s="14" t="e">
        <f>#REF!-BE27</f>
        <v>#REF!</v>
      </c>
      <c r="BH27" s="11"/>
      <c r="BI27">
        <v>14</v>
      </c>
      <c r="BJ27">
        <f t="shared" si="46"/>
        <v>-35.192396313363652</v>
      </c>
      <c r="BK27" s="469">
        <f>GEN!AF24</f>
        <v>0.12255208333328937</v>
      </c>
    </row>
    <row r="28" spans="1:64">
      <c r="A28" s="379">
        <f>ELEC!C26</f>
        <v>44918</v>
      </c>
      <c r="B28" s="440">
        <f>'B5'!B27</f>
        <v>234.5</v>
      </c>
      <c r="C28" s="192">
        <f t="shared" si="17"/>
        <v>5045.5322580645161</v>
      </c>
      <c r="D28">
        <f t="shared" si="18"/>
        <v>234.5</v>
      </c>
      <c r="E28" s="192">
        <f t="shared" si="17"/>
        <v>5045.5322580645161</v>
      </c>
      <c r="F28">
        <f t="shared" si="19"/>
        <v>234.5</v>
      </c>
      <c r="G28" s="192">
        <f t="shared" si="1"/>
        <v>5045.5322580645161</v>
      </c>
      <c r="H28" s="192">
        <f t="shared" si="20"/>
        <v>234.5</v>
      </c>
      <c r="I28" s="192">
        <f t="shared" si="2"/>
        <v>5045.5322580645161</v>
      </c>
      <c r="J28" s="192">
        <f t="shared" si="21"/>
        <v>234.5</v>
      </c>
      <c r="K28" s="192">
        <f t="shared" si="3"/>
        <v>5045.5322580645161</v>
      </c>
      <c r="L28" s="192">
        <f t="shared" si="22"/>
        <v>234.5</v>
      </c>
      <c r="M28" s="192">
        <f t="shared" si="4"/>
        <v>5045.5322580645161</v>
      </c>
      <c r="N28" s="192">
        <f t="shared" si="23"/>
        <v>234.5</v>
      </c>
      <c r="O28" s="192">
        <f t="shared" si="5"/>
        <v>5045.5322580645161</v>
      </c>
      <c r="P28" s="192">
        <f t="shared" si="24"/>
        <v>234.5</v>
      </c>
      <c r="Q28" s="192">
        <f t="shared" si="6"/>
        <v>5045.5322580645161</v>
      </c>
      <c r="R28" s="192">
        <f t="shared" si="25"/>
        <v>234.5</v>
      </c>
      <c r="S28" s="192">
        <f t="shared" si="7"/>
        <v>5045.5322580645161</v>
      </c>
      <c r="T28" s="192">
        <f t="shared" si="26"/>
        <v>234.5</v>
      </c>
      <c r="U28" s="192">
        <f t="shared" si="8"/>
        <v>5045.5322580645161</v>
      </c>
      <c r="V28" s="192">
        <f t="shared" si="27"/>
        <v>234.5</v>
      </c>
      <c r="W28" s="192">
        <f t="shared" si="9"/>
        <v>5045.5322580645161</v>
      </c>
      <c r="X28" s="34">
        <f t="shared" si="28"/>
        <v>0.75645161290322571</v>
      </c>
      <c r="Y28" s="35">
        <f t="shared" si="29"/>
        <v>55500.854838709674</v>
      </c>
      <c r="Z28" s="440">
        <f>'B5'!C27</f>
        <v>240</v>
      </c>
      <c r="AA28" s="192">
        <f t="shared" si="30"/>
        <v>2400</v>
      </c>
      <c r="AB28" s="192">
        <f t="shared" si="31"/>
        <v>240</v>
      </c>
      <c r="AC28" s="192">
        <f t="shared" si="30"/>
        <v>2400</v>
      </c>
      <c r="AD28" s="192">
        <f t="shared" si="32"/>
        <v>240</v>
      </c>
      <c r="AE28" s="192">
        <f t="shared" si="10"/>
        <v>2400</v>
      </c>
      <c r="AF28" s="192">
        <f t="shared" si="33"/>
        <v>240</v>
      </c>
      <c r="AG28" s="192">
        <f t="shared" si="11"/>
        <v>2400</v>
      </c>
      <c r="AH28" s="192">
        <f t="shared" si="34"/>
        <v>240</v>
      </c>
      <c r="AI28" s="192">
        <f t="shared" si="12"/>
        <v>2400</v>
      </c>
      <c r="AJ28" s="192">
        <f t="shared" si="35"/>
        <v>240</v>
      </c>
      <c r="AK28" s="192">
        <f t="shared" si="13"/>
        <v>2400</v>
      </c>
      <c r="AL28" s="192">
        <f t="shared" si="36"/>
        <v>240</v>
      </c>
      <c r="AM28" s="192">
        <f t="shared" si="14"/>
        <v>2400</v>
      </c>
      <c r="AN28" s="34">
        <f t="shared" si="15"/>
        <v>0.8571428571428571</v>
      </c>
      <c r="AO28" s="35">
        <f t="shared" si="39"/>
        <v>16800</v>
      </c>
      <c r="AQ28" s="208">
        <f t="shared" si="40"/>
        <v>0.77767941097891435</v>
      </c>
      <c r="AR28" s="37">
        <f t="shared" si="41"/>
        <v>72300.854838709667</v>
      </c>
      <c r="AS28" s="186">
        <f t="shared" si="48"/>
        <v>0</v>
      </c>
      <c r="AT28" s="303"/>
      <c r="AU28" s="475"/>
      <c r="AV28" s="432">
        <f t="shared" si="47"/>
        <v>0.88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234.5</v>
      </c>
      <c r="C29" s="192">
        <f t="shared" si="17"/>
        <v>5045.5322580645161</v>
      </c>
      <c r="D29">
        <f t="shared" si="18"/>
        <v>234.5</v>
      </c>
      <c r="E29" s="192">
        <f t="shared" si="17"/>
        <v>5045.5322580645161</v>
      </c>
      <c r="F29">
        <f t="shared" si="19"/>
        <v>234.5</v>
      </c>
      <c r="G29" s="192">
        <f t="shared" si="1"/>
        <v>5045.5322580645161</v>
      </c>
      <c r="H29" s="192">
        <f t="shared" si="20"/>
        <v>234.5</v>
      </c>
      <c r="I29" s="192">
        <f t="shared" si="2"/>
        <v>5045.5322580645161</v>
      </c>
      <c r="J29" s="192">
        <f t="shared" si="21"/>
        <v>234.5</v>
      </c>
      <c r="K29" s="192">
        <f t="shared" si="3"/>
        <v>5045.5322580645161</v>
      </c>
      <c r="L29" s="192">
        <f t="shared" si="22"/>
        <v>234.5</v>
      </c>
      <c r="M29" s="192">
        <f t="shared" si="4"/>
        <v>5045.5322580645161</v>
      </c>
      <c r="N29" s="192">
        <f t="shared" si="23"/>
        <v>234.5</v>
      </c>
      <c r="O29" s="192">
        <f t="shared" si="5"/>
        <v>5045.5322580645161</v>
      </c>
      <c r="P29" s="192">
        <f t="shared" si="24"/>
        <v>234.5</v>
      </c>
      <c r="Q29" s="192">
        <f t="shared" si="6"/>
        <v>5045.5322580645161</v>
      </c>
      <c r="R29" s="192">
        <f t="shared" si="25"/>
        <v>234.5</v>
      </c>
      <c r="S29" s="192">
        <f t="shared" si="7"/>
        <v>5045.5322580645161</v>
      </c>
      <c r="T29" s="192">
        <f t="shared" si="26"/>
        <v>234.5</v>
      </c>
      <c r="U29" s="192">
        <f t="shared" si="8"/>
        <v>5045.5322580645161</v>
      </c>
      <c r="V29" s="192">
        <f t="shared" si="27"/>
        <v>234.5</v>
      </c>
      <c r="W29" s="192">
        <f t="shared" si="9"/>
        <v>5045.5322580645161</v>
      </c>
      <c r="X29" s="34">
        <f t="shared" si="28"/>
        <v>0.75645161290322571</v>
      </c>
      <c r="Y29" s="35">
        <f t="shared" si="29"/>
        <v>55500.854838709674</v>
      </c>
      <c r="Z29" s="440">
        <f>'B5'!C28</f>
        <v>240</v>
      </c>
      <c r="AA29" s="192">
        <f t="shared" si="30"/>
        <v>2400</v>
      </c>
      <c r="AB29" s="192">
        <f t="shared" si="31"/>
        <v>240</v>
      </c>
      <c r="AC29" s="192">
        <f t="shared" si="30"/>
        <v>2400</v>
      </c>
      <c r="AD29" s="192">
        <f t="shared" si="32"/>
        <v>240</v>
      </c>
      <c r="AE29" s="192">
        <f t="shared" si="10"/>
        <v>2400</v>
      </c>
      <c r="AF29" s="192">
        <f t="shared" si="33"/>
        <v>240</v>
      </c>
      <c r="AG29" s="192">
        <f t="shared" si="11"/>
        <v>2400</v>
      </c>
      <c r="AH29" s="192">
        <f t="shared" si="34"/>
        <v>240</v>
      </c>
      <c r="AI29" s="192">
        <f t="shared" si="12"/>
        <v>2400</v>
      </c>
      <c r="AJ29" s="192">
        <f t="shared" si="35"/>
        <v>240</v>
      </c>
      <c r="AK29" s="192">
        <f t="shared" si="13"/>
        <v>2400</v>
      </c>
      <c r="AL29" s="192">
        <f t="shared" si="36"/>
        <v>240</v>
      </c>
      <c r="AM29" s="192">
        <f t="shared" si="14"/>
        <v>2400</v>
      </c>
      <c r="AN29" s="34">
        <f t="shared" si="15"/>
        <v>0.8571428571428571</v>
      </c>
      <c r="AO29" s="35">
        <f t="shared" si="39"/>
        <v>16800</v>
      </c>
      <c r="AQ29" s="208">
        <f t="shared" si="40"/>
        <v>0.77767941097891435</v>
      </c>
      <c r="AR29" s="37">
        <f t="shared" si="41"/>
        <v>72300.854838709667</v>
      </c>
      <c r="AS29" s="186">
        <f>SUM(AR29-AR28-AT29)</f>
        <v>0</v>
      </c>
      <c r="AT29" s="303"/>
      <c r="AU29" s="475"/>
      <c r="AV29" s="432">
        <f t="shared" si="47"/>
        <v>0.88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234.5</v>
      </c>
      <c r="C30" s="192">
        <f t="shared" si="17"/>
        <v>5045.5322580645161</v>
      </c>
      <c r="D30">
        <f>SUM(B30)</f>
        <v>234.5</v>
      </c>
      <c r="E30" s="192">
        <f t="shared" si="17"/>
        <v>5045.5322580645161</v>
      </c>
      <c r="F30">
        <f>SUM(D30)</f>
        <v>234.5</v>
      </c>
      <c r="G30" s="192">
        <f t="shared" si="1"/>
        <v>5045.5322580645161</v>
      </c>
      <c r="H30" s="192">
        <f>SUM(F30)</f>
        <v>234.5</v>
      </c>
      <c r="I30" s="192">
        <f t="shared" si="2"/>
        <v>5045.5322580645161</v>
      </c>
      <c r="J30" s="192">
        <f>SUM(H30)</f>
        <v>234.5</v>
      </c>
      <c r="K30" s="192">
        <f t="shared" si="3"/>
        <v>5045.5322580645161</v>
      </c>
      <c r="L30" s="192">
        <f>SUM(J30)</f>
        <v>234.5</v>
      </c>
      <c r="M30" s="192">
        <f t="shared" si="4"/>
        <v>5045.5322580645161</v>
      </c>
      <c r="N30" s="192">
        <f>SUM(L30)</f>
        <v>234.5</v>
      </c>
      <c r="O30" s="192">
        <f t="shared" si="5"/>
        <v>5045.5322580645161</v>
      </c>
      <c r="P30" s="192">
        <f>SUM(N30)</f>
        <v>234.5</v>
      </c>
      <c r="Q30" s="192">
        <f t="shared" si="6"/>
        <v>5045.5322580645161</v>
      </c>
      <c r="R30" s="192">
        <f>SUM(P30)</f>
        <v>234.5</v>
      </c>
      <c r="S30" s="192">
        <f t="shared" si="7"/>
        <v>5045.5322580645161</v>
      </c>
      <c r="T30" s="192">
        <f>SUM(R30)</f>
        <v>234.5</v>
      </c>
      <c r="U30" s="192">
        <f t="shared" si="8"/>
        <v>5045.5322580645161</v>
      </c>
      <c r="V30" s="192">
        <f>SUM(T30)</f>
        <v>234.5</v>
      </c>
      <c r="W30" s="192">
        <f t="shared" si="9"/>
        <v>5045.5322580645161</v>
      </c>
      <c r="X30" s="34">
        <f>SUM(Y30/73370)</f>
        <v>0.75645161290322571</v>
      </c>
      <c r="Y30" s="35">
        <f>SUM(C30+E30+G30+I30+K30+M30+O30+Q30+S30+U30+W30)</f>
        <v>55500.854838709674</v>
      </c>
      <c r="Z30" s="440">
        <f>'B5'!C29</f>
        <v>240</v>
      </c>
      <c r="AA30" s="192">
        <f t="shared" si="30"/>
        <v>2400</v>
      </c>
      <c r="AB30" s="192">
        <f>SUM(Z30)</f>
        <v>240</v>
      </c>
      <c r="AC30" s="192">
        <f t="shared" si="30"/>
        <v>2400</v>
      </c>
      <c r="AD30" s="192">
        <f>SUM(AB30)</f>
        <v>240</v>
      </c>
      <c r="AE30" s="192">
        <f t="shared" si="10"/>
        <v>2400</v>
      </c>
      <c r="AF30" s="192">
        <f>SUM(AD30)</f>
        <v>240</v>
      </c>
      <c r="AG30" s="192">
        <f t="shared" si="11"/>
        <v>2400</v>
      </c>
      <c r="AH30" s="192">
        <f>SUM(AF30)</f>
        <v>240</v>
      </c>
      <c r="AI30" s="192">
        <f t="shared" si="12"/>
        <v>2400</v>
      </c>
      <c r="AJ30" s="192">
        <f>SUM(AH30)</f>
        <v>240</v>
      </c>
      <c r="AK30" s="192">
        <f t="shared" si="13"/>
        <v>2400</v>
      </c>
      <c r="AL30" s="192">
        <f>SUM(AJ30)</f>
        <v>240</v>
      </c>
      <c r="AM30" s="192">
        <f t="shared" si="14"/>
        <v>2400</v>
      </c>
      <c r="AN30" s="34">
        <f>SUM(AO30/19600)</f>
        <v>0.8571428571428571</v>
      </c>
      <c r="AO30" s="35">
        <f>SUM(AA30+AC30+AE30+AG30+AI30+AK30+AM30)</f>
        <v>16800</v>
      </c>
      <c r="AQ30" s="208">
        <f t="shared" si="40"/>
        <v>0.77767941097891435</v>
      </c>
      <c r="AR30" s="37">
        <f t="shared" si="41"/>
        <v>72300.854838709667</v>
      </c>
      <c r="AS30" s="186">
        <f>SUM(AR30-AR29-AT30)</f>
        <v>0</v>
      </c>
      <c r="AT30" s="303"/>
      <c r="AU30" s="475"/>
      <c r="AV30" s="432">
        <f t="shared" si="47"/>
        <v>0.88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374.75105485188624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231</v>
      </c>
      <c r="C31" s="192">
        <f t="shared" si="17"/>
        <v>4970.2258064516127</v>
      </c>
      <c r="D31">
        <f>SUM(B31)</f>
        <v>231</v>
      </c>
      <c r="E31" s="192">
        <f t="shared" si="17"/>
        <v>4970.2258064516127</v>
      </c>
      <c r="F31">
        <f>SUM(D31)</f>
        <v>231</v>
      </c>
      <c r="G31" s="192">
        <f t="shared" si="1"/>
        <v>4970.2258064516127</v>
      </c>
      <c r="H31" s="192">
        <f>SUM(F31)</f>
        <v>231</v>
      </c>
      <c r="I31" s="192">
        <f t="shared" si="2"/>
        <v>4970.2258064516127</v>
      </c>
      <c r="J31" s="192">
        <f>SUM(H31)</f>
        <v>231</v>
      </c>
      <c r="K31" s="192">
        <f t="shared" si="3"/>
        <v>4970.2258064516127</v>
      </c>
      <c r="L31" s="192">
        <f>SUM(J31)</f>
        <v>231</v>
      </c>
      <c r="M31" s="192">
        <f t="shared" si="4"/>
        <v>4970.2258064516127</v>
      </c>
      <c r="N31" s="192">
        <f>SUM(L31)</f>
        <v>231</v>
      </c>
      <c r="O31" s="192">
        <f t="shared" si="5"/>
        <v>4970.2258064516127</v>
      </c>
      <c r="P31" s="192">
        <f>SUM(N31)</f>
        <v>231</v>
      </c>
      <c r="Q31" s="192">
        <f t="shared" si="6"/>
        <v>4970.2258064516127</v>
      </c>
      <c r="R31" s="192">
        <f>SUM(P31)</f>
        <v>231</v>
      </c>
      <c r="S31" s="192">
        <f t="shared" si="7"/>
        <v>4970.2258064516127</v>
      </c>
      <c r="T31" s="192">
        <f>SUM(R31)</f>
        <v>231</v>
      </c>
      <c r="U31" s="192">
        <f t="shared" si="8"/>
        <v>4970.2258064516127</v>
      </c>
      <c r="V31" s="192">
        <f>SUM(T31)</f>
        <v>231</v>
      </c>
      <c r="W31" s="192">
        <f t="shared" si="9"/>
        <v>4970.2258064516127</v>
      </c>
      <c r="X31" s="34">
        <f>SUM(Y31/73370)</f>
        <v>0.74516129032258061</v>
      </c>
      <c r="Y31" s="35">
        <f>SUM(C31+E31+G31+I31+K31+M31+O31+Q31+S31+U31+W31)</f>
        <v>54672.483870967742</v>
      </c>
      <c r="Z31" s="440">
        <f>'B5'!C30</f>
        <v>238</v>
      </c>
      <c r="AA31" s="192">
        <f t="shared" si="30"/>
        <v>2380</v>
      </c>
      <c r="AB31" s="192">
        <f>SUM(Z31)</f>
        <v>238</v>
      </c>
      <c r="AC31" s="192">
        <f t="shared" si="30"/>
        <v>2380</v>
      </c>
      <c r="AD31" s="192">
        <f>SUM(AB31)</f>
        <v>238</v>
      </c>
      <c r="AE31" s="192">
        <f t="shared" si="10"/>
        <v>2380</v>
      </c>
      <c r="AF31" s="192">
        <f>SUM(AD31)</f>
        <v>238</v>
      </c>
      <c r="AG31" s="192">
        <f t="shared" si="11"/>
        <v>2380</v>
      </c>
      <c r="AH31" s="192">
        <f>SUM(AF31)</f>
        <v>238</v>
      </c>
      <c r="AI31" s="192">
        <f t="shared" si="12"/>
        <v>2380</v>
      </c>
      <c r="AJ31" s="192">
        <f>SUM(AH31)</f>
        <v>238</v>
      </c>
      <c r="AK31" s="192">
        <f t="shared" si="13"/>
        <v>2380</v>
      </c>
      <c r="AL31" s="192">
        <f>SUM(AJ31)</f>
        <v>238</v>
      </c>
      <c r="AM31" s="192">
        <f t="shared" si="14"/>
        <v>2380</v>
      </c>
      <c r="AN31" s="34">
        <f>SUM(AO31/19600)</f>
        <v>0.85</v>
      </c>
      <c r="AO31" s="35">
        <f>SUM(AA31+AC31+AE31+AG31+AI31+AK31+AM31)</f>
        <v>16660</v>
      </c>
      <c r="AQ31" s="208">
        <f t="shared" si="40"/>
        <v>0.76726345994372103</v>
      </c>
      <c r="AR31" s="37">
        <f t="shared" si="41"/>
        <v>71332.483870967742</v>
      </c>
      <c r="AS31" s="186">
        <f t="shared" si="48"/>
        <v>-968.37096774192469</v>
      </c>
      <c r="AT31" s="303"/>
      <c r="AU31" s="475"/>
      <c r="AV31" s="432">
        <f t="shared" si="47"/>
        <v>0.88</v>
      </c>
      <c r="AW31" s="251">
        <f>-SUM('B5'!AI30)</f>
        <v>-175</v>
      </c>
      <c r="AX31" s="251">
        <f t="shared" si="16"/>
        <v>-793.37096774192469</v>
      </c>
      <c r="AY31" s="36">
        <f t="shared" si="37"/>
        <v>-968.37096774192469</v>
      </c>
      <c r="AZ31" s="96">
        <f>ELEC!A29</f>
        <v>0</v>
      </c>
      <c r="BA31" s="114">
        <f>'General information '!D30</f>
        <v>13.5</v>
      </c>
      <c r="BB31" s="193">
        <f>SUM('General information '!E30)</f>
        <v>0.52</v>
      </c>
      <c r="BC31" s="3">
        <f t="shared" si="44"/>
        <v>0</v>
      </c>
      <c r="BD31" s="98">
        <v>19222</v>
      </c>
      <c r="BE31" s="14">
        <f>(305/1185)*ELEC!Q30</f>
        <v>591.46835443102395</v>
      </c>
      <c r="BF31" s="14"/>
      <c r="BG31" s="14" t="e">
        <f>#REF!-BE31</f>
        <v>#REF!</v>
      </c>
      <c r="BH31" s="11"/>
      <c r="BI31">
        <v>18</v>
      </c>
      <c r="BJ31">
        <f t="shared" si="46"/>
        <v>-44.076164874551374</v>
      </c>
      <c r="BK31" s="469">
        <f>GEN!AF28</f>
        <v>0.10111111111099388</v>
      </c>
    </row>
    <row r="32" spans="1:64">
      <c r="A32" s="379">
        <f>ELEC!C30</f>
        <v>44922</v>
      </c>
      <c r="B32" s="440">
        <f>'B5'!B31</f>
        <v>228</v>
      </c>
      <c r="C32" s="192">
        <f t="shared" si="17"/>
        <v>4905.677419354839</v>
      </c>
      <c r="D32">
        <f>SUM(B32)</f>
        <v>228</v>
      </c>
      <c r="E32" s="192">
        <f t="shared" si="17"/>
        <v>4905.677419354839</v>
      </c>
      <c r="F32">
        <f>SUM(D32)</f>
        <v>228</v>
      </c>
      <c r="G32" s="192">
        <f t="shared" si="1"/>
        <v>4905.677419354839</v>
      </c>
      <c r="H32" s="192">
        <f>SUM(F32)</f>
        <v>228</v>
      </c>
      <c r="I32" s="192">
        <f t="shared" si="2"/>
        <v>4905.677419354839</v>
      </c>
      <c r="J32" s="192">
        <f>SUM(H32)</f>
        <v>228</v>
      </c>
      <c r="K32" s="192">
        <f t="shared" si="3"/>
        <v>4905.677419354839</v>
      </c>
      <c r="L32" s="192">
        <f>SUM(J32)</f>
        <v>228</v>
      </c>
      <c r="M32" s="192">
        <f t="shared" si="4"/>
        <v>4905.677419354839</v>
      </c>
      <c r="N32" s="192">
        <f>SUM(L32)</f>
        <v>228</v>
      </c>
      <c r="O32" s="192">
        <f t="shared" si="5"/>
        <v>4905.677419354839</v>
      </c>
      <c r="P32" s="192">
        <f>SUM(N32)</f>
        <v>228</v>
      </c>
      <c r="Q32" s="192">
        <f t="shared" si="6"/>
        <v>4905.677419354839</v>
      </c>
      <c r="R32" s="192">
        <f>SUM(P32)</f>
        <v>228</v>
      </c>
      <c r="S32" s="192">
        <f t="shared" si="7"/>
        <v>4905.677419354839</v>
      </c>
      <c r="T32" s="192">
        <f>SUM(R32)</f>
        <v>228</v>
      </c>
      <c r="U32" s="192">
        <f t="shared" si="8"/>
        <v>4905.677419354839</v>
      </c>
      <c r="V32" s="192">
        <f>SUM(T32)</f>
        <v>228</v>
      </c>
      <c r="W32" s="192">
        <f t="shared" si="9"/>
        <v>4905.677419354839</v>
      </c>
      <c r="X32" s="34">
        <f>SUM(Y32/73370)</f>
        <v>0.73548387096774215</v>
      </c>
      <c r="Y32" s="35">
        <f>SUM(C32+E32+G32+I32+K32+M32+O32+Q32+S32+U32+W32)</f>
        <v>53962.451612903242</v>
      </c>
      <c r="Z32" s="440">
        <f>'B5'!C31</f>
        <v>235</v>
      </c>
      <c r="AA32" s="192">
        <f t="shared" si="30"/>
        <v>2350</v>
      </c>
      <c r="AB32" s="192">
        <f>SUM(Z32)</f>
        <v>235</v>
      </c>
      <c r="AC32" s="192">
        <f t="shared" si="30"/>
        <v>2350</v>
      </c>
      <c r="AD32" s="192">
        <f>SUM(AB32)</f>
        <v>235</v>
      </c>
      <c r="AE32" s="192">
        <f t="shared" si="10"/>
        <v>2350</v>
      </c>
      <c r="AF32" s="192">
        <f>SUM(AD32)</f>
        <v>235</v>
      </c>
      <c r="AG32" s="192">
        <f t="shared" si="11"/>
        <v>2350</v>
      </c>
      <c r="AH32" s="192">
        <f>SUM(AF32)</f>
        <v>235</v>
      </c>
      <c r="AI32" s="192">
        <f t="shared" si="12"/>
        <v>2350</v>
      </c>
      <c r="AJ32" s="192">
        <f>SUM(AH32)</f>
        <v>235</v>
      </c>
      <c r="AK32" s="192">
        <f t="shared" si="13"/>
        <v>2350</v>
      </c>
      <c r="AL32" s="192">
        <f>SUM(AJ32)</f>
        <v>235</v>
      </c>
      <c r="AM32" s="192">
        <f t="shared" si="14"/>
        <v>2350</v>
      </c>
      <c r="AN32" s="34">
        <f>SUM(AO32/19600)</f>
        <v>0.8392857142857143</v>
      </c>
      <c r="AO32" s="35">
        <f>SUM(AA32+AC32+AE32+AG32+AI32+AK32+AM32)</f>
        <v>16450</v>
      </c>
      <c r="AQ32" s="208">
        <f t="shared" si="40"/>
        <v>0.75736744770251951</v>
      </c>
      <c r="AR32" s="37">
        <f t="shared" si="41"/>
        <v>70412.451612903242</v>
      </c>
      <c r="AS32" s="186">
        <f t="shared" si="48"/>
        <v>-920.03225806450064</v>
      </c>
      <c r="AT32" s="303"/>
      <c r="AU32" s="475"/>
      <c r="AV32" s="432">
        <f t="shared" si="47"/>
        <v>0.88</v>
      </c>
      <c r="AW32" s="251">
        <f>-SUM('B5'!AI31)</f>
        <v>-177</v>
      </c>
      <c r="AX32" s="251">
        <f t="shared" si="16"/>
        <v>-743.03225806450064</v>
      </c>
      <c r="AY32" s="36">
        <f t="shared" si="37"/>
        <v>-920.03225806450064</v>
      </c>
      <c r="AZ32" s="96">
        <f>ELEC!A30</f>
        <v>0</v>
      </c>
      <c r="BA32" s="114">
        <f>'General information '!D31</f>
        <v>65</v>
      </c>
      <c r="BB32" s="193">
        <f>SUM('General information '!E31)</f>
        <v>0.65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-39.106960950763188</v>
      </c>
      <c r="BK32" s="469">
        <f>GEN!AF29</f>
        <v>0.13056818181832403</v>
      </c>
    </row>
    <row r="33" spans="1:63">
      <c r="A33" s="379">
        <f>ELEC!C31</f>
        <v>44923</v>
      </c>
      <c r="B33" s="440">
        <f>'B5'!B32</f>
        <v>228</v>
      </c>
      <c r="C33" s="192">
        <f t="shared" si="17"/>
        <v>4905.677419354839</v>
      </c>
      <c r="D33">
        <f>SUM(B33)</f>
        <v>228</v>
      </c>
      <c r="E33" s="192">
        <f t="shared" si="17"/>
        <v>4905.677419354839</v>
      </c>
      <c r="F33">
        <f>SUM(D33)</f>
        <v>228</v>
      </c>
      <c r="G33" s="192">
        <f t="shared" si="1"/>
        <v>4905.677419354839</v>
      </c>
      <c r="H33" s="192">
        <f>SUM(F33)</f>
        <v>228</v>
      </c>
      <c r="I33" s="192">
        <f t="shared" si="2"/>
        <v>4905.677419354839</v>
      </c>
      <c r="J33" s="192">
        <f>SUM(H33)</f>
        <v>228</v>
      </c>
      <c r="K33" s="192">
        <f t="shared" si="3"/>
        <v>4905.677419354839</v>
      </c>
      <c r="L33" s="192">
        <f>SUM(J33)</f>
        <v>228</v>
      </c>
      <c r="M33" s="192">
        <f t="shared" si="4"/>
        <v>4905.677419354839</v>
      </c>
      <c r="N33" s="192">
        <f>SUM(L33)</f>
        <v>228</v>
      </c>
      <c r="O33" s="192">
        <f t="shared" si="5"/>
        <v>4905.677419354839</v>
      </c>
      <c r="P33" s="192">
        <f>SUM(N33)</f>
        <v>228</v>
      </c>
      <c r="Q33" s="192">
        <f t="shared" si="6"/>
        <v>4905.677419354839</v>
      </c>
      <c r="R33" s="192">
        <f>SUM(P33)</f>
        <v>228</v>
      </c>
      <c r="S33" s="192">
        <f t="shared" si="7"/>
        <v>4905.677419354839</v>
      </c>
      <c r="T33" s="192">
        <f>SUM(R33)</f>
        <v>228</v>
      </c>
      <c r="U33" s="192">
        <f t="shared" si="8"/>
        <v>4905.677419354839</v>
      </c>
      <c r="V33" s="192">
        <f>SUM(T33)</f>
        <v>228</v>
      </c>
      <c r="W33" s="192">
        <f t="shared" si="9"/>
        <v>4905.677419354839</v>
      </c>
      <c r="X33" s="34">
        <f>SUM(Y33/73370)</f>
        <v>0.73548387096774215</v>
      </c>
      <c r="Y33" s="35">
        <f>SUM(C33+E33+G33+I33+K33+M33+O33+Q33+S33+U33+W33)</f>
        <v>53962.451612903242</v>
      </c>
      <c r="Z33" s="440">
        <f>'B5'!C32</f>
        <v>235</v>
      </c>
      <c r="AA33" s="192">
        <f t="shared" si="30"/>
        <v>2350</v>
      </c>
      <c r="AB33" s="192">
        <f>SUM(Z33)</f>
        <v>235</v>
      </c>
      <c r="AC33" s="192">
        <f t="shared" si="30"/>
        <v>2350</v>
      </c>
      <c r="AD33" s="192">
        <f>SUM(AB33)</f>
        <v>235</v>
      </c>
      <c r="AE33" s="192">
        <f t="shared" si="10"/>
        <v>2350</v>
      </c>
      <c r="AF33" s="192">
        <f>SUM(AD33)</f>
        <v>235</v>
      </c>
      <c r="AG33" s="192">
        <f t="shared" si="11"/>
        <v>2350</v>
      </c>
      <c r="AH33" s="192">
        <f>SUM(AF33)</f>
        <v>235</v>
      </c>
      <c r="AI33" s="192">
        <f t="shared" si="12"/>
        <v>2350</v>
      </c>
      <c r="AJ33" s="192">
        <f>SUM(AH33)</f>
        <v>235</v>
      </c>
      <c r="AK33" s="192">
        <f t="shared" si="13"/>
        <v>2350</v>
      </c>
      <c r="AL33" s="192">
        <f>SUM(AJ33)</f>
        <v>235</v>
      </c>
      <c r="AM33" s="192">
        <f t="shared" si="14"/>
        <v>2350</v>
      </c>
      <c r="AN33" s="34">
        <f>SUM(AO33/19600)</f>
        <v>0.8392857142857143</v>
      </c>
      <c r="AO33" s="35">
        <f>SUM(AA33+AC33+AE33+AG33+AI33+AK33+AM33)</f>
        <v>16450</v>
      </c>
      <c r="AQ33" s="208">
        <f t="shared" si="40"/>
        <v>0.75736744770251951</v>
      </c>
      <c r="AR33" s="37">
        <f t="shared" si="41"/>
        <v>70412.451612903242</v>
      </c>
      <c r="AS33" s="186">
        <f>SUM(AR33-AR32-AT33)</f>
        <v>0</v>
      </c>
      <c r="AT33" s="303"/>
      <c r="AU33" s="475"/>
      <c r="AV33" s="432">
        <f t="shared" si="47"/>
        <v>0.88</v>
      </c>
      <c r="AW33" s="251">
        <f>-SUM('B5'!AI32)</f>
        <v>0</v>
      </c>
      <c r="AX33" s="251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228</v>
      </c>
      <c r="C34" s="192">
        <f t="shared" ref="C34:C36" si="49">B34*$B$4</f>
        <v>4905.677419354839</v>
      </c>
      <c r="D34">
        <f t="shared" ref="D34:D36" si="50">SUM(B34)</f>
        <v>228</v>
      </c>
      <c r="E34" s="192">
        <f t="shared" ref="E34:E36" si="51">D34*$B$4</f>
        <v>4905.677419354839</v>
      </c>
      <c r="F34">
        <f t="shared" ref="F34:F36" si="52">SUM(D34)</f>
        <v>228</v>
      </c>
      <c r="G34" s="192">
        <f t="shared" ref="G34:G36" si="53">F34*$B$4</f>
        <v>4905.677419354839</v>
      </c>
      <c r="H34" s="192">
        <f t="shared" ref="H34:H36" si="54">SUM(F34)</f>
        <v>228</v>
      </c>
      <c r="I34" s="192">
        <f t="shared" ref="I34:I36" si="55">H34*$B$4</f>
        <v>4905.677419354839</v>
      </c>
      <c r="J34" s="192">
        <f t="shared" ref="J34:J36" si="56">SUM(H34)</f>
        <v>228</v>
      </c>
      <c r="K34" s="192">
        <f t="shared" ref="K34:K36" si="57">J34*$B$4</f>
        <v>4905.677419354839</v>
      </c>
      <c r="L34" s="192">
        <f t="shared" ref="L34:L36" si="58">SUM(J34)</f>
        <v>228</v>
      </c>
      <c r="M34" s="192">
        <f t="shared" ref="M34:M36" si="59">L34*$B$4</f>
        <v>4905.677419354839</v>
      </c>
      <c r="N34" s="192">
        <f t="shared" ref="N34:N36" si="60">SUM(L34)</f>
        <v>228</v>
      </c>
      <c r="O34" s="192">
        <f t="shared" ref="O34:O36" si="61">N34*$B$4</f>
        <v>4905.677419354839</v>
      </c>
      <c r="P34" s="192">
        <f t="shared" ref="P34:P36" si="62">SUM(N34)</f>
        <v>228</v>
      </c>
      <c r="Q34" s="192">
        <f t="shared" ref="Q34:Q36" si="63">P34*$B$4</f>
        <v>4905.677419354839</v>
      </c>
      <c r="R34" s="192">
        <f t="shared" ref="R34:R36" si="64">SUM(P34)</f>
        <v>228</v>
      </c>
      <c r="S34" s="192">
        <f t="shared" ref="S34:S36" si="65">R34*$B$4</f>
        <v>4905.677419354839</v>
      </c>
      <c r="T34" s="192">
        <f t="shared" ref="T34:T36" si="66">SUM(R34)</f>
        <v>228</v>
      </c>
      <c r="U34" s="192">
        <f t="shared" ref="U34:U36" si="67">T34*$B$4</f>
        <v>4905.677419354839</v>
      </c>
      <c r="V34" s="192">
        <f t="shared" ref="V34:V36" si="68">SUM(T34)</f>
        <v>228</v>
      </c>
      <c r="W34" s="192">
        <f t="shared" ref="W34:W36" si="69">V34*$B$4</f>
        <v>4905.677419354839</v>
      </c>
      <c r="X34" s="34">
        <f t="shared" ref="X34:X36" si="70">SUM(Y34/73370)</f>
        <v>0.73548387096774215</v>
      </c>
      <c r="Y34" s="35">
        <f t="shared" ref="Y34:Y36" si="71">SUM(C34+E34+G34+I34+K34+M34+O34+Q34+S34+U34+W34)</f>
        <v>53962.451612903242</v>
      </c>
      <c r="Z34" s="440">
        <f>'B5'!C33</f>
        <v>235</v>
      </c>
      <c r="AA34" s="192">
        <f t="shared" ref="AA34:AA36" si="72">SUM(Z34*$Z$4)</f>
        <v>2350</v>
      </c>
      <c r="AB34" s="192">
        <f t="shared" ref="AB34:AB36" si="73">SUM(Z34)</f>
        <v>235</v>
      </c>
      <c r="AC34" s="192">
        <f t="shared" ref="AC34:AC36" si="74">SUM(AB34*$Z$4)</f>
        <v>2350</v>
      </c>
      <c r="AD34" s="192">
        <f t="shared" ref="AD34:AD36" si="75">SUM(AB34)</f>
        <v>235</v>
      </c>
      <c r="AE34" s="192">
        <f t="shared" ref="AE34:AE36" si="76">SUM(AD34*$Z$4)</f>
        <v>2350</v>
      </c>
      <c r="AF34" s="192">
        <f t="shared" ref="AF34:AF36" si="77">SUM(AD34)</f>
        <v>235</v>
      </c>
      <c r="AG34" s="192">
        <f t="shared" ref="AG34:AG36" si="78">SUM(AF34*$Z$4)</f>
        <v>2350</v>
      </c>
      <c r="AH34" s="192">
        <f t="shared" ref="AH34:AH36" si="79">SUM(AF34)</f>
        <v>235</v>
      </c>
      <c r="AI34" s="192">
        <f t="shared" ref="AI34:AI36" si="80">SUM(AH34*$Z$4)</f>
        <v>2350</v>
      </c>
      <c r="AJ34" s="192">
        <f t="shared" ref="AJ34:AJ36" si="81">SUM(AH34)</f>
        <v>235</v>
      </c>
      <c r="AK34" s="192">
        <f t="shared" ref="AK34:AK36" si="82">SUM(AJ34*$Z$4)</f>
        <v>2350</v>
      </c>
      <c r="AL34" s="192">
        <f t="shared" ref="AL34:AL36" si="83">SUM(AJ34)</f>
        <v>235</v>
      </c>
      <c r="AM34" s="192">
        <f t="shared" ref="AM34:AM36" si="84">SUM(AL34*$Z$4)</f>
        <v>2350</v>
      </c>
      <c r="AN34" s="34">
        <f t="shared" ref="AN34:AN36" si="85">SUM(AO34/19600)</f>
        <v>0.8392857142857143</v>
      </c>
      <c r="AO34" s="35">
        <f t="shared" ref="AO34:AO36" si="86">SUM(AA34+AC34+AE34+AG34+AI34+AK34+AM34)</f>
        <v>16450</v>
      </c>
      <c r="AQ34" s="208">
        <f t="shared" ref="AQ34:AQ36" si="87">SUM(AR34/92970)</f>
        <v>0.75736744770251951</v>
      </c>
      <c r="AR34" s="37">
        <f t="shared" si="41"/>
        <v>70412.451612903242</v>
      </c>
      <c r="AS34" s="186">
        <f t="shared" ref="AS34:AS36" si="88">SUM(AR34-AR33-AT34)</f>
        <v>0</v>
      </c>
      <c r="AT34" s="303"/>
      <c r="AU34" s="475"/>
      <c r="AV34" s="432">
        <f t="shared" si="47"/>
        <v>0.88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228</v>
      </c>
      <c r="C35" s="192">
        <f t="shared" si="49"/>
        <v>4905.677419354839</v>
      </c>
      <c r="D35">
        <f t="shared" si="50"/>
        <v>228</v>
      </c>
      <c r="E35" s="192">
        <f t="shared" si="51"/>
        <v>4905.677419354839</v>
      </c>
      <c r="F35">
        <f t="shared" si="52"/>
        <v>228</v>
      </c>
      <c r="G35" s="192">
        <f t="shared" si="53"/>
        <v>4905.677419354839</v>
      </c>
      <c r="H35" s="192">
        <f t="shared" si="54"/>
        <v>228</v>
      </c>
      <c r="I35" s="192">
        <f t="shared" si="55"/>
        <v>4905.677419354839</v>
      </c>
      <c r="J35" s="192">
        <f t="shared" si="56"/>
        <v>228</v>
      </c>
      <c r="K35" s="192">
        <f t="shared" si="57"/>
        <v>4905.677419354839</v>
      </c>
      <c r="L35" s="192">
        <f t="shared" si="58"/>
        <v>228</v>
      </c>
      <c r="M35" s="192">
        <f t="shared" si="59"/>
        <v>4905.677419354839</v>
      </c>
      <c r="N35" s="192">
        <f t="shared" si="60"/>
        <v>228</v>
      </c>
      <c r="O35" s="192">
        <f t="shared" si="61"/>
        <v>4905.677419354839</v>
      </c>
      <c r="P35" s="192">
        <f t="shared" si="62"/>
        <v>228</v>
      </c>
      <c r="Q35" s="192">
        <f t="shared" si="63"/>
        <v>4905.677419354839</v>
      </c>
      <c r="R35" s="192">
        <f t="shared" si="64"/>
        <v>228</v>
      </c>
      <c r="S35" s="192">
        <f t="shared" si="65"/>
        <v>4905.677419354839</v>
      </c>
      <c r="T35" s="192">
        <f t="shared" si="66"/>
        <v>228</v>
      </c>
      <c r="U35" s="192">
        <f t="shared" si="67"/>
        <v>4905.677419354839</v>
      </c>
      <c r="V35" s="192">
        <f t="shared" si="68"/>
        <v>228</v>
      </c>
      <c r="W35" s="192">
        <f t="shared" si="69"/>
        <v>4905.677419354839</v>
      </c>
      <c r="X35" s="34">
        <f t="shared" si="70"/>
        <v>0.73548387096774215</v>
      </c>
      <c r="Y35" s="35">
        <f t="shared" si="71"/>
        <v>53962.451612903242</v>
      </c>
      <c r="Z35" s="440">
        <f>'B5'!C34</f>
        <v>235</v>
      </c>
      <c r="AA35" s="192">
        <f t="shared" si="72"/>
        <v>2350</v>
      </c>
      <c r="AB35" s="192">
        <f t="shared" si="73"/>
        <v>235</v>
      </c>
      <c r="AC35" s="192">
        <f t="shared" si="74"/>
        <v>2350</v>
      </c>
      <c r="AD35" s="192">
        <f t="shared" si="75"/>
        <v>235</v>
      </c>
      <c r="AE35" s="192">
        <f t="shared" si="76"/>
        <v>2350</v>
      </c>
      <c r="AF35" s="192">
        <f t="shared" si="77"/>
        <v>235</v>
      </c>
      <c r="AG35" s="192">
        <f t="shared" si="78"/>
        <v>2350</v>
      </c>
      <c r="AH35" s="192">
        <f t="shared" si="79"/>
        <v>235</v>
      </c>
      <c r="AI35" s="192">
        <f t="shared" si="80"/>
        <v>2350</v>
      </c>
      <c r="AJ35" s="192">
        <f t="shared" si="81"/>
        <v>235</v>
      </c>
      <c r="AK35" s="192">
        <f t="shared" si="82"/>
        <v>2350</v>
      </c>
      <c r="AL35" s="192">
        <f t="shared" si="83"/>
        <v>235</v>
      </c>
      <c r="AM35" s="192">
        <f t="shared" si="84"/>
        <v>2350</v>
      </c>
      <c r="AN35" s="34">
        <f t="shared" si="85"/>
        <v>0.8392857142857143</v>
      </c>
      <c r="AO35" s="35">
        <f t="shared" si="86"/>
        <v>16450</v>
      </c>
      <c r="AQ35" s="208">
        <f t="shared" si="87"/>
        <v>0.75736744770251951</v>
      </c>
      <c r="AR35" s="37">
        <f t="shared" si="41"/>
        <v>70412.451612903242</v>
      </c>
      <c r="AS35" s="186">
        <f t="shared" si="88"/>
        <v>0</v>
      </c>
      <c r="AT35" s="303"/>
      <c r="AU35" s="475"/>
      <c r="AV35" s="432">
        <f t="shared" si="47"/>
        <v>0.88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228</v>
      </c>
      <c r="C36" s="192">
        <f t="shared" si="49"/>
        <v>4905.677419354839</v>
      </c>
      <c r="D36">
        <f t="shared" si="50"/>
        <v>228</v>
      </c>
      <c r="E36" s="192">
        <f t="shared" si="51"/>
        <v>4905.677419354839</v>
      </c>
      <c r="F36">
        <f t="shared" si="52"/>
        <v>228</v>
      </c>
      <c r="G36" s="192">
        <f t="shared" si="53"/>
        <v>4905.677419354839</v>
      </c>
      <c r="H36" s="192">
        <f t="shared" si="54"/>
        <v>228</v>
      </c>
      <c r="I36" s="192">
        <f t="shared" si="55"/>
        <v>4905.677419354839</v>
      </c>
      <c r="J36" s="192">
        <f t="shared" si="56"/>
        <v>228</v>
      </c>
      <c r="K36" s="192">
        <f t="shared" si="57"/>
        <v>4905.677419354839</v>
      </c>
      <c r="L36" s="192">
        <f t="shared" si="58"/>
        <v>228</v>
      </c>
      <c r="M36" s="192">
        <f t="shared" si="59"/>
        <v>4905.677419354839</v>
      </c>
      <c r="N36" s="192">
        <f t="shared" si="60"/>
        <v>228</v>
      </c>
      <c r="O36" s="192">
        <f t="shared" si="61"/>
        <v>4905.677419354839</v>
      </c>
      <c r="P36" s="192">
        <f t="shared" si="62"/>
        <v>228</v>
      </c>
      <c r="Q36" s="192">
        <f t="shared" si="63"/>
        <v>4905.677419354839</v>
      </c>
      <c r="R36" s="192">
        <f t="shared" si="64"/>
        <v>228</v>
      </c>
      <c r="S36" s="192">
        <f t="shared" si="65"/>
        <v>4905.677419354839</v>
      </c>
      <c r="T36" s="192">
        <f t="shared" si="66"/>
        <v>228</v>
      </c>
      <c r="U36" s="192">
        <f t="shared" si="67"/>
        <v>4905.677419354839</v>
      </c>
      <c r="V36" s="192">
        <f t="shared" si="68"/>
        <v>228</v>
      </c>
      <c r="W36" s="192">
        <f t="shared" si="69"/>
        <v>4905.677419354839</v>
      </c>
      <c r="X36" s="34">
        <f t="shared" si="70"/>
        <v>0.73548387096774215</v>
      </c>
      <c r="Y36" s="35">
        <f t="shared" si="71"/>
        <v>53962.451612903242</v>
      </c>
      <c r="Z36" s="440">
        <f>'B5'!C35</f>
        <v>235</v>
      </c>
      <c r="AA36" s="192">
        <f t="shared" si="72"/>
        <v>2350</v>
      </c>
      <c r="AB36" s="192">
        <f t="shared" si="73"/>
        <v>235</v>
      </c>
      <c r="AC36" s="192">
        <f t="shared" si="74"/>
        <v>2350</v>
      </c>
      <c r="AD36" s="192">
        <f t="shared" si="75"/>
        <v>235</v>
      </c>
      <c r="AE36" s="192">
        <f t="shared" si="76"/>
        <v>2350</v>
      </c>
      <c r="AF36" s="192">
        <f t="shared" si="77"/>
        <v>235</v>
      </c>
      <c r="AG36" s="192">
        <f t="shared" si="78"/>
        <v>2350</v>
      </c>
      <c r="AH36" s="192">
        <f t="shared" si="79"/>
        <v>235</v>
      </c>
      <c r="AI36" s="192">
        <f t="shared" si="80"/>
        <v>2350</v>
      </c>
      <c r="AJ36" s="192">
        <f t="shared" si="81"/>
        <v>235</v>
      </c>
      <c r="AK36" s="192">
        <f t="shared" si="82"/>
        <v>2350</v>
      </c>
      <c r="AL36" s="192">
        <f t="shared" si="83"/>
        <v>235</v>
      </c>
      <c r="AM36" s="192">
        <f t="shared" si="84"/>
        <v>2350</v>
      </c>
      <c r="AN36" s="34">
        <f t="shared" si="85"/>
        <v>0.8392857142857143</v>
      </c>
      <c r="AO36" s="35">
        <f t="shared" si="86"/>
        <v>16450</v>
      </c>
      <c r="AQ36" s="208">
        <f t="shared" si="87"/>
        <v>0.75736744770251951</v>
      </c>
      <c r="AR36" s="37">
        <f t="shared" si="41"/>
        <v>70412.451612903242</v>
      </c>
      <c r="AS36" s="186">
        <f t="shared" si="88"/>
        <v>0</v>
      </c>
      <c r="AT36" s="303"/>
      <c r="AU36" s="475"/>
      <c r="AV36" s="432">
        <f t="shared" si="47"/>
        <v>0.88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41</v>
      </c>
      <c r="AS37" s="414">
        <f>COUNT(AT6:AT36)</f>
        <v>2</v>
      </c>
      <c r="AT37" s="192">
        <f>SUM(AT6:AT36)</f>
        <v>12560</v>
      </c>
      <c r="AU37">
        <f>SUM(AU6:AU36)/AS37</f>
        <v>0.84000000000000008</v>
      </c>
      <c r="AX37" s="192">
        <f>SUM(AX6:AX36)</f>
        <v>-13916.161290322576</v>
      </c>
      <c r="AY37" s="192">
        <f>SUM(AY6:AY36)</f>
        <v>-17160.161290322576</v>
      </c>
    </row>
    <row r="38" spans="1:63">
      <c r="AT38" s="79">
        <f>+AT37*AU37</f>
        <v>10550.400000000001</v>
      </c>
    </row>
    <row r="40" spans="1:63">
      <c r="AS40" s="1">
        <f>SUM(AS6:AS36)/'EDl log'!A35</f>
        <v>-4290.040322580644</v>
      </c>
      <c r="AT40" s="192"/>
    </row>
    <row r="41" spans="1:63">
      <c r="AX41">
        <v>43309</v>
      </c>
    </row>
    <row r="42" spans="1:63">
      <c r="AR42" s="192">
        <f>AR36-22000</f>
        <v>48412.451612903242</v>
      </c>
      <c r="AU42" s="192"/>
      <c r="AX42">
        <f>AX37/AX41</f>
        <v>-0.32132261863175265</v>
      </c>
    </row>
    <row r="43" spans="1:63">
      <c r="AR43">
        <f>AR42/5500</f>
        <v>8.8022639296187712</v>
      </c>
    </row>
    <row r="44" spans="1:63">
      <c r="AR44">
        <f>AR43*2</f>
        <v>17.604527859237542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744</v>
      </c>
      <c r="F14" s="192">
        <f>ELEC!K16</f>
        <v>637</v>
      </c>
      <c r="G14" s="192">
        <f>ELEC!I16</f>
        <v>418</v>
      </c>
      <c r="H14" s="192">
        <f>ELEC!E16</f>
        <v>770</v>
      </c>
      <c r="I14" s="192">
        <f>ELEC!G16</f>
        <v>278</v>
      </c>
      <c r="J14" s="192">
        <f>WATER!Y18</f>
        <v>0</v>
      </c>
      <c r="K14" s="192">
        <f>WATER!AJ18</f>
        <v>120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444</v>
      </c>
      <c r="F15" s="192">
        <f>ELEC!K17</f>
        <v>309</v>
      </c>
      <c r="G15" s="192">
        <f>ELEC!I17</f>
        <v>362</v>
      </c>
      <c r="H15" s="192">
        <f>ELEC!E17</f>
        <v>530</v>
      </c>
      <c r="I15" s="192">
        <f>ELEC!G17</f>
        <v>234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690</v>
      </c>
      <c r="F16" s="192">
        <f>ELEC!K18</f>
        <v>618</v>
      </c>
      <c r="G16" s="192">
        <f>ELEC!I18</f>
        <v>412</v>
      </c>
      <c r="H16" s="192">
        <f>ELEC!E18</f>
        <v>640</v>
      </c>
      <c r="I16" s="192">
        <f>ELEC!G18</f>
        <v>273</v>
      </c>
      <c r="J16" s="192">
        <f>WATER!Y20</f>
        <v>134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694</v>
      </c>
      <c r="F19" s="192">
        <f>ELEC!K21</f>
        <v>668</v>
      </c>
      <c r="G19" s="192">
        <f>ELEC!I21</f>
        <v>414</v>
      </c>
      <c r="H19" s="192">
        <f>ELEC!E21</f>
        <v>600</v>
      </c>
      <c r="I19" s="192">
        <f>ELEC!G21</f>
        <v>267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648</v>
      </c>
      <c r="F20" s="192">
        <f>ELEC!K22</f>
        <v>784</v>
      </c>
      <c r="G20" s="192">
        <f>ELEC!I22</f>
        <v>426</v>
      </c>
      <c r="H20" s="192">
        <f>ELEC!E22</f>
        <v>520</v>
      </c>
      <c r="I20" s="192">
        <f>ELEC!G22</f>
        <v>293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716</v>
      </c>
      <c r="F21" s="192">
        <f>ELEC!K23</f>
        <v>990</v>
      </c>
      <c r="G21" s="192">
        <f>ELEC!I23</f>
        <v>460</v>
      </c>
      <c r="H21" s="192">
        <f>ELEC!E23</f>
        <v>610</v>
      </c>
      <c r="I21" s="192">
        <f>ELEC!G23</f>
        <v>269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532</v>
      </c>
      <c r="F22" s="192">
        <f>ELEC!K24</f>
        <v>594</v>
      </c>
      <c r="G22" s="192">
        <f>ELEC!I24</f>
        <v>324</v>
      </c>
      <c r="H22" s="192">
        <f>ELEC!E24</f>
        <v>420</v>
      </c>
      <c r="I22" s="192">
        <f>ELEC!G24</f>
        <v>223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604</v>
      </c>
      <c r="F23" s="192">
        <f>ELEC!K25</f>
        <v>580</v>
      </c>
      <c r="G23" s="192">
        <f>ELEC!I25</f>
        <v>420</v>
      </c>
      <c r="H23" s="192">
        <f>ELEC!E25</f>
        <v>460</v>
      </c>
      <c r="I23" s="192">
        <f>ELEC!G25</f>
        <v>231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102</v>
      </c>
      <c r="F24" s="192">
        <f>ELEC!K26</f>
        <v>104</v>
      </c>
      <c r="G24" s="192">
        <f>ELEC!I26</f>
        <v>66</v>
      </c>
      <c r="H24" s="192">
        <f>ELEC!E26</f>
        <v>80</v>
      </c>
      <c r="I24" s="192">
        <f>ELEC!G26</f>
        <v>38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374</v>
      </c>
      <c r="F27" s="192">
        <f>ELEC!K29</f>
        <v>376</v>
      </c>
      <c r="G27" s="192">
        <f>ELEC!I29</f>
        <v>226</v>
      </c>
      <c r="H27" s="192">
        <f>ELEC!E29</f>
        <v>310</v>
      </c>
      <c r="I27" s="192">
        <f>ELEC!G29</f>
        <v>146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606</v>
      </c>
      <c r="F28" s="192">
        <f>ELEC!K30</f>
        <v>616</v>
      </c>
      <c r="G28" s="192">
        <f>ELEC!I30</f>
        <v>316</v>
      </c>
      <c r="H28" s="192">
        <f>ELEC!E30</f>
        <v>500</v>
      </c>
      <c r="I28" s="192">
        <f>ELEC!G30</f>
        <v>217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49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tabSelected="1" zoomScale="60" zoomScaleNormal="60" zoomScaleSheetLayoutView="100" workbookViewId="0">
      <pane ySplit="2" topLeftCell="A3" activePane="bottomLeft" state="frozen"/>
      <selection activeCell="C1" sqref="C1"/>
      <selection pane="bottomLeft" activeCell="W30" sqref="W30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50</v>
      </c>
      <c r="B2" s="384" t="s">
        <v>51</v>
      </c>
      <c r="C2" s="385"/>
      <c r="D2" s="386" t="s">
        <v>52</v>
      </c>
      <c r="E2" s="386" t="s">
        <v>53</v>
      </c>
      <c r="F2" s="386" t="s">
        <v>54</v>
      </c>
      <c r="G2" s="386" t="s">
        <v>55</v>
      </c>
      <c r="H2" s="386" t="s">
        <v>56</v>
      </c>
      <c r="I2" s="386" t="s">
        <v>57</v>
      </c>
      <c r="J2" s="386" t="s">
        <v>58</v>
      </c>
      <c r="K2" s="386" t="s">
        <v>59</v>
      </c>
      <c r="L2" s="386" t="s">
        <v>60</v>
      </c>
      <c r="M2" s="386" t="s">
        <v>61</v>
      </c>
      <c r="N2" s="387" t="s">
        <v>62</v>
      </c>
      <c r="O2" s="388" t="s">
        <v>63</v>
      </c>
      <c r="P2" s="389" t="s">
        <v>64</v>
      </c>
      <c r="Q2" s="387" t="s">
        <v>65</v>
      </c>
      <c r="R2" s="387" t="s">
        <v>66</v>
      </c>
      <c r="S2" s="387" t="s">
        <v>67</v>
      </c>
      <c r="T2" s="387" t="s">
        <v>68</v>
      </c>
      <c r="U2" s="387" t="s">
        <v>69</v>
      </c>
      <c r="V2" s="387" t="s">
        <v>70</v>
      </c>
      <c r="W2" s="387" t="s">
        <v>71</v>
      </c>
      <c r="X2" s="387" t="s">
        <v>68</v>
      </c>
      <c r="Y2" s="387" t="s">
        <v>72</v>
      </c>
      <c r="Z2" s="387" t="s">
        <v>73</v>
      </c>
      <c r="AA2" s="387" t="s">
        <v>74</v>
      </c>
      <c r="AB2" s="387" t="s">
        <v>68</v>
      </c>
      <c r="AC2" s="387" t="s">
        <v>75</v>
      </c>
      <c r="AD2" s="387" t="s">
        <v>76</v>
      </c>
      <c r="AE2" s="387" t="s">
        <v>77</v>
      </c>
      <c r="AF2" s="387" t="s">
        <v>78</v>
      </c>
      <c r="AG2" s="383" t="s">
        <v>79</v>
      </c>
    </row>
    <row r="3" spans="1:36">
      <c r="A3" s="390">
        <f>[2]ELEC!$A$34</f>
        <v>0</v>
      </c>
      <c r="B3" s="384">
        <f>[2]ELEC!$B$34</f>
        <v>0</v>
      </c>
      <c r="C3" s="391">
        <f>[1]ELEC!$C$33</f>
        <v>44895</v>
      </c>
      <c r="D3" s="380">
        <f>[1]ELEC!D33</f>
        <v>408650</v>
      </c>
      <c r="E3" s="380">
        <f>[1]ELEC!E33</f>
        <v>720</v>
      </c>
      <c r="F3" s="380">
        <f>[1]ELEC!F33</f>
        <v>4184058</v>
      </c>
      <c r="G3" s="380">
        <f>[1]ELEC!G33</f>
        <v>440</v>
      </c>
      <c r="H3" s="380">
        <f>[1]ELEC!H33</f>
        <v>18098788</v>
      </c>
      <c r="I3" s="380">
        <f>[1]ELEC!I33</f>
        <v>458</v>
      </c>
      <c r="J3" s="380">
        <f>[1]ELEC!J33</f>
        <v>29882776</v>
      </c>
      <c r="K3" s="380">
        <f>[1]ELEC!K33</f>
        <v>1214</v>
      </c>
      <c r="L3" s="380">
        <f>[1]ELEC!L33</f>
        <v>24703062</v>
      </c>
      <c r="M3" s="380">
        <f>[1]ELEC!M33</f>
        <v>740</v>
      </c>
      <c r="N3" s="380">
        <f>[1]ELEC!N33</f>
        <v>3572</v>
      </c>
      <c r="O3" s="380">
        <f>[1]ELEC!O33</f>
        <v>0</v>
      </c>
      <c r="P3" s="380">
        <f>[1]ELEC!P33</f>
        <v>19655.449000000001</v>
      </c>
      <c r="Q3" s="380">
        <f>[1]ELEC!Q33</f>
        <v>3586.9999999995343</v>
      </c>
      <c r="R3" s="380">
        <f>[1]ELEC!R33</f>
        <v>-14.999999999534339</v>
      </c>
      <c r="S3" s="380">
        <f>[1]ELEC!S33</f>
        <v>10175</v>
      </c>
      <c r="T3" s="380">
        <f>[1]ELEC!T33</f>
        <v>0</v>
      </c>
      <c r="U3" s="380">
        <f>[1]ELEC!U33</f>
        <v>429166</v>
      </c>
      <c r="V3" s="380">
        <f>[1]ELEC!V33</f>
        <v>0</v>
      </c>
      <c r="W3" s="380">
        <f>[1]ELEC!W33</f>
        <v>33498</v>
      </c>
      <c r="X3" s="380">
        <f>[1]ELEC!X33</f>
        <v>0</v>
      </c>
      <c r="Y3" s="380">
        <f>[1]ELEC!Y33</f>
        <v>999659</v>
      </c>
      <c r="Z3" s="380">
        <f>[1]ELEC!Z33</f>
        <v>0</v>
      </c>
      <c r="AA3" s="380">
        <f>[1]ELEC!AA33</f>
        <v>36803</v>
      </c>
      <c r="AB3" s="380">
        <f>[1]ELEC!AB33</f>
        <v>0</v>
      </c>
      <c r="AC3" s="380">
        <f>[1]ELEC!AC33</f>
        <v>1172182</v>
      </c>
      <c r="AD3" s="380">
        <f>[1]ELEC!AD33</f>
        <v>0</v>
      </c>
      <c r="AE3" s="380">
        <f>[1]ELEC!AE33</f>
        <v>0</v>
      </c>
      <c r="AF3" s="380">
        <f>[1]ELEC!AF33</f>
        <v>0</v>
      </c>
      <c r="AG3" s="380">
        <f>[1]ELEC!AG33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9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11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v>414070</v>
      </c>
      <c r="E16" s="497">
        <f t="shared" si="8"/>
        <v>770</v>
      </c>
      <c r="F16" s="380">
        <v>4186589</v>
      </c>
      <c r="G16" s="402">
        <f t="shared" si="32"/>
        <v>278</v>
      </c>
      <c r="H16" s="380">
        <v>18102500</v>
      </c>
      <c r="I16" s="402">
        <f t="shared" si="33"/>
        <v>418</v>
      </c>
      <c r="J16" s="380">
        <v>29889267</v>
      </c>
      <c r="K16" s="402">
        <f t="shared" si="34"/>
        <v>637</v>
      </c>
      <c r="L16" s="380">
        <v>24708986</v>
      </c>
      <c r="M16" s="402">
        <f t="shared" si="35"/>
        <v>744</v>
      </c>
      <c r="N16" s="266">
        <f t="shared" si="36"/>
        <v>2847</v>
      </c>
      <c r="O16" s="399">
        <f t="shared" si="38"/>
        <v>0</v>
      </c>
      <c r="P16" s="526">
        <v>19678.987000000001</v>
      </c>
      <c r="Q16" s="382">
        <f t="shared" si="1"/>
        <v>2281.9999999992433</v>
      </c>
      <c r="R16" s="382">
        <f t="shared" si="39"/>
        <v>565.0000000007567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v>414600</v>
      </c>
      <c r="E17" s="497">
        <f t="shared" si="8"/>
        <v>530</v>
      </c>
      <c r="F17" s="380">
        <v>4186823</v>
      </c>
      <c r="G17" s="402">
        <f t="shared" si="32"/>
        <v>234</v>
      </c>
      <c r="H17" s="380">
        <v>18102862</v>
      </c>
      <c r="I17" s="402">
        <f t="shared" si="33"/>
        <v>362</v>
      </c>
      <c r="J17" s="380">
        <v>29889576</v>
      </c>
      <c r="K17" s="402">
        <f t="shared" si="34"/>
        <v>309</v>
      </c>
      <c r="L17" s="380">
        <v>24709430</v>
      </c>
      <c r="M17" s="402">
        <f t="shared" si="35"/>
        <v>444</v>
      </c>
      <c r="N17" s="266">
        <f t="shared" si="36"/>
        <v>1879</v>
      </c>
      <c r="O17" s="399">
        <f t="shared" si="38"/>
        <v>0</v>
      </c>
      <c r="P17" s="526">
        <v>19681.169000000002</v>
      </c>
      <c r="Q17" s="382">
        <f t="shared" si="1"/>
        <v>2182.0000000006985</v>
      </c>
      <c r="R17" s="382">
        <f t="shared" si="39"/>
        <v>-303.00000000069849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v>415240</v>
      </c>
      <c r="E18" s="497">
        <f t="shared" si="8"/>
        <v>640</v>
      </c>
      <c r="F18" s="380">
        <v>4187096</v>
      </c>
      <c r="G18" s="402">
        <f t="shared" si="32"/>
        <v>273</v>
      </c>
      <c r="H18" s="380">
        <v>18103274</v>
      </c>
      <c r="I18" s="402">
        <f t="shared" si="33"/>
        <v>412</v>
      </c>
      <c r="J18" s="380">
        <v>29890194</v>
      </c>
      <c r="K18" s="402">
        <f t="shared" si="34"/>
        <v>618</v>
      </c>
      <c r="L18" s="380">
        <v>24710120</v>
      </c>
      <c r="M18" s="402">
        <f t="shared" si="35"/>
        <v>690</v>
      </c>
      <c r="N18" s="266">
        <f>M18+K18+I18+G18+E18</f>
        <v>2633</v>
      </c>
      <c r="O18" s="399">
        <f t="shared" si="38"/>
        <v>0</v>
      </c>
      <c r="P18" s="526">
        <v>19683.859</v>
      </c>
      <c r="Q18" s="382">
        <f t="shared" si="1"/>
        <v>2689.9999999986903</v>
      </c>
      <c r="R18" s="382">
        <f t="shared" si="39"/>
        <v>-56.999999998690328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415240</v>
      </c>
      <c r="E19" s="497">
        <f t="shared" si="8"/>
        <v>0</v>
      </c>
      <c r="F19" s="380">
        <f t="shared" si="9"/>
        <v>4187096</v>
      </c>
      <c r="G19" s="402">
        <f t="shared" si="32"/>
        <v>0</v>
      </c>
      <c r="H19" s="380">
        <f t="shared" si="10"/>
        <v>18103274</v>
      </c>
      <c r="I19" s="402">
        <f t="shared" si="33"/>
        <v>0</v>
      </c>
      <c r="J19" s="380">
        <f t="shared" si="11"/>
        <v>29890194</v>
      </c>
      <c r="K19" s="402">
        <f t="shared" si="34"/>
        <v>0</v>
      </c>
      <c r="L19" s="380">
        <f t="shared" si="12"/>
        <v>24710120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19683.859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415240</v>
      </c>
      <c r="E20" s="497">
        <f t="shared" si="8"/>
        <v>0</v>
      </c>
      <c r="F20" s="380">
        <f t="shared" si="9"/>
        <v>4187096</v>
      </c>
      <c r="G20" s="402">
        <f t="shared" si="32"/>
        <v>0</v>
      </c>
      <c r="H20" s="380">
        <f t="shared" si="10"/>
        <v>18103274</v>
      </c>
      <c r="I20" s="402">
        <f t="shared" si="33"/>
        <v>0</v>
      </c>
      <c r="J20" s="380">
        <f t="shared" si="11"/>
        <v>29890194</v>
      </c>
      <c r="K20" s="402">
        <f t="shared" si="34"/>
        <v>0</v>
      </c>
      <c r="L20" s="380">
        <f t="shared" si="12"/>
        <v>24710120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19683.859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v>415840</v>
      </c>
      <c r="E21" s="497">
        <f t="shared" si="8"/>
        <v>600</v>
      </c>
      <c r="F21" s="380">
        <v>4187363</v>
      </c>
      <c r="G21" s="402">
        <f t="shared" si="32"/>
        <v>267</v>
      </c>
      <c r="H21" s="380">
        <v>18103688</v>
      </c>
      <c r="I21" s="402">
        <f t="shared" si="33"/>
        <v>414</v>
      </c>
      <c r="J21" s="380">
        <v>29890862</v>
      </c>
      <c r="K21" s="402">
        <f t="shared" si="34"/>
        <v>668</v>
      </c>
      <c r="L21" s="380">
        <v>24710814</v>
      </c>
      <c r="M21" s="402">
        <f t="shared" si="35"/>
        <v>694</v>
      </c>
      <c r="N21" s="266">
        <f t="shared" si="36"/>
        <v>2643</v>
      </c>
      <c r="O21" s="399">
        <f t="shared" si="38"/>
        <v>0</v>
      </c>
      <c r="P21" s="526">
        <v>19686.353999999999</v>
      </c>
      <c r="Q21" s="382">
        <f t="shared" si="1"/>
        <v>2494.9999999989814</v>
      </c>
      <c r="R21" s="506">
        <f t="shared" ref="R21:R31" si="43">N21-Q21</f>
        <v>148.00000000101863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33500</v>
      </c>
      <c r="X21" s="382">
        <f t="shared" si="37"/>
        <v>1</v>
      </c>
      <c r="Y21" s="380">
        <v>1000643</v>
      </c>
      <c r="Z21" s="382">
        <f t="shared" si="31"/>
        <v>254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1</v>
      </c>
      <c r="AF21" s="404">
        <f t="shared" si="4"/>
        <v>254</v>
      </c>
      <c r="AG21" s="397">
        <f t="shared" si="40"/>
        <v>254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v>416360</v>
      </c>
      <c r="E22" s="497">
        <f t="shared" si="8"/>
        <v>520</v>
      </c>
      <c r="F22" s="380">
        <v>4187656</v>
      </c>
      <c r="G22" s="402">
        <f t="shared" ref="G22" si="44">F22-F21</f>
        <v>293</v>
      </c>
      <c r="H22" s="380">
        <v>18104114</v>
      </c>
      <c r="I22" s="402">
        <f t="shared" si="33"/>
        <v>426</v>
      </c>
      <c r="J22" s="380">
        <v>29891646</v>
      </c>
      <c r="K22" s="402">
        <f t="shared" ref="K22" si="45">J22-J21</f>
        <v>784</v>
      </c>
      <c r="L22" s="380">
        <v>24711462</v>
      </c>
      <c r="M22" s="402">
        <f t="shared" ref="M22" si="46">L22-L21</f>
        <v>648</v>
      </c>
      <c r="N22" s="266">
        <f t="shared" ref="N22" si="47">M22+K22+I22+G22+E22</f>
        <v>2671</v>
      </c>
      <c r="O22" s="399">
        <f t="shared" ref="O22" si="48">IF(B22&gt;0,N22/B22,0)</f>
        <v>0</v>
      </c>
      <c r="P22" s="526">
        <v>19689.031999999999</v>
      </c>
      <c r="Q22" s="382">
        <f t="shared" ref="Q22" si="49">(P22-P21)*1000</f>
        <v>2677.9999999998836</v>
      </c>
      <c r="R22" s="506">
        <f t="shared" ref="R22" si="50">N22-Q22</f>
        <v>-6.9999999998835847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f>W21</f>
        <v>33500</v>
      </c>
      <c r="X22" s="382">
        <f t="shared" si="37"/>
        <v>0</v>
      </c>
      <c r="Y22" s="380">
        <f t="shared" si="41"/>
        <v>1000643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v>416970</v>
      </c>
      <c r="E23" s="497">
        <f t="shared" si="8"/>
        <v>610</v>
      </c>
      <c r="F23" s="380">
        <v>4187925</v>
      </c>
      <c r="G23" s="402">
        <f t="shared" si="32"/>
        <v>269</v>
      </c>
      <c r="H23" s="380">
        <v>18104574</v>
      </c>
      <c r="I23" s="402">
        <f t="shared" si="33"/>
        <v>460</v>
      </c>
      <c r="J23" s="380">
        <v>29892636</v>
      </c>
      <c r="K23" s="402">
        <f t="shared" si="34"/>
        <v>990</v>
      </c>
      <c r="L23" s="380">
        <v>24712178</v>
      </c>
      <c r="M23" s="402">
        <f t="shared" si="35"/>
        <v>716</v>
      </c>
      <c r="N23" s="266">
        <f t="shared" si="36"/>
        <v>3045</v>
      </c>
      <c r="O23" s="399">
        <f t="shared" si="38"/>
        <v>0</v>
      </c>
      <c r="P23" s="526">
        <v>19691.966</v>
      </c>
      <c r="Q23" s="382">
        <f t="shared" si="1"/>
        <v>2934.0000000011059</v>
      </c>
      <c r="R23" s="506">
        <f t="shared" si="43"/>
        <v>110.99999999889405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f t="shared" ref="W23:W34" si="51">W22</f>
        <v>33500</v>
      </c>
      <c r="X23" s="382">
        <f t="shared" si="37"/>
        <v>0</v>
      </c>
      <c r="Y23" s="380">
        <f t="shared" si="41"/>
        <v>1000643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v>417390</v>
      </c>
      <c r="E24" s="497">
        <f t="shared" si="8"/>
        <v>420</v>
      </c>
      <c r="F24" s="380">
        <v>4188148</v>
      </c>
      <c r="G24" s="402">
        <f t="shared" si="32"/>
        <v>223</v>
      </c>
      <c r="H24" s="380">
        <v>18104898</v>
      </c>
      <c r="I24" s="509">
        <f t="shared" si="33"/>
        <v>324</v>
      </c>
      <c r="J24" s="380">
        <v>29893230</v>
      </c>
      <c r="K24" s="402">
        <f t="shared" si="34"/>
        <v>594</v>
      </c>
      <c r="L24" s="380">
        <v>24712710</v>
      </c>
      <c r="M24" s="402">
        <f t="shared" si="35"/>
        <v>532</v>
      </c>
      <c r="N24" s="266">
        <f t="shared" si="36"/>
        <v>2093</v>
      </c>
      <c r="O24" s="399">
        <f t="shared" si="38"/>
        <v>0</v>
      </c>
      <c r="P24" s="526">
        <v>19693.841</v>
      </c>
      <c r="Q24" s="382">
        <f t="shared" si="1"/>
        <v>1875</v>
      </c>
      <c r="R24" s="506">
        <f t="shared" si="43"/>
        <v>218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f t="shared" si="51"/>
        <v>33500</v>
      </c>
      <c r="X24" s="382">
        <f t="shared" si="37"/>
        <v>0</v>
      </c>
      <c r="Y24" s="380">
        <f t="shared" si="41"/>
        <v>1000643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v>417850</v>
      </c>
      <c r="E25" s="497">
        <f t="shared" si="8"/>
        <v>460</v>
      </c>
      <c r="F25" s="380">
        <v>4188379</v>
      </c>
      <c r="G25" s="402">
        <f t="shared" si="32"/>
        <v>231</v>
      </c>
      <c r="H25" s="380">
        <v>18105318</v>
      </c>
      <c r="I25" s="402">
        <f t="shared" si="33"/>
        <v>420</v>
      </c>
      <c r="J25" s="380">
        <v>29893810</v>
      </c>
      <c r="K25" s="402">
        <f t="shared" si="34"/>
        <v>580</v>
      </c>
      <c r="L25" s="380">
        <v>24713314</v>
      </c>
      <c r="M25" s="402">
        <f t="shared" si="35"/>
        <v>604</v>
      </c>
      <c r="N25" s="266">
        <f t="shared" si="36"/>
        <v>2295</v>
      </c>
      <c r="O25" s="399">
        <f t="shared" si="38"/>
        <v>0</v>
      </c>
      <c r="P25" s="526">
        <v>19696.194</v>
      </c>
      <c r="Q25" s="382">
        <f t="shared" si="1"/>
        <v>2352.999999999156</v>
      </c>
      <c r="R25" s="506">
        <f t="shared" si="43"/>
        <v>-57.999999999155989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f t="shared" si="51"/>
        <v>33500</v>
      </c>
      <c r="X25" s="382">
        <f t="shared" si="37"/>
        <v>0</v>
      </c>
      <c r="Y25" s="380">
        <f t="shared" si="41"/>
        <v>1000643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v>417930</v>
      </c>
      <c r="E26" s="497">
        <f t="shared" si="8"/>
        <v>80</v>
      </c>
      <c r="F26" s="380">
        <v>4188417</v>
      </c>
      <c r="G26" s="402">
        <f t="shared" si="32"/>
        <v>38</v>
      </c>
      <c r="H26" s="380">
        <v>18105384</v>
      </c>
      <c r="I26" s="402">
        <f t="shared" si="33"/>
        <v>66</v>
      </c>
      <c r="J26" s="380">
        <v>29893914</v>
      </c>
      <c r="K26" s="402">
        <f t="shared" si="34"/>
        <v>104</v>
      </c>
      <c r="L26" s="380">
        <v>24713416</v>
      </c>
      <c r="M26" s="402">
        <f t="shared" si="35"/>
        <v>102</v>
      </c>
      <c r="N26" s="266">
        <f t="shared" si="36"/>
        <v>390</v>
      </c>
      <c r="O26" s="399">
        <f t="shared" si="38"/>
        <v>0</v>
      </c>
      <c r="P26" s="526">
        <v>19696.589</v>
      </c>
      <c r="Q26" s="382">
        <f t="shared" si="1"/>
        <v>395.00000000043656</v>
      </c>
      <c r="R26" s="506">
        <f t="shared" si="43"/>
        <v>-5.0000000004365575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f t="shared" si="51"/>
        <v>33500</v>
      </c>
      <c r="X26" s="382">
        <f t="shared" si="37"/>
        <v>0</v>
      </c>
      <c r="Y26" s="380">
        <f t="shared" si="41"/>
        <v>1000643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417930</v>
      </c>
      <c r="E27" s="497">
        <f t="shared" si="8"/>
        <v>0</v>
      </c>
      <c r="F27" s="380">
        <f t="shared" si="9"/>
        <v>4188417</v>
      </c>
      <c r="G27" s="402">
        <f t="shared" si="32"/>
        <v>0</v>
      </c>
      <c r="H27" s="380">
        <f t="shared" si="10"/>
        <v>18105384</v>
      </c>
      <c r="I27" s="402">
        <f t="shared" si="33"/>
        <v>0</v>
      </c>
      <c r="J27" s="380">
        <f t="shared" si="11"/>
        <v>29893914</v>
      </c>
      <c r="K27" s="402">
        <f t="shared" si="34"/>
        <v>0</v>
      </c>
      <c r="L27" s="380">
        <f t="shared" si="12"/>
        <v>24713416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19696.589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f t="shared" si="51"/>
        <v>33500</v>
      </c>
      <c r="X27" s="382">
        <f t="shared" si="37"/>
        <v>0</v>
      </c>
      <c r="Y27" s="380">
        <f t="shared" si="41"/>
        <v>1000643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417930</v>
      </c>
      <c r="E28" s="497">
        <f t="shared" si="8"/>
        <v>0</v>
      </c>
      <c r="F28" s="380">
        <f t="shared" si="9"/>
        <v>4188417</v>
      </c>
      <c r="G28" s="402">
        <f>F28-F27</f>
        <v>0</v>
      </c>
      <c r="H28" s="380">
        <f t="shared" si="10"/>
        <v>18105384</v>
      </c>
      <c r="I28" s="402">
        <f t="shared" si="33"/>
        <v>0</v>
      </c>
      <c r="J28" s="380">
        <f t="shared" si="11"/>
        <v>29893914</v>
      </c>
      <c r="K28" s="402">
        <f t="shared" si="34"/>
        <v>0</v>
      </c>
      <c r="L28" s="380">
        <f t="shared" si="12"/>
        <v>24713416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19696.589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f t="shared" si="51"/>
        <v>33500</v>
      </c>
      <c r="X28" s="382">
        <f t="shared" si="37"/>
        <v>0</v>
      </c>
      <c r="Y28" s="380">
        <f t="shared" si="41"/>
        <v>1000643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v>418240</v>
      </c>
      <c r="E29" s="497">
        <f t="shared" si="8"/>
        <v>310</v>
      </c>
      <c r="F29" s="380">
        <v>4188563</v>
      </c>
      <c r="G29" s="402">
        <f>F29-F28</f>
        <v>146</v>
      </c>
      <c r="H29" s="380">
        <v>18105610</v>
      </c>
      <c r="I29" s="402">
        <f>H29-H28</f>
        <v>226</v>
      </c>
      <c r="J29" s="380">
        <v>29894290</v>
      </c>
      <c r="K29" s="402">
        <f>J29-J28</f>
        <v>376</v>
      </c>
      <c r="L29" s="380">
        <v>24713790</v>
      </c>
      <c r="M29" s="402">
        <f>L29-L28</f>
        <v>374</v>
      </c>
      <c r="N29" s="266">
        <f>M29+K29+I29+G29+E29</f>
        <v>1432</v>
      </c>
      <c r="O29" s="399">
        <f>IF(B29&gt;0,N29/B29,0)</f>
        <v>0</v>
      </c>
      <c r="P29" s="526">
        <v>19698.044999999998</v>
      </c>
      <c r="Q29" s="382">
        <f>(P29-P28)*1000</f>
        <v>1455.999999998312</v>
      </c>
      <c r="R29" s="506">
        <f t="shared" si="43"/>
        <v>-23.999999998311978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f t="shared" si="51"/>
        <v>33500</v>
      </c>
      <c r="X29" s="382">
        <f>W29-W28</f>
        <v>0</v>
      </c>
      <c r="Y29" s="380">
        <f t="shared" si="41"/>
        <v>1000643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v>418740</v>
      </c>
      <c r="E30" s="497">
        <f t="shared" si="8"/>
        <v>500</v>
      </c>
      <c r="F30" s="380">
        <v>4188780</v>
      </c>
      <c r="G30" s="402">
        <f t="shared" si="32"/>
        <v>217</v>
      </c>
      <c r="H30" s="380">
        <v>18105926</v>
      </c>
      <c r="I30" s="402">
        <f t="shared" si="33"/>
        <v>316</v>
      </c>
      <c r="J30" s="380">
        <v>29894906</v>
      </c>
      <c r="K30" s="402">
        <f t="shared" si="34"/>
        <v>616</v>
      </c>
      <c r="L30" s="380">
        <v>24714396</v>
      </c>
      <c r="M30" s="402">
        <f t="shared" si="35"/>
        <v>606</v>
      </c>
      <c r="N30" s="266">
        <f>M30+K30+I30+G30+E30</f>
        <v>2255</v>
      </c>
      <c r="O30" s="399">
        <f t="shared" si="38"/>
        <v>0</v>
      </c>
      <c r="P30" s="526">
        <v>19700.343000000001</v>
      </c>
      <c r="Q30" s="382">
        <f t="shared" si="1"/>
        <v>2298.0000000025029</v>
      </c>
      <c r="R30" s="506">
        <f>N30-Q30</f>
        <v>-43.000000002502929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f t="shared" si="51"/>
        <v>33500</v>
      </c>
      <c r="X30" s="382">
        <f t="shared" si="37"/>
        <v>0</v>
      </c>
      <c r="Y30" s="380">
        <f t="shared" si="41"/>
        <v>1000643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418740</v>
      </c>
      <c r="E31" s="497">
        <f t="shared" si="8"/>
        <v>0</v>
      </c>
      <c r="F31" s="380">
        <f t="shared" si="9"/>
        <v>4188780</v>
      </c>
      <c r="G31" s="402">
        <f t="shared" si="32"/>
        <v>0</v>
      </c>
      <c r="H31" s="380">
        <f t="shared" si="10"/>
        <v>18105926</v>
      </c>
      <c r="I31" s="402">
        <f t="shared" si="33"/>
        <v>0</v>
      </c>
      <c r="J31" s="380">
        <f t="shared" si="11"/>
        <v>29894906</v>
      </c>
      <c r="K31" s="402">
        <f t="shared" si="34"/>
        <v>0</v>
      </c>
      <c r="L31" s="380">
        <f t="shared" si="12"/>
        <v>24714396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19700.343000000001</v>
      </c>
      <c r="Q31" s="382">
        <f t="shared" si="1"/>
        <v>0</v>
      </c>
      <c r="R31" s="506">
        <f t="shared" si="43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f t="shared" si="51"/>
        <v>33500</v>
      </c>
      <c r="X31" s="401">
        <f t="shared" si="37"/>
        <v>0</v>
      </c>
      <c r="Y31" s="380">
        <f t="shared" si="41"/>
        <v>1000643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2">SUM(230*A32)</f>
        <v>0</v>
      </c>
      <c r="C32" s="391">
        <v>44924</v>
      </c>
      <c r="D32" s="380">
        <f t="shared" si="7"/>
        <v>418740</v>
      </c>
      <c r="E32" s="497">
        <f t="shared" si="8"/>
        <v>0</v>
      </c>
      <c r="F32" s="380">
        <f t="shared" si="9"/>
        <v>4188780</v>
      </c>
      <c r="G32" s="402">
        <f t="shared" si="32"/>
        <v>0</v>
      </c>
      <c r="H32" s="380">
        <f t="shared" si="10"/>
        <v>18105926</v>
      </c>
      <c r="I32" s="402">
        <f t="shared" si="33"/>
        <v>0</v>
      </c>
      <c r="J32" s="380">
        <f t="shared" si="11"/>
        <v>29894906</v>
      </c>
      <c r="K32" s="402">
        <f t="shared" si="34"/>
        <v>0</v>
      </c>
      <c r="L32" s="380">
        <f t="shared" si="12"/>
        <v>24714396</v>
      </c>
      <c r="M32" s="402">
        <f t="shared" ref="M32:M34" si="53">L32-L31</f>
        <v>0</v>
      </c>
      <c r="N32" s="266">
        <f t="shared" ref="N32:N34" si="54">M32+K32+I32+G32+E32</f>
        <v>0</v>
      </c>
      <c r="O32" s="399">
        <f t="shared" ref="O32:O34" si="55">IF(B32&gt;0,N32/B32,0)</f>
        <v>0</v>
      </c>
      <c r="P32" s="526">
        <f t="shared" si="13"/>
        <v>19700.343000000001</v>
      </c>
      <c r="Q32" s="382">
        <f t="shared" ref="Q32:Q34" si="56">(P32-P31)*1000</f>
        <v>0</v>
      </c>
      <c r="R32" s="506">
        <f t="shared" ref="R32:R34" si="57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f t="shared" si="51"/>
        <v>33500</v>
      </c>
      <c r="X32" s="401">
        <f t="shared" ref="X32:X34" si="58">W32-W31</f>
        <v>0</v>
      </c>
      <c r="Y32" s="380">
        <f t="shared" si="41"/>
        <v>1000643</v>
      </c>
      <c r="Z32" s="382">
        <f t="shared" ref="Z32:Z34" si="59">Y32-Y31</f>
        <v>0</v>
      </c>
      <c r="AA32" s="380">
        <f t="shared" si="17"/>
        <v>36804</v>
      </c>
      <c r="AB32" s="382">
        <f t="shared" ref="AB32:AB34" si="60">AA32-AA31</f>
        <v>0</v>
      </c>
      <c r="AC32" s="380">
        <f t="shared" si="18"/>
        <v>1173391</v>
      </c>
      <c r="AD32" s="382">
        <f t="shared" ref="AD32:AD34" si="61">AC32-AC31</f>
        <v>0</v>
      </c>
      <c r="AE32" s="403">
        <f t="shared" ref="AE32:AE34" si="62">AB32+X32+T32</f>
        <v>0</v>
      </c>
      <c r="AF32" s="404">
        <f t="shared" ref="AF32:AF34" si="63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2"/>
        <v>0</v>
      </c>
      <c r="C33" s="391">
        <v>44925</v>
      </c>
      <c r="D33" s="380">
        <f t="shared" si="7"/>
        <v>418740</v>
      </c>
      <c r="E33" s="497">
        <f t="shared" si="8"/>
        <v>0</v>
      </c>
      <c r="F33" s="380">
        <f t="shared" si="9"/>
        <v>4188780</v>
      </c>
      <c r="G33" s="402">
        <f t="shared" si="32"/>
        <v>0</v>
      </c>
      <c r="H33" s="380">
        <f t="shared" si="10"/>
        <v>18105926</v>
      </c>
      <c r="I33" s="402">
        <f t="shared" si="33"/>
        <v>0</v>
      </c>
      <c r="J33" s="380">
        <f t="shared" si="11"/>
        <v>29894906</v>
      </c>
      <c r="K33" s="402">
        <f t="shared" si="34"/>
        <v>0</v>
      </c>
      <c r="L33" s="380">
        <f t="shared" si="12"/>
        <v>24714396</v>
      </c>
      <c r="M33" s="402">
        <f t="shared" si="53"/>
        <v>0</v>
      </c>
      <c r="N33" s="266">
        <f t="shared" si="54"/>
        <v>0</v>
      </c>
      <c r="O33" s="399">
        <f t="shared" si="55"/>
        <v>0</v>
      </c>
      <c r="P33" s="526">
        <f t="shared" si="13"/>
        <v>19700.343000000001</v>
      </c>
      <c r="Q33" s="382">
        <f t="shared" si="56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4">U33-U32</f>
        <v>0</v>
      </c>
      <c r="W33" s="380">
        <f t="shared" si="51"/>
        <v>33500</v>
      </c>
      <c r="X33" s="401">
        <f t="shared" si="58"/>
        <v>0</v>
      </c>
      <c r="Y33" s="380">
        <f t="shared" si="41"/>
        <v>1000643</v>
      </c>
      <c r="Z33" s="382">
        <f t="shared" si="59"/>
        <v>0</v>
      </c>
      <c r="AA33" s="380">
        <f t="shared" si="17"/>
        <v>36804</v>
      </c>
      <c r="AB33" s="382">
        <f t="shared" si="60"/>
        <v>0</v>
      </c>
      <c r="AC33" s="380">
        <f t="shared" si="18"/>
        <v>1173391</v>
      </c>
      <c r="AD33" s="382">
        <f t="shared" si="61"/>
        <v>0</v>
      </c>
      <c r="AE33" s="403">
        <f t="shared" si="62"/>
        <v>0</v>
      </c>
      <c r="AF33" s="404">
        <f t="shared" si="63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2"/>
        <v>0</v>
      </c>
      <c r="C34" s="391">
        <v>44926</v>
      </c>
      <c r="D34" s="380">
        <f t="shared" si="7"/>
        <v>418740</v>
      </c>
      <c r="E34" s="497">
        <f t="shared" si="8"/>
        <v>0</v>
      </c>
      <c r="F34" s="380">
        <f t="shared" si="9"/>
        <v>4188780</v>
      </c>
      <c r="G34" s="402">
        <f t="shared" si="32"/>
        <v>0</v>
      </c>
      <c r="H34" s="380">
        <f t="shared" si="10"/>
        <v>18105926</v>
      </c>
      <c r="I34" s="402">
        <f t="shared" si="33"/>
        <v>0</v>
      </c>
      <c r="J34" s="380">
        <f t="shared" si="11"/>
        <v>29894906</v>
      </c>
      <c r="K34" s="402">
        <f t="shared" si="34"/>
        <v>0</v>
      </c>
      <c r="L34" s="380">
        <f t="shared" si="12"/>
        <v>24714396</v>
      </c>
      <c r="M34" s="402">
        <f t="shared" si="53"/>
        <v>0</v>
      </c>
      <c r="N34" s="266">
        <f t="shared" si="54"/>
        <v>0</v>
      </c>
      <c r="O34" s="399">
        <f t="shared" si="55"/>
        <v>0</v>
      </c>
      <c r="P34" s="526">
        <f t="shared" si="13"/>
        <v>19700.343000000001</v>
      </c>
      <c r="Q34" s="382">
        <f t="shared" si="56"/>
        <v>0</v>
      </c>
      <c r="R34" s="506">
        <f t="shared" si="57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f t="shared" si="51"/>
        <v>33500</v>
      </c>
      <c r="X34" s="401">
        <f t="shared" si="58"/>
        <v>0</v>
      </c>
      <c r="Y34" s="380">
        <f t="shared" si="41"/>
        <v>1000643</v>
      </c>
      <c r="Z34" s="382">
        <f t="shared" si="59"/>
        <v>0</v>
      </c>
      <c r="AA34" s="380">
        <f t="shared" si="17"/>
        <v>36804</v>
      </c>
      <c r="AB34" s="382">
        <f t="shared" si="60"/>
        <v>0</v>
      </c>
      <c r="AC34" s="380">
        <f t="shared" si="18"/>
        <v>1173391</v>
      </c>
      <c r="AD34" s="382">
        <f t="shared" si="61"/>
        <v>0</v>
      </c>
      <c r="AE34" s="403">
        <f t="shared" si="62"/>
        <v>0</v>
      </c>
      <c r="AF34" s="404">
        <f t="shared" si="63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N1" zoomScale="60" zoomScaleNormal="60" workbookViewId="0">
      <pane ySplit="1" topLeftCell="A2" activePane="bottomLeft" state="frozen"/>
      <selection activeCell="K1" sqref="K1"/>
      <selection pane="bottomLeft" activeCell="AJ31" sqref="AJ3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43" t="s">
        <v>80</v>
      </c>
      <c r="G1" s="544"/>
      <c r="H1" s="544"/>
      <c r="I1" s="545"/>
      <c r="J1" s="244">
        <f>J36</f>
        <v>70.136363636363626</v>
      </c>
      <c r="K1" s="546" t="s">
        <v>81</v>
      </c>
      <c r="L1" s="547"/>
      <c r="M1" s="547"/>
      <c r="N1" s="547"/>
      <c r="O1" s="548"/>
      <c r="P1" s="537" t="s">
        <v>82</v>
      </c>
      <c r="Q1" s="538"/>
      <c r="R1" s="538"/>
      <c r="S1" s="538"/>
      <c r="T1" s="539"/>
      <c r="U1" s="339"/>
      <c r="V1" s="26" t="s">
        <v>83</v>
      </c>
      <c r="W1" s="340"/>
      <c r="X1" s="537" t="s">
        <v>84</v>
      </c>
      <c r="Y1" s="538"/>
      <c r="Z1" s="538"/>
      <c r="AA1" s="538"/>
      <c r="AB1" s="538"/>
      <c r="AC1" s="540" t="s">
        <v>85</v>
      </c>
      <c r="AD1" s="541"/>
      <c r="AE1" s="541"/>
      <c r="AF1" s="542"/>
      <c r="AG1" s="194"/>
      <c r="AH1" s="82" t="s">
        <v>86</v>
      </c>
      <c r="AI1" s="268" t="s">
        <v>87</v>
      </c>
      <c r="AJ1" s="268"/>
      <c r="AK1" s="268"/>
      <c r="AL1" s="268" t="s">
        <v>88</v>
      </c>
      <c r="AM1" s="268" t="s">
        <v>89</v>
      </c>
      <c r="AN1" s="269" t="s">
        <v>90</v>
      </c>
      <c r="AO1" s="269" t="s">
        <v>91</v>
      </c>
      <c r="AP1" s="269" t="s">
        <v>92</v>
      </c>
      <c r="AQ1" s="269" t="s">
        <v>93</v>
      </c>
      <c r="AR1" s="269" t="s">
        <v>94</v>
      </c>
      <c r="AS1" s="269" t="s">
        <v>95</v>
      </c>
      <c r="AT1" s="269"/>
      <c r="AU1" s="270" t="s">
        <v>96</v>
      </c>
      <c r="AV1" s="167" t="s">
        <v>34</v>
      </c>
      <c r="AW1" s="167" t="s">
        <v>97</v>
      </c>
    </row>
    <row r="2" spans="1:52">
      <c r="A2" s="42"/>
      <c r="B2" s="43" t="s">
        <v>98</v>
      </c>
      <c r="C2" s="43" t="s">
        <v>99</v>
      </c>
      <c r="D2" s="44" t="s">
        <v>100</v>
      </c>
      <c r="E2" s="44" t="s">
        <v>101</v>
      </c>
      <c r="F2" s="45" t="s">
        <v>80</v>
      </c>
      <c r="G2" s="45" t="s">
        <v>102</v>
      </c>
      <c r="H2" s="45" t="s">
        <v>103</v>
      </c>
      <c r="I2" s="46" t="s">
        <v>104</v>
      </c>
      <c r="J2" s="47" t="s">
        <v>105</v>
      </c>
      <c r="K2" s="48" t="s">
        <v>106</v>
      </c>
      <c r="L2" s="45" t="s">
        <v>107</v>
      </c>
      <c r="M2" s="46" t="s">
        <v>108</v>
      </c>
      <c r="N2" s="46"/>
      <c r="O2" s="49" t="s">
        <v>104</v>
      </c>
      <c r="P2" s="50" t="s">
        <v>82</v>
      </c>
      <c r="Q2" s="535"/>
      <c r="R2" s="536"/>
      <c r="S2" s="51" t="s">
        <v>109</v>
      </c>
      <c r="T2" s="52"/>
      <c r="U2" s="343" t="s">
        <v>110</v>
      </c>
      <c r="V2" s="53" t="s">
        <v>111</v>
      </c>
      <c r="W2" s="341"/>
      <c r="X2" s="54" t="s">
        <v>84</v>
      </c>
      <c r="Y2" s="45" t="s">
        <v>112</v>
      </c>
      <c r="Z2" s="334" t="s">
        <v>113</v>
      </c>
      <c r="AA2" s="335" t="s">
        <v>114</v>
      </c>
      <c r="AB2" s="243"/>
      <c r="AC2" s="48" t="s">
        <v>85</v>
      </c>
      <c r="AD2" s="55" t="s">
        <v>115</v>
      </c>
      <c r="AE2" s="56" t="s">
        <v>116</v>
      </c>
      <c r="AF2" s="57" t="s">
        <v>117</v>
      </c>
      <c r="AG2" s="195" t="s">
        <v>118</v>
      </c>
      <c r="AH2" s="53" t="s">
        <v>111</v>
      </c>
      <c r="AI2" s="69" t="s">
        <v>111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[1]B5!$A$34</f>
        <v>44895</v>
      </c>
      <c r="B4" s="337">
        <f>[1]B5!B34</f>
        <v>243</v>
      </c>
      <c r="C4" s="337">
        <f>[1]B5!C34</f>
        <v>250</v>
      </c>
      <c r="D4" s="337">
        <f>[1]B5!D34</f>
        <v>-35</v>
      </c>
      <c r="E4" s="337">
        <f>[1]B5!E34</f>
        <v>-293.3</v>
      </c>
      <c r="F4" s="337">
        <f>[1]B5!F34</f>
        <v>2331</v>
      </c>
      <c r="G4" s="337">
        <f>[1]B5!G34</f>
        <v>0</v>
      </c>
      <c r="H4" s="337">
        <f>[1]B5!H34</f>
        <v>50123</v>
      </c>
      <c r="I4" s="337">
        <f>[1]B5!I34</f>
        <v>0</v>
      </c>
      <c r="J4" s="337">
        <f>[1]B5!J34</f>
        <v>0</v>
      </c>
      <c r="K4" s="337">
        <f>[1]B5!K34</f>
        <v>2478</v>
      </c>
      <c r="L4" s="337">
        <f>[1]B5!L34</f>
        <v>2</v>
      </c>
      <c r="M4" s="337">
        <f>[1]B5!M34</f>
        <v>184687</v>
      </c>
      <c r="N4" s="337">
        <f>[1]B5!N34</f>
        <v>223</v>
      </c>
      <c r="O4" s="337">
        <f>[1]B5!O34</f>
        <v>1869</v>
      </c>
      <c r="P4" s="337">
        <f>[1]B5!P34</f>
        <v>2232</v>
      </c>
      <c r="Q4" s="337">
        <f>[1]B5!Q34</f>
        <v>186541</v>
      </c>
      <c r="R4" s="337">
        <f>[1]B5!R34</f>
        <v>0</v>
      </c>
      <c r="S4" s="337">
        <f>[1]B5!S34</f>
        <v>0</v>
      </c>
      <c r="T4" s="337">
        <f>[1]B5!T34</f>
        <v>0</v>
      </c>
      <c r="U4" s="337">
        <f>[1]B5!U34</f>
        <v>2</v>
      </c>
      <c r="V4" s="337">
        <f>[1]B5!V34</f>
        <v>223</v>
      </c>
      <c r="W4" s="337">
        <f>[1]B5!W34</f>
        <v>0</v>
      </c>
      <c r="X4" s="337">
        <f>[1]B5!X34</f>
        <v>2498</v>
      </c>
      <c r="Y4" s="337">
        <f>[1]B5!Y34</f>
        <v>0</v>
      </c>
      <c r="Z4" s="337">
        <f>[1]B5!Z34</f>
        <v>141419</v>
      </c>
      <c r="AA4" s="337">
        <f>[1]B5!AA34</f>
        <v>0</v>
      </c>
      <c r="AB4" s="337">
        <f>[1]B5!AB34</f>
        <v>0</v>
      </c>
      <c r="AC4" s="337">
        <f>[1]B5!AC34</f>
        <v>1954</v>
      </c>
      <c r="AD4" s="337">
        <f>[1]B5!AD34</f>
        <v>0</v>
      </c>
      <c r="AE4" s="337">
        <f>[1]B5!AE34</f>
        <v>367168</v>
      </c>
      <c r="AF4" s="337">
        <f>[1]B5!AF34</f>
        <v>0</v>
      </c>
      <c r="AG4" s="337">
        <f>[1]B5!AG34</f>
        <v>0</v>
      </c>
      <c r="AH4" s="337">
        <f>[1]B5!AH34</f>
        <v>0</v>
      </c>
      <c r="AI4" s="337">
        <f>[1]B5!AI34</f>
        <v>223</v>
      </c>
      <c r="AJ4" s="337">
        <f>[1]B5!AJ34</f>
        <v>223</v>
      </c>
      <c r="AK4" s="337">
        <f>[1]B5!AK34</f>
        <v>0</v>
      </c>
      <c r="AL4" s="337">
        <f>[1]B5!AL34</f>
        <v>2</v>
      </c>
      <c r="AM4" s="337">
        <f>[1]B5!AM34</f>
        <v>0</v>
      </c>
      <c r="AN4" s="337">
        <f>[1]B5!AN34</f>
        <v>65</v>
      </c>
      <c r="AO4" s="337">
        <f>[1]B5!AO34</f>
        <v>1950</v>
      </c>
      <c r="AP4" s="337">
        <f>[1]B5!AP34</f>
        <v>35</v>
      </c>
      <c r="AQ4" s="337">
        <f>[1]B5!AQ34</f>
        <v>1050</v>
      </c>
      <c r="AR4" s="337">
        <f>[1]B5!AR34</f>
        <v>73</v>
      </c>
      <c r="AS4" s="337">
        <f>[1]B5!AS34</f>
        <v>2190</v>
      </c>
      <c r="AT4" s="337">
        <f>[1]B5!AT34</f>
        <v>5190</v>
      </c>
      <c r="AU4" s="337">
        <f>[1]B5!AU34</f>
        <v>0</v>
      </c>
      <c r="AV4" s="337">
        <f>[1]B5!AV34</f>
        <v>0</v>
      </c>
      <c r="AW4" s="337">
        <f>[1]B5!AW34</f>
        <v>0</v>
      </c>
      <c r="AX4" s="337">
        <f>[1]B5!AX34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119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6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v>234</v>
      </c>
      <c r="C17" s="63">
        <v>240</v>
      </c>
      <c r="D17" s="44">
        <f t="shared" si="36"/>
        <v>3</v>
      </c>
      <c r="E17" s="44">
        <f t="shared" si="11"/>
        <v>25.14</v>
      </c>
      <c r="F17" s="468">
        <v>2336</v>
      </c>
      <c r="G17" s="51">
        <f t="shared" si="0"/>
        <v>2</v>
      </c>
      <c r="H17" s="468">
        <v>50523</v>
      </c>
      <c r="I17" s="338">
        <f t="shared" si="1"/>
        <v>138</v>
      </c>
      <c r="J17" s="65">
        <f t="shared" si="14"/>
        <v>69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2</v>
      </c>
      <c r="V17" s="61">
        <f t="shared" si="19"/>
        <v>138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138</v>
      </c>
      <c r="AJ17" s="271">
        <f>-tanks!AW18</f>
        <v>138</v>
      </c>
      <c r="AK17" s="271">
        <f t="shared" si="28"/>
        <v>0</v>
      </c>
      <c r="AL17" s="271">
        <f t="shared" si="8"/>
        <v>2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v>230</v>
      </c>
      <c r="C18" s="63">
        <v>236</v>
      </c>
      <c r="D18" s="44">
        <f t="shared" si="36"/>
        <v>4</v>
      </c>
      <c r="E18" s="44">
        <f t="shared" si="11"/>
        <v>33.520000000000003</v>
      </c>
      <c r="F18" s="468">
        <v>2339</v>
      </c>
      <c r="G18" s="51">
        <f>F18-F17</f>
        <v>3</v>
      </c>
      <c r="H18" s="468">
        <v>50570</v>
      </c>
      <c r="I18" s="338">
        <f t="shared" si="1"/>
        <v>47</v>
      </c>
      <c r="J18" s="65">
        <f t="shared" si="14"/>
        <v>15.666666666666666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3</v>
      </c>
      <c r="V18" s="61">
        <f t="shared" si="19"/>
        <v>47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47</v>
      </c>
      <c r="AJ18" s="271">
        <f>-tanks!AW19</f>
        <v>47</v>
      </c>
      <c r="AK18" s="271">
        <f t="shared" si="28"/>
        <v>0</v>
      </c>
      <c r="AL18" s="271">
        <f t="shared" si="8"/>
        <v>3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v>252</v>
      </c>
      <c r="C19" s="63">
        <v>258</v>
      </c>
      <c r="D19" s="44">
        <f t="shared" si="36"/>
        <v>-22</v>
      </c>
      <c r="E19" s="44">
        <f t="shared" si="11"/>
        <v>-184.36</v>
      </c>
      <c r="F19" s="468">
        <v>2341</v>
      </c>
      <c r="G19" s="51">
        <f t="shared" si="0"/>
        <v>2</v>
      </c>
      <c r="H19" s="468">
        <v>50894</v>
      </c>
      <c r="I19" s="338">
        <f t="shared" si="1"/>
        <v>324</v>
      </c>
      <c r="J19" s="65">
        <f t="shared" si="14"/>
        <v>162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2</v>
      </c>
      <c r="V19" s="61">
        <f t="shared" si="19"/>
        <v>324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v>367645</v>
      </c>
      <c r="AF19" s="263">
        <f t="shared" si="26"/>
        <v>2</v>
      </c>
      <c r="AG19" s="196">
        <f t="shared" si="39"/>
        <v>0</v>
      </c>
      <c r="AH19" s="61">
        <f t="shared" si="40"/>
        <v>2</v>
      </c>
      <c r="AI19" s="271">
        <f t="shared" si="27"/>
        <v>326</v>
      </c>
      <c r="AJ19" s="271">
        <f>-tanks!AW20</f>
        <v>326</v>
      </c>
      <c r="AK19" s="271">
        <f t="shared" si="28"/>
        <v>0</v>
      </c>
      <c r="AL19" s="271">
        <f t="shared" si="8"/>
        <v>2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252</v>
      </c>
      <c r="C20" s="63">
        <f t="shared" si="10"/>
        <v>258</v>
      </c>
      <c r="D20" s="44">
        <f>C19-C20</f>
        <v>0</v>
      </c>
      <c r="E20" s="44">
        <f t="shared" si="11"/>
        <v>0</v>
      </c>
      <c r="F20" s="468">
        <f t="shared" si="12"/>
        <v>2341</v>
      </c>
      <c r="G20" s="51">
        <f t="shared" si="0"/>
        <v>0</v>
      </c>
      <c r="H20" s="468">
        <f t="shared" si="13"/>
        <v>50894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367645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252</v>
      </c>
      <c r="C21" s="63">
        <f t="shared" si="10"/>
        <v>258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2341</v>
      </c>
      <c r="G21" s="51">
        <f t="shared" si="0"/>
        <v>0</v>
      </c>
      <c r="H21" s="468">
        <f t="shared" si="13"/>
        <v>50894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367645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v>248</v>
      </c>
      <c r="C22" s="63">
        <v>254</v>
      </c>
      <c r="D22" s="44">
        <f t="shared" si="49"/>
        <v>4</v>
      </c>
      <c r="E22" s="44">
        <f t="shared" si="11"/>
        <v>33.520000000000003</v>
      </c>
      <c r="F22" s="468">
        <v>2344</v>
      </c>
      <c r="G22" s="51">
        <f t="shared" si="0"/>
        <v>3</v>
      </c>
      <c r="H22" s="468">
        <v>51139</v>
      </c>
      <c r="I22" s="338">
        <f t="shared" si="1"/>
        <v>245</v>
      </c>
      <c r="J22" s="65">
        <f t="shared" si="14"/>
        <v>81.666666666666671</v>
      </c>
      <c r="K22" s="468">
        <v>2482</v>
      </c>
      <c r="L22" s="51">
        <f t="shared" si="16"/>
        <v>1</v>
      </c>
      <c r="M22" s="63">
        <v>185011</v>
      </c>
      <c r="N22" s="338">
        <f t="shared" si="2"/>
        <v>36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4</v>
      </c>
      <c r="V22" s="61">
        <f t="shared" si="19"/>
        <v>281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367645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281</v>
      </c>
      <c r="AJ22" s="271">
        <f>-tanks!AW23</f>
        <v>281</v>
      </c>
      <c r="AK22" s="271">
        <f t="shared" si="28"/>
        <v>0</v>
      </c>
      <c r="AL22" s="271">
        <f t="shared" si="8"/>
        <v>4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v>244</v>
      </c>
      <c r="C23" s="63">
        <v>250</v>
      </c>
      <c r="D23" s="44">
        <f t="shared" si="49"/>
        <v>4</v>
      </c>
      <c r="E23" s="44">
        <f t="shared" si="11"/>
        <v>33.520000000000003</v>
      </c>
      <c r="F23" s="468">
        <v>2346</v>
      </c>
      <c r="G23" s="51">
        <f t="shared" si="0"/>
        <v>2</v>
      </c>
      <c r="H23" s="468">
        <v>51279</v>
      </c>
      <c r="I23" s="338">
        <f t="shared" si="1"/>
        <v>140</v>
      </c>
      <c r="J23" s="65">
        <f t="shared" si="14"/>
        <v>70</v>
      </c>
      <c r="K23" s="468">
        <f t="shared" si="15"/>
        <v>2482</v>
      </c>
      <c r="L23" s="51">
        <f t="shared" si="16"/>
        <v>0</v>
      </c>
      <c r="M23" s="63">
        <v>185022</v>
      </c>
      <c r="N23" s="338">
        <f t="shared" si="2"/>
        <v>11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2</v>
      </c>
      <c r="V23" s="61">
        <f t="shared" si="19"/>
        <v>151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v>367656</v>
      </c>
      <c r="AF23" s="263">
        <f t="shared" si="26"/>
        <v>11</v>
      </c>
      <c r="AG23" s="196">
        <f t="shared" si="39"/>
        <v>0</v>
      </c>
      <c r="AH23" s="61">
        <f t="shared" si="40"/>
        <v>11</v>
      </c>
      <c r="AI23" s="271">
        <f>SUM(AH23+V23)</f>
        <v>162</v>
      </c>
      <c r="AJ23" s="271">
        <f>-tanks!AW24</f>
        <v>162</v>
      </c>
      <c r="AK23" s="271">
        <f>SUM(AJ23-AI23)</f>
        <v>0</v>
      </c>
      <c r="AL23" s="271">
        <f>S23+L23+G23</f>
        <v>2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v>240</v>
      </c>
      <c r="C24" s="63">
        <v>247</v>
      </c>
      <c r="D24" s="44">
        <f t="shared" si="49"/>
        <v>3</v>
      </c>
      <c r="E24" s="44">
        <f t="shared" si="11"/>
        <v>25.14</v>
      </c>
      <c r="F24" s="468">
        <v>2348</v>
      </c>
      <c r="G24" s="51">
        <f t="shared" si="0"/>
        <v>2</v>
      </c>
      <c r="H24" s="468">
        <v>51407</v>
      </c>
      <c r="I24" s="338">
        <f t="shared" si="1"/>
        <v>128</v>
      </c>
      <c r="J24" s="65">
        <f t="shared" si="14"/>
        <v>64</v>
      </c>
      <c r="K24" s="468">
        <f t="shared" si="15"/>
        <v>2482</v>
      </c>
      <c r="L24" s="51">
        <f t="shared" si="16"/>
        <v>0</v>
      </c>
      <c r="M24" s="63">
        <f t="shared" si="17"/>
        <v>185022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2</v>
      </c>
      <c r="V24" s="61">
        <f t="shared" si="19"/>
        <v>128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367656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128</v>
      </c>
      <c r="AJ24" s="271">
        <f>-tanks!AW25</f>
        <v>128</v>
      </c>
      <c r="AK24" s="271">
        <f t="shared" si="28"/>
        <v>0</v>
      </c>
      <c r="AL24" s="271">
        <f t="shared" si="8"/>
        <v>2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v>237</v>
      </c>
      <c r="C25" s="63">
        <v>242</v>
      </c>
      <c r="D25" s="44">
        <f t="shared" si="49"/>
        <v>5</v>
      </c>
      <c r="E25" s="44">
        <f t="shared" si="11"/>
        <v>41.900000000000006</v>
      </c>
      <c r="F25" s="468">
        <f t="shared" si="12"/>
        <v>2348</v>
      </c>
      <c r="G25" s="51">
        <f t="shared" si="0"/>
        <v>0</v>
      </c>
      <c r="H25" s="468">
        <f t="shared" si="13"/>
        <v>51407</v>
      </c>
      <c r="I25" s="338">
        <f t="shared" si="1"/>
        <v>0</v>
      </c>
      <c r="J25" s="65">
        <f t="shared" si="14"/>
        <v>0</v>
      </c>
      <c r="K25" s="468">
        <f t="shared" si="15"/>
        <v>2482</v>
      </c>
      <c r="L25" s="51">
        <f t="shared" si="16"/>
        <v>0</v>
      </c>
      <c r="M25" s="63">
        <f t="shared" si="17"/>
        <v>185022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367656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v>234.5</v>
      </c>
      <c r="C26" s="63">
        <v>240</v>
      </c>
      <c r="D26" s="44">
        <f t="shared" si="49"/>
        <v>2</v>
      </c>
      <c r="E26" s="44">
        <f t="shared" si="11"/>
        <v>16.760000000000002</v>
      </c>
      <c r="F26" s="468">
        <v>2351</v>
      </c>
      <c r="G26" s="51">
        <f t="shared" si="0"/>
        <v>3</v>
      </c>
      <c r="H26" s="468">
        <v>51646</v>
      </c>
      <c r="I26" s="338">
        <f t="shared" si="1"/>
        <v>239</v>
      </c>
      <c r="J26" s="65">
        <f t="shared" si="14"/>
        <v>79.666666666666671</v>
      </c>
      <c r="K26" s="468">
        <f t="shared" si="15"/>
        <v>2482</v>
      </c>
      <c r="L26" s="51">
        <f t="shared" si="16"/>
        <v>0</v>
      </c>
      <c r="M26" s="63">
        <f t="shared" si="17"/>
        <v>185022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3</v>
      </c>
      <c r="V26" s="61">
        <f t="shared" si="19"/>
        <v>239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v>1958</v>
      </c>
      <c r="AD26" s="44">
        <f t="shared" si="7"/>
        <v>1</v>
      </c>
      <c r="AE26" s="468">
        <v>367656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239</v>
      </c>
      <c r="AJ26" s="271">
        <f>-tanks!AW27</f>
        <v>239</v>
      </c>
      <c r="AK26" s="271">
        <f t="shared" si="28"/>
        <v>0</v>
      </c>
      <c r="AL26" s="271">
        <f t="shared" si="8"/>
        <v>3</v>
      </c>
      <c r="AM26" s="271">
        <f t="shared" si="29"/>
        <v>1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234.5</v>
      </c>
      <c r="C27" s="63">
        <f t="shared" si="10"/>
        <v>240</v>
      </c>
      <c r="D27" s="44">
        <f t="shared" si="49"/>
        <v>0</v>
      </c>
      <c r="E27" s="44">
        <f t="shared" si="11"/>
        <v>0</v>
      </c>
      <c r="F27" s="468">
        <f t="shared" si="12"/>
        <v>2351</v>
      </c>
      <c r="G27" s="51">
        <f t="shared" si="0"/>
        <v>0</v>
      </c>
      <c r="H27" s="468">
        <f t="shared" si="13"/>
        <v>51646</v>
      </c>
      <c r="I27" s="338">
        <f t="shared" si="1"/>
        <v>0</v>
      </c>
      <c r="J27" s="65">
        <f t="shared" si="14"/>
        <v>0</v>
      </c>
      <c r="K27" s="468">
        <f t="shared" si="15"/>
        <v>2482</v>
      </c>
      <c r="L27" s="51">
        <f t="shared" si="16"/>
        <v>0</v>
      </c>
      <c r="M27" s="63">
        <f t="shared" si="17"/>
        <v>185022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1958</v>
      </c>
      <c r="AD27" s="44">
        <f t="shared" si="7"/>
        <v>0</v>
      </c>
      <c r="AE27" s="468">
        <f t="shared" si="25"/>
        <v>367656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234.5</v>
      </c>
      <c r="C28" s="63">
        <f t="shared" si="10"/>
        <v>240</v>
      </c>
      <c r="D28" s="44">
        <f t="shared" si="49"/>
        <v>0</v>
      </c>
      <c r="E28" s="44">
        <f t="shared" si="11"/>
        <v>0</v>
      </c>
      <c r="F28" s="468">
        <f t="shared" si="12"/>
        <v>2351</v>
      </c>
      <c r="G28" s="51">
        <f t="shared" si="0"/>
        <v>0</v>
      </c>
      <c r="H28" s="468">
        <f t="shared" si="13"/>
        <v>51646</v>
      </c>
      <c r="I28" s="338">
        <f t="shared" si="1"/>
        <v>0</v>
      </c>
      <c r="J28" s="65">
        <f t="shared" si="14"/>
        <v>0</v>
      </c>
      <c r="K28" s="468">
        <f t="shared" si="15"/>
        <v>2482</v>
      </c>
      <c r="L28" s="51">
        <f t="shared" si="16"/>
        <v>0</v>
      </c>
      <c r="M28" s="63">
        <f t="shared" si="17"/>
        <v>185022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1958</v>
      </c>
      <c r="AD28" s="44">
        <f t="shared" si="7"/>
        <v>0</v>
      </c>
      <c r="AE28" s="468">
        <f t="shared" si="25"/>
        <v>367656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234.5</v>
      </c>
      <c r="C29" s="63">
        <f t="shared" si="10"/>
        <v>240</v>
      </c>
      <c r="D29" s="44">
        <f t="shared" si="49"/>
        <v>0</v>
      </c>
      <c r="E29" s="44">
        <f t="shared" si="11"/>
        <v>0</v>
      </c>
      <c r="F29" s="468">
        <f t="shared" si="12"/>
        <v>2351</v>
      </c>
      <c r="G29" s="51">
        <f t="shared" si="0"/>
        <v>0</v>
      </c>
      <c r="H29" s="468">
        <f t="shared" si="13"/>
        <v>51646</v>
      </c>
      <c r="I29" s="338">
        <f t="shared" si="1"/>
        <v>0</v>
      </c>
      <c r="J29" s="65">
        <f t="shared" si="14"/>
        <v>0</v>
      </c>
      <c r="K29" s="468">
        <f t="shared" si="15"/>
        <v>2482</v>
      </c>
      <c r="L29" s="51">
        <f t="shared" si="16"/>
        <v>0</v>
      </c>
      <c r="M29" s="63">
        <f t="shared" si="17"/>
        <v>185022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1958</v>
      </c>
      <c r="AD29" s="44">
        <f t="shared" si="7"/>
        <v>0</v>
      </c>
      <c r="AE29" s="468">
        <f t="shared" si="25"/>
        <v>367656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v>231</v>
      </c>
      <c r="C30" s="63">
        <v>238</v>
      </c>
      <c r="D30" s="44">
        <f>C29-C30</f>
        <v>2</v>
      </c>
      <c r="E30" s="44">
        <f>D30*8.38</f>
        <v>16.760000000000002</v>
      </c>
      <c r="F30" s="468">
        <v>2353</v>
      </c>
      <c r="G30" s="51">
        <f>F30-F29</f>
        <v>2</v>
      </c>
      <c r="H30" s="468">
        <v>51821</v>
      </c>
      <c r="I30" s="338">
        <f t="shared" si="1"/>
        <v>175</v>
      </c>
      <c r="J30" s="65">
        <f>IF(G30&gt;0,I30/G30,0)</f>
        <v>87.5</v>
      </c>
      <c r="K30" s="468">
        <f t="shared" si="15"/>
        <v>2482</v>
      </c>
      <c r="L30" s="51">
        <f>K30-K29</f>
        <v>0</v>
      </c>
      <c r="M30" s="63">
        <f t="shared" si="17"/>
        <v>185022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2</v>
      </c>
      <c r="V30" s="61">
        <f t="shared" si="19"/>
        <v>175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1958</v>
      </c>
      <c r="AD30" s="237">
        <f>AC30-AC29</f>
        <v>0</v>
      </c>
      <c r="AE30" s="468">
        <f t="shared" si="25"/>
        <v>367656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175</v>
      </c>
      <c r="AJ30" s="271">
        <f>-tanks!AW31</f>
        <v>175</v>
      </c>
      <c r="AK30" s="271">
        <f t="shared" si="28"/>
        <v>0</v>
      </c>
      <c r="AL30" s="271">
        <f t="shared" si="8"/>
        <v>2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v>228</v>
      </c>
      <c r="C31" s="63">
        <v>235</v>
      </c>
      <c r="D31" s="44">
        <f t="shared" si="49"/>
        <v>3</v>
      </c>
      <c r="E31" s="44">
        <f t="shared" si="11"/>
        <v>25.14</v>
      </c>
      <c r="F31" s="468">
        <v>2355</v>
      </c>
      <c r="G31" s="51">
        <f t="shared" si="0"/>
        <v>2</v>
      </c>
      <c r="H31" s="468">
        <v>51965</v>
      </c>
      <c r="I31" s="338">
        <f t="shared" si="1"/>
        <v>144</v>
      </c>
      <c r="J31" s="65">
        <f t="shared" si="14"/>
        <v>72</v>
      </c>
      <c r="K31" s="468">
        <v>2482</v>
      </c>
      <c r="L31" s="51">
        <f t="shared" si="16"/>
        <v>0</v>
      </c>
      <c r="M31" s="63">
        <f t="shared" si="17"/>
        <v>185022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2</v>
      </c>
      <c r="V31" s="61">
        <f t="shared" si="19"/>
        <v>144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v>1959</v>
      </c>
      <c r="AD31" s="237">
        <f t="shared" si="7"/>
        <v>1</v>
      </c>
      <c r="AE31" s="468">
        <v>367689</v>
      </c>
      <c r="AF31" s="263">
        <f t="shared" si="26"/>
        <v>33</v>
      </c>
      <c r="AG31" s="196">
        <f t="shared" si="39"/>
        <v>33</v>
      </c>
      <c r="AH31" s="61">
        <f t="shared" si="40"/>
        <v>33</v>
      </c>
      <c r="AI31" s="271">
        <f t="shared" si="27"/>
        <v>177</v>
      </c>
      <c r="AJ31" s="271">
        <f>-tanks!AW32</f>
        <v>177</v>
      </c>
      <c r="AK31" s="271">
        <f t="shared" si="28"/>
        <v>0</v>
      </c>
      <c r="AL31" s="271">
        <f t="shared" si="8"/>
        <v>2</v>
      </c>
      <c r="AM31" s="271">
        <f t="shared" si="29"/>
        <v>1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228</v>
      </c>
      <c r="C32" s="63">
        <f t="shared" si="10"/>
        <v>235</v>
      </c>
      <c r="D32" s="44">
        <f t="shared" si="49"/>
        <v>0</v>
      </c>
      <c r="E32" s="44">
        <f t="shared" si="11"/>
        <v>0</v>
      </c>
      <c r="F32" s="468">
        <f t="shared" si="12"/>
        <v>2355</v>
      </c>
      <c r="G32" s="51">
        <f t="shared" si="0"/>
        <v>0</v>
      </c>
      <c r="H32" s="468">
        <f t="shared" si="13"/>
        <v>51965</v>
      </c>
      <c r="I32" s="338">
        <f t="shared" si="1"/>
        <v>0</v>
      </c>
      <c r="J32" s="65">
        <f t="shared" si="14"/>
        <v>0</v>
      </c>
      <c r="K32" s="468">
        <f t="shared" si="15"/>
        <v>2482</v>
      </c>
      <c r="L32" s="51">
        <f t="shared" si="16"/>
        <v>0</v>
      </c>
      <c r="M32" s="63">
        <f t="shared" si="17"/>
        <v>185022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0</v>
      </c>
      <c r="V32" s="61">
        <f t="shared" si="19"/>
        <v>0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1959</v>
      </c>
      <c r="AD32" s="237">
        <f t="shared" si="7"/>
        <v>0</v>
      </c>
      <c r="AE32" s="468">
        <f t="shared" si="25"/>
        <v>367689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0</v>
      </c>
      <c r="AJ32" s="271">
        <f>-tanks!AW33</f>
        <v>0</v>
      </c>
      <c r="AK32" s="271">
        <f t="shared" si="28"/>
        <v>0</v>
      </c>
      <c r="AL32" s="271">
        <f t="shared" si="8"/>
        <v>0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228</v>
      </c>
      <c r="C33" s="63">
        <f t="shared" si="10"/>
        <v>235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2355</v>
      </c>
      <c r="G33" s="51">
        <f t="shared" ref="G33:G35" si="55">F33-F32</f>
        <v>0</v>
      </c>
      <c r="H33" s="468">
        <f t="shared" si="13"/>
        <v>51965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2482</v>
      </c>
      <c r="L33" s="51">
        <f t="shared" ref="L33:L35" si="58">K33-K32</f>
        <v>0</v>
      </c>
      <c r="M33" s="63">
        <f t="shared" si="17"/>
        <v>185022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1959</v>
      </c>
      <c r="AD33" s="237">
        <f t="shared" ref="AD33:AD35" si="68">AC33-AC32</f>
        <v>0</v>
      </c>
      <c r="AE33" s="468">
        <f t="shared" si="25"/>
        <v>367689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228</v>
      </c>
      <c r="C34" s="63">
        <f t="shared" si="10"/>
        <v>235</v>
      </c>
      <c r="D34" s="44">
        <f t="shared" si="53"/>
        <v>0</v>
      </c>
      <c r="E34" s="44">
        <f t="shared" si="54"/>
        <v>0</v>
      </c>
      <c r="F34" s="468">
        <f t="shared" si="12"/>
        <v>2355</v>
      </c>
      <c r="G34" s="51">
        <f t="shared" si="55"/>
        <v>0</v>
      </c>
      <c r="H34" s="468">
        <f t="shared" si="13"/>
        <v>51965</v>
      </c>
      <c r="I34" s="338">
        <f t="shared" si="56"/>
        <v>0</v>
      </c>
      <c r="J34" s="65">
        <f t="shared" si="57"/>
        <v>0</v>
      </c>
      <c r="K34" s="468">
        <f t="shared" si="15"/>
        <v>2482</v>
      </c>
      <c r="L34" s="51">
        <f t="shared" si="58"/>
        <v>0</v>
      </c>
      <c r="M34" s="63">
        <f t="shared" si="17"/>
        <v>185022</v>
      </c>
      <c r="N34" s="338">
        <f t="shared" si="59"/>
        <v>0</v>
      </c>
      <c r="O34" s="63">
        <f t="shared" si="48"/>
        <v>1869</v>
      </c>
      <c r="P34" s="468">
        <f t="shared" si="46"/>
        <v>2239</v>
      </c>
      <c r="Q34" s="468">
        <f t="shared" si="45"/>
        <v>187087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1959</v>
      </c>
      <c r="AD34" s="237">
        <f t="shared" si="68"/>
        <v>0</v>
      </c>
      <c r="AE34" s="468">
        <f t="shared" si="25"/>
        <v>367689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228</v>
      </c>
      <c r="C35" s="63">
        <f t="shared" si="10"/>
        <v>235</v>
      </c>
      <c r="D35" s="44">
        <f t="shared" si="53"/>
        <v>0</v>
      </c>
      <c r="E35" s="44">
        <f t="shared" si="54"/>
        <v>0</v>
      </c>
      <c r="F35" s="468">
        <f t="shared" ref="F35" si="78">F34</f>
        <v>2355</v>
      </c>
      <c r="G35" s="51">
        <f t="shared" si="55"/>
        <v>0</v>
      </c>
      <c r="H35" s="468">
        <f t="shared" ref="H35" si="79">H34</f>
        <v>51965</v>
      </c>
      <c r="I35" s="338">
        <f t="shared" si="56"/>
        <v>0</v>
      </c>
      <c r="J35" s="65">
        <f t="shared" si="57"/>
        <v>0</v>
      </c>
      <c r="K35" s="468">
        <f t="shared" si="15"/>
        <v>2482</v>
      </c>
      <c r="L35" s="51">
        <f t="shared" si="58"/>
        <v>0</v>
      </c>
      <c r="M35" s="63">
        <f t="shared" si="17"/>
        <v>185022</v>
      </c>
      <c r="N35" s="338">
        <f t="shared" si="59"/>
        <v>0</v>
      </c>
      <c r="O35" s="63">
        <f t="shared" si="48"/>
        <v>1869</v>
      </c>
      <c r="P35" s="468">
        <f t="shared" si="46"/>
        <v>2239</v>
      </c>
      <c r="Q35" s="468">
        <f t="shared" si="45"/>
        <v>187087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1959</v>
      </c>
      <c r="AD35" s="237">
        <f t="shared" si="68"/>
        <v>0</v>
      </c>
      <c r="AE35" s="468">
        <f t="shared" si="25"/>
        <v>367689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70.136363636363626</v>
      </c>
      <c r="U36" s="68">
        <f>SUM(U5:U35)</f>
        <v>35</v>
      </c>
      <c r="V36" s="61">
        <f>SUM(V5:V35)</f>
        <v>2723</v>
      </c>
      <c r="AE36" s="69" t="s">
        <v>49</v>
      </c>
      <c r="AG36" s="293"/>
      <c r="AH36" s="61">
        <f>SUM(AH5:AH35)</f>
        <v>521</v>
      </c>
      <c r="AL36" s="61">
        <f>SUM(AL5:AL35)</f>
        <v>35</v>
      </c>
      <c r="AM36" s="61">
        <f>SUM(AM5:AM35)</f>
        <v>5</v>
      </c>
      <c r="AP36" s="267"/>
      <c r="AQ36" s="267"/>
      <c r="AR36" s="267" t="s">
        <v>120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77.8</v>
      </c>
      <c r="AH37" s="61">
        <f>AF37+AA37</f>
        <v>0</v>
      </c>
      <c r="AI37" s="69">
        <f>SUM(AI5:AI35)</f>
        <v>3244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121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opLeftCell="U1" zoomScale="85" zoomScaleNormal="85" workbookViewId="0">
      <pane ySplit="3" topLeftCell="A10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8222283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16</v>
      </c>
      <c r="AU1" s="310"/>
      <c r="AV1" s="311" t="s">
        <v>17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2" t="s">
        <v>123</v>
      </c>
      <c r="AS2" s="553"/>
      <c r="AT2" s="553"/>
      <c r="AU2" s="553"/>
      <c r="AV2" s="554"/>
      <c r="AW2" s="552" t="s">
        <v>124</v>
      </c>
      <c r="AX2" s="553"/>
      <c r="AY2" s="554"/>
      <c r="AZ2" s="552" t="s">
        <v>125</v>
      </c>
      <c r="BA2" s="553"/>
      <c r="BB2" s="554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9" t="s">
        <v>160</v>
      </c>
      <c r="AO3" s="550"/>
      <c r="AP3" s="551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[1]WATER!$A$35</f>
        <v>44895</v>
      </c>
      <c r="B5" s="349">
        <f>[1]WATER!B35</f>
        <v>109443</v>
      </c>
      <c r="C5" s="349">
        <f>[1]WATER!C35</f>
        <v>0</v>
      </c>
      <c r="D5" s="349">
        <f>[1]WATER!D35</f>
        <v>0</v>
      </c>
      <c r="E5" s="349">
        <f>[1]WATER!E35</f>
        <v>250</v>
      </c>
      <c r="F5" s="349">
        <f>[1]WATER!F35</f>
        <v>0</v>
      </c>
      <c r="G5" s="349">
        <f>[1]WATER!G35</f>
        <v>631827</v>
      </c>
      <c r="H5" s="349">
        <f>[1]WATER!H35</f>
        <v>69</v>
      </c>
      <c r="I5" s="349">
        <f>[1]WATER!I35</f>
        <v>69</v>
      </c>
      <c r="J5" s="349">
        <f>[1]WATER!J35</f>
        <v>3.6231884057971016</v>
      </c>
      <c r="K5" s="349">
        <f>[1]WATER!K35</f>
        <v>7089</v>
      </c>
      <c r="L5" s="349">
        <f>[1]WATER!L35</f>
        <v>0</v>
      </c>
      <c r="M5" s="349">
        <f>[1]WATER!M35</f>
        <v>457.44</v>
      </c>
      <c r="N5" s="349">
        <f>[1]WATER!N35</f>
        <v>0</v>
      </c>
      <c r="O5" s="349">
        <f>[1]WATER!O35</f>
        <v>529.52</v>
      </c>
      <c r="P5" s="349">
        <f>[1]WATER!P35</f>
        <v>0</v>
      </c>
      <c r="Q5" s="349">
        <f>[1]WATER!Q35</f>
        <v>0</v>
      </c>
      <c r="R5" s="349">
        <f>[1]WATER!R35</f>
        <v>0</v>
      </c>
      <c r="S5" s="349">
        <f>[1]WATER!S35</f>
        <v>0</v>
      </c>
      <c r="T5" s="349">
        <f>[1]WATER!T35</f>
        <v>5196</v>
      </c>
      <c r="U5" s="349">
        <f>[1]WATER!U35</f>
        <v>0</v>
      </c>
      <c r="V5" s="349">
        <f>[1]WATER!V35</f>
        <v>505</v>
      </c>
      <c r="W5" s="349">
        <f>[1]WATER!W35</f>
        <v>0</v>
      </c>
      <c r="X5" s="349">
        <f>[1]WATER!X35</f>
        <v>156326</v>
      </c>
      <c r="Y5" s="349">
        <f>[1]WATER!Y35</f>
        <v>0</v>
      </c>
      <c r="Z5" s="349">
        <f>[1]WATER!Z35</f>
        <v>99778</v>
      </c>
      <c r="AA5" s="349">
        <f>[1]WATER!AA35</f>
        <v>0</v>
      </c>
      <c r="AB5" s="349">
        <f>[1]WATER!AB35</f>
        <v>251</v>
      </c>
      <c r="AC5" s="349">
        <f>[1]WATER!AC35</f>
        <v>855</v>
      </c>
      <c r="AD5" s="349">
        <f>[1]WATER!AD35</f>
        <v>0</v>
      </c>
      <c r="AE5" s="349">
        <f>[1]WATER!AE35</f>
        <v>250.96</v>
      </c>
      <c r="AF5" s="349">
        <f>[1]WATER!AF35</f>
        <v>0</v>
      </c>
      <c r="AG5" s="349">
        <f>[1]WATER!AG35</f>
        <v>2247.41</v>
      </c>
      <c r="AH5" s="349">
        <f>[1]WATER!AH35</f>
        <v>0</v>
      </c>
      <c r="AI5" s="349">
        <f>[1]WATER!AI35</f>
        <v>0</v>
      </c>
      <c r="AJ5" s="349">
        <f>[1]WATER!AJ35</f>
        <v>0</v>
      </c>
      <c r="AK5" s="349">
        <f>[1]WATER!AK35</f>
        <v>0</v>
      </c>
      <c r="AL5" s="349">
        <f>[1]WATER!AL35</f>
        <v>0</v>
      </c>
      <c r="AM5" s="349">
        <f>[1]WATER!AM35</f>
        <v>19.5</v>
      </c>
      <c r="AN5" s="349">
        <f>[1]WATER!AN35</f>
        <v>0</v>
      </c>
      <c r="AO5" s="349">
        <f>[1]WATER!AO35</f>
        <v>0</v>
      </c>
      <c r="AP5" s="349">
        <f>[1]WATER!AP35</f>
        <v>0</v>
      </c>
      <c r="AR5" s="472">
        <f>[1]WATER!$AR$35</f>
        <v>44895</v>
      </c>
      <c r="AS5" s="349">
        <f>[1]WATER!AS36</f>
        <v>0.9</v>
      </c>
      <c r="AT5" s="349">
        <f>[1]WATER!AT36</f>
        <v>170</v>
      </c>
      <c r="AU5" s="349">
        <f>[1]WATER!AU36</f>
        <v>1.1000000000000001</v>
      </c>
      <c r="AV5" s="349">
        <f>[1]WATER!AV36</f>
        <v>89</v>
      </c>
      <c r="AW5" s="349">
        <f>[1]WATER!AW36</f>
        <v>2.9</v>
      </c>
      <c r="AX5" s="349">
        <f>[1]WATER!AX36</f>
        <v>140</v>
      </c>
      <c r="AY5" s="349">
        <f>[1]WATER!AY36</f>
        <v>153</v>
      </c>
      <c r="AZ5" s="349">
        <f>[1]WATER!AZ36</f>
        <v>97.9</v>
      </c>
      <c r="BA5" s="349">
        <f>[1]WATER!BA36</f>
        <v>406</v>
      </c>
      <c r="BB5" s="349">
        <f>[1]WATER!BB36</f>
        <v>0</v>
      </c>
      <c r="BC5" s="349">
        <f>[1]WATER!BC36</f>
        <v>0</v>
      </c>
      <c r="BD5" s="349">
        <f>[1]WATER!BD36</f>
        <v>0</v>
      </c>
      <c r="BE5" s="349">
        <f>[1]WATER!BE36</f>
        <v>0</v>
      </c>
      <c r="BF5" s="349">
        <f>[1]WATER!BF36</f>
        <v>0</v>
      </c>
      <c r="BG5" s="349">
        <f>[1]WATER!BG36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v>632223</v>
      </c>
      <c r="H18" s="5">
        <f t="shared" si="9"/>
        <v>95</v>
      </c>
      <c r="I18" s="5">
        <f t="shared" si="10"/>
        <v>95</v>
      </c>
      <c r="J18" s="286">
        <f t="shared" si="0"/>
        <v>2.5466893039049237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v>511</v>
      </c>
      <c r="W18" s="276">
        <f t="shared" si="16"/>
        <v>5</v>
      </c>
      <c r="X18" s="5">
        <f t="shared" si="17"/>
        <v>156454</v>
      </c>
      <c r="Y18" s="276">
        <f t="shared" si="43"/>
        <v>0</v>
      </c>
      <c r="Z18" s="5">
        <v>99898</v>
      </c>
      <c r="AA18" s="80">
        <f t="shared" si="19"/>
        <v>120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120</v>
      </c>
      <c r="AK18" s="279">
        <f>SUM(Y18-L18)</f>
        <v>0</v>
      </c>
      <c r="AL18" s="279">
        <f t="shared" si="28"/>
        <v>115</v>
      </c>
      <c r="AM18" s="279">
        <f>'General information '!D17</f>
        <v>20.5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v>112</v>
      </c>
      <c r="AU18" s="364">
        <f t="shared" si="44"/>
        <v>1.1000000000000001</v>
      </c>
      <c r="AV18" s="190">
        <v>147</v>
      </c>
      <c r="AW18" s="5">
        <v>2.9</v>
      </c>
      <c r="AX18" s="190">
        <f t="shared" si="32"/>
        <v>130</v>
      </c>
      <c r="AY18" s="365">
        <f t="shared" si="38"/>
        <v>100.8</v>
      </c>
      <c r="AZ18" s="365">
        <f t="shared" si="39"/>
        <v>161.70000000000002</v>
      </c>
      <c r="BA18" s="365">
        <f t="shared" si="40"/>
        <v>377</v>
      </c>
      <c r="BB18" s="20">
        <f t="shared" si="41"/>
        <v>-25.200000000000003</v>
      </c>
      <c r="BC18" s="20">
        <f t="shared" si="33"/>
        <v>55.000000000000014</v>
      </c>
      <c r="BD18" s="20">
        <f t="shared" si="33"/>
        <v>0</v>
      </c>
      <c r="BE18" s="23">
        <f t="shared" si="34"/>
        <v>29.800000000000011</v>
      </c>
      <c r="BF18" s="79">
        <f t="shared" si="35"/>
        <v>65.199999999999989</v>
      </c>
      <c r="BG18" s="79">
        <f t="shared" si="4"/>
        <v>29.800000000000011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632223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511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99898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19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112</v>
      </c>
      <c r="AU19" s="364">
        <f t="shared" si="44"/>
        <v>1.1000000000000001</v>
      </c>
      <c r="AV19" s="190">
        <v>145</v>
      </c>
      <c r="AW19" s="5">
        <v>2.9</v>
      </c>
      <c r="AX19" s="190">
        <v>128</v>
      </c>
      <c r="AY19" s="365">
        <f>AS19*AT19</f>
        <v>100.8</v>
      </c>
      <c r="AZ19" s="365">
        <f>AU19*AV19</f>
        <v>159.5</v>
      </c>
      <c r="BA19" s="365">
        <f>AW19*AX19</f>
        <v>371.2</v>
      </c>
      <c r="BB19" s="20">
        <f t="shared" si="41"/>
        <v>0</v>
      </c>
      <c r="BC19" s="20">
        <f t="shared" ref="BC19:BD20" si="48">AZ19-AZ18</f>
        <v>-2.2000000000000171</v>
      </c>
      <c r="BD19" s="20">
        <f t="shared" si="48"/>
        <v>-5.8000000000000114</v>
      </c>
      <c r="BE19" s="23">
        <f>SUM(BB19:BD19)</f>
        <v>-8.0000000000000284</v>
      </c>
      <c r="BF19" s="79">
        <f t="shared" si="35"/>
        <v>8.0000000000000284</v>
      </c>
      <c r="BG19" s="79">
        <f t="shared" si="4"/>
        <v>-8.0000000000000284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632223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511</v>
      </c>
      <c r="W20" s="276">
        <f t="shared" si="16"/>
        <v>0</v>
      </c>
      <c r="X20" s="5">
        <v>156588</v>
      </c>
      <c r="Y20" s="276">
        <f t="shared" si="43"/>
        <v>134</v>
      </c>
      <c r="Z20" s="5">
        <f t="shared" si="18"/>
        <v>99898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134</v>
      </c>
      <c r="AL20" s="279">
        <f t="shared" si="28"/>
        <v>0</v>
      </c>
      <c r="AM20" s="279">
        <f>'General information '!D19</f>
        <v>19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v>40</v>
      </c>
      <c r="AU20" s="364">
        <f t="shared" si="44"/>
        <v>1.1000000000000001</v>
      </c>
      <c r="AV20" s="190">
        <v>140</v>
      </c>
      <c r="AW20" s="5">
        <v>2.9</v>
      </c>
      <c r="AX20" s="190">
        <v>163</v>
      </c>
      <c r="AY20" s="365">
        <f>AS20*AT20</f>
        <v>36</v>
      </c>
      <c r="AZ20" s="365">
        <f>AU20*AV20</f>
        <v>154</v>
      </c>
      <c r="BA20" s="365">
        <f>AW20*AX20</f>
        <v>472.7</v>
      </c>
      <c r="BB20" s="20">
        <f t="shared" si="41"/>
        <v>-64.8</v>
      </c>
      <c r="BC20" s="20">
        <f t="shared" si="48"/>
        <v>-5.5</v>
      </c>
      <c r="BD20" s="20">
        <f t="shared" si="48"/>
        <v>101.5</v>
      </c>
      <c r="BE20" s="23">
        <f>SUM(BB20:BD20)</f>
        <v>31.200000000000003</v>
      </c>
      <c r="BF20" s="79">
        <f t="shared" si="35"/>
        <v>-31.200000000000003</v>
      </c>
      <c r="BG20" s="79">
        <f t="shared" si="4"/>
        <v>31.200000000000003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632223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511</v>
      </c>
      <c r="W21" s="276">
        <f t="shared" si="16"/>
        <v>0</v>
      </c>
      <c r="X21" s="5">
        <f t="shared" si="17"/>
        <v>156588</v>
      </c>
      <c r="Y21" s="276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40</v>
      </c>
      <c r="AU21" s="364">
        <f t="shared" si="44"/>
        <v>1.1000000000000001</v>
      </c>
      <c r="AV21" s="190">
        <f t="shared" si="31"/>
        <v>140</v>
      </c>
      <c r="AW21" s="5">
        <v>2.9</v>
      </c>
      <c r="AX21" s="190">
        <f t="shared" si="32"/>
        <v>163</v>
      </c>
      <c r="AY21" s="365">
        <f>AS21*AT21</f>
        <v>36</v>
      </c>
      <c r="AZ21" s="365">
        <f>AU21*AV21</f>
        <v>154</v>
      </c>
      <c r="BA21" s="365">
        <f>AW21*AX21</f>
        <v>472.7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632223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511</v>
      </c>
      <c r="W22" s="276">
        <f t="shared" si="16"/>
        <v>0</v>
      </c>
      <c r="X22" s="5">
        <f t="shared" si="17"/>
        <v>156588</v>
      </c>
      <c r="Y22" s="276">
        <f t="shared" si="43"/>
        <v>0</v>
      </c>
      <c r="Z22" s="5">
        <f t="shared" si="18"/>
        <v>99898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40</v>
      </c>
      <c r="AU22" s="364">
        <f t="shared" si="44"/>
        <v>1.1000000000000001</v>
      </c>
      <c r="AV22" s="190">
        <f t="shared" si="31"/>
        <v>140</v>
      </c>
      <c r="AW22" s="5">
        <v>2.9</v>
      </c>
      <c r="AX22" s="190">
        <f t="shared" si="32"/>
        <v>163</v>
      </c>
      <c r="AY22" s="365">
        <f t="shared" si="38"/>
        <v>36</v>
      </c>
      <c r="AZ22" s="365">
        <f t="shared" si="39"/>
        <v>154</v>
      </c>
      <c r="BA22" s="365">
        <f t="shared" si="40"/>
        <v>472.7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v>632260</v>
      </c>
      <c r="H23" s="5">
        <f t="shared" si="9"/>
        <v>37</v>
      </c>
      <c r="I23" s="5">
        <f t="shared" si="10"/>
        <v>37</v>
      </c>
      <c r="J23" s="286">
        <f t="shared" si="0"/>
        <v>6.5387968613775067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511</v>
      </c>
      <c r="W23" s="276">
        <f t="shared" si="16"/>
        <v>0</v>
      </c>
      <c r="X23" s="5">
        <f t="shared" si="17"/>
        <v>156588</v>
      </c>
      <c r="Y23" s="276">
        <f t="shared" si="43"/>
        <v>0</v>
      </c>
      <c r="Z23" s="5">
        <f t="shared" si="18"/>
        <v>99898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19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v>68</v>
      </c>
      <c r="AU23" s="364">
        <f t="shared" si="44"/>
        <v>1.1000000000000001</v>
      </c>
      <c r="AV23" s="190">
        <v>138</v>
      </c>
      <c r="AW23" s="5">
        <v>2.9</v>
      </c>
      <c r="AX23" s="190">
        <v>161</v>
      </c>
      <c r="AY23" s="365">
        <f t="shared" si="38"/>
        <v>61.2</v>
      </c>
      <c r="AZ23" s="365">
        <f t="shared" si="39"/>
        <v>151.80000000000001</v>
      </c>
      <c r="BA23" s="365">
        <f t="shared" si="40"/>
        <v>466.9</v>
      </c>
      <c r="BB23" s="20">
        <f t="shared" si="41"/>
        <v>25.200000000000003</v>
      </c>
      <c r="BC23" s="20">
        <f t="shared" si="50"/>
        <v>-2.1999999999999886</v>
      </c>
      <c r="BD23" s="20">
        <f t="shared" si="50"/>
        <v>-5.8000000000000114</v>
      </c>
      <c r="BE23" s="23">
        <f t="shared" si="34"/>
        <v>17.200000000000003</v>
      </c>
      <c r="BF23" s="79">
        <f t="shared" si="35"/>
        <v>19.799999999999997</v>
      </c>
      <c r="BG23" s="79">
        <f t="shared" si="4"/>
        <v>17.200000000000003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v>632483</v>
      </c>
      <c r="H24" s="5">
        <f t="shared" si="9"/>
        <v>223</v>
      </c>
      <c r="I24" s="5">
        <f t="shared" si="10"/>
        <v>223</v>
      </c>
      <c r="J24" s="286">
        <f t="shared" si="0"/>
        <v>1.0849124837263127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511</v>
      </c>
      <c r="W24" s="276">
        <f t="shared" si="16"/>
        <v>0</v>
      </c>
      <c r="X24" s="5">
        <f t="shared" si="17"/>
        <v>156588</v>
      </c>
      <c r="Y24" s="276">
        <f t="shared" si="43"/>
        <v>0</v>
      </c>
      <c r="Z24" s="5">
        <f t="shared" si="18"/>
        <v>99898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18.5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68</v>
      </c>
      <c r="AU24" s="364">
        <f t="shared" si="44"/>
        <v>1.1000000000000001</v>
      </c>
      <c r="AV24" s="190">
        <f t="shared" si="31"/>
        <v>138</v>
      </c>
      <c r="AW24" s="5">
        <v>2.9</v>
      </c>
      <c r="AX24" s="190">
        <f t="shared" si="32"/>
        <v>161</v>
      </c>
      <c r="AY24" s="365">
        <f t="shared" si="38"/>
        <v>61.2</v>
      </c>
      <c r="AZ24" s="365">
        <f t="shared" si="39"/>
        <v>151.80000000000001</v>
      </c>
      <c r="BA24" s="365">
        <f t="shared" si="40"/>
        <v>466.9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223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v>632492</v>
      </c>
      <c r="H25" s="5">
        <f t="shared" si="9"/>
        <v>9</v>
      </c>
      <c r="I25" s="5">
        <f t="shared" si="10"/>
        <v>9</v>
      </c>
      <c r="J25" s="286">
        <f t="shared" si="0"/>
        <v>26.881720430107528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v>512</v>
      </c>
      <c r="W25" s="276">
        <f t="shared" si="16"/>
        <v>1</v>
      </c>
      <c r="X25" s="5">
        <f t="shared" si="17"/>
        <v>156588</v>
      </c>
      <c r="Y25" s="276">
        <f t="shared" si="43"/>
        <v>0</v>
      </c>
      <c r="Z25" s="5">
        <f t="shared" si="18"/>
        <v>99898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>SUM(AJ25-W25)</f>
        <v>-1</v>
      </c>
      <c r="AM25" s="279">
        <f>'General information '!D24</f>
        <v>18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v>146</v>
      </c>
      <c r="AU25" s="364">
        <f t="shared" si="44"/>
        <v>1.1000000000000001</v>
      </c>
      <c r="AV25" s="190">
        <v>133</v>
      </c>
      <c r="AW25" s="5">
        <v>2.9</v>
      </c>
      <c r="AX25" s="190">
        <v>157</v>
      </c>
      <c r="AY25" s="365">
        <f t="shared" si="38"/>
        <v>131.4</v>
      </c>
      <c r="AZ25" s="365">
        <f t="shared" si="39"/>
        <v>146.30000000000001</v>
      </c>
      <c r="BA25" s="365">
        <f t="shared" si="40"/>
        <v>455.3</v>
      </c>
      <c r="BB25" s="20">
        <f t="shared" si="41"/>
        <v>70.2</v>
      </c>
      <c r="BC25" s="20">
        <f t="shared" si="50"/>
        <v>-5.5</v>
      </c>
      <c r="BD25" s="20">
        <f t="shared" si="50"/>
        <v>-11.599999999999966</v>
      </c>
      <c r="BE25" s="23">
        <f t="shared" si="34"/>
        <v>53.100000000000037</v>
      </c>
      <c r="BF25" s="79">
        <f t="shared" si="35"/>
        <v>-44.100000000000037</v>
      </c>
      <c r="BG25" s="79">
        <f t="shared" si="4"/>
        <v>53.100000000000037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632492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512</v>
      </c>
      <c r="W26" s="276">
        <f t="shared" si="16"/>
        <v>0</v>
      </c>
      <c r="X26" s="5">
        <f t="shared" si="17"/>
        <v>156588</v>
      </c>
      <c r="Y26" s="276">
        <f t="shared" si="43"/>
        <v>0</v>
      </c>
      <c r="Z26" s="5">
        <f t="shared" si="18"/>
        <v>99898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16.5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146</v>
      </c>
      <c r="AU26" s="364">
        <f t="shared" si="44"/>
        <v>1.1000000000000001</v>
      </c>
      <c r="AV26" s="190">
        <f t="shared" si="31"/>
        <v>133</v>
      </c>
      <c r="AW26" s="5">
        <v>2.9</v>
      </c>
      <c r="AX26" s="190">
        <f t="shared" si="32"/>
        <v>157</v>
      </c>
      <c r="AY26" s="365">
        <f t="shared" si="38"/>
        <v>131.4</v>
      </c>
      <c r="AZ26" s="365">
        <f t="shared" si="39"/>
        <v>146.30000000000001</v>
      </c>
      <c r="BA26" s="365">
        <f t="shared" si="40"/>
        <v>455.3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v>632582</v>
      </c>
      <c r="H27" s="5">
        <f t="shared" si="9"/>
        <v>90</v>
      </c>
      <c r="I27" s="5">
        <f t="shared" si="10"/>
        <v>90</v>
      </c>
      <c r="J27" s="286">
        <f t="shared" si="0"/>
        <v>2.6881720430107525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512</v>
      </c>
      <c r="W27" s="276">
        <f t="shared" si="16"/>
        <v>0</v>
      </c>
      <c r="X27" s="5">
        <f t="shared" si="17"/>
        <v>156588</v>
      </c>
      <c r="Y27" s="276">
        <f t="shared" si="43"/>
        <v>0</v>
      </c>
      <c r="Z27" s="5">
        <f t="shared" si="18"/>
        <v>99898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v>262.47000000000003</v>
      </c>
      <c r="AF27" s="80">
        <f t="shared" si="23"/>
        <v>3.1500000000000341</v>
      </c>
      <c r="AG27" s="5">
        <f t="shared" si="24"/>
        <v>2247.41</v>
      </c>
      <c r="AH27" s="80">
        <f t="shared" si="25"/>
        <v>0</v>
      </c>
      <c r="AI27" s="80">
        <f t="shared" si="26"/>
        <v>3.1500000000000341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16.5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v>176</v>
      </c>
      <c r="AU27" s="364">
        <f t="shared" si="44"/>
        <v>1.1000000000000001</v>
      </c>
      <c r="AV27" s="190">
        <v>128</v>
      </c>
      <c r="AW27" s="5">
        <v>2.9</v>
      </c>
      <c r="AX27" s="190">
        <v>155</v>
      </c>
      <c r="AY27" s="365">
        <f t="shared" si="38"/>
        <v>158.4</v>
      </c>
      <c r="AZ27" s="365">
        <f t="shared" si="39"/>
        <v>140.80000000000001</v>
      </c>
      <c r="BA27" s="365">
        <f t="shared" si="40"/>
        <v>449.5</v>
      </c>
      <c r="BB27" s="20">
        <f t="shared" si="41"/>
        <v>27</v>
      </c>
      <c r="BC27" s="20">
        <f t="shared" si="50"/>
        <v>-5.5</v>
      </c>
      <c r="BD27" s="20">
        <f t="shared" si="50"/>
        <v>-5.8000000000000114</v>
      </c>
      <c r="BE27" s="23">
        <f t="shared" si="34"/>
        <v>15.699999999999989</v>
      </c>
      <c r="BF27" s="79">
        <f t="shared" si="35"/>
        <v>74.300000000000011</v>
      </c>
      <c r="BG27" s="79">
        <f t="shared" si="4"/>
        <v>15.699999999999989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632582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512</v>
      </c>
      <c r="W28" s="276">
        <f t="shared" si="16"/>
        <v>0</v>
      </c>
      <c r="X28" s="5">
        <f t="shared" si="17"/>
        <v>156588</v>
      </c>
      <c r="Y28" s="276">
        <f t="shared" si="43"/>
        <v>0</v>
      </c>
      <c r="Z28" s="5">
        <f t="shared" si="18"/>
        <v>99898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176</v>
      </c>
      <c r="AU28" s="364">
        <f t="shared" si="44"/>
        <v>1.1000000000000001</v>
      </c>
      <c r="AV28" s="190">
        <f t="shared" si="31"/>
        <v>128</v>
      </c>
      <c r="AW28" s="5">
        <v>2.9</v>
      </c>
      <c r="AX28" s="190">
        <f t="shared" si="32"/>
        <v>155</v>
      </c>
      <c r="AY28" s="365">
        <f t="shared" si="38"/>
        <v>158.4</v>
      </c>
      <c r="AZ28" s="365">
        <f t="shared" si="39"/>
        <v>140.80000000000001</v>
      </c>
      <c r="BA28" s="365">
        <f t="shared" si="40"/>
        <v>449.5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632582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512</v>
      </c>
      <c r="W29" s="276">
        <f t="shared" si="16"/>
        <v>0</v>
      </c>
      <c r="X29" s="5">
        <f t="shared" si="17"/>
        <v>156588</v>
      </c>
      <c r="Y29" s="276">
        <f t="shared" si="43"/>
        <v>0</v>
      </c>
      <c r="Z29" s="5">
        <f t="shared" si="18"/>
        <v>99898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176</v>
      </c>
      <c r="AU29" s="364">
        <f t="shared" si="44"/>
        <v>1.1000000000000001</v>
      </c>
      <c r="AV29" s="190">
        <f t="shared" si="31"/>
        <v>128</v>
      </c>
      <c r="AW29" s="5">
        <v>2.9</v>
      </c>
      <c r="AX29" s="190">
        <f t="shared" si="32"/>
        <v>155</v>
      </c>
      <c r="AY29" s="365">
        <f t="shared" si="38"/>
        <v>158.4</v>
      </c>
      <c r="AZ29" s="365">
        <f t="shared" si="39"/>
        <v>140.80000000000001</v>
      </c>
      <c r="BA29" s="365">
        <f t="shared" si="40"/>
        <v>449.5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632582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512</v>
      </c>
      <c r="W30" s="276">
        <f t="shared" si="16"/>
        <v>0</v>
      </c>
      <c r="X30" s="5">
        <f t="shared" si="17"/>
        <v>156588</v>
      </c>
      <c r="Y30" s="276">
        <f t="shared" si="43"/>
        <v>0</v>
      </c>
      <c r="Z30" s="5">
        <f t="shared" si="18"/>
        <v>99898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176</v>
      </c>
      <c r="AU30" s="364">
        <f t="shared" si="44"/>
        <v>1.1000000000000001</v>
      </c>
      <c r="AV30" s="190">
        <f t="shared" si="31"/>
        <v>128</v>
      </c>
      <c r="AW30" s="5">
        <v>2.9</v>
      </c>
      <c r="AX30" s="190">
        <f t="shared" si="32"/>
        <v>155</v>
      </c>
      <c r="AY30" s="365">
        <f t="shared" si="38"/>
        <v>158.4</v>
      </c>
      <c r="AZ30" s="365">
        <f t="shared" si="39"/>
        <v>140.80000000000001</v>
      </c>
      <c r="BA30" s="365">
        <f t="shared" si="40"/>
        <v>449.5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v>632594</v>
      </c>
      <c r="H31" s="5">
        <f t="shared" si="9"/>
        <v>12</v>
      </c>
      <c r="I31" s="5">
        <f t="shared" si="10"/>
        <v>12</v>
      </c>
      <c r="J31" s="286">
        <f t="shared" si="0"/>
        <v>20.161290322580644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512</v>
      </c>
      <c r="W31" s="276">
        <f t="shared" si="16"/>
        <v>0</v>
      </c>
      <c r="X31" s="5">
        <f t="shared" si="17"/>
        <v>156588</v>
      </c>
      <c r="Y31" s="276">
        <f t="shared" si="43"/>
        <v>0</v>
      </c>
      <c r="Z31" s="5">
        <f t="shared" si="18"/>
        <v>99898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13.5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v>185</v>
      </c>
      <c r="AU31" s="364">
        <f t="shared" si="44"/>
        <v>1.1000000000000001</v>
      </c>
      <c r="AV31" s="190">
        <v>127</v>
      </c>
      <c r="AW31" s="5">
        <v>2.9</v>
      </c>
      <c r="AX31" s="190">
        <v>152</v>
      </c>
      <c r="AY31" s="365">
        <f t="shared" si="38"/>
        <v>166.5</v>
      </c>
      <c r="AZ31" s="365">
        <f>AU31*AV31</f>
        <v>139.70000000000002</v>
      </c>
      <c r="BA31" s="365">
        <f t="shared" si="40"/>
        <v>440.8</v>
      </c>
      <c r="BB31" s="20">
        <f t="shared" si="41"/>
        <v>8.0999999999999943</v>
      </c>
      <c r="BC31" s="20">
        <f t="shared" si="50"/>
        <v>-1.0999999999999943</v>
      </c>
      <c r="BD31" s="20">
        <f t="shared" si="50"/>
        <v>-8.6999999999999886</v>
      </c>
      <c r="BE31" s="23">
        <f t="shared" si="34"/>
        <v>-1.6999999999999886</v>
      </c>
      <c r="BF31" s="79">
        <f t="shared" si="35"/>
        <v>13.699999999999989</v>
      </c>
      <c r="BG31" s="79">
        <f t="shared" si="4"/>
        <v>-1.6999999999999886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632594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512</v>
      </c>
      <c r="W32" s="276">
        <f t="shared" si="16"/>
        <v>0</v>
      </c>
      <c r="X32" s="5">
        <f t="shared" si="17"/>
        <v>156588</v>
      </c>
      <c r="Y32" s="276">
        <f t="shared" si="43"/>
        <v>0</v>
      </c>
      <c r="Z32" s="5">
        <f t="shared" si="18"/>
        <v>99898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65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v>185</v>
      </c>
      <c r="AU32" s="364">
        <f t="shared" si="44"/>
        <v>1.1000000000000001</v>
      </c>
      <c r="AV32" s="190">
        <v>120</v>
      </c>
      <c r="AW32" s="5">
        <v>2.9</v>
      </c>
      <c r="AX32" s="190">
        <v>150</v>
      </c>
      <c r="AY32" s="365">
        <f t="shared" si="38"/>
        <v>166.5</v>
      </c>
      <c r="AZ32" s="365">
        <f t="shared" si="39"/>
        <v>132</v>
      </c>
      <c r="BA32" s="365">
        <f t="shared" si="40"/>
        <v>435</v>
      </c>
      <c r="BB32" s="20">
        <f t="shared" si="41"/>
        <v>0</v>
      </c>
      <c r="BC32" s="20">
        <f t="shared" si="50"/>
        <v>-7.7000000000000171</v>
      </c>
      <c r="BD32" s="20">
        <f t="shared" si="50"/>
        <v>-5.8000000000000114</v>
      </c>
      <c r="BE32" s="23">
        <f t="shared" si="34"/>
        <v>-13.500000000000028</v>
      </c>
      <c r="BF32" s="79">
        <f t="shared" si="35"/>
        <v>13.500000000000028</v>
      </c>
      <c r="BG32" s="79">
        <f t="shared" si="4"/>
        <v>-13.500000000000028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632594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512</v>
      </c>
      <c r="W33" s="276">
        <f t="shared" si="16"/>
        <v>0</v>
      </c>
      <c r="X33" s="5">
        <f t="shared" si="17"/>
        <v>156588</v>
      </c>
      <c r="Y33" s="276">
        <f t="shared" si="43"/>
        <v>0</v>
      </c>
      <c r="Z33" s="5">
        <f t="shared" si="18"/>
        <v>99898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185</v>
      </c>
      <c r="AU33" s="364">
        <f t="shared" si="44"/>
        <v>1.1000000000000001</v>
      </c>
      <c r="AV33" s="190">
        <f t="shared" si="31"/>
        <v>120</v>
      </c>
      <c r="AW33" s="5">
        <v>2.9</v>
      </c>
      <c r="AX33" s="190">
        <f t="shared" si="32"/>
        <v>150</v>
      </c>
      <c r="AY33" s="365">
        <f t="shared" si="38"/>
        <v>166.5</v>
      </c>
      <c r="AZ33" s="365">
        <f t="shared" si="39"/>
        <v>132</v>
      </c>
      <c r="BA33" s="365">
        <f t="shared" si="40"/>
        <v>435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632594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512</v>
      </c>
      <c r="W34" s="276">
        <f t="shared" ref="W34:W36" si="61">+V34-V33</f>
        <v>0</v>
      </c>
      <c r="X34" s="5">
        <f t="shared" si="17"/>
        <v>156588</v>
      </c>
      <c r="Y34" s="276">
        <f t="shared" ref="Y34:Y36" si="62">SUM(X34-X33)</f>
        <v>0</v>
      </c>
      <c r="Z34" s="5">
        <f t="shared" si="18"/>
        <v>99898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262.47000000000003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185</v>
      </c>
      <c r="AU34" s="364">
        <f t="shared" si="44"/>
        <v>1.1000000000000001</v>
      </c>
      <c r="AV34" s="190">
        <f t="shared" si="31"/>
        <v>120</v>
      </c>
      <c r="AW34" s="5">
        <v>2.9</v>
      </c>
      <c r="AX34" s="190">
        <f t="shared" si="32"/>
        <v>150</v>
      </c>
      <c r="AY34" s="365">
        <f t="shared" ref="AY34:AY36" si="72">AS34*AT34</f>
        <v>166.5</v>
      </c>
      <c r="AZ34" s="365">
        <f t="shared" ref="AZ34:AZ36" si="73">AU34*AV34</f>
        <v>132</v>
      </c>
      <c r="BA34" s="365">
        <f t="shared" ref="BA34:BA36" si="74">AW34*AX34</f>
        <v>435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632594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512</v>
      </c>
      <c r="W35" s="276">
        <f t="shared" si="61"/>
        <v>0</v>
      </c>
      <c r="X35" s="5">
        <f t="shared" si="17"/>
        <v>156588</v>
      </c>
      <c r="Y35" s="276">
        <f t="shared" si="62"/>
        <v>0</v>
      </c>
      <c r="Z35" s="5">
        <f t="shared" si="18"/>
        <v>99898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262.47000000000003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185</v>
      </c>
      <c r="AU35" s="364">
        <f t="shared" si="44"/>
        <v>1.1000000000000001</v>
      </c>
      <c r="AV35" s="190">
        <f t="shared" si="31"/>
        <v>120</v>
      </c>
      <c r="AW35" s="5">
        <v>2.9</v>
      </c>
      <c r="AX35" s="190">
        <f t="shared" si="32"/>
        <v>150</v>
      </c>
      <c r="AY35" s="365">
        <f t="shared" si="72"/>
        <v>166.5</v>
      </c>
      <c r="AZ35" s="365">
        <f t="shared" si="73"/>
        <v>132</v>
      </c>
      <c r="BA35" s="365">
        <f t="shared" si="74"/>
        <v>435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632594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512</v>
      </c>
      <c r="W36" s="276">
        <f t="shared" si="61"/>
        <v>0</v>
      </c>
      <c r="X36" s="5">
        <f t="shared" si="17"/>
        <v>156588</v>
      </c>
      <c r="Y36" s="276">
        <f t="shared" si="62"/>
        <v>0</v>
      </c>
      <c r="Z36" s="5">
        <f t="shared" si="18"/>
        <v>99898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262.47000000000003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185</v>
      </c>
      <c r="AU36" s="364">
        <f t="shared" si="44"/>
        <v>1.1000000000000001</v>
      </c>
      <c r="AV36" s="190">
        <f t="shared" si="31"/>
        <v>120</v>
      </c>
      <c r="AW36" s="5">
        <v>2.9</v>
      </c>
      <c r="AX36" s="190">
        <f t="shared" si="32"/>
        <v>150</v>
      </c>
      <c r="AY36" s="365">
        <f t="shared" si="72"/>
        <v>166.5</v>
      </c>
      <c r="AZ36" s="365">
        <f t="shared" si="73"/>
        <v>132</v>
      </c>
      <c r="BA36" s="365">
        <f t="shared" si="74"/>
        <v>435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767</v>
      </c>
      <c r="I37" s="351">
        <f>SUM(I6:I36)</f>
        <v>767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120</v>
      </c>
      <c r="AK37" s="279">
        <f>SUM(Y37-L37)</f>
        <v>0</v>
      </c>
      <c r="AL37" s="274">
        <f>SUM(AL6:AL36)</f>
        <v>113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767</v>
      </c>
      <c r="Z38" s="274">
        <f>SUM(Y37:AJ37)</f>
        <v>120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767</v>
      </c>
      <c r="H39" s="1">
        <f>SUM(H38+C38)</f>
        <v>7500</v>
      </c>
      <c r="K39" s="1">
        <f>SUM(H39/G39)</f>
        <v>9.7783572359843554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31" sqref="F31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5" t="s">
        <v>171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7"/>
    </row>
    <row r="2" spans="1:15" ht="15.75" customHeight="1" thickBot="1">
      <c r="A2" s="558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60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>
        <v>23</v>
      </c>
      <c r="C17" s="36">
        <v>18</v>
      </c>
      <c r="D17" s="25">
        <f t="shared" si="3"/>
        <v>20.5</v>
      </c>
      <c r="E17" s="366">
        <v>0.56999999999999995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>
        <v>21</v>
      </c>
      <c r="C18" s="36">
        <v>17</v>
      </c>
      <c r="D18" s="25">
        <f t="shared" si="3"/>
        <v>19</v>
      </c>
      <c r="E18" s="193">
        <v>0.64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>
        <v>21</v>
      </c>
      <c r="C19" s="36">
        <v>17</v>
      </c>
      <c r="D19" s="25">
        <f t="shared" si="3"/>
        <v>19</v>
      </c>
      <c r="E19" s="193">
        <v>0.78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>
        <v>22</v>
      </c>
      <c r="C22" s="36">
        <v>16</v>
      </c>
      <c r="D22" s="25">
        <f>(C22+B22)/2</f>
        <v>19</v>
      </c>
      <c r="E22" s="193">
        <v>0.59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>
        <v>22</v>
      </c>
      <c r="C23" s="36">
        <v>15</v>
      </c>
      <c r="D23" s="25">
        <f t="shared" ref="D23:D35" si="6">(C23+B23)/2</f>
        <v>18.5</v>
      </c>
      <c r="E23" s="193">
        <v>0.53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>
        <v>21</v>
      </c>
      <c r="C24" s="36">
        <v>15</v>
      </c>
      <c r="D24" s="25">
        <f t="shared" si="6"/>
        <v>18</v>
      </c>
      <c r="E24" s="193">
        <v>0.49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>
        <v>20</v>
      </c>
      <c r="C25" s="36">
        <v>13</v>
      </c>
      <c r="D25" s="25">
        <f t="shared" si="6"/>
        <v>16.5</v>
      </c>
      <c r="E25" s="193">
        <v>0.48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>
        <v>20</v>
      </c>
      <c r="C26" s="36">
        <v>13</v>
      </c>
      <c r="D26" s="25">
        <f t="shared" si="6"/>
        <v>16.5</v>
      </c>
      <c r="E26" s="193">
        <v>0.48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>
        <v>16</v>
      </c>
      <c r="C30" s="36">
        <v>11</v>
      </c>
      <c r="D30" s="25">
        <f t="shared" si="6"/>
        <v>13.5</v>
      </c>
      <c r="E30" s="291">
        <v>0.52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>
        <v>18</v>
      </c>
      <c r="C31" s="36">
        <v>112</v>
      </c>
      <c r="D31" s="25">
        <f t="shared" si="6"/>
        <v>65</v>
      </c>
      <c r="E31" s="291">
        <v>0.65</v>
      </c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93.625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R29" sqref="R29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f>[1]GEN!$A$32</f>
        <v>44895</v>
      </c>
      <c r="B2" s="238">
        <f>[1]GEN!B32</f>
        <v>1505</v>
      </c>
      <c r="C2" s="238">
        <f>[1]GEN!C32</f>
        <v>14</v>
      </c>
      <c r="D2" s="238">
        <f>[1]GEN!D32</f>
        <v>805681</v>
      </c>
      <c r="E2" s="238">
        <f>[1]GEN!E32</f>
        <v>1190</v>
      </c>
      <c r="F2" s="238">
        <f>[1]GEN!F32</f>
        <v>85</v>
      </c>
      <c r="G2" s="238">
        <f>[1]GEN!G32</f>
        <v>0</v>
      </c>
      <c r="H2" s="238">
        <f>[1]GEN!H32</f>
        <v>12231</v>
      </c>
      <c r="I2" s="238" t="str">
        <f>[1]GEN!I32</f>
        <v>ok</v>
      </c>
      <c r="J2" s="238">
        <f>[1]GEN!J32</f>
        <v>143</v>
      </c>
      <c r="K2" s="238">
        <f>[1]GEN!K32</f>
        <v>0</v>
      </c>
      <c r="L2" s="238">
        <f>[1]GEN!L32</f>
        <v>392191</v>
      </c>
      <c r="M2" s="238">
        <f>[1]GEN!M32</f>
        <v>0</v>
      </c>
      <c r="N2" s="238">
        <f>[1]GEN!N32</f>
        <v>250</v>
      </c>
      <c r="O2" s="238">
        <f>[1]GEN!O32</f>
        <v>0</v>
      </c>
      <c r="P2" s="238">
        <f>[1]GEN!P32</f>
        <v>10873</v>
      </c>
      <c r="Q2" s="238" t="str">
        <f>[1]GEN!Q32</f>
        <v>ok</v>
      </c>
      <c r="R2" s="238">
        <f>[1]GEN!R32</f>
        <v>13917</v>
      </c>
      <c r="S2" s="238">
        <f>[1]GEN!S32</f>
        <v>0</v>
      </c>
      <c r="T2" s="238">
        <f>[1]GEN!T32</f>
        <v>418512</v>
      </c>
      <c r="U2" s="238">
        <f>[1]GEN!U32</f>
        <v>0</v>
      </c>
      <c r="V2" s="238">
        <f>[1]GEN!V32</f>
        <v>250</v>
      </c>
      <c r="W2" s="238">
        <f>[1]GEN!W32</f>
        <v>0</v>
      </c>
      <c r="X2" s="238">
        <f>[1]GEN!X32</f>
        <v>14773</v>
      </c>
      <c r="Y2" s="238" t="str">
        <f>[1]GEN!Y32</f>
        <v>ok</v>
      </c>
      <c r="Z2" s="238">
        <f>[1]GEN!Z32</f>
        <v>14</v>
      </c>
      <c r="AA2" s="238">
        <f>[1]GEN!AA32</f>
        <v>1190</v>
      </c>
      <c r="AB2" s="238">
        <f>[1]GEN!AB32</f>
        <v>585</v>
      </c>
      <c r="AC2" s="238">
        <f>[1]GEN!AC32</f>
        <v>85</v>
      </c>
      <c r="AD2" s="238">
        <f>[1]GEN!AD32</f>
        <v>3586.9999999995343</v>
      </c>
      <c r="AE2" s="238">
        <f>[1]GEN!AE32</f>
        <v>256.21428571425247</v>
      </c>
      <c r="AF2" s="238">
        <f>[1]GEN!AF32</f>
        <v>0.16013392857140779</v>
      </c>
      <c r="AG2" s="238">
        <f>[1]GEN!AG32</f>
        <v>1.0008370535712987E-4</v>
      </c>
      <c r="AH2" s="238">
        <f>[1]GEN!AH32</f>
        <v>84.999899916294638</v>
      </c>
      <c r="AI2" s="238">
        <f>[1]GEN!AI32</f>
        <v>923.23628691971146</v>
      </c>
      <c r="AJ2" s="238">
        <f>[1]GEN!AJ32</f>
        <v>0.25738396624472576</v>
      </c>
      <c r="AK2" s="238">
        <f>[1]GEN!AK32</f>
        <v>65.94544906569368</v>
      </c>
      <c r="AL2" s="238">
        <f>[1]GEN!AL32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19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v>1598</v>
      </c>
      <c r="C15" s="248">
        <f t="shared" si="12"/>
        <v>8</v>
      </c>
      <c r="D15" s="444">
        <f t="shared" si="26"/>
        <v>815236</v>
      </c>
      <c r="E15" s="248">
        <f t="shared" si="13"/>
        <v>680</v>
      </c>
      <c r="F15" s="248">
        <f t="shared" si="0"/>
        <v>85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8</v>
      </c>
      <c r="AA15" s="248">
        <f t="shared" si="21"/>
        <v>680</v>
      </c>
      <c r="AB15" s="248">
        <f t="shared" si="22"/>
        <v>585</v>
      </c>
      <c r="AC15" s="248">
        <f t="shared" si="23"/>
        <v>85</v>
      </c>
      <c r="AD15" s="71">
        <f>ELEC!Q16</f>
        <v>2281.9999999992433</v>
      </c>
      <c r="AE15" s="71">
        <f t="shared" si="27"/>
        <v>285.24999999990541</v>
      </c>
      <c r="AF15" s="345">
        <f t="shared" si="28"/>
        <v>0.17828124999994088</v>
      </c>
      <c r="AG15" s="345">
        <f t="shared" si="28"/>
        <v>1.1142578124996305E-4</v>
      </c>
      <c r="AH15" s="346">
        <f t="shared" si="24"/>
        <v>84.999888574218744</v>
      </c>
      <c r="AI15" s="71">
        <f t="shared" si="29"/>
        <v>587.35021097026947</v>
      </c>
      <c r="AJ15" s="250">
        <f t="shared" si="9"/>
        <v>0.25738396624472576</v>
      </c>
      <c r="AK15" s="250">
        <f t="shared" si="10"/>
        <v>73.418776371283684</v>
      </c>
      <c r="AL15">
        <f t="shared" si="25"/>
        <v>1</v>
      </c>
    </row>
    <row r="16" spans="1:38" ht="15.75" thickBot="1">
      <c r="A16" s="4">
        <f>ELEC!C17</f>
        <v>44909</v>
      </c>
      <c r="B16" s="523">
        <v>1609</v>
      </c>
      <c r="C16" s="248">
        <f t="shared" si="12"/>
        <v>11</v>
      </c>
      <c r="D16" s="444">
        <f t="shared" si="26"/>
        <v>816171</v>
      </c>
      <c r="E16" s="248">
        <f t="shared" si="13"/>
        <v>935</v>
      </c>
      <c r="F16" s="248">
        <f t="shared" si="0"/>
        <v>85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11</v>
      </c>
      <c r="AA16" s="248">
        <f t="shared" si="21"/>
        <v>935</v>
      </c>
      <c r="AB16" s="248">
        <f t="shared" si="22"/>
        <v>585</v>
      </c>
      <c r="AC16" s="248">
        <f t="shared" si="23"/>
        <v>85</v>
      </c>
      <c r="AD16" s="71">
        <f>ELEC!Q17</f>
        <v>2182.0000000006985</v>
      </c>
      <c r="AE16" s="71">
        <f t="shared" si="27"/>
        <v>198.36363636369987</v>
      </c>
      <c r="AF16" s="345">
        <f t="shared" si="28"/>
        <v>0.12397727272731242</v>
      </c>
      <c r="AG16" s="345">
        <f t="shared" si="28"/>
        <v>7.7485795454570262E-5</v>
      </c>
      <c r="AH16" s="346">
        <f t="shared" si="24"/>
        <v>84.999922514204542</v>
      </c>
      <c r="AI16" s="71">
        <f t="shared" si="29"/>
        <v>561.6118143461714</v>
      </c>
      <c r="AJ16" s="250">
        <f t="shared" si="9"/>
        <v>0.25738396624472576</v>
      </c>
      <c r="AK16" s="250">
        <f t="shared" si="10"/>
        <v>51.05561948601558</v>
      </c>
      <c r="AL16">
        <f t="shared" si="25"/>
        <v>1</v>
      </c>
    </row>
    <row r="17" spans="1:38" ht="15.75" thickBot="1">
      <c r="A17" s="4">
        <f>ELEC!C18</f>
        <v>44910</v>
      </c>
      <c r="B17" s="523">
        <v>1620</v>
      </c>
      <c r="C17" s="248">
        <f t="shared" si="12"/>
        <v>11</v>
      </c>
      <c r="D17" s="444">
        <f t="shared" si="26"/>
        <v>817106</v>
      </c>
      <c r="E17" s="248">
        <f t="shared" si="13"/>
        <v>935</v>
      </c>
      <c r="F17" s="248">
        <f t="shared" si="0"/>
        <v>85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11</v>
      </c>
      <c r="AA17" s="248">
        <f t="shared" si="21"/>
        <v>935</v>
      </c>
      <c r="AB17" s="248">
        <f t="shared" si="22"/>
        <v>585</v>
      </c>
      <c r="AC17" s="248">
        <f t="shared" si="23"/>
        <v>85</v>
      </c>
      <c r="AD17" s="71">
        <f>ELEC!Q18</f>
        <v>2689.9999999986903</v>
      </c>
      <c r="AE17" s="71">
        <f t="shared" si="27"/>
        <v>244.54545454533547</v>
      </c>
      <c r="AF17" s="345">
        <f t="shared" si="28"/>
        <v>0.15284090909083467</v>
      </c>
      <c r="AG17" s="345">
        <f t="shared" si="28"/>
        <v>9.5525568181771669E-5</v>
      </c>
      <c r="AH17" s="346">
        <f t="shared" si="24"/>
        <v>84.999904474431816</v>
      </c>
      <c r="AI17" s="71">
        <f t="shared" si="29"/>
        <v>692.36286919797521</v>
      </c>
      <c r="AJ17" s="250">
        <f t="shared" si="9"/>
        <v>0.25738396624472576</v>
      </c>
      <c r="AK17" s="250">
        <f t="shared" si="10"/>
        <v>62.942079017997749</v>
      </c>
      <c r="AL17">
        <f t="shared" si="25"/>
        <v>1</v>
      </c>
    </row>
    <row r="18" spans="1:38" ht="15.75" thickBot="1">
      <c r="A18" s="4">
        <f>ELEC!C19</f>
        <v>44911</v>
      </c>
      <c r="B18" s="523">
        <f t="shared" si="11"/>
        <v>1620</v>
      </c>
      <c r="C18" s="248">
        <f t="shared" si="12"/>
        <v>0</v>
      </c>
      <c r="D18" s="444">
        <f t="shared" si="26"/>
        <v>817106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1620</v>
      </c>
      <c r="C19" s="248">
        <f t="shared" si="12"/>
        <v>0</v>
      </c>
      <c r="D19" s="444">
        <f t="shared" si="26"/>
        <v>817106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v>1629</v>
      </c>
      <c r="C20" s="248">
        <f>B20-B19</f>
        <v>9</v>
      </c>
      <c r="D20" s="444">
        <f t="shared" si="26"/>
        <v>817871</v>
      </c>
      <c r="E20" s="248">
        <f t="shared" si="13"/>
        <v>765</v>
      </c>
      <c r="F20" s="248">
        <f t="shared" si="0"/>
        <v>85</v>
      </c>
      <c r="G20" s="185"/>
      <c r="H20" s="238">
        <f t="shared" si="14"/>
        <v>12231</v>
      </c>
      <c r="I20" s="248" t="str">
        <f t="shared" si="1"/>
        <v>ok</v>
      </c>
      <c r="J20" s="443">
        <v>146</v>
      </c>
      <c r="K20" s="248">
        <f t="shared" si="2"/>
        <v>2</v>
      </c>
      <c r="L20" s="444">
        <f t="shared" si="30"/>
        <v>392941</v>
      </c>
      <c r="M20" s="248">
        <f t="shared" si="3"/>
        <v>500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11</v>
      </c>
      <c r="AA20" s="248">
        <f t="shared" si="21"/>
        <v>1265</v>
      </c>
      <c r="AB20" s="248">
        <f t="shared" si="22"/>
        <v>585</v>
      </c>
      <c r="AC20" s="248">
        <f t="shared" si="23"/>
        <v>115</v>
      </c>
      <c r="AD20" s="71">
        <f>ELEC!Q21</f>
        <v>2494.9999999989814</v>
      </c>
      <c r="AE20" s="71">
        <f t="shared" si="27"/>
        <v>226.81818181808922</v>
      </c>
      <c r="AF20" s="345">
        <f t="shared" si="28"/>
        <v>0.14176136363630576</v>
      </c>
      <c r="AG20" s="345">
        <f t="shared" si="28"/>
        <v>8.86008522726911E-5</v>
      </c>
      <c r="AH20" s="346">
        <f t="shared" si="24"/>
        <v>114.99991139914772</v>
      </c>
      <c r="AI20" s="71">
        <f>AD20*AJ20</f>
        <v>642.17299578032862</v>
      </c>
      <c r="AJ20" s="250">
        <f t="shared" si="9"/>
        <v>0.25738396624472576</v>
      </c>
      <c r="AK20" s="250">
        <f t="shared" si="10"/>
        <v>58.379363252757145</v>
      </c>
      <c r="AL20">
        <f t="shared" si="25"/>
        <v>1</v>
      </c>
    </row>
    <row r="21" spans="1:38" ht="15.75" thickBot="1">
      <c r="A21" s="4">
        <f>ELEC!C22</f>
        <v>44914</v>
      </c>
      <c r="B21" s="523">
        <v>1641</v>
      </c>
      <c r="C21" s="248">
        <f>B21-B20</f>
        <v>12</v>
      </c>
      <c r="D21" s="444">
        <f t="shared" si="26"/>
        <v>818891</v>
      </c>
      <c r="E21" s="248">
        <f t="shared" si="13"/>
        <v>1020</v>
      </c>
      <c r="F21" s="248">
        <f t="shared" si="0"/>
        <v>85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146</v>
      </c>
      <c r="K21" s="248">
        <f t="shared" si="2"/>
        <v>0</v>
      </c>
      <c r="L21" s="444">
        <f t="shared" si="30"/>
        <v>392941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12</v>
      </c>
      <c r="AA21" s="248">
        <f t="shared" si="21"/>
        <v>1020</v>
      </c>
      <c r="AB21" s="248">
        <f t="shared" si="22"/>
        <v>585</v>
      </c>
      <c r="AC21" s="248">
        <f t="shared" si="23"/>
        <v>85</v>
      </c>
      <c r="AD21" s="71">
        <f>ELEC!Q22</f>
        <v>2677.9999999998836</v>
      </c>
      <c r="AE21" s="71">
        <f t="shared" si="27"/>
        <v>223.16666666665697</v>
      </c>
      <c r="AF21" s="345">
        <f t="shared" si="28"/>
        <v>0.1394791666666606</v>
      </c>
      <c r="AG21" s="345">
        <f t="shared" si="28"/>
        <v>8.717447916666288E-5</v>
      </c>
      <c r="AH21" s="346">
        <f t="shared" si="24"/>
        <v>84.999912825520838</v>
      </c>
      <c r="AI21" s="71">
        <f t="shared" si="29"/>
        <v>689.27426160334562</v>
      </c>
      <c r="AJ21" s="250">
        <f t="shared" si="9"/>
        <v>0.25738396624472576</v>
      </c>
      <c r="AK21" s="250">
        <f t="shared" si="10"/>
        <v>57.439521800278804</v>
      </c>
      <c r="AL21">
        <f t="shared" si="25"/>
        <v>1</v>
      </c>
    </row>
    <row r="22" spans="1:38" ht="15.75" thickBot="1">
      <c r="A22" s="4">
        <f>ELEC!C23</f>
        <v>44915</v>
      </c>
      <c r="B22" s="523">
        <v>1650</v>
      </c>
      <c r="C22" s="248">
        <f t="shared" ref="C22:C33" si="34">B22-B21</f>
        <v>9</v>
      </c>
      <c r="D22" s="444">
        <f t="shared" si="26"/>
        <v>819656</v>
      </c>
      <c r="E22" s="248">
        <f t="shared" si="13"/>
        <v>765</v>
      </c>
      <c r="F22" s="248">
        <f t="shared" si="0"/>
        <v>85</v>
      </c>
      <c r="G22" s="185"/>
      <c r="H22" s="238">
        <f t="shared" si="14"/>
        <v>12231</v>
      </c>
      <c r="I22" s="248" t="str">
        <f t="shared" si="1"/>
        <v>ok</v>
      </c>
      <c r="J22" s="443">
        <v>146</v>
      </c>
      <c r="K22" s="248">
        <f t="shared" si="2"/>
        <v>0</v>
      </c>
      <c r="L22" s="444">
        <f t="shared" si="30"/>
        <v>392941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9</v>
      </c>
      <c r="AA22" s="248">
        <f t="shared" si="21"/>
        <v>765</v>
      </c>
      <c r="AB22" s="248">
        <f t="shared" si="22"/>
        <v>585</v>
      </c>
      <c r="AC22" s="248">
        <f t="shared" si="23"/>
        <v>85</v>
      </c>
      <c r="AD22" s="71">
        <f>ELEC!Q23</f>
        <v>2934.0000000011059</v>
      </c>
      <c r="AE22" s="71">
        <f t="shared" si="27"/>
        <v>326.0000000001229</v>
      </c>
      <c r="AF22" s="345">
        <f t="shared" si="28"/>
        <v>0.20375000000007681</v>
      </c>
      <c r="AG22" s="345">
        <f t="shared" si="28"/>
        <v>1.2734375000004802E-4</v>
      </c>
      <c r="AH22" s="346">
        <f t="shared" si="24"/>
        <v>84.999872656250005</v>
      </c>
      <c r="AI22" s="71">
        <f t="shared" si="29"/>
        <v>755.16455696231003</v>
      </c>
      <c r="AJ22" s="250">
        <f t="shared" si="9"/>
        <v>0.25738396624472576</v>
      </c>
      <c r="AK22" s="250">
        <f t="shared" si="10"/>
        <v>83.907172995812232</v>
      </c>
      <c r="AL22">
        <f t="shared" si="25"/>
        <v>1</v>
      </c>
    </row>
    <row r="23" spans="1:38" ht="15.75" thickBot="1">
      <c r="A23" s="4">
        <f>ELEC!C24</f>
        <v>44916</v>
      </c>
      <c r="B23" s="523">
        <v>1659</v>
      </c>
      <c r="C23" s="248">
        <f t="shared" si="34"/>
        <v>9</v>
      </c>
      <c r="D23" s="444">
        <f>D22+C23*85</f>
        <v>820421</v>
      </c>
      <c r="E23" s="248">
        <f t="shared" si="13"/>
        <v>765</v>
      </c>
      <c r="F23" s="248">
        <f t="shared" si="0"/>
        <v>85</v>
      </c>
      <c r="G23" s="185"/>
      <c r="H23" s="238">
        <f t="shared" si="14"/>
        <v>12231</v>
      </c>
      <c r="I23" s="248" t="str">
        <f t="shared" si="1"/>
        <v>ok</v>
      </c>
      <c r="J23" s="443">
        <v>146</v>
      </c>
      <c r="K23" s="248">
        <f t="shared" si="2"/>
        <v>0</v>
      </c>
      <c r="L23" s="444">
        <f t="shared" si="30"/>
        <v>392941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9</v>
      </c>
      <c r="AA23" s="248">
        <f t="shared" si="21"/>
        <v>765</v>
      </c>
      <c r="AB23" s="248">
        <f t="shared" si="22"/>
        <v>585</v>
      </c>
      <c r="AC23" s="248">
        <f t="shared" si="23"/>
        <v>85</v>
      </c>
      <c r="AD23" s="71">
        <f>ELEC!Q24</f>
        <v>1875</v>
      </c>
      <c r="AE23" s="71">
        <f t="shared" si="27"/>
        <v>208.33333333333334</v>
      </c>
      <c r="AF23" s="345">
        <f t="shared" si="28"/>
        <v>0.13020833333333334</v>
      </c>
      <c r="AG23" s="345">
        <f t="shared" si="28"/>
        <v>8.1380208333333342E-5</v>
      </c>
      <c r="AH23" s="346">
        <f t="shared" si="24"/>
        <v>84.999918619791671</v>
      </c>
      <c r="AI23" s="71">
        <f t="shared" si="29"/>
        <v>482.59493670886081</v>
      </c>
      <c r="AJ23" s="250">
        <f t="shared" si="9"/>
        <v>0.25738396624472576</v>
      </c>
      <c r="AK23" s="250">
        <f t="shared" si="10"/>
        <v>53.621659634317865</v>
      </c>
      <c r="AL23">
        <f t="shared" si="25"/>
        <v>1</v>
      </c>
    </row>
    <row r="24" spans="1:38" ht="15.75" thickBot="1">
      <c r="A24" s="4">
        <f>ELEC!C25</f>
        <v>44917</v>
      </c>
      <c r="B24" s="523">
        <v>1671</v>
      </c>
      <c r="C24" s="248">
        <f t="shared" si="34"/>
        <v>12</v>
      </c>
      <c r="D24" s="444">
        <f t="shared" si="26"/>
        <v>821441</v>
      </c>
      <c r="E24" s="248">
        <f>SUM(D24-D23)</f>
        <v>1020</v>
      </c>
      <c r="F24" s="248">
        <f t="shared" si="0"/>
        <v>85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146</v>
      </c>
      <c r="K24" s="248">
        <f t="shared" si="2"/>
        <v>0</v>
      </c>
      <c r="L24" s="444">
        <f t="shared" si="30"/>
        <v>392941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12</v>
      </c>
      <c r="AA24" s="248">
        <f t="shared" si="21"/>
        <v>1020</v>
      </c>
      <c r="AB24" s="248">
        <f t="shared" si="22"/>
        <v>585</v>
      </c>
      <c r="AC24" s="248">
        <f t="shared" si="23"/>
        <v>85</v>
      </c>
      <c r="AD24" s="71">
        <f>ELEC!Q25</f>
        <v>2352.999999999156</v>
      </c>
      <c r="AE24" s="71">
        <f t="shared" si="27"/>
        <v>196.083333333263</v>
      </c>
      <c r="AF24" s="345">
        <f t="shared" si="28"/>
        <v>0.12255208333328937</v>
      </c>
      <c r="AG24" s="345">
        <f t="shared" si="28"/>
        <v>7.6595052083305856E-5</v>
      </c>
      <c r="AH24" s="346">
        <f t="shared" si="24"/>
        <v>84.999923404947921</v>
      </c>
      <c r="AI24" s="71">
        <f t="shared" si="29"/>
        <v>605.62447257362248</v>
      </c>
      <c r="AJ24" s="250">
        <f t="shared" si="9"/>
        <v>0.25738396624472576</v>
      </c>
      <c r="AK24" s="250">
        <f t="shared" si="10"/>
        <v>50.468706047801874</v>
      </c>
      <c r="AL24">
        <f t="shared" si="25"/>
        <v>1</v>
      </c>
    </row>
    <row r="25" spans="1:38" ht="15.75" thickBot="1">
      <c r="A25" s="4">
        <f>ELEC!C26</f>
        <v>44918</v>
      </c>
      <c r="B25" s="523">
        <f t="shared" si="11"/>
        <v>1671</v>
      </c>
      <c r="C25" s="248">
        <f t="shared" si="34"/>
        <v>0</v>
      </c>
      <c r="D25" s="444">
        <f t="shared" si="26"/>
        <v>821441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146</v>
      </c>
      <c r="K25" s="248">
        <f t="shared" si="2"/>
        <v>0</v>
      </c>
      <c r="L25" s="444">
        <f t="shared" si="30"/>
        <v>392941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395.00000000043656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101.66666666677904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1671</v>
      </c>
      <c r="C26" s="248">
        <f t="shared" si="34"/>
        <v>0</v>
      </c>
      <c r="D26" s="444">
        <f t="shared" si="26"/>
        <v>821441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146</v>
      </c>
      <c r="K26" s="248">
        <f t="shared" si="2"/>
        <v>0</v>
      </c>
      <c r="L26" s="444">
        <f t="shared" si="30"/>
        <v>392941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1671</v>
      </c>
      <c r="C27" s="248">
        <f t="shared" si="34"/>
        <v>0</v>
      </c>
      <c r="D27" s="444">
        <f t="shared" si="26"/>
        <v>821441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146</v>
      </c>
      <c r="K27" s="248">
        <f t="shared" si="2"/>
        <v>0</v>
      </c>
      <c r="L27" s="444">
        <f t="shared" si="30"/>
        <v>392941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v>1680</v>
      </c>
      <c r="C28" s="248">
        <f t="shared" si="34"/>
        <v>9</v>
      </c>
      <c r="D28" s="444">
        <f t="shared" si="26"/>
        <v>822206</v>
      </c>
      <c r="E28" s="248">
        <f t="shared" si="13"/>
        <v>765</v>
      </c>
      <c r="F28" s="248">
        <f t="shared" si="0"/>
        <v>85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146</v>
      </c>
      <c r="K28" s="248">
        <f t="shared" si="2"/>
        <v>0</v>
      </c>
      <c r="L28" s="444">
        <f t="shared" si="30"/>
        <v>392941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9</v>
      </c>
      <c r="AA28" s="248">
        <f t="shared" si="21"/>
        <v>765</v>
      </c>
      <c r="AB28" s="248">
        <f t="shared" si="22"/>
        <v>585</v>
      </c>
      <c r="AC28" s="248">
        <f t="shared" si="23"/>
        <v>85</v>
      </c>
      <c r="AD28" s="71">
        <f>ELEC!Q29</f>
        <v>1455.999999998312</v>
      </c>
      <c r="AE28" s="71">
        <f t="shared" si="27"/>
        <v>161.77777777759022</v>
      </c>
      <c r="AF28" s="345">
        <f t="shared" si="28"/>
        <v>0.10111111111099388</v>
      </c>
      <c r="AG28" s="345">
        <f t="shared" si="28"/>
        <v>6.3194444444371177E-5</v>
      </c>
      <c r="AH28" s="346">
        <f t="shared" si="24"/>
        <v>84.999936805555549</v>
      </c>
      <c r="AI28" s="71">
        <f t="shared" si="29"/>
        <v>374.75105485188624</v>
      </c>
      <c r="AJ28" s="250">
        <f t="shared" si="9"/>
        <v>0.25738396624472576</v>
      </c>
      <c r="AK28" s="250">
        <f t="shared" si="10"/>
        <v>41.639006094654029</v>
      </c>
      <c r="AL28">
        <f t="shared" si="25"/>
        <v>1</v>
      </c>
    </row>
    <row r="29" spans="1:38" ht="15.75" thickBot="1">
      <c r="A29" s="4">
        <f>ELEC!C30</f>
        <v>44922</v>
      </c>
      <c r="B29" s="523">
        <v>1691</v>
      </c>
      <c r="C29" s="248">
        <f t="shared" si="34"/>
        <v>11</v>
      </c>
      <c r="D29" s="444">
        <f t="shared" si="26"/>
        <v>823141</v>
      </c>
      <c r="E29" s="248">
        <f t="shared" si="13"/>
        <v>935</v>
      </c>
      <c r="F29" s="248">
        <f t="shared" si="0"/>
        <v>85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146</v>
      </c>
      <c r="K29" s="248">
        <f t="shared" si="2"/>
        <v>0</v>
      </c>
      <c r="L29" s="444">
        <f t="shared" si="30"/>
        <v>392941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11</v>
      </c>
      <c r="AA29" s="248">
        <f t="shared" si="21"/>
        <v>935</v>
      </c>
      <c r="AB29" s="248">
        <f t="shared" si="22"/>
        <v>585</v>
      </c>
      <c r="AC29" s="248">
        <f t="shared" si="23"/>
        <v>85</v>
      </c>
      <c r="AD29" s="71">
        <f>ELEC!Q30</f>
        <v>2298.0000000025029</v>
      </c>
      <c r="AE29" s="71">
        <f t="shared" si="27"/>
        <v>208.90909090931845</v>
      </c>
      <c r="AF29" s="345">
        <f t="shared" si="28"/>
        <v>0.13056818181832403</v>
      </c>
      <c r="AG29" s="345">
        <f t="shared" si="28"/>
        <v>8.1605113636452518E-5</v>
      </c>
      <c r="AH29" s="346">
        <f t="shared" si="24"/>
        <v>84.999918394886365</v>
      </c>
      <c r="AI29" s="71">
        <f t="shared" si="29"/>
        <v>591.46835443102395</v>
      </c>
      <c r="AJ29" s="250">
        <f t="shared" si="9"/>
        <v>0.25738396624472576</v>
      </c>
      <c r="AK29" s="250">
        <f t="shared" si="10"/>
        <v>53.76985040282036</v>
      </c>
      <c r="AL29">
        <f t="shared" si="25"/>
        <v>1</v>
      </c>
    </row>
    <row r="30" spans="1:38" ht="15.75" thickBot="1">
      <c r="A30" s="4">
        <f>ELEC!C31</f>
        <v>44923</v>
      </c>
      <c r="B30" s="523">
        <f t="shared" si="11"/>
        <v>1691</v>
      </c>
      <c r="C30" s="248">
        <f t="shared" si="34"/>
        <v>0</v>
      </c>
      <c r="D30" s="444">
        <f t="shared" si="26"/>
        <v>823141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146</v>
      </c>
      <c r="K30" s="248">
        <f t="shared" si="2"/>
        <v>0</v>
      </c>
      <c r="L30" s="444">
        <f t="shared" si="30"/>
        <v>392941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1691</v>
      </c>
      <c r="C31" s="248">
        <f t="shared" si="34"/>
        <v>0</v>
      </c>
      <c r="D31" s="444">
        <f t="shared" si="26"/>
        <v>823141</v>
      </c>
      <c r="E31" s="248">
        <f t="shared" si="13"/>
        <v>0</v>
      </c>
      <c r="F31" s="248">
        <f t="shared" ref="F31:F33" si="35">IF(C31&gt;0,E31/C31,0)</f>
        <v>0</v>
      </c>
      <c r="G31" s="185"/>
      <c r="H31" s="238">
        <f t="shared" si="14"/>
        <v>12231</v>
      </c>
      <c r="I31" s="248" t="str">
        <f t="shared" ref="I31:I33" si="36">IF(B31-H31&lt;=0,"ok","oil change")</f>
        <v>ok</v>
      </c>
      <c r="J31" s="443">
        <f t="shared" si="15"/>
        <v>146</v>
      </c>
      <c r="K31" s="248">
        <f t="shared" si="2"/>
        <v>0</v>
      </c>
      <c r="L31" s="444">
        <f t="shared" si="30"/>
        <v>392941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7">IF(J31-P31&lt;=0,"ok","oil change")</f>
        <v>ok</v>
      </c>
      <c r="R31" s="443">
        <f t="shared" si="18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44925</v>
      </c>
      <c r="B32" s="523">
        <f t="shared" si="11"/>
        <v>1691</v>
      </c>
      <c r="C32" s="248">
        <f t="shared" si="34"/>
        <v>0</v>
      </c>
      <c r="D32" s="444">
        <f t="shared" si="26"/>
        <v>823141</v>
      </c>
      <c r="E32" s="248">
        <f t="shared" si="13"/>
        <v>0</v>
      </c>
      <c r="F32" s="248">
        <f t="shared" si="35"/>
        <v>0</v>
      </c>
      <c r="G32" s="185"/>
      <c r="H32" s="238">
        <f t="shared" si="14"/>
        <v>12231</v>
      </c>
      <c r="I32" s="248" t="str">
        <f t="shared" si="36"/>
        <v>ok</v>
      </c>
      <c r="J32" s="443">
        <f t="shared" si="15"/>
        <v>146</v>
      </c>
      <c r="K32" s="248">
        <f t="shared" si="2"/>
        <v>0</v>
      </c>
      <c r="L32" s="444">
        <f t="shared" si="30"/>
        <v>392941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7"/>
        <v>ok</v>
      </c>
      <c r="R32" s="443">
        <f t="shared" si="18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44926</v>
      </c>
      <c r="B33" s="523">
        <f t="shared" si="11"/>
        <v>1691</v>
      </c>
      <c r="C33" s="248">
        <f t="shared" si="34"/>
        <v>0</v>
      </c>
      <c r="D33" s="444">
        <f t="shared" si="26"/>
        <v>823141</v>
      </c>
      <c r="E33" s="248">
        <f t="shared" si="13"/>
        <v>0</v>
      </c>
      <c r="F33" s="248">
        <f t="shared" si="35"/>
        <v>0</v>
      </c>
      <c r="G33" s="185"/>
      <c r="H33" s="238">
        <f t="shared" si="14"/>
        <v>12231</v>
      </c>
      <c r="I33" s="248" t="str">
        <f t="shared" si="36"/>
        <v>ok</v>
      </c>
      <c r="J33" s="443">
        <f t="shared" si="15"/>
        <v>146</v>
      </c>
      <c r="K33" s="248">
        <f t="shared" si="2"/>
        <v>0</v>
      </c>
      <c r="L33" s="444">
        <f t="shared" si="30"/>
        <v>392941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7"/>
        <v>ok</v>
      </c>
      <c r="R33" s="443">
        <f t="shared" si="18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189</v>
      </c>
      <c r="V34" s="39"/>
      <c r="X34">
        <v>341</v>
      </c>
      <c r="Z34" s="360">
        <f>SUM(Z3:Z33)</f>
        <v>189</v>
      </c>
      <c r="AF34" s="345">
        <f>SUM(AE34/1600)</f>
        <v>0</v>
      </c>
      <c r="AL34">
        <f>SUM(AL3:AL33)</f>
        <v>18</v>
      </c>
    </row>
    <row r="35" spans="1:38">
      <c r="C35" s="39">
        <f>SUM(C3:C33)</f>
        <v>186</v>
      </c>
      <c r="K35" s="39">
        <f>SUM(K3:K33)</f>
        <v>3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A16" zoomScaleNormal="10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f>'[1]EDl log'!$A$33</f>
        <v>44895</v>
      </c>
      <c r="B3" s="78">
        <f>'[1]EDl log'!B33</f>
        <v>1126764</v>
      </c>
      <c r="C3" s="78">
        <f>'[1]EDl log'!C33</f>
        <v>0</v>
      </c>
      <c r="D3" s="78">
        <f>'[1]EDl log'!D33</f>
        <v>0</v>
      </c>
      <c r="E3" s="78">
        <f>'[1]EDl log'!E33</f>
        <v>1126764</v>
      </c>
      <c r="F3" s="78">
        <f>'[1]EDl log'!F33</f>
        <v>161640</v>
      </c>
      <c r="G3" s="78">
        <f>'[1]EDl log'!G33</f>
        <v>0</v>
      </c>
      <c r="H3" s="78">
        <f>'[1]EDl log'!H33</f>
        <v>563190</v>
      </c>
      <c r="I3" s="78">
        <f>'[1]EDl log'!I33</f>
        <v>0</v>
      </c>
      <c r="J3" s="78">
        <f>'[1]EDl log'!J33</f>
        <v>401934</v>
      </c>
      <c r="K3" s="78">
        <f>'[1]EDl log'!K33</f>
        <v>0</v>
      </c>
      <c r="L3" s="78">
        <f>'[1]EDl log'!L33</f>
        <v>0</v>
      </c>
      <c r="M3" s="78">
        <f>'[1]EDl log'!M33</f>
        <v>0</v>
      </c>
      <c r="N3" s="78">
        <f>'[1]EDl log'!N33</f>
        <v>0</v>
      </c>
      <c r="O3" s="78">
        <f>'[1]EDl log'!O33</f>
        <v>159.96313985627418</v>
      </c>
      <c r="P3" s="78">
        <f>'[1]EDl log'!P33</f>
        <v>159.96313985627418</v>
      </c>
      <c r="Q3" s="78">
        <f>'[1]EDl log'!Q33</f>
        <v>-95.279709677430787</v>
      </c>
      <c r="R3" s="78">
        <f>'[1]EDl log'!R33</f>
        <v>64.683430178843395</v>
      </c>
      <c r="S3" s="78">
        <f>'[1]EDl log'!S33</f>
        <v>3572</v>
      </c>
      <c r="T3" s="78">
        <f>'[1]EDl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'[1]EDl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643.46709677419278</v>
      </c>
      <c r="R4" s="255">
        <f>SUM(P4:Q4)</f>
        <v>798.27013534478067</v>
      </c>
      <c r="S4" s="257">
        <f>SUM(ELEC!N4)</f>
        <v>2827</v>
      </c>
      <c r="T4" s="288">
        <f>IF(S4&gt;0,R4/S4,0)</f>
        <v>0.28237358873179363</v>
      </c>
      <c r="U4" s="226"/>
      <c r="V4" s="157" t="s">
        <v>215</v>
      </c>
      <c r="W4" s="158">
        <f>'[1]EDl log'!$W$21</f>
        <v>44887</v>
      </c>
      <c r="X4" s="159"/>
      <c r="Y4" s="159"/>
      <c r="Z4" s="160" t="s">
        <v>216</v>
      </c>
      <c r="AA4" s="159"/>
      <c r="AB4" s="572"/>
      <c r="AC4" s="573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6"/>
      <c r="W5" s="567"/>
      <c r="X5" s="567"/>
      <c r="Y5" s="568"/>
      <c r="Z5" s="25" t="s">
        <v>217</v>
      </c>
      <c r="AA5" s="25">
        <v>5000</v>
      </c>
      <c r="AB5" s="574"/>
      <c r="AC5" s="575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69"/>
      <c r="W6" s="570"/>
      <c r="X6" s="570"/>
      <c r="Y6" s="571"/>
      <c r="Z6" s="578"/>
      <c r="AA6" s="579"/>
      <c r="AB6" s="574"/>
      <c r="AC6" s="575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961.55612903227745</v>
      </c>
      <c r="R7" s="255">
        <f t="shared" si="12"/>
        <v>1116.3591676028655</v>
      </c>
      <c r="S7" s="257">
        <f>SUM(ELEC!N7)</f>
        <v>2978</v>
      </c>
      <c r="T7" s="288">
        <f t="shared" si="16"/>
        <v>0.37486876010841685</v>
      </c>
      <c r="V7" s="561" t="s">
        <v>218</v>
      </c>
      <c r="W7" s="562"/>
      <c r="X7" s="563" t="s">
        <v>219</v>
      </c>
      <c r="Y7" s="564"/>
      <c r="Z7" s="565"/>
      <c r="AA7" s="161"/>
      <c r="AB7" s="576"/>
      <c r="AC7" s="577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809.51612903225305</v>
      </c>
      <c r="R8" s="255">
        <f t="shared" si="12"/>
        <v>964.31916760284093</v>
      </c>
      <c r="S8" s="257">
        <f>SUM(ELEC!N8)</f>
        <v>2462</v>
      </c>
      <c r="T8" s="288">
        <f>IF(S8&gt;0,R8/S8,0)</f>
        <v>0.39168122160960234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932.99612903224079</v>
      </c>
      <c r="R9" s="255">
        <f>SUM(P9:Q9)</f>
        <v>1087.7991676028287</v>
      </c>
      <c r="S9" s="257">
        <f>SUM(ELEC!N9)</f>
        <v>2985</v>
      </c>
      <c r="T9" s="288">
        <f t="shared" si="16"/>
        <v>0.36442183169273995</v>
      </c>
      <c r="V9" s="227">
        <f>'[1]EDl log'!V26</f>
        <v>401934</v>
      </c>
      <c r="W9" s="227">
        <f>'[1]EDl log'!W26</f>
        <v>401934</v>
      </c>
      <c r="X9" s="227" t="str">
        <f>'[6]EDl log'!X26</f>
        <v>Night</v>
      </c>
      <c r="Y9" s="527">
        <f>'[1]EDl log'!Y26</f>
        <v>80</v>
      </c>
      <c r="Z9" s="527">
        <f>'[1]EDl log'!Z26</f>
        <v>1</v>
      </c>
      <c r="AA9" s="527">
        <f>'[1]EDl log'!AA26</f>
        <v>0</v>
      </c>
      <c r="AB9" s="527">
        <f>'[1]EDl log'!AB26</f>
        <v>0</v>
      </c>
      <c r="AC9" s="527">
        <f>'[1]EDl log'!AC26</f>
        <v>1033333</v>
      </c>
      <c r="AD9" s="511">
        <f>'[1]EDl log'!AD26</f>
        <v>0</v>
      </c>
      <c r="AE9" s="527">
        <f>'[1]EDl log'!AE26</f>
        <v>0</v>
      </c>
      <c r="AF9" s="527">
        <f>'[1]EDl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715.70709677421723</v>
      </c>
      <c r="R10" s="255">
        <f t="shared" si="12"/>
        <v>870.51013534480512</v>
      </c>
      <c r="S10" s="257">
        <f>SUM(ELEC!N10)</f>
        <v>2160</v>
      </c>
      <c r="T10" s="288">
        <f t="shared" si="16"/>
        <v>0.40301395154852088</v>
      </c>
      <c r="V10" s="227">
        <f>'[1]EDl log'!V27</f>
        <v>561453</v>
      </c>
      <c r="W10" s="227">
        <f>'[1]EDl log'!W27</f>
        <v>563190</v>
      </c>
      <c r="X10" s="227" t="str">
        <f>'[6]EDl log'!X27</f>
        <v>day</v>
      </c>
      <c r="Y10" s="527">
        <f>'[1]EDl log'!Y27</f>
        <v>112</v>
      </c>
      <c r="Z10" s="527">
        <f>'[1]EDl log'!Z27</f>
        <v>1</v>
      </c>
      <c r="AA10" s="527">
        <f>'[1]EDl log'!AA27</f>
        <v>1737</v>
      </c>
      <c r="AB10" s="527">
        <f>'[1]EDl log'!AB27</f>
        <v>194544</v>
      </c>
      <c r="AC10" s="527">
        <f>'[1]EDl log'!AC27</f>
        <v>6200000</v>
      </c>
      <c r="AD10" s="511">
        <f>'[1]EDl log'!AD27</f>
        <v>0.90563086548488003</v>
      </c>
      <c r="AE10" s="527">
        <f>'[1]EDl log'!AE27</f>
        <v>0</v>
      </c>
      <c r="AF10" s="527">
        <f>'[1]EDl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624.98709677419276</v>
      </c>
      <c r="R11" s="255">
        <f t="shared" si="12"/>
        <v>779.79013534478065</v>
      </c>
      <c r="S11" s="257">
        <f>SUM(ELEC!N11)</f>
        <v>2668</v>
      </c>
      <c r="T11" s="288">
        <f t="shared" si="16"/>
        <v>0.29227516317270641</v>
      </c>
      <c r="V11" s="227">
        <f>'[1]EDl log'!V28</f>
        <v>161459</v>
      </c>
      <c r="W11" s="227">
        <f>'[1]EDl log'!W28</f>
        <v>161640</v>
      </c>
      <c r="X11" s="227" t="str">
        <f>'[6]EDl log'!X28</f>
        <v>Peak</v>
      </c>
      <c r="Y11" s="527">
        <f>'[1]EDl log'!Y28</f>
        <v>320</v>
      </c>
      <c r="Z11" s="527">
        <f>'[1]EDl log'!Z28</f>
        <v>1</v>
      </c>
      <c r="AA11" s="527">
        <f>'[1]EDl log'!AA28</f>
        <v>181</v>
      </c>
      <c r="AB11" s="527">
        <f>'[1]EDl log'!AB28</f>
        <v>57920</v>
      </c>
      <c r="AC11" s="527">
        <f>'[1]EDl log'!AC28</f>
        <v>1000</v>
      </c>
      <c r="AD11" s="511">
        <f>'[1]EDl log'!AD28</f>
        <v>9.4369134515119912E-2</v>
      </c>
      <c r="AE11" s="527">
        <f>'[1]EDl log'!AE28</f>
        <v>2896</v>
      </c>
      <c r="AF11" s="527">
        <f>'[1]EDl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'[1]EDl log'!AA29</f>
        <v>1918</v>
      </c>
      <c r="AB12" s="527">
        <f>'[1]EDl log'!AB29</f>
        <v>252464</v>
      </c>
      <c r="AC12" s="527">
        <f>'[1]EDl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227</v>
      </c>
      <c r="W13" s="511">
        <f>'[1]EDl log'!$W$30</f>
        <v>0</v>
      </c>
      <c r="Y13" s="203" t="s">
        <v>228</v>
      </c>
      <c r="Z13" s="3"/>
      <c r="AA13" s="527">
        <f>'[1]EDl log'!AA30</f>
        <v>0</v>
      </c>
      <c r="AB13" s="527">
        <f>'[1]EDl log'!AB30</f>
        <v>7486797</v>
      </c>
      <c r="AC13" s="527">
        <f>'[1]EDl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4.0374193548189945</v>
      </c>
      <c r="R14" s="255">
        <f>SUM(P14:Q14)</f>
        <v>158.84045792540692</v>
      </c>
      <c r="S14" s="257">
        <f>SUM(ELEC!N14)</f>
        <v>2740</v>
      </c>
      <c r="T14" s="288">
        <f>IF(S14&gt;0,R14/S14,0)</f>
        <v>5.7970970045768948E-2</v>
      </c>
      <c r="V14" s="202"/>
      <c r="Y14" s="203"/>
      <c r="Z14" s="3"/>
      <c r="AA14" s="527">
        <f>'[1]EDl log'!AA31</f>
        <v>0</v>
      </c>
      <c r="AB14" s="527">
        <f>'[1]EDl log'!AB31</f>
        <v>0</v>
      </c>
      <c r="AC14" s="527">
        <f>'[1]EDl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430.94709677421724</v>
      </c>
      <c r="R15" s="255">
        <f>SUM(P15:Q15)</f>
        <v>585.75013534480513</v>
      </c>
      <c r="S15" s="257">
        <f>SUM(ELEC!N15)</f>
        <v>2411</v>
      </c>
      <c r="T15" s="288">
        <f>IF(S15&gt;0,R15/S15,0)</f>
        <v>0.24294903996051645</v>
      </c>
      <c r="V15" s="202" t="s">
        <v>229</v>
      </c>
      <c r="W15" s="528">
        <f>'[1]EDl log'!$W$32</f>
        <v>238</v>
      </c>
      <c r="X15" s="227">
        <f>'[1]EDl log'!$X$32</f>
        <v>59.5</v>
      </c>
      <c r="Y15" s="527">
        <f>'[1]EDl log'!$Y$32</f>
        <v>59.5</v>
      </c>
      <c r="Z15" s="3"/>
      <c r="AA15" s="527">
        <f>'[1]EDl log'!AA32</f>
        <v>0</v>
      </c>
      <c r="AB15" s="527">
        <f>'[1]EDl log'!AB32</f>
        <v>0</v>
      </c>
      <c r="AC15" s="527">
        <f>'[1]EDl log'!AC32</f>
        <v>0</v>
      </c>
      <c r="AD15" s="524"/>
    </row>
    <row r="16" spans="1:32" ht="20.100000000000001" customHeight="1">
      <c r="A16" s="155">
        <f>ELEC!C16</f>
        <v>44908</v>
      </c>
      <c r="B16" s="78">
        <f>B15</f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656.90709677418056</v>
      </c>
      <c r="R16" s="255">
        <f>SUM(P16:Q16)</f>
        <v>811.71013534476845</v>
      </c>
      <c r="S16" s="257">
        <f>SUM(ELEC!N16)</f>
        <v>2847</v>
      </c>
      <c r="T16" s="288">
        <f>IF(S16&gt;0,R16/S16,0)</f>
        <v>0.28511069032130959</v>
      </c>
      <c r="V16" s="202" t="s">
        <v>230</v>
      </c>
      <c r="X16" s="207"/>
      <c r="Y16" s="231"/>
      <c r="Z16" s="3" t="s">
        <v>231</v>
      </c>
      <c r="AA16" s="527">
        <f>'[1]EDl log'!AA33</f>
        <v>0.11</v>
      </c>
      <c r="AB16" s="527">
        <f>'[1]EDl log'!AB33</f>
        <v>823547.67</v>
      </c>
      <c r="AC16" s="527">
        <f>'[1]EDl log'!AC33</f>
        <v>7234333</v>
      </c>
      <c r="AD16" s="524"/>
    </row>
    <row r="17" spans="1:32" ht="20.100000000000001" customHeight="1">
      <c r="A17" s="155">
        <f>ELEC!C17</f>
        <v>44909</v>
      </c>
      <c r="B17" s="78">
        <v>1127240</v>
      </c>
      <c r="C17" s="78">
        <f t="shared" si="0"/>
        <v>476</v>
      </c>
      <c r="D17" s="264">
        <f t="shared" si="13"/>
        <v>476</v>
      </c>
      <c r="E17" s="264">
        <f t="shared" si="14"/>
        <v>1127240</v>
      </c>
      <c r="F17" s="78">
        <v>161736</v>
      </c>
      <c r="G17" s="152">
        <f>F17-F16</f>
        <v>96</v>
      </c>
      <c r="H17" s="78">
        <v>563565</v>
      </c>
      <c r="I17" s="153">
        <f t="shared" si="2"/>
        <v>375</v>
      </c>
      <c r="J17" s="78">
        <v>401939</v>
      </c>
      <c r="K17" s="154">
        <f>J17-J16</f>
        <v>5</v>
      </c>
      <c r="L17" s="254">
        <f>SUM(G17*$Y$28)/1507.5</f>
        <v>20.378109452736318</v>
      </c>
      <c r="M17" s="254">
        <f>SUM(I17*$Y$27)/1507.5</f>
        <v>27.860696517412936</v>
      </c>
      <c r="N17" s="254">
        <f>SUM(K17*$Y$26)/1507.5</f>
        <v>0.26533996683250416</v>
      </c>
      <c r="O17" s="254">
        <f t="shared" si="10"/>
        <v>154.80303857058792</v>
      </c>
      <c r="P17" s="255">
        <f>SUM(L17:O17)</f>
        <v>203.30718450756967</v>
      </c>
      <c r="Q17" s="255">
        <f>SUM(-tanks!AX19*tanks!$AU$37)</f>
        <v>990.95612903225299</v>
      </c>
      <c r="R17" s="255">
        <f>SUM(P17:Q17)</f>
        <v>1194.2633135398228</v>
      </c>
      <c r="S17" s="257">
        <f>SUM(ELEC!N17)</f>
        <v>1879</v>
      </c>
      <c r="T17" s="288">
        <f>IF(S17&gt;0,R17/S17,0)</f>
        <v>0.63558452024471679</v>
      </c>
      <c r="V17" s="202" t="s">
        <v>232</v>
      </c>
      <c r="Z17" s="3"/>
      <c r="AA17" s="527">
        <f>'[1]EDl log'!AA34</f>
        <v>0</v>
      </c>
      <c r="AB17" s="527">
        <f>'[1]EDl log'!AB34</f>
        <v>8310344.6699999999</v>
      </c>
      <c r="AC17" s="527">
        <f>'[1]EDl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v>1127343</v>
      </c>
      <c r="C18" s="78">
        <f>SUM(B18-B17)</f>
        <v>103</v>
      </c>
      <c r="D18" s="264">
        <f>SUM(G18+I18+K18)</f>
        <v>102</v>
      </c>
      <c r="E18" s="264">
        <f t="shared" si="14"/>
        <v>1127342</v>
      </c>
      <c r="F18" s="78">
        <v>161786</v>
      </c>
      <c r="G18" s="152">
        <f t="shared" si="1"/>
        <v>50</v>
      </c>
      <c r="H18" s="78">
        <v>563617</v>
      </c>
      <c r="I18" s="153">
        <f t="shared" si="2"/>
        <v>52</v>
      </c>
      <c r="J18" s="78">
        <v>401939</v>
      </c>
      <c r="K18" s="154">
        <f t="shared" si="9"/>
        <v>0</v>
      </c>
      <c r="L18" s="254">
        <f t="shared" ref="L18:L30" si="17">SUM(G18*$Y$28)/1507.5</f>
        <v>10.613598673300165</v>
      </c>
      <c r="M18" s="254">
        <f t="shared" ref="M18:M30" si="18">SUM(I18*$Y$27)/1507.5</f>
        <v>3.8633499170812602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169.27998716096934</v>
      </c>
      <c r="Q18" s="255">
        <f>SUM(-tanks!AX20*tanks!$AU$37)</f>
        <v>-229.23870967739728</v>
      </c>
      <c r="R18" s="255">
        <f t="shared" si="12"/>
        <v>-59.95872251642794</v>
      </c>
      <c r="S18" s="257">
        <f>SUM(ELEC!N18)</f>
        <v>2633</v>
      </c>
      <c r="T18" s="288">
        <f t="shared" si="16"/>
        <v>-2.2772017666702598E-2</v>
      </c>
      <c r="V18" s="211"/>
      <c r="W18" s="204"/>
      <c r="X18" s="204"/>
      <c r="Y18" s="204"/>
      <c r="Z18" s="3"/>
      <c r="AA18" s="527">
        <f>'[1]EDl log'!AA35</f>
        <v>0</v>
      </c>
      <c r="AB18" s="527">
        <f>'[1]EDl log'!AB35</f>
        <v>0</v>
      </c>
      <c r="AC18" s="527">
        <f>'[1]EDl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1127343</v>
      </c>
      <c r="C19" s="78">
        <f t="shared" si="0"/>
        <v>0</v>
      </c>
      <c r="D19" s="264">
        <f t="shared" si="13"/>
        <v>0</v>
      </c>
      <c r="E19" s="264">
        <f t="shared" si="14"/>
        <v>1127343</v>
      </c>
      <c r="F19" s="78">
        <f t="shared" si="15"/>
        <v>161786</v>
      </c>
      <c r="G19" s="152">
        <f t="shared" si="1"/>
        <v>0</v>
      </c>
      <c r="H19" s="78">
        <f t="shared" si="7"/>
        <v>563617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'[1]EDl log'!AA36</f>
        <v>$ without VAT</v>
      </c>
      <c r="AB19" s="527">
        <f>'[1]EDl log'!AB36</f>
        <v>4966.3661691542293</v>
      </c>
      <c r="AC19" s="527">
        <f>'[1]EDl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1127343</v>
      </c>
      <c r="C20" s="78">
        <f t="shared" si="0"/>
        <v>0</v>
      </c>
      <c r="D20" s="264">
        <f t="shared" si="13"/>
        <v>0</v>
      </c>
      <c r="E20" s="264">
        <f t="shared" si="14"/>
        <v>1127343</v>
      </c>
      <c r="F20" s="78">
        <f t="shared" si="15"/>
        <v>161786</v>
      </c>
      <c r="G20" s="152">
        <f t="shared" si="1"/>
        <v>0</v>
      </c>
      <c r="H20" s="78">
        <f t="shared" si="7"/>
        <v>563617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1127343</v>
      </c>
      <c r="C21" s="78">
        <f t="shared" si="0"/>
        <v>0</v>
      </c>
      <c r="D21" s="264">
        <f t="shared" si="13"/>
        <v>0</v>
      </c>
      <c r="E21" s="264">
        <f t="shared" si="14"/>
        <v>1127343</v>
      </c>
      <c r="F21" s="78">
        <f t="shared" si="15"/>
        <v>161786</v>
      </c>
      <c r="G21" s="152">
        <f t="shared" si="1"/>
        <v>0</v>
      </c>
      <c r="H21" s="78">
        <f t="shared" si="7"/>
        <v>563617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794.39612903224076</v>
      </c>
      <c r="R21" s="255">
        <f t="shared" si="12"/>
        <v>949.19916760282865</v>
      </c>
      <c r="S21" s="257">
        <f>SUM(ELEC!N21)</f>
        <v>2643</v>
      </c>
      <c r="T21" s="288">
        <f t="shared" si="16"/>
        <v>0.35913702898328742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2"/>
      <c r="AC21" s="573"/>
    </row>
    <row r="22" spans="1:32" ht="20.100000000000001" customHeight="1">
      <c r="A22" s="155">
        <f>ELEC!C22</f>
        <v>44914</v>
      </c>
      <c r="B22" s="78">
        <f t="shared" si="6"/>
        <v>1127343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563617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894.3561290322408</v>
      </c>
      <c r="R22" s="255">
        <f t="shared" si="12"/>
        <v>1049.1591676028288</v>
      </c>
      <c r="S22" s="257">
        <f>SUM(ELEC!N22)</f>
        <v>2671</v>
      </c>
      <c r="T22" s="288">
        <f t="shared" si="16"/>
        <v>0.39279639371127995</v>
      </c>
      <c r="V22" s="566"/>
      <c r="W22" s="567"/>
      <c r="X22" s="567"/>
      <c r="Y22" s="568"/>
      <c r="Z22" s="25" t="s">
        <v>217</v>
      </c>
      <c r="AA22" s="25">
        <v>5000</v>
      </c>
      <c r="AB22" s="574"/>
      <c r="AC22" s="575"/>
    </row>
    <row r="23" spans="1:32" ht="21" customHeight="1">
      <c r="A23" s="155">
        <f>ELEC!C23</f>
        <v>44915</v>
      </c>
      <c r="B23" s="78">
        <v>1127523</v>
      </c>
      <c r="C23" s="78">
        <f t="shared" si="0"/>
        <v>180</v>
      </c>
      <c r="D23" s="264">
        <f t="shared" si="13"/>
        <v>180</v>
      </c>
      <c r="E23" s="264">
        <f t="shared" si="14"/>
        <v>1127523</v>
      </c>
      <c r="F23" s="78">
        <v>161786</v>
      </c>
      <c r="G23" s="152">
        <f t="shared" si="1"/>
        <v>0</v>
      </c>
      <c r="H23" s="78">
        <v>563797</v>
      </c>
      <c r="I23" s="153">
        <f t="shared" si="2"/>
        <v>180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13.373134328358208</v>
      </c>
      <c r="N23" s="254">
        <f t="shared" si="19"/>
        <v>0</v>
      </c>
      <c r="O23" s="254">
        <f t="shared" si="10"/>
        <v>154.80303857058792</v>
      </c>
      <c r="P23" s="255">
        <f t="shared" si="11"/>
        <v>168.17617289894613</v>
      </c>
      <c r="Q23" s="255">
        <f>SUM(-tanks!AX25*tanks!$AU$37)</f>
        <v>864.11612903226523</v>
      </c>
      <c r="R23" s="255">
        <f t="shared" si="12"/>
        <v>1032.2923019312113</v>
      </c>
      <c r="S23" s="257">
        <f>SUM(ELEC!N23)</f>
        <v>3045</v>
      </c>
      <c r="T23" s="288">
        <f t="shared" si="16"/>
        <v>0.33901225022371473</v>
      </c>
      <c r="V23" s="569"/>
      <c r="W23" s="570"/>
      <c r="X23" s="570"/>
      <c r="Y23" s="571"/>
      <c r="Z23" s="578"/>
      <c r="AA23" s="579"/>
      <c r="AB23" s="574"/>
      <c r="AC23" s="575"/>
    </row>
    <row r="24" spans="1:32" ht="20.100000000000001" customHeight="1">
      <c r="A24" s="155">
        <f>ELEC!C24</f>
        <v>44916</v>
      </c>
      <c r="B24" s="78">
        <f t="shared" si="6"/>
        <v>1127523</v>
      </c>
      <c r="C24" s="78">
        <f t="shared" si="0"/>
        <v>0</v>
      </c>
      <c r="D24" s="264">
        <f t="shared" si="13"/>
        <v>0</v>
      </c>
      <c r="E24" s="264">
        <f t="shared" si="14"/>
        <v>1127523</v>
      </c>
      <c r="F24" s="78">
        <f t="shared" si="15"/>
        <v>161786</v>
      </c>
      <c r="G24" s="152">
        <f t="shared" si="1"/>
        <v>0</v>
      </c>
      <c r="H24" s="78">
        <f t="shared" si="7"/>
        <v>563797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890.42709677421726</v>
      </c>
      <c r="R24" s="255">
        <f t="shared" si="12"/>
        <v>1045.2301353448051</v>
      </c>
      <c r="S24" s="257">
        <f>SUM(ELEC!N24)</f>
        <v>2093</v>
      </c>
      <c r="T24" s="288">
        <f t="shared" si="16"/>
        <v>0.49939328014563072</v>
      </c>
      <c r="V24" s="561" t="s">
        <v>218</v>
      </c>
      <c r="W24" s="562"/>
      <c r="X24" s="563" t="s">
        <v>219</v>
      </c>
      <c r="Y24" s="564"/>
      <c r="Z24" s="565"/>
      <c r="AA24" s="161"/>
      <c r="AB24" s="576"/>
      <c r="AC24" s="577"/>
    </row>
    <row r="25" spans="1:32" ht="20.100000000000001" customHeight="1">
      <c r="A25" s="155">
        <f>ELEC!C25</f>
        <v>44917</v>
      </c>
      <c r="B25" s="78">
        <f t="shared" si="6"/>
        <v>1127523</v>
      </c>
      <c r="C25" s="78">
        <f t="shared" si="0"/>
        <v>0</v>
      </c>
      <c r="D25" s="264">
        <f t="shared" si="13"/>
        <v>0</v>
      </c>
      <c r="E25" s="264">
        <f t="shared" si="14"/>
        <v>1127523</v>
      </c>
      <c r="F25" s="78">
        <f t="shared" si="15"/>
        <v>161786</v>
      </c>
      <c r="G25" s="152">
        <f t="shared" si="1"/>
        <v>0</v>
      </c>
      <c r="H25" s="78">
        <f t="shared" si="7"/>
        <v>563797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413.86258064515658</v>
      </c>
      <c r="R25" s="255">
        <f t="shared" si="12"/>
        <v>568.66561921574453</v>
      </c>
      <c r="S25" s="257">
        <f>SUM(ELEC!N25)</f>
        <v>2295</v>
      </c>
      <c r="T25" s="288">
        <f t="shared" si="16"/>
        <v>0.24778458353627211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44918</v>
      </c>
      <c r="B26" s="78">
        <f t="shared" si="6"/>
        <v>1127523</v>
      </c>
      <c r="C26" s="78">
        <f t="shared" si="0"/>
        <v>0</v>
      </c>
      <c r="D26" s="264">
        <f t="shared" si="13"/>
        <v>0</v>
      </c>
      <c r="E26" s="264">
        <f t="shared" si="14"/>
        <v>1127523</v>
      </c>
      <c r="F26" s="78">
        <f t="shared" si="15"/>
        <v>161786</v>
      </c>
      <c r="G26" s="152">
        <f t="shared" si="1"/>
        <v>0</v>
      </c>
      <c r="H26" s="78">
        <f t="shared" si="7"/>
        <v>563797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390</v>
      </c>
      <c r="T26" s="288">
        <f t="shared" si="16"/>
        <v>0.39693086812971262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6.587615283267457E-3</v>
      </c>
    </row>
    <row r="27" spans="1:32" ht="20.100000000000001" customHeight="1">
      <c r="A27" s="155">
        <f>ELEC!C27</f>
        <v>44919</v>
      </c>
      <c r="B27" s="78">
        <f t="shared" si="6"/>
        <v>1127523</v>
      </c>
      <c r="C27" s="78">
        <f t="shared" si="0"/>
        <v>0</v>
      </c>
      <c r="D27" s="264">
        <f t="shared" si="13"/>
        <v>0</v>
      </c>
      <c r="E27" s="264">
        <f t="shared" si="14"/>
        <v>1127523</v>
      </c>
      <c r="F27" s="78">
        <f t="shared" si="15"/>
        <v>161786</v>
      </c>
      <c r="G27" s="152">
        <f t="shared" si="1"/>
        <v>0</v>
      </c>
      <c r="H27" s="78">
        <f t="shared" si="7"/>
        <v>563797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563797</v>
      </c>
      <c r="X27" s="163" t="s">
        <v>233</v>
      </c>
      <c r="Y27" s="163">
        <v>112</v>
      </c>
      <c r="Z27" s="163">
        <v>1</v>
      </c>
      <c r="AA27" s="185">
        <f>(W27-V27)*Z27</f>
        <v>607</v>
      </c>
      <c r="AB27" s="185">
        <f>SUM(AA27*Y27)</f>
        <v>67984</v>
      </c>
      <c r="AC27" s="225">
        <f>AC10</f>
        <v>6200000</v>
      </c>
      <c r="AD27" s="424">
        <f>SUM(I36)</f>
        <v>0.79973649538866931</v>
      </c>
    </row>
    <row r="28" spans="1:32" ht="20.100000000000001" customHeight="1">
      <c r="A28" s="155">
        <f>ELEC!C28</f>
        <v>44920</v>
      </c>
      <c r="B28" s="78">
        <f t="shared" si="6"/>
        <v>1127523</v>
      </c>
      <c r="C28" s="78">
        <f t="shared" si="0"/>
        <v>0</v>
      </c>
      <c r="D28" s="264">
        <f t="shared" si="13"/>
        <v>0</v>
      </c>
      <c r="E28" s="264">
        <f t="shared" si="14"/>
        <v>1127523</v>
      </c>
      <c r="F28" s="78">
        <f t="shared" si="15"/>
        <v>161786</v>
      </c>
      <c r="G28" s="152">
        <f t="shared" si="1"/>
        <v>0</v>
      </c>
      <c r="H28" s="78">
        <f t="shared" si="7"/>
        <v>563797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0.19235836627140976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44921</v>
      </c>
      <c r="B29" s="78">
        <f t="shared" si="6"/>
        <v>1127523</v>
      </c>
      <c r="C29" s="78">
        <f t="shared" si="0"/>
        <v>0</v>
      </c>
      <c r="D29" s="264">
        <f t="shared" si="13"/>
        <v>0</v>
      </c>
      <c r="E29" s="264">
        <f t="shared" si="14"/>
        <v>1127523</v>
      </c>
      <c r="F29" s="78">
        <f t="shared" si="15"/>
        <v>161786</v>
      </c>
      <c r="G29" s="152">
        <f t="shared" si="1"/>
        <v>0</v>
      </c>
      <c r="H29" s="78">
        <f t="shared" si="7"/>
        <v>563797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666.43161290321677</v>
      </c>
      <c r="R29" s="255">
        <f t="shared" si="12"/>
        <v>821.23465147380466</v>
      </c>
      <c r="S29" s="257">
        <f>SUM(ELEC!N29)</f>
        <v>1432</v>
      </c>
      <c r="T29" s="288">
        <f t="shared" si="16"/>
        <v>0.57348788510740545</v>
      </c>
      <c r="V29" s="200"/>
      <c r="W29" s="201"/>
      <c r="X29" s="201"/>
      <c r="Y29" s="145"/>
      <c r="Z29" s="3"/>
      <c r="AA29" s="185">
        <f>SUM(AA26:AA28)</f>
        <v>758</v>
      </c>
      <c r="AB29" s="185">
        <f>SUM(AB26:AB28)</f>
        <v>115104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1127523</v>
      </c>
      <c r="C30" s="78">
        <f t="shared" si="0"/>
        <v>0</v>
      </c>
      <c r="D30" s="264">
        <f t="shared" si="13"/>
        <v>0</v>
      </c>
      <c r="E30" s="264">
        <f t="shared" si="14"/>
        <v>1127523</v>
      </c>
      <c r="F30" s="78">
        <f t="shared" si="15"/>
        <v>161786</v>
      </c>
      <c r="G30" s="152">
        <f t="shared" si="1"/>
        <v>0</v>
      </c>
      <c r="H30" s="78">
        <f t="shared" si="7"/>
        <v>563797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624.14709677418057</v>
      </c>
      <c r="R30" s="255">
        <f t="shared" si="12"/>
        <v>778.95013534476846</v>
      </c>
      <c r="S30" s="257">
        <f>SUM(ELEC!N30)</f>
        <v>2255</v>
      </c>
      <c r="T30" s="288">
        <f t="shared" si="16"/>
        <v>0.34543243252539624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7349437</v>
      </c>
      <c r="AC30" s="225"/>
    </row>
    <row r="31" spans="1:32" ht="20.100000000000001" customHeight="1">
      <c r="A31" s="155">
        <f>ELEC!C31</f>
        <v>44923</v>
      </c>
      <c r="B31" s="78">
        <f t="shared" si="6"/>
        <v>1127523</v>
      </c>
      <c r="C31" s="78">
        <f>SUM(B31-B30)</f>
        <v>0</v>
      </c>
      <c r="D31" s="264">
        <f t="shared" si="13"/>
        <v>0</v>
      </c>
      <c r="E31" s="264">
        <f t="shared" si="14"/>
        <v>1127523</v>
      </c>
      <c r="F31" s="78">
        <f t="shared" si="15"/>
        <v>161786</v>
      </c>
      <c r="G31" s="152">
        <f>F31-F30</f>
        <v>0</v>
      </c>
      <c r="H31" s="78">
        <f t="shared" si="7"/>
        <v>563797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1127523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1127523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563797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189</v>
      </c>
      <c r="X32" s="207">
        <f>SUM(W32/A35)</f>
        <v>47.25</v>
      </c>
      <c r="Y32" s="231">
        <f>SUM(X32/1)</f>
        <v>47.25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1127523</v>
      </c>
      <c r="C33" s="78">
        <f t="shared" si="20"/>
        <v>0</v>
      </c>
      <c r="D33" s="264">
        <f t="shared" si="21"/>
        <v>0</v>
      </c>
      <c r="E33" s="264">
        <f t="shared" si="14"/>
        <v>1127523</v>
      </c>
      <c r="F33" s="78">
        <f t="shared" si="15"/>
        <v>161786</v>
      </c>
      <c r="G33" s="152">
        <f t="shared" si="22"/>
        <v>0</v>
      </c>
      <c r="H33" s="78">
        <f t="shared" si="7"/>
        <v>563797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808438.07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1127523</v>
      </c>
      <c r="C34" s="78">
        <f t="shared" si="20"/>
        <v>0</v>
      </c>
      <c r="D34" s="264">
        <f t="shared" si="21"/>
        <v>0</v>
      </c>
      <c r="E34" s="264">
        <f t="shared" si="14"/>
        <v>1127523</v>
      </c>
      <c r="F34" s="78">
        <f t="shared" si="15"/>
        <v>161786</v>
      </c>
      <c r="G34" s="152">
        <f t="shared" si="22"/>
        <v>0</v>
      </c>
      <c r="H34" s="78">
        <f t="shared" si="7"/>
        <v>563797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8157875.0700000003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189.75</v>
      </c>
      <c r="D35" s="164"/>
      <c r="E35" s="164"/>
      <c r="F35" s="487"/>
      <c r="G35" s="487">
        <f>SUM(G4:G34)/A35</f>
        <v>36.5</v>
      </c>
      <c r="H35" s="164"/>
      <c r="I35" s="164">
        <f>SUM(I4:I34)/A35</f>
        <v>151.75</v>
      </c>
      <c r="K35" s="164">
        <f>SUM(K4:K34)/A35</f>
        <v>1.25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0.99868247694334655</v>
      </c>
      <c r="G36" s="210">
        <f>IF(C35&gt;0,G35/C35,0)</f>
        <v>0.19235836627140976</v>
      </c>
      <c r="H36" s="199"/>
      <c r="I36" s="210">
        <f>SUM(I35/C35)</f>
        <v>0.79973649538866931</v>
      </c>
      <c r="J36" s="199"/>
      <c r="K36" s="210">
        <f>SUM(K35/C35)</f>
        <v>6.587615283267457E-3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4875.2484245439473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4875.2484245439473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80"/>
      <c r="AC45" s="580"/>
      <c r="AD45" s="471"/>
    </row>
    <row r="46" spans="1:30">
      <c r="V46" s="580"/>
      <c r="W46" s="580"/>
      <c r="X46" s="580"/>
      <c r="Y46" s="580"/>
      <c r="Z46" s="226"/>
      <c r="AA46" s="226"/>
      <c r="AB46" s="580"/>
      <c r="AC46" s="580"/>
      <c r="AD46" s="471"/>
    </row>
    <row r="47" spans="1:30">
      <c r="V47" s="580"/>
      <c r="W47" s="580"/>
      <c r="X47" s="580"/>
      <c r="Y47" s="580"/>
      <c r="Z47" s="580"/>
      <c r="AA47" s="580"/>
      <c r="AB47" s="580"/>
      <c r="AC47" s="580"/>
      <c r="AD47" s="471"/>
    </row>
    <row r="48" spans="1:30">
      <c r="V48" s="581"/>
      <c r="W48" s="581"/>
      <c r="X48" s="582"/>
      <c r="Y48" s="582"/>
      <c r="Z48" s="582"/>
      <c r="AA48" s="1"/>
      <c r="AB48" s="580"/>
      <c r="AC48" s="58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109.00000000084401</v>
      </c>
      <c r="E6" s="3">
        <f>ELEC!Q25</f>
        <v>2352.999999999156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2847</v>
      </c>
      <c r="D14" s="3">
        <f t="shared" si="0"/>
        <v>565.0000000007567</v>
      </c>
      <c r="E14" s="3">
        <f>ELEC!Q16</f>
        <v>2281.9999999992433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15.199999999999989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1879</v>
      </c>
      <c r="D15" s="3">
        <f t="shared" si="0"/>
        <v>-303.00000000069849</v>
      </c>
      <c r="E15" s="3">
        <f>ELEC!Q17</f>
        <v>2182.0000000006985</v>
      </c>
      <c r="F15" s="3">
        <f>GEN!Z15</f>
        <v>8</v>
      </c>
      <c r="G15" s="3">
        <f>WATER!C18+WATER!H18</f>
        <v>95</v>
      </c>
      <c r="H15" s="3">
        <f>WATER!L18</f>
        <v>0</v>
      </c>
      <c r="I15" s="15">
        <f>WATER!BC18+WATER!BD18+WATER!BE19-Sheet1!G15</f>
        <v>-48.000000000000014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2633</v>
      </c>
      <c r="D16" s="3">
        <f t="shared" si="0"/>
        <v>-56.999999998690328</v>
      </c>
      <c r="E16" s="3">
        <f>ELEC!Q18</f>
        <v>2689.9999999986903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23.199999999999974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96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1</v>
      </c>
      <c r="B19" s="3">
        <f>ELEC!AF21</f>
        <v>254</v>
      </c>
      <c r="C19" s="3">
        <f>ELEC!N21</f>
        <v>2643</v>
      </c>
      <c r="D19" s="3">
        <f t="shared" si="0"/>
        <v>148.00000000101863</v>
      </c>
      <c r="E19" s="3">
        <f>ELEC!Q21</f>
        <v>2494.9999999989814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17.200000000000003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2671</v>
      </c>
      <c r="D20" s="3">
        <f t="shared" si="0"/>
        <v>-6.9999999998835847</v>
      </c>
      <c r="E20" s="3">
        <f>ELEC!Q22</f>
        <v>2677.9999999998836</v>
      </c>
      <c r="F20" s="3">
        <f>GEN!Z20</f>
        <v>11</v>
      </c>
      <c r="G20" s="3">
        <f>WATER!C23+WATER!H23</f>
        <v>37</v>
      </c>
      <c r="H20" s="3">
        <f>WATER!L23</f>
        <v>0</v>
      </c>
      <c r="I20" s="15">
        <f>WATER!BC23+WATER!BD23+WATER!BE24-Sheet1!G20</f>
        <v>-45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3045</v>
      </c>
      <c r="D21" s="3">
        <f t="shared" si="0"/>
        <v>110.99999999889405</v>
      </c>
      <c r="E21" s="3">
        <f>ELEC!Q23</f>
        <v>2934.0000000011059</v>
      </c>
      <c r="F21" s="3">
        <f>GEN!Z21</f>
        <v>12</v>
      </c>
      <c r="G21" s="3">
        <f>WATER!C24+WATER!H24</f>
        <v>223</v>
      </c>
      <c r="H21" s="3">
        <f>WATER!L24</f>
        <v>0</v>
      </c>
      <c r="I21" s="15">
        <f>WATER!BC24+WATER!BD24+WATER!BE25-Sheet1!G21</f>
        <v>-169.89999999999998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2093</v>
      </c>
      <c r="D22" s="3">
        <f t="shared" si="0"/>
        <v>218</v>
      </c>
      <c r="E22" s="3">
        <f>ELEC!Q24</f>
        <v>1875</v>
      </c>
      <c r="F22" s="3">
        <f>GEN!Z22</f>
        <v>9</v>
      </c>
      <c r="G22" s="3">
        <f>WATER!C25+WATER!H25</f>
        <v>9</v>
      </c>
      <c r="H22" s="3">
        <f>WATER!L25</f>
        <v>0</v>
      </c>
      <c r="I22" s="15">
        <f>WATER!BC25+WATER!BD25+WATER!BE26-Sheet1!G22</f>
        <v>-26.099999999999966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2295</v>
      </c>
      <c r="D23" s="3">
        <f t="shared" si="0"/>
        <v>-57.999999999155989</v>
      </c>
      <c r="E23" s="3">
        <f>ELEC!Q25</f>
        <v>2352.999999999156</v>
      </c>
      <c r="F23" s="3">
        <f>GEN!Z23</f>
        <v>9</v>
      </c>
      <c r="G23" s="3">
        <f>WATER!C26+WATER!H26</f>
        <v>0</v>
      </c>
      <c r="H23" s="3">
        <f>WATER!L26</f>
        <v>0</v>
      </c>
      <c r="I23" s="15">
        <f>WATER!BC26+WATER!BD26+WATER!BE27-Sheet1!G23</f>
        <v>15.699999999999989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390</v>
      </c>
      <c r="D24" s="3">
        <f t="shared" si="0"/>
        <v>-5.0000000004365575</v>
      </c>
      <c r="E24" s="3">
        <f>ELEC!Q26</f>
        <v>395.00000000043656</v>
      </c>
      <c r="F24" s="3">
        <f>GEN!Z24</f>
        <v>12</v>
      </c>
      <c r="G24" s="3">
        <f>WATER!C27+WATER!H27</f>
        <v>90</v>
      </c>
      <c r="H24" s="3">
        <f>WATER!L27</f>
        <v>0</v>
      </c>
      <c r="I24" s="15">
        <f>WATER!BC27+WATER!BD27+WATER!BE28-Sheet1!G24</f>
        <v>-101.30000000000001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1432</v>
      </c>
      <c r="D27" s="3">
        <f t="shared" si="0"/>
        <v>-23.999999998311978</v>
      </c>
      <c r="E27" s="3">
        <f>ELEC!Q29</f>
        <v>1455.999999998312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-1.6999999999999886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2255</v>
      </c>
      <c r="D28" s="3">
        <f t="shared" si="0"/>
        <v>-43.000000002502929</v>
      </c>
      <c r="E28" s="3">
        <f>ELEC!Q30</f>
        <v>2298.0000000025029</v>
      </c>
      <c r="F28" s="3">
        <f>GEN!Z28</f>
        <v>9</v>
      </c>
      <c r="G28" s="3">
        <f>WATER!C31+WATER!H31</f>
        <v>12</v>
      </c>
      <c r="H28" s="3">
        <f>WATER!L31</f>
        <v>0</v>
      </c>
      <c r="I28" s="15">
        <f>WATER!BC31+WATER!BD31+WATER!BE32-Sheet1!G28</f>
        <v>-35.300000000000011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11</v>
      </c>
      <c r="G29" s="3">
        <f>WATER!C32+WATER!H32</f>
        <v>0</v>
      </c>
      <c r="H29" s="3">
        <f>WATER!L32</f>
        <v>0</v>
      </c>
      <c r="I29" s="15">
        <f>WATER!BC32+WATER!BD32+WATER!BE33-Sheet1!G29</f>
        <v>-13.500000000000028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9"/>
      <c r="B1" s="587" t="s">
        <v>244</v>
      </c>
      <c r="C1" s="587" t="s">
        <v>245</v>
      </c>
      <c r="D1" s="591" t="s">
        <v>246</v>
      </c>
      <c r="E1" s="591" t="s">
        <v>247</v>
      </c>
      <c r="F1" s="592" t="s">
        <v>248</v>
      </c>
      <c r="G1" s="593" t="s">
        <v>249</v>
      </c>
      <c r="H1" s="584" t="s">
        <v>250</v>
      </c>
      <c r="I1" s="585" t="s">
        <v>251</v>
      </c>
      <c r="J1" s="584" t="s">
        <v>252</v>
      </c>
      <c r="K1" s="583" t="s">
        <v>253</v>
      </c>
      <c r="L1" s="583" t="s">
        <v>254</v>
      </c>
      <c r="M1" s="583" t="s">
        <v>255</v>
      </c>
      <c r="N1" s="583" t="s">
        <v>256</v>
      </c>
    </row>
    <row r="2" spans="1:14">
      <c r="A2" s="590"/>
      <c r="B2" s="588"/>
      <c r="C2" s="588"/>
      <c r="D2" s="591"/>
      <c r="E2" s="591"/>
      <c r="F2" s="592"/>
      <c r="G2" s="593"/>
      <c r="H2" s="584"/>
      <c r="I2" s="586"/>
      <c r="J2" s="584"/>
      <c r="K2" s="583"/>
      <c r="L2" s="583"/>
      <c r="M2" s="583"/>
      <c r="N2" s="583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138</v>
      </c>
      <c r="C17" s="74">
        <f>'B5'!AH17</f>
        <v>0</v>
      </c>
      <c r="D17" s="74">
        <f>GEN!AI15</f>
        <v>587.35021097026947</v>
      </c>
      <c r="E17" s="223">
        <f t="shared" si="0"/>
        <v>725.35021097026947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2281.9999999992433</v>
      </c>
      <c r="J17" s="77">
        <f>ELEC!R16</f>
        <v>565.0000000007567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47</v>
      </c>
      <c r="C18" s="74">
        <f>'B5'!AH18</f>
        <v>0</v>
      </c>
      <c r="D18" s="74">
        <f>GEN!AI16</f>
        <v>561.6118143461714</v>
      </c>
      <c r="E18" s="223">
        <f t="shared" si="0"/>
        <v>608.6118143461714</v>
      </c>
      <c r="F18" s="73">
        <f>WATER!L18</f>
        <v>0</v>
      </c>
      <c r="G18" s="76">
        <f>WATER!BG18</f>
        <v>29.800000000000011</v>
      </c>
      <c r="H18" s="77">
        <f>ELEC!AF17</f>
        <v>0</v>
      </c>
      <c r="I18" s="77">
        <f>ELEC!Q17</f>
        <v>2182.0000000006985</v>
      </c>
      <c r="J18" s="77">
        <f>ELEC!R17</f>
        <v>-303.00000000069849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324</v>
      </c>
      <c r="C19" s="74">
        <f>'B5'!AH19</f>
        <v>2</v>
      </c>
      <c r="D19" s="74">
        <f>GEN!AI17</f>
        <v>692.36286919797521</v>
      </c>
      <c r="E19" s="223">
        <f t="shared" si="0"/>
        <v>1018.3628691979752</v>
      </c>
      <c r="F19" s="73">
        <f>WATER!L19</f>
        <v>0</v>
      </c>
      <c r="G19" s="76">
        <f>WATER!BG19</f>
        <v>-8.0000000000000284</v>
      </c>
      <c r="H19" s="77">
        <f>ELEC!AF18</f>
        <v>0</v>
      </c>
      <c r="I19" s="77">
        <f>ELEC!Q18</f>
        <v>2689.9999999986903</v>
      </c>
      <c r="J19" s="77">
        <f>ELEC!R18</f>
        <v>-56.999999998690328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31.200000000000003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281</v>
      </c>
      <c r="C22" s="74">
        <f>'B5'!AH22</f>
        <v>0</v>
      </c>
      <c r="D22" s="74">
        <f>GEN!AI20</f>
        <v>642.17299578032862</v>
      </c>
      <c r="E22" s="223">
        <f t="shared" si="0"/>
        <v>923.17299578032862</v>
      </c>
      <c r="F22" s="73">
        <f>WATER!L22</f>
        <v>0</v>
      </c>
      <c r="G22" s="76">
        <f>WATER!BG22</f>
        <v>0</v>
      </c>
      <c r="H22" s="77">
        <f>ELEC!AF21</f>
        <v>254</v>
      </c>
      <c r="I22" s="77">
        <f>ELEC!Q21</f>
        <v>2494.9999999989814</v>
      </c>
      <c r="J22" s="77">
        <f>ELEC!R21</f>
        <v>148.00000000101863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151</v>
      </c>
      <c r="C23" s="74">
        <f>'B5'!AH23</f>
        <v>11</v>
      </c>
      <c r="D23" s="74">
        <f>GEN!AI21</f>
        <v>689.27426160334562</v>
      </c>
      <c r="E23" s="223">
        <f t="shared" si="0"/>
        <v>851.27426160334562</v>
      </c>
      <c r="F23" s="73">
        <f>WATER!L23</f>
        <v>0</v>
      </c>
      <c r="G23" s="76">
        <f>WATER!BG23</f>
        <v>17.200000000000003</v>
      </c>
      <c r="H23" s="77">
        <f>ELEC!AF22</f>
        <v>0</v>
      </c>
      <c r="I23" s="77">
        <f>ELEC!Q22</f>
        <v>2677.9999999998836</v>
      </c>
      <c r="J23" s="77">
        <f>ELEC!R22</f>
        <v>-6.9999999998835847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128</v>
      </c>
      <c r="C24" s="74">
        <f>'B5'!AH24</f>
        <v>0</v>
      </c>
      <c r="D24" s="74">
        <f>GEN!AI22</f>
        <v>755.16455696231003</v>
      </c>
      <c r="E24" s="223">
        <f t="shared" si="0"/>
        <v>883.16455696231003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2934.0000000011059</v>
      </c>
      <c r="J24" s="77">
        <f>ELEC!R23</f>
        <v>110.99999999889405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482.59493670886081</v>
      </c>
      <c r="E25" s="223">
        <f t="shared" si="0"/>
        <v>482.59493670886081</v>
      </c>
      <c r="F25" s="73">
        <f>WATER!L25</f>
        <v>0</v>
      </c>
      <c r="G25" s="76">
        <f>WATER!BG25</f>
        <v>53.100000000000037</v>
      </c>
      <c r="H25" s="77">
        <f>ELEC!AF24</f>
        <v>0</v>
      </c>
      <c r="I25" s="77">
        <f>ELEC!Q24</f>
        <v>1875</v>
      </c>
      <c r="J25" s="77">
        <f>ELEC!R24</f>
        <v>218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239</v>
      </c>
      <c r="C26" s="74">
        <f>'B5'!AH26</f>
        <v>0</v>
      </c>
      <c r="D26" s="74">
        <f>GEN!AI24</f>
        <v>605.62447257362248</v>
      </c>
      <c r="E26" s="223">
        <f t="shared" si="0"/>
        <v>844.62447257362248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2352.999999999156</v>
      </c>
      <c r="J26" s="77">
        <f>ELEC!R25</f>
        <v>-57.999999999155989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101.66666666677904</v>
      </c>
      <c r="E27" s="223">
        <f t="shared" si="0"/>
        <v>101.66666666677904</v>
      </c>
      <c r="F27" s="73">
        <f>WATER!L27</f>
        <v>0</v>
      </c>
      <c r="G27" s="76">
        <f>WATER!BG27</f>
        <v>15.699999999999989</v>
      </c>
      <c r="H27" s="77">
        <f>ELEC!AF26</f>
        <v>0</v>
      </c>
      <c r="I27" s="77">
        <f>ELEC!Q26</f>
        <v>395.00000000043656</v>
      </c>
      <c r="J27" s="77">
        <f>ELEC!R26</f>
        <v>-5.0000000004365575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175</v>
      </c>
      <c r="C30" s="74">
        <f>'B5'!AH30</f>
        <v>0</v>
      </c>
      <c r="D30" s="74">
        <f>GEN!AI28</f>
        <v>374.75105485188624</v>
      </c>
      <c r="E30" s="75">
        <f t="shared" si="0"/>
        <v>549.75105485188624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1455.999999998312</v>
      </c>
      <c r="J30" s="77">
        <f>ELEC!R29</f>
        <v>-23.999999998311978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144</v>
      </c>
      <c r="C31" s="74">
        <f>'B5'!AH31</f>
        <v>33</v>
      </c>
      <c r="D31" s="74">
        <f>GEN!AI29</f>
        <v>591.46835443102395</v>
      </c>
      <c r="E31" s="75">
        <f t="shared" si="0"/>
        <v>768.46835443102395</v>
      </c>
      <c r="F31" s="73">
        <f>WATER!L31</f>
        <v>0</v>
      </c>
      <c r="G31" s="76">
        <f>WATER!BG31</f>
        <v>-1.6999999999999886</v>
      </c>
      <c r="H31" s="77">
        <f>ELEC!AF30</f>
        <v>0</v>
      </c>
      <c r="I31" s="77">
        <f>ELEC!Q30</f>
        <v>2298.0000000025029</v>
      </c>
      <c r="J31" s="77">
        <f>ELEC!R30</f>
        <v>-43.000000002502929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-13.500000000000028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80" t="s">
        <v>257</v>
      </c>
      <c r="U3" s="58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38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3</v>
      </c>
      <c r="E27">
        <f t="shared" si="0"/>
        <v>270</v>
      </c>
      <c r="F27">
        <f>'B5'!AM26</f>
        <v>1</v>
      </c>
      <c r="G27">
        <f t="shared" si="1"/>
        <v>107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2</v>
      </c>
      <c r="E32">
        <f t="shared" si="0"/>
        <v>180</v>
      </c>
      <c r="F32">
        <f>'B5'!AM31</f>
        <v>1</v>
      </c>
      <c r="G32">
        <f t="shared" si="1"/>
        <v>107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126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I49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30" t="s">
        <v>289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</row>
    <row r="2" spans="1:28" ht="19.5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</row>
    <row r="3" spans="1:28" ht="19.5">
      <c r="A3" s="631" t="s">
        <v>290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1" t="s">
        <v>291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</row>
    <row r="6" spans="1:28" ht="15.75" thickBot="1">
      <c r="A6" s="632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32"/>
      <c r="Q6" s="632"/>
      <c r="R6" s="632"/>
      <c r="S6" s="632"/>
      <c r="T6" s="632"/>
      <c r="U6" s="632"/>
      <c r="V6" s="632"/>
      <c r="W6" s="632"/>
      <c r="X6" s="632"/>
    </row>
    <row r="7" spans="1:28" ht="15.75" thickBot="1">
      <c r="A7" s="620" t="s">
        <v>292</v>
      </c>
      <c r="B7" s="621"/>
      <c r="C7" s="622" t="s">
        <v>293</v>
      </c>
      <c r="D7" s="623"/>
      <c r="E7" s="623"/>
      <c r="F7" s="623"/>
      <c r="G7" s="623"/>
      <c r="H7" s="623"/>
      <c r="I7" s="623"/>
      <c r="J7" s="623"/>
      <c r="K7" s="624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18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17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17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16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15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15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13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13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11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112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'[1]General information '!B5</f>
        <v>24</v>
      </c>
      <c r="S48" s="239">
        <f>'[1]General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'[1]General information '!B6</f>
        <v>25</v>
      </c>
      <c r="S49" s="239">
        <f>'[1]General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'[1]General information '!B7</f>
        <v>24</v>
      </c>
      <c r="S50" s="239">
        <f>'[1]General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'[1]General information '!B8</f>
        <v>24</v>
      </c>
      <c r="S51" s="239">
        <f>'[1]General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'[1]General information '!B9</f>
        <v>25</v>
      </c>
      <c r="S52" s="239">
        <f>'[1]General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'[1]General information '!B10</f>
        <v>0</v>
      </c>
      <c r="S53" s="239">
        <f>'[1]General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'[1]General information '!B11</f>
        <v>20</v>
      </c>
      <c r="S54" s="239">
        <f>'[1]General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'[1]General information '!B12</f>
        <v>21</v>
      </c>
      <c r="S55" s="239">
        <f>'[1]General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'[1]General information '!B13</f>
        <v>22</v>
      </c>
      <c r="S56" s="239">
        <f>'[1]General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'[1]General information '!B14</f>
        <v>24</v>
      </c>
      <c r="S57" s="239">
        <f>'[1]General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'[1]General information '!B15</f>
        <v>0</v>
      </c>
      <c r="S58" s="239">
        <f>'[1]General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'[1]General information '!B16</f>
        <v>0</v>
      </c>
      <c r="S59" s="239">
        <f>'[1]General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23</v>
      </c>
      <c r="K60" s="239">
        <f>'General information '!C17</f>
        <v>18</v>
      </c>
      <c r="L60" s="115">
        <f t="shared" si="6"/>
        <v>2.1999999999999993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'[1]General information '!B17</f>
        <v>27</v>
      </c>
      <c r="S60" s="239">
        <f>'[1]General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23</v>
      </c>
      <c r="W60" s="239">
        <f>'General information '!C17</f>
        <v>18</v>
      </c>
      <c r="X60" s="115">
        <f t="shared" si="5"/>
        <v>2.1999999999999993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21</v>
      </c>
      <c r="K61" s="239">
        <f>'General information '!C18</f>
        <v>17</v>
      </c>
      <c r="L61" s="115">
        <f t="shared" si="6"/>
        <v>0.69999999999999929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'[1]General information '!B18</f>
        <v>25</v>
      </c>
      <c r="S61" s="239">
        <f>'[1]General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21</v>
      </c>
      <c r="W61" s="239">
        <f>'General information '!C18</f>
        <v>17</v>
      </c>
      <c r="X61" s="115">
        <f t="shared" si="5"/>
        <v>0.69999999999999929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21</v>
      </c>
      <c r="K62" s="239">
        <f>'General information '!C19</f>
        <v>17</v>
      </c>
      <c r="L62" s="115">
        <f t="shared" si="6"/>
        <v>0.69999999999999929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'[1]General information '!B19</f>
        <v>22</v>
      </c>
      <c r="S62" s="239">
        <f>'[1]General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21</v>
      </c>
      <c r="W62" s="239">
        <f>'General information '!C19</f>
        <v>17</v>
      </c>
      <c r="X62" s="115">
        <f t="shared" si="5"/>
        <v>0.69999999999999929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'[1]General information '!B20</f>
        <v>23</v>
      </c>
      <c r="S63" s="239">
        <f>'[1]General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'[1]General information '!B21</f>
        <v>23</v>
      </c>
      <c r="S64" s="239">
        <f>'[1]General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22</v>
      </c>
      <c r="K65" s="239">
        <f>'General information '!C22</f>
        <v>16</v>
      </c>
      <c r="L65" s="115">
        <f t="shared" si="6"/>
        <v>0.69999999999999929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'[1]General information '!B22</f>
        <v>21</v>
      </c>
      <c r="S65" s="239">
        <f>'[1]General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22</v>
      </c>
      <c r="W65" s="239">
        <f>'General information '!C22</f>
        <v>16</v>
      </c>
      <c r="X65" s="115">
        <f t="shared" si="5"/>
        <v>0.69999999999999929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22</v>
      </c>
      <c r="K66" s="239">
        <f>'General information '!C23</f>
        <v>15</v>
      </c>
      <c r="L66" s="115">
        <f t="shared" si="6"/>
        <v>0.19999999999999929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'[1]General information '!B23</f>
        <v>0</v>
      </c>
      <c r="S66" s="239">
        <f>'[1]General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22</v>
      </c>
      <c r="W66" s="239">
        <f>'General information '!C23</f>
        <v>15</v>
      </c>
      <c r="X66" s="115">
        <f t="shared" si="5"/>
        <v>0.19999999999999929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21</v>
      </c>
      <c r="K67" s="239">
        <f>'General information '!C24</f>
        <v>15</v>
      </c>
      <c r="L67" s="115">
        <f t="shared" si="6"/>
        <v>-0.30000000000000071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'[1]General information '!B24</f>
        <v>0</v>
      </c>
      <c r="S67" s="239">
        <f>'[1]General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21</v>
      </c>
      <c r="W67" s="239">
        <f>'General information '!C24</f>
        <v>15</v>
      </c>
      <c r="X67" s="115">
        <f t="shared" si="5"/>
        <v>-0.30000000000000071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20</v>
      </c>
      <c r="K68" s="239">
        <f>'General information '!C25</f>
        <v>13</v>
      </c>
      <c r="L68" s="115">
        <f t="shared" si="6"/>
        <v>-1.8000000000000007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'[1]General information '!B25</f>
        <v>0</v>
      </c>
      <c r="S68" s="239">
        <f>'[1]General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20</v>
      </c>
      <c r="W68" s="239">
        <f>'General information '!C25</f>
        <v>13</v>
      </c>
      <c r="X68" s="115">
        <f t="shared" si="5"/>
        <v>-1.8000000000000007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13</v>
      </c>
      <c r="L69" s="115">
        <f t="shared" si="6"/>
        <v>-1.8000000000000007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'[1]General information '!B26</f>
        <v>0</v>
      </c>
      <c r="S69" s="239">
        <f>'[1]General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13</v>
      </c>
      <c r="X69" s="115">
        <f t="shared" si="5"/>
        <v>-1.8000000000000007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'[1]General information '!B27</f>
        <v>0</v>
      </c>
      <c r="S70" s="239">
        <f>'[1]General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'[1]General information '!B28</f>
        <v>0</v>
      </c>
      <c r="S71" s="239">
        <f>'[1]General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'[1]General information '!B29</f>
        <v>0</v>
      </c>
      <c r="S72" s="239">
        <f>'[1]General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16</v>
      </c>
      <c r="K73" s="239">
        <f>'General information '!C30</f>
        <v>11</v>
      </c>
      <c r="L73" s="115">
        <f t="shared" si="6"/>
        <v>-4.8000000000000007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'[1]General information '!B30</f>
        <v>0</v>
      </c>
      <c r="S73" s="239">
        <f>'[1]General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16</v>
      </c>
      <c r="W73" s="239">
        <f>'General information '!C30</f>
        <v>11</v>
      </c>
      <c r="X73" s="115">
        <f t="shared" si="5"/>
        <v>-4.8000000000000007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18</v>
      </c>
      <c r="K74" s="239">
        <f>'General information '!C31</f>
        <v>112</v>
      </c>
      <c r="L74" s="115">
        <f t="shared" si="6"/>
        <v>46.7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'[1]General information '!B31</f>
        <v>21</v>
      </c>
      <c r="S74" s="239">
        <f>'[1]General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18</v>
      </c>
      <c r="W74" s="239">
        <f>'General information '!C31</f>
        <v>112</v>
      </c>
      <c r="X74" s="115">
        <f t="shared" si="5"/>
        <v>46.7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'[1]General information '!B32</f>
        <v>23</v>
      </c>
      <c r="S75" s="239">
        <f>'[1]General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'[1]General information '!B33</f>
        <v>24</v>
      </c>
      <c r="S76" s="239">
        <f>'[1]General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'[1]General information '!B34</f>
        <v>22</v>
      </c>
      <c r="S77" s="239">
        <f>'[1]General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-228.90000000000006</v>
      </c>
      <c r="K81" s="115">
        <f>SUMIF(L48:L78,"&gt;0")</f>
        <v>54.399999999999991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-247.20000000000007</v>
      </c>
      <c r="W81" s="115">
        <f>SUMIF(X48:X78,"&gt;0")</f>
        <v>54.399999999999991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5" t="s">
        <v>303</v>
      </c>
      <c r="O84" s="625" t="s">
        <v>304</v>
      </c>
      <c r="P84" s="130"/>
      <c r="T84" s="130"/>
      <c r="X84" s="130"/>
    </row>
    <row r="85" spans="1:24" ht="20.25" thickBot="1">
      <c r="D85" s="130"/>
      <c r="I85" s="627" t="s">
        <v>312</v>
      </c>
      <c r="J85" s="628"/>
      <c r="K85" s="628"/>
      <c r="L85" s="628"/>
      <c r="N85" s="626"/>
      <c r="O85" s="626"/>
      <c r="P85" s="130"/>
      <c r="T85" s="130"/>
      <c r="X85" s="130"/>
    </row>
    <row r="86" spans="1:24" ht="18.75" thickBot="1">
      <c r="D86" s="130"/>
      <c r="I86" s="629" t="s">
        <v>313</v>
      </c>
      <c r="J86" s="629"/>
      <c r="K86" s="629"/>
      <c r="L86" s="629"/>
      <c r="N86" s="136">
        <f>B43+F43+J43+N43+R43+V43+B81+F81+J81+N81+R81+V81</f>
        <v>-2279.5000000000005</v>
      </c>
      <c r="O86" s="136">
        <f>C43+G43+K43+O43+S43+W43+C81+G81+K81+O81+S81+W81</f>
        <v>801.9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9"/>
      <c r="C88" s="619"/>
      <c r="D88" s="619"/>
      <c r="E88" s="619"/>
      <c r="F88" s="619"/>
      <c r="G88" s="619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DA1" activePane="topRight" state="frozen"/>
      <selection pane="topRight" activeCell="J18" sqref="J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767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12560</v>
      </c>
      <c r="C8" s="417">
        <f>SUM(tanks!AU37)</f>
        <v>0.84000000000000008</v>
      </c>
      <c r="D8" s="181">
        <f>SUM(B8*C8)*D4</f>
        <v>15904728.000000002</v>
      </c>
      <c r="E8" s="182">
        <f>SUM(D8/D4/F4)</f>
        <v>340.33548387096778</v>
      </c>
      <c r="F8" s="182">
        <f>SUM(E8*F4)</f>
        <v>10550.400000000001</v>
      </c>
      <c r="G8" s="174">
        <f>E8*$G$4</f>
        <v>6806.709677419356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758</v>
      </c>
      <c r="C10" s="171"/>
      <c r="D10" s="173">
        <f>'EDl log'!AB30</f>
        <v>7349437</v>
      </c>
      <c r="E10" s="172">
        <f>SUM(D10/D4/F4)</f>
        <v>157.26607821109508</v>
      </c>
      <c r="F10" s="172">
        <f>SUM(E10*F4)</f>
        <v>4875.2484245439473</v>
      </c>
      <c r="G10" s="425">
        <f>E10*$G$4</f>
        <v>3145.3215642219016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762.11769111432091</v>
      </c>
      <c r="F12" s="170">
        <f>SUM(F6:F10)</f>
        <v>23625.64842454395</v>
      </c>
      <c r="G12" s="169">
        <f>SUM(G6:G10)</f>
        <v>18152.031241641256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54.399999999999991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-61976.868758358738</v>
      </c>
      <c r="I14" s="362">
        <f>SUM(G12-I12)</f>
        <v>-33091.888478788853</v>
      </c>
    </row>
    <row r="15" spans="1:11">
      <c r="A15" s="382" t="s">
        <v>336</v>
      </c>
      <c r="B15" s="93">
        <f>'Degree Days 2022'!J81</f>
        <v>-228.90000000000006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93.625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189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-13.666666666666657</v>
      </c>
    </row>
    <row r="19" spans="1:6">
      <c r="A19" s="434" t="s">
        <v>339</v>
      </c>
      <c r="B19" s="436">
        <f>GEN!AL34</f>
        <v>18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10.5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60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4A1211-60D8-4124-8B70-61D774B73C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2A82A3-AC79-49A3-AF02-735AF56E1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81EA65-C721-4189-A818-9E5C2E92F3C8}">
  <ds:schemaRefs>
    <ds:schemaRef ds:uri="1e86adda-45bd-463c-b99f-bef9c4e0c7b8"/>
    <ds:schemaRef ds:uri="1885d109-012e-42b6-a9dd-364c8f09ca7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tanks</vt:lpstr>
      <vt:lpstr>Submetering</vt:lpstr>
      <vt:lpstr>ELEC</vt:lpstr>
      <vt:lpstr>B5</vt:lpstr>
      <vt:lpstr>WATER</vt:lpstr>
      <vt:lpstr>General information </vt:lpstr>
      <vt:lpstr>GEN</vt:lpstr>
      <vt:lpstr>EDl log</vt:lpstr>
      <vt:lpstr>graphic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Amjad Abou Hassan</cp:lastModifiedBy>
  <cp:revision/>
  <dcterms:created xsi:type="dcterms:W3CDTF">2015-01-02T09:20:21Z</dcterms:created>
  <dcterms:modified xsi:type="dcterms:W3CDTF">2022-12-28T07:14:52Z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