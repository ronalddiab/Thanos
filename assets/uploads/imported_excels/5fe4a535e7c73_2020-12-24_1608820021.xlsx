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C32" i="1"/>
  <c r="B32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<sst xmlns="http://schemas.openxmlformats.org/spreadsheetml/2006/main" count="108" uniqueCount="33">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</sst>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2020</v>
      </c>
      <c r="E2" s="20">
        <f>Submetering!E2</f>
        <v>5325.75</v>
      </c>
      <c r="F2" s="16">
        <v>0.12</v>
      </c>
      <c r="G2" s="20">
        <f>Submetering!F2+Submetering!G2</f>
        <v>679.35194938320194</v>
      </c>
      <c r="H2" s="16">
        <v>0.71</v>
      </c>
      <c r="I2" s="20">
        <f>Submetering!J2+Submetering!I2+Submetering!H2</f>
        <v>31.250283639500001</v>
      </c>
      <c r="J2" s="16">
        <v>2.3196172978505634</v>
      </c>
      <c r="K2" s="20">
        <f>Submetering!K2</f>
        <v>32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2020</v>
      </c>
      <c r="E3" s="20">
        <f>Submetering!E3</f>
        <v>5343.75</v>
      </c>
      <c r="F3" s="16">
        <v>0.12</v>
      </c>
      <c r="G3" s="20">
        <f>Submetering!F3+Submetering!G3</f>
        <v>666.59635317850484</v>
      </c>
      <c r="H3" s="16">
        <v>0.71</v>
      </c>
      <c r="I3" s="20">
        <f>Submetering!J3+Submetering!I3+Submetering!H3</f>
        <v>37.874567868700005</v>
      </c>
      <c r="J3" s="16">
        <v>2.3196172978505634</v>
      </c>
      <c r="K3" s="20">
        <f>Submetering!K3</f>
        <v>30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1" si="1">C3</f>
        <v>12</v>
      </c>
      <c r="D4" s="9">
        <v>2020</v>
      </c>
      <c r="E4" s="20">
        <f>Submetering!E4</f>
        <v>5348.25</v>
      </c>
      <c r="F4" s="16">
        <v>0.12</v>
      </c>
      <c r="G4" s="20">
        <f>Submetering!F4+Submetering!G4</f>
        <v>716.70714265736456</v>
      </c>
      <c r="H4" s="16">
        <v>0.71</v>
      </c>
      <c r="I4" s="20">
        <f>Submetering!J4+Submetering!I4+Submetering!H4</f>
        <v>33.944412882751003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2020</v>
      </c>
      <c r="E5" s="20">
        <f>Submetering!E5</f>
        <v>5532.75</v>
      </c>
      <c r="F5" s="16">
        <v>0.12</v>
      </c>
      <c r="G5" s="20">
        <f>Submetering!F5+Submetering!G5</f>
        <v>738.18432821485999</v>
      </c>
      <c r="H5" s="16">
        <v>0.71</v>
      </c>
      <c r="I5" s="20">
        <f>Submetering!J5+Submetering!I5+Submetering!H5</f>
        <v>49.280556760125002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2020</v>
      </c>
      <c r="E6" s="20">
        <f>Submetering!E6</f>
        <v>5127.75</v>
      </c>
      <c r="F6" s="16">
        <v>0.12</v>
      </c>
      <c r="G6" s="20">
        <f>Submetering!F6+Submetering!G6</f>
        <v>784.52053307850463</v>
      </c>
      <c r="H6" s="16">
        <v>0.71</v>
      </c>
      <c r="I6" s="20">
        <f>Submetering!J6+Submetering!I6+Submetering!H6</f>
        <v>42.247742276624002</v>
      </c>
      <c r="J6" s="16">
        <v>2.3196172978505634</v>
      </c>
      <c r="K6" s="20">
        <f>Submetering!K6</f>
        <v>19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2020</v>
      </c>
      <c r="E7" s="20">
        <f>Submetering!E7</f>
        <v>5022</v>
      </c>
      <c r="F7" s="16">
        <v>0.12</v>
      </c>
      <c r="G7" s="20">
        <f>Submetering!F7+Submetering!G7</f>
        <v>714.66511550420569</v>
      </c>
      <c r="H7" s="16">
        <v>0.71</v>
      </c>
      <c r="I7" s="20">
        <f>Submetering!J7+Submetering!I7+Submetering!H7</f>
        <v>35.780288080400005</v>
      </c>
      <c r="J7" s="16">
        <v>2.3196172978505634</v>
      </c>
      <c r="K7" s="20">
        <f>Submetering!K7</f>
        <v>19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657.00979206028046</v>
      </c>
      <c r="H8" s="16">
        <v>0.71</v>
      </c>
      <c r="I8" s="20">
        <f>Submetering!J8+Submetering!I8+Submetering!H8</f>
        <v>50.63</v>
      </c>
      <c r="J8" s="16">
        <v>2.3196172978505634</v>
      </c>
      <c r="K8" s="20">
        <f>Submetering!K8</f>
        <v>21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2020</v>
      </c>
      <c r="E9" s="20">
        <f>Submetering!E9</f>
        <v>5823</v>
      </c>
      <c r="F9" s="16">
        <v>0.12</v>
      </c>
      <c r="G9" s="20">
        <f>Submetering!F9+Submetering!G9</f>
        <v>679.66098303018691</v>
      </c>
      <c r="H9" s="16">
        <v>0.71</v>
      </c>
      <c r="I9" s="20">
        <f>Submetering!J9+Submetering!I9+Submetering!H9</f>
        <v>45.146935558110002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2020</v>
      </c>
      <c r="E10" s="20">
        <f>Submetering!E10</f>
        <v>5877</v>
      </c>
      <c r="F10" s="16">
        <v>0.12</v>
      </c>
      <c r="G10" s="20">
        <f>Submetering!F10+Submetering!G10</f>
        <v>750.24975116831786</v>
      </c>
      <c r="H10" s="16">
        <v>0.71</v>
      </c>
      <c r="I10" s="20">
        <f>Submetering!J10+Submetering!I10+Submetering!H10</f>
        <v>47.01706444189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2020</v>
      </c>
      <c r="E11" s="20">
        <f>Submetering!E11</f>
        <v>6691.5</v>
      </c>
      <c r="F11" s="16">
        <v>0.12</v>
      </c>
      <c r="G11" s="20">
        <f>Submetering!F11+Submetering!G11</f>
        <v>773.65096163065425</v>
      </c>
      <c r="H11" s="16">
        <v>0.71</v>
      </c>
      <c r="I11" s="20">
        <f>Submetering!J11+Submetering!I11+Submetering!H11</f>
        <v>53.284059662399997</v>
      </c>
      <c r="J11" s="16">
        <v>2.3196172978505634</v>
      </c>
      <c r="K11" s="20">
        <f>Submetering!K11</f>
        <v>30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2020</v>
      </c>
      <c r="E12" s="20">
        <f>Submetering!E12</f>
        <v>7105.5</v>
      </c>
      <c r="F12" s="16">
        <v>0.12</v>
      </c>
      <c r="G12" s="20">
        <f>Submetering!F12+Submetering!G12</f>
        <v>764.90746642130853</v>
      </c>
      <c r="H12" s="16">
        <v>0.71</v>
      </c>
      <c r="I12" s="20">
        <f>Submetering!J12+Submetering!I12+Submetering!H12</f>
        <v>62.786513814299994</v>
      </c>
      <c r="J12" s="16">
        <v>2.3196172978505634</v>
      </c>
      <c r="K12" s="20">
        <f>Submetering!K12</f>
        <v>44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2020</v>
      </c>
      <c r="E13" s="20">
        <f>Submetering!E13</f>
        <v>7389</v>
      </c>
      <c r="F13" s="16">
        <v>0.12</v>
      </c>
      <c r="G13" s="20">
        <f>Submetering!F13+Submetering!G13</f>
        <v>633.65285582990657</v>
      </c>
      <c r="H13" s="16">
        <v>0.71</v>
      </c>
      <c r="I13" s="20">
        <f>Submetering!J13+Submetering!I13+Submetering!H13</f>
        <v>68.160698712600009</v>
      </c>
      <c r="J13" s="16">
        <v>2.3196172978505634</v>
      </c>
      <c r="K13" s="20">
        <f>Submetering!K13</f>
        <v>48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2020</v>
      </c>
      <c r="E14" s="20">
        <f>Submetering!E14</f>
        <v>6545.25</v>
      </c>
      <c r="F14" s="16">
        <v>0.12</v>
      </c>
      <c r="G14" s="20">
        <f>Submetering!F14+Submetering!G14</f>
        <v>574.01200387429913</v>
      </c>
      <c r="H14" s="16">
        <v>0.71</v>
      </c>
      <c r="I14" s="20">
        <f>Submetering!J14+Submetering!I14+Submetering!H14</f>
        <v>51.095686679300002</v>
      </c>
      <c r="J14" s="16">
        <v>2.3196172978505634</v>
      </c>
      <c r="K14" s="20">
        <f>Submetering!K14</f>
        <v>36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2020</v>
      </c>
      <c r="E15" s="20">
        <f>Submetering!E15</f>
        <v>6885</v>
      </c>
      <c r="F15" s="16">
        <v>0.12</v>
      </c>
      <c r="G15" s="20">
        <f>Submetering!F15+Submetering!G15</f>
        <v>667.7154447070094</v>
      </c>
      <c r="H15" s="16">
        <v>0.71</v>
      </c>
      <c r="I15" s="20">
        <f>Submetering!J14+Submetering!I15+Submetering!H15</f>
        <v>62.004923613100004</v>
      </c>
      <c r="J15" s="16">
        <v>2.3196172978505634</v>
      </c>
      <c r="K15" s="20">
        <f>Submetering!K15</f>
        <v>37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2020</v>
      </c>
      <c r="E16" s="20">
        <f>Submetering!E16</f>
        <v>7038</v>
      </c>
      <c r="F16" s="16">
        <v>0.12</v>
      </c>
      <c r="G16" s="20">
        <f>Submetering!F16+Submetering!G16</f>
        <v>600.92087439588795</v>
      </c>
      <c r="H16" s="16">
        <v>0.71</v>
      </c>
      <c r="I16" s="20">
        <f>Submetering!J15+Submetering!I16+Submetering!H16</f>
        <v>66.779922664400004</v>
      </c>
      <c r="J16" s="16">
        <v>2.3196172978505634</v>
      </c>
      <c r="K16" s="20">
        <f>Submetering!K16</f>
        <v>35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2020</v>
      </c>
      <c r="E17" s="20">
        <f>Submetering!E17</f>
        <v>6957</v>
      </c>
      <c r="F17" s="16">
        <v>0.12</v>
      </c>
      <c r="G17" s="20">
        <f>Submetering!F17+Submetering!G16</f>
        <v>448.1629112762617</v>
      </c>
      <c r="H17" s="16">
        <v>0.71</v>
      </c>
      <c r="I17" s="20">
        <f>Submetering!J17+Submetering!I17+Submetering!H17</f>
        <v>69.968619782200008</v>
      </c>
      <c r="J17" s="16">
        <v>2.3196172978505634</v>
      </c>
      <c r="K17" s="20">
        <f>Submetering!K17</f>
        <v>32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2020</v>
      </c>
      <c r="E18" s="20">
        <f>Submetering!E18</f>
        <v>7283.25</v>
      </c>
      <c r="F18" s="16">
        <v>0.12</v>
      </c>
      <c r="G18" s="20">
        <f>Submetering!F18+Submetering!G17</f>
        <v>532.05653983000002</v>
      </c>
      <c r="H18" s="16">
        <v>0.71</v>
      </c>
      <c r="I18" s="20">
        <f>Submetering!J18+Submetering!I18+Submetering!H18</f>
        <v>76.586956981100002</v>
      </c>
      <c r="J18" s="16">
        <v>2.3196172978505634</v>
      </c>
      <c r="K18" s="20">
        <f>Submetering!K18</f>
        <v>34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2020</v>
      </c>
      <c r="E19" s="20">
        <f>Submetering!E19</f>
        <v>7182</v>
      </c>
      <c r="F19" s="16">
        <v>0.12</v>
      </c>
      <c r="G19" s="20">
        <f>Submetering!F19+Submetering!G18</f>
        <v>481.75887717551404</v>
      </c>
      <c r="H19" s="16">
        <v>0.71</v>
      </c>
      <c r="I19" s="20">
        <f>Submetering!J19+Submetering!I19+Submetering!H19</f>
        <v>67.146618763899994</v>
      </c>
      <c r="J19" s="16">
        <v>2.3196172978505634</v>
      </c>
      <c r="K19" s="20">
        <f>Submetering!K19</f>
        <v>33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2020</v>
      </c>
      <c r="E20" s="20">
        <f>Submetering!E20</f>
        <v>7249.5</v>
      </c>
      <c r="F20" s="16">
        <v>0.12</v>
      </c>
      <c r="G20" s="20">
        <f>Submetering!F20+Submetering!G19</f>
        <v>488.25139063962615</v>
      </c>
      <c r="H20" s="16">
        <v>0.71</v>
      </c>
      <c r="I20" s="20">
        <f>Submetering!J20+Submetering!I20+Submetering!H20</f>
        <v>69.098562714699995</v>
      </c>
      <c r="J20" s="16">
        <v>2.3196172978505634</v>
      </c>
      <c r="K20" s="20">
        <f>Submetering!K20</f>
        <v>33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2020</v>
      </c>
      <c r="E21" s="20">
        <f>Submetering!E21</f>
        <v>6720.75</v>
      </c>
      <c r="F21" s="16">
        <v>0.12</v>
      </c>
      <c r="G21" s="20">
        <f>Submetering!F21+Submetering!G20</f>
        <v>474.23128044803741</v>
      </c>
      <c r="H21" s="16">
        <v>0.71</v>
      </c>
      <c r="I21" s="20">
        <f>Submetering!J21+Submetering!I21+Submetering!H21</f>
        <v>51.741238639700001</v>
      </c>
      <c r="J21" s="16">
        <v>2.3196172978505634</v>
      </c>
      <c r="K21" s="20">
        <f>Submetering!K21</f>
        <v>27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2020</v>
      </c>
      <c r="E22" s="20">
        <f>Submetering!E22</f>
        <v>6934.5</v>
      </c>
      <c r="F22" s="16">
        <v>0.12</v>
      </c>
      <c r="G22" s="20">
        <f>Submetering!F22+Submetering!G21</f>
        <v>488.93670185065423</v>
      </c>
      <c r="H22" s="16">
        <v>0.71</v>
      </c>
      <c r="I22" s="20">
        <f>Submetering!J22+Submetering!I22+Submetering!H22</f>
        <v>66.273416178199994</v>
      </c>
      <c r="J22" s="16">
        <v>2.3196172978505634</v>
      </c>
      <c r="K22" s="20">
        <f>Submetering!K22</f>
        <v>26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2020</v>
      </c>
      <c r="E23" s="20">
        <f>Submetering!E23</f>
        <v>7265.25</v>
      </c>
      <c r="F23" s="16">
        <v>0.12</v>
      </c>
      <c r="G23" s="20">
        <f>Submetering!F23+Submetering!G22</f>
        <v>393.04843167373832</v>
      </c>
      <c r="H23" s="16">
        <v>0.71</v>
      </c>
      <c r="I23" s="20">
        <f>Submetering!J23+Submetering!I23+Submetering!H23</f>
        <v>66.3253115519</v>
      </c>
      <c r="J23" s="16">
        <v>2.3196172978505634</v>
      </c>
      <c r="K23" s="20">
        <f>Submetering!K23</f>
        <v>27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2020</v>
      </c>
      <c r="E24" s="20">
        <f>Submetering!E24</f>
        <v>7249.5</v>
      </c>
      <c r="F24" s="16">
        <v>0.12</v>
      </c>
      <c r="G24" s="20">
        <f>Submetering!F24+Submetering!G23</f>
        <v>388.73919879794369</v>
      </c>
      <c r="H24" s="16">
        <v>0.71</v>
      </c>
      <c r="I24" s="20">
        <f>Submetering!J24+Submetering!I24+Submetering!H24</f>
        <v>65.4864497847</v>
      </c>
      <c r="J24" s="16">
        <v>2.3196172978505634</v>
      </c>
      <c r="K24" s="20">
        <f>Submetering!K24</f>
        <v>22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23.993662935887851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ref="C32" si="2">C31</f>
        <v>12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25" sqref="K25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12</v>
      </c>
      <c r="D2" s="6">
        <v>2020</v>
      </c>
      <c r="E2" s="20">
        <v>5325.75</v>
      </c>
      <c r="F2" s="20">
        <v>679.15402286168228</v>
      </c>
      <c r="G2" s="20">
        <v>0.1979265215196262</v>
      </c>
      <c r="H2" s="20">
        <v>0.26500000000000001</v>
      </c>
      <c r="I2" s="20">
        <v>14</v>
      </c>
      <c r="J2" s="20">
        <v>16.9852836395</v>
      </c>
      <c r="K2" s="20">
        <v>32</v>
      </c>
    </row>
    <row r="3" spans="1:12" x14ac:dyDescent="0.25">
      <c r="A3" s="9" t="s">
        <v>32</v>
      </c>
      <c r="B3" s="6">
        <f>B2+1</f>
        <v>2</v>
      </c>
      <c r="C3" s="6">
        <f>C2</f>
        <v>12</v>
      </c>
      <c r="D3" s="6">
        <v>2020</v>
      </c>
      <c r="E3" s="20">
        <v>5343.75</v>
      </c>
      <c r="F3" s="20">
        <v>664.57953074859824</v>
      </c>
      <c r="G3" s="20">
        <v>2.0168224299065418</v>
      </c>
      <c r="H3" s="20">
        <v>0.34100000000000003</v>
      </c>
      <c r="I3" s="6">
        <v>18</v>
      </c>
      <c r="J3" s="20">
        <v>19.533567868700001</v>
      </c>
      <c r="K3" s="20">
        <v>30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2" si="1">C3</f>
        <v>12</v>
      </c>
      <c r="D4" s="6">
        <v>2020</v>
      </c>
      <c r="E4" s="20">
        <v>5348.25</v>
      </c>
      <c r="F4" s="20">
        <v>708.41186733271036</v>
      </c>
      <c r="G4" s="20">
        <v>8.2952753246542059</v>
      </c>
      <c r="H4" s="20">
        <v>0.47694512195099997</v>
      </c>
      <c r="I4" s="6">
        <v>15</v>
      </c>
      <c r="J4" s="20">
        <v>18.467467760800002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12</v>
      </c>
      <c r="D5" s="6">
        <v>2020</v>
      </c>
      <c r="E5" s="20">
        <v>5532.75</v>
      </c>
      <c r="F5" s="20">
        <v>712.9365961065422</v>
      </c>
      <c r="G5" s="20">
        <v>25.247732108317759</v>
      </c>
      <c r="H5" s="20">
        <v>0.29463594442500002</v>
      </c>
      <c r="I5" s="6">
        <v>25</v>
      </c>
      <c r="J5" s="20">
        <v>23.985920815699998</v>
      </c>
      <c r="K5" s="20">
        <v>24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12</v>
      </c>
      <c r="D6" s="6">
        <v>2020</v>
      </c>
      <c r="E6" s="20">
        <v>5127.75</v>
      </c>
      <c r="F6" s="20">
        <v>767.43005224205604</v>
      </c>
      <c r="G6" s="20">
        <v>17.090480836448599</v>
      </c>
      <c r="H6" s="20">
        <v>0.247418933624</v>
      </c>
      <c r="I6" s="20">
        <v>18</v>
      </c>
      <c r="J6" s="20">
        <v>24.000323343000002</v>
      </c>
      <c r="K6" s="20">
        <v>19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12</v>
      </c>
      <c r="D7" s="6">
        <v>2020</v>
      </c>
      <c r="E7" s="20">
        <v>5022</v>
      </c>
      <c r="F7" s="20">
        <v>695.57461789065428</v>
      </c>
      <c r="G7" s="20">
        <v>19.090497613551403</v>
      </c>
      <c r="H7" s="20">
        <v>0.23400000000000001</v>
      </c>
      <c r="I7" s="20">
        <v>12</v>
      </c>
      <c r="J7" s="20">
        <v>23.5462880804</v>
      </c>
      <c r="K7" s="20">
        <v>19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12</v>
      </c>
      <c r="D8" s="6">
        <v>2020</v>
      </c>
      <c r="E8" s="20">
        <v>5595.75</v>
      </c>
      <c r="F8" s="20">
        <v>633.55781555514022</v>
      </c>
      <c r="G8" s="20">
        <v>23.451976505140188</v>
      </c>
      <c r="H8" s="20">
        <v>4.63</v>
      </c>
      <c r="I8" s="20">
        <v>23</v>
      </c>
      <c r="J8" s="20">
        <v>23</v>
      </c>
      <c r="K8" s="20">
        <v>21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12</v>
      </c>
      <c r="D9" s="6">
        <v>2020</v>
      </c>
      <c r="E9" s="20">
        <v>5823</v>
      </c>
      <c r="F9" s="20">
        <v>659.49367863831776</v>
      </c>
      <c r="G9" s="20">
        <v>20.167304391869163</v>
      </c>
      <c r="H9" s="20">
        <v>4.14693555811</v>
      </c>
      <c r="I9" s="6">
        <v>19</v>
      </c>
      <c r="J9" s="20">
        <v>22</v>
      </c>
      <c r="K9" s="20">
        <v>24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12</v>
      </c>
      <c r="D10" s="6">
        <v>2020</v>
      </c>
      <c r="E10" s="20">
        <v>5877</v>
      </c>
      <c r="F10" s="20">
        <v>731.09384034859818</v>
      </c>
      <c r="G10" s="20">
        <v>19.155910819719626</v>
      </c>
      <c r="H10" s="20">
        <v>1.0170644418899999</v>
      </c>
      <c r="I10" s="6">
        <v>26</v>
      </c>
      <c r="J10" s="20">
        <v>20</v>
      </c>
      <c r="K10" s="20">
        <v>28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12</v>
      </c>
      <c r="D11" s="6">
        <v>2020</v>
      </c>
      <c r="E11" s="20">
        <v>6691.5</v>
      </c>
      <c r="F11" s="20">
        <v>752.76624058411221</v>
      </c>
      <c r="G11" s="20">
        <v>20.884721046542058</v>
      </c>
      <c r="H11" s="20">
        <v>1.7987278481</v>
      </c>
      <c r="I11" s="6">
        <v>29</v>
      </c>
      <c r="J11" s="20">
        <v>22.4853318143</v>
      </c>
      <c r="K11" s="20">
        <v>30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12</v>
      </c>
      <c r="D12" s="6">
        <v>2020</v>
      </c>
      <c r="E12" s="20">
        <v>7105.5</v>
      </c>
      <c r="F12" s="20">
        <v>737.33004835140196</v>
      </c>
      <c r="G12" s="20">
        <v>27.577418069906546</v>
      </c>
      <c r="H12" s="20">
        <v>1.8112721518999999</v>
      </c>
      <c r="I12" s="20">
        <v>36</v>
      </c>
      <c r="J12" s="20">
        <v>24.975241662399998</v>
      </c>
      <c r="K12" s="20">
        <v>44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12</v>
      </c>
      <c r="D13" s="6">
        <v>2020</v>
      </c>
      <c r="E13" s="20">
        <v>7389</v>
      </c>
      <c r="F13" s="20">
        <v>594.9597243093458</v>
      </c>
      <c r="G13" s="20">
        <v>38.693131520560748</v>
      </c>
      <c r="H13" s="20">
        <v>2.1549999999999998</v>
      </c>
      <c r="I13" s="20">
        <v>40</v>
      </c>
      <c r="J13" s="20">
        <v>26.005698712600001</v>
      </c>
      <c r="K13" s="20">
        <v>48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12</v>
      </c>
      <c r="D14" s="6">
        <v>2020</v>
      </c>
      <c r="E14" s="20">
        <v>6545.25</v>
      </c>
      <c r="F14" s="20">
        <v>544.77078131869166</v>
      </c>
      <c r="G14" s="32">
        <v>29.241222555607479</v>
      </c>
      <c r="H14" s="20">
        <v>2.0798815331</v>
      </c>
      <c r="I14" s="20">
        <v>27</v>
      </c>
      <c r="J14" s="20">
        <v>22.015805146200002</v>
      </c>
      <c r="K14" s="20">
        <v>36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12</v>
      </c>
      <c r="D15" s="6">
        <v>2020</v>
      </c>
      <c r="E15" s="20">
        <v>6885</v>
      </c>
      <c r="F15" s="20">
        <v>639.05654511682246</v>
      </c>
      <c r="G15" s="32">
        <v>28.65889959018692</v>
      </c>
      <c r="H15" s="20">
        <v>5.9891184668999999</v>
      </c>
      <c r="I15" s="20">
        <v>34</v>
      </c>
      <c r="J15" s="20">
        <v>23.5179226644</v>
      </c>
      <c r="K15" s="20">
        <v>37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12</v>
      </c>
      <c r="D16" s="6">
        <v>2020</v>
      </c>
      <c r="E16" s="20">
        <v>7038</v>
      </c>
      <c r="F16" s="20">
        <v>576.13316350186926</v>
      </c>
      <c r="G16" s="32">
        <v>24.787710894018694</v>
      </c>
      <c r="H16" s="20">
        <v>3.262</v>
      </c>
      <c r="I16" s="20">
        <v>40</v>
      </c>
      <c r="J16" s="20">
        <v>24.466827503000001</v>
      </c>
      <c r="K16" s="20">
        <v>35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12</v>
      </c>
      <c r="D17" s="6">
        <v>2020</v>
      </c>
      <c r="E17" s="20">
        <v>6957</v>
      </c>
      <c r="F17" s="20">
        <v>423.37520038224301</v>
      </c>
      <c r="G17" s="32">
        <v>18.803576693551403</v>
      </c>
      <c r="H17" s="20">
        <v>2.4319999999999999</v>
      </c>
      <c r="I17" s="20">
        <v>44</v>
      </c>
      <c r="J17" s="20">
        <v>23.536619782199999</v>
      </c>
      <c r="K17" s="20">
        <v>32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12</v>
      </c>
      <c r="D18" s="6">
        <v>2020</v>
      </c>
      <c r="E18" s="20">
        <v>7283.25</v>
      </c>
      <c r="F18" s="20">
        <v>513.25296313644867</v>
      </c>
      <c r="G18" s="32">
        <v>26.957366832523366</v>
      </c>
      <c r="H18" s="20">
        <v>1.367</v>
      </c>
      <c r="I18" s="20">
        <v>51</v>
      </c>
      <c r="J18" s="20">
        <v>24.219956981100001</v>
      </c>
      <c r="K18" s="20">
        <v>34</v>
      </c>
    </row>
    <row r="19" spans="1:11" x14ac:dyDescent="0.25">
      <c r="A19" s="9" t="s">
        <v>32</v>
      </c>
      <c r="B19" s="6">
        <f t="shared" si="0"/>
        <v>18</v>
      </c>
      <c r="C19" s="6">
        <f t="shared" si="1"/>
        <v>12</v>
      </c>
      <c r="D19" s="6">
        <v>2020</v>
      </c>
      <c r="E19" s="20">
        <v>7182</v>
      </c>
      <c r="F19" s="20">
        <v>454.8015103429907</v>
      </c>
      <c r="G19" s="32">
        <v>20.97527987046729</v>
      </c>
      <c r="H19" s="20">
        <v>1.121</v>
      </c>
      <c r="I19" s="20">
        <v>39</v>
      </c>
      <c r="J19" s="20">
        <v>27.025618763899999</v>
      </c>
      <c r="K19" s="20">
        <v>33</v>
      </c>
    </row>
    <row r="20" spans="1:11" x14ac:dyDescent="0.25">
      <c r="A20" s="9" t="s">
        <v>32</v>
      </c>
      <c r="B20" s="6">
        <f t="shared" si="0"/>
        <v>19</v>
      </c>
      <c r="C20" s="6">
        <f t="shared" si="1"/>
        <v>12</v>
      </c>
      <c r="D20" s="6">
        <v>2020</v>
      </c>
      <c r="E20" s="20">
        <v>7249.5</v>
      </c>
      <c r="F20" s="20">
        <v>467.27611076915889</v>
      </c>
      <c r="G20" s="32">
        <v>25.808838220000002</v>
      </c>
      <c r="H20" s="20">
        <v>1.109</v>
      </c>
      <c r="I20" s="20">
        <v>44</v>
      </c>
      <c r="J20" s="20">
        <v>23.9895627147</v>
      </c>
      <c r="K20" s="20">
        <v>33</v>
      </c>
    </row>
    <row r="21" spans="1:11" x14ac:dyDescent="0.25">
      <c r="A21" s="9" t="s">
        <v>32</v>
      </c>
      <c r="B21" s="6">
        <f t="shared" si="0"/>
        <v>20</v>
      </c>
      <c r="C21" s="6">
        <f t="shared" si="1"/>
        <v>12</v>
      </c>
      <c r="D21" s="6">
        <v>2020</v>
      </c>
      <c r="E21" s="20">
        <v>6720.75</v>
      </c>
      <c r="F21" s="32">
        <v>448.42244222803743</v>
      </c>
      <c r="G21" s="32">
        <v>30.098218459065425</v>
      </c>
      <c r="H21" s="20">
        <v>1.2150000000000001</v>
      </c>
      <c r="I21" s="20">
        <v>29</v>
      </c>
      <c r="J21" s="20">
        <v>21.526238639700001</v>
      </c>
      <c r="K21" s="20">
        <v>27</v>
      </c>
    </row>
    <row r="22" spans="1:11" x14ac:dyDescent="0.25">
      <c r="A22" s="9" t="s">
        <v>32</v>
      </c>
      <c r="B22" s="6">
        <f t="shared" si="0"/>
        <v>21</v>
      </c>
      <c r="C22" s="6">
        <f t="shared" si="1"/>
        <v>12</v>
      </c>
      <c r="D22" s="6">
        <v>2020</v>
      </c>
      <c r="E22" s="20">
        <v>6934.5</v>
      </c>
      <c r="F22" s="32">
        <v>458.8384833915888</v>
      </c>
      <c r="G22" s="32">
        <v>25.661399064392526</v>
      </c>
      <c r="H22" s="32">
        <v>5.8079999999999998</v>
      </c>
      <c r="I22" s="32">
        <v>34</v>
      </c>
      <c r="J22" s="32">
        <v>26.465416178200002</v>
      </c>
      <c r="K22" s="20">
        <v>26</v>
      </c>
    </row>
    <row r="23" spans="1:11" x14ac:dyDescent="0.25">
      <c r="A23" s="9" t="s">
        <v>32</v>
      </c>
      <c r="B23" s="6">
        <f t="shared" si="0"/>
        <v>22</v>
      </c>
      <c r="C23" s="6">
        <f t="shared" si="1"/>
        <v>12</v>
      </c>
      <c r="D23" s="6">
        <v>2020</v>
      </c>
      <c r="E23" s="20">
        <v>7265.25</v>
      </c>
      <c r="F23" s="32">
        <v>367.38703260934579</v>
      </c>
      <c r="G23" s="32">
        <v>21.922789718504674</v>
      </c>
      <c r="H23" s="32">
        <v>2.3109999999999999</v>
      </c>
      <c r="I23" s="32">
        <v>39</v>
      </c>
      <c r="J23" s="32">
        <v>25.014311551900001</v>
      </c>
      <c r="K23" s="20">
        <v>27</v>
      </c>
    </row>
    <row r="24" spans="1:11" x14ac:dyDescent="0.25">
      <c r="A24" s="9" t="s">
        <v>32</v>
      </c>
      <c r="B24" s="6">
        <f t="shared" si="0"/>
        <v>23</v>
      </c>
      <c r="C24" s="6">
        <f t="shared" si="1"/>
        <v>12</v>
      </c>
      <c r="D24" s="6">
        <v>2020</v>
      </c>
      <c r="E24" s="20">
        <v>7249.5</v>
      </c>
      <c r="F24" s="32">
        <v>366.81640907943898</v>
      </c>
      <c r="G24" s="32">
        <v>23.993662935887851</v>
      </c>
      <c r="H24" s="32">
        <v>1.486</v>
      </c>
      <c r="I24" s="32">
        <v>40</v>
      </c>
      <c r="J24" s="32">
        <v>24.000449784699999</v>
      </c>
      <c r="K24" s="20">
        <v>22</v>
      </c>
    </row>
    <row r="25" spans="1:11" x14ac:dyDescent="0.25">
      <c r="A25" s="9" t="s">
        <v>32</v>
      </c>
      <c r="B25" s="6">
        <f t="shared" si="0"/>
        <v>24</v>
      </c>
      <c r="C25" s="6">
        <f t="shared" si="1"/>
        <v>12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12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12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12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12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12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12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si="1"/>
        <v>12</v>
      </c>
      <c r="D32" s="6">
        <v>2020</v>
      </c>
      <c r="F32" s="32"/>
      <c r="G32" s="32"/>
      <c r="H32" s="32"/>
      <c r="I32" s="32"/>
      <c r="J32" s="32"/>
      <c r="K32" s="20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2020-12-24T14:26:30Z</dcterms:modified>
</cp:coreProperties>
</file>