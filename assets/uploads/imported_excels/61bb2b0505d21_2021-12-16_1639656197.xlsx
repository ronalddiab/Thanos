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<sst xmlns="http://schemas.openxmlformats.org/spreadsheetml/2006/main" count="128" uniqueCount="49">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</sst>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32520</v>
      </c>
      <c r="F2" s="11">
        <v>5.0000000000000001E-3</v>
      </c>
      <c r="G2" s="12">
        <f>Submetering!R2</f>
        <v>522.38657999999998</v>
      </c>
      <c r="H2" s="11">
        <v>0.52800000000000002</v>
      </c>
      <c r="I2" s="12">
        <f>Hotel!B7</f>
        <v>138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57040</v>
      </c>
      <c r="F3" s="11">
        <v>5.0000000000000001E-3</v>
      </c>
      <c r="G3" s="12">
        <f>Submetering!R3</f>
        <v>925.15420400000005</v>
      </c>
      <c r="H3" s="11">
        <v>0.52800000000000002</v>
      </c>
      <c r="I3" s="12">
        <f>Hotel!B8</f>
        <v>194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56790</v>
      </c>
      <c r="F4" s="11">
        <v>5.0000000000000001E-3</v>
      </c>
      <c r="G4" s="12">
        <f>Submetering!R4</f>
        <v>702.95063700000003</v>
      </c>
      <c r="H4" s="11">
        <v>0.52800000000000002</v>
      </c>
      <c r="I4" s="12">
        <f>Hotel!B9</f>
        <v>186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55140</v>
      </c>
      <c r="F5" s="11">
        <v>5.0000000000000001E-3</v>
      </c>
      <c r="G5" s="12">
        <f>Submetering!R5</f>
        <v>674.18152099999998</v>
      </c>
      <c r="H5" s="11">
        <v>0.52800000000000002</v>
      </c>
      <c r="I5" s="12">
        <f>Hotel!B10</f>
        <v>88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52200</v>
      </c>
      <c r="F6" s="11">
        <v>5.0000000000000001E-3</v>
      </c>
      <c r="G6" s="12">
        <f>Submetering!R6</f>
        <v>837.71123299999988</v>
      </c>
      <c r="H6" s="11">
        <v>0.52800000000000002</v>
      </c>
      <c r="I6" s="12">
        <f>Hotel!B11</f>
        <v>102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53820</v>
      </c>
      <c r="F7" s="11">
        <v>5.0000000000000001E-3</v>
      </c>
      <c r="G7" s="12">
        <f>Submetering!R7</f>
        <v>684.78066899999999</v>
      </c>
      <c r="H7" s="11">
        <v>0.52800000000000002</v>
      </c>
      <c r="I7" s="12">
        <f>Hotel!B12</f>
        <v>102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55630</v>
      </c>
      <c r="F8" s="11">
        <v>5.0000000000000001E-3</v>
      </c>
      <c r="G8" s="12">
        <f>Submetering!R8</f>
        <v>601.50164899999993</v>
      </c>
      <c r="H8" s="11">
        <v>0.52800000000000002</v>
      </c>
      <c r="I8" s="12">
        <f>Hotel!B13</f>
        <v>109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53440</v>
      </c>
      <c r="F9" s="11">
        <v>5.0000000000000001E-3</v>
      </c>
      <c r="G9" s="12">
        <f>Submetering!R9</f>
        <v>782.44424700000002</v>
      </c>
      <c r="H9" s="11">
        <v>0.52800000000000002</v>
      </c>
      <c r="I9" s="12">
        <f>Hotel!B14</f>
        <v>145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52580</v>
      </c>
      <c r="F10" s="11">
        <v>5.0000000000000001E-3</v>
      </c>
      <c r="G10" s="12">
        <f>Submetering!R10</f>
        <v>715.82103099999995</v>
      </c>
      <c r="H10" s="11">
        <v>0.52800000000000002</v>
      </c>
      <c r="I10" s="12">
        <f>Hotel!B15</f>
        <v>181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54390</v>
      </c>
      <c r="F11" s="11">
        <v>5.0000000000000001E-3</v>
      </c>
      <c r="G11" s="12">
        <f>Submetering!R11</f>
        <v>658.28279900000007</v>
      </c>
      <c r="H11" s="11">
        <v>0.52800000000000002</v>
      </c>
      <c r="I11" s="12">
        <f>Hotel!B16</f>
        <v>220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52920</v>
      </c>
      <c r="F12" s="11">
        <v>5.0000000000000001E-3</v>
      </c>
      <c r="G12" s="12">
        <f>Submetering!R12</f>
        <v>795.69318199999998</v>
      </c>
      <c r="H12" s="11">
        <v>0.52800000000000002</v>
      </c>
      <c r="I12" s="12">
        <f>Hotel!B17</f>
        <v>90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52670</v>
      </c>
      <c r="F13" s="11">
        <v>5.0000000000000001E-3</v>
      </c>
      <c r="G13" s="12">
        <f>Submetering!R13</f>
        <v>764.27427899999998</v>
      </c>
      <c r="H13" s="11">
        <v>0.52800000000000002</v>
      </c>
      <c r="I13" s="12">
        <f>Hotel!B18</f>
        <v>95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49785</v>
      </c>
      <c r="F14" s="11">
        <v>5.0000000000000001E-3</v>
      </c>
      <c r="G14" s="12">
        <f>Submetering!R14</f>
        <v>741.18327799999997</v>
      </c>
      <c r="H14" s="11">
        <v>0.52800000000000002</v>
      </c>
      <c r="I14" s="12">
        <f>Hotel!B19</f>
        <v>95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52115</v>
      </c>
      <c r="F15" s="11">
        <v>5.0000000000000001E-3</v>
      </c>
      <c r="G15" s="12">
        <f>Submetering!R15</f>
        <v>434.56506800000005</v>
      </c>
      <c r="H15" s="11">
        <v>0.52800000000000002</v>
      </c>
      <c r="I15" s="12">
        <f>Hotel!B20</f>
        <v>88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49530</v>
      </c>
      <c r="F16" s="11">
        <v>5.0000000000000001E-3</v>
      </c>
      <c r="G16" s="12">
        <f>Submetering!R16</f>
        <v>862.69493899999998</v>
      </c>
      <c r="H16" s="11">
        <v>0.52800000000000002</v>
      </c>
      <c r="I16" s="12">
        <f>Hotel!B21</f>
        <v>103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12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A13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12</v>
      </c>
      <c r="D2" s="11">
        <v>2021</v>
      </c>
      <c r="E2" s="4">
        <f>Hotel!Q7</f>
        <v>310</v>
      </c>
      <c r="F2" s="4">
        <f>Hotel!R7</f>
        <v>1060</v>
      </c>
      <c r="G2" s="4">
        <f>Hotel!S7</f>
        <v>1960</v>
      </c>
      <c r="H2" s="4">
        <f>Hotel!T7</f>
        <v>1000</v>
      </c>
      <c r="I2" s="4">
        <f>Hotel!U7</f>
        <v>3050</v>
      </c>
      <c r="J2" s="4">
        <f>Hotel!V7</f>
        <v>2570</v>
      </c>
      <c r="K2" s="4">
        <f>Hotel!W7</f>
        <v>1550</v>
      </c>
      <c r="L2" s="4">
        <f>Hotel!X7</f>
        <v>3180</v>
      </c>
      <c r="M2" s="4">
        <f>Hotel!Y7</f>
        <v>3030</v>
      </c>
      <c r="N2" s="4">
        <f>Hotel!Z7</f>
        <v>1550</v>
      </c>
      <c r="O2" s="4">
        <f>Hotel!AA7</f>
        <v>2180</v>
      </c>
      <c r="P2" s="4">
        <f>Hotel!AB7</f>
        <v>4150</v>
      </c>
      <c r="Q2" s="4">
        <f>Hotel!AC7</f>
        <v>6930</v>
      </c>
      <c r="R2" s="4">
        <f>Hotel!AV7*0.00378541*100</f>
        <v>522.38657999999998</v>
      </c>
      <c r="S2" s="4">
        <f>Hotel!B7</f>
        <v>138</v>
      </c>
    </row>
    <row r="3" spans="1:19" x14ac:dyDescent="0.25">
      <c r="A3" s="21" t="s">
        <v>31</v>
      </c>
      <c r="B3" s="2">
        <f>B2+1</f>
        <v>2</v>
      </c>
      <c r="C3" s="3">
        <v>12</v>
      </c>
      <c r="D3" s="11">
        <v>2021</v>
      </c>
      <c r="E3" s="4">
        <f>Hotel!Q8</f>
        <v>560</v>
      </c>
      <c r="F3" s="4">
        <f>Hotel!R8</f>
        <v>1900</v>
      </c>
      <c r="G3" s="4">
        <f>Hotel!S8</f>
        <v>3460</v>
      </c>
      <c r="H3" s="4">
        <f>Hotel!T8</f>
        <v>1470</v>
      </c>
      <c r="I3" s="4">
        <f>Hotel!U8</f>
        <v>5200</v>
      </c>
      <c r="J3" s="4">
        <f>Hotel!V8</f>
        <v>4290</v>
      </c>
      <c r="K3" s="4">
        <f>Hotel!W8</f>
        <v>2570</v>
      </c>
      <c r="L3" s="4">
        <f>Hotel!X8</f>
        <v>4720</v>
      </c>
      <c r="M3" s="4">
        <f>Hotel!Y8</f>
        <v>5750</v>
      </c>
      <c r="N3" s="4">
        <f>Hotel!Z8</f>
        <v>2820</v>
      </c>
      <c r="O3" s="4">
        <f>Hotel!AA8</f>
        <v>3340</v>
      </c>
      <c r="P3" s="4">
        <f>Hotel!AB8</f>
        <v>7370</v>
      </c>
      <c r="Q3" s="4">
        <f>Hotel!AC8</f>
        <v>13590</v>
      </c>
      <c r="R3" s="4">
        <f>Hotel!AV8*0.00378541*100</f>
        <v>925.15420400000005</v>
      </c>
      <c r="S3" s="4">
        <f>Hotel!B8</f>
        <v>194</v>
      </c>
    </row>
    <row r="4" spans="1:19" x14ac:dyDescent="0.25">
      <c r="A4" s="21" t="s">
        <v>31</v>
      </c>
      <c r="B4" s="2">
        <f t="shared" ref="B4:B29" si="0">B3+1</f>
        <v>3</v>
      </c>
      <c r="C4" s="3">
        <v>12</v>
      </c>
      <c r="D4" s="11">
        <v>2021</v>
      </c>
      <c r="E4" s="4">
        <f>Hotel!Q9</f>
        <v>540</v>
      </c>
      <c r="F4" s="4">
        <f>Hotel!R9</f>
        <v>1860</v>
      </c>
      <c r="G4" s="4">
        <f>Hotel!S9</f>
        <v>3020</v>
      </c>
      <c r="H4" s="4">
        <f>Hotel!T9</f>
        <v>1430</v>
      </c>
      <c r="I4" s="4">
        <f>Hotel!U9</f>
        <v>5310</v>
      </c>
      <c r="J4" s="4">
        <f>Hotel!V9</f>
        <v>4370</v>
      </c>
      <c r="K4" s="4">
        <f>Hotel!W9</f>
        <v>2750</v>
      </c>
      <c r="L4" s="4">
        <f>Hotel!X9</f>
        <v>4770</v>
      </c>
      <c r="M4" s="4">
        <f>Hotel!Y9</f>
        <v>6290</v>
      </c>
      <c r="N4" s="4">
        <f>Hotel!Z9</f>
        <v>2830</v>
      </c>
      <c r="O4" s="4">
        <f>Hotel!AA9</f>
        <v>3440</v>
      </c>
      <c r="P4" s="4">
        <f>Hotel!AB9</f>
        <v>7240</v>
      </c>
      <c r="Q4" s="4">
        <f>Hotel!AC9</f>
        <v>12940</v>
      </c>
      <c r="R4" s="4">
        <f>Hotel!AV9*0.00378541*100</f>
        <v>702.95063700000003</v>
      </c>
      <c r="S4" s="4">
        <f>Hotel!B9</f>
        <v>186</v>
      </c>
    </row>
    <row r="5" spans="1:19" x14ac:dyDescent="0.25">
      <c r="A5" s="21" t="s">
        <v>31</v>
      </c>
      <c r="B5" s="2">
        <f t="shared" si="0"/>
        <v>4</v>
      </c>
      <c r="C5" s="3">
        <v>12</v>
      </c>
      <c r="D5" s="11">
        <v>2021</v>
      </c>
      <c r="E5" s="4">
        <f>Hotel!Q10</f>
        <v>1050</v>
      </c>
      <c r="F5" s="4">
        <f>Hotel!R10</f>
        <v>1700</v>
      </c>
      <c r="G5" s="4">
        <f>Hotel!S10</f>
        <v>2350</v>
      </c>
      <c r="H5" s="4">
        <f>Hotel!T10</f>
        <v>1350</v>
      </c>
      <c r="I5" s="4">
        <f>Hotel!U10</f>
        <v>5380</v>
      </c>
      <c r="J5" s="4">
        <f>Hotel!V10</f>
        <v>4300</v>
      </c>
      <c r="K5" s="4">
        <f>Hotel!W10</f>
        <v>2510</v>
      </c>
      <c r="L5" s="4">
        <f>Hotel!X10</f>
        <v>4970</v>
      </c>
      <c r="M5" s="4">
        <f>Hotel!Y10</f>
        <v>6270</v>
      </c>
      <c r="N5" s="4">
        <f>Hotel!Z10</f>
        <v>2840</v>
      </c>
      <c r="O5" s="4">
        <f>Hotel!AA10</f>
        <v>3380</v>
      </c>
      <c r="P5" s="4">
        <f>Hotel!AB10</f>
        <v>7230</v>
      </c>
      <c r="Q5" s="4">
        <f>Hotel!AC10</f>
        <v>11810</v>
      </c>
      <c r="R5" s="4">
        <f>Hotel!AV10*0.00378541*100</f>
        <v>674.18152099999998</v>
      </c>
      <c r="S5" s="4">
        <f>Hotel!B10</f>
        <v>88</v>
      </c>
    </row>
    <row r="6" spans="1:19" x14ac:dyDescent="0.25">
      <c r="A6" s="21" t="s">
        <v>31</v>
      </c>
      <c r="B6" s="2">
        <f t="shared" si="0"/>
        <v>5</v>
      </c>
      <c r="C6" s="3">
        <v>12</v>
      </c>
      <c r="D6" s="11">
        <v>2021</v>
      </c>
      <c r="E6" s="4">
        <f>Hotel!Q11</f>
        <v>580</v>
      </c>
      <c r="F6" s="4">
        <f>Hotel!R11</f>
        <v>1880</v>
      </c>
      <c r="G6" s="4">
        <f>Hotel!S11</f>
        <v>2690</v>
      </c>
      <c r="H6" s="4">
        <f>Hotel!T11</f>
        <v>1390</v>
      </c>
      <c r="I6" s="4">
        <f>Hotel!U11</f>
        <v>4700</v>
      </c>
      <c r="J6" s="4">
        <f>Hotel!V11</f>
        <v>3810</v>
      </c>
      <c r="K6" s="4">
        <f>Hotel!W11</f>
        <v>2710</v>
      </c>
      <c r="L6" s="4">
        <f>Hotel!X11</f>
        <v>4340</v>
      </c>
      <c r="M6" s="4">
        <f>Hotel!Y11</f>
        <v>5770</v>
      </c>
      <c r="N6" s="4">
        <f>Hotel!Z11</f>
        <v>2750</v>
      </c>
      <c r="O6" s="4">
        <f>Hotel!AA11</f>
        <v>3160</v>
      </c>
      <c r="P6" s="4">
        <f>Hotel!AB11</f>
        <v>7240</v>
      </c>
      <c r="Q6" s="4">
        <f>Hotel!AC11</f>
        <v>11180</v>
      </c>
      <c r="R6" s="4">
        <f>Hotel!AV11*0.00378541*100</f>
        <v>837.71123299999988</v>
      </c>
      <c r="S6" s="4">
        <f>Hotel!B11</f>
        <v>102</v>
      </c>
    </row>
    <row r="7" spans="1:19" x14ac:dyDescent="0.25">
      <c r="A7" s="21" t="s">
        <v>31</v>
      </c>
      <c r="B7" s="2">
        <f t="shared" si="0"/>
        <v>6</v>
      </c>
      <c r="C7" s="3">
        <v>12</v>
      </c>
      <c r="D7" s="11">
        <v>2021</v>
      </c>
      <c r="E7" s="4">
        <f>Hotel!Q12</f>
        <v>1040</v>
      </c>
      <c r="F7" s="4">
        <f>Hotel!R12</f>
        <v>4890</v>
      </c>
      <c r="G7" s="4">
        <f>Hotel!S12</f>
        <v>1310</v>
      </c>
      <c r="H7" s="4">
        <f>Hotel!T12</f>
        <v>1600</v>
      </c>
      <c r="I7" s="4">
        <f>Hotel!U12</f>
        <v>4700</v>
      </c>
      <c r="J7" s="4">
        <f>Hotel!V12</f>
        <v>3800</v>
      </c>
      <c r="K7" s="4">
        <f>Hotel!W12</f>
        <v>2580</v>
      </c>
      <c r="L7" s="4">
        <f>Hotel!X12</f>
        <v>4590</v>
      </c>
      <c r="M7" s="4">
        <f>Hotel!Y12</f>
        <v>5870</v>
      </c>
      <c r="N7" s="4">
        <f>Hotel!Z12</f>
        <v>2680</v>
      </c>
      <c r="O7" s="4">
        <f>Hotel!AA12</f>
        <v>2980</v>
      </c>
      <c r="P7" s="4">
        <f>Hotel!AB12</f>
        <v>7070</v>
      </c>
      <c r="Q7" s="4">
        <f>Hotel!AC12</f>
        <v>10710</v>
      </c>
      <c r="R7" s="4">
        <f>Hotel!AV12*0.00378541*100</f>
        <v>684.78066899999999</v>
      </c>
      <c r="S7" s="4">
        <f>Hotel!B12</f>
        <v>102</v>
      </c>
    </row>
    <row r="8" spans="1:19" x14ac:dyDescent="0.25">
      <c r="A8" s="21" t="s">
        <v>31</v>
      </c>
      <c r="B8" s="2">
        <f t="shared" si="0"/>
        <v>7</v>
      </c>
      <c r="C8" s="3">
        <v>12</v>
      </c>
      <c r="D8" s="11">
        <v>2021</v>
      </c>
      <c r="E8" s="4">
        <f>Hotel!Q13</f>
        <v>550</v>
      </c>
      <c r="F8" s="4">
        <f>Hotel!R13</f>
        <v>9800</v>
      </c>
      <c r="G8" s="4">
        <f>Hotel!S13</f>
        <v>0</v>
      </c>
      <c r="H8" s="4">
        <f>Hotel!T13</f>
        <v>1290</v>
      </c>
      <c r="I8" s="4">
        <f>Hotel!U13</f>
        <v>4440</v>
      </c>
      <c r="J8" s="4">
        <f>Hotel!V13</f>
        <v>3740</v>
      </c>
      <c r="K8" s="4">
        <f>Hotel!W13</f>
        <v>2470</v>
      </c>
      <c r="L8" s="4">
        <f>Hotel!X13</f>
        <v>4810</v>
      </c>
      <c r="M8" s="4">
        <f>Hotel!Y13</f>
        <v>5880</v>
      </c>
      <c r="N8" s="4">
        <f>Hotel!Z13</f>
        <v>2540</v>
      </c>
      <c r="O8" s="4">
        <f>Hotel!AA13</f>
        <v>3060</v>
      </c>
      <c r="P8" s="4">
        <f>Hotel!AB13</f>
        <v>7080</v>
      </c>
      <c r="Q8" s="4">
        <f>Hotel!AC13</f>
        <v>9970</v>
      </c>
      <c r="R8" s="4">
        <f>Hotel!AV13*0.00378541*100</f>
        <v>601.50164899999993</v>
      </c>
      <c r="S8" s="4">
        <f>Hotel!B13</f>
        <v>109</v>
      </c>
    </row>
    <row r="9" spans="1:19" x14ac:dyDescent="0.25">
      <c r="A9" s="21" t="s">
        <v>31</v>
      </c>
      <c r="B9" s="2">
        <f t="shared" si="0"/>
        <v>8</v>
      </c>
      <c r="C9" s="3">
        <v>12</v>
      </c>
      <c r="D9" s="11">
        <v>2021</v>
      </c>
      <c r="E9" s="4">
        <f>Hotel!Q14</f>
        <v>590</v>
      </c>
      <c r="F9" s="4">
        <f>Hotel!R14</f>
        <v>3200</v>
      </c>
      <c r="G9" s="4">
        <f>Hotel!S14</f>
        <v>2500</v>
      </c>
      <c r="H9" s="4">
        <f>Hotel!T14</f>
        <v>1540</v>
      </c>
      <c r="I9" s="4">
        <f>Hotel!U14</f>
        <v>4760</v>
      </c>
      <c r="J9" s="4">
        <f>Hotel!V14</f>
        <v>3830</v>
      </c>
      <c r="K9" s="4">
        <f>Hotel!W14</f>
        <v>2600</v>
      </c>
      <c r="L9" s="4">
        <f>Hotel!X14</f>
        <v>4880</v>
      </c>
      <c r="M9" s="4">
        <f>Hotel!Y14</f>
        <v>5940</v>
      </c>
      <c r="N9" s="4">
        <f>Hotel!Z14</f>
        <v>2760</v>
      </c>
      <c r="O9" s="4">
        <f>Hotel!AA14</f>
        <v>3240</v>
      </c>
      <c r="P9" s="4">
        <f>Hotel!AB14</f>
        <v>7410</v>
      </c>
      <c r="Q9" s="4">
        <f>Hotel!AC14</f>
        <v>10190</v>
      </c>
      <c r="R9" s="4">
        <f>Hotel!AV14*0.00378541*100</f>
        <v>782.44424700000002</v>
      </c>
      <c r="S9" s="4">
        <f>Hotel!B14</f>
        <v>145</v>
      </c>
    </row>
    <row r="10" spans="1:19" x14ac:dyDescent="0.25">
      <c r="A10" s="21" t="s">
        <v>31</v>
      </c>
      <c r="B10" s="2">
        <f t="shared" si="0"/>
        <v>9</v>
      </c>
      <c r="C10" s="3">
        <v>12</v>
      </c>
      <c r="D10" s="11">
        <v>2021</v>
      </c>
      <c r="E10" s="4">
        <f>Hotel!Q15</f>
        <v>580</v>
      </c>
      <c r="F10" s="4">
        <f>Hotel!R15</f>
        <v>1850</v>
      </c>
      <c r="G10" s="4">
        <f>Hotel!S15</f>
        <v>2920</v>
      </c>
      <c r="H10" s="4">
        <f>Hotel!T15</f>
        <v>1390</v>
      </c>
      <c r="I10" s="4">
        <f>Hotel!U15</f>
        <v>4800</v>
      </c>
      <c r="J10" s="4">
        <f>Hotel!V15</f>
        <v>3950</v>
      </c>
      <c r="K10" s="4">
        <f>Hotel!W15</f>
        <v>2690</v>
      </c>
      <c r="L10" s="4">
        <f>Hotel!X15</f>
        <v>4740</v>
      </c>
      <c r="M10" s="4">
        <f>Hotel!Y15</f>
        <v>6110</v>
      </c>
      <c r="N10" s="4">
        <f>Hotel!Z15</f>
        <v>2830</v>
      </c>
      <c r="O10" s="4">
        <f>Hotel!AA15</f>
        <v>3440</v>
      </c>
      <c r="P10" s="4">
        <f>Hotel!AB15</f>
        <v>7310</v>
      </c>
      <c r="Q10" s="4">
        <f>Hotel!AC15</f>
        <v>9970</v>
      </c>
      <c r="R10" s="4">
        <f>Hotel!AV15*0.00378541*100</f>
        <v>715.82103099999995</v>
      </c>
      <c r="S10" s="4">
        <f>Hotel!B15</f>
        <v>181</v>
      </c>
    </row>
    <row r="11" spans="1:19" x14ac:dyDescent="0.25">
      <c r="A11" s="21" t="s">
        <v>31</v>
      </c>
      <c r="B11" s="2">
        <f t="shared" si="0"/>
        <v>10</v>
      </c>
      <c r="C11" s="3">
        <v>12</v>
      </c>
      <c r="D11" s="11">
        <v>2021</v>
      </c>
      <c r="E11" s="4">
        <f>Hotel!Q16</f>
        <v>590</v>
      </c>
      <c r="F11" s="4">
        <f>Hotel!R16</f>
        <v>1890</v>
      </c>
      <c r="G11" s="4">
        <f>Hotel!S16</f>
        <v>2780</v>
      </c>
      <c r="H11" s="4">
        <f>Hotel!T16</f>
        <v>1420</v>
      </c>
      <c r="I11" s="4">
        <f>Hotel!U16</f>
        <v>5130</v>
      </c>
      <c r="J11" s="4">
        <f>Hotel!V16</f>
        <v>4310</v>
      </c>
      <c r="K11" s="4">
        <f>Hotel!W16</f>
        <v>2490</v>
      </c>
      <c r="L11" s="4">
        <f>Hotel!X16</f>
        <v>4960</v>
      </c>
      <c r="M11" s="4">
        <f>Hotel!Y16</f>
        <v>6500</v>
      </c>
      <c r="N11" s="4">
        <f>Hotel!Z16</f>
        <v>2930</v>
      </c>
      <c r="O11" s="4">
        <f>Hotel!AA16</f>
        <v>3520</v>
      </c>
      <c r="P11" s="4">
        <f>Hotel!AB16</f>
        <v>7250</v>
      </c>
      <c r="Q11" s="4">
        <f>Hotel!AC16</f>
        <v>10620</v>
      </c>
      <c r="R11" s="4">
        <f>Hotel!AV16*0.00378541*100</f>
        <v>658.28279900000007</v>
      </c>
      <c r="S11" s="4">
        <f>Hotel!B16</f>
        <v>220</v>
      </c>
    </row>
    <row r="12" spans="1:19" x14ac:dyDescent="0.25">
      <c r="A12" s="21" t="s">
        <v>31</v>
      </c>
      <c r="B12" s="2">
        <f t="shared" si="0"/>
        <v>11</v>
      </c>
      <c r="C12" s="3">
        <v>12</v>
      </c>
      <c r="D12" s="11">
        <v>2021</v>
      </c>
      <c r="E12" s="4">
        <f>Hotel!Q17</f>
        <v>580</v>
      </c>
      <c r="F12" s="4">
        <f>Hotel!R17</f>
        <v>1850</v>
      </c>
      <c r="G12" s="4">
        <f>Hotel!S17</f>
        <v>2630</v>
      </c>
      <c r="H12" s="4">
        <f>Hotel!T17</f>
        <v>1390</v>
      </c>
      <c r="I12" s="4">
        <f>Hotel!U17</f>
        <v>4890</v>
      </c>
      <c r="J12" s="4">
        <f>Hotel!V17</f>
        <v>4020</v>
      </c>
      <c r="K12" s="4">
        <f>Hotel!W17</f>
        <v>2510</v>
      </c>
      <c r="L12" s="4">
        <f>Hotel!X17</f>
        <v>4980</v>
      </c>
      <c r="M12" s="4">
        <f>Hotel!Y17</f>
        <v>6360</v>
      </c>
      <c r="N12" s="4">
        <f>Hotel!Z17</f>
        <v>2690</v>
      </c>
      <c r="O12" s="4">
        <f>Hotel!AA17</f>
        <v>3220</v>
      </c>
      <c r="P12" s="4">
        <f>Hotel!AB17</f>
        <v>7140</v>
      </c>
      <c r="Q12" s="4">
        <f>Hotel!AC17</f>
        <v>10660</v>
      </c>
      <c r="R12" s="4">
        <f>Hotel!AV17*0.00378541*100</f>
        <v>795.69318199999998</v>
      </c>
      <c r="S12" s="4">
        <f>Hotel!B17</f>
        <v>90</v>
      </c>
    </row>
    <row r="13" spans="1:19" x14ac:dyDescent="0.25">
      <c r="A13" s="21" t="s">
        <v>31</v>
      </c>
      <c r="B13" s="2">
        <f t="shared" si="0"/>
        <v>12</v>
      </c>
      <c r="C13" s="3">
        <v>12</v>
      </c>
      <c r="D13" s="11">
        <v>2021</v>
      </c>
      <c r="E13" s="4">
        <f>Hotel!Q18</f>
        <v>600</v>
      </c>
      <c r="F13" s="4">
        <f>Hotel!R18</f>
        <v>1940</v>
      </c>
      <c r="G13" s="4">
        <f>Hotel!S18</f>
        <v>2610</v>
      </c>
      <c r="H13" s="4">
        <f>Hotel!T18</f>
        <v>1410</v>
      </c>
      <c r="I13" s="4">
        <f>Hotel!U18</f>
        <v>5080</v>
      </c>
      <c r="J13" s="4">
        <f>Hotel!V18</f>
        <v>4230</v>
      </c>
      <c r="K13" s="4">
        <f>Hotel!W18</f>
        <v>2710</v>
      </c>
      <c r="L13" s="4">
        <f>Hotel!X18</f>
        <v>4860</v>
      </c>
      <c r="M13" s="4">
        <f>Hotel!Y18</f>
        <v>6360</v>
      </c>
      <c r="N13" s="4">
        <f>Hotel!Z18</f>
        <v>2570</v>
      </c>
      <c r="O13" s="4">
        <f>Hotel!AA18</f>
        <v>3370</v>
      </c>
      <c r="P13" s="4">
        <f>Hotel!AB18</f>
        <v>7330</v>
      </c>
      <c r="Q13" s="4">
        <f>Hotel!AC18</f>
        <v>9600</v>
      </c>
      <c r="R13" s="4">
        <f>Hotel!AV18*0.00378541*100</f>
        <v>764.27427899999998</v>
      </c>
      <c r="S13" s="4">
        <f>Hotel!B18</f>
        <v>95</v>
      </c>
    </row>
    <row r="14" spans="1:19" x14ac:dyDescent="0.25">
      <c r="A14" s="21" t="s">
        <v>31</v>
      </c>
      <c r="B14" s="2">
        <f t="shared" si="0"/>
        <v>13</v>
      </c>
      <c r="C14" s="3">
        <v>12</v>
      </c>
      <c r="D14" s="11">
        <v>2021</v>
      </c>
      <c r="E14" s="4">
        <f>Hotel!Q19</f>
        <v>570</v>
      </c>
      <c r="F14" s="4">
        <f>Hotel!R19</f>
        <v>1810</v>
      </c>
      <c r="G14" s="4">
        <f>Hotel!S19</f>
        <v>2440</v>
      </c>
      <c r="H14" s="4">
        <f>Hotel!T19</f>
        <v>1330</v>
      </c>
      <c r="I14" s="4">
        <f>Hotel!U19</f>
        <v>4640</v>
      </c>
      <c r="J14" s="4">
        <f>Hotel!V19</f>
        <v>3920</v>
      </c>
      <c r="K14" s="4">
        <f>Hotel!W19</f>
        <v>2350</v>
      </c>
      <c r="L14" s="4">
        <f>Hotel!X19</f>
        <v>5130</v>
      </c>
      <c r="M14" s="4">
        <f>Hotel!Y19</f>
        <v>6014</v>
      </c>
      <c r="N14" s="4">
        <f>Hotel!Z19</f>
        <v>2430</v>
      </c>
      <c r="O14" s="4">
        <f>Hotel!AA19</f>
        <v>3140</v>
      </c>
      <c r="P14" s="4">
        <f>Hotel!AB19</f>
        <v>6820</v>
      </c>
      <c r="Q14" s="4">
        <f>Hotel!AC19</f>
        <v>9191</v>
      </c>
      <c r="R14" s="4">
        <f>Hotel!AV19*0.00378541*100</f>
        <v>741.18327799999997</v>
      </c>
      <c r="S14" s="4">
        <f>Hotel!B19</f>
        <v>95</v>
      </c>
    </row>
    <row r="15" spans="1:19" x14ac:dyDescent="0.25">
      <c r="A15" s="21" t="s">
        <v>31</v>
      </c>
      <c r="B15" s="2">
        <f t="shared" si="0"/>
        <v>14</v>
      </c>
      <c r="C15" s="3">
        <v>12</v>
      </c>
      <c r="D15" s="11">
        <v>2021</v>
      </c>
      <c r="E15" s="4">
        <f>Hotel!Q20</f>
        <v>620</v>
      </c>
      <c r="F15" s="4">
        <f>Hotel!R20</f>
        <v>1990</v>
      </c>
      <c r="G15" s="4">
        <f>Hotel!S20</f>
        <v>2380</v>
      </c>
      <c r="H15" s="4">
        <f>Hotel!T20</f>
        <v>1460</v>
      </c>
      <c r="I15" s="4">
        <f>Hotel!U20</f>
        <v>4740</v>
      </c>
      <c r="J15" s="4">
        <f>Hotel!V20</f>
        <v>4240</v>
      </c>
      <c r="K15" s="4">
        <f>Hotel!W20</f>
        <v>2530</v>
      </c>
      <c r="L15" s="4">
        <f>Hotel!X20</f>
        <v>5040</v>
      </c>
      <c r="M15" s="4">
        <f>Hotel!Y20</f>
        <v>6506</v>
      </c>
      <c r="N15" s="4">
        <f>Hotel!Z20</f>
        <v>2570</v>
      </c>
      <c r="O15" s="4">
        <f>Hotel!AA20</f>
        <v>3080</v>
      </c>
      <c r="P15" s="4">
        <f>Hotel!AB20</f>
        <v>7400</v>
      </c>
      <c r="Q15" s="4">
        <f>Hotel!AC20</f>
        <v>9559</v>
      </c>
      <c r="R15" s="4">
        <f>Hotel!AV20*0.00378541*100</f>
        <v>434.56506800000005</v>
      </c>
      <c r="S15" s="4">
        <f>Hotel!B20</f>
        <v>88</v>
      </c>
    </row>
    <row r="16" spans="1:19" x14ac:dyDescent="0.25">
      <c r="A16" s="21" t="s">
        <v>31</v>
      </c>
      <c r="B16" s="2">
        <f t="shared" si="0"/>
        <v>15</v>
      </c>
      <c r="C16" s="3">
        <v>12</v>
      </c>
      <c r="D16" s="11">
        <v>2021</v>
      </c>
      <c r="E16" s="4">
        <f>Hotel!Q21</f>
        <v>570</v>
      </c>
      <c r="F16" s="4">
        <f>Hotel!R21</f>
        <v>1840</v>
      </c>
      <c r="G16" s="4">
        <f>Hotel!S21</f>
        <v>2690</v>
      </c>
      <c r="H16" s="4">
        <f>Hotel!T21</f>
        <v>1360</v>
      </c>
      <c r="I16" s="4">
        <f>Hotel!U21</f>
        <v>4710</v>
      </c>
      <c r="J16" s="4">
        <f>Hotel!V21</f>
        <v>4180</v>
      </c>
      <c r="K16" s="4">
        <f>Hotel!W21</f>
        <v>2410</v>
      </c>
      <c r="L16" s="4">
        <f>Hotel!X21</f>
        <v>4560</v>
      </c>
      <c r="M16" s="4">
        <f>Hotel!Y21</f>
        <v>6020</v>
      </c>
      <c r="N16" s="4">
        <f>Hotel!Z21</f>
        <v>2450</v>
      </c>
      <c r="O16" s="4">
        <f>Hotel!AA21</f>
        <v>2940</v>
      </c>
      <c r="P16" s="4">
        <f>Hotel!AB21</f>
        <v>6850</v>
      </c>
      <c r="Q16" s="4">
        <f>Hotel!AC21</f>
        <v>8950</v>
      </c>
      <c r="R16" s="4">
        <f>Hotel!AV21*0.00378541*100</f>
        <v>862.69493899999998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12</v>
      </c>
      <c r="D17" s="11">
        <v>2021</v>
      </c>
      <c r="E17" s="4" t="str">
        <f>Hotel!Q22</f>
        <v>0</v>
      </c>
      <c r="F17" s="4" t="str">
        <f>Hotel!R22</f>
        <v>0</v>
      </c>
      <c r="G17" s="4" t="str">
        <f>Hotel!S22</f>
        <v>0</v>
      </c>
      <c r="H17" s="4" t="str">
        <f>Hotel!T22</f>
        <v>0</v>
      </c>
      <c r="I17" s="4" t="str">
        <f>Hotel!U22</f>
        <v>0</v>
      </c>
      <c r="J17" s="4" t="str">
        <f>Hotel!V22</f>
        <v>0</v>
      </c>
      <c r="K17" s="4" t="str">
        <f>Hotel!W22</f>
        <v>0</v>
      </c>
      <c r="L17" s="4" t="str">
        <f>Hotel!X22</f>
        <v>0</v>
      </c>
      <c r="M17" s="4" t="str">
        <f>Hotel!Y22</f>
        <v>0</v>
      </c>
      <c r="N17" s="4" t="str">
        <f>Hotel!Z22</f>
        <v>0</v>
      </c>
      <c r="O17" s="4" t="str">
        <f>Hotel!AA22</f>
        <v>0</v>
      </c>
      <c r="P17" s="4" t="str">
        <f>Hotel!AB22</f>
        <v>0</v>
      </c>
      <c r="Q17" s="4" t="str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12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12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12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12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12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12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12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12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12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12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12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12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12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12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12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U21" sqref="AU2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44530</v>
      </c>
      <c r="B2" s="40">
        <v>138</v>
      </c>
      <c r="C2" s="24">
        <v>7446530</v>
      </c>
      <c r="D2" s="24">
        <v>17640050</v>
      </c>
      <c r="E2" s="24">
        <v>3143280</v>
      </c>
      <c r="F2" s="24">
        <v>3789760</v>
      </c>
      <c r="G2" s="24">
        <v>11138270</v>
      </c>
      <c r="H2" s="24">
        <v>6155780</v>
      </c>
      <c r="I2" s="24">
        <v>5496750</v>
      </c>
      <c r="J2" s="52">
        <v>6673210</v>
      </c>
      <c r="K2" s="24">
        <v>10133890</v>
      </c>
      <c r="L2" s="24">
        <v>4284880</v>
      </c>
      <c r="M2" s="24">
        <v>8442820</v>
      </c>
      <c r="N2" s="24">
        <v>13284200</v>
      </c>
      <c r="O2" s="24">
        <v>18406610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403531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403531</v>
      </c>
    </row>
    <row r="7" spans="1:49" x14ac:dyDescent="0.25">
      <c r="A7" s="23">
        <v>44531</v>
      </c>
      <c r="B7" s="40">
        <v>138</v>
      </c>
      <c r="C7" s="24">
        <v>7446840</v>
      </c>
      <c r="D7" s="24">
        <v>17641110</v>
      </c>
      <c r="E7" s="24">
        <v>3145240</v>
      </c>
      <c r="F7" s="24">
        <v>3790760</v>
      </c>
      <c r="G7" s="24">
        <v>11141320</v>
      </c>
      <c r="H7" s="24">
        <v>6158350</v>
      </c>
      <c r="I7" s="24">
        <v>5498300</v>
      </c>
      <c r="J7" s="24">
        <v>6676390</v>
      </c>
      <c r="K7" s="24">
        <v>10136920</v>
      </c>
      <c r="L7" s="24">
        <v>4286430</v>
      </c>
      <c r="M7" s="24">
        <v>8445000</v>
      </c>
      <c r="N7" s="24">
        <v>13288350</v>
      </c>
      <c r="O7" s="24">
        <v>18413540</v>
      </c>
      <c r="Q7" s="37">
        <f>IF((C7-C2&lt;0), "0",C7-C2)</f>
        <v>310</v>
      </c>
      <c r="R7" s="37">
        <f t="shared" ref="R7:AC7" si="0">IF((D7-D2&lt;0), "0",D7-D2)</f>
        <v>1060</v>
      </c>
      <c r="S7" s="37">
        <f>IF((E7-E2&lt;0), "0",E7-E2)</f>
        <v>1960</v>
      </c>
      <c r="T7" s="37">
        <f t="shared" si="0"/>
        <v>1000</v>
      </c>
      <c r="U7" s="37">
        <f t="shared" si="0"/>
        <v>3050</v>
      </c>
      <c r="V7" s="37">
        <f t="shared" si="0"/>
        <v>2570</v>
      </c>
      <c r="W7" s="37">
        <f t="shared" si="0"/>
        <v>1550</v>
      </c>
      <c r="X7" s="37">
        <f t="shared" si="0"/>
        <v>3180</v>
      </c>
      <c r="Y7" s="37">
        <f t="shared" si="0"/>
        <v>3030</v>
      </c>
      <c r="Z7" s="37">
        <f t="shared" si="0"/>
        <v>1550</v>
      </c>
      <c r="AA7" s="37">
        <f t="shared" si="0"/>
        <v>2180</v>
      </c>
      <c r="AB7" s="37">
        <f t="shared" si="0"/>
        <v>4150</v>
      </c>
      <c r="AC7" s="37">
        <f t="shared" si="0"/>
        <v>6930</v>
      </c>
      <c r="AD7" s="34">
        <f>SUM(Q7:AC7)</f>
        <v>32520</v>
      </c>
      <c r="AF7" s="20">
        <f t="shared" ref="AF7:AF36" si="1">Q7*$D$39</f>
        <v>1.55</v>
      </c>
      <c r="AG7" s="20">
        <f t="shared" ref="AG7:AG36" si="2">R7*$D$39</f>
        <v>5.3</v>
      </c>
      <c r="AH7" s="20">
        <f t="shared" ref="AH7:AH36" si="3">S7*$D$39</f>
        <v>9.8000000000000007</v>
      </c>
      <c r="AI7" s="20">
        <f t="shared" ref="AI7:AI36" si="4">T7*$D$39</f>
        <v>5</v>
      </c>
      <c r="AJ7" s="20">
        <f t="shared" ref="AJ7:AJ36" si="5">U7*$D$39</f>
        <v>15.25</v>
      </c>
      <c r="AK7" s="20">
        <f t="shared" ref="AK7:AK36" si="6">V7*$D$39</f>
        <v>12.85</v>
      </c>
      <c r="AL7" s="20">
        <f t="shared" ref="AL7:AL36" si="7">W7*$D$39</f>
        <v>7.75</v>
      </c>
      <c r="AM7" s="20">
        <f t="shared" ref="AM7:AM36" si="8">X7*$D$39</f>
        <v>15.9</v>
      </c>
      <c r="AN7" s="20">
        <f t="shared" ref="AN7:AN36" si="9">Y7*$D$39</f>
        <v>15.15</v>
      </c>
      <c r="AO7" s="20">
        <f t="shared" ref="AO7:AO36" si="10">Z7*$D$39</f>
        <v>7.75</v>
      </c>
      <c r="AP7" s="20">
        <f t="shared" ref="AP7:AP36" si="11">AA7*$D$39</f>
        <v>10.9</v>
      </c>
      <c r="AQ7" s="20">
        <f t="shared" ref="AQ7:AQ36" si="12">AB7*$D$39</f>
        <v>20.75</v>
      </c>
      <c r="AR7" s="20">
        <f t="shared" ref="AR7:AR36" si="13">AC7*$D$39</f>
        <v>34.65</v>
      </c>
      <c r="AS7" s="35">
        <f>SUM(AF7:AR7)</f>
        <v>162.60000000000002</v>
      </c>
      <c r="AU7" s="47">
        <v>404911</v>
      </c>
      <c r="AV7" s="37">
        <f>IF((AU7-AU6&lt;0),"0",AU7-AU6)</f>
        <v>1380</v>
      </c>
      <c r="AW7" s="35">
        <f t="shared" ref="AW7:AW35" si="14">AV7*$D$40</f>
        <v>2.7600000000000002</v>
      </c>
    </row>
    <row r="8" spans="1:49" x14ac:dyDescent="0.25">
      <c r="A8" s="23">
        <v>44532</v>
      </c>
      <c r="B8" s="40">
        <v>194</v>
      </c>
      <c r="C8" s="24">
        <v>7447400</v>
      </c>
      <c r="D8" s="24">
        <v>17643010</v>
      </c>
      <c r="E8" s="24">
        <v>3148700</v>
      </c>
      <c r="F8" s="24">
        <v>3792230</v>
      </c>
      <c r="G8" s="24">
        <v>11146520</v>
      </c>
      <c r="H8" s="24">
        <v>6162640</v>
      </c>
      <c r="I8" s="24">
        <v>5500870</v>
      </c>
      <c r="J8" s="24">
        <v>6681110</v>
      </c>
      <c r="K8" s="24">
        <v>10142670</v>
      </c>
      <c r="L8" s="24">
        <v>4289250</v>
      </c>
      <c r="M8" s="24">
        <v>8448340</v>
      </c>
      <c r="N8" s="24">
        <v>13295720</v>
      </c>
      <c r="O8" s="24">
        <v>18427130</v>
      </c>
      <c r="Q8" s="37">
        <f>IF((C8-C7&lt;0), "0",C8-C7)</f>
        <v>560</v>
      </c>
      <c r="R8" s="37">
        <f t="shared" ref="R8:AC8" si="15">IF((D8-D7&lt;0), "0",D8-D7)</f>
        <v>1900</v>
      </c>
      <c r="S8" s="37">
        <f t="shared" ref="S8:S35" si="16">IF((E8-E7&lt;0), "0",E8-E7)</f>
        <v>3460</v>
      </c>
      <c r="T8" s="37">
        <f t="shared" si="15"/>
        <v>1470</v>
      </c>
      <c r="U8" s="37">
        <f t="shared" si="15"/>
        <v>5200</v>
      </c>
      <c r="V8" s="37">
        <f t="shared" si="15"/>
        <v>4290</v>
      </c>
      <c r="W8" s="37">
        <f t="shared" si="15"/>
        <v>2570</v>
      </c>
      <c r="X8" s="37">
        <f t="shared" si="15"/>
        <v>4720</v>
      </c>
      <c r="Y8" s="37">
        <f t="shared" si="15"/>
        <v>5750</v>
      </c>
      <c r="Z8" s="37">
        <f t="shared" si="15"/>
        <v>2820</v>
      </c>
      <c r="AA8" s="37">
        <f t="shared" si="15"/>
        <v>3340</v>
      </c>
      <c r="AB8" s="37">
        <f t="shared" si="15"/>
        <v>7370</v>
      </c>
      <c r="AC8" s="37">
        <f t="shared" si="15"/>
        <v>13590</v>
      </c>
      <c r="AD8" s="35">
        <f>SUM(Q8:AC8)</f>
        <v>57040</v>
      </c>
      <c r="AF8" s="20">
        <f t="shared" si="1"/>
        <v>2.8000000000000003</v>
      </c>
      <c r="AG8" s="20">
        <f t="shared" si="2"/>
        <v>9.5</v>
      </c>
      <c r="AH8" s="20">
        <f t="shared" si="3"/>
        <v>17.3</v>
      </c>
      <c r="AI8" s="20">
        <f t="shared" si="4"/>
        <v>7.3500000000000005</v>
      </c>
      <c r="AJ8" s="20">
        <f t="shared" si="5"/>
        <v>26</v>
      </c>
      <c r="AK8" s="20">
        <f t="shared" si="6"/>
        <v>21.45</v>
      </c>
      <c r="AL8" s="20">
        <f t="shared" si="7"/>
        <v>12.85</v>
      </c>
      <c r="AM8" s="20">
        <f t="shared" si="8"/>
        <v>23.6</v>
      </c>
      <c r="AN8" s="20">
        <f t="shared" si="9"/>
        <v>28.75</v>
      </c>
      <c r="AO8" s="20">
        <f t="shared" si="10"/>
        <v>14.1</v>
      </c>
      <c r="AP8" s="20">
        <f t="shared" si="11"/>
        <v>16.7</v>
      </c>
      <c r="AQ8" s="20">
        <f t="shared" si="12"/>
        <v>36.85</v>
      </c>
      <c r="AR8" s="20">
        <f t="shared" si="13"/>
        <v>67.95</v>
      </c>
      <c r="AS8" s="35">
        <f>SUM(AF8:AR8)</f>
        <v>285.2</v>
      </c>
      <c r="AU8" s="47">
        <v>407355</v>
      </c>
      <c r="AV8" s="37">
        <f>IF((AU8-AU7&lt;0),"0",AU8-AU7)</f>
        <v>2444</v>
      </c>
      <c r="AW8" s="35">
        <f t="shared" si="14"/>
        <v>4.8879999999999999</v>
      </c>
    </row>
    <row r="9" spans="1:49" x14ac:dyDescent="0.25">
      <c r="A9" s="23">
        <v>44533</v>
      </c>
      <c r="B9" s="40">
        <v>186</v>
      </c>
      <c r="C9" s="24">
        <v>7447940</v>
      </c>
      <c r="D9" s="24">
        <v>17644870</v>
      </c>
      <c r="E9" s="24">
        <v>3151720</v>
      </c>
      <c r="F9" s="24">
        <v>3793660</v>
      </c>
      <c r="G9" s="24">
        <v>11151830</v>
      </c>
      <c r="H9" s="24">
        <v>6167010</v>
      </c>
      <c r="I9" s="24">
        <v>5503620</v>
      </c>
      <c r="J9" s="24">
        <v>6685880</v>
      </c>
      <c r="K9" s="24">
        <v>10148960</v>
      </c>
      <c r="L9" s="24">
        <v>4292080</v>
      </c>
      <c r="M9" s="24">
        <v>8451780</v>
      </c>
      <c r="N9" s="24">
        <v>13302960</v>
      </c>
      <c r="O9" s="24">
        <v>18440070</v>
      </c>
      <c r="Q9" s="37">
        <f t="shared" ref="Q9:Q30" si="17">IF((C9-C8&lt;0), "0",C9-C8)</f>
        <v>540</v>
      </c>
      <c r="R9" s="37">
        <f t="shared" ref="R9:R35" si="18">IF((D9-D8&lt;0), "0",D9-D8)</f>
        <v>1860</v>
      </c>
      <c r="S9" s="37">
        <f t="shared" si="16"/>
        <v>3020</v>
      </c>
      <c r="T9" s="37">
        <f t="shared" ref="T9:T35" si="19">IF((F9-F8&lt;0), "0",F9-F8)</f>
        <v>1430</v>
      </c>
      <c r="U9" s="37">
        <f t="shared" ref="U9:U35" si="20">IF((G9-G8&lt;0), "0",G9-G8)</f>
        <v>5310</v>
      </c>
      <c r="V9" s="37">
        <f t="shared" ref="V9:V35" si="21">IF((H9-H8&lt;0), "0",H9-H8)</f>
        <v>4370</v>
      </c>
      <c r="W9" s="37">
        <f t="shared" ref="W9:W35" si="22">IF((I9-I8&lt;0), "0",I9-I8)</f>
        <v>2750</v>
      </c>
      <c r="X9" s="37">
        <f t="shared" ref="X9:X35" si="23">IF((J9-J8&lt;0), "0",J9-J8)</f>
        <v>4770</v>
      </c>
      <c r="Y9" s="37">
        <f t="shared" ref="Y9:Y35" si="24">IF((K9-K8&lt;0), "0",K9-K8)</f>
        <v>6290</v>
      </c>
      <c r="Z9" s="37">
        <f t="shared" ref="Z9:Z35" si="25">IF((L9-L8&lt;0), "0",L9-L8)</f>
        <v>2830</v>
      </c>
      <c r="AA9" s="37">
        <f t="shared" ref="AA9:AA35" si="26">IF((M9-M8&lt;0), "0",M9-M8)</f>
        <v>3440</v>
      </c>
      <c r="AB9" s="37">
        <f t="shared" ref="AB9:AB37" si="27">IF((N9-N8&lt;0), "0",N9-N8)</f>
        <v>7240</v>
      </c>
      <c r="AC9" s="37">
        <f t="shared" ref="AC9:AC37" si="28">IF((O9-O8&lt;0), "0",O9-O8)</f>
        <v>12940</v>
      </c>
      <c r="AD9" s="35">
        <f t="shared" ref="AD9:AD37" si="29">SUM(Q9:AC9)</f>
        <v>56790</v>
      </c>
      <c r="AF9" s="20">
        <f t="shared" si="1"/>
        <v>2.7</v>
      </c>
      <c r="AG9" s="20">
        <f t="shared" si="2"/>
        <v>9.3000000000000007</v>
      </c>
      <c r="AH9" s="20">
        <f t="shared" si="3"/>
        <v>15.1</v>
      </c>
      <c r="AI9" s="20">
        <f t="shared" si="4"/>
        <v>7.15</v>
      </c>
      <c r="AJ9" s="20">
        <f t="shared" si="5"/>
        <v>26.55</v>
      </c>
      <c r="AK9" s="20">
        <f t="shared" si="6"/>
        <v>21.85</v>
      </c>
      <c r="AL9" s="20">
        <f t="shared" si="7"/>
        <v>13.75</v>
      </c>
      <c r="AM9" s="20">
        <f t="shared" si="8"/>
        <v>23.85</v>
      </c>
      <c r="AN9" s="20">
        <f t="shared" si="9"/>
        <v>31.45</v>
      </c>
      <c r="AO9" s="20">
        <f t="shared" si="10"/>
        <v>14.15</v>
      </c>
      <c r="AP9" s="20">
        <f t="shared" si="11"/>
        <v>17.2</v>
      </c>
      <c r="AQ9" s="20">
        <f t="shared" si="12"/>
        <v>36.200000000000003</v>
      </c>
      <c r="AR9" s="20">
        <f t="shared" si="13"/>
        <v>64.7</v>
      </c>
      <c r="AS9" s="35">
        <f t="shared" ref="AS9:AS33" si="30">SUM(AF9:AR9)</f>
        <v>283.95</v>
      </c>
      <c r="AU9" s="47">
        <v>409212</v>
      </c>
      <c r="AV9" s="37">
        <f>IF((AU9-AU8&lt;0),"0",AU9-AU8)</f>
        <v>1857</v>
      </c>
      <c r="AW9" s="35">
        <f t="shared" si="14"/>
        <v>3.714</v>
      </c>
    </row>
    <row r="10" spans="1:49" x14ac:dyDescent="0.25">
      <c r="A10" s="23">
        <v>44534</v>
      </c>
      <c r="B10" s="40">
        <v>88</v>
      </c>
      <c r="C10" s="24">
        <v>7448990</v>
      </c>
      <c r="D10" s="24">
        <v>17646570</v>
      </c>
      <c r="E10" s="24">
        <v>3154070</v>
      </c>
      <c r="F10" s="24">
        <v>3795010</v>
      </c>
      <c r="G10" s="24">
        <v>11157210</v>
      </c>
      <c r="H10" s="24">
        <v>6171310</v>
      </c>
      <c r="I10" s="24">
        <v>5506130</v>
      </c>
      <c r="J10" s="24">
        <v>6690850</v>
      </c>
      <c r="K10" s="24">
        <v>10155230</v>
      </c>
      <c r="L10" s="24">
        <v>4294920</v>
      </c>
      <c r="M10" s="24">
        <v>8455160</v>
      </c>
      <c r="N10" s="24">
        <v>13310190</v>
      </c>
      <c r="O10" s="24">
        <v>18451880</v>
      </c>
      <c r="Q10" s="37">
        <f t="shared" si="17"/>
        <v>1050</v>
      </c>
      <c r="R10" s="37">
        <f t="shared" si="18"/>
        <v>1700</v>
      </c>
      <c r="S10" s="37">
        <f t="shared" si="16"/>
        <v>2350</v>
      </c>
      <c r="T10" s="37">
        <f t="shared" si="19"/>
        <v>1350</v>
      </c>
      <c r="U10" s="37">
        <f t="shared" si="20"/>
        <v>5380</v>
      </c>
      <c r="V10" s="37">
        <f t="shared" si="21"/>
        <v>4300</v>
      </c>
      <c r="W10" s="37">
        <f t="shared" si="22"/>
        <v>2510</v>
      </c>
      <c r="X10" s="37">
        <f t="shared" si="23"/>
        <v>4970</v>
      </c>
      <c r="Y10" s="37">
        <f t="shared" si="24"/>
        <v>6270</v>
      </c>
      <c r="Z10" s="37">
        <f t="shared" si="25"/>
        <v>2840</v>
      </c>
      <c r="AA10" s="37">
        <f t="shared" si="26"/>
        <v>3380</v>
      </c>
      <c r="AB10" s="37">
        <f t="shared" si="27"/>
        <v>7230</v>
      </c>
      <c r="AC10" s="37">
        <f t="shared" si="28"/>
        <v>11810</v>
      </c>
      <c r="AD10" s="35">
        <f t="shared" si="29"/>
        <v>55140</v>
      </c>
      <c r="AF10" s="20">
        <f t="shared" si="1"/>
        <v>5.25</v>
      </c>
      <c r="AG10" s="20">
        <f t="shared" si="2"/>
        <v>8.5</v>
      </c>
      <c r="AH10" s="20">
        <f t="shared" si="3"/>
        <v>11.75</v>
      </c>
      <c r="AI10" s="20">
        <f t="shared" si="4"/>
        <v>6.75</v>
      </c>
      <c r="AJ10" s="20">
        <f t="shared" si="5"/>
        <v>26.900000000000002</v>
      </c>
      <c r="AK10" s="20">
        <f t="shared" si="6"/>
        <v>21.5</v>
      </c>
      <c r="AL10" s="20">
        <f t="shared" si="7"/>
        <v>12.55</v>
      </c>
      <c r="AM10" s="20">
        <f t="shared" si="8"/>
        <v>24.85</v>
      </c>
      <c r="AN10" s="20">
        <f t="shared" si="9"/>
        <v>31.35</v>
      </c>
      <c r="AO10" s="20">
        <f t="shared" si="10"/>
        <v>14.200000000000001</v>
      </c>
      <c r="AP10" s="20">
        <f t="shared" si="11"/>
        <v>16.899999999999999</v>
      </c>
      <c r="AQ10" s="20">
        <f t="shared" si="12"/>
        <v>36.15</v>
      </c>
      <c r="AR10" s="20">
        <f t="shared" si="13"/>
        <v>59.050000000000004</v>
      </c>
      <c r="AS10" s="35">
        <f t="shared" si="30"/>
        <v>275.7</v>
      </c>
      <c r="AU10" s="47">
        <v>410993</v>
      </c>
      <c r="AV10" s="37">
        <f t="shared" ref="AV10:AV26" si="31">IF((AU10-AU9&lt;0),"0",AU10-AU9)</f>
        <v>1781</v>
      </c>
      <c r="AW10" s="35">
        <f t="shared" si="14"/>
        <v>3.5620000000000003</v>
      </c>
    </row>
    <row r="11" spans="1:49" x14ac:dyDescent="0.25">
      <c r="A11" s="23">
        <v>44535</v>
      </c>
      <c r="B11" s="40">
        <v>102</v>
      </c>
      <c r="C11" s="24">
        <v>7449570</v>
      </c>
      <c r="D11" s="24">
        <v>17648450</v>
      </c>
      <c r="E11" s="24">
        <v>3156760</v>
      </c>
      <c r="F11" s="24">
        <v>3796400</v>
      </c>
      <c r="G11" s="24">
        <v>11161910</v>
      </c>
      <c r="H11" s="24">
        <v>6175120</v>
      </c>
      <c r="I11" s="24">
        <v>5508840</v>
      </c>
      <c r="J11" s="24">
        <v>6695190</v>
      </c>
      <c r="K11" s="24">
        <v>10161000</v>
      </c>
      <c r="L11" s="24">
        <v>4297670</v>
      </c>
      <c r="M11" s="24">
        <v>8458320</v>
      </c>
      <c r="N11" s="24">
        <v>13317430</v>
      </c>
      <c r="O11" s="24">
        <v>18463060</v>
      </c>
      <c r="Q11" s="37">
        <f t="shared" si="17"/>
        <v>580</v>
      </c>
      <c r="R11" s="37">
        <f t="shared" si="18"/>
        <v>1880</v>
      </c>
      <c r="S11" s="37">
        <f t="shared" si="16"/>
        <v>2690</v>
      </c>
      <c r="T11" s="37">
        <f t="shared" si="19"/>
        <v>1390</v>
      </c>
      <c r="U11" s="37">
        <f t="shared" si="20"/>
        <v>4700</v>
      </c>
      <c r="V11" s="37">
        <f t="shared" si="21"/>
        <v>3810</v>
      </c>
      <c r="W11" s="37">
        <f t="shared" si="22"/>
        <v>2710</v>
      </c>
      <c r="X11" s="37">
        <f t="shared" si="23"/>
        <v>4340</v>
      </c>
      <c r="Y11" s="37">
        <f t="shared" si="24"/>
        <v>5770</v>
      </c>
      <c r="Z11" s="37">
        <f t="shared" si="25"/>
        <v>2750</v>
      </c>
      <c r="AA11" s="37">
        <f t="shared" si="26"/>
        <v>3160</v>
      </c>
      <c r="AB11" s="37">
        <f t="shared" si="27"/>
        <v>7240</v>
      </c>
      <c r="AC11" s="37">
        <f t="shared" si="28"/>
        <v>11180</v>
      </c>
      <c r="AD11" s="35">
        <f t="shared" si="29"/>
        <v>52200</v>
      </c>
      <c r="AF11" s="20">
        <f t="shared" si="1"/>
        <v>2.9</v>
      </c>
      <c r="AG11" s="20">
        <f t="shared" si="2"/>
        <v>9.4</v>
      </c>
      <c r="AH11" s="20">
        <f t="shared" si="3"/>
        <v>13.450000000000001</v>
      </c>
      <c r="AI11" s="20">
        <f t="shared" si="4"/>
        <v>6.95</v>
      </c>
      <c r="AJ11" s="20">
        <f t="shared" si="5"/>
        <v>23.5</v>
      </c>
      <c r="AK11" s="20">
        <f t="shared" si="6"/>
        <v>19.05</v>
      </c>
      <c r="AL11" s="20">
        <f t="shared" si="7"/>
        <v>13.55</v>
      </c>
      <c r="AM11" s="20">
        <f t="shared" si="8"/>
        <v>21.7</v>
      </c>
      <c r="AN11" s="20">
        <f t="shared" si="9"/>
        <v>28.85</v>
      </c>
      <c r="AO11" s="20">
        <f t="shared" si="10"/>
        <v>13.75</v>
      </c>
      <c r="AP11" s="20">
        <f t="shared" si="11"/>
        <v>15.8</v>
      </c>
      <c r="AQ11" s="20">
        <f t="shared" si="12"/>
        <v>36.200000000000003</v>
      </c>
      <c r="AR11" s="20">
        <f t="shared" si="13"/>
        <v>55.9</v>
      </c>
      <c r="AS11" s="35">
        <f t="shared" si="30"/>
        <v>261</v>
      </c>
      <c r="AU11" s="47">
        <v>413206</v>
      </c>
      <c r="AV11" s="37">
        <f t="shared" si="31"/>
        <v>2213</v>
      </c>
      <c r="AW11" s="35">
        <f t="shared" si="14"/>
        <v>4.4260000000000002</v>
      </c>
    </row>
    <row r="12" spans="1:49" x14ac:dyDescent="0.25">
      <c r="A12" s="23">
        <v>44536</v>
      </c>
      <c r="B12" s="40">
        <v>102</v>
      </c>
      <c r="C12" s="49">
        <v>7450610</v>
      </c>
      <c r="D12" s="24">
        <v>17653340</v>
      </c>
      <c r="E12" s="24">
        <v>3158070</v>
      </c>
      <c r="F12" s="24">
        <v>3798000</v>
      </c>
      <c r="G12" s="24">
        <v>11166610</v>
      </c>
      <c r="H12" s="24">
        <v>6178920</v>
      </c>
      <c r="I12" s="24">
        <v>5511420</v>
      </c>
      <c r="J12" s="24">
        <v>6699780</v>
      </c>
      <c r="K12" s="24">
        <v>10166870</v>
      </c>
      <c r="L12" s="24">
        <v>4300350</v>
      </c>
      <c r="M12" s="24">
        <v>8461300</v>
      </c>
      <c r="N12" s="24">
        <v>13324500</v>
      </c>
      <c r="O12" s="24">
        <v>18473770</v>
      </c>
      <c r="Q12" s="37">
        <f t="shared" si="17"/>
        <v>1040</v>
      </c>
      <c r="R12" s="37">
        <f t="shared" si="18"/>
        <v>4890</v>
      </c>
      <c r="S12" s="37">
        <f t="shared" si="16"/>
        <v>1310</v>
      </c>
      <c r="T12" s="37">
        <f t="shared" ref="T12:W14" si="32">IF((F12-F11&lt;0), "0",F12-F11)</f>
        <v>1600</v>
      </c>
      <c r="U12" s="37">
        <f t="shared" si="32"/>
        <v>4700</v>
      </c>
      <c r="V12" s="37">
        <f t="shared" si="32"/>
        <v>3800</v>
      </c>
      <c r="W12" s="37">
        <f t="shared" si="32"/>
        <v>2580</v>
      </c>
      <c r="X12" s="37">
        <f t="shared" si="23"/>
        <v>4590</v>
      </c>
      <c r="Y12" s="37">
        <f t="shared" si="24"/>
        <v>5870</v>
      </c>
      <c r="Z12" s="37">
        <f>IF((L12-L11&lt;0), "0",L12-L11)</f>
        <v>2680</v>
      </c>
      <c r="AA12" s="37">
        <f t="shared" si="26"/>
        <v>2980</v>
      </c>
      <c r="AB12" s="37">
        <f t="shared" si="27"/>
        <v>7070</v>
      </c>
      <c r="AC12" s="37">
        <f t="shared" si="28"/>
        <v>10710</v>
      </c>
      <c r="AD12" s="35">
        <f t="shared" si="29"/>
        <v>53820</v>
      </c>
      <c r="AF12" s="20">
        <f t="shared" si="1"/>
        <v>5.2</v>
      </c>
      <c r="AG12" s="20">
        <f t="shared" si="2"/>
        <v>24.45</v>
      </c>
      <c r="AH12" s="20">
        <f t="shared" si="3"/>
        <v>6.55</v>
      </c>
      <c r="AI12" s="20">
        <f t="shared" si="4"/>
        <v>8</v>
      </c>
      <c r="AJ12" s="20">
        <f t="shared" si="5"/>
        <v>23.5</v>
      </c>
      <c r="AK12" s="20">
        <f t="shared" si="6"/>
        <v>19</v>
      </c>
      <c r="AL12" s="20">
        <f t="shared" si="7"/>
        <v>12.9</v>
      </c>
      <c r="AM12" s="20">
        <f t="shared" si="8"/>
        <v>22.95</v>
      </c>
      <c r="AN12" s="20">
        <f t="shared" si="9"/>
        <v>29.35</v>
      </c>
      <c r="AO12" s="20">
        <f t="shared" si="10"/>
        <v>13.4</v>
      </c>
      <c r="AP12" s="20">
        <f t="shared" si="11"/>
        <v>14.9</v>
      </c>
      <c r="AQ12" s="20">
        <f t="shared" si="12"/>
        <v>35.35</v>
      </c>
      <c r="AR12" s="20">
        <f t="shared" si="13"/>
        <v>53.550000000000004</v>
      </c>
      <c r="AS12" s="35">
        <f t="shared" si="30"/>
        <v>269.10000000000002</v>
      </c>
      <c r="AU12" s="47">
        <v>415015</v>
      </c>
      <c r="AV12" s="37">
        <f t="shared" si="31"/>
        <v>1809</v>
      </c>
      <c r="AW12" s="35">
        <f t="shared" si="14"/>
        <v>3.6179999999999999</v>
      </c>
    </row>
    <row r="13" spans="1:49" x14ac:dyDescent="0.25">
      <c r="A13" s="23">
        <v>44537</v>
      </c>
      <c r="B13" s="40">
        <v>109</v>
      </c>
      <c r="C13" s="24">
        <v>7451160</v>
      </c>
      <c r="D13" s="24">
        <v>17663140</v>
      </c>
      <c r="E13" s="24">
        <v>3158070</v>
      </c>
      <c r="F13" s="24">
        <v>3799290</v>
      </c>
      <c r="G13" s="24">
        <v>11171050</v>
      </c>
      <c r="H13" s="24">
        <v>6182660</v>
      </c>
      <c r="I13" s="24">
        <v>5513890</v>
      </c>
      <c r="J13" s="24">
        <v>6704590</v>
      </c>
      <c r="K13" s="24">
        <v>10172750</v>
      </c>
      <c r="L13" s="24">
        <v>4302890</v>
      </c>
      <c r="M13" s="24">
        <v>8464360</v>
      </c>
      <c r="N13" s="24">
        <v>13331580</v>
      </c>
      <c r="O13" s="24">
        <v>18483740</v>
      </c>
      <c r="Q13" s="37">
        <f t="shared" si="17"/>
        <v>550</v>
      </c>
      <c r="R13" s="37">
        <f t="shared" si="18"/>
        <v>9800</v>
      </c>
      <c r="S13" s="37">
        <f t="shared" si="16"/>
        <v>0</v>
      </c>
      <c r="T13" s="37">
        <f t="shared" si="32"/>
        <v>1290</v>
      </c>
      <c r="U13" s="37">
        <f t="shared" si="32"/>
        <v>4440</v>
      </c>
      <c r="V13" s="37">
        <f t="shared" si="32"/>
        <v>3740</v>
      </c>
      <c r="W13" s="37">
        <f t="shared" si="32"/>
        <v>2470</v>
      </c>
      <c r="X13" s="37">
        <f t="shared" si="23"/>
        <v>4810</v>
      </c>
      <c r="Y13" s="37">
        <f t="shared" si="24"/>
        <v>5880</v>
      </c>
      <c r="Z13" s="37">
        <f>IF((L13-L12&lt;0), "0",L13-L12)</f>
        <v>2540</v>
      </c>
      <c r="AA13" s="37">
        <f t="shared" si="26"/>
        <v>3060</v>
      </c>
      <c r="AB13" s="37">
        <f t="shared" si="27"/>
        <v>7080</v>
      </c>
      <c r="AC13" s="37">
        <f t="shared" si="28"/>
        <v>9970</v>
      </c>
      <c r="AD13" s="35">
        <f t="shared" si="29"/>
        <v>55630</v>
      </c>
      <c r="AF13" s="20">
        <f t="shared" si="1"/>
        <v>2.75</v>
      </c>
      <c r="AG13" s="20">
        <f t="shared" si="2"/>
        <v>49</v>
      </c>
      <c r="AH13" s="20">
        <f t="shared" si="3"/>
        <v>0</v>
      </c>
      <c r="AI13" s="20">
        <f t="shared" si="4"/>
        <v>6.45</v>
      </c>
      <c r="AJ13" s="20">
        <f t="shared" si="5"/>
        <v>22.2</v>
      </c>
      <c r="AK13" s="20">
        <f t="shared" si="6"/>
        <v>18.7</v>
      </c>
      <c r="AL13" s="20">
        <f t="shared" si="7"/>
        <v>12.35</v>
      </c>
      <c r="AM13" s="20">
        <f t="shared" si="8"/>
        <v>24.05</v>
      </c>
      <c r="AN13" s="20">
        <f t="shared" si="9"/>
        <v>29.400000000000002</v>
      </c>
      <c r="AO13" s="20">
        <f t="shared" si="10"/>
        <v>12.700000000000001</v>
      </c>
      <c r="AP13" s="20">
        <f t="shared" si="11"/>
        <v>15.3</v>
      </c>
      <c r="AQ13" s="20">
        <f t="shared" si="12"/>
        <v>35.4</v>
      </c>
      <c r="AR13" s="20">
        <f t="shared" si="13"/>
        <v>49.85</v>
      </c>
      <c r="AS13" s="35">
        <f t="shared" si="30"/>
        <v>278.15000000000003</v>
      </c>
      <c r="AU13" s="47">
        <v>416604</v>
      </c>
      <c r="AV13" s="37">
        <f t="shared" si="31"/>
        <v>1589</v>
      </c>
      <c r="AW13" s="35">
        <f t="shared" si="14"/>
        <v>3.1779999999999999</v>
      </c>
    </row>
    <row r="14" spans="1:49" x14ac:dyDescent="0.25">
      <c r="A14" s="23">
        <v>44538</v>
      </c>
      <c r="B14" s="40">
        <v>145</v>
      </c>
      <c r="C14" s="24">
        <v>7451750</v>
      </c>
      <c r="D14" s="24">
        <v>17666340</v>
      </c>
      <c r="E14" s="24">
        <v>3160570</v>
      </c>
      <c r="F14" s="24">
        <v>3800830</v>
      </c>
      <c r="G14" s="24">
        <v>11175810</v>
      </c>
      <c r="H14" s="24">
        <v>6186490</v>
      </c>
      <c r="I14" s="24">
        <v>5516490</v>
      </c>
      <c r="J14" s="24">
        <v>6709470</v>
      </c>
      <c r="K14" s="24">
        <v>10178690</v>
      </c>
      <c r="L14" s="24">
        <v>4305650</v>
      </c>
      <c r="M14" s="24">
        <v>8467600</v>
      </c>
      <c r="N14" s="24">
        <v>13338990</v>
      </c>
      <c r="O14" s="24">
        <v>18493930</v>
      </c>
      <c r="P14" s="53"/>
      <c r="Q14" s="37">
        <f t="shared" si="17"/>
        <v>590</v>
      </c>
      <c r="R14" s="37">
        <f t="shared" si="18"/>
        <v>3200</v>
      </c>
      <c r="S14" s="37">
        <f t="shared" si="16"/>
        <v>2500</v>
      </c>
      <c r="T14" s="37">
        <f t="shared" si="32"/>
        <v>1540</v>
      </c>
      <c r="U14" s="37">
        <f t="shared" si="32"/>
        <v>4760</v>
      </c>
      <c r="V14" s="37">
        <f t="shared" si="32"/>
        <v>3830</v>
      </c>
      <c r="W14" s="37">
        <f t="shared" si="32"/>
        <v>2600</v>
      </c>
      <c r="X14" s="37">
        <f t="shared" si="23"/>
        <v>4880</v>
      </c>
      <c r="Y14" s="37">
        <f t="shared" si="24"/>
        <v>5940</v>
      </c>
      <c r="Z14" s="37">
        <f>IF((L14-L13&lt;0), "0",L14-L13)</f>
        <v>2760</v>
      </c>
      <c r="AA14" s="37">
        <f t="shared" si="26"/>
        <v>3240</v>
      </c>
      <c r="AB14" s="37">
        <f t="shared" si="27"/>
        <v>7410</v>
      </c>
      <c r="AC14" s="37">
        <f t="shared" si="28"/>
        <v>10190</v>
      </c>
      <c r="AD14" s="35">
        <f t="shared" si="29"/>
        <v>53440</v>
      </c>
      <c r="AF14" s="20">
        <f t="shared" si="1"/>
        <v>2.95</v>
      </c>
      <c r="AG14" s="20">
        <f t="shared" si="2"/>
        <v>16</v>
      </c>
      <c r="AH14" s="20">
        <f t="shared" si="3"/>
        <v>12.5</v>
      </c>
      <c r="AI14" s="20">
        <f t="shared" si="4"/>
        <v>7.7</v>
      </c>
      <c r="AJ14" s="20">
        <f t="shared" si="5"/>
        <v>23.8</v>
      </c>
      <c r="AK14" s="20">
        <f t="shared" si="6"/>
        <v>19.150000000000002</v>
      </c>
      <c r="AL14" s="20">
        <f t="shared" si="7"/>
        <v>13</v>
      </c>
      <c r="AM14" s="20">
        <f t="shared" si="8"/>
        <v>24.400000000000002</v>
      </c>
      <c r="AN14" s="20">
        <f t="shared" si="9"/>
        <v>29.7</v>
      </c>
      <c r="AO14" s="20">
        <f t="shared" si="10"/>
        <v>13.8</v>
      </c>
      <c r="AP14" s="20">
        <f t="shared" si="11"/>
        <v>16.2</v>
      </c>
      <c r="AQ14" s="20">
        <f t="shared" si="12"/>
        <v>37.050000000000004</v>
      </c>
      <c r="AR14" s="20">
        <f t="shared" si="13"/>
        <v>50.95</v>
      </c>
      <c r="AS14" s="35">
        <f t="shared" si="30"/>
        <v>267.20000000000005</v>
      </c>
      <c r="AU14" s="47">
        <v>418671</v>
      </c>
      <c r="AV14" s="37">
        <f t="shared" si="31"/>
        <v>2067</v>
      </c>
      <c r="AW14" s="35">
        <f t="shared" si="14"/>
        <v>4.1340000000000003</v>
      </c>
    </row>
    <row r="15" spans="1:49" x14ac:dyDescent="0.25">
      <c r="A15" s="23">
        <v>44539</v>
      </c>
      <c r="B15" s="40">
        <v>181</v>
      </c>
      <c r="C15" s="24">
        <v>7452330</v>
      </c>
      <c r="D15" s="24">
        <v>17668190</v>
      </c>
      <c r="E15" s="24">
        <v>3163490</v>
      </c>
      <c r="F15" s="24">
        <v>3802220</v>
      </c>
      <c r="G15" s="24">
        <v>11180610</v>
      </c>
      <c r="H15" s="24">
        <v>6190440</v>
      </c>
      <c r="I15" s="24">
        <v>5519180</v>
      </c>
      <c r="J15" s="24">
        <v>6714210</v>
      </c>
      <c r="K15" s="24">
        <v>10184800</v>
      </c>
      <c r="L15" s="24">
        <v>4308480</v>
      </c>
      <c r="M15" s="24">
        <v>8471040</v>
      </c>
      <c r="N15" s="24">
        <v>13346300</v>
      </c>
      <c r="O15" s="24">
        <v>18503900</v>
      </c>
      <c r="Q15" s="37">
        <f t="shared" si="17"/>
        <v>580</v>
      </c>
      <c r="R15" s="37">
        <f t="shared" si="18"/>
        <v>1850</v>
      </c>
      <c r="S15" s="37">
        <f t="shared" si="16"/>
        <v>2920</v>
      </c>
      <c r="T15" s="37">
        <f t="shared" si="19"/>
        <v>1390</v>
      </c>
      <c r="U15" s="37">
        <f t="shared" si="20"/>
        <v>4800</v>
      </c>
      <c r="V15" s="37">
        <f t="shared" si="21"/>
        <v>3950</v>
      </c>
      <c r="W15" s="37">
        <f t="shared" si="22"/>
        <v>2690</v>
      </c>
      <c r="X15" s="37">
        <f t="shared" si="23"/>
        <v>4740</v>
      </c>
      <c r="Y15" s="37">
        <f t="shared" si="24"/>
        <v>6110</v>
      </c>
      <c r="Z15" s="37">
        <f t="shared" si="25"/>
        <v>2830</v>
      </c>
      <c r="AA15" s="37">
        <f t="shared" si="26"/>
        <v>3440</v>
      </c>
      <c r="AB15" s="37">
        <f t="shared" si="27"/>
        <v>7310</v>
      </c>
      <c r="AC15" s="37">
        <f t="shared" si="28"/>
        <v>9970</v>
      </c>
      <c r="AD15" s="35">
        <f t="shared" si="29"/>
        <v>52580</v>
      </c>
      <c r="AF15" s="20">
        <f t="shared" si="1"/>
        <v>2.9</v>
      </c>
      <c r="AG15" s="20">
        <f t="shared" si="2"/>
        <v>9.25</v>
      </c>
      <c r="AH15" s="20">
        <f t="shared" si="3"/>
        <v>14.6</v>
      </c>
      <c r="AI15" s="20">
        <f t="shared" si="4"/>
        <v>6.95</v>
      </c>
      <c r="AJ15" s="20">
        <f t="shared" si="5"/>
        <v>24</v>
      </c>
      <c r="AK15" s="20">
        <f t="shared" si="6"/>
        <v>19.75</v>
      </c>
      <c r="AL15" s="20">
        <f t="shared" si="7"/>
        <v>13.450000000000001</v>
      </c>
      <c r="AM15" s="20">
        <f t="shared" si="8"/>
        <v>23.7</v>
      </c>
      <c r="AN15" s="20">
        <f t="shared" si="9"/>
        <v>30.55</v>
      </c>
      <c r="AO15" s="20">
        <f t="shared" si="10"/>
        <v>14.15</v>
      </c>
      <c r="AP15" s="20">
        <f t="shared" si="11"/>
        <v>17.2</v>
      </c>
      <c r="AQ15" s="20">
        <f t="shared" si="12"/>
        <v>36.550000000000004</v>
      </c>
      <c r="AR15" s="20">
        <f t="shared" si="13"/>
        <v>49.85</v>
      </c>
      <c r="AS15" s="35">
        <f t="shared" si="30"/>
        <v>262.90000000000003</v>
      </c>
      <c r="AU15" s="47">
        <v>420562</v>
      </c>
      <c r="AV15" s="37">
        <f t="shared" si="31"/>
        <v>1891</v>
      </c>
      <c r="AW15" s="35">
        <f t="shared" si="14"/>
        <v>3.782</v>
      </c>
    </row>
    <row r="16" spans="1:49" x14ac:dyDescent="0.25">
      <c r="A16" s="23">
        <v>44540</v>
      </c>
      <c r="B16" s="40">
        <v>220</v>
      </c>
      <c r="C16" s="24">
        <v>7452920</v>
      </c>
      <c r="D16" s="24">
        <v>17670080</v>
      </c>
      <c r="E16" s="24">
        <v>3166270</v>
      </c>
      <c r="F16" s="24">
        <v>3803640</v>
      </c>
      <c r="G16" s="24">
        <v>11185740</v>
      </c>
      <c r="H16" s="24">
        <v>6194750</v>
      </c>
      <c r="I16" s="24">
        <v>5521670</v>
      </c>
      <c r="J16" s="24">
        <v>6719170</v>
      </c>
      <c r="K16" s="24">
        <v>10191300</v>
      </c>
      <c r="L16" s="24">
        <v>4311410</v>
      </c>
      <c r="M16" s="24">
        <v>8474560</v>
      </c>
      <c r="N16" s="24">
        <v>13353550</v>
      </c>
      <c r="O16" s="24">
        <v>18514520</v>
      </c>
      <c r="Q16" s="37">
        <f t="shared" si="17"/>
        <v>590</v>
      </c>
      <c r="R16" s="37">
        <f t="shared" si="18"/>
        <v>1890</v>
      </c>
      <c r="S16" s="37">
        <f t="shared" si="16"/>
        <v>2780</v>
      </c>
      <c r="T16" s="37">
        <f t="shared" si="19"/>
        <v>1420</v>
      </c>
      <c r="U16" s="37">
        <f t="shared" si="20"/>
        <v>5130</v>
      </c>
      <c r="V16" s="37">
        <f t="shared" si="21"/>
        <v>4310</v>
      </c>
      <c r="W16" s="37">
        <f t="shared" si="22"/>
        <v>2490</v>
      </c>
      <c r="X16" s="37">
        <f t="shared" si="23"/>
        <v>4960</v>
      </c>
      <c r="Y16" s="37">
        <f t="shared" si="24"/>
        <v>6500</v>
      </c>
      <c r="Z16" s="37">
        <f t="shared" si="25"/>
        <v>2930</v>
      </c>
      <c r="AA16" s="37">
        <f t="shared" si="26"/>
        <v>3520</v>
      </c>
      <c r="AB16" s="37">
        <f t="shared" si="27"/>
        <v>7250</v>
      </c>
      <c r="AC16" s="37">
        <f t="shared" si="28"/>
        <v>10620</v>
      </c>
      <c r="AD16" s="35">
        <f t="shared" si="29"/>
        <v>54390</v>
      </c>
      <c r="AF16" s="20">
        <f t="shared" si="1"/>
        <v>2.95</v>
      </c>
      <c r="AG16" s="20">
        <f t="shared" si="2"/>
        <v>9.4500000000000011</v>
      </c>
      <c r="AH16" s="20">
        <f t="shared" si="3"/>
        <v>13.9</v>
      </c>
      <c r="AI16" s="20">
        <f t="shared" si="4"/>
        <v>7.1000000000000005</v>
      </c>
      <c r="AJ16" s="20">
        <f t="shared" si="5"/>
        <v>25.650000000000002</v>
      </c>
      <c r="AK16" s="20">
        <f t="shared" si="6"/>
        <v>21.55</v>
      </c>
      <c r="AL16" s="20">
        <f t="shared" si="7"/>
        <v>12.450000000000001</v>
      </c>
      <c r="AM16" s="20">
        <f t="shared" si="8"/>
        <v>24.8</v>
      </c>
      <c r="AN16" s="20">
        <f t="shared" si="9"/>
        <v>32.5</v>
      </c>
      <c r="AO16" s="20">
        <f t="shared" si="10"/>
        <v>14.65</v>
      </c>
      <c r="AP16" s="20">
        <f t="shared" si="11"/>
        <v>17.600000000000001</v>
      </c>
      <c r="AQ16" s="20">
        <f t="shared" si="12"/>
        <v>36.25</v>
      </c>
      <c r="AR16" s="20">
        <f t="shared" si="13"/>
        <v>53.1</v>
      </c>
      <c r="AS16" s="35">
        <f t="shared" si="30"/>
        <v>271.95000000000005</v>
      </c>
      <c r="AU16" s="47">
        <v>422301</v>
      </c>
      <c r="AV16" s="37">
        <f t="shared" si="31"/>
        <v>1739</v>
      </c>
      <c r="AW16" s="35">
        <f t="shared" si="14"/>
        <v>3.4780000000000002</v>
      </c>
    </row>
    <row r="17" spans="1:49" x14ac:dyDescent="0.25">
      <c r="A17" s="23">
        <v>44541</v>
      </c>
      <c r="B17" s="40">
        <v>90</v>
      </c>
      <c r="C17" s="24">
        <v>7453500</v>
      </c>
      <c r="D17" s="24">
        <v>17671930</v>
      </c>
      <c r="E17" s="24">
        <v>3168900</v>
      </c>
      <c r="F17" s="24">
        <v>3805030</v>
      </c>
      <c r="G17" s="24">
        <v>11190630</v>
      </c>
      <c r="H17" s="24">
        <v>6198770</v>
      </c>
      <c r="I17" s="24">
        <v>5524180</v>
      </c>
      <c r="J17" s="24">
        <v>6724150</v>
      </c>
      <c r="K17" s="24">
        <v>10197660</v>
      </c>
      <c r="L17" s="24">
        <v>4314100</v>
      </c>
      <c r="M17" s="24">
        <v>8477780</v>
      </c>
      <c r="N17" s="24">
        <v>13360690</v>
      </c>
      <c r="O17" s="24">
        <v>18525180</v>
      </c>
      <c r="Q17" s="37">
        <f t="shared" si="17"/>
        <v>580</v>
      </c>
      <c r="R17" s="37">
        <f t="shared" si="18"/>
        <v>1850</v>
      </c>
      <c r="S17" s="37">
        <f t="shared" si="16"/>
        <v>2630</v>
      </c>
      <c r="T17" s="37">
        <f t="shared" si="19"/>
        <v>1390</v>
      </c>
      <c r="U17" s="37">
        <f t="shared" si="20"/>
        <v>4890</v>
      </c>
      <c r="V17" s="37">
        <f t="shared" si="21"/>
        <v>4020</v>
      </c>
      <c r="W17" s="37">
        <f t="shared" si="22"/>
        <v>2510</v>
      </c>
      <c r="X17" s="37">
        <f t="shared" si="23"/>
        <v>4980</v>
      </c>
      <c r="Y17" s="37">
        <f t="shared" si="24"/>
        <v>6360</v>
      </c>
      <c r="Z17" s="37">
        <f t="shared" si="25"/>
        <v>2690</v>
      </c>
      <c r="AA17" s="37">
        <f t="shared" si="26"/>
        <v>3220</v>
      </c>
      <c r="AB17" s="37">
        <f t="shared" si="27"/>
        <v>7140</v>
      </c>
      <c r="AC17" s="37">
        <f t="shared" si="28"/>
        <v>10660</v>
      </c>
      <c r="AD17" s="35">
        <f t="shared" si="29"/>
        <v>52920</v>
      </c>
      <c r="AF17" s="20">
        <f t="shared" si="1"/>
        <v>2.9</v>
      </c>
      <c r="AG17" s="20">
        <f t="shared" si="2"/>
        <v>9.25</v>
      </c>
      <c r="AH17" s="20">
        <f t="shared" si="3"/>
        <v>13.15</v>
      </c>
      <c r="AI17" s="20">
        <f t="shared" si="4"/>
        <v>6.95</v>
      </c>
      <c r="AJ17" s="20">
        <f t="shared" si="5"/>
        <v>24.45</v>
      </c>
      <c r="AK17" s="20">
        <f t="shared" si="6"/>
        <v>20.100000000000001</v>
      </c>
      <c r="AL17" s="20">
        <f t="shared" si="7"/>
        <v>12.55</v>
      </c>
      <c r="AM17" s="20">
        <f t="shared" si="8"/>
        <v>24.900000000000002</v>
      </c>
      <c r="AN17" s="20">
        <f t="shared" si="9"/>
        <v>31.8</v>
      </c>
      <c r="AO17" s="20">
        <f t="shared" si="10"/>
        <v>13.450000000000001</v>
      </c>
      <c r="AP17" s="20">
        <f t="shared" si="11"/>
        <v>16.100000000000001</v>
      </c>
      <c r="AQ17" s="20">
        <f t="shared" si="12"/>
        <v>35.700000000000003</v>
      </c>
      <c r="AR17" s="20">
        <f t="shared" si="13"/>
        <v>53.300000000000004</v>
      </c>
      <c r="AS17" s="35">
        <f t="shared" si="30"/>
        <v>264.60000000000002</v>
      </c>
      <c r="AU17" s="47">
        <v>424403</v>
      </c>
      <c r="AV17" s="37">
        <f t="shared" si="31"/>
        <v>2102</v>
      </c>
      <c r="AW17" s="35">
        <f t="shared" si="14"/>
        <v>4.2039999999999997</v>
      </c>
    </row>
    <row r="18" spans="1:49" x14ac:dyDescent="0.25">
      <c r="A18" s="23">
        <v>44542</v>
      </c>
      <c r="B18" s="40">
        <v>95</v>
      </c>
      <c r="C18" s="24">
        <v>7454100</v>
      </c>
      <c r="D18" s="24">
        <v>17673870</v>
      </c>
      <c r="E18" s="24">
        <v>3171510</v>
      </c>
      <c r="F18" s="24">
        <v>3806440</v>
      </c>
      <c r="G18" s="24">
        <v>11195710</v>
      </c>
      <c r="H18" s="24">
        <v>6203000</v>
      </c>
      <c r="I18" s="24">
        <v>5526890</v>
      </c>
      <c r="J18" s="24">
        <v>6729010</v>
      </c>
      <c r="K18" s="24">
        <v>10204020</v>
      </c>
      <c r="L18" s="24">
        <v>4316670</v>
      </c>
      <c r="M18" s="24">
        <v>8481150</v>
      </c>
      <c r="N18" s="24">
        <v>13368020</v>
      </c>
      <c r="O18" s="24">
        <v>18534780</v>
      </c>
      <c r="Q18" s="37">
        <f t="shared" si="17"/>
        <v>600</v>
      </c>
      <c r="R18" s="37">
        <f t="shared" si="18"/>
        <v>1940</v>
      </c>
      <c r="S18" s="37">
        <f t="shared" si="16"/>
        <v>2610</v>
      </c>
      <c r="T18" s="37">
        <f t="shared" si="19"/>
        <v>1410</v>
      </c>
      <c r="U18" s="37">
        <f t="shared" si="20"/>
        <v>5080</v>
      </c>
      <c r="V18" s="37">
        <f t="shared" si="21"/>
        <v>4230</v>
      </c>
      <c r="W18" s="37">
        <f t="shared" si="22"/>
        <v>2710</v>
      </c>
      <c r="X18" s="37">
        <f t="shared" si="23"/>
        <v>4860</v>
      </c>
      <c r="Y18" s="37">
        <f t="shared" si="24"/>
        <v>6360</v>
      </c>
      <c r="Z18" s="37">
        <f t="shared" si="25"/>
        <v>2570</v>
      </c>
      <c r="AA18" s="37">
        <f t="shared" si="26"/>
        <v>3370</v>
      </c>
      <c r="AB18" s="37">
        <f t="shared" si="27"/>
        <v>7330</v>
      </c>
      <c r="AC18" s="37">
        <f t="shared" si="28"/>
        <v>9600</v>
      </c>
      <c r="AD18" s="35">
        <f t="shared" si="29"/>
        <v>52670</v>
      </c>
      <c r="AF18" s="20">
        <f t="shared" si="1"/>
        <v>3</v>
      </c>
      <c r="AG18" s="20">
        <f t="shared" si="2"/>
        <v>9.7000000000000011</v>
      </c>
      <c r="AH18" s="20">
        <f t="shared" si="3"/>
        <v>13.05</v>
      </c>
      <c r="AI18" s="20">
        <f t="shared" si="4"/>
        <v>7.05</v>
      </c>
      <c r="AJ18" s="20">
        <f t="shared" si="5"/>
        <v>25.400000000000002</v>
      </c>
      <c r="AK18" s="20">
        <f t="shared" si="6"/>
        <v>21.150000000000002</v>
      </c>
      <c r="AL18" s="20">
        <f t="shared" si="7"/>
        <v>13.55</v>
      </c>
      <c r="AM18" s="20">
        <f t="shared" si="8"/>
        <v>24.3</v>
      </c>
      <c r="AN18" s="20">
        <f t="shared" si="9"/>
        <v>31.8</v>
      </c>
      <c r="AO18" s="20">
        <f t="shared" si="10"/>
        <v>12.85</v>
      </c>
      <c r="AP18" s="20">
        <f t="shared" si="11"/>
        <v>16.850000000000001</v>
      </c>
      <c r="AQ18" s="20">
        <f t="shared" si="12"/>
        <v>36.65</v>
      </c>
      <c r="AR18" s="20">
        <f t="shared" si="13"/>
        <v>48</v>
      </c>
      <c r="AS18" s="35">
        <f t="shared" si="30"/>
        <v>263.35000000000002</v>
      </c>
      <c r="AU18" s="47">
        <v>426422</v>
      </c>
      <c r="AV18" s="37">
        <f t="shared" si="31"/>
        <v>2019</v>
      </c>
      <c r="AW18" s="35">
        <f t="shared" si="14"/>
        <v>4.0380000000000003</v>
      </c>
    </row>
    <row r="19" spans="1:49" x14ac:dyDescent="0.25">
      <c r="A19" s="23">
        <v>44543</v>
      </c>
      <c r="B19" s="40">
        <v>95</v>
      </c>
      <c r="C19" s="24">
        <v>7454670</v>
      </c>
      <c r="D19" s="24">
        <v>17675680</v>
      </c>
      <c r="E19" s="24">
        <v>3173950</v>
      </c>
      <c r="F19" s="24">
        <v>3807770</v>
      </c>
      <c r="G19" s="24">
        <v>11200350</v>
      </c>
      <c r="H19" s="24">
        <v>6206920</v>
      </c>
      <c r="I19" s="24">
        <v>5529240</v>
      </c>
      <c r="J19" s="24">
        <v>6734140</v>
      </c>
      <c r="K19" s="24">
        <v>10210034</v>
      </c>
      <c r="L19" s="24">
        <v>4319100</v>
      </c>
      <c r="M19" s="24">
        <v>8484290</v>
      </c>
      <c r="N19" s="24">
        <v>13374840</v>
      </c>
      <c r="O19" s="24">
        <v>18543971</v>
      </c>
      <c r="Q19" s="37">
        <f t="shared" si="17"/>
        <v>570</v>
      </c>
      <c r="R19" s="37">
        <f t="shared" si="18"/>
        <v>1810</v>
      </c>
      <c r="S19" s="37">
        <f t="shared" si="16"/>
        <v>2440</v>
      </c>
      <c r="T19" s="37">
        <f t="shared" si="19"/>
        <v>1330</v>
      </c>
      <c r="U19" s="37">
        <f t="shared" si="20"/>
        <v>4640</v>
      </c>
      <c r="V19" s="37">
        <f t="shared" si="21"/>
        <v>3920</v>
      </c>
      <c r="W19" s="37">
        <f t="shared" si="22"/>
        <v>2350</v>
      </c>
      <c r="X19" s="37">
        <f t="shared" si="23"/>
        <v>5130</v>
      </c>
      <c r="Y19" s="37">
        <f t="shared" si="24"/>
        <v>6014</v>
      </c>
      <c r="Z19" s="37">
        <f t="shared" si="25"/>
        <v>2430</v>
      </c>
      <c r="AA19" s="37">
        <f t="shared" si="26"/>
        <v>3140</v>
      </c>
      <c r="AB19" s="37">
        <f t="shared" si="27"/>
        <v>6820</v>
      </c>
      <c r="AC19" s="37">
        <f t="shared" si="28"/>
        <v>9191</v>
      </c>
      <c r="AD19" s="35">
        <f t="shared" si="29"/>
        <v>49785</v>
      </c>
      <c r="AF19" s="20">
        <f t="shared" si="1"/>
        <v>2.85</v>
      </c>
      <c r="AG19" s="20">
        <f t="shared" si="2"/>
        <v>9.0500000000000007</v>
      </c>
      <c r="AH19" s="20">
        <f t="shared" si="3"/>
        <v>12.200000000000001</v>
      </c>
      <c r="AI19" s="20">
        <f t="shared" si="4"/>
        <v>6.65</v>
      </c>
      <c r="AJ19" s="20">
        <f t="shared" si="5"/>
        <v>23.2</v>
      </c>
      <c r="AK19" s="20">
        <f t="shared" si="6"/>
        <v>19.600000000000001</v>
      </c>
      <c r="AL19" s="20">
        <f t="shared" si="7"/>
        <v>11.75</v>
      </c>
      <c r="AM19" s="20">
        <f t="shared" si="8"/>
        <v>25.650000000000002</v>
      </c>
      <c r="AN19" s="20">
        <f t="shared" si="9"/>
        <v>30.07</v>
      </c>
      <c r="AO19" s="20">
        <f t="shared" si="10"/>
        <v>12.15</v>
      </c>
      <c r="AP19" s="20">
        <f t="shared" si="11"/>
        <v>15.700000000000001</v>
      </c>
      <c r="AQ19" s="20">
        <f t="shared" si="12"/>
        <v>34.1</v>
      </c>
      <c r="AR19" s="20">
        <f t="shared" si="13"/>
        <v>45.954999999999998</v>
      </c>
      <c r="AS19" s="35">
        <f t="shared" si="30"/>
        <v>248.92500000000001</v>
      </c>
      <c r="AU19" s="47">
        <v>428380</v>
      </c>
      <c r="AV19" s="37">
        <f t="shared" si="31"/>
        <v>1958</v>
      </c>
      <c r="AW19" s="35">
        <f t="shared" si="14"/>
        <v>3.9159999999999999</v>
      </c>
    </row>
    <row r="20" spans="1:49" x14ac:dyDescent="0.25">
      <c r="A20" s="23">
        <v>44544</v>
      </c>
      <c r="B20" s="40">
        <v>88</v>
      </c>
      <c r="C20" s="24">
        <v>7455290</v>
      </c>
      <c r="D20" s="24">
        <v>17677670</v>
      </c>
      <c r="E20" s="24">
        <v>3176330</v>
      </c>
      <c r="F20" s="24">
        <v>3809230</v>
      </c>
      <c r="G20" s="24">
        <v>11205090</v>
      </c>
      <c r="H20" s="24">
        <v>6211160</v>
      </c>
      <c r="I20" s="24">
        <v>5531770</v>
      </c>
      <c r="J20" s="24">
        <v>6739180</v>
      </c>
      <c r="K20" s="24">
        <v>10216540</v>
      </c>
      <c r="L20" s="24">
        <v>4321670</v>
      </c>
      <c r="M20" s="24">
        <v>8487370</v>
      </c>
      <c r="N20" s="24">
        <v>13382240</v>
      </c>
      <c r="O20" s="24">
        <v>18553530</v>
      </c>
      <c r="Q20" s="37">
        <f t="shared" si="17"/>
        <v>620</v>
      </c>
      <c r="R20" s="37">
        <f t="shared" si="18"/>
        <v>1990</v>
      </c>
      <c r="S20" s="37">
        <f t="shared" si="16"/>
        <v>2380</v>
      </c>
      <c r="T20" s="37">
        <f t="shared" si="19"/>
        <v>1460</v>
      </c>
      <c r="U20" s="37">
        <f t="shared" si="20"/>
        <v>4740</v>
      </c>
      <c r="V20" s="37">
        <f t="shared" si="21"/>
        <v>4240</v>
      </c>
      <c r="W20" s="37">
        <f t="shared" si="22"/>
        <v>2530</v>
      </c>
      <c r="X20" s="37">
        <f t="shared" si="23"/>
        <v>5040</v>
      </c>
      <c r="Y20" s="37">
        <f t="shared" si="24"/>
        <v>6506</v>
      </c>
      <c r="Z20" s="37">
        <f t="shared" si="25"/>
        <v>2570</v>
      </c>
      <c r="AA20" s="37">
        <f t="shared" si="26"/>
        <v>3080</v>
      </c>
      <c r="AB20" s="37">
        <f t="shared" si="27"/>
        <v>7400</v>
      </c>
      <c r="AC20" s="37">
        <f t="shared" si="28"/>
        <v>9559</v>
      </c>
      <c r="AD20" s="35">
        <f t="shared" si="29"/>
        <v>52115</v>
      </c>
      <c r="AF20" s="20">
        <f t="shared" si="1"/>
        <v>3.1</v>
      </c>
      <c r="AG20" s="20">
        <f t="shared" si="2"/>
        <v>9.9500000000000011</v>
      </c>
      <c r="AH20" s="20">
        <f t="shared" si="3"/>
        <v>11.9</v>
      </c>
      <c r="AI20" s="20">
        <f t="shared" si="4"/>
        <v>7.3</v>
      </c>
      <c r="AJ20" s="20">
        <f t="shared" si="5"/>
        <v>23.7</v>
      </c>
      <c r="AK20" s="20">
        <f t="shared" si="6"/>
        <v>21.2</v>
      </c>
      <c r="AL20" s="20">
        <f t="shared" si="7"/>
        <v>12.65</v>
      </c>
      <c r="AM20" s="20">
        <f t="shared" si="8"/>
        <v>25.2</v>
      </c>
      <c r="AN20" s="20">
        <f t="shared" si="9"/>
        <v>32.53</v>
      </c>
      <c r="AO20" s="20">
        <f t="shared" si="10"/>
        <v>12.85</v>
      </c>
      <c r="AP20" s="20">
        <f t="shared" si="11"/>
        <v>15.4</v>
      </c>
      <c r="AQ20" s="20">
        <f t="shared" si="12"/>
        <v>37</v>
      </c>
      <c r="AR20" s="20">
        <f t="shared" si="13"/>
        <v>47.795000000000002</v>
      </c>
      <c r="AS20" s="35">
        <f t="shared" si="30"/>
        <v>260.57500000000005</v>
      </c>
      <c r="AU20" s="47">
        <v>429528</v>
      </c>
      <c r="AV20" s="37">
        <f t="shared" si="31"/>
        <v>1148</v>
      </c>
      <c r="AW20" s="35">
        <f t="shared" si="14"/>
        <v>2.2960000000000003</v>
      </c>
    </row>
    <row r="21" spans="1:49" x14ac:dyDescent="0.25">
      <c r="A21" s="23">
        <v>44545</v>
      </c>
      <c r="B21" s="40">
        <v>103</v>
      </c>
      <c r="C21" s="24">
        <v>7455860</v>
      </c>
      <c r="D21" s="24">
        <v>17679510</v>
      </c>
      <c r="E21" s="24">
        <v>3179020</v>
      </c>
      <c r="F21" s="24">
        <v>3810590</v>
      </c>
      <c r="G21" s="24">
        <v>11209800</v>
      </c>
      <c r="H21" s="24">
        <v>6215340</v>
      </c>
      <c r="I21" s="24">
        <v>5534180</v>
      </c>
      <c r="J21" s="24">
        <v>6743740</v>
      </c>
      <c r="K21" s="24">
        <v>10222560</v>
      </c>
      <c r="L21" s="24">
        <v>4324120</v>
      </c>
      <c r="M21" s="24">
        <v>8490310</v>
      </c>
      <c r="N21" s="24">
        <v>13389090</v>
      </c>
      <c r="O21" s="24">
        <v>18562480</v>
      </c>
      <c r="Q21" s="37">
        <f t="shared" si="17"/>
        <v>570</v>
      </c>
      <c r="R21" s="37">
        <f t="shared" si="18"/>
        <v>1840</v>
      </c>
      <c r="S21" s="37">
        <f t="shared" si="16"/>
        <v>2690</v>
      </c>
      <c r="T21" s="37">
        <f t="shared" si="19"/>
        <v>1360</v>
      </c>
      <c r="U21" s="37">
        <f t="shared" si="20"/>
        <v>4710</v>
      </c>
      <c r="V21" s="37">
        <f t="shared" si="21"/>
        <v>4180</v>
      </c>
      <c r="W21" s="37">
        <f t="shared" si="22"/>
        <v>2410</v>
      </c>
      <c r="X21" s="37">
        <f t="shared" si="23"/>
        <v>4560</v>
      </c>
      <c r="Y21" s="37">
        <f t="shared" si="24"/>
        <v>6020</v>
      </c>
      <c r="Z21" s="37">
        <f t="shared" si="25"/>
        <v>2450</v>
      </c>
      <c r="AA21" s="37">
        <f t="shared" si="26"/>
        <v>2940</v>
      </c>
      <c r="AB21" s="37">
        <f t="shared" si="27"/>
        <v>6850</v>
      </c>
      <c r="AC21" s="37">
        <f t="shared" si="28"/>
        <v>8950</v>
      </c>
      <c r="AD21" s="35">
        <f t="shared" si="29"/>
        <v>49530</v>
      </c>
      <c r="AF21" s="20">
        <f t="shared" si="1"/>
        <v>2.85</v>
      </c>
      <c r="AG21" s="20">
        <f t="shared" si="2"/>
        <v>9.2000000000000011</v>
      </c>
      <c r="AH21" s="20">
        <f t="shared" si="3"/>
        <v>13.450000000000001</v>
      </c>
      <c r="AI21" s="20">
        <f t="shared" si="4"/>
        <v>6.8</v>
      </c>
      <c r="AJ21" s="20">
        <f t="shared" si="5"/>
        <v>23.55</v>
      </c>
      <c r="AK21" s="20">
        <f t="shared" si="6"/>
        <v>20.900000000000002</v>
      </c>
      <c r="AL21" s="20">
        <f t="shared" si="7"/>
        <v>12.05</v>
      </c>
      <c r="AM21" s="20">
        <f t="shared" si="8"/>
        <v>22.8</v>
      </c>
      <c r="AN21" s="20">
        <f t="shared" si="9"/>
        <v>30.1</v>
      </c>
      <c r="AO21" s="20">
        <f t="shared" si="10"/>
        <v>12.25</v>
      </c>
      <c r="AP21" s="20">
        <f t="shared" si="11"/>
        <v>14.700000000000001</v>
      </c>
      <c r="AQ21" s="20">
        <f t="shared" si="12"/>
        <v>34.25</v>
      </c>
      <c r="AR21" s="20">
        <f t="shared" si="13"/>
        <v>44.75</v>
      </c>
      <c r="AS21" s="35">
        <f t="shared" si="30"/>
        <v>247.64999999999998</v>
      </c>
      <c r="AU21" s="47">
        <v>431807</v>
      </c>
      <c r="AV21" s="37">
        <f t="shared" si="31"/>
        <v>2279</v>
      </c>
      <c r="AW21" s="35">
        <f t="shared" si="14"/>
        <v>4.5579999999999998</v>
      </c>
    </row>
    <row r="22" spans="1:49" x14ac:dyDescent="0.25">
      <c r="A22" s="23">
        <v>44546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 t="str">
        <f t="shared" si="17"/>
        <v>0</v>
      </c>
      <c r="R22" s="37" t="str">
        <f t="shared" si="18"/>
        <v>0</v>
      </c>
      <c r="S22" s="37" t="str">
        <f t="shared" si="16"/>
        <v>0</v>
      </c>
      <c r="T22" s="37" t="str">
        <f t="shared" si="19"/>
        <v>0</v>
      </c>
      <c r="U22" s="37" t="str">
        <f t="shared" si="20"/>
        <v>0</v>
      </c>
      <c r="V22" s="37" t="str">
        <f t="shared" si="21"/>
        <v>0</v>
      </c>
      <c r="W22" s="37" t="str">
        <f t="shared" si="22"/>
        <v>0</v>
      </c>
      <c r="X22" s="37" t="str">
        <f t="shared" si="23"/>
        <v>0</v>
      </c>
      <c r="Y22" s="37" t="str">
        <f t="shared" si="24"/>
        <v>0</v>
      </c>
      <c r="Z22" s="37" t="str">
        <f t="shared" si="25"/>
        <v>0</v>
      </c>
      <c r="AA22" s="37" t="str">
        <f t="shared" si="26"/>
        <v>0</v>
      </c>
      <c r="AB22" s="37" t="str">
        <f t="shared" si="27"/>
        <v>0</v>
      </c>
      <c r="AC22" s="37" t="str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 t="str">
        <f t="shared" si="31"/>
        <v>0</v>
      </c>
      <c r="AW22" s="35">
        <f t="shared" si="14"/>
        <v>0</v>
      </c>
    </row>
    <row r="23" spans="1:49" x14ac:dyDescent="0.25">
      <c r="A23" s="23">
        <v>44547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44548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44549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44550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44551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44552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44553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44554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44555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44556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44557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44558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44559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44560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44561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9330</v>
      </c>
      <c r="R38" s="38">
        <f t="shared" ref="R38:AD38" si="62">SUM(R7:R37)</f>
        <v>39460</v>
      </c>
      <c r="S38" s="38">
        <f t="shared" si="62"/>
        <v>35740</v>
      </c>
      <c r="T38" s="38">
        <f t="shared" si="62"/>
        <v>20830</v>
      </c>
      <c r="U38" s="38">
        <f t="shared" si="62"/>
        <v>71530</v>
      </c>
      <c r="V38" s="38">
        <f t="shared" si="62"/>
        <v>59560</v>
      </c>
      <c r="W38" s="38">
        <f t="shared" si="62"/>
        <v>37430</v>
      </c>
      <c r="X38" s="38">
        <f t="shared" si="62"/>
        <v>70530</v>
      </c>
      <c r="Y38" s="38">
        <f t="shared" si="62"/>
        <v>88670</v>
      </c>
      <c r="Z38" s="38">
        <f t="shared" si="62"/>
        <v>39240</v>
      </c>
      <c r="AA38" s="38">
        <f t="shared" si="62"/>
        <v>47490</v>
      </c>
      <c r="AB38" s="38">
        <f t="shared" si="62"/>
        <v>104890</v>
      </c>
      <c r="AC38" s="38">
        <f t="shared" si="62"/>
        <v>155870</v>
      </c>
      <c r="AD38" s="38">
        <f t="shared" si="62"/>
        <v>780570</v>
      </c>
      <c r="AF38" s="35">
        <f>SUM(AF7:AF37)</f>
        <v>46.650000000000006</v>
      </c>
      <c r="AG38" s="35">
        <f t="shared" ref="AG38:AS38" si="63">SUM(AG7:AG37)</f>
        <v>197.29999999999995</v>
      </c>
      <c r="AH38" s="35">
        <f t="shared" si="63"/>
        <v>178.7</v>
      </c>
      <c r="AI38" s="35">
        <f t="shared" si="63"/>
        <v>104.15</v>
      </c>
      <c r="AJ38" s="35">
        <f t="shared" si="63"/>
        <v>357.65</v>
      </c>
      <c r="AK38" s="35">
        <f t="shared" si="63"/>
        <v>297.8</v>
      </c>
      <c r="AL38" s="35">
        <f t="shared" si="63"/>
        <v>187.15000000000003</v>
      </c>
      <c r="AM38" s="35">
        <f t="shared" si="63"/>
        <v>352.65</v>
      </c>
      <c r="AN38" s="35">
        <f t="shared" si="63"/>
        <v>443.35</v>
      </c>
      <c r="AO38" s="35">
        <f t="shared" si="63"/>
        <v>196.2</v>
      </c>
      <c r="AP38" s="35">
        <f t="shared" si="63"/>
        <v>237.44999999999996</v>
      </c>
      <c r="AQ38" s="35">
        <f t="shared" si="63"/>
        <v>524.45000000000005</v>
      </c>
      <c r="AR38" s="35">
        <f t="shared" si="63"/>
        <v>779.35</v>
      </c>
      <c r="AS38" s="35">
        <f t="shared" si="63"/>
        <v>3902.8500000000008</v>
      </c>
      <c r="AU38" s="48"/>
      <c r="AV38" s="35">
        <f>SUM(AV7:AV34)</f>
        <v>28276</v>
      </c>
      <c r="AW38" s="35">
        <f>SUM(AW7:AW34)</f>
        <v>56.551999999999992</v>
      </c>
    </row>
    <row r="39" spans="1:49" x14ac:dyDescent="0.25">
      <c r="D39">
        <v>5.0000000000000001E-3</v>
      </c>
      <c r="AV39" s="36">
        <f>AV38*0.00378541*1000</f>
        <v>107036.25316000001</v>
      </c>
    </row>
    <row r="40" spans="1:49" x14ac:dyDescent="0.25">
      <c r="D40">
        <v>2E-3</v>
      </c>
      <c r="AV40">
        <f>AV39/31</f>
        <v>3452.7823600000002</v>
      </c>
    </row>
    <row r="41" spans="1:49" x14ac:dyDescent="0.25">
      <c r="AV41">
        <f>AV38*0.00378541</f>
        <v>107.03625316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2021-12-16T12:02:42Z</dcterms:modified>
</cp:coreProperties>
</file>