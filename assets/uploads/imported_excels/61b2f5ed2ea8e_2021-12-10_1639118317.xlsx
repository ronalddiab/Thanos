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filterPrivacy="1" defaultThemeVersion="124226"/>
  <xr:revisionPtr revIDLastSave="0" documentId="13_ncr:1_{F8572379-FBD3-44C5-B9E3-8356F4081422}" xr6:coauthVersionLast="36" xr6:coauthVersionMax="36" xr10:uidLastSave="{00000000-0000-0000-0000-000000000000}"/>
  <bookViews>
    <workbookView xWindow="0" yWindow="0" windowWidth="1944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D32" i="8" l="1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3" i="8"/>
  <c r="D34" i="8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S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J22" i="4" l="1"/>
  <c r="J7" i="4"/>
  <c r="D16" i="3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<sst xmlns="http://schemas.openxmlformats.org/spreadsheetml/2006/main" count="203" uniqueCount="130">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</sst>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-491370</c:v>
                </c:pt>
                <c:pt idx="1">
                  <c:v>-2760300</c:v>
                </c:pt>
                <c:pt idx="2">
                  <c:v>-267319.99999999994</c:v>
                </c:pt>
                <c:pt idx="3">
                  <c:v>-1016150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-58917</c:v>
                </c:pt>
                <c:pt idx="1">
                  <c:v>0.30284043012521333</c:v>
                </c:pt>
                <c:pt idx="2" formatCode="_(* #,##0.00_);_(* \(#,##0.00\);_(* &quot;-&quot;??_);_(@_)">
                  <c:v>-223914</c:v>
                </c:pt>
                <c:pt idx="3">
                  <c:v>1.1509447539938731</c:v>
                </c:pt>
                <c:pt idx="4" formatCode="0.00">
                  <c:v>-28709</c:v>
                </c:pt>
                <c:pt idx="5">
                  <c:v>0.14756769537594835</c:v>
                </c:pt>
                <c:pt idx="6" formatCode="0.00">
                  <c:v>-39838</c:v>
                </c:pt>
                <c:pt idx="7">
                  <c:v>0.20477208709418757</c:v>
                </c:pt>
                <c:pt idx="8" formatCode="0.00">
                  <c:v>-7085</c:v>
                </c:pt>
                <c:pt idx="9">
                  <c:v>3.6417747805168904E-2</c:v>
                </c:pt>
                <c:pt idx="10" formatCode="0.00">
                  <c:v>-1139</c:v>
                </c:pt>
                <c:pt idx="11">
                  <c:v>5.854596295001748E-3</c:v>
                </c:pt>
                <c:pt idx="12" formatCode="0.00">
                  <c:v>-8105</c:v>
                </c:pt>
                <c:pt idx="13">
                  <c:v>4.166066986039435E-2</c:v>
                </c:pt>
                <c:pt idx="14" formatCode="_(* #,##0.00_);_(* \(#,##0.00\);_(* &quot;-&quot;??_);_(@_)">
                  <c:v>-26193</c:v>
                </c:pt>
                <c:pt idx="15">
                  <c:v>0.13463515430639225</c:v>
                </c:pt>
                <c:pt idx="16" formatCode="0.00">
                  <c:v>-1850</c:v>
                </c:pt>
                <c:pt idx="17">
                  <c:v>9.5092213746736029E-3</c:v>
                </c:pt>
                <c:pt idx="18" formatCode="0.00">
                  <c:v>-7085</c:v>
                </c:pt>
                <c:pt idx="19">
                  <c:v>3.6417747805168904E-2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3727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-194548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-402835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941440"/>
        <c:axId val="188942976"/>
      </c:barChart>
      <c:catAx>
        <c:axId val="1889414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88942976"/>
        <c:crosses val="autoZero"/>
        <c:auto val="1"/>
        <c:lblAlgn val="ctr"/>
        <c:lblOffset val="100"/>
        <c:noMultiLvlLbl val="0"/>
      </c:catAx>
      <c:valAx>
        <c:axId val="1889429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88941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I2" sqref="I2:I10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12</v>
      </c>
      <c r="D2" s="119">
        <v>2021</v>
      </c>
      <c r="E2" s="104">
        <v>21259.999999999534</v>
      </c>
      <c r="F2" s="120">
        <v>0.18</v>
      </c>
      <c r="G2" s="104">
        <v>5666</v>
      </c>
      <c r="H2" s="117">
        <v>0.63500000000000001</v>
      </c>
      <c r="I2" s="63">
        <v>319</v>
      </c>
      <c r="J2" s="73">
        <v>1.8</v>
      </c>
      <c r="K2" s="101"/>
      <c r="L2" s="73">
        <v>0.9</v>
      </c>
      <c r="M2" s="69">
        <v>42</v>
      </c>
      <c r="N2" s="69">
        <v>106</v>
      </c>
      <c r="O2" s="69">
        <v>281</v>
      </c>
    </row>
    <row r="3" spans="1:15" ht="15" x14ac:dyDescent="0.25">
      <c r="A3" s="44" t="s">
        <v>9</v>
      </c>
      <c r="B3" s="45">
        <f>B2+1</f>
        <v>2</v>
      </c>
      <c r="C3" s="46">
        <v>12</v>
      </c>
      <c r="D3" s="119">
        <v>2021</v>
      </c>
      <c r="E3" s="104">
        <v>21749.999999999316</v>
      </c>
      <c r="F3" s="120">
        <v>0.18</v>
      </c>
      <c r="G3" s="104">
        <v>5777</v>
      </c>
      <c r="H3" s="117">
        <v>0.63500000000000001</v>
      </c>
      <c r="I3" s="63">
        <v>377</v>
      </c>
      <c r="J3" s="73">
        <v>1.8</v>
      </c>
      <c r="K3" s="101"/>
      <c r="L3" s="73">
        <v>0.9</v>
      </c>
      <c r="M3" s="69">
        <v>31</v>
      </c>
      <c r="N3" s="69">
        <v>84</v>
      </c>
      <c r="O3" s="69">
        <v>233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12</v>
      </c>
      <c r="D4" s="119">
        <v>2021</v>
      </c>
      <c r="E4" s="104">
        <v>22360.000000001266</v>
      </c>
      <c r="F4" s="120">
        <v>0.18</v>
      </c>
      <c r="G4" s="104">
        <v>5967</v>
      </c>
      <c r="H4" s="117">
        <v>0.63500000000000001</v>
      </c>
      <c r="I4" s="63">
        <v>468</v>
      </c>
      <c r="J4" s="73">
        <v>1.8</v>
      </c>
      <c r="K4" s="101"/>
      <c r="L4" s="73">
        <v>0.9</v>
      </c>
      <c r="M4" s="69">
        <v>37</v>
      </c>
      <c r="N4" s="69">
        <v>100</v>
      </c>
      <c r="O4" s="69">
        <v>267</v>
      </c>
    </row>
    <row r="5" spans="1:15" ht="15" x14ac:dyDescent="0.25">
      <c r="A5" s="44" t="s">
        <v>9</v>
      </c>
      <c r="B5" s="45">
        <f t="shared" si="0"/>
        <v>4</v>
      </c>
      <c r="C5" s="46">
        <v>12</v>
      </c>
      <c r="D5" s="119">
        <v>2021</v>
      </c>
      <c r="E5" s="104">
        <v>22200.000000000273</v>
      </c>
      <c r="F5" s="120">
        <v>0.18</v>
      </c>
      <c r="G5" s="104">
        <v>5887</v>
      </c>
      <c r="H5" s="117">
        <v>0.63500000000000001</v>
      </c>
      <c r="I5" s="63">
        <v>461</v>
      </c>
      <c r="J5" s="73">
        <v>1.8</v>
      </c>
      <c r="K5" s="101"/>
      <c r="L5" s="73">
        <v>0.9</v>
      </c>
      <c r="M5" s="69">
        <v>42</v>
      </c>
      <c r="N5" s="69">
        <v>105</v>
      </c>
      <c r="O5" s="69">
        <v>294</v>
      </c>
    </row>
    <row r="6" spans="1:15" ht="15" x14ac:dyDescent="0.25">
      <c r="A6" s="44" t="s">
        <v>9</v>
      </c>
      <c r="B6" s="45">
        <f t="shared" si="0"/>
        <v>5</v>
      </c>
      <c r="C6" s="46">
        <v>12</v>
      </c>
      <c r="D6" s="119">
        <v>2021</v>
      </c>
      <c r="E6" s="104">
        <v>20259.999999998399</v>
      </c>
      <c r="F6" s="120">
        <v>0.18</v>
      </c>
      <c r="G6" s="104">
        <v>5576</v>
      </c>
      <c r="H6" s="117">
        <v>0.63500000000000001</v>
      </c>
      <c r="I6" s="63">
        <v>484</v>
      </c>
      <c r="J6" s="73">
        <v>1.8</v>
      </c>
      <c r="K6" s="101"/>
      <c r="L6" s="73">
        <v>0.9</v>
      </c>
      <c r="M6" s="69">
        <v>40</v>
      </c>
      <c r="N6" s="69">
        <v>96</v>
      </c>
      <c r="O6" s="69">
        <v>289</v>
      </c>
    </row>
    <row r="7" spans="1:15" ht="15" x14ac:dyDescent="0.25">
      <c r="A7" s="44" t="s">
        <v>9</v>
      </c>
      <c r="B7" s="45">
        <f t="shared" si="0"/>
        <v>6</v>
      </c>
      <c r="C7" s="46">
        <v>12</v>
      </c>
      <c r="D7" s="119">
        <v>2021</v>
      </c>
      <c r="E7" s="104">
        <v>24270.000000000891</v>
      </c>
      <c r="F7" s="120">
        <v>0.18</v>
      </c>
      <c r="G7" s="104">
        <v>6519</v>
      </c>
      <c r="H7" s="117">
        <v>0.63500000000000001</v>
      </c>
      <c r="I7" s="63">
        <v>462</v>
      </c>
      <c r="J7" s="73">
        <v>1.8</v>
      </c>
      <c r="K7" s="101"/>
      <c r="L7" s="73">
        <v>0.9</v>
      </c>
      <c r="M7" s="69">
        <v>40</v>
      </c>
      <c r="N7" s="69">
        <v>90</v>
      </c>
      <c r="O7" s="69">
        <v>276</v>
      </c>
    </row>
    <row r="8" spans="1:15" ht="15" x14ac:dyDescent="0.25">
      <c r="A8" s="44" t="s">
        <v>9</v>
      </c>
      <c r="B8" s="45">
        <f t="shared" si="0"/>
        <v>7</v>
      </c>
      <c r="C8" s="46">
        <v>12</v>
      </c>
      <c r="D8" s="119">
        <v>2021</v>
      </c>
      <c r="E8" s="104">
        <v>20169.999999999389</v>
      </c>
      <c r="F8" s="120">
        <v>0.18</v>
      </c>
      <c r="G8" s="104">
        <v>5796</v>
      </c>
      <c r="H8" s="117">
        <v>0.63500000000000001</v>
      </c>
      <c r="I8" s="63">
        <v>343</v>
      </c>
      <c r="J8" s="73">
        <v>1.8</v>
      </c>
      <c r="K8" s="101"/>
      <c r="L8" s="73">
        <v>0.9</v>
      </c>
      <c r="M8" s="69">
        <v>36</v>
      </c>
      <c r="N8" s="69">
        <v>83</v>
      </c>
      <c r="O8" s="69">
        <v>254</v>
      </c>
    </row>
    <row r="9" spans="1:15" ht="15" x14ac:dyDescent="0.25">
      <c r="A9" s="44" t="s">
        <v>9</v>
      </c>
      <c r="B9" s="45">
        <f t="shared" si="0"/>
        <v>8</v>
      </c>
      <c r="C9" s="46">
        <v>12</v>
      </c>
      <c r="D9" s="119">
        <v>2021</v>
      </c>
      <c r="E9" s="104">
        <v>25770.000000000437</v>
      </c>
      <c r="F9" s="120">
        <v>0.18</v>
      </c>
      <c r="G9" s="104">
        <v>6360</v>
      </c>
      <c r="H9" s="117">
        <v>0.63500000000000001</v>
      </c>
      <c r="I9" s="63">
        <v>396</v>
      </c>
      <c r="J9" s="73">
        <v>1.8</v>
      </c>
      <c r="K9" s="101"/>
      <c r="L9" s="73">
        <v>0.9</v>
      </c>
      <c r="M9" s="69">
        <v>31</v>
      </c>
      <c r="N9" s="69">
        <v>72</v>
      </c>
      <c r="O9" s="69">
        <v>209</v>
      </c>
    </row>
    <row r="10" spans="1:15" ht="15" x14ac:dyDescent="0.25">
      <c r="A10" s="44" t="s">
        <v>9</v>
      </c>
      <c r="B10" s="45">
        <f t="shared" si="0"/>
        <v>9</v>
      </c>
      <c r="C10" s="46">
        <v>12</v>
      </c>
      <c r="D10" s="119">
        <v>2021</v>
      </c>
      <c r="E10" s="104">
        <v>21809.999999999716</v>
      </c>
      <c r="F10" s="120">
        <v>0.18</v>
      </c>
      <c r="G10" s="104">
        <v>5933</v>
      </c>
      <c r="H10" s="117">
        <v>0.63500000000000001</v>
      </c>
      <c r="I10" s="63">
        <v>417</v>
      </c>
      <c r="J10" s="73">
        <v>1.8</v>
      </c>
      <c r="K10" s="101"/>
      <c r="L10" s="73">
        <v>0.9</v>
      </c>
      <c r="M10" s="69">
        <v>29</v>
      </c>
      <c r="N10" s="69">
        <v>65</v>
      </c>
      <c r="O10" s="69">
        <v>191</v>
      </c>
    </row>
    <row r="11" spans="1:15" ht="15" x14ac:dyDescent="0.25">
      <c r="A11" s="44" t="s">
        <v>9</v>
      </c>
      <c r="B11" s="45">
        <f t="shared" si="0"/>
        <v>10</v>
      </c>
      <c r="C11" s="46">
        <v>12</v>
      </c>
      <c r="D11" s="119">
        <v>2021</v>
      </c>
      <c r="E11" s="104"/>
      <c r="F11" s="120">
        <v>0.18</v>
      </c>
      <c r="G11" s="104"/>
      <c r="H11" s="117">
        <v>0.63500000000000001</v>
      </c>
      <c r="I11" s="63"/>
      <c r="J11" s="73">
        <v>1.8</v>
      </c>
      <c r="K11" s="101"/>
      <c r="L11" s="73">
        <v>0.9</v>
      </c>
      <c r="M11" s="69"/>
      <c r="N11" s="69"/>
      <c r="O11" s="69"/>
    </row>
    <row r="12" spans="1:15" ht="15" x14ac:dyDescent="0.25">
      <c r="A12" s="44" t="s">
        <v>9</v>
      </c>
      <c r="B12" s="45">
        <f t="shared" si="0"/>
        <v>11</v>
      </c>
      <c r="C12" s="46">
        <v>12</v>
      </c>
      <c r="D12" s="119">
        <v>2021</v>
      </c>
      <c r="E12" s="104"/>
      <c r="F12" s="120">
        <v>0.18</v>
      </c>
      <c r="G12" s="104"/>
      <c r="H12" s="117">
        <v>0.63500000000000001</v>
      </c>
      <c r="I12" s="63"/>
      <c r="J12" s="73">
        <v>1.8</v>
      </c>
      <c r="K12" s="101"/>
      <c r="L12" s="73">
        <v>0.9</v>
      </c>
      <c r="M12" s="69"/>
      <c r="N12" s="69"/>
      <c r="O12" s="69"/>
    </row>
    <row r="13" spans="1:15" ht="15" x14ac:dyDescent="0.25">
      <c r="A13" s="44" t="s">
        <v>9</v>
      </c>
      <c r="B13" s="45">
        <f t="shared" si="0"/>
        <v>12</v>
      </c>
      <c r="C13" s="46">
        <v>12</v>
      </c>
      <c r="D13" s="119">
        <v>2021</v>
      </c>
      <c r="E13" s="104"/>
      <c r="F13" s="120">
        <v>0.18</v>
      </c>
      <c r="G13" s="104"/>
      <c r="H13" s="117">
        <v>0.63500000000000001</v>
      </c>
      <c r="I13" s="63"/>
      <c r="J13" s="73">
        <v>1.8</v>
      </c>
      <c r="K13" s="101"/>
      <c r="L13" s="73">
        <v>0.9</v>
      </c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12</v>
      </c>
      <c r="D14" s="119">
        <v>2021</v>
      </c>
      <c r="E14" s="104"/>
      <c r="F14" s="120">
        <v>0.18</v>
      </c>
      <c r="G14" s="104"/>
      <c r="H14" s="117">
        <v>0.63500000000000001</v>
      </c>
      <c r="I14" s="63"/>
      <c r="J14" s="73">
        <v>1.8</v>
      </c>
      <c r="K14" s="101"/>
      <c r="L14" s="73">
        <v>0.9</v>
      </c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12</v>
      </c>
      <c r="D15" s="119">
        <v>2021</v>
      </c>
      <c r="E15" s="104"/>
      <c r="F15" s="120">
        <v>0.18</v>
      </c>
      <c r="G15" s="104"/>
      <c r="H15" s="117">
        <v>0.63500000000000001</v>
      </c>
      <c r="I15" s="63"/>
      <c r="J15" s="73">
        <v>1.8</v>
      </c>
      <c r="K15" s="101"/>
      <c r="L15" s="73">
        <v>0.9</v>
      </c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12</v>
      </c>
      <c r="D16" s="119">
        <v>2021</v>
      </c>
      <c r="E16" s="104"/>
      <c r="F16" s="120">
        <v>0.18</v>
      </c>
      <c r="G16" s="104"/>
      <c r="H16" s="117">
        <v>0.63500000000000001</v>
      </c>
      <c r="I16" s="63"/>
      <c r="J16" s="73">
        <v>1.8</v>
      </c>
      <c r="K16" s="101"/>
      <c r="L16" s="73">
        <v>0.9</v>
      </c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12</v>
      </c>
      <c r="D17" s="119">
        <v>2021</v>
      </c>
      <c r="E17" s="104"/>
      <c r="F17" s="120">
        <v>0.18</v>
      </c>
      <c r="G17" s="104"/>
      <c r="H17" s="117">
        <v>0.63500000000000001</v>
      </c>
      <c r="I17" s="63"/>
      <c r="J17" s="73">
        <v>1.8</v>
      </c>
      <c r="K17" s="101"/>
      <c r="L17" s="73">
        <v>0.9</v>
      </c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12</v>
      </c>
      <c r="D18" s="119">
        <v>2021</v>
      </c>
      <c r="E18" s="104"/>
      <c r="F18" s="120">
        <v>0.18</v>
      </c>
      <c r="G18" s="104"/>
      <c r="H18" s="117">
        <v>0.63500000000000001</v>
      </c>
      <c r="I18" s="63"/>
      <c r="J18" s="73">
        <v>1.8</v>
      </c>
      <c r="K18" s="101"/>
      <c r="L18" s="73">
        <v>0.9</v>
      </c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12</v>
      </c>
      <c r="D19" s="119">
        <v>2021</v>
      </c>
      <c r="E19" s="104"/>
      <c r="F19" s="120">
        <v>0.18</v>
      </c>
      <c r="G19" s="104"/>
      <c r="H19" s="117">
        <v>0.63500000000000001</v>
      </c>
      <c r="I19" s="63"/>
      <c r="J19" s="73">
        <v>1.8</v>
      </c>
      <c r="K19" s="101"/>
      <c r="L19" s="73">
        <v>0.9</v>
      </c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12</v>
      </c>
      <c r="D20" s="119">
        <v>2021</v>
      </c>
      <c r="E20" s="104"/>
      <c r="F20" s="120">
        <v>0.18</v>
      </c>
      <c r="G20" s="104"/>
      <c r="H20" s="117">
        <v>0.63500000000000001</v>
      </c>
      <c r="I20" s="63"/>
      <c r="J20" s="73">
        <v>1.8</v>
      </c>
      <c r="K20" s="101"/>
      <c r="L20" s="73">
        <v>0.9</v>
      </c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12</v>
      </c>
      <c r="D21" s="119">
        <v>2021</v>
      </c>
      <c r="E21" s="104"/>
      <c r="F21" s="120">
        <v>0.18</v>
      </c>
      <c r="G21" s="104"/>
      <c r="H21" s="117">
        <v>0.63500000000000001</v>
      </c>
      <c r="I21" s="63"/>
      <c r="J21" s="73">
        <v>1.8</v>
      </c>
      <c r="K21" s="101"/>
      <c r="L21" s="73">
        <v>0.9</v>
      </c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12</v>
      </c>
      <c r="D22" s="119">
        <v>2021</v>
      </c>
      <c r="E22" s="104"/>
      <c r="F22" s="120">
        <v>0.18</v>
      </c>
      <c r="G22" s="104"/>
      <c r="H22" s="117">
        <v>0.63500000000000001</v>
      </c>
      <c r="I22" s="63"/>
      <c r="J22" s="73">
        <v>1.8</v>
      </c>
      <c r="K22" s="101"/>
      <c r="L22" s="73">
        <v>0.9</v>
      </c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12</v>
      </c>
      <c r="D23" s="119">
        <v>2021</v>
      </c>
      <c r="E23" s="104"/>
      <c r="F23" s="120">
        <v>0.18</v>
      </c>
      <c r="G23" s="104"/>
      <c r="H23" s="117">
        <v>0.63500000000000001</v>
      </c>
      <c r="I23" s="63"/>
      <c r="J23" s="73">
        <v>1.8</v>
      </c>
      <c r="K23" s="101"/>
      <c r="L23" s="73">
        <v>0.9</v>
      </c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12</v>
      </c>
      <c r="D24" s="119">
        <v>2021</v>
      </c>
      <c r="E24" s="104"/>
      <c r="F24" s="120">
        <v>0.18</v>
      </c>
      <c r="G24" s="104"/>
      <c r="H24" s="117">
        <v>0.63500000000000001</v>
      </c>
      <c r="I24" s="63"/>
      <c r="J24" s="73">
        <v>1.8</v>
      </c>
      <c r="K24" s="101"/>
      <c r="L24" s="73">
        <v>0.9</v>
      </c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12</v>
      </c>
      <c r="D25" s="119">
        <v>2021</v>
      </c>
      <c r="E25" s="104"/>
      <c r="F25" s="120">
        <v>0.18</v>
      </c>
      <c r="G25" s="104"/>
      <c r="H25" s="117">
        <v>0.63500000000000001</v>
      </c>
      <c r="I25" s="63"/>
      <c r="J25" s="73">
        <v>1.8</v>
      </c>
      <c r="K25" s="101"/>
      <c r="L25" s="73">
        <v>0.9</v>
      </c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12</v>
      </c>
      <c r="D26" s="119">
        <v>2021</v>
      </c>
      <c r="E26" s="104"/>
      <c r="F26" s="120">
        <v>0.18</v>
      </c>
      <c r="G26" s="104"/>
      <c r="H26" s="117">
        <v>0.63500000000000001</v>
      </c>
      <c r="I26" s="63"/>
      <c r="J26" s="73">
        <v>1.8</v>
      </c>
      <c r="K26" s="101"/>
      <c r="L26" s="73">
        <v>0.9</v>
      </c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12</v>
      </c>
      <c r="D27" s="119">
        <v>2021</v>
      </c>
      <c r="E27" s="104"/>
      <c r="F27" s="120">
        <v>0.18</v>
      </c>
      <c r="G27" s="104"/>
      <c r="H27" s="117">
        <v>0.63500000000000001</v>
      </c>
      <c r="I27" s="63"/>
      <c r="J27" s="73">
        <v>1.8</v>
      </c>
      <c r="K27" s="101"/>
      <c r="L27" s="73">
        <v>0.9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12</v>
      </c>
      <c r="D28" s="119">
        <v>2021</v>
      </c>
      <c r="E28" s="104"/>
      <c r="F28" s="120">
        <v>0.18</v>
      </c>
      <c r="G28" s="104"/>
      <c r="H28" s="117">
        <v>0.63500000000000001</v>
      </c>
      <c r="I28" s="63"/>
      <c r="J28" s="73">
        <v>1.8</v>
      </c>
      <c r="K28" s="101"/>
      <c r="L28" s="73">
        <v>0.9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12</v>
      </c>
      <c r="D29" s="119">
        <v>2021</v>
      </c>
      <c r="E29" s="104"/>
      <c r="F29" s="120">
        <v>0.18</v>
      </c>
      <c r="G29" s="104"/>
      <c r="H29" s="117">
        <v>0.63500000000000001</v>
      </c>
      <c r="I29" s="63"/>
      <c r="J29" s="73">
        <v>1.8</v>
      </c>
      <c r="K29" s="101"/>
      <c r="L29" s="73">
        <v>0.9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12</v>
      </c>
      <c r="D30" s="119">
        <v>2021</v>
      </c>
      <c r="E30" s="104"/>
      <c r="F30" s="120">
        <v>0.18</v>
      </c>
      <c r="G30" s="104"/>
      <c r="H30" s="117">
        <v>0.63500000000000001</v>
      </c>
      <c r="I30" s="63"/>
      <c r="J30" s="73">
        <v>1.8</v>
      </c>
      <c r="K30" s="101"/>
      <c r="L30" s="73">
        <v>0.9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12</v>
      </c>
      <c r="D31" s="119">
        <v>2021</v>
      </c>
      <c r="E31" s="100"/>
      <c r="F31" s="120">
        <v>0.18</v>
      </c>
      <c r="G31" s="100"/>
      <c r="H31" s="117">
        <v>0.63500000000000001</v>
      </c>
      <c r="I31" s="63"/>
      <c r="J31" s="73">
        <v>1.8</v>
      </c>
      <c r="K31" s="101"/>
      <c r="L31" s="73">
        <v>0.9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12</v>
      </c>
      <c r="D32" s="119">
        <v>2021</v>
      </c>
      <c r="E32" s="100"/>
      <c r="F32" s="120">
        <v>0.18</v>
      </c>
      <c r="G32" s="100"/>
      <c r="H32" s="117">
        <v>0.63500000000000001</v>
      </c>
      <c r="I32" s="63"/>
      <c r="J32" s="73">
        <v>1.8</v>
      </c>
      <c r="K32" s="101"/>
      <c r="L32" s="73">
        <v>0.9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199849.99999999921</v>
      </c>
      <c r="F33" s="97">
        <v>0</v>
      </c>
      <c r="G33" s="118">
        <f>SUM(G2:G32)</f>
        <v>53481</v>
      </c>
      <c r="H33" s="95">
        <v>0</v>
      </c>
      <c r="I33" s="96">
        <f>SUM(I2:I32)</f>
        <v>3727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328</v>
      </c>
      <c r="N33" s="99">
        <f t="shared" si="1"/>
        <v>801</v>
      </c>
      <c r="O33" s="99">
        <f t="shared" si="1"/>
        <v>2294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4" sqref="V4:X1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7" t="s">
        <v>10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74"/>
      <c r="V1" s="74"/>
    </row>
    <row r="2" spans="1:25" s="17" customFormat="1" ht="33" customHeight="1" x14ac:dyDescent="0.25">
      <c r="A2" s="28" t="s">
        <v>2</v>
      </c>
      <c r="B2" s="124" t="s">
        <v>126</v>
      </c>
      <c r="C2" s="124" t="s">
        <v>11</v>
      </c>
      <c r="D2" s="124" t="s">
        <v>12</v>
      </c>
      <c r="E2" s="124" t="s">
        <v>13</v>
      </c>
      <c r="F2" s="124" t="s">
        <v>14</v>
      </c>
      <c r="G2" s="129" t="s">
        <v>15</v>
      </c>
      <c r="H2" s="131" t="s">
        <v>16</v>
      </c>
      <c r="I2" s="124" t="s">
        <v>17</v>
      </c>
      <c r="J2" s="134" t="s">
        <v>18</v>
      </c>
      <c r="K2" s="135"/>
      <c r="L2" s="136"/>
      <c r="M2" s="129" t="s">
        <v>19</v>
      </c>
      <c r="N2" s="131" t="s">
        <v>20</v>
      </c>
      <c r="O2" s="132" t="s">
        <v>21</v>
      </c>
      <c r="P2" s="131" t="s">
        <v>22</v>
      </c>
      <c r="Q2" s="137" t="s">
        <v>23</v>
      </c>
      <c r="R2" s="124" t="s">
        <v>24</v>
      </c>
      <c r="S2" s="124" t="s">
        <v>25</v>
      </c>
      <c r="T2" s="124" t="s">
        <v>26</v>
      </c>
      <c r="V2" s="126" t="s">
        <v>6</v>
      </c>
      <c r="W2" s="126" t="s">
        <v>7</v>
      </c>
      <c r="X2" s="126" t="s">
        <v>8</v>
      </c>
    </row>
    <row r="3" spans="1:25" s="17" customFormat="1" ht="45" customHeight="1" x14ac:dyDescent="0.25">
      <c r="A3" s="29"/>
      <c r="B3" s="125"/>
      <c r="C3" s="125"/>
      <c r="D3" s="125"/>
      <c r="E3" s="125"/>
      <c r="F3" s="125"/>
      <c r="G3" s="130"/>
      <c r="H3" s="131"/>
      <c r="I3" s="125"/>
      <c r="J3" s="18" t="s">
        <v>27</v>
      </c>
      <c r="K3" s="18" t="s">
        <v>28</v>
      </c>
      <c r="L3" s="18" t="s">
        <v>29</v>
      </c>
      <c r="M3" s="130"/>
      <c r="N3" s="131"/>
      <c r="O3" s="133"/>
      <c r="P3" s="131"/>
      <c r="Q3" s="138"/>
      <c r="R3" s="125"/>
      <c r="S3" s="125"/>
      <c r="T3" s="125"/>
      <c r="V3" s="126"/>
      <c r="W3" s="126"/>
      <c r="X3" s="126"/>
    </row>
    <row r="4" spans="1:25" ht="21" customHeight="1" x14ac:dyDescent="0.25">
      <c r="A4" s="8">
        <v>44531</v>
      </c>
      <c r="B4" s="106">
        <v>1.1735</v>
      </c>
      <c r="C4" s="107">
        <v>267.32</v>
      </c>
      <c r="D4" s="107">
        <v>7824117.9900000002</v>
      </c>
      <c r="E4" s="107">
        <v>8631056.9800000004</v>
      </c>
      <c r="F4" s="107">
        <v>2.7603</v>
      </c>
      <c r="G4" s="107">
        <v>875.01</v>
      </c>
      <c r="H4" s="107">
        <v>721.3</v>
      </c>
      <c r="I4" s="107">
        <v>279.17</v>
      </c>
      <c r="J4" s="107">
        <v>364.35</v>
      </c>
      <c r="K4" s="107">
        <v>386.28</v>
      </c>
      <c r="L4" s="107">
        <v>265.52</v>
      </c>
      <c r="M4" s="107">
        <v>634.87</v>
      </c>
      <c r="N4" s="107">
        <v>589.9</v>
      </c>
      <c r="O4" s="107">
        <v>182.77</v>
      </c>
      <c r="P4" s="107">
        <v>768.11</v>
      </c>
      <c r="Q4" s="107">
        <v>567.20000000000005</v>
      </c>
      <c r="R4" s="107">
        <v>190.15</v>
      </c>
      <c r="S4" s="107">
        <v>134.13</v>
      </c>
      <c r="T4" s="107">
        <v>491.37</v>
      </c>
      <c r="V4" s="103">
        <v>42</v>
      </c>
      <c r="W4" s="103">
        <v>106</v>
      </c>
      <c r="X4" s="103">
        <v>281</v>
      </c>
      <c r="Y4" s="17"/>
    </row>
    <row r="5" spans="1:25" ht="21" customHeight="1" x14ac:dyDescent="0.25">
      <c r="A5" s="8">
        <v>44532</v>
      </c>
      <c r="B5" s="108">
        <v>1.1747000000000001</v>
      </c>
      <c r="C5" s="109">
        <v>267.52999999999997</v>
      </c>
      <c r="D5" s="109">
        <v>7825991.5099999998</v>
      </c>
      <c r="E5" s="109">
        <v>8633464.5899999999</v>
      </c>
      <c r="F5" s="109">
        <v>2.7629000000000001</v>
      </c>
      <c r="G5" s="109">
        <v>875.83</v>
      </c>
      <c r="H5" s="109">
        <v>722.31</v>
      </c>
      <c r="I5" s="109">
        <v>279.41000000000003</v>
      </c>
      <c r="J5" s="109">
        <v>364.81</v>
      </c>
      <c r="K5" s="109">
        <v>386.63</v>
      </c>
      <c r="L5" s="109">
        <v>265.76</v>
      </c>
      <c r="M5" s="109">
        <v>635.6</v>
      </c>
      <c r="N5" s="109">
        <v>590.71</v>
      </c>
      <c r="O5" s="109">
        <v>182.93</v>
      </c>
      <c r="P5" s="109">
        <v>769.04</v>
      </c>
      <c r="Q5" s="109">
        <v>567.82000000000005</v>
      </c>
      <c r="R5" s="109">
        <v>190.15</v>
      </c>
      <c r="S5" s="109">
        <v>134.28</v>
      </c>
      <c r="T5" s="109">
        <v>491.89</v>
      </c>
      <c r="V5" s="103">
        <v>31</v>
      </c>
      <c r="W5" s="103">
        <v>84</v>
      </c>
      <c r="X5" s="103">
        <v>233</v>
      </c>
      <c r="Y5" s="17"/>
    </row>
    <row r="6" spans="1:25" ht="21" customHeight="1" x14ac:dyDescent="0.25">
      <c r="A6" s="8">
        <v>44533</v>
      </c>
      <c r="B6" s="108">
        <v>1.1758</v>
      </c>
      <c r="C6" s="109">
        <v>267.81</v>
      </c>
      <c r="D6" s="109">
        <v>7827908.8200000003</v>
      </c>
      <c r="E6" s="109">
        <v>8635757.3100000005</v>
      </c>
      <c r="F6" s="109">
        <v>2.7654999999999998</v>
      </c>
      <c r="G6" s="109">
        <v>876.67</v>
      </c>
      <c r="H6" s="109">
        <v>723.19</v>
      </c>
      <c r="I6" s="109">
        <v>279.64</v>
      </c>
      <c r="J6" s="109">
        <v>365.2</v>
      </c>
      <c r="K6" s="109">
        <v>386.94</v>
      </c>
      <c r="L6" s="109">
        <v>265.95999999999998</v>
      </c>
      <c r="M6" s="109">
        <v>636.41</v>
      </c>
      <c r="N6" s="109">
        <v>591.55999999999995</v>
      </c>
      <c r="O6" s="109">
        <v>183.1</v>
      </c>
      <c r="P6" s="109">
        <v>769.91</v>
      </c>
      <c r="Q6" s="109">
        <v>568.47</v>
      </c>
      <c r="R6" s="109">
        <v>190.15</v>
      </c>
      <c r="S6" s="109">
        <v>134.4</v>
      </c>
      <c r="T6" s="109">
        <v>492.39</v>
      </c>
      <c r="V6" s="103">
        <v>37</v>
      </c>
      <c r="W6" s="103">
        <v>100</v>
      </c>
      <c r="X6" s="103">
        <v>267</v>
      </c>
      <c r="Y6" s="17"/>
    </row>
    <row r="7" spans="1:25" ht="21" customHeight="1" x14ac:dyDescent="0.25">
      <c r="A7" s="8">
        <v>44534</v>
      </c>
      <c r="B7" s="108">
        <v>1.177</v>
      </c>
      <c r="C7" s="109">
        <v>268.06</v>
      </c>
      <c r="D7" s="109">
        <v>7829907.1699999999</v>
      </c>
      <c r="E7" s="109">
        <v>8638015.9499999993</v>
      </c>
      <c r="F7" s="109">
        <v>2.7681</v>
      </c>
      <c r="G7" s="109">
        <v>877.54</v>
      </c>
      <c r="H7" s="109">
        <v>724.13</v>
      </c>
      <c r="I7" s="109">
        <v>279.89</v>
      </c>
      <c r="J7" s="109">
        <v>365.64</v>
      </c>
      <c r="K7" s="109">
        <v>387.27</v>
      </c>
      <c r="L7" s="109">
        <v>266.14999999999998</v>
      </c>
      <c r="M7" s="109">
        <v>637.19000000000005</v>
      </c>
      <c r="N7" s="109">
        <v>592.39</v>
      </c>
      <c r="O7" s="109">
        <v>183.25</v>
      </c>
      <c r="P7" s="109">
        <v>770.56</v>
      </c>
      <c r="Q7" s="109">
        <v>569.14</v>
      </c>
      <c r="R7" s="109">
        <v>190.15</v>
      </c>
      <c r="S7" s="109">
        <v>134.54</v>
      </c>
      <c r="T7" s="109">
        <v>492.67</v>
      </c>
      <c r="V7" s="103">
        <v>42</v>
      </c>
      <c r="W7" s="103">
        <v>105</v>
      </c>
      <c r="X7" s="103">
        <v>294</v>
      </c>
      <c r="Y7" s="17"/>
    </row>
    <row r="8" spans="1:25" ht="21" customHeight="1" x14ac:dyDescent="0.25">
      <c r="A8" s="8">
        <v>44535</v>
      </c>
      <c r="B8" s="108">
        <v>1.1780999999999999</v>
      </c>
      <c r="C8" s="109">
        <v>268.3</v>
      </c>
      <c r="D8" s="109">
        <v>7831935.8499999996</v>
      </c>
      <c r="E8" s="109">
        <v>8640580.5899999999</v>
      </c>
      <c r="F8" s="109">
        <v>2.7707000000000002</v>
      </c>
      <c r="G8" s="109">
        <v>878.47</v>
      </c>
      <c r="H8" s="109">
        <v>725.27</v>
      </c>
      <c r="I8" s="109">
        <v>280.12</v>
      </c>
      <c r="J8" s="109">
        <v>366.01</v>
      </c>
      <c r="K8" s="109">
        <v>387.59</v>
      </c>
      <c r="L8" s="109">
        <v>266.37</v>
      </c>
      <c r="M8" s="109">
        <v>637.9</v>
      </c>
      <c r="N8" s="109">
        <v>593.01</v>
      </c>
      <c r="O8" s="109">
        <v>183.43</v>
      </c>
      <c r="P8" s="109">
        <v>771.88</v>
      </c>
      <c r="Q8" s="109">
        <v>569.70000000000005</v>
      </c>
      <c r="R8" s="109">
        <v>190.15</v>
      </c>
      <c r="S8" s="109">
        <v>134.66</v>
      </c>
      <c r="T8" s="109">
        <v>493.22</v>
      </c>
      <c r="V8" s="103">
        <v>40</v>
      </c>
      <c r="W8" s="103">
        <v>96</v>
      </c>
      <c r="X8" s="103">
        <v>289</v>
      </c>
      <c r="Y8" s="17"/>
    </row>
    <row r="9" spans="1:25" ht="21" customHeight="1" x14ac:dyDescent="0.25">
      <c r="A9" s="8">
        <v>44536</v>
      </c>
      <c r="B9" s="110">
        <v>1.1792</v>
      </c>
      <c r="C9" s="111">
        <v>268.56</v>
      </c>
      <c r="D9" s="110">
        <v>7834077.46</v>
      </c>
      <c r="E9" s="112">
        <v>8643320.8599999994</v>
      </c>
      <c r="F9" s="111">
        <v>2.7732999999999999</v>
      </c>
      <c r="G9" s="110">
        <v>879.39</v>
      </c>
      <c r="H9" s="112">
        <v>726.36</v>
      </c>
      <c r="I9" s="112">
        <v>280.37</v>
      </c>
      <c r="J9" s="109">
        <v>366.41</v>
      </c>
      <c r="K9" s="109">
        <v>387.93</v>
      </c>
      <c r="L9" s="109">
        <v>266.60000000000002</v>
      </c>
      <c r="M9" s="109">
        <v>638.6</v>
      </c>
      <c r="N9" s="109">
        <v>593.54</v>
      </c>
      <c r="O9" s="109">
        <v>183.67</v>
      </c>
      <c r="P9" s="109">
        <v>772.92</v>
      </c>
      <c r="Q9" s="109">
        <v>570.30999999999995</v>
      </c>
      <c r="R9" s="109">
        <v>190.15</v>
      </c>
      <c r="S9" s="109">
        <v>134.9</v>
      </c>
      <c r="T9" s="109">
        <v>493.75</v>
      </c>
      <c r="V9" s="103">
        <v>40</v>
      </c>
      <c r="W9" s="103">
        <v>90</v>
      </c>
      <c r="X9" s="103">
        <v>276</v>
      </c>
      <c r="Y9" s="17"/>
    </row>
    <row r="10" spans="1:25" ht="21" customHeight="1" x14ac:dyDescent="0.25">
      <c r="A10" s="8">
        <v>44537</v>
      </c>
      <c r="B10" s="106">
        <v>1.1802999999999999</v>
      </c>
      <c r="C10" s="107">
        <v>268.79000000000002</v>
      </c>
      <c r="D10" s="107">
        <v>7836087.2199999997</v>
      </c>
      <c r="E10" s="107">
        <v>8645890.3200000003</v>
      </c>
      <c r="F10" s="107">
        <v>2.7759</v>
      </c>
      <c r="G10" s="107">
        <v>880.35</v>
      </c>
      <c r="H10" s="107">
        <v>727.31</v>
      </c>
      <c r="I10" s="107">
        <v>280.62</v>
      </c>
      <c r="J10" s="109">
        <v>366.79</v>
      </c>
      <c r="K10" s="109">
        <v>388.3</v>
      </c>
      <c r="L10" s="109">
        <v>266.82</v>
      </c>
      <c r="M10" s="109">
        <v>639.27</v>
      </c>
      <c r="N10" s="109">
        <v>594.14</v>
      </c>
      <c r="O10" s="109">
        <v>183.9</v>
      </c>
      <c r="P10" s="109">
        <v>773.94</v>
      </c>
      <c r="Q10" s="109">
        <v>570.98</v>
      </c>
      <c r="R10" s="109">
        <v>190.15</v>
      </c>
      <c r="S10" s="109">
        <v>134.91999999999999</v>
      </c>
      <c r="T10" s="109">
        <v>494.28</v>
      </c>
      <c r="V10" s="103">
        <v>36</v>
      </c>
      <c r="W10" s="103">
        <v>83</v>
      </c>
      <c r="X10" s="103">
        <v>254</v>
      </c>
      <c r="Y10" s="17"/>
    </row>
    <row r="11" spans="1:25" ht="21" customHeight="1" x14ac:dyDescent="0.25">
      <c r="A11" s="8">
        <v>44538</v>
      </c>
      <c r="B11" s="108">
        <v>1.1814</v>
      </c>
      <c r="C11" s="109">
        <v>269.06</v>
      </c>
      <c r="D11" s="109">
        <v>7838074.8200000003</v>
      </c>
      <c r="E11" s="109">
        <v>8648276.4299999997</v>
      </c>
      <c r="F11" s="109">
        <v>2.7785000000000002</v>
      </c>
      <c r="G11" s="109">
        <v>881.33</v>
      </c>
      <c r="H11" s="109">
        <v>728.39</v>
      </c>
      <c r="I11" s="109">
        <v>280.89</v>
      </c>
      <c r="J11" s="109">
        <v>367.24</v>
      </c>
      <c r="K11" s="109">
        <v>388.66</v>
      </c>
      <c r="L11" s="109">
        <v>267.02999999999997</v>
      </c>
      <c r="M11" s="109">
        <v>639.95000000000005</v>
      </c>
      <c r="N11" s="109">
        <v>594.79999999999995</v>
      </c>
      <c r="O11" s="109">
        <v>184.12</v>
      </c>
      <c r="P11" s="109">
        <v>775.05</v>
      </c>
      <c r="Q11" s="109">
        <v>571.63</v>
      </c>
      <c r="R11" s="109">
        <v>190.15</v>
      </c>
      <c r="S11" s="109">
        <v>135.05000000000001</v>
      </c>
      <c r="T11" s="109">
        <v>494.8</v>
      </c>
      <c r="V11" s="103">
        <v>31</v>
      </c>
      <c r="W11" s="103">
        <v>72</v>
      </c>
      <c r="X11" s="103">
        <v>209</v>
      </c>
      <c r="Y11" s="17"/>
    </row>
    <row r="12" spans="1:25" ht="21" customHeight="1" x14ac:dyDescent="0.25">
      <c r="A12" s="8">
        <v>44539</v>
      </c>
      <c r="B12" s="108">
        <v>1.1825000000000001</v>
      </c>
      <c r="C12" s="109">
        <v>269.33999999999997</v>
      </c>
      <c r="D12" s="109">
        <v>7839976.1699999999</v>
      </c>
      <c r="E12" s="109">
        <v>8650924.9800000004</v>
      </c>
      <c r="F12" s="109">
        <v>2.7810000000000001</v>
      </c>
      <c r="G12" s="109">
        <v>882.19</v>
      </c>
      <c r="H12" s="109">
        <v>729.49</v>
      </c>
      <c r="I12" s="109">
        <v>281.16000000000003</v>
      </c>
      <c r="J12" s="109">
        <v>367.64</v>
      </c>
      <c r="K12" s="109">
        <v>389.05</v>
      </c>
      <c r="L12" s="109">
        <v>267.26</v>
      </c>
      <c r="M12" s="109">
        <v>640.58000000000004</v>
      </c>
      <c r="N12" s="109">
        <v>595.45000000000005</v>
      </c>
      <c r="O12" s="109">
        <v>184.34</v>
      </c>
      <c r="P12" s="109">
        <v>776.04</v>
      </c>
      <c r="Q12" s="109">
        <v>572.29</v>
      </c>
      <c r="R12" s="109">
        <v>190.15</v>
      </c>
      <c r="S12" s="109">
        <v>135.16999999999999</v>
      </c>
      <c r="T12" s="109">
        <v>495.33</v>
      </c>
      <c r="V12" s="103">
        <v>29</v>
      </c>
      <c r="W12" s="103">
        <v>65</v>
      </c>
      <c r="X12" s="103">
        <v>191</v>
      </c>
      <c r="Y12" s="17"/>
    </row>
    <row r="13" spans="1:25" ht="21" customHeight="1" x14ac:dyDescent="0.25">
      <c r="A13" s="8">
        <v>44540</v>
      </c>
      <c r="B13" s="108">
        <v>1.1836</v>
      </c>
      <c r="C13" s="109">
        <v>269.60000000000002</v>
      </c>
      <c r="D13" s="109">
        <v>7841826.1600000001</v>
      </c>
      <c r="E13" s="109">
        <v>8653464.5099999998</v>
      </c>
      <c r="F13" s="109">
        <v>2.7835999999999999</v>
      </c>
      <c r="G13" s="109">
        <v>883</v>
      </c>
      <c r="H13" s="109">
        <v>730.54</v>
      </c>
      <c r="I13" s="109">
        <v>281.42</v>
      </c>
      <c r="J13" s="109">
        <v>367.99</v>
      </c>
      <c r="K13" s="109">
        <v>389.33</v>
      </c>
      <c r="L13" s="109">
        <v>267.45999999999998</v>
      </c>
      <c r="M13" s="109">
        <v>641.20000000000005</v>
      </c>
      <c r="N13" s="109">
        <v>596.12</v>
      </c>
      <c r="O13" s="109">
        <v>184.54</v>
      </c>
      <c r="P13" s="109">
        <v>776.97</v>
      </c>
      <c r="Q13" s="109">
        <v>572.94000000000005</v>
      </c>
      <c r="R13" s="109">
        <v>190.15</v>
      </c>
      <c r="S13" s="109">
        <v>135.30000000000001</v>
      </c>
      <c r="T13" s="109">
        <v>495.81</v>
      </c>
      <c r="V13" s="103"/>
      <c r="W13" s="103"/>
      <c r="X13" s="103"/>
      <c r="Y13" s="17"/>
    </row>
    <row r="14" spans="1:25" ht="21" customHeight="1" x14ac:dyDescent="0.25">
      <c r="A14" s="8">
        <v>44541</v>
      </c>
      <c r="B14" s="108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V14" s="103"/>
      <c r="W14" s="103"/>
      <c r="X14" s="103"/>
      <c r="Y14" s="17"/>
    </row>
    <row r="15" spans="1:25" ht="21" customHeight="1" x14ac:dyDescent="0.25">
      <c r="A15" s="8">
        <v>44542</v>
      </c>
      <c r="B15" s="108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V15" s="103"/>
      <c r="W15" s="103"/>
      <c r="X15" s="103"/>
      <c r="Y15" s="17"/>
    </row>
    <row r="16" spans="1:25" ht="21" customHeight="1" x14ac:dyDescent="0.25">
      <c r="A16" s="8">
        <v>44543</v>
      </c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V16" s="103"/>
      <c r="W16" s="103"/>
      <c r="X16" s="103"/>
      <c r="Y16" s="17"/>
    </row>
    <row r="17" spans="1:25" ht="21" customHeight="1" x14ac:dyDescent="0.25">
      <c r="A17" s="8">
        <v>44544</v>
      </c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V17" s="103"/>
      <c r="W17" s="103"/>
      <c r="X17" s="103"/>
      <c r="Y17" s="17"/>
    </row>
    <row r="18" spans="1:25" ht="21" customHeight="1" x14ac:dyDescent="0.25">
      <c r="A18" s="8">
        <v>44545</v>
      </c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V18" s="103"/>
      <c r="W18" s="103"/>
      <c r="X18" s="103"/>
      <c r="Y18" s="17"/>
    </row>
    <row r="19" spans="1:25" ht="21" customHeight="1" x14ac:dyDescent="0.25">
      <c r="A19" s="8">
        <v>44546</v>
      </c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V19" s="103"/>
      <c r="W19" s="103"/>
      <c r="X19" s="103"/>
      <c r="Y19" s="17"/>
    </row>
    <row r="20" spans="1:25" ht="21" customHeight="1" x14ac:dyDescent="0.25">
      <c r="A20" s="8">
        <v>44547</v>
      </c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V20" s="103"/>
      <c r="W20" s="103"/>
      <c r="X20" s="103"/>
      <c r="Y20" s="17"/>
    </row>
    <row r="21" spans="1:25" ht="21" customHeight="1" x14ac:dyDescent="0.25">
      <c r="A21" s="8">
        <v>44548</v>
      </c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V21" s="103"/>
      <c r="W21" s="103"/>
      <c r="X21" s="103"/>
      <c r="Y21" s="17"/>
    </row>
    <row r="22" spans="1:25" ht="21" customHeight="1" x14ac:dyDescent="0.25">
      <c r="A22" s="8">
        <v>44549</v>
      </c>
      <c r="B22" s="108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13"/>
      <c r="S22" s="109"/>
      <c r="T22" s="109"/>
      <c r="V22" s="103"/>
      <c r="W22" s="103"/>
      <c r="X22" s="103"/>
      <c r="Y22" s="17"/>
    </row>
    <row r="23" spans="1:25" ht="21" customHeight="1" x14ac:dyDescent="0.25">
      <c r="A23" s="8">
        <v>44550</v>
      </c>
      <c r="B23" s="108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V23" s="103"/>
      <c r="W23" s="103"/>
      <c r="X23" s="103"/>
      <c r="Y23" s="17"/>
    </row>
    <row r="24" spans="1:25" ht="21" customHeight="1" x14ac:dyDescent="0.25">
      <c r="A24" s="8">
        <v>44551</v>
      </c>
      <c r="B24" s="108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V24" s="103"/>
      <c r="W24" s="103"/>
      <c r="X24" s="103"/>
      <c r="Y24" s="17"/>
    </row>
    <row r="25" spans="1:25" ht="21" customHeight="1" x14ac:dyDescent="0.25">
      <c r="A25" s="8">
        <v>44552</v>
      </c>
      <c r="B25" s="108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V25" s="103"/>
      <c r="W25" s="103"/>
      <c r="X25" s="103"/>
      <c r="Y25" s="17"/>
    </row>
    <row r="26" spans="1:25" ht="21" customHeight="1" x14ac:dyDescent="0.25">
      <c r="A26" s="8">
        <v>44553</v>
      </c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V26" s="103"/>
      <c r="W26" s="103"/>
      <c r="X26" s="103"/>
      <c r="Y26" s="17"/>
    </row>
    <row r="27" spans="1:25" ht="21" customHeight="1" x14ac:dyDescent="0.25">
      <c r="A27" s="8">
        <v>44554</v>
      </c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V27" s="103"/>
      <c r="W27" s="103"/>
      <c r="X27" s="103"/>
      <c r="Y27" s="17"/>
    </row>
    <row r="28" spans="1:25" ht="21" customHeight="1" x14ac:dyDescent="0.25">
      <c r="A28" s="8">
        <v>44555</v>
      </c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V28" s="103"/>
      <c r="W28" s="103"/>
      <c r="X28" s="103"/>
      <c r="Y28" s="17"/>
    </row>
    <row r="29" spans="1:25" ht="21" customHeight="1" x14ac:dyDescent="0.25">
      <c r="A29" s="8">
        <v>44556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V29" s="103"/>
      <c r="W29" s="103"/>
      <c r="X29" s="103"/>
      <c r="Y29" s="17"/>
    </row>
    <row r="30" spans="1:25" ht="21" customHeight="1" x14ac:dyDescent="0.25">
      <c r="A30" s="8">
        <v>44557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V30" s="103"/>
      <c r="W30" s="103"/>
      <c r="X30" s="103"/>
      <c r="Y30" s="17"/>
    </row>
    <row r="31" spans="1:25" ht="21" customHeight="1" x14ac:dyDescent="0.25">
      <c r="A31" s="8">
        <v>44558</v>
      </c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V31" s="103"/>
      <c r="W31" s="103"/>
      <c r="X31" s="103"/>
      <c r="Y31" s="17"/>
    </row>
    <row r="32" spans="1:25" ht="21" customHeight="1" x14ac:dyDescent="0.25">
      <c r="A32" s="8">
        <v>44559</v>
      </c>
      <c r="B32" s="106"/>
      <c r="C32" s="106"/>
      <c r="D32" s="106"/>
      <c r="E32" s="114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14"/>
      <c r="T32" s="106"/>
      <c r="V32" s="103"/>
      <c r="W32" s="103"/>
      <c r="X32" s="103"/>
      <c r="Y32" s="17"/>
    </row>
    <row r="33" spans="1:25" ht="19.5" customHeight="1" x14ac:dyDescent="0.25">
      <c r="A33" s="8">
        <v>44560</v>
      </c>
      <c r="B33" s="106"/>
      <c r="C33" s="114"/>
      <c r="D33" s="106"/>
      <c r="E33" s="114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14"/>
      <c r="T33" s="106"/>
      <c r="V33" s="103"/>
      <c r="W33" s="103"/>
      <c r="X33" s="103"/>
      <c r="Y33" s="17"/>
    </row>
    <row r="34" spans="1:25" ht="19.5" customHeight="1" x14ac:dyDescent="0.25">
      <c r="A34" s="8">
        <v>44561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328</v>
      </c>
      <c r="W35" s="75">
        <f>SUM(W4:W34)</f>
        <v>801</v>
      </c>
      <c r="X35" s="75">
        <f>SUM(X4:X34)</f>
        <v>2294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D42" sqref="D4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2" t="s">
        <v>31</v>
      </c>
      <c r="B2" s="124" t="s">
        <v>32</v>
      </c>
      <c r="C2" s="124" t="s">
        <v>33</v>
      </c>
      <c r="D2" s="124" t="s">
        <v>119</v>
      </c>
      <c r="E2" s="132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3"/>
      <c r="B3" s="125"/>
      <c r="C3" s="125"/>
      <c r="D3" s="125"/>
      <c r="E3" s="133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44531</v>
      </c>
      <c r="B4" s="26">
        <f>TOTAL!E2</f>
        <v>21259.999999999534</v>
      </c>
      <c r="C4" s="4">
        <f>('Kwh Reading'!T5-'Kwh Reading'!T4)*1000</f>
        <v>519.99999999998181</v>
      </c>
      <c r="D4" s="2">
        <f>('Kwh Reading'!F5-'Kwh Reading'!F4)*1000000</f>
        <v>2600.0000000001578</v>
      </c>
      <c r="E4" s="2">
        <f>('Kwh Reading'!C5-'Kwh Reading'!C4)*1000</f>
        <v>209.99999999997954</v>
      </c>
      <c r="F4" s="2">
        <f>('Kwh Reading'!J5-'Kwh Reading'!J4)*1000</f>
        <v>459.99999999997954</v>
      </c>
      <c r="G4" s="2">
        <f>('Kwh Reading'!K5-'Kwh Reading'!K4)*1000</f>
        <v>350.00000000002274</v>
      </c>
      <c r="H4" s="2">
        <f>('Kwh Reading'!L5-'Kwh Reading'!L4)*1000</f>
        <v>240.00000000000909</v>
      </c>
      <c r="I4" s="2">
        <f>('Kwh Reading'!R5-'Kwh Reading'!R4)*1000</f>
        <v>0</v>
      </c>
      <c r="J4" s="2">
        <f>('Kwh Reading'!S5-'Kwh Reading'!S4)*1000</f>
        <v>150.00000000000568</v>
      </c>
      <c r="K4" s="2">
        <f>('Kwh Reading'!I5-'Kwh Reading'!I4)*1000</f>
        <v>240.00000000000909</v>
      </c>
      <c r="L4" s="2">
        <f>('Kwh Reading'!B5-'Kwh Reading'!B4)*1000000</f>
        <v>1200.0000000000898</v>
      </c>
      <c r="M4" s="2">
        <f>('Kwh Reading'!M5-'Kwh Reading'!M4)*1000</f>
        <v>730.00000000001819</v>
      </c>
      <c r="N4" s="2">
        <f>('Kwh Reading'!H5-'Kwh Reading'!H4)*1000</f>
        <v>1009.9999999999909</v>
      </c>
      <c r="O4" s="2">
        <f>('Kwh Reading'!P5-'Kwh Reading'!P4)*1000</f>
        <v>929.99999999994998</v>
      </c>
      <c r="P4" s="2">
        <f>('Kwh Reading'!G5-'Kwh Reading'!G4)*1000</f>
        <v>820.00000000005002</v>
      </c>
      <c r="Q4" s="2">
        <f>('Kwh Reading'!Q5-'Kwh Reading'!Q4)*1000</f>
        <v>620.00000000000455</v>
      </c>
      <c r="R4" s="2">
        <f>('Kwh Reading'!N5-'Kwh Reading'!N4)*1000</f>
        <v>810.00000000005912</v>
      </c>
      <c r="S4" s="2">
        <f>'Kwh Reading'!E5-'Kwh Reading'!E4</f>
        <v>2407.609999999404</v>
      </c>
      <c r="T4" s="2">
        <f>'Kwh Reading'!D5-'Kwh Reading'!D4</f>
        <v>1873.519999999553</v>
      </c>
      <c r="U4" s="27">
        <f>('Kwh Reading'!O5-'Kwh Reading'!O4)*1000</f>
        <v>159.99999999999659</v>
      </c>
      <c r="V4" s="16">
        <f>B4-(SUM(C4:U4))</f>
        <v>5928.8700000002755</v>
      </c>
    </row>
    <row r="5" spans="1:22" x14ac:dyDescent="0.25">
      <c r="A5" s="3">
        <f>'Kwh Reading'!A5</f>
        <v>44532</v>
      </c>
      <c r="B5" s="26">
        <f>TOTAL!E3</f>
        <v>21749.999999999316</v>
      </c>
      <c r="C5" s="4">
        <f>('Kwh Reading'!T6-'Kwh Reading'!T5)*1000</f>
        <v>500</v>
      </c>
      <c r="D5" s="2">
        <f>('Kwh Reading'!F6-'Kwh Reading'!F5)*1000000</f>
        <v>2599.9999999997135</v>
      </c>
      <c r="E5" s="2">
        <f>('Kwh Reading'!C6-'Kwh Reading'!C5)*1000</f>
        <v>280.00000000002956</v>
      </c>
      <c r="F5" s="2">
        <f>('Kwh Reading'!J6-'Kwh Reading'!J5)*1000</f>
        <v>389.99999999998636</v>
      </c>
      <c r="G5" s="2">
        <f>('Kwh Reading'!K6-'Kwh Reading'!K5)*1000</f>
        <v>310.00000000000227</v>
      </c>
      <c r="H5" s="2">
        <f>('Kwh Reading'!L6-'Kwh Reading'!L5)*1000</f>
        <v>199.99999999998863</v>
      </c>
      <c r="I5" s="2">
        <f>('Kwh Reading'!R6-'Kwh Reading'!R5)*1000</f>
        <v>0</v>
      </c>
      <c r="J5" s="2">
        <f>('Kwh Reading'!S6-'Kwh Reading'!S5)*1000</f>
        <v>120.00000000000455</v>
      </c>
      <c r="K5" s="2">
        <f>('Kwh Reading'!I6-'Kwh Reading'!I5)*1000</f>
        <v>229.99999999996135</v>
      </c>
      <c r="L5" s="2">
        <f>('Kwh Reading'!B6-'Kwh Reading'!B5)*1000000</f>
        <v>1099.9999999998788</v>
      </c>
      <c r="M5" s="2">
        <f>('Kwh Reading'!M6-'Kwh Reading'!M5)*1000</f>
        <v>809.99999999994543</v>
      </c>
      <c r="N5" s="2">
        <f>('Kwh Reading'!H6-'Kwh Reading'!H5)*1000</f>
        <v>880.00000000010914</v>
      </c>
      <c r="O5" s="2">
        <f>('Kwh Reading'!P6-'Kwh Reading'!P5)*1000</f>
        <v>870.00000000000455</v>
      </c>
      <c r="P5" s="2">
        <f>('Kwh Reading'!G6-'Kwh Reading'!G5)*1000</f>
        <v>839.99999999991815</v>
      </c>
      <c r="Q5" s="2">
        <f>('Kwh Reading'!Q6-'Kwh Reading'!Q5)*1000</f>
        <v>649.99999999997726</v>
      </c>
      <c r="R5" s="2">
        <f>('Kwh Reading'!N6-'Kwh Reading'!N5)*1000</f>
        <v>849.99999999990905</v>
      </c>
      <c r="S5" s="2">
        <f>'Kwh Reading'!E6-'Kwh Reading'!E5</f>
        <v>2292.7200000006706</v>
      </c>
      <c r="T5" s="2">
        <f>'Kwh Reading'!D6-'Kwh Reading'!D5</f>
        <v>1917.3100000005215</v>
      </c>
      <c r="U5" s="27">
        <f>('Kwh Reading'!O6-'Kwh Reading'!O5)*1000</f>
        <v>169.99999999998749</v>
      </c>
      <c r="V5" s="16">
        <f t="shared" ref="V5:V11" si="0">B5-(SUM(C5:U5))</f>
        <v>6739.9699999987079</v>
      </c>
    </row>
    <row r="6" spans="1:22" x14ac:dyDescent="0.25">
      <c r="A6" s="3">
        <f>'Kwh Reading'!A6</f>
        <v>44533</v>
      </c>
      <c r="B6" s="26">
        <f>TOTAL!E4</f>
        <v>22360.000000001266</v>
      </c>
      <c r="C6" s="4">
        <f>('Kwh Reading'!T7-'Kwh Reading'!T6)*1000</f>
        <v>280.00000000002956</v>
      </c>
      <c r="D6" s="2">
        <f>('Kwh Reading'!F7-'Kwh Reading'!F6)*1000000</f>
        <v>2600.0000000001578</v>
      </c>
      <c r="E6" s="2">
        <f>('Kwh Reading'!C7-'Kwh Reading'!C6)*1000</f>
        <v>250</v>
      </c>
      <c r="F6" s="2">
        <f>('Kwh Reading'!J7-'Kwh Reading'!J6)*1000</f>
        <v>439.99999999999773</v>
      </c>
      <c r="G6" s="2">
        <f>('Kwh Reading'!K7-'Kwh Reading'!K6)*1000</f>
        <v>329.99999999998408</v>
      </c>
      <c r="H6" s="2">
        <f>('Kwh Reading'!L7-'Kwh Reading'!L6)*1000</f>
        <v>189.99999999999773</v>
      </c>
      <c r="I6" s="2">
        <f>('Kwh Reading'!R7-'Kwh Reading'!R6)*1000</f>
        <v>0</v>
      </c>
      <c r="J6" s="2">
        <f>('Kwh Reading'!S7-'Kwh Reading'!S6)*1000</f>
        <v>139.99999999998636</v>
      </c>
      <c r="K6" s="2">
        <f>('Kwh Reading'!I7-'Kwh Reading'!I6)*1000</f>
        <v>250</v>
      </c>
      <c r="L6" s="2">
        <f>('Kwh Reading'!B7-'Kwh Reading'!B6)*1000000</f>
        <v>1200.0000000000898</v>
      </c>
      <c r="M6" s="2">
        <f>('Kwh Reading'!M7-'Kwh Reading'!M6)*1000</f>
        <v>780.0000000000864</v>
      </c>
      <c r="N6" s="2">
        <f>('Kwh Reading'!H7-'Kwh Reading'!H6)*1000</f>
        <v>939.99999999994088</v>
      </c>
      <c r="O6" s="2">
        <f>('Kwh Reading'!P7-'Kwh Reading'!P6)*1000</f>
        <v>649.99999999997726</v>
      </c>
      <c r="P6" s="2">
        <f>('Kwh Reading'!G7-'Kwh Reading'!G6)*1000</f>
        <v>870.00000000000455</v>
      </c>
      <c r="Q6" s="2">
        <f>('Kwh Reading'!Q7-'Kwh Reading'!Q6)*1000</f>
        <v>669.99999999995907</v>
      </c>
      <c r="R6" s="2">
        <f>('Kwh Reading'!N7-'Kwh Reading'!N6)*1000</f>
        <v>830.00000000004093</v>
      </c>
      <c r="S6" s="2">
        <f>'Kwh Reading'!E7-'Kwh Reading'!E6</f>
        <v>2258.6399999987334</v>
      </c>
      <c r="T6" s="2">
        <f>'Kwh Reading'!D7-'Kwh Reading'!D6</f>
        <v>1998.3499999996275</v>
      </c>
      <c r="U6" s="27">
        <f>('Kwh Reading'!O7-'Kwh Reading'!O6)*1000</f>
        <v>150.00000000000568</v>
      </c>
      <c r="V6" s="16">
        <f t="shared" si="0"/>
        <v>7533.0100000026487</v>
      </c>
    </row>
    <row r="7" spans="1:22" x14ac:dyDescent="0.25">
      <c r="A7" s="3">
        <f>'Kwh Reading'!A7</f>
        <v>44534</v>
      </c>
      <c r="B7" s="26">
        <f>TOTAL!E5</f>
        <v>22200.000000000273</v>
      </c>
      <c r="C7" s="4">
        <f>('Kwh Reading'!T8-'Kwh Reading'!T7)*1000</f>
        <v>550.00000000001137</v>
      </c>
      <c r="D7" s="2">
        <f>('Kwh Reading'!F8-'Kwh Reading'!F7)*1000000</f>
        <v>2600.0000000001578</v>
      </c>
      <c r="E7" s="2">
        <f>('Kwh Reading'!C8-'Kwh Reading'!C7)*1000</f>
        <v>240.00000000000909</v>
      </c>
      <c r="F7" s="2">
        <f>('Kwh Reading'!J8-'Kwh Reading'!J7)*1000</f>
        <v>370.00000000000455</v>
      </c>
      <c r="G7" s="2">
        <f>('Kwh Reading'!K8-'Kwh Reading'!K7)*1000</f>
        <v>319.99999999999318</v>
      </c>
      <c r="H7" s="2">
        <f>('Kwh Reading'!L8-'Kwh Reading'!L7)*1000</f>
        <v>220.00000000002728</v>
      </c>
      <c r="I7" s="2">
        <f>('Kwh Reading'!R8-'Kwh Reading'!R7)*1000</f>
        <v>0</v>
      </c>
      <c r="J7" s="2">
        <f>('Kwh Reading'!S8-'Kwh Reading'!S7)*1000</f>
        <v>120.00000000000455</v>
      </c>
      <c r="K7" s="2">
        <f>('Kwh Reading'!I8-'Kwh Reading'!I7)*1000</f>
        <v>230.00000000001819</v>
      </c>
      <c r="L7" s="2">
        <f>('Kwh Reading'!B8-'Kwh Reading'!B7)*1000000</f>
        <v>1099.9999999998788</v>
      </c>
      <c r="M7" s="2">
        <f>('Kwh Reading'!M8-'Kwh Reading'!M7)*1000</f>
        <v>709.99999999992269</v>
      </c>
      <c r="N7" s="2">
        <f>('Kwh Reading'!H8-'Kwh Reading'!H7)*1000</f>
        <v>1139.9999999999864</v>
      </c>
      <c r="O7" s="2">
        <f>('Kwh Reading'!P8-'Kwh Reading'!P7)*1000</f>
        <v>1320.00000000005</v>
      </c>
      <c r="P7" s="2">
        <f>('Kwh Reading'!G8-'Kwh Reading'!G7)*1000</f>
        <v>930.00000000006366</v>
      </c>
      <c r="Q7" s="2">
        <f>('Kwh Reading'!Q8-'Kwh Reading'!Q7)*1000</f>
        <v>560.00000000005912</v>
      </c>
      <c r="R7" s="2">
        <f>('Kwh Reading'!N8-'Kwh Reading'!N7)*1000</f>
        <v>620.00000000000455</v>
      </c>
      <c r="S7" s="2">
        <f>'Kwh Reading'!E8-'Kwh Reading'!E7</f>
        <v>2564.640000000596</v>
      </c>
      <c r="T7" s="2">
        <f>'Kwh Reading'!D8-'Kwh Reading'!D7</f>
        <v>2028.679999999702</v>
      </c>
      <c r="U7" s="27">
        <f>('Kwh Reading'!O8-'Kwh Reading'!O7)*1000</f>
        <v>180.00000000000682</v>
      </c>
      <c r="V7" s="16">
        <f t="shared" si="0"/>
        <v>6396.6799999997747</v>
      </c>
    </row>
    <row r="8" spans="1:22" x14ac:dyDescent="0.25">
      <c r="A8" s="3">
        <f>'Kwh Reading'!A8</f>
        <v>44535</v>
      </c>
      <c r="B8" s="26">
        <f>TOTAL!E6</f>
        <v>20259.999999998399</v>
      </c>
      <c r="C8" s="4">
        <f>('Kwh Reading'!T9-'Kwh Reading'!T8)*1000</f>
        <v>529.99999999997272</v>
      </c>
      <c r="D8" s="2">
        <f>('Kwh Reading'!F9-'Kwh Reading'!F8)*1000000</f>
        <v>2599.9999999997135</v>
      </c>
      <c r="E8" s="2">
        <f>('Kwh Reading'!C9-'Kwh Reading'!C8)*1000</f>
        <v>259.99999999999091</v>
      </c>
      <c r="F8" s="2">
        <f>('Kwh Reading'!J9-'Kwh Reading'!J8)*1000</f>
        <v>400.00000000003411</v>
      </c>
      <c r="G8" s="2">
        <f>('Kwh Reading'!K9-'Kwh Reading'!K8)*1000</f>
        <v>340.00000000003183</v>
      </c>
      <c r="H8" s="2">
        <f>('Kwh Reading'!L9-'Kwh Reading'!L8)*1000</f>
        <v>230.00000000001819</v>
      </c>
      <c r="I8" s="2">
        <f>('Kwh Reading'!R9-'Kwh Reading'!R8)*1000</f>
        <v>0</v>
      </c>
      <c r="J8" s="2">
        <f>('Kwh Reading'!S9-'Kwh Reading'!S8)*1000</f>
        <v>240.00000000000909</v>
      </c>
      <c r="K8" s="2">
        <f>('Kwh Reading'!I9-'Kwh Reading'!I8)*1000</f>
        <v>250</v>
      </c>
      <c r="L8" s="2">
        <f>('Kwh Reading'!B9-'Kwh Reading'!B8)*1000000</f>
        <v>1100.000000000101</v>
      </c>
      <c r="M8" s="2">
        <f>('Kwh Reading'!M9-'Kwh Reading'!M8)*1000</f>
        <v>700.00000000004547</v>
      </c>
      <c r="N8" s="2">
        <f>('Kwh Reading'!H9-'Kwh Reading'!H8)*1000</f>
        <v>1090.0000000000318</v>
      </c>
      <c r="O8" s="2">
        <f>('Kwh Reading'!P9-'Kwh Reading'!P8)*1000</f>
        <v>1039.9999999999636</v>
      </c>
      <c r="P8" s="2">
        <f>('Kwh Reading'!G9-'Kwh Reading'!G8)*1000</f>
        <v>919.99999999995907</v>
      </c>
      <c r="Q8" s="2">
        <f>('Kwh Reading'!Q9-'Kwh Reading'!Q8)*1000</f>
        <v>609.99999999989996</v>
      </c>
      <c r="R8" s="2">
        <f>('Kwh Reading'!N9-'Kwh Reading'!N8)*1000</f>
        <v>529.99999999997272</v>
      </c>
      <c r="S8" s="2">
        <f>'Kwh Reading'!E9-'Kwh Reading'!E8</f>
        <v>2740.269999999553</v>
      </c>
      <c r="T8" s="2">
        <f>'Kwh Reading'!D9-'Kwh Reading'!D8</f>
        <v>2141.6100000003353</v>
      </c>
      <c r="U8" s="27">
        <f>('Kwh Reading'!O9-'Kwh Reading'!O8)*1000</f>
        <v>239.99999999998067</v>
      </c>
      <c r="V8" s="16">
        <f t="shared" si="0"/>
        <v>4298.1199999987857</v>
      </c>
    </row>
    <row r="9" spans="1:22" x14ac:dyDescent="0.25">
      <c r="A9" s="3">
        <f>'Kwh Reading'!A9</f>
        <v>44536</v>
      </c>
      <c r="B9" s="26">
        <f>TOTAL!E7</f>
        <v>24270.000000000891</v>
      </c>
      <c r="C9" s="4">
        <f>('Kwh Reading'!T10-'Kwh Reading'!T9)*1000</f>
        <v>529.99999999997272</v>
      </c>
      <c r="D9" s="2">
        <f>('Kwh Reading'!F10-'Kwh Reading'!F9)*1000000</f>
        <v>2600.0000000001578</v>
      </c>
      <c r="E9" s="2">
        <f>('Kwh Reading'!C10-'Kwh Reading'!C9)*1000</f>
        <v>230.00000000001819</v>
      </c>
      <c r="F9" s="2">
        <f>('Kwh Reading'!J10-'Kwh Reading'!J9)*1000</f>
        <v>379.99999999999545</v>
      </c>
      <c r="G9" s="2">
        <f>('Kwh Reading'!K10-'Kwh Reading'!K9)*1000</f>
        <v>370.00000000000455</v>
      </c>
      <c r="H9" s="2">
        <f>('Kwh Reading'!L10-'Kwh Reading'!L9)*1000</f>
        <v>219.99999999997044</v>
      </c>
      <c r="I9" s="2">
        <f>('Kwh Reading'!R10-'Kwh Reading'!R9)*1000</f>
        <v>0</v>
      </c>
      <c r="J9" s="2">
        <f>('Kwh Reading'!S10-'Kwh Reading'!S9)*1000</f>
        <v>19.99999999998181</v>
      </c>
      <c r="K9" s="2">
        <f>('Kwh Reading'!I10-'Kwh Reading'!I9)*1000</f>
        <v>250</v>
      </c>
      <c r="L9" s="2">
        <f>('Kwh Reading'!B10-'Kwh Reading'!B9)*1000000</f>
        <v>1099.9999999998788</v>
      </c>
      <c r="M9" s="2">
        <f>('Kwh Reading'!M10-'Kwh Reading'!M9)*1000</f>
        <v>669.99999999995907</v>
      </c>
      <c r="N9" s="2">
        <f>('Kwh Reading'!H10-'Kwh Reading'!H9)*1000</f>
        <v>949.99999999993179</v>
      </c>
      <c r="O9" s="2">
        <f>('Kwh Reading'!P10-'Kwh Reading'!P9)*1000</f>
        <v>1020.0000000000955</v>
      </c>
      <c r="P9" s="2">
        <f>('Kwh Reading'!G10-'Kwh Reading'!G9)*1000</f>
        <v>960.00000000003638</v>
      </c>
      <c r="Q9" s="2">
        <f>('Kwh Reading'!Q10-'Kwh Reading'!Q9)*1000</f>
        <v>670.00000000007276</v>
      </c>
      <c r="R9" s="2">
        <f>('Kwh Reading'!N10-'Kwh Reading'!N9)*1000</f>
        <v>600.00000000002274</v>
      </c>
      <c r="S9" s="2">
        <f>'Kwh Reading'!E10-'Kwh Reading'!E9</f>
        <v>2569.4600000008941</v>
      </c>
      <c r="T9" s="2">
        <f>'Kwh Reading'!D10-'Kwh Reading'!D9</f>
        <v>2009.7599999997765</v>
      </c>
      <c r="U9" s="27">
        <f>('Kwh Reading'!O10-'Kwh Reading'!O9)*1000</f>
        <v>230.00000000001819</v>
      </c>
      <c r="V9" s="16">
        <f t="shared" si="0"/>
        <v>8890.7800000001043</v>
      </c>
    </row>
    <row r="10" spans="1:22" x14ac:dyDescent="0.25">
      <c r="A10" s="3">
        <f>'Kwh Reading'!A10</f>
        <v>44537</v>
      </c>
      <c r="B10" s="26">
        <f>TOTAL!E8</f>
        <v>20169.999999999389</v>
      </c>
      <c r="C10" s="4">
        <f>('Kwh Reading'!T11-'Kwh Reading'!T10)*1000</f>
        <v>520.00000000003865</v>
      </c>
      <c r="D10" s="2">
        <f>('Kwh Reading'!F11-'Kwh Reading'!F10)*1000000</f>
        <v>2600.0000000001578</v>
      </c>
      <c r="E10" s="2">
        <f>('Kwh Reading'!C11-'Kwh Reading'!C10)*1000</f>
        <v>269.99999999998181</v>
      </c>
      <c r="F10" s="2">
        <f>('Kwh Reading'!J11-'Kwh Reading'!J10)*1000</f>
        <v>449.99999999998863</v>
      </c>
      <c r="G10" s="2">
        <f>('Kwh Reading'!K11-'Kwh Reading'!K10)*1000</f>
        <v>360.00000000001364</v>
      </c>
      <c r="H10" s="2">
        <f>('Kwh Reading'!L11-'Kwh Reading'!L10)*1000</f>
        <v>209.99999999997954</v>
      </c>
      <c r="I10" s="2">
        <f>('Kwh Reading'!R11-'Kwh Reading'!R10)*1000</f>
        <v>0</v>
      </c>
      <c r="J10" s="2">
        <f>('Kwh Reading'!S11-'Kwh Reading'!S10)*1000</f>
        <v>130.00000000002387</v>
      </c>
      <c r="K10" s="2">
        <f>('Kwh Reading'!I11-'Kwh Reading'!I10)*1000</f>
        <v>269.99999999998181</v>
      </c>
      <c r="L10" s="2">
        <f>('Kwh Reading'!B11-'Kwh Reading'!B10)*1000000</f>
        <v>1100.000000000101</v>
      </c>
      <c r="M10" s="2">
        <f>('Kwh Reading'!M11-'Kwh Reading'!M10)*1000</f>
        <v>680.00000000006366</v>
      </c>
      <c r="N10" s="2">
        <f>('Kwh Reading'!H11-'Kwh Reading'!H10)*1000</f>
        <v>1080.0000000000409</v>
      </c>
      <c r="O10" s="2">
        <f>('Kwh Reading'!P11-'Kwh Reading'!P10)*1000</f>
        <v>1109.9999999999</v>
      </c>
      <c r="P10" s="2">
        <f>('Kwh Reading'!G11-'Kwh Reading'!G10)*1000</f>
        <v>980.00000000001819</v>
      </c>
      <c r="Q10" s="2">
        <f>('Kwh Reading'!Q11-'Kwh Reading'!Q10)*1000</f>
        <v>649.99999999997726</v>
      </c>
      <c r="R10" s="2">
        <f>('Kwh Reading'!N11-'Kwh Reading'!N10)*1000</f>
        <v>659.99999999996817</v>
      </c>
      <c r="S10" s="33">
        <f>'Kwh Reading'!E11-'Kwh Reading'!E10</f>
        <v>2386.109999999404</v>
      </c>
      <c r="T10" s="33">
        <f>'Kwh Reading'!D11-'Kwh Reading'!D10</f>
        <v>1987.6000000005588</v>
      </c>
      <c r="U10" s="27">
        <f>('Kwh Reading'!O11-'Kwh Reading'!O10)*1000</f>
        <v>219.99999999999886</v>
      </c>
      <c r="V10" s="16">
        <f t="shared" si="0"/>
        <v>4506.2899999991951</v>
      </c>
    </row>
    <row r="11" spans="1:22" x14ac:dyDescent="0.25">
      <c r="A11" s="3">
        <f>'Kwh Reading'!A11</f>
        <v>44538</v>
      </c>
      <c r="B11" s="26">
        <f>TOTAL!E9</f>
        <v>25770.000000000437</v>
      </c>
      <c r="C11" s="4">
        <f>('Kwh Reading'!T12-'Kwh Reading'!T11)*1000</f>
        <v>529.99999999997272</v>
      </c>
      <c r="D11" s="2">
        <f>('Kwh Reading'!F12-'Kwh Reading'!F11)*1000000</f>
        <v>2499.9999999999468</v>
      </c>
      <c r="E11" s="2">
        <f>('Kwh Reading'!C12-'Kwh Reading'!C11)*1000</f>
        <v>279.99999999997272</v>
      </c>
      <c r="F11" s="2">
        <f>('Kwh Reading'!J12-'Kwh Reading'!J11)*1000</f>
        <v>399.99999999997726</v>
      </c>
      <c r="G11" s="2">
        <f>('Kwh Reading'!K12-'Kwh Reading'!K11)*1000</f>
        <v>389.99999999998636</v>
      </c>
      <c r="H11" s="2">
        <f>('Kwh Reading'!L12-'Kwh Reading'!L11)*1000</f>
        <v>230.00000000001819</v>
      </c>
      <c r="I11" s="2">
        <f>('Kwh Reading'!R12-'Kwh Reading'!R11)*1000</f>
        <v>0</v>
      </c>
      <c r="J11" s="2">
        <f>('Kwh Reading'!S12-'Kwh Reading'!S11)*1000</f>
        <v>119.99999999997613</v>
      </c>
      <c r="K11" s="2">
        <f>('Kwh Reading'!I12-'Kwh Reading'!I11)*1000</f>
        <v>270.00000000003865</v>
      </c>
      <c r="L11" s="2">
        <f>('Kwh Reading'!B12-'Kwh Reading'!B11)*1000000</f>
        <v>1100.000000000101</v>
      </c>
      <c r="M11" s="2">
        <f>('Kwh Reading'!M12-'Kwh Reading'!M11)*1000</f>
        <v>629.99999999999545</v>
      </c>
      <c r="N11" s="2">
        <f>('Kwh Reading'!H12-'Kwh Reading'!H11)*1000</f>
        <v>1100.0000000000227</v>
      </c>
      <c r="O11" s="2">
        <f>('Kwh Reading'!P12-'Kwh Reading'!P11)*1000</f>
        <v>990.00000000000909</v>
      </c>
      <c r="P11" s="2">
        <f>('Kwh Reading'!G12-'Kwh Reading'!G11)*1000</f>
        <v>860.00000000001364</v>
      </c>
      <c r="Q11" s="2">
        <f>('Kwh Reading'!Q12-'Kwh Reading'!Q11)*1000</f>
        <v>659.99999999996817</v>
      </c>
      <c r="R11" s="2">
        <f>('Kwh Reading'!N12-'Kwh Reading'!N11)*1000</f>
        <v>650.00000000009095</v>
      </c>
      <c r="S11" s="33">
        <f>'Kwh Reading'!E12-'Kwh Reading'!E11</f>
        <v>2648.5500000007451</v>
      </c>
      <c r="T11" s="33">
        <f>'Kwh Reading'!D12-'Kwh Reading'!D11</f>
        <v>1901.3499999996275</v>
      </c>
      <c r="U11" s="27">
        <f>('Kwh Reading'!O12-'Kwh Reading'!O11)*1000</f>
        <v>219.99999999999886</v>
      </c>
      <c r="V11" s="16">
        <f t="shared" si="0"/>
        <v>10290.099999999975</v>
      </c>
    </row>
    <row r="12" spans="1:22" x14ac:dyDescent="0.25">
      <c r="A12" s="3">
        <f>'Kwh Reading'!A12</f>
        <v>44539</v>
      </c>
      <c r="B12" s="26">
        <f>TOTAL!E10</f>
        <v>21809.999999999716</v>
      </c>
      <c r="C12" s="4">
        <f>('Kwh Reading'!T13-'Kwh Reading'!T12)*1000</f>
        <v>480.00000000001819</v>
      </c>
      <c r="D12" s="2">
        <f>('Kwh Reading'!F13-'Kwh Reading'!F12)*1000000</f>
        <v>2599.9999999997135</v>
      </c>
      <c r="E12" s="2">
        <f>('Kwh Reading'!C13-'Kwh Reading'!C12)*1000</f>
        <v>260.00000000004775</v>
      </c>
      <c r="F12" s="2">
        <f>('Kwh Reading'!J13-'Kwh Reading'!J12)*1000</f>
        <v>350.00000000002274</v>
      </c>
      <c r="G12" s="2">
        <f>('Kwh Reading'!K13-'Kwh Reading'!K12)*1000</f>
        <v>279.99999999997272</v>
      </c>
      <c r="H12" s="2">
        <f>('Kwh Reading'!L13-'Kwh Reading'!L12)*1000</f>
        <v>199.99999999998863</v>
      </c>
      <c r="I12" s="2">
        <f>('Kwh Reading'!R13-'Kwh Reading'!R12)*1000</f>
        <v>0</v>
      </c>
      <c r="J12" s="2">
        <f>('Kwh Reading'!S13-'Kwh Reading'!S12)*1000</f>
        <v>130.00000000002387</v>
      </c>
      <c r="K12" s="2">
        <f>('Kwh Reading'!I13-'Kwh Reading'!I12)*1000</f>
        <v>259.99999999999091</v>
      </c>
      <c r="L12" s="2">
        <f>('Kwh Reading'!B13-'Kwh Reading'!B12)*1000000</f>
        <v>1099.9999999998788</v>
      </c>
      <c r="M12" s="2">
        <f>('Kwh Reading'!M13-'Kwh Reading'!M12)*1000</f>
        <v>620.00000000000455</v>
      </c>
      <c r="N12" s="2">
        <f>('Kwh Reading'!H13-'Kwh Reading'!H12)*1000</f>
        <v>1049.9999999999545</v>
      </c>
      <c r="O12" s="2">
        <f>('Kwh Reading'!P13-'Kwh Reading'!P12)*1000</f>
        <v>930.00000000006366</v>
      </c>
      <c r="P12" s="2">
        <f>('Kwh Reading'!G13-'Kwh Reading'!G12)*1000</f>
        <v>809.99999999994543</v>
      </c>
      <c r="Q12" s="2">
        <f>('Kwh Reading'!Q13-'Kwh Reading'!Q12)*1000</f>
        <v>650.00000000009095</v>
      </c>
      <c r="R12" s="2">
        <f>('Kwh Reading'!N13-'Kwh Reading'!N12)*1000</f>
        <v>669.99999999995907</v>
      </c>
      <c r="S12" s="33">
        <f>'Kwh Reading'!E13-'Kwh Reading'!E12</f>
        <v>2539.5299999993294</v>
      </c>
      <c r="T12" s="33">
        <f>'Kwh Reading'!D13-'Kwh Reading'!D12</f>
        <v>1849.9900000002235</v>
      </c>
      <c r="U12" s="27">
        <f>('Kwh Reading'!O13-'Kwh Reading'!O12)*1000</f>
        <v>199.99999999998863</v>
      </c>
      <c r="V12" s="16">
        <f t="shared" ref="V12:V34" si="1">B12-(SUM(C12:U12))</f>
        <v>6830.480000000498</v>
      </c>
    </row>
    <row r="13" spans="1:22" x14ac:dyDescent="0.25">
      <c r="A13" s="3">
        <f>'Kwh Reading'!A13</f>
        <v>44540</v>
      </c>
      <c r="B13" s="26">
        <f>TOTAL!E11</f>
        <v>0</v>
      </c>
      <c r="C13" s="4">
        <f>('Kwh Reading'!T14-'Kwh Reading'!T13)*1000</f>
        <v>-495810</v>
      </c>
      <c r="D13" s="2">
        <f>('Kwh Reading'!F14-'Kwh Reading'!F13)*1000000</f>
        <v>-2783600</v>
      </c>
      <c r="E13" s="2">
        <f>('Kwh Reading'!C14-'Kwh Reading'!C13)*1000</f>
        <v>-269600</v>
      </c>
      <c r="F13" s="2">
        <f>('Kwh Reading'!J14-'Kwh Reading'!J13)*1000</f>
        <v>-367990</v>
      </c>
      <c r="G13" s="2">
        <f>('Kwh Reading'!K14-'Kwh Reading'!K13)*1000</f>
        <v>-389330</v>
      </c>
      <c r="H13" s="2">
        <f>('Kwh Reading'!L14-'Kwh Reading'!L13)*1000</f>
        <v>-267460</v>
      </c>
      <c r="I13" s="2">
        <f>('Kwh Reading'!R14-'Kwh Reading'!R13)*1000</f>
        <v>-190150</v>
      </c>
      <c r="J13" s="2">
        <f>('Kwh Reading'!S14-'Kwh Reading'!S13)*1000</f>
        <v>-135300</v>
      </c>
      <c r="K13" s="2">
        <f>('Kwh Reading'!I14-'Kwh Reading'!I13)*1000</f>
        <v>-281420</v>
      </c>
      <c r="L13" s="2">
        <f>('Kwh Reading'!B14-'Kwh Reading'!B13)*1000000</f>
        <v>-1183600</v>
      </c>
      <c r="M13" s="2">
        <f>('Kwh Reading'!M14-'Kwh Reading'!M13)*1000</f>
        <v>-641200</v>
      </c>
      <c r="N13" s="2">
        <f>('Kwh Reading'!H14-'Kwh Reading'!H13)*1000</f>
        <v>-730540</v>
      </c>
      <c r="O13" s="2">
        <f>('Kwh Reading'!P14-'Kwh Reading'!P13)*1000</f>
        <v>-776970</v>
      </c>
      <c r="P13" s="2">
        <f>('Kwh Reading'!G14-'Kwh Reading'!G13)*1000</f>
        <v>-883000</v>
      </c>
      <c r="Q13" s="2">
        <f>('Kwh Reading'!Q14-'Kwh Reading'!Q13)*1000</f>
        <v>-572940</v>
      </c>
      <c r="R13" s="2">
        <f>('Kwh Reading'!N14-'Kwh Reading'!N13)*1000</f>
        <v>-596120</v>
      </c>
      <c r="S13" s="33">
        <f>'Kwh Reading'!E14-'Kwh Reading'!E13</f>
        <v>-8653464.5099999998</v>
      </c>
      <c r="T13" s="33">
        <f>'Kwh Reading'!D14-'Kwh Reading'!D13</f>
        <v>-7841826.1600000001</v>
      </c>
      <c r="U13" s="27">
        <f>('Kwh Reading'!O14-'Kwh Reading'!O13)*1000</f>
        <v>-184540</v>
      </c>
      <c r="V13" s="16">
        <f t="shared" si="1"/>
        <v>27244860.669999998</v>
      </c>
    </row>
    <row r="14" spans="1:22" x14ac:dyDescent="0.25">
      <c r="A14" s="3">
        <f>'Kwh Reading'!A14</f>
        <v>44541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3">
        <f>'Kwh Reading'!E15-'Kwh Reading'!E14</f>
        <v>0</v>
      </c>
      <c r="T14" s="33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44542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44543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44544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44545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44546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44547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44548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44549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44550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44551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44552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44553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44554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44555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44556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44557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44558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44559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44560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44561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199849.99999999921</v>
      </c>
      <c r="C35" s="72">
        <f t="shared" ref="C35" si="2">SUM(C4:C34)</f>
        <v>-491370</v>
      </c>
      <c r="D35" s="72">
        <f t="shared" ref="D35" si="3">SUM(D4:D34)</f>
        <v>-2760300</v>
      </c>
      <c r="E35" s="72">
        <f t="shared" ref="E35" si="4">SUM(E4:E34)</f>
        <v>-267319.99999999994</v>
      </c>
      <c r="F35" s="72">
        <f t="shared" ref="F35" si="5">SUM(F4:F34)</f>
        <v>-364350</v>
      </c>
      <c r="G35" s="72">
        <f t="shared" ref="G35:U35" si="6">SUM(G4:G34)</f>
        <v>-386280</v>
      </c>
      <c r="H35" s="72">
        <f t="shared" si="6"/>
        <v>-265520</v>
      </c>
      <c r="I35" s="72">
        <f t="shared" si="6"/>
        <v>-190150</v>
      </c>
      <c r="J35" s="72">
        <f t="shared" si="6"/>
        <v>-134129.99999999997</v>
      </c>
      <c r="K35" s="72">
        <f t="shared" si="6"/>
        <v>-279170</v>
      </c>
      <c r="L35" s="72">
        <f t="shared" si="6"/>
        <v>-1173500</v>
      </c>
      <c r="M35" s="72">
        <f t="shared" si="6"/>
        <v>-634870</v>
      </c>
      <c r="N35" s="72">
        <f t="shared" si="6"/>
        <v>-721300</v>
      </c>
      <c r="O35" s="72">
        <f t="shared" si="6"/>
        <v>-768110</v>
      </c>
      <c r="P35" s="72">
        <f t="shared" si="6"/>
        <v>-875010</v>
      </c>
      <c r="Q35" s="72">
        <f t="shared" si="6"/>
        <v>-567200</v>
      </c>
      <c r="R35" s="72">
        <f t="shared" si="6"/>
        <v>-589900</v>
      </c>
      <c r="S35" s="72">
        <f t="shared" si="6"/>
        <v>-8631056.9800000004</v>
      </c>
      <c r="T35" s="72">
        <f t="shared" si="6"/>
        <v>-7824117.9900000002</v>
      </c>
      <c r="U35" s="72">
        <f t="shared" si="6"/>
        <v>-182770.00000000003</v>
      </c>
      <c r="V35" s="72">
        <f>SUM(V4:V34)</f>
        <v>27306274.969999999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44531</v>
      </c>
      <c r="B3" s="80">
        <f>TOTAL!E2</f>
        <v>21259.999999999534</v>
      </c>
      <c r="C3" s="1">
        <f>'Kwh Consumption'!C4</f>
        <v>519.99999999998181</v>
      </c>
      <c r="D3" s="1">
        <f>'Kwh Consumption'!D4</f>
        <v>2600.0000000001578</v>
      </c>
      <c r="E3" s="1">
        <f>'Kwh Consumption'!E4</f>
        <v>209.99999999997954</v>
      </c>
      <c r="F3" s="1">
        <f>('Kwh Consumption'!F4+'Kwh Consumption'!G4+'Kwh Consumption'!H4)</f>
        <v>1050.0000000000114</v>
      </c>
      <c r="G3" s="16">
        <f>('Kwh Consumption'!I4+'Kwh Consumption'!J4)</f>
        <v>150.00000000000568</v>
      </c>
      <c r="H3" s="1">
        <f>('Kwh Consumption'!K4+'Kwh Consumption'!L4)</f>
        <v>1440.0000000000989</v>
      </c>
      <c r="I3" s="1">
        <f>('Kwh Consumption'!M4+'Kwh Consumption'!N4+'Kwh Consumption'!O4+'Kwh Consumption'!P4+'Kwh Consumption'!Q4+'Kwh Consumption'!R4)</f>
        <v>4920.0000000000728</v>
      </c>
      <c r="J3" s="1">
        <f>('Kwh Consumption'!S4+'Kwh Consumption'!T4)</f>
        <v>4281.1299999989569</v>
      </c>
      <c r="K3" s="1">
        <f>'Kwh Consumption'!U4</f>
        <v>159.99999999999659</v>
      </c>
      <c r="L3" s="31">
        <f t="shared" ref="L3:L33" si="0">B3-C3-D3-E3-F3-G3-H3-I3-J3-K3</f>
        <v>5928.8700000002755</v>
      </c>
    </row>
    <row r="4" spans="1:12" x14ac:dyDescent="0.25">
      <c r="A4" s="14">
        <f>'Kwh Reading'!A5</f>
        <v>44532</v>
      </c>
      <c r="B4" s="80">
        <f>TOTAL!E3</f>
        <v>21749.999999999316</v>
      </c>
      <c r="C4" s="1">
        <f>'Kwh Consumption'!C5</f>
        <v>500</v>
      </c>
      <c r="D4" s="1">
        <f>'Kwh Consumption'!D5</f>
        <v>2599.9999999997135</v>
      </c>
      <c r="E4" s="1">
        <f>'Kwh Consumption'!E5</f>
        <v>280.00000000002956</v>
      </c>
      <c r="F4" s="1">
        <f>('Kwh Consumption'!F5+'Kwh Consumption'!G5+'Kwh Consumption'!H5)</f>
        <v>899.99999999997726</v>
      </c>
      <c r="G4" s="16">
        <f>('Kwh Consumption'!I5+'Kwh Consumption'!J5)</f>
        <v>120.00000000000455</v>
      </c>
      <c r="H4" s="1">
        <f>('Kwh Consumption'!K5+'Kwh Consumption'!L5)</f>
        <v>1329.9999999998402</v>
      </c>
      <c r="I4" s="1">
        <f>('Kwh Consumption'!M5+'Kwh Consumption'!N5+'Kwh Consumption'!O5+'Kwh Consumption'!P5+'Kwh Consumption'!Q5+'Kwh Consumption'!R5)</f>
        <v>4899.9999999998636</v>
      </c>
      <c r="J4" s="1">
        <f>('Kwh Consumption'!S5+'Kwh Consumption'!T5)</f>
        <v>4210.0300000011921</v>
      </c>
      <c r="K4" s="1">
        <f>'Kwh Consumption'!U5</f>
        <v>169.99999999998749</v>
      </c>
      <c r="L4" s="31">
        <f t="shared" si="0"/>
        <v>6739.9699999987097</v>
      </c>
    </row>
    <row r="5" spans="1:12" x14ac:dyDescent="0.25">
      <c r="A5" s="14">
        <f>'Kwh Reading'!A6</f>
        <v>44533</v>
      </c>
      <c r="B5" s="80">
        <f>TOTAL!E4</f>
        <v>22360.000000001266</v>
      </c>
      <c r="C5" s="1">
        <f>'Kwh Consumption'!C6</f>
        <v>280.00000000002956</v>
      </c>
      <c r="D5" s="1">
        <f>'Kwh Consumption'!D6</f>
        <v>2600.0000000001578</v>
      </c>
      <c r="E5" s="1">
        <f>'Kwh Consumption'!E6</f>
        <v>250</v>
      </c>
      <c r="F5" s="1">
        <f>('Kwh Consumption'!F6+'Kwh Consumption'!G6+'Kwh Consumption'!H6)</f>
        <v>959.99999999997954</v>
      </c>
      <c r="G5" s="16">
        <f>('Kwh Consumption'!I6+'Kwh Consumption'!J6)</f>
        <v>139.99999999998636</v>
      </c>
      <c r="H5" s="1">
        <f>('Kwh Consumption'!K6+'Kwh Consumption'!L6)</f>
        <v>1450.0000000000898</v>
      </c>
      <c r="I5" s="1">
        <f>('Kwh Consumption'!M6+'Kwh Consumption'!N6+'Kwh Consumption'!O6+'Kwh Consumption'!P6+'Kwh Consumption'!Q6+'Kwh Consumption'!R6)</f>
        <v>4740.0000000000091</v>
      </c>
      <c r="J5" s="1">
        <f>('Kwh Consumption'!S6+'Kwh Consumption'!T6)</f>
        <v>4256.9899999983609</v>
      </c>
      <c r="K5" s="1">
        <f>'Kwh Consumption'!U6</f>
        <v>150.00000000000568</v>
      </c>
      <c r="L5" s="31">
        <f t="shared" si="0"/>
        <v>7533.0100000026505</v>
      </c>
    </row>
    <row r="6" spans="1:12" x14ac:dyDescent="0.25">
      <c r="A6" s="14">
        <f>'Kwh Reading'!A7</f>
        <v>44534</v>
      </c>
      <c r="B6" s="80">
        <f>TOTAL!E5</f>
        <v>22200.000000000273</v>
      </c>
      <c r="C6" s="1">
        <f>'Kwh Consumption'!C7</f>
        <v>550.00000000001137</v>
      </c>
      <c r="D6" s="1">
        <f>'Kwh Consumption'!D7</f>
        <v>2600.0000000001578</v>
      </c>
      <c r="E6" s="1">
        <f>'Kwh Consumption'!E7</f>
        <v>240.00000000000909</v>
      </c>
      <c r="F6" s="1">
        <f>('Kwh Consumption'!F7+'Kwh Consumption'!G7+'Kwh Consumption'!H7)</f>
        <v>910.00000000002501</v>
      </c>
      <c r="G6" s="16">
        <f>('Kwh Consumption'!I7+'Kwh Consumption'!J7)</f>
        <v>120.00000000000455</v>
      </c>
      <c r="H6" s="1">
        <f>('Kwh Consumption'!K7+'Kwh Consumption'!L7)</f>
        <v>1329.999999999897</v>
      </c>
      <c r="I6" s="1">
        <f>('Kwh Consumption'!M7+'Kwh Consumption'!N7+'Kwh Consumption'!O7+'Kwh Consumption'!P7+'Kwh Consumption'!Q7+'Kwh Consumption'!R7)</f>
        <v>5280.0000000000864</v>
      </c>
      <c r="J6" s="1">
        <f>('Kwh Consumption'!S7+'Kwh Consumption'!T7)</f>
        <v>4593.320000000298</v>
      </c>
      <c r="K6" s="1">
        <f>'Kwh Consumption'!U7</f>
        <v>180.00000000000682</v>
      </c>
      <c r="L6" s="31">
        <f t="shared" si="0"/>
        <v>6396.6799999997747</v>
      </c>
    </row>
    <row r="7" spans="1:12" x14ac:dyDescent="0.25">
      <c r="A7" s="14">
        <f>'Kwh Reading'!A8</f>
        <v>44535</v>
      </c>
      <c r="B7" s="80">
        <f>TOTAL!E6</f>
        <v>20259.999999998399</v>
      </c>
      <c r="C7" s="1">
        <f>'Kwh Consumption'!C8</f>
        <v>529.99999999997272</v>
      </c>
      <c r="D7" s="1">
        <f>'Kwh Consumption'!D8</f>
        <v>2599.9999999997135</v>
      </c>
      <c r="E7" s="1">
        <f>'Kwh Consumption'!E8</f>
        <v>259.99999999999091</v>
      </c>
      <c r="F7" s="1">
        <f>('Kwh Consumption'!F8+'Kwh Consumption'!G8+'Kwh Consumption'!H8)</f>
        <v>970.00000000008413</v>
      </c>
      <c r="G7" s="16">
        <f>('Kwh Consumption'!I8+'Kwh Consumption'!J8)</f>
        <v>240.00000000000909</v>
      </c>
      <c r="H7" s="1">
        <f>('Kwh Consumption'!K8+'Kwh Consumption'!L8)</f>
        <v>1350.000000000101</v>
      </c>
      <c r="I7" s="1">
        <f>('Kwh Consumption'!M8+'Kwh Consumption'!N8+'Kwh Consumption'!O8+'Kwh Consumption'!P8+'Kwh Consumption'!Q8+'Kwh Consumption'!R8)</f>
        <v>4889.9999999998727</v>
      </c>
      <c r="J7" s="1">
        <f>('Kwh Consumption'!S8+'Kwh Consumption'!T8)</f>
        <v>4881.8799999998882</v>
      </c>
      <c r="K7" s="1">
        <f>'Kwh Consumption'!U8</f>
        <v>239.99999999998067</v>
      </c>
      <c r="L7" s="31">
        <f t="shared" si="0"/>
        <v>4298.1199999987921</v>
      </c>
    </row>
    <row r="8" spans="1:12" x14ac:dyDescent="0.25">
      <c r="A8" s="14">
        <f>'Kwh Reading'!A9</f>
        <v>44536</v>
      </c>
      <c r="B8" s="80">
        <f>TOTAL!E7</f>
        <v>24270.000000000891</v>
      </c>
      <c r="C8" s="1">
        <f>'Kwh Consumption'!C9</f>
        <v>529.99999999997272</v>
      </c>
      <c r="D8" s="1">
        <f>'Kwh Consumption'!D9</f>
        <v>2600.0000000001578</v>
      </c>
      <c r="E8" s="1">
        <f>'Kwh Consumption'!E9</f>
        <v>230.00000000001819</v>
      </c>
      <c r="F8" s="1">
        <f>('Kwh Consumption'!F9+'Kwh Consumption'!G9+'Kwh Consumption'!H9)</f>
        <v>969.99999999997044</v>
      </c>
      <c r="G8" s="16">
        <f>('Kwh Consumption'!I9+'Kwh Consumption'!J9)</f>
        <v>19.99999999998181</v>
      </c>
      <c r="H8" s="1">
        <f>('Kwh Consumption'!K9+'Kwh Consumption'!L9)</f>
        <v>1349.9999999998788</v>
      </c>
      <c r="I8" s="1">
        <f>('Kwh Consumption'!M9+'Kwh Consumption'!N9+'Kwh Consumption'!O9+'Kwh Consumption'!P9+'Kwh Consumption'!Q9+'Kwh Consumption'!R9)</f>
        <v>4870.0000000001182</v>
      </c>
      <c r="J8" s="1">
        <f>('Kwh Consumption'!S9+'Kwh Consumption'!T9)</f>
        <v>4579.2200000006706</v>
      </c>
      <c r="K8" s="1">
        <f>'Kwh Consumption'!U9</f>
        <v>230.00000000001819</v>
      </c>
      <c r="L8" s="31">
        <f t="shared" si="0"/>
        <v>8890.7800000001025</v>
      </c>
    </row>
    <row r="9" spans="1:12" x14ac:dyDescent="0.25">
      <c r="A9" s="14">
        <f>'Kwh Reading'!A10</f>
        <v>44537</v>
      </c>
      <c r="B9" s="80">
        <f>TOTAL!E8</f>
        <v>20169.999999999389</v>
      </c>
      <c r="C9" s="1">
        <f>'Kwh Consumption'!C10</f>
        <v>520.00000000003865</v>
      </c>
      <c r="D9" s="1">
        <f>'Kwh Consumption'!D10</f>
        <v>2600.0000000001578</v>
      </c>
      <c r="E9" s="1">
        <f>'Kwh Consumption'!E10</f>
        <v>269.99999999998181</v>
      </c>
      <c r="F9" s="1">
        <f>('Kwh Consumption'!F10+'Kwh Consumption'!G10+'Kwh Consumption'!H10)</f>
        <v>1019.9999999999818</v>
      </c>
      <c r="G9" s="16">
        <f>('Kwh Consumption'!I10+'Kwh Consumption'!J10)</f>
        <v>130.00000000002387</v>
      </c>
      <c r="H9" s="1">
        <f>('Kwh Consumption'!K10+'Kwh Consumption'!L10)</f>
        <v>1370.0000000000828</v>
      </c>
      <c r="I9" s="1">
        <f>('Kwh Consumption'!M10+'Kwh Consumption'!N10+'Kwh Consumption'!O10+'Kwh Consumption'!P10+'Kwh Consumption'!Q10+'Kwh Consumption'!R10)</f>
        <v>5159.9999999999682</v>
      </c>
      <c r="J9" s="1">
        <f>('Kwh Consumption'!S10+'Kwh Consumption'!T10)</f>
        <v>4373.7099999999627</v>
      </c>
      <c r="K9" s="1">
        <f>'Kwh Consumption'!U10</f>
        <v>219.99999999999886</v>
      </c>
      <c r="L9" s="31">
        <f t="shared" si="0"/>
        <v>4506.2899999991942</v>
      </c>
    </row>
    <row r="10" spans="1:12" x14ac:dyDescent="0.25">
      <c r="A10" s="14">
        <f>'Kwh Reading'!A11</f>
        <v>44538</v>
      </c>
      <c r="B10" s="80">
        <f>TOTAL!E9</f>
        <v>25770.000000000437</v>
      </c>
      <c r="C10" s="1">
        <f>'Kwh Consumption'!C11</f>
        <v>529.99999999997272</v>
      </c>
      <c r="D10" s="1">
        <f>'Kwh Consumption'!D11</f>
        <v>2499.9999999999468</v>
      </c>
      <c r="E10" s="1">
        <f>'Kwh Consumption'!E11</f>
        <v>279.99999999997272</v>
      </c>
      <c r="F10" s="1">
        <f>('Kwh Consumption'!F11+'Kwh Consumption'!G11+'Kwh Consumption'!H11)</f>
        <v>1019.9999999999818</v>
      </c>
      <c r="G10" s="16">
        <f>('Kwh Consumption'!I11+'Kwh Consumption'!J11)</f>
        <v>119.99999999997613</v>
      </c>
      <c r="H10" s="1">
        <f>('Kwh Consumption'!K11+'Kwh Consumption'!L11)</f>
        <v>1370.0000000001396</v>
      </c>
      <c r="I10" s="1">
        <f>('Kwh Consumption'!M11+'Kwh Consumption'!N11+'Kwh Consumption'!O11+'Kwh Consumption'!P11+'Kwh Consumption'!Q11+'Kwh Consumption'!R11)</f>
        <v>4890.0000000001</v>
      </c>
      <c r="J10" s="1">
        <f>('Kwh Consumption'!S11+'Kwh Consumption'!T11)</f>
        <v>4549.9000000003725</v>
      </c>
      <c r="K10" s="1">
        <f>'Kwh Consumption'!U11</f>
        <v>219.99999999999886</v>
      </c>
      <c r="L10" s="31">
        <f t="shared" si="0"/>
        <v>10290.09999999998</v>
      </c>
    </row>
    <row r="11" spans="1:12" x14ac:dyDescent="0.25">
      <c r="A11" s="14">
        <f>'Kwh Reading'!A12</f>
        <v>44539</v>
      </c>
      <c r="B11" s="80">
        <f>TOTAL!E10</f>
        <v>21809.999999999716</v>
      </c>
      <c r="C11" s="1">
        <f>'Kwh Consumption'!C12</f>
        <v>480.00000000001819</v>
      </c>
      <c r="D11" s="1">
        <f>'Kwh Consumption'!D12</f>
        <v>2599.9999999997135</v>
      </c>
      <c r="E11" s="1">
        <f>'Kwh Consumption'!E12</f>
        <v>260.00000000004775</v>
      </c>
      <c r="F11" s="1">
        <f>('Kwh Consumption'!F12+'Kwh Consumption'!G12+'Kwh Consumption'!H12)</f>
        <v>829.99999999998408</v>
      </c>
      <c r="G11" s="16">
        <f>('Kwh Consumption'!I12+'Kwh Consumption'!J12)</f>
        <v>130.00000000002387</v>
      </c>
      <c r="H11" s="1">
        <f>('Kwh Consumption'!K12+'Kwh Consumption'!L12)</f>
        <v>1359.9999999998697</v>
      </c>
      <c r="I11" s="1">
        <f>('Kwh Consumption'!M12+'Kwh Consumption'!N12+'Kwh Consumption'!O12+'Kwh Consumption'!P12+'Kwh Consumption'!Q12+'Kwh Consumption'!R12)</f>
        <v>4730.0000000000182</v>
      </c>
      <c r="J11" s="1">
        <f>('Kwh Consumption'!S12+'Kwh Consumption'!T12)</f>
        <v>4389.519999999553</v>
      </c>
      <c r="K11" s="1">
        <f>'Kwh Consumption'!U12</f>
        <v>199.99999999998863</v>
      </c>
      <c r="L11" s="31">
        <f t="shared" si="0"/>
        <v>6830.480000000498</v>
      </c>
    </row>
    <row r="12" spans="1:12" x14ac:dyDescent="0.25">
      <c r="A12" s="14">
        <f>'Kwh Reading'!A13</f>
        <v>44540</v>
      </c>
      <c r="B12" s="80">
        <f>TOTAL!E11</f>
        <v>0</v>
      </c>
      <c r="C12" s="1">
        <f>'Kwh Consumption'!C13</f>
        <v>-495810</v>
      </c>
      <c r="D12" s="1">
        <f>'Kwh Consumption'!D13</f>
        <v>-2783600</v>
      </c>
      <c r="E12" s="1">
        <f>'Kwh Consumption'!E13</f>
        <v>-269600</v>
      </c>
      <c r="F12" s="1">
        <f>('Kwh Consumption'!F13+'Kwh Consumption'!G13+'Kwh Consumption'!H13)</f>
        <v>-1024780</v>
      </c>
      <c r="G12" s="16">
        <f>('Kwh Consumption'!I13+'Kwh Consumption'!J13)</f>
        <v>-325450</v>
      </c>
      <c r="H12" s="1">
        <f>('Kwh Consumption'!K13+'Kwh Consumption'!L13)</f>
        <v>-1465020</v>
      </c>
      <c r="I12" s="1">
        <f>('Kwh Consumption'!M13+'Kwh Consumption'!N13+'Kwh Consumption'!O13+'Kwh Consumption'!P13+'Kwh Consumption'!Q13+'Kwh Consumption'!R13)</f>
        <v>-4200770</v>
      </c>
      <c r="J12" s="1">
        <f>('Kwh Consumption'!S13+'Kwh Consumption'!T13)</f>
        <v>-16495290.67</v>
      </c>
      <c r="K12" s="1">
        <f>'Kwh Consumption'!U13</f>
        <v>-184540</v>
      </c>
      <c r="L12" s="31">
        <f t="shared" si="0"/>
        <v>27244860.670000002</v>
      </c>
    </row>
    <row r="13" spans="1:12" x14ac:dyDescent="0.25">
      <c r="A13" s="14">
        <f>'Kwh Reading'!A14</f>
        <v>44541</v>
      </c>
      <c r="B13" s="80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1">
        <f t="shared" si="0"/>
        <v>0</v>
      </c>
    </row>
    <row r="14" spans="1:12" x14ac:dyDescent="0.25">
      <c r="A14" s="14">
        <f>'Kwh Reading'!A15</f>
        <v>44542</v>
      </c>
      <c r="B14" s="80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0</v>
      </c>
    </row>
    <row r="15" spans="1:12" x14ac:dyDescent="0.25">
      <c r="A15" s="14">
        <f>'Kwh Reading'!A16</f>
        <v>44543</v>
      </c>
      <c r="B15" s="80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44544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44545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44546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44547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44548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44549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44550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44551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44552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44553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44554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44555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44556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44557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44558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44559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44560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44561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199849.99999999921</v>
      </c>
      <c r="C34" s="72">
        <f>SUM(C3:C33)</f>
        <v>-491370</v>
      </c>
      <c r="D34" s="72">
        <f t="shared" ref="D34:L34" si="1">SUM(D3:D33)</f>
        <v>-2760300</v>
      </c>
      <c r="E34" s="72">
        <f t="shared" si="1"/>
        <v>-267319.99999999994</v>
      </c>
      <c r="F34" s="72">
        <f t="shared" si="1"/>
        <v>-1016150</v>
      </c>
      <c r="G34" s="72">
        <f t="shared" si="1"/>
        <v>-324280</v>
      </c>
      <c r="H34" s="72">
        <f t="shared" si="1"/>
        <v>-1452670</v>
      </c>
      <c r="I34" s="72">
        <f t="shared" si="1"/>
        <v>-4156390</v>
      </c>
      <c r="J34" s="72">
        <f t="shared" si="1"/>
        <v>-16455174.970000001</v>
      </c>
      <c r="K34" s="72">
        <f t="shared" si="1"/>
        <v>-182770.00000000003</v>
      </c>
      <c r="L34" s="72">
        <f t="shared" si="1"/>
        <v>27306274.970000003</v>
      </c>
      <c r="M34" s="81">
        <f>C34+D34+E34+F34+G34+H34+I34+J34+K34+L34</f>
        <v>199850.00000000373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-88446.599999999991</v>
      </c>
      <c r="D36" s="72">
        <f>D34*B36</f>
        <v>-496854</v>
      </c>
      <c r="E36" s="72">
        <f>E34*B36</f>
        <v>-48117.599999999991</v>
      </c>
      <c r="F36" s="72">
        <f>F34*B36</f>
        <v>-182907</v>
      </c>
      <c r="G36" s="72">
        <f>G34*B36</f>
        <v>-58370.400000000001</v>
      </c>
      <c r="H36" s="72">
        <f>H34*B36</f>
        <v>-261480.59999999998</v>
      </c>
      <c r="I36" s="72">
        <f>I34*B36</f>
        <v>-748150.2</v>
      </c>
      <c r="J36" s="72">
        <f>J34*B36</f>
        <v>-2961931.4945999999</v>
      </c>
      <c r="K36" s="72">
        <f>K34*B36</f>
        <v>-32898.600000000006</v>
      </c>
      <c r="L36" s="72">
        <f>L34*B36</f>
        <v>4915129.4945999999</v>
      </c>
      <c r="M36" s="81">
        <f>C36+D36+E36+F36+G36+H36+I36+J36+K36+L36</f>
        <v>35973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44531</v>
      </c>
      <c r="B3" s="11">
        <f>TOTAL!F2</f>
        <v>0.18</v>
      </c>
      <c r="C3" s="11">
        <f>'Kwh Consumption'!B4*' Kwh area wise $ '!B3</f>
        <v>3826.7999999999161</v>
      </c>
      <c r="D3" s="1">
        <f>'Kwh Consumption'!C4*' Kwh area wise $ '!B3</f>
        <v>93.599999999996726</v>
      </c>
      <c r="E3" s="1">
        <f>'Kwh Consumption'!D4*' Kwh area wise $ '!B3</f>
        <v>468.00000000002836</v>
      </c>
      <c r="F3" s="1">
        <f>'Kwh Consumption'!E4*' Kwh area wise $ '!B3</f>
        <v>37.799999999996317</v>
      </c>
      <c r="G3" s="1">
        <f>('Kwh Consumption'!F4+'Kwh Consumption'!G4+'Kwh Consumption'!H4)*' Kwh area wise $ '!B3</f>
        <v>189.00000000000205</v>
      </c>
      <c r="H3" s="16">
        <f>('Kwh Consumption'!I4+'Kwh Consumption'!J4)*' Kwh area wise $ '!B3</f>
        <v>27.000000000001023</v>
      </c>
      <c r="I3" s="1">
        <f>('Kwh Consumption'!K4+'Kwh Consumption'!L4)*' Kwh area wise $ '!B3</f>
        <v>259.20000000001778</v>
      </c>
      <c r="J3" s="1">
        <f>('Kwh Consumption'!M4+'Kwh Consumption'!N4+'Kwh Consumption'!O4+'Kwh Consumption'!P4+'Kwh Consumption'!Q4+'Kwh Consumption'!R4)*' Kwh area wise $ '!B3</f>
        <v>885.6000000000131</v>
      </c>
      <c r="K3" s="1">
        <f>('Kwh Consumption'!S4+'Kwh Consumption'!T4)*' Kwh area wise $ '!B3</f>
        <v>770.60339999981227</v>
      </c>
      <c r="L3" s="1">
        <f>'Kwh Consumption'!U4*' Kwh area wise $ '!B3</f>
        <v>28.799999999999386</v>
      </c>
      <c r="M3" s="1">
        <f>'Kwh Consumption'!V4*' Kwh area wise $ '!B3</f>
        <v>1067.1966000000496</v>
      </c>
    </row>
    <row r="4" spans="1:13" x14ac:dyDescent="0.25">
      <c r="A4" s="14">
        <f>'Kwh Reading'!A5</f>
        <v>44532</v>
      </c>
      <c r="B4" s="11">
        <f>TOTAL!F3</f>
        <v>0.18</v>
      </c>
      <c r="C4" s="11">
        <f>'Kwh Consumption'!B5*' Kwh area wise $ '!B4</f>
        <v>3914.9999999998768</v>
      </c>
      <c r="D4" s="1">
        <f>'Kwh Consumption'!C5*' Kwh area wise $ '!B4</f>
        <v>90</v>
      </c>
      <c r="E4" s="1">
        <f>'Kwh Consumption'!D5*' Kwh area wise $ '!B4</f>
        <v>467.99999999994839</v>
      </c>
      <c r="F4" s="1">
        <f>'Kwh Consumption'!E5*' Kwh area wise $ '!B4</f>
        <v>50.400000000005321</v>
      </c>
      <c r="G4" s="1">
        <f>('Kwh Consumption'!F5+'Kwh Consumption'!G5+'Kwh Consumption'!H5)*' Kwh area wise $ '!B4</f>
        <v>161.99999999999591</v>
      </c>
      <c r="H4" s="16">
        <f>('Kwh Consumption'!I5+'Kwh Consumption'!J5)*' Kwh area wise $ '!B4</f>
        <v>21.600000000000819</v>
      </c>
      <c r="I4" s="1">
        <f>('Kwh Consumption'!K5+'Kwh Consumption'!L5)*' Kwh area wise $ '!B4</f>
        <v>239.39999999997121</v>
      </c>
      <c r="J4" s="1">
        <f>('Kwh Consumption'!M5+'Kwh Consumption'!N5+'Kwh Consumption'!O5+'Kwh Consumption'!P5+'Kwh Consumption'!Q5+'Kwh Consumption'!R5)*' Kwh area wise $ '!B4</f>
        <v>881.99999999997544</v>
      </c>
      <c r="K4" s="1">
        <f>('Kwh Consumption'!S5+'Kwh Consumption'!T5)*' Kwh area wise $ '!B4</f>
        <v>757.8054000002146</v>
      </c>
      <c r="L4" s="1">
        <f>'Kwh Consumption'!U5*' Kwh area wise $ '!B4</f>
        <v>30.599999999997749</v>
      </c>
      <c r="M4" s="1">
        <f>'Kwh Consumption'!V5*' Kwh area wise $ '!B4</f>
        <v>1213.1945999997674</v>
      </c>
    </row>
    <row r="5" spans="1:13" x14ac:dyDescent="0.25">
      <c r="A5" s="14">
        <f>'Kwh Reading'!A6</f>
        <v>44533</v>
      </c>
      <c r="B5" s="11">
        <f>TOTAL!F4</f>
        <v>0.18</v>
      </c>
      <c r="C5" s="11">
        <f>'Kwh Consumption'!B6*' Kwh area wise $ '!B5</f>
        <v>4024.8000000002276</v>
      </c>
      <c r="D5" s="1">
        <f>'Kwh Consumption'!C6*' Kwh area wise $ '!B5</f>
        <v>50.400000000005321</v>
      </c>
      <c r="E5" s="1">
        <f>'Kwh Consumption'!D6*' Kwh area wise $ '!B5</f>
        <v>468.00000000002836</v>
      </c>
      <c r="F5" s="1">
        <f>'Kwh Consumption'!E6*' Kwh area wise $ '!B5</f>
        <v>45</v>
      </c>
      <c r="G5" s="1">
        <f>('Kwh Consumption'!F6+'Kwh Consumption'!G6+'Kwh Consumption'!H6)*' Kwh area wise $ '!B5</f>
        <v>172.79999999999632</v>
      </c>
      <c r="H5" s="16">
        <f>('Kwh Consumption'!I6+'Kwh Consumption'!J6)*' Kwh area wise $ '!B5</f>
        <v>25.199999999997544</v>
      </c>
      <c r="I5" s="1">
        <f>('Kwh Consumption'!K6+'Kwh Consumption'!L6)*' Kwh area wise $ '!B5</f>
        <v>261.00000000001614</v>
      </c>
      <c r="J5" s="1">
        <f>('Kwh Consumption'!M6+'Kwh Consumption'!N6+'Kwh Consumption'!O6+'Kwh Consumption'!P6+'Kwh Consumption'!Q6+'Kwh Consumption'!R6)*' Kwh area wise $ '!B5</f>
        <v>853.20000000000164</v>
      </c>
      <c r="K5" s="1">
        <f>('Kwh Consumption'!S6+'Kwh Consumption'!T6)*' Kwh area wise $ '!B5</f>
        <v>766.25819999970497</v>
      </c>
      <c r="L5" s="1">
        <f>'Kwh Consumption'!U6*' Kwh area wise $ '!B5</f>
        <v>27.000000000001023</v>
      </c>
      <c r="M5" s="1">
        <f>'Kwh Consumption'!V6*' Kwh area wise $ '!B5</f>
        <v>1355.9418000004766</v>
      </c>
    </row>
    <row r="6" spans="1:13" x14ac:dyDescent="0.25">
      <c r="A6" s="14">
        <f>'Kwh Reading'!A7</f>
        <v>44534</v>
      </c>
      <c r="B6" s="11">
        <f>TOTAL!F5</f>
        <v>0.18</v>
      </c>
      <c r="C6" s="11">
        <f>'Kwh Consumption'!B7*' Kwh area wise $ '!B6</f>
        <v>3996.0000000000491</v>
      </c>
      <c r="D6" s="1">
        <f>'Kwh Consumption'!C7*' Kwh area wise $ '!B6</f>
        <v>99.000000000002046</v>
      </c>
      <c r="E6" s="1">
        <f>'Kwh Consumption'!D7*' Kwh area wise $ '!B6</f>
        <v>468.00000000002836</v>
      </c>
      <c r="F6" s="1">
        <f>'Kwh Consumption'!E7*' Kwh area wise $ '!B6</f>
        <v>43.200000000001637</v>
      </c>
      <c r="G6" s="1">
        <f>('Kwh Consumption'!F7+'Kwh Consumption'!G7+'Kwh Consumption'!H7)*' Kwh area wise $ '!B6</f>
        <v>163.8000000000045</v>
      </c>
      <c r="H6" s="16">
        <f>('Kwh Consumption'!I7+'Kwh Consumption'!J7)*' Kwh area wise $ '!B6</f>
        <v>21.600000000000819</v>
      </c>
      <c r="I6" s="1">
        <f>('Kwh Consumption'!K7+'Kwh Consumption'!L7)*' Kwh area wise $ '!B6</f>
        <v>239.39999999998145</v>
      </c>
      <c r="J6" s="1">
        <f>('Kwh Consumption'!M7+'Kwh Consumption'!N7+'Kwh Consumption'!O7+'Kwh Consumption'!P7+'Kwh Consumption'!Q7+'Kwh Consumption'!R7)*' Kwh area wise $ '!B6</f>
        <v>950.40000000001555</v>
      </c>
      <c r="K6" s="1">
        <f>('Kwh Consumption'!S7+'Kwh Consumption'!T7)*' Kwh area wise $ '!B6</f>
        <v>826.79760000005365</v>
      </c>
      <c r="L6" s="1">
        <f>'Kwh Consumption'!U7*' Kwh area wise $ '!B6</f>
        <v>32.400000000001228</v>
      </c>
      <c r="M6" s="1">
        <f>'Kwh Consumption'!V7*' Kwh area wise $ '!B6</f>
        <v>1151.4023999999595</v>
      </c>
    </row>
    <row r="7" spans="1:13" x14ac:dyDescent="0.25">
      <c r="A7" s="14">
        <f>'Kwh Reading'!A8</f>
        <v>44535</v>
      </c>
      <c r="B7" s="11">
        <f>TOTAL!F6</f>
        <v>0.18</v>
      </c>
      <c r="C7" s="11">
        <f>'Kwh Consumption'!B8*' Kwh area wise $ '!B7</f>
        <v>3646.7999999997119</v>
      </c>
      <c r="D7" s="1">
        <f>'Kwh Consumption'!C8*' Kwh area wise $ '!B7</f>
        <v>95.399999999995089</v>
      </c>
      <c r="E7" s="1">
        <f>'Kwh Consumption'!D8*' Kwh area wise $ '!B7</f>
        <v>467.99999999994839</v>
      </c>
      <c r="F7" s="1">
        <f>'Kwh Consumption'!E8*' Kwh area wise $ '!B7</f>
        <v>46.799999999998363</v>
      </c>
      <c r="G7" s="1">
        <f>('Kwh Consumption'!F8+'Kwh Consumption'!G8+'Kwh Consumption'!H8)*' Kwh area wise $ '!B7</f>
        <v>174.60000000001514</v>
      </c>
      <c r="H7" s="16">
        <f>('Kwh Consumption'!I8+'Kwh Consumption'!J8)*' Kwh area wise $ '!B7</f>
        <v>43.200000000001637</v>
      </c>
      <c r="I7" s="1">
        <f>('Kwh Consumption'!K8+'Kwh Consumption'!L8)*' Kwh area wise $ '!B7</f>
        <v>243.00000000001816</v>
      </c>
      <c r="J7" s="1">
        <f>('Kwh Consumption'!M8+'Kwh Consumption'!N8+'Kwh Consumption'!O8+'Kwh Consumption'!P8+'Kwh Consumption'!Q8+'Kwh Consumption'!R8)*' Kwh area wise $ '!B7</f>
        <v>880.19999999997708</v>
      </c>
      <c r="K7" s="1">
        <f>('Kwh Consumption'!S8+'Kwh Consumption'!T8)*' Kwh area wise $ '!B7</f>
        <v>878.73839999997983</v>
      </c>
      <c r="L7" s="1">
        <f>'Kwh Consumption'!U8*' Kwh area wise $ '!B7</f>
        <v>43.199999999996521</v>
      </c>
      <c r="M7" s="1">
        <f>'Kwh Consumption'!V8*' Kwh area wise $ '!B7</f>
        <v>773.6615999997814</v>
      </c>
    </row>
    <row r="8" spans="1:13" x14ac:dyDescent="0.25">
      <c r="A8" s="14">
        <f>'Kwh Reading'!A9</f>
        <v>44536</v>
      </c>
      <c r="B8" s="11">
        <f>TOTAL!F7</f>
        <v>0.18</v>
      </c>
      <c r="C8" s="11">
        <f>'Kwh Consumption'!B9*' Kwh area wise $ '!B8</f>
        <v>4368.6000000001604</v>
      </c>
      <c r="D8" s="1">
        <f>'Kwh Consumption'!C9*' Kwh area wise $ '!B8</f>
        <v>95.399999999995089</v>
      </c>
      <c r="E8" s="1">
        <f>'Kwh Consumption'!D9*' Kwh area wise $ '!B8</f>
        <v>468.00000000002836</v>
      </c>
      <c r="F8" s="1">
        <f>'Kwh Consumption'!E9*' Kwh area wise $ '!B8</f>
        <v>41.400000000003274</v>
      </c>
      <c r="G8" s="1">
        <f>('Kwh Consumption'!F9+'Kwh Consumption'!G9+'Kwh Consumption'!H9)*' Kwh area wise $ '!B8</f>
        <v>174.59999999999468</v>
      </c>
      <c r="H8" s="16">
        <f>('Kwh Consumption'!I9+'Kwh Consumption'!J9)*' Kwh area wise $ '!B8</f>
        <v>3.5999999999967258</v>
      </c>
      <c r="I8" s="1">
        <f>('Kwh Consumption'!K9+'Kwh Consumption'!L9)*' Kwh area wise $ '!B8</f>
        <v>242.99999999997817</v>
      </c>
      <c r="J8" s="1">
        <f>('Kwh Consumption'!M9+'Kwh Consumption'!N9+'Kwh Consumption'!O9+'Kwh Consumption'!P9+'Kwh Consumption'!Q9+'Kwh Consumption'!R9)*' Kwh area wise $ '!B8</f>
        <v>876.60000000002128</v>
      </c>
      <c r="K8" s="1">
        <f>('Kwh Consumption'!S9+'Kwh Consumption'!T9)*' Kwh area wise $ '!B8</f>
        <v>824.25960000012071</v>
      </c>
      <c r="L8" s="1">
        <f>'Kwh Consumption'!U9*' Kwh area wise $ '!B8</f>
        <v>41.400000000003274</v>
      </c>
      <c r="M8" s="1">
        <f>'Kwh Consumption'!V9*' Kwh area wise $ '!B8</f>
        <v>1600.3404000000187</v>
      </c>
    </row>
    <row r="9" spans="1:13" x14ac:dyDescent="0.25">
      <c r="A9" s="14">
        <f>'Kwh Reading'!A10</f>
        <v>44537</v>
      </c>
      <c r="B9" s="11">
        <f>TOTAL!F8</f>
        <v>0.18</v>
      </c>
      <c r="C9" s="11">
        <f>'Kwh Consumption'!B10*' Kwh area wise $ '!B9</f>
        <v>3630.5999999998899</v>
      </c>
      <c r="D9" s="1">
        <f>'Kwh Consumption'!C10*' Kwh area wise $ '!B9</f>
        <v>93.600000000006958</v>
      </c>
      <c r="E9" s="1">
        <f>'Kwh Consumption'!D10*' Kwh area wise $ '!B9</f>
        <v>468.00000000002836</v>
      </c>
      <c r="F9" s="1">
        <f>'Kwh Consumption'!E10*' Kwh area wise $ '!B9</f>
        <v>48.599999999996726</v>
      </c>
      <c r="G9" s="1">
        <f>('Kwh Consumption'!F10+'Kwh Consumption'!G10+'Kwh Consumption'!H10)*' Kwh area wise $ '!B9</f>
        <v>183.59999999999673</v>
      </c>
      <c r="H9" s="16">
        <f>('Kwh Consumption'!I10+'Kwh Consumption'!J10)*' Kwh area wise $ '!B9</f>
        <v>23.400000000004297</v>
      </c>
      <c r="I9" s="1">
        <f>('Kwh Consumption'!K10+'Kwh Consumption'!L10)*' Kwh area wise $ '!B9</f>
        <v>246.60000000001489</v>
      </c>
      <c r="J9" s="1">
        <f>('Kwh Consumption'!M10+'Kwh Consumption'!N10+'Kwh Consumption'!O10+'Kwh Consumption'!P10+'Kwh Consumption'!Q10+'Kwh Consumption'!R10)*' Kwh area wise $ '!B9</f>
        <v>928.79999999999427</v>
      </c>
      <c r="K9" s="1">
        <f>('Kwh Consumption'!S10+'Kwh Consumption'!T10)*' Kwh area wise $ '!B9</f>
        <v>787.26779999999326</v>
      </c>
      <c r="L9" s="1">
        <f>'Kwh Consumption'!U10*' Kwh area wise $ '!B9</f>
        <v>39.599999999999795</v>
      </c>
      <c r="M9" s="1">
        <f>'Kwh Consumption'!V10*' Kwh area wise $ '!B9</f>
        <v>811.13219999985506</v>
      </c>
    </row>
    <row r="10" spans="1:13" x14ac:dyDescent="0.25">
      <c r="A10" s="14">
        <f>'Kwh Reading'!A11</f>
        <v>44538</v>
      </c>
      <c r="B10" s="11">
        <f>TOTAL!F9</f>
        <v>0.18</v>
      </c>
      <c r="C10" s="11">
        <f>'Kwh Consumption'!B11*' Kwh area wise $ '!B10</f>
        <v>4638.6000000000786</v>
      </c>
      <c r="D10" s="1">
        <f>'Kwh Consumption'!C11*' Kwh area wise $ '!B10</f>
        <v>95.399999999995089</v>
      </c>
      <c r="E10" s="1">
        <f>'Kwh Consumption'!D11*' Kwh area wise $ '!B10</f>
        <v>449.99999999999039</v>
      </c>
      <c r="F10" s="1">
        <f>'Kwh Consumption'!E11*' Kwh area wise $ '!B10</f>
        <v>50.399999999995089</v>
      </c>
      <c r="G10" s="1">
        <f>('Kwh Consumption'!F11+'Kwh Consumption'!G11+'Kwh Consumption'!H11)*' Kwh area wise $ '!B10</f>
        <v>183.59999999999673</v>
      </c>
      <c r="H10" s="16">
        <f>('Kwh Consumption'!I11+'Kwh Consumption'!J11)*' Kwh area wise $ '!B10</f>
        <v>21.599999999995703</v>
      </c>
      <c r="I10" s="1">
        <f>('Kwh Consumption'!K11+'Kwh Consumption'!L11)*' Kwh area wise $ '!B10</f>
        <v>246.60000000002512</v>
      </c>
      <c r="J10" s="1">
        <f>('Kwh Consumption'!M11+'Kwh Consumption'!N11+'Kwh Consumption'!O11+'Kwh Consumption'!P11+'Kwh Consumption'!Q11+'Kwh Consumption'!R11)*' Kwh area wise $ '!B10</f>
        <v>880.20000000001801</v>
      </c>
      <c r="K10" s="1">
        <f>('Kwh Consumption'!S11+'Kwh Consumption'!T11)*' Kwh area wise $ '!B10</f>
        <v>818.98200000006705</v>
      </c>
      <c r="L10" s="1">
        <f>'Kwh Consumption'!U11*' Kwh area wise $ '!B10</f>
        <v>39.599999999999795</v>
      </c>
      <c r="M10" s="1">
        <f>'Kwh Consumption'!V11*' Kwh area wise $ '!B10</f>
        <v>1852.2179999999953</v>
      </c>
    </row>
    <row r="11" spans="1:13" x14ac:dyDescent="0.25">
      <c r="A11" s="14">
        <f>'Kwh Reading'!A12</f>
        <v>44539</v>
      </c>
      <c r="B11" s="11">
        <f>TOTAL!F10</f>
        <v>0.18</v>
      </c>
      <c r="C11" s="11">
        <f>'Kwh Consumption'!B12*' Kwh area wise $ '!B11</f>
        <v>3925.7999999999488</v>
      </c>
      <c r="D11" s="1">
        <f>'Kwh Consumption'!C12*' Kwh area wise $ '!B11</f>
        <v>86.400000000003274</v>
      </c>
      <c r="E11" s="1">
        <f>'Kwh Consumption'!D12*' Kwh area wise $ '!B11</f>
        <v>467.99999999994839</v>
      </c>
      <c r="F11" s="1">
        <f>'Kwh Consumption'!E12*' Kwh area wise $ '!B11</f>
        <v>46.800000000008595</v>
      </c>
      <c r="G11" s="1">
        <f>('Kwh Consumption'!F12+'Kwh Consumption'!G12+'Kwh Consumption'!H12)*' Kwh area wise $ '!B11</f>
        <v>149.39999999999714</v>
      </c>
      <c r="H11" s="16">
        <f>('Kwh Consumption'!I12+'Kwh Consumption'!J12)*' Kwh area wise $ '!B11</f>
        <v>23.400000000004297</v>
      </c>
      <c r="I11" s="1">
        <f>('Kwh Consumption'!K12+'Kwh Consumption'!L12)*' Kwh area wise $ '!B11</f>
        <v>244.79999999997654</v>
      </c>
      <c r="J11" s="1">
        <f>('Kwh Consumption'!M12+'Kwh Consumption'!N12+'Kwh Consumption'!O12+'Kwh Consumption'!P12+'Kwh Consumption'!Q12+'Kwh Consumption'!R12)*' Kwh area wise $ '!B11</f>
        <v>851.40000000000327</v>
      </c>
      <c r="K11" s="1">
        <f>('Kwh Consumption'!S12+'Kwh Consumption'!T12)*' Kwh area wise $ '!B11</f>
        <v>790.11359999991953</v>
      </c>
      <c r="L11" s="1">
        <f>'Kwh Consumption'!U12*' Kwh area wise $ '!B11</f>
        <v>35.999999999997954</v>
      </c>
      <c r="M11" s="1">
        <f>'Kwh Consumption'!V12*' Kwh area wise $ '!B11</f>
        <v>1229.4864000000896</v>
      </c>
    </row>
    <row r="12" spans="1:13" x14ac:dyDescent="0.25">
      <c r="A12" s="14">
        <f>'Kwh Reading'!A13</f>
        <v>44540</v>
      </c>
      <c r="B12" s="11">
        <f>TOTAL!F11</f>
        <v>0.18</v>
      </c>
      <c r="C12" s="11">
        <f>'Kwh Consumption'!B13*' Kwh area wise $ '!B12</f>
        <v>0</v>
      </c>
      <c r="D12" s="1">
        <f>'Kwh Consumption'!C13*' Kwh area wise $ '!B12</f>
        <v>-89245.8</v>
      </c>
      <c r="E12" s="1">
        <f>'Kwh Consumption'!D13*' Kwh area wise $ '!B12</f>
        <v>-501048</v>
      </c>
      <c r="F12" s="1">
        <f>'Kwh Consumption'!E13*' Kwh area wise $ '!B12</f>
        <v>-48528</v>
      </c>
      <c r="G12" s="1">
        <f>('Kwh Consumption'!F13+'Kwh Consumption'!G13+'Kwh Consumption'!H13)*' Kwh area wise $ '!B12</f>
        <v>-184460.4</v>
      </c>
      <c r="H12" s="16">
        <f>('Kwh Consumption'!I13+'Kwh Consumption'!J13)*' Kwh area wise $ '!B12</f>
        <v>-58581</v>
      </c>
      <c r="I12" s="1">
        <f>('Kwh Consumption'!K13+'Kwh Consumption'!L13)*' Kwh area wise $ '!B12</f>
        <v>-263703.59999999998</v>
      </c>
      <c r="J12" s="1">
        <f>('Kwh Consumption'!M13+'Kwh Consumption'!N13+'Kwh Consumption'!O13+'Kwh Consumption'!P13+'Kwh Consumption'!Q13+'Kwh Consumption'!R13)*' Kwh area wise $ '!B12</f>
        <v>-756138.6</v>
      </c>
      <c r="K12" s="1">
        <f>('Kwh Consumption'!S13+'Kwh Consumption'!T13)*' Kwh area wise $ '!B12</f>
        <v>-2969152.3205999997</v>
      </c>
      <c r="L12" s="1">
        <f>'Kwh Consumption'!U13*' Kwh area wise $ '!B12</f>
        <v>-33217.199999999997</v>
      </c>
      <c r="M12" s="1">
        <f>'Kwh Consumption'!V13*' Kwh area wise $ '!B12</f>
        <v>4904074.9205999998</v>
      </c>
    </row>
    <row r="13" spans="1:13" x14ac:dyDescent="0.25">
      <c r="A13" s="14">
        <f>'Kwh Reading'!A14</f>
        <v>44541</v>
      </c>
      <c r="B13" s="11">
        <f>TOTAL!F12</f>
        <v>0.18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44542</v>
      </c>
      <c r="B14" s="11">
        <f>TOTAL!F13</f>
        <v>0.18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44543</v>
      </c>
      <c r="B15" s="11">
        <f>TOTAL!F14</f>
        <v>0.18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44544</v>
      </c>
      <c r="B16" s="11">
        <f>TOTAL!F15</f>
        <v>0.18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44545</v>
      </c>
      <c r="B17" s="11">
        <f>TOTAL!F16</f>
        <v>0.18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44546</v>
      </c>
      <c r="B18" s="11">
        <f>TOTAL!F17</f>
        <v>0.18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44547</v>
      </c>
      <c r="B19" s="11">
        <f>TOTAL!F18</f>
        <v>0.18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44548</v>
      </c>
      <c r="B20" s="11">
        <f>TOTAL!F19</f>
        <v>0.18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44549</v>
      </c>
      <c r="B21" s="11">
        <f>TOTAL!F20</f>
        <v>0.18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44550</v>
      </c>
      <c r="B22" s="11">
        <f>TOTAL!F21</f>
        <v>0.18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44551</v>
      </c>
      <c r="B23" s="11">
        <f>TOTAL!F22</f>
        <v>0.18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44552</v>
      </c>
      <c r="B24" s="11">
        <f>TOTAL!F23</f>
        <v>0.18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44553</v>
      </c>
      <c r="B25" s="11">
        <f>TOTAL!F24</f>
        <v>0.18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44554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44555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44556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44557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44558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44559</v>
      </c>
      <c r="B31" s="11">
        <f>TOTAL!F30</f>
        <v>0.18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44560</v>
      </c>
      <c r="B32" s="11">
        <f>TOTAL!F31</f>
        <v>0.18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44561</v>
      </c>
      <c r="B33" s="11">
        <f>TOTAL!F32</f>
        <v>0.18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5" t="s">
        <v>52</v>
      </c>
      <c r="B34" s="145"/>
      <c r="C34" s="72">
        <f t="shared" ref="C34:L34" si="0">SUM(C3:C33)</f>
        <v>35972.999999999862</v>
      </c>
      <c r="D34" s="72">
        <f t="shared" si="0"/>
        <v>-88446.6</v>
      </c>
      <c r="E34" s="72">
        <f t="shared" si="0"/>
        <v>-496854</v>
      </c>
      <c r="F34" s="72">
        <f t="shared" si="0"/>
        <v>-48117.599999999991</v>
      </c>
      <c r="G34" s="72">
        <f t="shared" si="0"/>
        <v>-182907</v>
      </c>
      <c r="H34" s="72">
        <f t="shared" si="0"/>
        <v>-58370.399999999994</v>
      </c>
      <c r="I34" s="72">
        <f t="shared" si="0"/>
        <v>-261480.59999999998</v>
      </c>
      <c r="J34" s="72">
        <f t="shared" si="0"/>
        <v>-748150.2</v>
      </c>
      <c r="K34" s="72">
        <f t="shared" si="0"/>
        <v>-2961931.4945999999</v>
      </c>
      <c r="L34" s="72">
        <f t="shared" si="0"/>
        <v>-32898.6</v>
      </c>
      <c r="M34" s="72">
        <f>SUM(M3:M33)</f>
        <v>4915129.4945999999</v>
      </c>
      <c r="N34" s="81">
        <f>D34+E34+F34+G34+H34+I34+J34+K34+L34+M34</f>
        <v>35973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R13" sqref="R13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44531</v>
      </c>
      <c r="B3" s="32">
        <v>194548</v>
      </c>
      <c r="C3" s="32"/>
      <c r="D3" s="32">
        <v>232138</v>
      </c>
      <c r="E3" s="32">
        <v>256884</v>
      </c>
      <c r="F3" s="32">
        <v>67037</v>
      </c>
      <c r="G3" s="32">
        <v>114612</v>
      </c>
      <c r="H3" s="32">
        <v>58917</v>
      </c>
      <c r="I3" s="32">
        <v>68547</v>
      </c>
      <c r="J3" s="32">
        <v>21751</v>
      </c>
      <c r="K3" s="54">
        <v>1024</v>
      </c>
      <c r="L3" s="104">
        <v>18215</v>
      </c>
      <c r="M3" s="104">
        <v>26193</v>
      </c>
      <c r="N3" s="104">
        <v>8105</v>
      </c>
      <c r="O3" s="104">
        <v>1850</v>
      </c>
      <c r="P3" s="104">
        <v>28709</v>
      </c>
      <c r="Q3" s="104">
        <v>1139</v>
      </c>
      <c r="R3" s="104">
        <v>7085</v>
      </c>
    </row>
    <row r="4" spans="1:21" x14ac:dyDescent="0.25">
      <c r="A4" s="52">
        <v>44532</v>
      </c>
      <c r="B4" s="32">
        <v>194694</v>
      </c>
      <c r="C4" s="32"/>
      <c r="D4" s="32">
        <v>232324</v>
      </c>
      <c r="E4" s="32">
        <v>256952</v>
      </c>
      <c r="F4" s="32">
        <v>67038</v>
      </c>
      <c r="G4" s="32">
        <v>114636</v>
      </c>
      <c r="H4" s="32">
        <v>58949</v>
      </c>
      <c r="I4" s="32">
        <v>68565</v>
      </c>
      <c r="J4" s="54">
        <v>21757</v>
      </c>
      <c r="K4" s="54">
        <v>1024</v>
      </c>
      <c r="L4" s="104">
        <v>18220</v>
      </c>
      <c r="M4" s="104">
        <v>26201</v>
      </c>
      <c r="N4" s="104">
        <v>8106</v>
      </c>
      <c r="O4" s="104">
        <v>1852</v>
      </c>
      <c r="P4" s="104">
        <v>28709</v>
      </c>
      <c r="Q4" s="104">
        <v>1143</v>
      </c>
      <c r="R4" s="104">
        <v>7092</v>
      </c>
    </row>
    <row r="5" spans="1:21" x14ac:dyDescent="0.25">
      <c r="A5" s="52">
        <v>44533</v>
      </c>
      <c r="B5" s="32">
        <v>194872</v>
      </c>
      <c r="C5" s="32"/>
      <c r="D5" s="32">
        <v>232601</v>
      </c>
      <c r="E5" s="32">
        <v>257018</v>
      </c>
      <c r="F5" s="32">
        <v>67038</v>
      </c>
      <c r="G5" s="32">
        <v>114656</v>
      </c>
      <c r="H5" s="32">
        <v>58971</v>
      </c>
      <c r="I5" s="32">
        <v>68596</v>
      </c>
      <c r="J5" s="53">
        <v>21763</v>
      </c>
      <c r="K5" s="32">
        <v>1024</v>
      </c>
      <c r="L5" s="104">
        <v>18224</v>
      </c>
      <c r="M5" s="104">
        <v>26208</v>
      </c>
      <c r="N5" s="104">
        <v>8107</v>
      </c>
      <c r="O5" s="104">
        <v>1852</v>
      </c>
      <c r="P5" s="104">
        <v>28721</v>
      </c>
      <c r="Q5" s="104">
        <v>1148</v>
      </c>
      <c r="R5" s="104">
        <v>7099</v>
      </c>
    </row>
    <row r="6" spans="1:21" x14ac:dyDescent="0.25">
      <c r="A6" s="52">
        <v>44534</v>
      </c>
      <c r="B6" s="32">
        <v>195067</v>
      </c>
      <c r="C6" s="32"/>
      <c r="D6" s="32">
        <v>232910</v>
      </c>
      <c r="E6" s="32">
        <v>257088</v>
      </c>
      <c r="F6" s="32">
        <v>67039</v>
      </c>
      <c r="G6" s="32">
        <v>114676</v>
      </c>
      <c r="H6" s="32">
        <v>58994</v>
      </c>
      <c r="I6" s="32">
        <v>68622</v>
      </c>
      <c r="J6" s="54">
        <v>21768</v>
      </c>
      <c r="K6" s="54">
        <v>1024</v>
      </c>
      <c r="L6" s="104">
        <v>18228</v>
      </c>
      <c r="M6" s="104">
        <v>26218</v>
      </c>
      <c r="N6" s="104">
        <v>8108</v>
      </c>
      <c r="O6" s="104">
        <v>1853</v>
      </c>
      <c r="P6" s="104">
        <v>28721</v>
      </c>
      <c r="Q6" s="104">
        <v>1153</v>
      </c>
      <c r="R6" s="104">
        <v>7099</v>
      </c>
    </row>
    <row r="7" spans="1:21" x14ac:dyDescent="0.25">
      <c r="A7" s="52">
        <v>44535</v>
      </c>
      <c r="B7" s="54">
        <v>195287</v>
      </c>
      <c r="C7" s="32"/>
      <c r="D7" s="104">
        <v>233268</v>
      </c>
      <c r="E7" s="104">
        <v>257168</v>
      </c>
      <c r="F7" s="104">
        <v>67040</v>
      </c>
      <c r="G7" s="104">
        <v>114697</v>
      </c>
      <c r="H7" s="104">
        <v>59018</v>
      </c>
      <c r="I7" s="104">
        <v>68643</v>
      </c>
      <c r="J7" s="104">
        <v>21775</v>
      </c>
      <c r="K7" s="104">
        <v>1024</v>
      </c>
      <c r="L7" s="104">
        <v>18232</v>
      </c>
      <c r="M7" s="104">
        <v>26226</v>
      </c>
      <c r="N7" s="104">
        <v>8110</v>
      </c>
      <c r="O7" s="104">
        <v>1856</v>
      </c>
      <c r="P7" s="104">
        <v>28721</v>
      </c>
      <c r="Q7" s="104">
        <v>1159</v>
      </c>
      <c r="R7" s="104">
        <v>7106</v>
      </c>
    </row>
    <row r="8" spans="1:21" x14ac:dyDescent="0.25">
      <c r="A8" s="52">
        <v>44536</v>
      </c>
      <c r="B8" s="32">
        <v>195519</v>
      </c>
      <c r="C8" s="54"/>
      <c r="D8" s="104">
        <v>233620</v>
      </c>
      <c r="E8" s="104">
        <v>2577245</v>
      </c>
      <c r="F8" s="104">
        <v>67041</v>
      </c>
      <c r="G8" s="104">
        <v>114720</v>
      </c>
      <c r="H8" s="104">
        <v>59045</v>
      </c>
      <c r="I8" s="104">
        <v>68699</v>
      </c>
      <c r="J8" s="104">
        <v>21780</v>
      </c>
      <c r="K8" s="104">
        <v>1024</v>
      </c>
      <c r="L8" s="104">
        <v>18236</v>
      </c>
      <c r="M8" s="104">
        <v>26235</v>
      </c>
      <c r="N8" s="104">
        <v>8112</v>
      </c>
      <c r="O8" s="104">
        <v>1858</v>
      </c>
      <c r="P8" s="104">
        <v>28737</v>
      </c>
      <c r="Q8" s="104">
        <v>1162</v>
      </c>
      <c r="R8" s="104">
        <v>7113</v>
      </c>
    </row>
    <row r="9" spans="1:21" x14ac:dyDescent="0.25">
      <c r="A9" s="52">
        <v>44537</v>
      </c>
      <c r="B9" s="54">
        <v>195687</v>
      </c>
      <c r="C9" s="32"/>
      <c r="D9" s="104">
        <v>233829</v>
      </c>
      <c r="E9" s="104">
        <v>257322</v>
      </c>
      <c r="F9" s="104">
        <v>67043</v>
      </c>
      <c r="G9" s="104">
        <v>114742</v>
      </c>
      <c r="H9" s="104">
        <v>59066</v>
      </c>
      <c r="I9" s="104">
        <v>68741</v>
      </c>
      <c r="J9" s="104">
        <v>21786</v>
      </c>
      <c r="K9" s="104">
        <v>1024</v>
      </c>
      <c r="L9" s="104">
        <v>18240</v>
      </c>
      <c r="M9" s="104">
        <v>26242</v>
      </c>
      <c r="N9" s="104">
        <v>8115</v>
      </c>
      <c r="O9" s="104">
        <v>1859</v>
      </c>
      <c r="P9" s="104">
        <v>28756</v>
      </c>
      <c r="Q9" s="104">
        <v>1163</v>
      </c>
      <c r="R9" s="104">
        <v>7121</v>
      </c>
    </row>
    <row r="10" spans="1:21" x14ac:dyDescent="0.25">
      <c r="A10" s="52">
        <v>44538</v>
      </c>
      <c r="B10" s="32">
        <v>195849</v>
      </c>
      <c r="C10" s="54"/>
      <c r="D10" s="104">
        <v>234037</v>
      </c>
      <c r="E10" s="104">
        <v>257388</v>
      </c>
      <c r="F10" s="104">
        <v>67044</v>
      </c>
      <c r="G10" s="104">
        <v>114765</v>
      </c>
      <c r="H10" s="104">
        <v>59110</v>
      </c>
      <c r="I10" s="104">
        <v>68781</v>
      </c>
      <c r="J10" s="104">
        <v>21792</v>
      </c>
      <c r="K10" s="104">
        <v>1024</v>
      </c>
      <c r="L10" s="104">
        <v>18245</v>
      </c>
      <c r="M10" s="104">
        <v>26252</v>
      </c>
      <c r="N10" s="104">
        <v>8117</v>
      </c>
      <c r="O10" s="104">
        <v>1860</v>
      </c>
      <c r="P10" s="104">
        <v>28773</v>
      </c>
      <c r="Q10" s="104">
        <v>1166</v>
      </c>
      <c r="R10" s="104">
        <v>7129</v>
      </c>
    </row>
    <row r="11" spans="1:21" x14ac:dyDescent="0.25">
      <c r="A11" s="52">
        <v>44539</v>
      </c>
      <c r="B11" s="54">
        <v>196265</v>
      </c>
      <c r="C11" s="32"/>
      <c r="D11" s="104">
        <v>234356</v>
      </c>
      <c r="E11" s="104">
        <v>257475</v>
      </c>
      <c r="F11" s="104">
        <v>67045</v>
      </c>
      <c r="G11" s="104">
        <v>114789</v>
      </c>
      <c r="H11" s="104">
        <v>59122</v>
      </c>
      <c r="I11" s="104">
        <v>68805</v>
      </c>
      <c r="J11" s="104">
        <v>21798</v>
      </c>
      <c r="K11" s="104">
        <v>1024</v>
      </c>
      <c r="L11" s="104">
        <v>18248</v>
      </c>
      <c r="M11" s="104">
        <v>26260</v>
      </c>
      <c r="N11" s="104">
        <v>8119</v>
      </c>
      <c r="O11" s="104">
        <v>1861</v>
      </c>
      <c r="P11" s="104">
        <v>28789</v>
      </c>
      <c r="Q11" s="104">
        <v>1171</v>
      </c>
      <c r="R11" s="104">
        <v>7135</v>
      </c>
    </row>
    <row r="12" spans="1:21" x14ac:dyDescent="0.25">
      <c r="A12" s="52">
        <v>44540</v>
      </c>
      <c r="B12" s="32">
        <v>196265</v>
      </c>
      <c r="C12" s="54"/>
      <c r="D12" s="104">
        <v>234622</v>
      </c>
      <c r="E12" s="104">
        <v>257547</v>
      </c>
      <c r="F12" s="104">
        <v>67047</v>
      </c>
      <c r="G12" s="104">
        <v>114809</v>
      </c>
      <c r="H12" s="104">
        <v>59140</v>
      </c>
      <c r="I12" s="104">
        <v>68832</v>
      </c>
      <c r="J12" s="104">
        <v>21804</v>
      </c>
      <c r="K12" s="104">
        <v>1024</v>
      </c>
      <c r="L12" s="104">
        <v>18253</v>
      </c>
      <c r="M12" s="104">
        <v>26269</v>
      </c>
      <c r="N12" s="104">
        <v>8121</v>
      </c>
      <c r="O12" s="104">
        <v>1862</v>
      </c>
      <c r="P12" s="104">
        <v>28790</v>
      </c>
      <c r="Q12" s="104">
        <v>1171</v>
      </c>
      <c r="R12" s="104">
        <v>7140</v>
      </c>
    </row>
    <row r="13" spans="1:21" x14ac:dyDescent="0.25">
      <c r="A13" s="52">
        <v>44541</v>
      </c>
      <c r="B13" s="54"/>
      <c r="C13" s="32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</row>
    <row r="14" spans="1:21" x14ac:dyDescent="0.25">
      <c r="A14" s="52">
        <v>44542</v>
      </c>
      <c r="B14" s="32"/>
      <c r="C14" s="32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</row>
    <row r="15" spans="1:21" x14ac:dyDescent="0.25">
      <c r="A15" s="52">
        <v>44543</v>
      </c>
      <c r="B15" s="32"/>
      <c r="C15" s="32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T15" s="102"/>
      <c r="U15" s="102"/>
    </row>
    <row r="16" spans="1:21" x14ac:dyDescent="0.25">
      <c r="A16" s="52">
        <v>44544</v>
      </c>
      <c r="B16" s="32"/>
      <c r="C16" s="5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</row>
    <row r="17" spans="1:22" x14ac:dyDescent="0.25">
      <c r="A17" s="52">
        <v>44545</v>
      </c>
      <c r="B17" s="32"/>
      <c r="C17" s="32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 spans="1:22" x14ac:dyDescent="0.25">
      <c r="A18" s="52">
        <v>44546</v>
      </c>
      <c r="B18" s="32"/>
      <c r="C18" s="5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U18" s="102"/>
    </row>
    <row r="19" spans="1:22" x14ac:dyDescent="0.25">
      <c r="A19" s="52">
        <v>44547</v>
      </c>
      <c r="B19" s="32"/>
      <c r="C19" s="32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</row>
    <row r="20" spans="1:22" x14ac:dyDescent="0.25">
      <c r="A20" s="52">
        <v>44548</v>
      </c>
      <c r="B20" s="32"/>
      <c r="C20" s="54"/>
      <c r="D20" s="105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</row>
    <row r="21" spans="1:22" x14ac:dyDescent="0.25">
      <c r="A21" s="52">
        <v>44549</v>
      </c>
      <c r="B21" s="32"/>
      <c r="C21" s="32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</row>
    <row r="22" spans="1:22" x14ac:dyDescent="0.25">
      <c r="A22" s="52">
        <v>44550</v>
      </c>
      <c r="B22" s="32"/>
      <c r="C22" s="5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</row>
    <row r="23" spans="1:22" x14ac:dyDescent="0.25">
      <c r="A23" s="52">
        <v>44551</v>
      </c>
      <c r="B23" s="32"/>
      <c r="C23" s="32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" t="s">
        <v>127</v>
      </c>
    </row>
    <row r="24" spans="1:22" x14ac:dyDescent="0.25">
      <c r="A24" s="52">
        <v>44552</v>
      </c>
      <c r="B24" s="32"/>
      <c r="C24" s="5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</row>
    <row r="25" spans="1:22" x14ac:dyDescent="0.25">
      <c r="A25" s="52">
        <v>44553</v>
      </c>
      <c r="B25" s="32"/>
      <c r="C25" s="32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</row>
    <row r="26" spans="1:22" x14ac:dyDescent="0.25">
      <c r="A26" s="52">
        <v>44554</v>
      </c>
      <c r="B26" s="32"/>
      <c r="C26" s="5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</row>
    <row r="27" spans="1:22" x14ac:dyDescent="0.25">
      <c r="A27" s="52">
        <v>44555</v>
      </c>
      <c r="B27" s="32"/>
      <c r="C27" s="32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</row>
    <row r="28" spans="1:22" x14ac:dyDescent="0.25">
      <c r="A28" s="52">
        <v>44556</v>
      </c>
      <c r="B28" s="32"/>
      <c r="C28" s="5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22" x14ac:dyDescent="0.25">
      <c r="A29" s="52">
        <v>44557</v>
      </c>
      <c r="B29" s="32"/>
      <c r="C29" s="32"/>
      <c r="D29" s="104"/>
      <c r="E29" s="104"/>
      <c r="F29" s="104"/>
      <c r="G29" s="104"/>
      <c r="H29" s="104"/>
      <c r="I29" s="105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22" x14ac:dyDescent="0.25">
      <c r="A30" s="52">
        <v>44558</v>
      </c>
      <c r="B30" s="32"/>
      <c r="C30" s="5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22" x14ac:dyDescent="0.25">
      <c r="A31" s="52">
        <v>44559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44560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44561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44562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B4" sqref="B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0" t="s">
        <v>31</v>
      </c>
      <c r="B2" s="151" t="s">
        <v>108</v>
      </c>
      <c r="C2" s="151" t="s">
        <v>109</v>
      </c>
      <c r="D2" s="151"/>
      <c r="E2" s="152" t="s">
        <v>97</v>
      </c>
      <c r="F2" s="149"/>
      <c r="G2" s="146" t="s">
        <v>112</v>
      </c>
      <c r="H2" s="149"/>
      <c r="I2" s="146" t="s">
        <v>110</v>
      </c>
      <c r="J2" s="149"/>
      <c r="K2" s="146" t="s">
        <v>111</v>
      </c>
      <c r="L2" s="149"/>
      <c r="M2" s="146" t="s">
        <v>107</v>
      </c>
      <c r="N2" s="149"/>
      <c r="O2" s="146" t="s">
        <v>106</v>
      </c>
      <c r="P2" s="149"/>
      <c r="Q2" s="146" t="s">
        <v>113</v>
      </c>
      <c r="R2" s="149"/>
      <c r="S2" s="146" t="s">
        <v>114</v>
      </c>
      <c r="T2" s="149"/>
      <c r="U2" s="146" t="s">
        <v>115</v>
      </c>
      <c r="V2" s="149"/>
      <c r="W2" s="146" t="s">
        <v>99</v>
      </c>
      <c r="X2" s="147"/>
      <c r="Y2" s="148" t="s">
        <v>52</v>
      </c>
      <c r="Z2" s="148"/>
    </row>
    <row r="3" spans="1:26" ht="30" x14ac:dyDescent="0.35">
      <c r="A3" s="150"/>
      <c r="B3" s="151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44531</v>
      </c>
      <c r="B4" s="63">
        <f>TOTAL!I2</f>
        <v>319</v>
      </c>
      <c r="C4" s="64">
        <f>('Water Reading'!B4-'Water Reading'!B3)+('Water Reading'!C4-'Water Reading'!C3)</f>
        <v>146</v>
      </c>
      <c r="D4" s="65">
        <f>C4/B4</f>
        <v>0.45768025078369906</v>
      </c>
      <c r="E4" s="84">
        <f>'Water Reading'!H4-'Water Reading'!H3</f>
        <v>32</v>
      </c>
      <c r="F4" s="85">
        <f>E4/C4</f>
        <v>0.21917808219178081</v>
      </c>
      <c r="G4" s="89">
        <f>('Water Reading'!D4-'Water Reading'!D3)-('Water Reading'!R4-'Water Reading'!R3)-('Water Reading'!Q4-'Water Reading'!Q3)</f>
        <v>175</v>
      </c>
      <c r="H4" s="85">
        <f>G4/C4</f>
        <v>1.1986301369863013</v>
      </c>
      <c r="I4" s="86">
        <f>'Water Reading'!P4-'Water Reading'!P3</f>
        <v>0</v>
      </c>
      <c r="J4" s="66">
        <f>I4/C4</f>
        <v>0</v>
      </c>
      <c r="K4" s="87">
        <f>('Water Reading'!I4-'Water Reading'!I3)-('Water Reading'!P4-'Water Reading'!P3)</f>
        <v>18</v>
      </c>
      <c r="L4" s="66">
        <f>K4/C4</f>
        <v>0.12328767123287671</v>
      </c>
      <c r="M4" s="86">
        <f>'Water Reading'!R4-'Water Reading'!R3</f>
        <v>7</v>
      </c>
      <c r="N4" s="88">
        <f>M4/C4</f>
        <v>4.7945205479452052E-2</v>
      </c>
      <c r="O4" s="86">
        <f>'Water Reading'!Q4-'Water Reading'!Q3</f>
        <v>4</v>
      </c>
      <c r="P4" s="93">
        <f>O4/C4</f>
        <v>2.7397260273972601E-2</v>
      </c>
      <c r="Q4" s="87">
        <f>'Water Reading'!N4-'Water Reading'!N3</f>
        <v>1</v>
      </c>
      <c r="R4" s="94">
        <f>Q4/C4</f>
        <v>6.8493150684931503E-3</v>
      </c>
      <c r="S4" s="86">
        <f>'Water Reading'!M4-'Water Reading'!M3</f>
        <v>8</v>
      </c>
      <c r="T4" s="94">
        <f>S4/C4</f>
        <v>5.4794520547945202E-2</v>
      </c>
      <c r="U4" s="86">
        <f>'Water Reading'!O4-'Water Reading'!O3</f>
        <v>2</v>
      </c>
      <c r="V4" s="94">
        <f>U4/C4</f>
        <v>1.3698630136986301E-2</v>
      </c>
      <c r="W4" s="86">
        <f>'Water Reading'!R4-'Water Reading'!R3</f>
        <v>7</v>
      </c>
      <c r="X4" s="94">
        <f>W4/C4</f>
        <v>4.7945205479452052E-2</v>
      </c>
      <c r="Y4" s="64">
        <f t="shared" ref="Y4:Y34" si="0">E4+I4+K4+M4+O4+G4+Q4+S4+U4+W4</f>
        <v>254</v>
      </c>
      <c r="Z4" s="65">
        <f t="shared" ref="Z4:Z35" si="1">Y4/B4</f>
        <v>0.79623824451410663</v>
      </c>
    </row>
    <row r="5" spans="1:26" x14ac:dyDescent="0.25">
      <c r="A5" s="8">
        <f>'Water Reading'!A4</f>
        <v>44532</v>
      </c>
      <c r="B5" s="63">
        <f>TOTAL!I3</f>
        <v>377</v>
      </c>
      <c r="C5" s="64">
        <f>('Water Reading'!B5-'Water Reading'!B4)+('Water Reading'!C5-'Water Reading'!C4)</f>
        <v>178</v>
      </c>
      <c r="D5" s="65">
        <f t="shared" ref="D5:D34" si="2">C5/B5</f>
        <v>0.47214854111405835</v>
      </c>
      <c r="E5" s="84">
        <f>'Water Reading'!H5-'Water Reading'!H4</f>
        <v>22</v>
      </c>
      <c r="F5" s="85">
        <f t="shared" ref="F5:F34" si="3">E5/C5</f>
        <v>0.12359550561797752</v>
      </c>
      <c r="G5" s="89">
        <f>('Water Reading'!D5-'Water Reading'!D4)-('Water Reading'!R5-'Water Reading'!R4)-('Water Reading'!Q5-'Water Reading'!Q4)</f>
        <v>265</v>
      </c>
      <c r="H5" s="85">
        <f t="shared" ref="H5:H34" si="4">G5/C5</f>
        <v>1.4887640449438202</v>
      </c>
      <c r="I5" s="86">
        <f>'Water Reading'!P5-'Water Reading'!P4</f>
        <v>12</v>
      </c>
      <c r="J5" s="66">
        <f t="shared" ref="J5:J34" si="5">I5/C5</f>
        <v>6.741573033707865E-2</v>
      </c>
      <c r="K5" s="87">
        <f>('Water Reading'!I5-'Water Reading'!I4)-('Water Reading'!P5-'Water Reading'!P4)</f>
        <v>19</v>
      </c>
      <c r="L5" s="66">
        <f t="shared" ref="L5:L34" si="6">K5/C5</f>
        <v>0.10674157303370786</v>
      </c>
      <c r="M5" s="86">
        <f>'Water Reading'!R5-'Water Reading'!R4</f>
        <v>7</v>
      </c>
      <c r="N5" s="88">
        <f t="shared" ref="N5:N34" si="7">M5/C5</f>
        <v>3.9325842696629212E-2</v>
      </c>
      <c r="O5" s="86">
        <f>'Water Reading'!Q5-'Water Reading'!Q4</f>
        <v>5</v>
      </c>
      <c r="P5" s="93">
        <f t="shared" ref="P5:P34" si="8">O5/C5</f>
        <v>2.8089887640449437E-2</v>
      </c>
      <c r="Q5" s="87">
        <f>'Water Reading'!N5-'Water Reading'!N4</f>
        <v>1</v>
      </c>
      <c r="R5" s="94">
        <f t="shared" ref="R5:R34" si="9">Q5/C5</f>
        <v>5.6179775280898875E-3</v>
      </c>
      <c r="S5" s="86">
        <f>'Water Reading'!M5-'Water Reading'!M4</f>
        <v>7</v>
      </c>
      <c r="T5" s="94">
        <f t="shared" ref="T5:T34" si="10">S5/C5</f>
        <v>3.9325842696629212E-2</v>
      </c>
      <c r="U5" s="86">
        <f>'Water Reading'!O5-'Water Reading'!O4</f>
        <v>0</v>
      </c>
      <c r="V5" s="94">
        <f t="shared" ref="V5:V34" si="11">U5/C5</f>
        <v>0</v>
      </c>
      <c r="W5" s="86">
        <f>'Water Reading'!R5-'Water Reading'!R4</f>
        <v>7</v>
      </c>
      <c r="X5" s="94">
        <f t="shared" ref="X5:X34" si="12">W5/C5</f>
        <v>3.9325842696629212E-2</v>
      </c>
      <c r="Y5" s="64">
        <f t="shared" si="0"/>
        <v>345</v>
      </c>
      <c r="Z5" s="65">
        <f t="shared" si="1"/>
        <v>0.91511936339522548</v>
      </c>
    </row>
    <row r="6" spans="1:26" x14ac:dyDescent="0.25">
      <c r="A6" s="8">
        <f>'Water Reading'!A5</f>
        <v>44533</v>
      </c>
      <c r="B6" s="63">
        <f>TOTAL!I4</f>
        <v>468</v>
      </c>
      <c r="C6" s="64">
        <f>('Water Reading'!B6-'Water Reading'!B5)+('Water Reading'!C6-'Water Reading'!C5)</f>
        <v>195</v>
      </c>
      <c r="D6" s="65">
        <f t="shared" si="2"/>
        <v>0.41666666666666669</v>
      </c>
      <c r="E6" s="84">
        <f>'Water Reading'!H6-'Water Reading'!H5</f>
        <v>23</v>
      </c>
      <c r="F6" s="85">
        <f t="shared" si="3"/>
        <v>0.11794871794871795</v>
      </c>
      <c r="G6" s="89">
        <f>('Water Reading'!D6-'Water Reading'!D5)-('Water Reading'!R6-'Water Reading'!R5)-('Water Reading'!Q6-'Water Reading'!Q5)</f>
        <v>304</v>
      </c>
      <c r="H6" s="85">
        <f t="shared" si="4"/>
        <v>1.558974358974359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26</v>
      </c>
      <c r="L6" s="66">
        <f t="shared" si="6"/>
        <v>0.13333333333333333</v>
      </c>
      <c r="M6" s="86">
        <f>'Water Reading'!R6-'Water Reading'!R5</f>
        <v>0</v>
      </c>
      <c r="N6" s="88">
        <f t="shared" si="7"/>
        <v>0</v>
      </c>
      <c r="O6" s="86">
        <f>'Water Reading'!Q6-'Water Reading'!Q5</f>
        <v>5</v>
      </c>
      <c r="P6" s="93">
        <f t="shared" si="8"/>
        <v>2.564102564102564E-2</v>
      </c>
      <c r="Q6" s="87">
        <f>'Water Reading'!N6-'Water Reading'!N5</f>
        <v>1</v>
      </c>
      <c r="R6" s="94">
        <f t="shared" si="9"/>
        <v>5.1282051282051282E-3</v>
      </c>
      <c r="S6" s="86">
        <f>'Water Reading'!M6-'Water Reading'!M5</f>
        <v>10</v>
      </c>
      <c r="T6" s="94">
        <f t="shared" si="10"/>
        <v>5.128205128205128E-2</v>
      </c>
      <c r="U6" s="86">
        <f>'Water Reading'!O6-'Water Reading'!O5</f>
        <v>1</v>
      </c>
      <c r="V6" s="94">
        <f t="shared" si="11"/>
        <v>5.1282051282051282E-3</v>
      </c>
      <c r="W6" s="86">
        <f>'Water Reading'!R6-'Water Reading'!R5</f>
        <v>0</v>
      </c>
      <c r="X6" s="94">
        <f t="shared" si="12"/>
        <v>0</v>
      </c>
      <c r="Y6" s="64">
        <f t="shared" si="0"/>
        <v>370</v>
      </c>
      <c r="Z6" s="65">
        <f t="shared" si="1"/>
        <v>0.79059829059829057</v>
      </c>
    </row>
    <row r="7" spans="1:26" x14ac:dyDescent="0.25">
      <c r="A7" s="8">
        <f>'Water Reading'!A6</f>
        <v>44534</v>
      </c>
      <c r="B7" s="63">
        <f>TOTAL!I5</f>
        <v>461</v>
      </c>
      <c r="C7" s="64">
        <f>('Water Reading'!B7-'Water Reading'!B6)+('Water Reading'!C7-'Water Reading'!C6)</f>
        <v>220</v>
      </c>
      <c r="D7" s="65">
        <f t="shared" si="2"/>
        <v>0.47722342733188722</v>
      </c>
      <c r="E7" s="84">
        <f>'Water Reading'!H7-'Water Reading'!H6</f>
        <v>24</v>
      </c>
      <c r="F7" s="85">
        <f t="shared" si="3"/>
        <v>0.10909090909090909</v>
      </c>
      <c r="G7" s="89">
        <f>('Water Reading'!D7-'Water Reading'!D6)-('Water Reading'!R7-'Water Reading'!R6)-('Water Reading'!Q7-'Water Reading'!Q6)</f>
        <v>345</v>
      </c>
      <c r="H7" s="85">
        <f t="shared" si="4"/>
        <v>1.5681818181818181</v>
      </c>
      <c r="I7" s="86">
        <f>'Water Reading'!P7-'Water Reading'!P6</f>
        <v>0</v>
      </c>
      <c r="J7" s="66">
        <f t="shared" si="5"/>
        <v>0</v>
      </c>
      <c r="K7" s="87">
        <f>('Water Reading'!I7-'Water Reading'!I6)-('Water Reading'!P7-'Water Reading'!P6)</f>
        <v>21</v>
      </c>
      <c r="L7" s="66">
        <f t="shared" si="6"/>
        <v>9.5454545454545459E-2</v>
      </c>
      <c r="M7" s="86">
        <f>'Water Reading'!R7-'Water Reading'!R6</f>
        <v>7</v>
      </c>
      <c r="N7" s="88">
        <f t="shared" si="7"/>
        <v>3.1818181818181815E-2</v>
      </c>
      <c r="O7" s="86">
        <f>'Water Reading'!Q7-'Water Reading'!Q6</f>
        <v>6</v>
      </c>
      <c r="P7" s="93">
        <f t="shared" si="8"/>
        <v>2.7272727272727271E-2</v>
      </c>
      <c r="Q7" s="87">
        <f>'Water Reading'!N7-'Water Reading'!N6</f>
        <v>2</v>
      </c>
      <c r="R7" s="94">
        <f t="shared" si="9"/>
        <v>9.0909090909090905E-3</v>
      </c>
      <c r="S7" s="86">
        <f>'Water Reading'!M7-'Water Reading'!M6</f>
        <v>8</v>
      </c>
      <c r="T7" s="94">
        <f t="shared" si="10"/>
        <v>3.6363636363636362E-2</v>
      </c>
      <c r="U7" s="86">
        <f>'Water Reading'!O7-'Water Reading'!O6</f>
        <v>3</v>
      </c>
      <c r="V7" s="94">
        <f t="shared" si="11"/>
        <v>1.3636363636363636E-2</v>
      </c>
      <c r="W7" s="86">
        <f>'Water Reading'!R7-'Water Reading'!R6</f>
        <v>7</v>
      </c>
      <c r="X7" s="94">
        <f t="shared" si="12"/>
        <v>3.1818181818181815E-2</v>
      </c>
      <c r="Y7" s="64">
        <f t="shared" si="0"/>
        <v>423</v>
      </c>
      <c r="Z7" s="65">
        <f t="shared" si="1"/>
        <v>0.91757049891540132</v>
      </c>
    </row>
    <row r="8" spans="1:26" x14ac:dyDescent="0.25">
      <c r="A8" s="8">
        <f>'Water Reading'!A7</f>
        <v>44535</v>
      </c>
      <c r="B8" s="63">
        <f>TOTAL!I6</f>
        <v>484</v>
      </c>
      <c r="C8" s="64">
        <f>('Water Reading'!B8-'Water Reading'!B7)+('Water Reading'!C8-'Water Reading'!C7)</f>
        <v>232</v>
      </c>
      <c r="D8" s="65">
        <f t="shared" si="2"/>
        <v>0.47933884297520662</v>
      </c>
      <c r="E8" s="84">
        <f>'Water Reading'!H8-'Water Reading'!H7</f>
        <v>27</v>
      </c>
      <c r="F8" s="85">
        <f t="shared" si="3"/>
        <v>0.11637931034482758</v>
      </c>
      <c r="G8" s="89">
        <f>('Water Reading'!D8-'Water Reading'!D7)-('Water Reading'!R8-'Water Reading'!R7)-('Water Reading'!Q8-'Water Reading'!Q7)</f>
        <v>342</v>
      </c>
      <c r="H8" s="85">
        <f t="shared" si="4"/>
        <v>1.4741379310344827</v>
      </c>
      <c r="I8" s="86">
        <f>'Water Reading'!P8-'Water Reading'!P7</f>
        <v>16</v>
      </c>
      <c r="J8" s="66">
        <f t="shared" si="5"/>
        <v>6.8965517241379309E-2</v>
      </c>
      <c r="K8" s="87">
        <f>('Water Reading'!I8-'Water Reading'!I7)-('Water Reading'!P8-'Water Reading'!P7)</f>
        <v>40</v>
      </c>
      <c r="L8" s="66">
        <f t="shared" si="6"/>
        <v>0.17241379310344829</v>
      </c>
      <c r="M8" s="86">
        <f>'Water Reading'!R8-'Water Reading'!R7</f>
        <v>7</v>
      </c>
      <c r="N8" s="88">
        <f t="shared" si="7"/>
        <v>3.017241379310345E-2</v>
      </c>
      <c r="O8" s="86">
        <f>'Water Reading'!Q8-'Water Reading'!Q7</f>
        <v>3</v>
      </c>
      <c r="P8" s="93">
        <f t="shared" si="8"/>
        <v>1.2931034482758621E-2</v>
      </c>
      <c r="Q8" s="87">
        <f>'Water Reading'!N8-'Water Reading'!N7</f>
        <v>2</v>
      </c>
      <c r="R8" s="94">
        <f t="shared" si="9"/>
        <v>8.6206896551724137E-3</v>
      </c>
      <c r="S8" s="86">
        <f>'Water Reading'!M8-'Water Reading'!M7</f>
        <v>9</v>
      </c>
      <c r="T8" s="94">
        <f t="shared" si="10"/>
        <v>3.8793103448275863E-2</v>
      </c>
      <c r="U8" s="86">
        <f>'Water Reading'!O8-'Water Reading'!O7</f>
        <v>2</v>
      </c>
      <c r="V8" s="94">
        <f t="shared" si="11"/>
        <v>8.6206896551724137E-3</v>
      </c>
      <c r="W8" s="86">
        <f>'Water Reading'!R8-'Water Reading'!R7</f>
        <v>7</v>
      </c>
      <c r="X8" s="94">
        <f t="shared" si="12"/>
        <v>3.017241379310345E-2</v>
      </c>
      <c r="Y8" s="64">
        <f t="shared" si="0"/>
        <v>455</v>
      </c>
      <c r="Z8" s="65">
        <f t="shared" si="1"/>
        <v>0.94008264462809921</v>
      </c>
    </row>
    <row r="9" spans="1:26" x14ac:dyDescent="0.25">
      <c r="A9" s="8">
        <f>'Water Reading'!A8</f>
        <v>44536</v>
      </c>
      <c r="B9" s="63">
        <f>TOTAL!I7</f>
        <v>462</v>
      </c>
      <c r="C9" s="64">
        <f>('Water Reading'!B9-'Water Reading'!B8)+('Water Reading'!C9-'Water Reading'!C8)</f>
        <v>168</v>
      </c>
      <c r="D9" s="65">
        <f t="shared" si="2"/>
        <v>0.36363636363636365</v>
      </c>
      <c r="E9" s="84">
        <f>'Water Reading'!H9-'Water Reading'!H8</f>
        <v>21</v>
      </c>
      <c r="F9" s="85">
        <f t="shared" si="3"/>
        <v>0.125</v>
      </c>
      <c r="G9" s="89">
        <f>('Water Reading'!D9-'Water Reading'!D8)-('Water Reading'!R9-'Water Reading'!R8)-('Water Reading'!Q9-'Water Reading'!Q8)</f>
        <v>200</v>
      </c>
      <c r="H9" s="85">
        <f t="shared" si="4"/>
        <v>1.1904761904761905</v>
      </c>
      <c r="I9" s="86">
        <f>'Water Reading'!P9-'Water Reading'!P8</f>
        <v>19</v>
      </c>
      <c r="J9" s="66">
        <f t="shared" si="5"/>
        <v>0.1130952380952381</v>
      </c>
      <c r="K9" s="87">
        <f>('Water Reading'!I9-'Water Reading'!I8)-('Water Reading'!P9-'Water Reading'!P8)</f>
        <v>23</v>
      </c>
      <c r="L9" s="66">
        <f t="shared" si="6"/>
        <v>0.13690476190476192</v>
      </c>
      <c r="M9" s="86">
        <f>'Water Reading'!R9-'Water Reading'!R8</f>
        <v>8</v>
      </c>
      <c r="N9" s="88">
        <f t="shared" si="7"/>
        <v>4.7619047619047616E-2</v>
      </c>
      <c r="O9" s="86">
        <f>'Water Reading'!Q9-'Water Reading'!Q8</f>
        <v>1</v>
      </c>
      <c r="P9" s="93">
        <f t="shared" si="8"/>
        <v>5.9523809523809521E-3</v>
      </c>
      <c r="Q9" s="87">
        <f>'Water Reading'!N9-'Water Reading'!N8</f>
        <v>3</v>
      </c>
      <c r="R9" s="94">
        <f t="shared" si="9"/>
        <v>1.7857142857142856E-2</v>
      </c>
      <c r="S9" s="86">
        <f>'Water Reading'!M9-'Water Reading'!M8</f>
        <v>7</v>
      </c>
      <c r="T9" s="94">
        <f t="shared" si="10"/>
        <v>4.1666666666666664E-2</v>
      </c>
      <c r="U9" s="86">
        <f>'Water Reading'!O9-'Water Reading'!O8</f>
        <v>1</v>
      </c>
      <c r="V9" s="94">
        <f t="shared" si="11"/>
        <v>5.9523809523809521E-3</v>
      </c>
      <c r="W9" s="86">
        <f>'Water Reading'!R9-'Water Reading'!R8</f>
        <v>8</v>
      </c>
      <c r="X9" s="94">
        <f t="shared" si="12"/>
        <v>4.7619047619047616E-2</v>
      </c>
      <c r="Y9" s="64">
        <f t="shared" si="0"/>
        <v>291</v>
      </c>
      <c r="Z9" s="65">
        <f t="shared" si="1"/>
        <v>0.62987012987012991</v>
      </c>
    </row>
    <row r="10" spans="1:26" x14ac:dyDescent="0.25">
      <c r="A10" s="8">
        <f>'Water Reading'!A9</f>
        <v>44537</v>
      </c>
      <c r="B10" s="63">
        <f>TOTAL!I8</f>
        <v>343</v>
      </c>
      <c r="C10" s="64">
        <f>('Water Reading'!B10-'Water Reading'!B9)+('Water Reading'!C10-'Water Reading'!C9)</f>
        <v>162</v>
      </c>
      <c r="D10" s="65">
        <f t="shared" si="2"/>
        <v>0.47230320699708456</v>
      </c>
      <c r="E10" s="84">
        <f>'Water Reading'!H10-'Water Reading'!H9</f>
        <v>44</v>
      </c>
      <c r="F10" s="85">
        <f t="shared" si="3"/>
        <v>0.27160493827160492</v>
      </c>
      <c r="G10" s="89">
        <f>('Water Reading'!D10-'Water Reading'!D9)-('Water Reading'!R10-'Water Reading'!R9)-('Water Reading'!Q10-'Water Reading'!Q9)</f>
        <v>197</v>
      </c>
      <c r="H10" s="85">
        <f t="shared" si="4"/>
        <v>1.2160493827160495</v>
      </c>
      <c r="I10" s="86">
        <f>'Water Reading'!P10-'Water Reading'!P9</f>
        <v>17</v>
      </c>
      <c r="J10" s="66">
        <f t="shared" si="5"/>
        <v>0.10493827160493827</v>
      </c>
      <c r="K10" s="87">
        <f>('Water Reading'!I10-'Water Reading'!I9)-('Water Reading'!P10-'Water Reading'!P9)</f>
        <v>23</v>
      </c>
      <c r="L10" s="66">
        <f t="shared" si="6"/>
        <v>0.1419753086419753</v>
      </c>
      <c r="M10" s="86">
        <f>'Water Reading'!R10-'Water Reading'!R9</f>
        <v>8</v>
      </c>
      <c r="N10" s="88">
        <f t="shared" si="7"/>
        <v>4.9382716049382713E-2</v>
      </c>
      <c r="O10" s="86">
        <f>'Water Reading'!Q10-'Water Reading'!Q9</f>
        <v>3</v>
      </c>
      <c r="P10" s="93">
        <f t="shared" si="8"/>
        <v>1.8518518518518517E-2</v>
      </c>
      <c r="Q10" s="87">
        <f>'Water Reading'!N10-'Water Reading'!N9</f>
        <v>2</v>
      </c>
      <c r="R10" s="94">
        <f t="shared" si="9"/>
        <v>1.2345679012345678E-2</v>
      </c>
      <c r="S10" s="86">
        <f>'Water Reading'!M10-'Water Reading'!M9</f>
        <v>10</v>
      </c>
      <c r="T10" s="94">
        <f t="shared" si="10"/>
        <v>6.1728395061728392E-2</v>
      </c>
      <c r="U10" s="86">
        <f>'Water Reading'!O10-'Water Reading'!O9</f>
        <v>1</v>
      </c>
      <c r="V10" s="94">
        <f t="shared" si="11"/>
        <v>6.1728395061728392E-3</v>
      </c>
      <c r="W10" s="86">
        <f>'Water Reading'!R10-'Water Reading'!R9</f>
        <v>8</v>
      </c>
      <c r="X10" s="94">
        <f t="shared" si="12"/>
        <v>4.9382716049382713E-2</v>
      </c>
      <c r="Y10" s="64">
        <f t="shared" si="0"/>
        <v>313</v>
      </c>
      <c r="Z10" s="65">
        <f t="shared" si="1"/>
        <v>0.91253644314868809</v>
      </c>
    </row>
    <row r="11" spans="1:26" x14ac:dyDescent="0.25">
      <c r="A11" s="8">
        <f>'Water Reading'!A10</f>
        <v>44538</v>
      </c>
      <c r="B11" s="63">
        <f>TOTAL!I9</f>
        <v>396</v>
      </c>
      <c r="C11" s="64">
        <f>('Water Reading'!B11-'Water Reading'!B10)+('Water Reading'!C11-'Water Reading'!C10)</f>
        <v>416</v>
      </c>
      <c r="D11" s="65">
        <f t="shared" si="2"/>
        <v>1.0505050505050506</v>
      </c>
      <c r="E11" s="84">
        <f>'Water Reading'!H11-'Water Reading'!H10</f>
        <v>12</v>
      </c>
      <c r="F11" s="85">
        <f t="shared" si="3"/>
        <v>2.8846153846153848E-2</v>
      </c>
      <c r="G11" s="89">
        <f>('Water Reading'!D11-'Water Reading'!D10)-('Water Reading'!R11-'Water Reading'!R10)-('Water Reading'!Q11-'Water Reading'!Q10)</f>
        <v>308</v>
      </c>
      <c r="H11" s="85">
        <f t="shared" si="4"/>
        <v>0.74038461538461542</v>
      </c>
      <c r="I11" s="86">
        <f>'Water Reading'!P11-'Water Reading'!P10</f>
        <v>16</v>
      </c>
      <c r="J11" s="66">
        <f t="shared" si="5"/>
        <v>3.8461538461538464E-2</v>
      </c>
      <c r="K11" s="87">
        <f>('Water Reading'!I11-'Water Reading'!I10)-('Water Reading'!P11-'Water Reading'!P10)</f>
        <v>8</v>
      </c>
      <c r="L11" s="66">
        <f t="shared" si="6"/>
        <v>1.9230769230769232E-2</v>
      </c>
      <c r="M11" s="86">
        <f>'Water Reading'!R11-'Water Reading'!R10</f>
        <v>6</v>
      </c>
      <c r="N11" s="88">
        <f t="shared" si="7"/>
        <v>1.4423076923076924E-2</v>
      </c>
      <c r="O11" s="86">
        <f>'Water Reading'!Q11-'Water Reading'!Q10</f>
        <v>5</v>
      </c>
      <c r="P11" s="93">
        <f t="shared" si="8"/>
        <v>1.201923076923077E-2</v>
      </c>
      <c r="Q11" s="87">
        <f>'Water Reading'!N11-'Water Reading'!N10</f>
        <v>2</v>
      </c>
      <c r="R11" s="94">
        <f t="shared" si="9"/>
        <v>4.807692307692308E-3</v>
      </c>
      <c r="S11" s="86">
        <f>'Water Reading'!M11-'Water Reading'!M10</f>
        <v>8</v>
      </c>
      <c r="T11" s="94">
        <f t="shared" si="10"/>
        <v>1.9230769230769232E-2</v>
      </c>
      <c r="U11" s="86">
        <f>'Water Reading'!O11-'Water Reading'!O10</f>
        <v>1</v>
      </c>
      <c r="V11" s="94">
        <f t="shared" si="11"/>
        <v>2.403846153846154E-3</v>
      </c>
      <c r="W11" s="86">
        <f>'Water Reading'!R11-'Water Reading'!R10</f>
        <v>6</v>
      </c>
      <c r="X11" s="94">
        <f t="shared" si="12"/>
        <v>1.4423076923076924E-2</v>
      </c>
      <c r="Y11" s="64">
        <f t="shared" si="0"/>
        <v>372</v>
      </c>
      <c r="Z11" s="65">
        <f t="shared" si="1"/>
        <v>0.93939393939393945</v>
      </c>
    </row>
    <row r="12" spans="1:26" x14ac:dyDescent="0.25">
      <c r="A12" s="8">
        <f>'Water Reading'!A11</f>
        <v>44539</v>
      </c>
      <c r="B12" s="63">
        <f>TOTAL!I10</f>
        <v>417</v>
      </c>
      <c r="C12" s="64">
        <f>('Water Reading'!B12-'Water Reading'!B11)+('Water Reading'!C12-'Water Reading'!C11)</f>
        <v>0</v>
      </c>
      <c r="D12" s="65">
        <f t="shared" si="2"/>
        <v>0</v>
      </c>
      <c r="E12" s="84">
        <f>'Water Reading'!H12-'Water Reading'!H11</f>
        <v>18</v>
      </c>
      <c r="F12" s="85" t="e">
        <f t="shared" si="3"/>
        <v>#DIV/0!</v>
      </c>
      <c r="G12" s="89">
        <f>('Water Reading'!D12-'Water Reading'!D11)-('Water Reading'!R12-'Water Reading'!R11)-('Water Reading'!Q12-'Water Reading'!Q11)</f>
        <v>261</v>
      </c>
      <c r="H12" s="85" t="e">
        <f t="shared" si="4"/>
        <v>#DIV/0!</v>
      </c>
      <c r="I12" s="86">
        <f>'Water Reading'!P12-'Water Reading'!P11</f>
        <v>1</v>
      </c>
      <c r="J12" s="66" t="e">
        <f t="shared" si="5"/>
        <v>#DIV/0!</v>
      </c>
      <c r="K12" s="87">
        <f>('Water Reading'!I12-'Water Reading'!I11)-('Water Reading'!P12-'Water Reading'!P11)</f>
        <v>26</v>
      </c>
      <c r="L12" s="66" t="e">
        <f t="shared" si="6"/>
        <v>#DIV/0!</v>
      </c>
      <c r="M12" s="86">
        <f>'Water Reading'!R12-'Water Reading'!R11</f>
        <v>5</v>
      </c>
      <c r="N12" s="88" t="e">
        <f t="shared" si="7"/>
        <v>#DIV/0!</v>
      </c>
      <c r="O12" s="86">
        <f>'Water Reading'!Q12-'Water Reading'!Q11</f>
        <v>0</v>
      </c>
      <c r="P12" s="93" t="e">
        <f t="shared" si="8"/>
        <v>#DIV/0!</v>
      </c>
      <c r="Q12" s="87">
        <f>'Water Reading'!N12-'Water Reading'!N11</f>
        <v>2</v>
      </c>
      <c r="R12" s="94" t="e">
        <f t="shared" si="9"/>
        <v>#DIV/0!</v>
      </c>
      <c r="S12" s="86">
        <f>'Water Reading'!M12-'Water Reading'!M11</f>
        <v>9</v>
      </c>
      <c r="T12" s="94" t="e">
        <f t="shared" si="10"/>
        <v>#DIV/0!</v>
      </c>
      <c r="U12" s="86">
        <f>'Water Reading'!O12-'Water Reading'!O11</f>
        <v>1</v>
      </c>
      <c r="V12" s="94" t="e">
        <f t="shared" si="11"/>
        <v>#DIV/0!</v>
      </c>
      <c r="W12" s="86">
        <f>'Water Reading'!R12-'Water Reading'!R11</f>
        <v>5</v>
      </c>
      <c r="X12" s="94" t="e">
        <f t="shared" si="12"/>
        <v>#DIV/0!</v>
      </c>
      <c r="Y12" s="64">
        <f t="shared" si="0"/>
        <v>328</v>
      </c>
      <c r="Z12" s="65">
        <f t="shared" si="1"/>
        <v>0.78657074340527577</v>
      </c>
    </row>
    <row r="13" spans="1:26" x14ac:dyDescent="0.25">
      <c r="A13" s="8">
        <f>'Water Reading'!A12</f>
        <v>44540</v>
      </c>
      <c r="B13" s="63">
        <f>TOTAL!I11</f>
        <v>0</v>
      </c>
      <c r="C13" s="64">
        <f>('Water Reading'!B13-'Water Reading'!B12)+('Water Reading'!C13-'Water Reading'!C12)</f>
        <v>-196265</v>
      </c>
      <c r="D13" s="65" t="e">
        <f t="shared" si="2"/>
        <v>#DIV/0!</v>
      </c>
      <c r="E13" s="84">
        <f>'Water Reading'!H13-'Water Reading'!H12</f>
        <v>-59140</v>
      </c>
      <c r="F13" s="85">
        <f t="shared" si="3"/>
        <v>0.30132728708633733</v>
      </c>
      <c r="G13" s="89">
        <f>('Water Reading'!D13-'Water Reading'!D12)-('Water Reading'!R13-'Water Reading'!R12)-('Water Reading'!Q13-'Water Reading'!Q12)</f>
        <v>-226311</v>
      </c>
      <c r="H13" s="85">
        <f t="shared" si="4"/>
        <v>1.1530889358775125</v>
      </c>
      <c r="I13" s="86">
        <f>'Water Reading'!P13-'Water Reading'!P12</f>
        <v>-28790</v>
      </c>
      <c r="J13" s="66">
        <f t="shared" si="5"/>
        <v>0.146689425012101</v>
      </c>
      <c r="K13" s="87">
        <f>('Water Reading'!I13-'Water Reading'!I12)-('Water Reading'!P13-'Water Reading'!P12)</f>
        <v>-40042</v>
      </c>
      <c r="L13" s="66">
        <f t="shared" si="6"/>
        <v>0.20402007489873386</v>
      </c>
      <c r="M13" s="86">
        <f>'Water Reading'!R13-'Water Reading'!R12</f>
        <v>-7140</v>
      </c>
      <c r="N13" s="88">
        <f t="shared" si="7"/>
        <v>3.6379385015158076E-2</v>
      </c>
      <c r="O13" s="86">
        <f>'Water Reading'!Q13-'Water Reading'!Q12</f>
        <v>-1171</v>
      </c>
      <c r="P13" s="93">
        <f t="shared" si="8"/>
        <v>5.9664229485644413E-3</v>
      </c>
      <c r="Q13" s="87">
        <f>'Water Reading'!N13-'Water Reading'!N12</f>
        <v>-8121</v>
      </c>
      <c r="R13" s="94">
        <f t="shared" si="9"/>
        <v>4.137772909077013E-2</v>
      </c>
      <c r="S13" s="86">
        <f>'Water Reading'!M13-'Water Reading'!M12</f>
        <v>-26269</v>
      </c>
      <c r="T13" s="94">
        <f t="shared" si="10"/>
        <v>0.13384454691361169</v>
      </c>
      <c r="U13" s="86">
        <f>'Water Reading'!O13-'Water Reading'!O12</f>
        <v>-1862</v>
      </c>
      <c r="V13" s="94">
        <f t="shared" si="11"/>
        <v>9.4871729549333809E-3</v>
      </c>
      <c r="W13" s="86">
        <f>'Water Reading'!R13-'Water Reading'!R12</f>
        <v>-7140</v>
      </c>
      <c r="X13" s="94">
        <f t="shared" si="12"/>
        <v>3.6379385015158076E-2</v>
      </c>
      <c r="Y13" s="64">
        <f t="shared" si="0"/>
        <v>-405986</v>
      </c>
      <c r="Z13" s="65" t="e">
        <f t="shared" si="1"/>
        <v>#DIV/0!</v>
      </c>
    </row>
    <row r="14" spans="1:26" x14ac:dyDescent="0.25">
      <c r="A14" s="8">
        <f>'Water Reading'!A13</f>
        <v>44541</v>
      </c>
      <c r="B14" s="63">
        <f>TOTAL!I12</f>
        <v>0</v>
      </c>
      <c r="C14" s="64">
        <f>('Water Reading'!B14-'Water Reading'!B13)+('Water Reading'!C14-'Water Reading'!C13)</f>
        <v>0</v>
      </c>
      <c r="D14" s="65" t="e">
        <f t="shared" si="2"/>
        <v>#DIV/0!</v>
      </c>
      <c r="E14" s="84">
        <f>'Water Reading'!H14-'Water Reading'!H13</f>
        <v>0</v>
      </c>
      <c r="F14" s="85" t="e">
        <f t="shared" si="3"/>
        <v>#DIV/0!</v>
      </c>
      <c r="G14" s="89">
        <f>('Water Reading'!D14-'Water Reading'!D13)-('Water Reading'!R14-'Water Reading'!R13)-('Water Reading'!Q14-'Water Reading'!Q13)</f>
        <v>0</v>
      </c>
      <c r="H14" s="85" t="e">
        <f t="shared" si="4"/>
        <v>#DIV/0!</v>
      </c>
      <c r="I14" s="86">
        <f>'Water Reading'!P14-'Water Reading'!P13</f>
        <v>0</v>
      </c>
      <c r="J14" s="66" t="e">
        <f t="shared" si="5"/>
        <v>#DIV/0!</v>
      </c>
      <c r="K14" s="87">
        <f>('Water Reading'!I14-'Water Reading'!I13)-('Water Reading'!P14-'Water Reading'!P13)</f>
        <v>0</v>
      </c>
      <c r="L14" s="66" t="e">
        <f t="shared" si="6"/>
        <v>#DIV/0!</v>
      </c>
      <c r="M14" s="86">
        <f>'Water Reading'!R14-'Water Reading'!R13</f>
        <v>0</v>
      </c>
      <c r="N14" s="88" t="e">
        <f t="shared" si="7"/>
        <v>#DIV/0!</v>
      </c>
      <c r="O14" s="86">
        <f>'Water Reading'!Q14-'Water Reading'!Q13</f>
        <v>0</v>
      </c>
      <c r="P14" s="93" t="e">
        <f t="shared" si="8"/>
        <v>#DIV/0!</v>
      </c>
      <c r="Q14" s="87">
        <f>'Water Reading'!N14-'Water Reading'!N13</f>
        <v>0</v>
      </c>
      <c r="R14" s="94" t="e">
        <f t="shared" si="9"/>
        <v>#DIV/0!</v>
      </c>
      <c r="S14" s="86">
        <f>'Water Reading'!M14-'Water Reading'!M13</f>
        <v>0</v>
      </c>
      <c r="T14" s="94" t="e">
        <f t="shared" si="10"/>
        <v>#DIV/0!</v>
      </c>
      <c r="U14" s="86">
        <f>'Water Reading'!O14-'Water Reading'!O13</f>
        <v>0</v>
      </c>
      <c r="V14" s="94" t="e">
        <f t="shared" si="11"/>
        <v>#DIV/0!</v>
      </c>
      <c r="W14" s="86">
        <f>'Water Reading'!R14-'Water Reading'!R13</f>
        <v>0</v>
      </c>
      <c r="X14" s="94" t="e">
        <f t="shared" si="12"/>
        <v>#DIV/0!</v>
      </c>
      <c r="Y14" s="64">
        <f t="shared" si="0"/>
        <v>0</v>
      </c>
      <c r="Z14" s="65" t="e">
        <f t="shared" si="1"/>
        <v>#DIV/0!</v>
      </c>
    </row>
    <row r="15" spans="1:26" x14ac:dyDescent="0.25">
      <c r="A15" s="8">
        <f>'Water Reading'!A14</f>
        <v>44542</v>
      </c>
      <c r="B15" s="63">
        <f>TOTAL!I13</f>
        <v>0</v>
      </c>
      <c r="C15" s="64">
        <f>('Water Reading'!B15-'Water Reading'!B14)+('Water Reading'!C15-'Water Reading'!C14)</f>
        <v>0</v>
      </c>
      <c r="D15" s="65" t="e">
        <f t="shared" si="2"/>
        <v>#DIV/0!</v>
      </c>
      <c r="E15" s="84">
        <f>'Water Reading'!H15-'Water Reading'!H14</f>
        <v>0</v>
      </c>
      <c r="F15" s="85" t="e">
        <f t="shared" si="3"/>
        <v>#DIV/0!</v>
      </c>
      <c r="G15" s="89">
        <f>('Water Reading'!D15-'Water Reading'!D14)-('Water Reading'!R15-'Water Reading'!R14)-('Water Reading'!Q15-'Water Reading'!Q14)</f>
        <v>0</v>
      </c>
      <c r="H15" s="85" t="e">
        <f t="shared" si="4"/>
        <v>#DIV/0!</v>
      </c>
      <c r="I15" s="86">
        <f>'Water Reading'!P15-'Water Reading'!P14</f>
        <v>0</v>
      </c>
      <c r="J15" s="66" t="e">
        <f t="shared" si="5"/>
        <v>#DIV/0!</v>
      </c>
      <c r="K15" s="87">
        <f>('Water Reading'!I15-'Water Reading'!I14)-('Water Reading'!P15-'Water Reading'!P14)</f>
        <v>0</v>
      </c>
      <c r="L15" s="66" t="e">
        <f t="shared" si="6"/>
        <v>#DIV/0!</v>
      </c>
      <c r="M15" s="86">
        <f>'Water Reading'!R15-'Water Reading'!R14</f>
        <v>0</v>
      </c>
      <c r="N15" s="88" t="e">
        <f t="shared" si="7"/>
        <v>#DIV/0!</v>
      </c>
      <c r="O15" s="86">
        <f>'Water Reading'!Q15-'Water Reading'!Q14</f>
        <v>0</v>
      </c>
      <c r="P15" s="93" t="e">
        <f t="shared" si="8"/>
        <v>#DIV/0!</v>
      </c>
      <c r="Q15" s="87">
        <f>'Water Reading'!N15-'Water Reading'!N14</f>
        <v>0</v>
      </c>
      <c r="R15" s="94" t="e">
        <f t="shared" si="9"/>
        <v>#DIV/0!</v>
      </c>
      <c r="S15" s="86">
        <f>'Water Reading'!M15-'Water Reading'!M14</f>
        <v>0</v>
      </c>
      <c r="T15" s="94" t="e">
        <f t="shared" si="10"/>
        <v>#DIV/0!</v>
      </c>
      <c r="U15" s="86">
        <f>'Water Reading'!O15-'Water Reading'!O14</f>
        <v>0</v>
      </c>
      <c r="V15" s="94" t="e">
        <f t="shared" si="11"/>
        <v>#DIV/0!</v>
      </c>
      <c r="W15" s="86">
        <f>'Water Reading'!R15-'Water Reading'!R14</f>
        <v>0</v>
      </c>
      <c r="X15" s="94" t="e">
        <f t="shared" si="12"/>
        <v>#DIV/0!</v>
      </c>
      <c r="Y15" s="64">
        <f t="shared" si="0"/>
        <v>0</v>
      </c>
      <c r="Z15" s="65" t="e">
        <f t="shared" si="1"/>
        <v>#DIV/0!</v>
      </c>
    </row>
    <row r="16" spans="1:26" x14ac:dyDescent="0.25">
      <c r="A16" s="8">
        <f>'Water Reading'!A15</f>
        <v>44543</v>
      </c>
      <c r="B16" s="63">
        <f>TOTAL!I14</f>
        <v>0</v>
      </c>
      <c r="C16" s="64">
        <f>('Water Reading'!B16-'Water Reading'!B15)+('Water Reading'!C16-'Water Reading'!C15)</f>
        <v>0</v>
      </c>
      <c r="D16" s="65" t="e">
        <f t="shared" si="2"/>
        <v>#DIV/0!</v>
      </c>
      <c r="E16" s="84">
        <f>'Water Reading'!H16-'Water Reading'!H15</f>
        <v>0</v>
      </c>
      <c r="F16" s="85" t="e">
        <f t="shared" si="3"/>
        <v>#DIV/0!</v>
      </c>
      <c r="G16" s="89">
        <f>('Water Reading'!D16-'Water Reading'!D15)-('Water Reading'!R16-'Water Reading'!R15)-('Water Reading'!Q16-'Water Reading'!Q15)</f>
        <v>0</v>
      </c>
      <c r="H16" s="85" t="e">
        <f t="shared" si="4"/>
        <v>#DIV/0!</v>
      </c>
      <c r="I16" s="86">
        <f>'Water Reading'!P16-'Water Reading'!P15</f>
        <v>0</v>
      </c>
      <c r="J16" s="66" t="e">
        <f t="shared" si="5"/>
        <v>#DIV/0!</v>
      </c>
      <c r="K16" s="87">
        <f>('Water Reading'!I16-'Water Reading'!I15)-('Water Reading'!P16-'Water Reading'!P15)</f>
        <v>0</v>
      </c>
      <c r="L16" s="66" t="e">
        <f t="shared" si="6"/>
        <v>#DIV/0!</v>
      </c>
      <c r="M16" s="86">
        <f>'Water Reading'!R16-'Water Reading'!R15</f>
        <v>0</v>
      </c>
      <c r="N16" s="88" t="e">
        <f t="shared" si="7"/>
        <v>#DIV/0!</v>
      </c>
      <c r="O16" s="86">
        <f>'Water Reading'!Q16-'Water Reading'!Q15</f>
        <v>0</v>
      </c>
      <c r="P16" s="93" t="e">
        <f t="shared" si="8"/>
        <v>#DIV/0!</v>
      </c>
      <c r="Q16" s="87">
        <f>'Water Reading'!N16-'Water Reading'!N15</f>
        <v>0</v>
      </c>
      <c r="R16" s="94" t="e">
        <f t="shared" si="9"/>
        <v>#DIV/0!</v>
      </c>
      <c r="S16" s="86">
        <f>'Water Reading'!M16-'Water Reading'!M15</f>
        <v>0</v>
      </c>
      <c r="T16" s="94" t="e">
        <f t="shared" si="10"/>
        <v>#DIV/0!</v>
      </c>
      <c r="U16" s="86">
        <f>'Water Reading'!O16-'Water Reading'!O15</f>
        <v>0</v>
      </c>
      <c r="V16" s="94" t="e">
        <f t="shared" si="11"/>
        <v>#DIV/0!</v>
      </c>
      <c r="W16" s="86">
        <f>'Water Reading'!R16-'Water Reading'!R15</f>
        <v>0</v>
      </c>
      <c r="X16" s="94" t="e">
        <f t="shared" si="12"/>
        <v>#DIV/0!</v>
      </c>
      <c r="Y16" s="64">
        <f t="shared" si="0"/>
        <v>0</v>
      </c>
      <c r="Z16" s="65" t="e">
        <f t="shared" si="1"/>
        <v>#DIV/0!</v>
      </c>
    </row>
    <row r="17" spans="1:26" x14ac:dyDescent="0.25">
      <c r="A17" s="8">
        <f>'Water Reading'!A16</f>
        <v>44544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4">
        <f>'Water Reading'!H17-'Water Reading'!H16</f>
        <v>0</v>
      </c>
      <c r="F17" s="85" t="e">
        <f t="shared" si="3"/>
        <v>#DIV/0!</v>
      </c>
      <c r="G17" s="89">
        <f>('Water Reading'!D17-'Water Reading'!D16)-('Water Reading'!R17-'Water Reading'!R16)-('Water Reading'!Q17-'Water Reading'!Q16)</f>
        <v>0</v>
      </c>
      <c r="H17" s="85" t="e">
        <f t="shared" si="4"/>
        <v>#DIV/0!</v>
      </c>
      <c r="I17" s="86">
        <f>'Water Reading'!P17-'Water Reading'!P16</f>
        <v>0</v>
      </c>
      <c r="J17" s="66" t="e">
        <f t="shared" si="5"/>
        <v>#DIV/0!</v>
      </c>
      <c r="K17" s="87">
        <f>('Water Reading'!I17-'Water Reading'!I16)-('Water Reading'!P17-'Water Reading'!P16)</f>
        <v>0</v>
      </c>
      <c r="L17" s="66" t="e">
        <f t="shared" si="6"/>
        <v>#DIV/0!</v>
      </c>
      <c r="M17" s="86">
        <f>'Water Reading'!R17-'Water Reading'!R16</f>
        <v>0</v>
      </c>
      <c r="N17" s="88" t="e">
        <f t="shared" si="7"/>
        <v>#DIV/0!</v>
      </c>
      <c r="O17" s="86">
        <f>'Water Reading'!Q17-'Water Reading'!Q16</f>
        <v>0</v>
      </c>
      <c r="P17" s="93" t="e">
        <f t="shared" si="8"/>
        <v>#DIV/0!</v>
      </c>
      <c r="Q17" s="87">
        <f>'Water Reading'!N17-'Water Reading'!N16</f>
        <v>0</v>
      </c>
      <c r="R17" s="94" t="e">
        <f t="shared" si="9"/>
        <v>#DIV/0!</v>
      </c>
      <c r="S17" s="86">
        <f>'Water Reading'!M17-'Water Reading'!M16</f>
        <v>0</v>
      </c>
      <c r="T17" s="94" t="e">
        <f t="shared" si="10"/>
        <v>#DIV/0!</v>
      </c>
      <c r="U17" s="86">
        <f>'Water Reading'!O17-'Water Reading'!O16</f>
        <v>0</v>
      </c>
      <c r="V17" s="94" t="e">
        <f t="shared" si="11"/>
        <v>#DIV/0!</v>
      </c>
      <c r="W17" s="86">
        <f>'Water Reading'!R17-'Water Reading'!R16</f>
        <v>0</v>
      </c>
      <c r="X17" s="94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44545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4">
        <f>'Water Reading'!H18-'Water Reading'!H17</f>
        <v>0</v>
      </c>
      <c r="F18" s="85" t="e">
        <f t="shared" si="3"/>
        <v>#DIV/0!</v>
      </c>
      <c r="G18" s="89">
        <f>('Water Reading'!D18-'Water Reading'!D17)-('Water Reading'!R18-'Water Reading'!R17)-('Water Reading'!Q18-'Water Reading'!Q17)</f>
        <v>0</v>
      </c>
      <c r="H18" s="85" t="e">
        <f t="shared" si="4"/>
        <v>#DIV/0!</v>
      </c>
      <c r="I18" s="86">
        <f>'Water Reading'!P18-'Water Reading'!P17</f>
        <v>0</v>
      </c>
      <c r="J18" s="66" t="e">
        <f t="shared" si="5"/>
        <v>#DIV/0!</v>
      </c>
      <c r="K18" s="87">
        <f>('Water Reading'!I18-'Water Reading'!I17)-('Water Reading'!P18-'Water Reading'!P17)</f>
        <v>0</v>
      </c>
      <c r="L18" s="66" t="e">
        <f t="shared" si="6"/>
        <v>#DIV/0!</v>
      </c>
      <c r="M18" s="86">
        <f>'Water Reading'!R18-'Water Reading'!R17</f>
        <v>0</v>
      </c>
      <c r="N18" s="88" t="e">
        <f t="shared" si="7"/>
        <v>#DIV/0!</v>
      </c>
      <c r="O18" s="86">
        <f>'Water Reading'!Q18-'Water Reading'!Q17</f>
        <v>0</v>
      </c>
      <c r="P18" s="93" t="e">
        <f t="shared" si="8"/>
        <v>#DIV/0!</v>
      </c>
      <c r="Q18" s="87">
        <f>'Water Reading'!N18-'Water Reading'!N17</f>
        <v>0</v>
      </c>
      <c r="R18" s="94" t="e">
        <f t="shared" si="9"/>
        <v>#DIV/0!</v>
      </c>
      <c r="S18" s="86">
        <f>'Water Reading'!M18-'Water Reading'!M17</f>
        <v>0</v>
      </c>
      <c r="T18" s="94" t="e">
        <f t="shared" si="10"/>
        <v>#DIV/0!</v>
      </c>
      <c r="U18" s="86">
        <f>'Water Reading'!O18-'Water Reading'!O17</f>
        <v>0</v>
      </c>
      <c r="V18" s="94" t="e">
        <f t="shared" si="11"/>
        <v>#DIV/0!</v>
      </c>
      <c r="W18" s="86">
        <f>'Water Reading'!R18-'Water Reading'!R17</f>
        <v>0</v>
      </c>
      <c r="X18" s="94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44546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4">
        <f>'Water Reading'!H19-'Water Reading'!H18</f>
        <v>0</v>
      </c>
      <c r="F19" s="85" t="e">
        <f t="shared" si="3"/>
        <v>#DIV/0!</v>
      </c>
      <c r="G19" s="89">
        <f>('Water Reading'!D19-'Water Reading'!D18)-('Water Reading'!R19-'Water Reading'!R18)-('Water Reading'!Q19-'Water Reading'!Q18)</f>
        <v>0</v>
      </c>
      <c r="H19" s="85" t="e">
        <f t="shared" si="4"/>
        <v>#DIV/0!</v>
      </c>
      <c r="I19" s="86">
        <f>'Water Reading'!P19-'Water Reading'!P18</f>
        <v>0</v>
      </c>
      <c r="J19" s="66" t="e">
        <f t="shared" si="5"/>
        <v>#DIV/0!</v>
      </c>
      <c r="K19" s="87">
        <f>('Water Reading'!I19-'Water Reading'!I18)-('Water Reading'!P19-'Water Reading'!P18)</f>
        <v>0</v>
      </c>
      <c r="L19" s="66" t="e">
        <f t="shared" si="6"/>
        <v>#DIV/0!</v>
      </c>
      <c r="M19" s="86">
        <f>'Water Reading'!R19-'Water Reading'!R18</f>
        <v>0</v>
      </c>
      <c r="N19" s="88" t="e">
        <f t="shared" si="7"/>
        <v>#DIV/0!</v>
      </c>
      <c r="O19" s="86">
        <f>'Water Reading'!Q19-'Water Reading'!Q18</f>
        <v>0</v>
      </c>
      <c r="P19" s="93" t="e">
        <f t="shared" si="8"/>
        <v>#DIV/0!</v>
      </c>
      <c r="Q19" s="87">
        <f>'Water Reading'!N19-'Water Reading'!N18</f>
        <v>0</v>
      </c>
      <c r="R19" s="94" t="e">
        <f t="shared" si="9"/>
        <v>#DIV/0!</v>
      </c>
      <c r="S19" s="86">
        <f>'Water Reading'!M19-'Water Reading'!M18</f>
        <v>0</v>
      </c>
      <c r="T19" s="94" t="e">
        <f t="shared" si="10"/>
        <v>#DIV/0!</v>
      </c>
      <c r="U19" s="86">
        <f>'Water Reading'!O19-'Water Reading'!O18</f>
        <v>0</v>
      </c>
      <c r="V19" s="94" t="e">
        <f t="shared" si="11"/>
        <v>#DIV/0!</v>
      </c>
      <c r="W19" s="86">
        <f>'Water Reading'!R19-'Water Reading'!R18</f>
        <v>0</v>
      </c>
      <c r="X19" s="94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44547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4">
        <f>'Water Reading'!H20-'Water Reading'!H19</f>
        <v>0</v>
      </c>
      <c r="F20" s="85" t="e">
        <f t="shared" si="3"/>
        <v>#DIV/0!</v>
      </c>
      <c r="G20" s="89">
        <f>('Water Reading'!D20-'Water Reading'!D19)-('Water Reading'!R20-'Water Reading'!R19)-('Water Reading'!Q20-'Water Reading'!Q19)</f>
        <v>0</v>
      </c>
      <c r="H20" s="85" t="e">
        <f t="shared" si="4"/>
        <v>#DIV/0!</v>
      </c>
      <c r="I20" s="86">
        <f>'Water Reading'!P20-'Water Reading'!P19</f>
        <v>0</v>
      </c>
      <c r="J20" s="66" t="e">
        <f t="shared" si="5"/>
        <v>#DIV/0!</v>
      </c>
      <c r="K20" s="87">
        <f>('Water Reading'!I20-'Water Reading'!I19)-('Water Reading'!P20-'Water Reading'!P19)</f>
        <v>0</v>
      </c>
      <c r="L20" s="66" t="e">
        <f t="shared" si="6"/>
        <v>#DIV/0!</v>
      </c>
      <c r="M20" s="86">
        <f>'Water Reading'!R20-'Water Reading'!R19</f>
        <v>0</v>
      </c>
      <c r="N20" s="88" t="e">
        <f t="shared" si="7"/>
        <v>#DIV/0!</v>
      </c>
      <c r="O20" s="86">
        <f>'Water Reading'!Q20-'Water Reading'!Q19</f>
        <v>0</v>
      </c>
      <c r="P20" s="93" t="e">
        <f t="shared" si="8"/>
        <v>#DIV/0!</v>
      </c>
      <c r="Q20" s="87">
        <f>'Water Reading'!N20-'Water Reading'!N19</f>
        <v>0</v>
      </c>
      <c r="R20" s="94" t="e">
        <f t="shared" si="9"/>
        <v>#DIV/0!</v>
      </c>
      <c r="S20" s="86">
        <f>'Water Reading'!M20-'Water Reading'!M19</f>
        <v>0</v>
      </c>
      <c r="T20" s="94" t="e">
        <f t="shared" si="10"/>
        <v>#DIV/0!</v>
      </c>
      <c r="U20" s="86">
        <f>'Water Reading'!O20-'Water Reading'!O19</f>
        <v>0</v>
      </c>
      <c r="V20" s="94" t="e">
        <f t="shared" si="11"/>
        <v>#DIV/0!</v>
      </c>
      <c r="W20" s="86">
        <f>'Water Reading'!R20-'Water Reading'!R19</f>
        <v>0</v>
      </c>
      <c r="X20" s="94" t="e">
        <f t="shared" si="12"/>
        <v>#DIV/0!</v>
      </c>
      <c r="Y20" s="64">
        <f t="shared" si="0"/>
        <v>0</v>
      </c>
      <c r="Z20" s="65" t="e">
        <f t="shared" si="1"/>
        <v>#DIV/0!</v>
      </c>
    </row>
    <row r="21" spans="1:26" x14ac:dyDescent="0.25">
      <c r="A21" s="8">
        <f>'Water Reading'!A20</f>
        <v>44548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4">
        <f>'Water Reading'!H21-'Water Reading'!H20</f>
        <v>0</v>
      </c>
      <c r="F21" s="85" t="e">
        <f t="shared" si="3"/>
        <v>#DIV/0!</v>
      </c>
      <c r="G21" s="89">
        <f>('Water Reading'!D21-'Water Reading'!D20)-('Water Reading'!R21-'Water Reading'!R20)-('Water Reading'!Q21-'Water Reading'!Q20)</f>
        <v>0</v>
      </c>
      <c r="H21" s="85" t="e">
        <f t="shared" si="4"/>
        <v>#DIV/0!</v>
      </c>
      <c r="I21" s="86">
        <f>'Water Reading'!P21-'Water Reading'!P20</f>
        <v>0</v>
      </c>
      <c r="J21" s="66" t="e">
        <f t="shared" si="5"/>
        <v>#DIV/0!</v>
      </c>
      <c r="K21" s="87">
        <f>('Water Reading'!I21-'Water Reading'!I20)-('Water Reading'!P21-'Water Reading'!P20)</f>
        <v>0</v>
      </c>
      <c r="L21" s="66" t="e">
        <f t="shared" si="6"/>
        <v>#DIV/0!</v>
      </c>
      <c r="M21" s="86">
        <f>'Water Reading'!R21-'Water Reading'!R20</f>
        <v>0</v>
      </c>
      <c r="N21" s="88" t="e">
        <f t="shared" si="7"/>
        <v>#DIV/0!</v>
      </c>
      <c r="O21" s="86">
        <f>'Water Reading'!Q21-'Water Reading'!Q20</f>
        <v>0</v>
      </c>
      <c r="P21" s="93" t="e">
        <f t="shared" si="8"/>
        <v>#DIV/0!</v>
      </c>
      <c r="Q21" s="87">
        <f>'Water Reading'!N21-'Water Reading'!N20</f>
        <v>0</v>
      </c>
      <c r="R21" s="94" t="e">
        <f t="shared" si="9"/>
        <v>#DIV/0!</v>
      </c>
      <c r="S21" s="86">
        <f>'Water Reading'!M21-'Water Reading'!M20</f>
        <v>0</v>
      </c>
      <c r="T21" s="94" t="e">
        <f t="shared" si="10"/>
        <v>#DIV/0!</v>
      </c>
      <c r="U21" s="86">
        <f>'Water Reading'!O21-'Water Reading'!O20</f>
        <v>0</v>
      </c>
      <c r="V21" s="94" t="e">
        <f t="shared" si="11"/>
        <v>#DIV/0!</v>
      </c>
      <c r="W21" s="86">
        <f>'Water Reading'!R21-'Water Reading'!R20</f>
        <v>0</v>
      </c>
      <c r="X21" s="94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44549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4">
        <f>'Water Reading'!H22-'Water Reading'!H21</f>
        <v>0</v>
      </c>
      <c r="F22" s="85" t="e">
        <f t="shared" si="3"/>
        <v>#DIV/0!</v>
      </c>
      <c r="G22" s="89">
        <f>('Water Reading'!D22-'Water Reading'!D21)-('Water Reading'!R22-'Water Reading'!R21)-('Water Reading'!Q22-'Water Reading'!Q21)</f>
        <v>0</v>
      </c>
      <c r="H22" s="85" t="e">
        <f t="shared" si="4"/>
        <v>#DIV/0!</v>
      </c>
      <c r="I22" s="86">
        <f>'Water Reading'!P22-'Water Reading'!P21</f>
        <v>0</v>
      </c>
      <c r="J22" s="66" t="e">
        <f t="shared" si="5"/>
        <v>#DIV/0!</v>
      </c>
      <c r="K22" s="87">
        <f>('Water Reading'!I22-'Water Reading'!I21)-('Water Reading'!P22-'Water Reading'!P21)</f>
        <v>0</v>
      </c>
      <c r="L22" s="66" t="e">
        <f t="shared" si="6"/>
        <v>#DIV/0!</v>
      </c>
      <c r="M22" s="86">
        <f>'Water Reading'!R22-'Water Reading'!R21</f>
        <v>0</v>
      </c>
      <c r="N22" s="88" t="e">
        <f t="shared" si="7"/>
        <v>#DIV/0!</v>
      </c>
      <c r="O22" s="86">
        <f>'Water Reading'!Q22-'Water Reading'!Q21</f>
        <v>0</v>
      </c>
      <c r="P22" s="93" t="e">
        <f t="shared" si="8"/>
        <v>#DIV/0!</v>
      </c>
      <c r="Q22" s="87">
        <f>'Water Reading'!N22-'Water Reading'!N21</f>
        <v>0</v>
      </c>
      <c r="R22" s="94" t="e">
        <f t="shared" si="9"/>
        <v>#DIV/0!</v>
      </c>
      <c r="S22" s="86">
        <f>'Water Reading'!M22-'Water Reading'!M21</f>
        <v>0</v>
      </c>
      <c r="T22" s="94" t="e">
        <f t="shared" si="10"/>
        <v>#DIV/0!</v>
      </c>
      <c r="U22" s="86">
        <f>'Water Reading'!O22-'Water Reading'!O21</f>
        <v>0</v>
      </c>
      <c r="V22" s="94" t="e">
        <f t="shared" si="11"/>
        <v>#DIV/0!</v>
      </c>
      <c r="W22" s="86">
        <f>'Water Reading'!R22-'Water Reading'!R21</f>
        <v>0</v>
      </c>
      <c r="X22" s="94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44550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4">
        <f>'Water Reading'!H23-'Water Reading'!H22</f>
        <v>0</v>
      </c>
      <c r="F23" s="85" t="e">
        <f t="shared" si="3"/>
        <v>#DIV/0!</v>
      </c>
      <c r="G23" s="89">
        <f>('Water Reading'!D23-'Water Reading'!D22)-('Water Reading'!R23-'Water Reading'!R22)-('Water Reading'!Q23-'Water Reading'!Q22)</f>
        <v>0</v>
      </c>
      <c r="H23" s="85" t="e">
        <f t="shared" si="4"/>
        <v>#DIV/0!</v>
      </c>
      <c r="I23" s="86">
        <f>'Water Reading'!P23-'Water Reading'!P22</f>
        <v>0</v>
      </c>
      <c r="J23" s="66" t="e">
        <f t="shared" si="5"/>
        <v>#DIV/0!</v>
      </c>
      <c r="K23" s="87">
        <f>('Water Reading'!I23-'Water Reading'!I22)-('Water Reading'!P23-'Water Reading'!P22)</f>
        <v>0</v>
      </c>
      <c r="L23" s="66" t="e">
        <f t="shared" si="6"/>
        <v>#DIV/0!</v>
      </c>
      <c r="M23" s="86">
        <f>'Water Reading'!R23-'Water Reading'!R22</f>
        <v>0</v>
      </c>
      <c r="N23" s="88" t="e">
        <f t="shared" si="7"/>
        <v>#DIV/0!</v>
      </c>
      <c r="O23" s="86">
        <f>'Water Reading'!Q23-'Water Reading'!Q22</f>
        <v>0</v>
      </c>
      <c r="P23" s="93" t="e">
        <f t="shared" si="8"/>
        <v>#DIV/0!</v>
      </c>
      <c r="Q23" s="87">
        <f>'Water Reading'!N23-'Water Reading'!N22</f>
        <v>0</v>
      </c>
      <c r="R23" s="94" t="e">
        <f t="shared" si="9"/>
        <v>#DIV/0!</v>
      </c>
      <c r="S23" s="86">
        <f>'Water Reading'!M23-'Water Reading'!M22</f>
        <v>0</v>
      </c>
      <c r="T23" s="94" t="e">
        <f t="shared" si="10"/>
        <v>#DIV/0!</v>
      </c>
      <c r="U23" s="86">
        <f>'Water Reading'!O23-'Water Reading'!O22</f>
        <v>0</v>
      </c>
      <c r="V23" s="94" t="e">
        <f t="shared" si="11"/>
        <v>#DIV/0!</v>
      </c>
      <c r="W23" s="86">
        <f>'Water Reading'!R23-'Water Reading'!R22</f>
        <v>0</v>
      </c>
      <c r="X23" s="94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44551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4">
        <f>'Water Reading'!H24-'Water Reading'!H23</f>
        <v>0</v>
      </c>
      <c r="F24" s="85" t="e">
        <f t="shared" si="3"/>
        <v>#DIV/0!</v>
      </c>
      <c r="G24" s="89">
        <f>('Water Reading'!D24-'Water Reading'!D23)-('Water Reading'!R24-'Water Reading'!R23)-('Water Reading'!Q24-'Water Reading'!Q23)</f>
        <v>0</v>
      </c>
      <c r="H24" s="85" t="e">
        <f t="shared" si="4"/>
        <v>#DIV/0!</v>
      </c>
      <c r="I24" s="86">
        <f>'Water Reading'!P24-'Water Reading'!P23</f>
        <v>0</v>
      </c>
      <c r="J24" s="66" t="e">
        <f t="shared" si="5"/>
        <v>#DIV/0!</v>
      </c>
      <c r="K24" s="87">
        <f>('Water Reading'!I24-'Water Reading'!I23)-('Water Reading'!P24-'Water Reading'!P23)</f>
        <v>0</v>
      </c>
      <c r="L24" s="66" t="e">
        <f t="shared" si="6"/>
        <v>#DIV/0!</v>
      </c>
      <c r="M24" s="86">
        <f>'Water Reading'!R24-'Water Reading'!R23</f>
        <v>0</v>
      </c>
      <c r="N24" s="88" t="e">
        <f t="shared" si="7"/>
        <v>#DIV/0!</v>
      </c>
      <c r="O24" s="86">
        <f>'Water Reading'!Q24-'Water Reading'!Q23</f>
        <v>0</v>
      </c>
      <c r="P24" s="93" t="e">
        <f t="shared" si="8"/>
        <v>#DIV/0!</v>
      </c>
      <c r="Q24" s="87">
        <f>'Water Reading'!N24-'Water Reading'!N23</f>
        <v>0</v>
      </c>
      <c r="R24" s="94" t="e">
        <f t="shared" si="9"/>
        <v>#DIV/0!</v>
      </c>
      <c r="S24" s="86">
        <f>'Water Reading'!M24-'Water Reading'!M23</f>
        <v>0</v>
      </c>
      <c r="T24" s="94" t="e">
        <f t="shared" si="10"/>
        <v>#DIV/0!</v>
      </c>
      <c r="U24" s="86">
        <f>'Water Reading'!O24-'Water Reading'!O23</f>
        <v>0</v>
      </c>
      <c r="V24" s="94" t="e">
        <f t="shared" si="11"/>
        <v>#DIV/0!</v>
      </c>
      <c r="W24" s="86">
        <f>'Water Reading'!R24-'Water Reading'!R23</f>
        <v>0</v>
      </c>
      <c r="X24" s="94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44552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4">
        <f>'Water Reading'!H25-'Water Reading'!H24</f>
        <v>0</v>
      </c>
      <c r="F25" s="85" t="e">
        <f t="shared" si="3"/>
        <v>#DIV/0!</v>
      </c>
      <c r="G25" s="89">
        <f>('Water Reading'!D25-'Water Reading'!D24)-('Water Reading'!R25-'Water Reading'!R24)-('Water Reading'!Q25-'Water Reading'!Q24)</f>
        <v>0</v>
      </c>
      <c r="H25" s="85" t="e">
        <f t="shared" si="4"/>
        <v>#DIV/0!</v>
      </c>
      <c r="I25" s="86">
        <f>'Water Reading'!P25-'Water Reading'!P24</f>
        <v>0</v>
      </c>
      <c r="J25" s="66" t="e">
        <f t="shared" si="5"/>
        <v>#DIV/0!</v>
      </c>
      <c r="K25" s="87">
        <f>('Water Reading'!I25-'Water Reading'!I24)-('Water Reading'!P25-'Water Reading'!P24)</f>
        <v>0</v>
      </c>
      <c r="L25" s="66" t="e">
        <f t="shared" si="6"/>
        <v>#DIV/0!</v>
      </c>
      <c r="M25" s="86">
        <f>'Water Reading'!R25-'Water Reading'!R24</f>
        <v>0</v>
      </c>
      <c r="N25" s="88" t="e">
        <f t="shared" si="7"/>
        <v>#DIV/0!</v>
      </c>
      <c r="O25" s="86">
        <f>'Water Reading'!Q25-'Water Reading'!Q24</f>
        <v>0</v>
      </c>
      <c r="P25" s="93" t="e">
        <f t="shared" si="8"/>
        <v>#DIV/0!</v>
      </c>
      <c r="Q25" s="87">
        <f>'Water Reading'!N25-'Water Reading'!N24</f>
        <v>0</v>
      </c>
      <c r="R25" s="94" t="e">
        <f t="shared" si="9"/>
        <v>#DIV/0!</v>
      </c>
      <c r="S25" s="86">
        <f>'Water Reading'!M25-'Water Reading'!M24</f>
        <v>0</v>
      </c>
      <c r="T25" s="94" t="e">
        <f t="shared" si="10"/>
        <v>#DIV/0!</v>
      </c>
      <c r="U25" s="86">
        <f>'Water Reading'!O25-'Water Reading'!O24</f>
        <v>0</v>
      </c>
      <c r="V25" s="94" t="e">
        <f t="shared" si="11"/>
        <v>#DIV/0!</v>
      </c>
      <c r="W25" s="86">
        <f>'Water Reading'!R25-'Water Reading'!R24</f>
        <v>0</v>
      </c>
      <c r="X25" s="94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44553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4">
        <f>'Water Reading'!H26-'Water Reading'!H25</f>
        <v>0</v>
      </c>
      <c r="F26" s="85" t="e">
        <f t="shared" si="3"/>
        <v>#DIV/0!</v>
      </c>
      <c r="G26" s="89">
        <f>('Water Reading'!D26-'Water Reading'!D25)-('Water Reading'!R26-'Water Reading'!R25)-('Water Reading'!Q26-'Water Reading'!Q25)</f>
        <v>0</v>
      </c>
      <c r="H26" s="85" t="e">
        <f t="shared" si="4"/>
        <v>#DIV/0!</v>
      </c>
      <c r="I26" s="86">
        <f>'Water Reading'!P26-'Water Reading'!P25</f>
        <v>0</v>
      </c>
      <c r="J26" s="66" t="e">
        <f t="shared" si="5"/>
        <v>#DIV/0!</v>
      </c>
      <c r="K26" s="87">
        <f>('Water Reading'!I26-'Water Reading'!I25)-('Water Reading'!P26-'Water Reading'!P25)</f>
        <v>0</v>
      </c>
      <c r="L26" s="66" t="e">
        <f t="shared" si="6"/>
        <v>#DIV/0!</v>
      </c>
      <c r="M26" s="86">
        <f>'Water Reading'!R26-'Water Reading'!R25</f>
        <v>0</v>
      </c>
      <c r="N26" s="88" t="e">
        <f t="shared" si="7"/>
        <v>#DIV/0!</v>
      </c>
      <c r="O26" s="86">
        <f>'Water Reading'!Q26-'Water Reading'!Q25</f>
        <v>0</v>
      </c>
      <c r="P26" s="93" t="e">
        <f t="shared" si="8"/>
        <v>#DIV/0!</v>
      </c>
      <c r="Q26" s="87">
        <f>'Water Reading'!N26-'Water Reading'!N25</f>
        <v>0</v>
      </c>
      <c r="R26" s="94" t="e">
        <f t="shared" si="9"/>
        <v>#DIV/0!</v>
      </c>
      <c r="S26" s="86">
        <f>'Water Reading'!M26-'Water Reading'!M25</f>
        <v>0</v>
      </c>
      <c r="T26" s="94" t="e">
        <f t="shared" si="10"/>
        <v>#DIV/0!</v>
      </c>
      <c r="U26" s="86">
        <f>'Water Reading'!O26-'Water Reading'!O25</f>
        <v>0</v>
      </c>
      <c r="V26" s="94" t="e">
        <f t="shared" si="11"/>
        <v>#DIV/0!</v>
      </c>
      <c r="W26" s="86">
        <f>'Water Reading'!R26-'Water Reading'!R25</f>
        <v>0</v>
      </c>
      <c r="X26" s="94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44554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4">
        <f>'Water Reading'!H27-'Water Reading'!H26</f>
        <v>0</v>
      </c>
      <c r="F27" s="85" t="e">
        <f t="shared" si="3"/>
        <v>#DIV/0!</v>
      </c>
      <c r="G27" s="89">
        <f>('Water Reading'!D27-'Water Reading'!D26)-('Water Reading'!R27-'Water Reading'!R26)-('Water Reading'!Q27-'Water Reading'!Q26)</f>
        <v>0</v>
      </c>
      <c r="H27" s="85" t="e">
        <f t="shared" si="4"/>
        <v>#DIV/0!</v>
      </c>
      <c r="I27" s="86">
        <f>'Water Reading'!P27-'Water Reading'!P26</f>
        <v>0</v>
      </c>
      <c r="J27" s="66" t="e">
        <f t="shared" si="5"/>
        <v>#DIV/0!</v>
      </c>
      <c r="K27" s="87">
        <f>('Water Reading'!I27-'Water Reading'!I26)-('Water Reading'!P27-'Water Reading'!P26)</f>
        <v>0</v>
      </c>
      <c r="L27" s="66" t="e">
        <f t="shared" si="6"/>
        <v>#DIV/0!</v>
      </c>
      <c r="M27" s="86">
        <f>'Water Reading'!R27-'Water Reading'!R26</f>
        <v>0</v>
      </c>
      <c r="N27" s="88" t="e">
        <f t="shared" si="7"/>
        <v>#DIV/0!</v>
      </c>
      <c r="O27" s="86">
        <f>'Water Reading'!Q27-'Water Reading'!Q26</f>
        <v>0</v>
      </c>
      <c r="P27" s="93" t="e">
        <f t="shared" si="8"/>
        <v>#DIV/0!</v>
      </c>
      <c r="Q27" s="87">
        <f>'Water Reading'!N27-'Water Reading'!N26</f>
        <v>0</v>
      </c>
      <c r="R27" s="94" t="e">
        <f t="shared" si="9"/>
        <v>#DIV/0!</v>
      </c>
      <c r="S27" s="86">
        <f>'Water Reading'!M27-'Water Reading'!M26</f>
        <v>0</v>
      </c>
      <c r="T27" s="94" t="e">
        <f t="shared" si="10"/>
        <v>#DIV/0!</v>
      </c>
      <c r="U27" s="86">
        <f>'Water Reading'!O27-'Water Reading'!O26</f>
        <v>0</v>
      </c>
      <c r="V27" s="94" t="e">
        <f t="shared" si="11"/>
        <v>#DIV/0!</v>
      </c>
      <c r="W27" s="86">
        <f>'Water Reading'!R27-'Water Reading'!R26</f>
        <v>0</v>
      </c>
      <c r="X27" s="94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44555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4">
        <f>'Water Reading'!H28-'Water Reading'!H27</f>
        <v>0</v>
      </c>
      <c r="F28" s="85" t="e">
        <f t="shared" si="3"/>
        <v>#DIV/0!</v>
      </c>
      <c r="G28" s="89">
        <f>('Water Reading'!D28-'Water Reading'!D27)-('Water Reading'!R28-'Water Reading'!R27)-('Water Reading'!Q28-'Water Reading'!Q27)</f>
        <v>0</v>
      </c>
      <c r="H28" s="85" t="e">
        <f t="shared" si="4"/>
        <v>#DIV/0!</v>
      </c>
      <c r="I28" s="86">
        <f>'Water Reading'!P28-'Water Reading'!P27</f>
        <v>0</v>
      </c>
      <c r="J28" s="66" t="e">
        <f t="shared" si="5"/>
        <v>#DIV/0!</v>
      </c>
      <c r="K28" s="87">
        <f>('Water Reading'!I28-'Water Reading'!I27)-('Water Reading'!P28-'Water Reading'!P27)</f>
        <v>0</v>
      </c>
      <c r="L28" s="66" t="e">
        <f t="shared" si="6"/>
        <v>#DIV/0!</v>
      </c>
      <c r="M28" s="86">
        <f>'Water Reading'!R28-'Water Reading'!R27</f>
        <v>0</v>
      </c>
      <c r="N28" s="88" t="e">
        <f t="shared" si="7"/>
        <v>#DIV/0!</v>
      </c>
      <c r="O28" s="86">
        <f>'Water Reading'!Q28-'Water Reading'!Q27</f>
        <v>0</v>
      </c>
      <c r="P28" s="93" t="e">
        <f t="shared" si="8"/>
        <v>#DIV/0!</v>
      </c>
      <c r="Q28" s="87">
        <f>'Water Reading'!N28-'Water Reading'!N27</f>
        <v>0</v>
      </c>
      <c r="R28" s="94" t="e">
        <f t="shared" si="9"/>
        <v>#DIV/0!</v>
      </c>
      <c r="S28" s="86">
        <f>'Water Reading'!M28-'Water Reading'!M27</f>
        <v>0</v>
      </c>
      <c r="T28" s="94" t="e">
        <f t="shared" si="10"/>
        <v>#DIV/0!</v>
      </c>
      <c r="U28" s="86">
        <f>'Water Reading'!O28-'Water Reading'!O27</f>
        <v>0</v>
      </c>
      <c r="V28" s="94" t="e">
        <f t="shared" si="11"/>
        <v>#DIV/0!</v>
      </c>
      <c r="W28" s="86">
        <f>'Water Reading'!R28-'Water Reading'!R27</f>
        <v>0</v>
      </c>
      <c r="X28" s="94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44556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5" t="e">
        <f t="shared" si="3"/>
        <v>#DIV/0!</v>
      </c>
      <c r="G29" s="89">
        <f>('Water Reading'!D29-'Water Reading'!D28)-('Water Reading'!R29-'Water Reading'!R28)-('Water Reading'!Q29-'Water Reading'!Q28)</f>
        <v>0</v>
      </c>
      <c r="H29" s="85" t="e">
        <f t="shared" si="4"/>
        <v>#DIV/0!</v>
      </c>
      <c r="I29" s="86">
        <f>'Water Reading'!P29-'Water Reading'!P28</f>
        <v>0</v>
      </c>
      <c r="J29" s="66" t="e">
        <f t="shared" si="5"/>
        <v>#DIV/0!</v>
      </c>
      <c r="K29" s="87">
        <f>('Water Reading'!I29-'Water Reading'!I28)-('Water Reading'!P29-'Water Reading'!P28)</f>
        <v>0</v>
      </c>
      <c r="L29" s="66" t="e">
        <f t="shared" si="6"/>
        <v>#DIV/0!</v>
      </c>
      <c r="M29" s="86">
        <f>'Water Reading'!R29-'Water Reading'!R28</f>
        <v>0</v>
      </c>
      <c r="N29" s="88" t="e">
        <f t="shared" si="7"/>
        <v>#DIV/0!</v>
      </c>
      <c r="O29" s="86">
        <f>'Water Reading'!Q29-'Water Reading'!Q28</f>
        <v>0</v>
      </c>
      <c r="P29" s="93" t="e">
        <f t="shared" si="8"/>
        <v>#DIV/0!</v>
      </c>
      <c r="Q29" s="87">
        <f>'Water Reading'!N29-'Water Reading'!N28</f>
        <v>0</v>
      </c>
      <c r="R29" s="94" t="e">
        <f t="shared" si="9"/>
        <v>#DIV/0!</v>
      </c>
      <c r="S29" s="86">
        <f>'Water Reading'!M29-'Water Reading'!M28</f>
        <v>0</v>
      </c>
      <c r="T29" s="94" t="e">
        <f t="shared" si="10"/>
        <v>#DIV/0!</v>
      </c>
      <c r="U29" s="86">
        <f>'Water Reading'!O29-'Water Reading'!O28</f>
        <v>0</v>
      </c>
      <c r="V29" s="94" t="e">
        <f t="shared" si="11"/>
        <v>#DIV/0!</v>
      </c>
      <c r="W29" s="86">
        <f>'Water Reading'!R29-'Water Reading'!R28</f>
        <v>0</v>
      </c>
      <c r="X29" s="94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44557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5" t="e">
        <f t="shared" si="3"/>
        <v>#DIV/0!</v>
      </c>
      <c r="G30" s="89">
        <f>('Water Reading'!D30-'Water Reading'!D29)-('Water Reading'!R30-'Water Reading'!R29)-('Water Reading'!Q30-'Water Reading'!Q29)</f>
        <v>0</v>
      </c>
      <c r="H30" s="85" t="e">
        <f t="shared" si="4"/>
        <v>#DIV/0!</v>
      </c>
      <c r="I30" s="86">
        <f>'Water Reading'!P30-'Water Reading'!P29</f>
        <v>0</v>
      </c>
      <c r="J30" s="66" t="e">
        <f t="shared" si="5"/>
        <v>#DIV/0!</v>
      </c>
      <c r="K30" s="87">
        <f>('Water Reading'!I30-'Water Reading'!I29)-('Water Reading'!P30-'Water Reading'!P29)</f>
        <v>0</v>
      </c>
      <c r="L30" s="66" t="e">
        <f t="shared" si="6"/>
        <v>#DIV/0!</v>
      </c>
      <c r="M30" s="86">
        <f>'Water Reading'!R30-'Water Reading'!R29</f>
        <v>0</v>
      </c>
      <c r="N30" s="88" t="e">
        <f t="shared" si="7"/>
        <v>#DIV/0!</v>
      </c>
      <c r="O30" s="86">
        <f>'Water Reading'!Q30-'Water Reading'!Q29</f>
        <v>0</v>
      </c>
      <c r="P30" s="93" t="e">
        <f t="shared" si="8"/>
        <v>#DIV/0!</v>
      </c>
      <c r="Q30" s="87">
        <f>'Water Reading'!N30-'Water Reading'!N29</f>
        <v>0</v>
      </c>
      <c r="R30" s="94" t="e">
        <f t="shared" si="9"/>
        <v>#DIV/0!</v>
      </c>
      <c r="S30" s="86">
        <f>'Water Reading'!M30-'Water Reading'!M29</f>
        <v>0</v>
      </c>
      <c r="T30" s="94" t="e">
        <f t="shared" si="10"/>
        <v>#DIV/0!</v>
      </c>
      <c r="U30" s="86">
        <f>'Water Reading'!O30-'Water Reading'!O29</f>
        <v>0</v>
      </c>
      <c r="V30" s="94" t="e">
        <f t="shared" si="11"/>
        <v>#DIV/0!</v>
      </c>
      <c r="W30" s="86">
        <f>'Water Reading'!R30-'Water Reading'!R29</f>
        <v>0</v>
      </c>
      <c r="X30" s="94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44558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5" t="e">
        <f t="shared" si="3"/>
        <v>#DIV/0!</v>
      </c>
      <c r="G31" s="89">
        <f>('Water Reading'!D31-'Water Reading'!D30)-('Water Reading'!R31-'Water Reading'!R30)-('Water Reading'!Q31-'Water Reading'!Q30)</f>
        <v>0</v>
      </c>
      <c r="H31" s="85" t="e">
        <f t="shared" si="4"/>
        <v>#DIV/0!</v>
      </c>
      <c r="I31" s="86">
        <f>'Water Reading'!P31-'Water Reading'!P30</f>
        <v>0</v>
      </c>
      <c r="J31" s="66" t="e">
        <f t="shared" si="5"/>
        <v>#DIV/0!</v>
      </c>
      <c r="K31" s="87">
        <f>('Water Reading'!I31-'Water Reading'!I30)-('Water Reading'!P31-'Water Reading'!P30)</f>
        <v>0</v>
      </c>
      <c r="L31" s="66" t="e">
        <f t="shared" si="6"/>
        <v>#DIV/0!</v>
      </c>
      <c r="M31" s="86">
        <f>'Water Reading'!R31-'Water Reading'!R30</f>
        <v>0</v>
      </c>
      <c r="N31" s="88" t="e">
        <f t="shared" si="7"/>
        <v>#DIV/0!</v>
      </c>
      <c r="O31" s="86">
        <f>'Water Reading'!Q31-'Water Reading'!Q30</f>
        <v>0</v>
      </c>
      <c r="P31" s="93" t="e">
        <f t="shared" si="8"/>
        <v>#DIV/0!</v>
      </c>
      <c r="Q31" s="87">
        <f>'Water Reading'!N31-'Water Reading'!N30</f>
        <v>0</v>
      </c>
      <c r="R31" s="94" t="e">
        <f t="shared" si="9"/>
        <v>#DIV/0!</v>
      </c>
      <c r="S31" s="86">
        <f>'Water Reading'!M31-'Water Reading'!M30</f>
        <v>0</v>
      </c>
      <c r="T31" s="94" t="e">
        <f t="shared" si="10"/>
        <v>#DIV/0!</v>
      </c>
      <c r="U31" s="86">
        <f>'Water Reading'!O31-'Water Reading'!O30</f>
        <v>0</v>
      </c>
      <c r="V31" s="94" t="e">
        <f t="shared" si="11"/>
        <v>#DIV/0!</v>
      </c>
      <c r="W31" s="86">
        <f>'Water Reading'!R31-'Water Reading'!R30</f>
        <v>0</v>
      </c>
      <c r="X31" s="94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44559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5" t="e">
        <f t="shared" si="3"/>
        <v>#DIV/0!</v>
      </c>
      <c r="G32" s="89">
        <f>('Water Reading'!D32-'Water Reading'!D31)-('Water Reading'!R32-'Water Reading'!R31)-('Water Reading'!Q32-'Water Reading'!Q31)</f>
        <v>0</v>
      </c>
      <c r="H32" s="85" t="e">
        <f t="shared" si="4"/>
        <v>#DIV/0!</v>
      </c>
      <c r="I32" s="86">
        <f>'Water Reading'!P32-'Water Reading'!P31</f>
        <v>0</v>
      </c>
      <c r="J32" s="66" t="e">
        <f t="shared" si="5"/>
        <v>#DIV/0!</v>
      </c>
      <c r="K32" s="87">
        <f>('Water Reading'!I32-'Water Reading'!I31)-('Water Reading'!P32-'Water Reading'!P31)</f>
        <v>0</v>
      </c>
      <c r="L32" s="66" t="e">
        <f t="shared" si="6"/>
        <v>#DIV/0!</v>
      </c>
      <c r="M32" s="86">
        <f>'Water Reading'!R32-'Water Reading'!R31</f>
        <v>0</v>
      </c>
      <c r="N32" s="88" t="e">
        <f t="shared" si="7"/>
        <v>#DIV/0!</v>
      </c>
      <c r="O32" s="86">
        <f>'Water Reading'!Q32-'Water Reading'!Q31</f>
        <v>0</v>
      </c>
      <c r="P32" s="93" t="e">
        <f t="shared" si="8"/>
        <v>#DIV/0!</v>
      </c>
      <c r="Q32" s="87">
        <f>'Water Reading'!N32-'Water Reading'!N31</f>
        <v>0</v>
      </c>
      <c r="R32" s="94" t="e">
        <f t="shared" si="9"/>
        <v>#DIV/0!</v>
      </c>
      <c r="S32" s="86">
        <f>'Water Reading'!M32-'Water Reading'!M31</f>
        <v>0</v>
      </c>
      <c r="T32" s="94" t="e">
        <f t="shared" si="10"/>
        <v>#DIV/0!</v>
      </c>
      <c r="U32" s="86">
        <f>'Water Reading'!O32-'Water Reading'!O31</f>
        <v>0</v>
      </c>
      <c r="V32" s="94" t="e">
        <f t="shared" si="11"/>
        <v>#DIV/0!</v>
      </c>
      <c r="W32" s="86">
        <f>'Water Reading'!R32-'Water Reading'!R31</f>
        <v>0</v>
      </c>
      <c r="X32" s="94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44560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5" t="e">
        <f t="shared" si="3"/>
        <v>#DIV/0!</v>
      </c>
      <c r="G33" s="89">
        <f>('Water Reading'!D33-'Water Reading'!D32)-('Water Reading'!R33-'Water Reading'!R32)-('Water Reading'!Q33-'Water Reading'!Q32)</f>
        <v>0</v>
      </c>
      <c r="H33" s="85" t="e">
        <f t="shared" si="4"/>
        <v>#DIV/0!</v>
      </c>
      <c r="I33" s="86">
        <f>'Water Reading'!P33-'Water Reading'!P32</f>
        <v>0</v>
      </c>
      <c r="J33" s="66" t="e">
        <f t="shared" si="5"/>
        <v>#DIV/0!</v>
      </c>
      <c r="K33" s="87">
        <f>('Water Reading'!I33-'Water Reading'!I32)-('Water Reading'!P33-'Water Reading'!P32)</f>
        <v>0</v>
      </c>
      <c r="L33" s="66" t="e">
        <f t="shared" si="6"/>
        <v>#DIV/0!</v>
      </c>
      <c r="M33" s="86">
        <f>'Water Reading'!R33-'Water Reading'!R32</f>
        <v>0</v>
      </c>
      <c r="N33" s="88" t="e">
        <f t="shared" si="7"/>
        <v>#DIV/0!</v>
      </c>
      <c r="O33" s="86">
        <f>'Water Reading'!Q33-'Water Reading'!Q32</f>
        <v>0</v>
      </c>
      <c r="P33" s="93" t="e">
        <f t="shared" si="8"/>
        <v>#DIV/0!</v>
      </c>
      <c r="Q33" s="87">
        <f>'Water Reading'!N33-'Water Reading'!N32</f>
        <v>0</v>
      </c>
      <c r="R33" s="94" t="e">
        <f t="shared" si="9"/>
        <v>#DIV/0!</v>
      </c>
      <c r="S33" s="86">
        <f>'Water Reading'!M33-'Water Reading'!M32</f>
        <v>0</v>
      </c>
      <c r="T33" s="94" t="e">
        <f t="shared" si="10"/>
        <v>#DIV/0!</v>
      </c>
      <c r="U33" s="86">
        <f>'Water Reading'!O33-'Water Reading'!O32</f>
        <v>0</v>
      </c>
      <c r="V33" s="94" t="e">
        <f t="shared" si="11"/>
        <v>#DIV/0!</v>
      </c>
      <c r="W33" s="86">
        <f>'Water Reading'!R33-'Water Reading'!R32</f>
        <v>0</v>
      </c>
      <c r="X33" s="94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44561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5" t="e">
        <f t="shared" si="3"/>
        <v>#DIV/0!</v>
      </c>
      <c r="G34" s="89">
        <f>('Water Reading'!D34-'Water Reading'!D33)-('Water Reading'!R34-'Water Reading'!R33)-('Water Reading'!Q34-'Water Reading'!Q33)</f>
        <v>0</v>
      </c>
      <c r="H34" s="85" t="e">
        <f t="shared" si="4"/>
        <v>#DIV/0!</v>
      </c>
      <c r="I34" s="86">
        <f>'Water Reading'!P34-'Water Reading'!P33</f>
        <v>0</v>
      </c>
      <c r="J34" s="66" t="e">
        <f t="shared" si="5"/>
        <v>#DIV/0!</v>
      </c>
      <c r="K34" s="87">
        <f>('Water Reading'!I34-'Water Reading'!I33)-('Water Reading'!P34-'Water Reading'!P33)</f>
        <v>0</v>
      </c>
      <c r="L34" s="66" t="e">
        <f t="shared" si="6"/>
        <v>#DIV/0!</v>
      </c>
      <c r="M34" s="86">
        <f>'Water Reading'!R34-'Water Reading'!R33</f>
        <v>0</v>
      </c>
      <c r="N34" s="88" t="e">
        <f t="shared" si="7"/>
        <v>#DIV/0!</v>
      </c>
      <c r="O34" s="86">
        <f>'Water Reading'!Q34-'Water Reading'!Q33</f>
        <v>0</v>
      </c>
      <c r="P34" s="93" t="e">
        <f t="shared" si="8"/>
        <v>#DIV/0!</v>
      </c>
      <c r="Q34" s="87">
        <f>'Water Reading'!N34-'Water Reading'!N33</f>
        <v>0</v>
      </c>
      <c r="R34" s="94" t="e">
        <f t="shared" si="9"/>
        <v>#DIV/0!</v>
      </c>
      <c r="S34" s="86">
        <f>'Water Reading'!M34-'Water Reading'!M33</f>
        <v>0</v>
      </c>
      <c r="T34" s="94" t="e">
        <f t="shared" si="10"/>
        <v>#DIV/0!</v>
      </c>
      <c r="U34" s="86">
        <f>'Water Reading'!O34-'Water Reading'!O33</f>
        <v>0</v>
      </c>
      <c r="V34" s="94" t="e">
        <f t="shared" si="11"/>
        <v>#DIV/0!</v>
      </c>
      <c r="W34" s="86">
        <f>'Water Reading'!R34-'Water Reading'!R33</f>
        <v>0</v>
      </c>
      <c r="X34" s="94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2">
        <f>SUM(B4:B34)</f>
        <v>3727</v>
      </c>
      <c r="C35" s="72">
        <f>SUM(C4:C34)</f>
        <v>-194548</v>
      </c>
      <c r="D35" s="91">
        <f>C35/B35</f>
        <v>-52.19962436275825</v>
      </c>
      <c r="E35" s="7">
        <f>SUM(E4:E34)</f>
        <v>-58917</v>
      </c>
      <c r="F35" s="90">
        <f>E35/C35</f>
        <v>0.30284043012521333</v>
      </c>
      <c r="G35" s="72">
        <f>SUM(G4:G34)</f>
        <v>-223914</v>
      </c>
      <c r="H35" s="90">
        <f>G35/C35</f>
        <v>1.1509447539938731</v>
      </c>
      <c r="I35" s="7">
        <f>SUM(I4:I34)</f>
        <v>-28709</v>
      </c>
      <c r="J35" s="90">
        <f>I35/C35</f>
        <v>0.14756769537594835</v>
      </c>
      <c r="K35" s="7">
        <f>SUM(K4:K34)</f>
        <v>-39838</v>
      </c>
      <c r="L35" s="90">
        <f>K35/C35</f>
        <v>0.20477208709418757</v>
      </c>
      <c r="M35" s="7">
        <f>SUM(M4:M34)</f>
        <v>-7085</v>
      </c>
      <c r="N35" s="90">
        <f>M35/C35</f>
        <v>3.6417747805168904E-2</v>
      </c>
      <c r="O35" s="7">
        <f>SUM(O4:O34)</f>
        <v>-1139</v>
      </c>
      <c r="P35" s="90">
        <f>O35/C35</f>
        <v>5.854596295001748E-3</v>
      </c>
      <c r="Q35" s="7">
        <f>SUM(Q4:Q34)</f>
        <v>-8105</v>
      </c>
      <c r="R35" s="90">
        <f>Q35/C35</f>
        <v>4.166066986039435E-2</v>
      </c>
      <c r="S35" s="72">
        <f>SUM(S4:S34)</f>
        <v>-26193</v>
      </c>
      <c r="T35" s="90">
        <f>S35/C35</f>
        <v>0.13463515430639225</v>
      </c>
      <c r="U35" s="7">
        <f>SUM(U4:U34)</f>
        <v>-1850</v>
      </c>
      <c r="V35" s="90">
        <f>U35/C35</f>
        <v>9.5092213746736029E-3</v>
      </c>
      <c r="W35" s="7">
        <f>SUM(W4:W34)</f>
        <v>-7085</v>
      </c>
      <c r="X35" s="90">
        <f>W35/C35</f>
        <v>3.6417747805168904E-2</v>
      </c>
      <c r="Y35" s="72">
        <f>SUM(Y4:Y34)</f>
        <v>-402835</v>
      </c>
      <c r="Z35" s="90">
        <f t="shared" si="1"/>
        <v>-108.08559162865575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2021-12-10T06:37:44Z</dcterms:modified>
  <cp:category/>
  <cp:contentStatus/>
</cp:coreProperties>
</file>