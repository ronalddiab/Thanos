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72" documentId="11_1230D7A5D4CB90F4E03FE32CE99A48EE2E333A89" xr6:coauthVersionLast="47" xr6:coauthVersionMax="47" xr10:uidLastSave="{F0C20297-2B78-4070-A641-A6383086546E}"/>
  <bookViews>
    <workbookView xWindow="1350" yWindow="165" windowWidth="12915" windowHeight="8910" tabRatio="579" firstSheet="8" activeTab="2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76" l="1"/>
  <c r="V26" i="76"/>
  <c r="E29" i="2"/>
  <c r="B19" i="76"/>
  <c r="B20" i="76"/>
  <c r="B21" i="76"/>
  <c r="B22" i="76"/>
  <c r="B23" i="76"/>
  <c r="B24" i="76"/>
  <c r="B25" i="76"/>
  <c r="Y12" i="2"/>
  <c r="Y13" i="2" s="1"/>
  <c r="Y14" i="2" s="1"/>
  <c r="Y15" i="2" s="1"/>
  <c r="Y16" i="2" s="1"/>
  <c r="Y17" i="2" s="1"/>
  <c r="Y18" i="2" s="1"/>
  <c r="W12" i="2"/>
  <c r="W13" i="2" s="1"/>
  <c r="W14" i="2" s="1"/>
  <c r="W15" i="2" s="1"/>
  <c r="W16" i="2" s="1"/>
  <c r="W17" i="2" s="1"/>
  <c r="W18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X5" i="2"/>
  <c r="Z5" i="2"/>
  <c r="X6" i="2"/>
  <c r="Z6" i="2"/>
  <c r="X7" i="2"/>
  <c r="Z7" i="2"/>
  <c r="X8" i="2"/>
  <c r="Z8" i="2"/>
  <c r="X9" i="2"/>
  <c r="Z9" i="2"/>
  <c r="X10" i="2"/>
  <c r="Z10" i="2"/>
  <c r="Y23" i="2"/>
  <c r="Y24" i="2" s="1"/>
  <c r="Y25" i="2" s="1"/>
  <c r="Y26" i="2" s="1"/>
  <c r="Y27" i="2" s="1"/>
  <c r="Y28" i="2" s="1"/>
  <c r="Y29" i="2" s="1"/>
  <c r="Y30" i="2" s="1"/>
  <c r="Y31" i="2" s="1"/>
  <c r="Y32" i="2" s="1"/>
  <c r="Y34" i="2" s="1"/>
  <c r="Y20" i="2"/>
  <c r="Y21" i="2" s="1"/>
  <c r="H16" i="2"/>
  <c r="F16" i="2"/>
  <c r="F17" i="2"/>
  <c r="F23" i="2"/>
  <c r="F24" i="2" s="1"/>
  <c r="F30" i="2" s="1"/>
  <c r="F31" i="2" s="1"/>
  <c r="F34" i="2" s="1"/>
  <c r="C13" i="3"/>
  <c r="D12" i="1"/>
  <c r="D13" i="1"/>
  <c r="D12" i="73" l="1"/>
  <c r="B8" i="3" l="1"/>
  <c r="B9" i="3" s="1"/>
  <c r="B15" i="3" s="1"/>
  <c r="B16" i="3" s="1"/>
  <c r="B22" i="3" s="1"/>
  <c r="B23" i="3" s="1"/>
  <c r="B29" i="3" s="1"/>
  <c r="B30" i="3" s="1"/>
  <c r="B33" i="3" s="1"/>
  <c r="M11" i="1"/>
  <c r="M12" i="1" s="1"/>
  <c r="M13" i="1" s="1"/>
  <c r="M14" i="1" s="1"/>
  <c r="M15" i="1" s="1"/>
  <c r="M16" i="1" s="1"/>
  <c r="M17" i="1" s="1"/>
  <c r="M18" i="1" s="1"/>
  <c r="M24" i="1" s="1"/>
  <c r="M25" i="1" s="1"/>
  <c r="M27" i="1" s="1"/>
  <c r="M28" i="1" s="1"/>
  <c r="M31" i="1" s="1"/>
  <c r="M32" i="1" s="1"/>
  <c r="M33" i="1" s="1"/>
  <c r="M34" i="1" s="1"/>
  <c r="M35" i="1" s="1"/>
  <c r="P9" i="2"/>
  <c r="P10" i="2" s="1"/>
  <c r="P16" i="2" s="1"/>
  <c r="P17" i="2" s="1"/>
  <c r="P23" i="2" s="1"/>
  <c r="P24" i="2" s="1"/>
  <c r="P30" i="2" s="1"/>
  <c r="P31" i="2" s="1"/>
  <c r="P34" i="2" s="1"/>
  <c r="L9" i="2"/>
  <c r="L10" i="2" s="1"/>
  <c r="L16" i="2" s="1"/>
  <c r="L17" i="2" s="1"/>
  <c r="L23" i="2" s="1"/>
  <c r="L24" i="2" s="1"/>
  <c r="L30" i="2" s="1"/>
  <c r="L31" i="2" s="1"/>
  <c r="L34" i="2" s="1"/>
  <c r="J9" i="2"/>
  <c r="J10" i="2" s="1"/>
  <c r="J16" i="2" s="1"/>
  <c r="J17" i="2" s="1"/>
  <c r="J23" i="2" s="1"/>
  <c r="J24" i="2" s="1"/>
  <c r="J30" i="2" s="1"/>
  <c r="J31" i="2" s="1"/>
  <c r="J34" i="2" s="1"/>
  <c r="H9" i="2"/>
  <c r="H10" i="2" s="1"/>
  <c r="H17" i="2" s="1"/>
  <c r="H23" i="2" s="1"/>
  <c r="H24" i="2" s="1"/>
  <c r="H30" i="2" s="1"/>
  <c r="H31" i="2" s="1"/>
  <c r="H34" i="2" s="1"/>
  <c r="F9" i="2"/>
  <c r="F10" i="2" s="1"/>
  <c r="D10" i="2"/>
  <c r="D16" i="2" s="1"/>
  <c r="D17" i="2" s="1"/>
  <c r="D23" i="2" s="1"/>
  <c r="D24" i="2" s="1"/>
  <c r="D30" i="2" s="1"/>
  <c r="D31" i="2" s="1"/>
  <c r="D34" i="2" s="1"/>
  <c r="A6" i="73" l="1"/>
  <c r="Z5" i="7"/>
  <c r="AB5" i="7" s="1"/>
  <c r="B5" i="7"/>
  <c r="G10" i="5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AX11" i="5"/>
  <c r="AX12" i="5" s="1"/>
  <c r="AX18" i="5" s="1"/>
  <c r="AX19" i="5" s="1"/>
  <c r="AX23" i="5" s="1"/>
  <c r="AX25" i="5" s="1"/>
  <c r="AX26" i="5" s="1"/>
  <c r="AX32" i="5" s="1"/>
  <c r="AX33" i="5" s="1"/>
  <c r="AX36" i="5" s="1"/>
  <c r="AV11" i="5"/>
  <c r="AV12" i="5" s="1"/>
  <c r="AV18" i="5" s="1"/>
  <c r="AV19" i="5" s="1"/>
  <c r="AV23" i="5" s="1"/>
  <c r="AV24" i="5" s="1"/>
  <c r="AV25" i="5" s="1"/>
  <c r="AV26" i="5" s="1"/>
  <c r="AV30" i="5" s="1"/>
  <c r="AV32" i="5" s="1"/>
  <c r="AV33" i="5" s="1"/>
  <c r="AV36" i="5" s="1"/>
  <c r="AT6" i="5"/>
  <c r="AT7" i="5" s="1"/>
  <c r="AT9" i="5" s="1"/>
  <c r="AT10" i="5" s="1"/>
  <c r="AT11" i="5" s="1"/>
  <c r="AT12" i="5" s="1"/>
  <c r="AT13" i="5" s="1"/>
  <c r="AT14" i="5" s="1"/>
  <c r="AT16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32" i="5" s="1"/>
  <c r="AT33" i="5" s="1"/>
  <c r="AT35" i="5" s="1"/>
  <c r="AT36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7" i="1" s="1"/>
  <c r="P18" i="1" s="1"/>
  <c r="P20" i="1" s="1"/>
  <c r="P21" i="1" s="1"/>
  <c r="P22" i="1" s="1"/>
  <c r="P23" i="1" s="1"/>
  <c r="P24" i="1" s="1"/>
  <c r="P25" i="1" s="1"/>
  <c r="P27" i="1" s="1"/>
  <c r="P29" i="1" s="1"/>
  <c r="P30" i="1" s="1"/>
  <c r="P31" i="1" s="1"/>
  <c r="P32" i="1" s="1"/>
  <c r="P33" i="1" s="1"/>
  <c r="P35" i="1" s="1"/>
  <c r="H11" i="1"/>
  <c r="H13" i="1" s="1"/>
  <c r="H14" i="1" s="1"/>
  <c r="H15" i="1" s="1"/>
  <c r="H16" i="1" s="1"/>
  <c r="H17" i="1" s="1"/>
  <c r="H18" i="1" s="1"/>
  <c r="H20" i="1" s="1"/>
  <c r="H21" i="1" s="1"/>
  <c r="H22" i="1" s="1"/>
  <c r="H23" i="1" s="1"/>
  <c r="H24" i="1" s="1"/>
  <c r="H25" i="1" s="1"/>
  <c r="H31" i="1" s="1"/>
  <c r="H32" i="1" s="1"/>
  <c r="H35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30" i="1" s="1"/>
  <c r="F32" i="1" s="1"/>
  <c r="F35" i="1" s="1"/>
  <c r="B17" i="1"/>
  <c r="B18" i="1" s="1"/>
  <c r="B24" i="1" s="1"/>
  <c r="B25" i="1" s="1"/>
  <c r="B31" i="1" s="1"/>
  <c r="B32" i="1" s="1"/>
  <c r="B35" i="1" s="1"/>
  <c r="B5" i="1"/>
  <c r="C17" i="1" l="1"/>
  <c r="C18" i="1" s="1"/>
  <c r="C24" i="1" s="1"/>
  <c r="C25" i="1" s="1"/>
  <c r="C31" i="1" s="1"/>
  <c r="C32" i="1" s="1"/>
  <c r="C35" i="1" s="1"/>
  <c r="D14" i="1"/>
  <c r="AD5" i="7"/>
  <c r="D5" i="7"/>
  <c r="Q33" i="2"/>
  <c r="AF5" i="7" l="1"/>
  <c r="F5" i="7"/>
  <c r="C23" i="3"/>
  <c r="C24" i="3"/>
  <c r="H24" i="5"/>
  <c r="E15" i="2"/>
  <c r="E16" i="2"/>
  <c r="D14" i="73"/>
  <c r="D15" i="73"/>
  <c r="D16" i="73"/>
  <c r="D17" i="73"/>
  <c r="D18" i="73"/>
  <c r="D19" i="73"/>
  <c r="D20" i="73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H5" i="7" l="1"/>
  <c r="AH5" i="7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4" i="1" s="1"/>
  <c r="K25" i="1" s="1"/>
  <c r="K27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5" i="76"/>
  <c r="F6" i="76" s="1"/>
  <c r="F7" i="76" s="1"/>
  <c r="F8" i="76" s="1"/>
  <c r="F9" i="76" s="1"/>
  <c r="F10" i="76" s="1"/>
  <c r="F11" i="76" s="1"/>
  <c r="F12" i="76" s="1"/>
  <c r="F13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1" i="3" s="1"/>
  <c r="R12" i="3" s="1"/>
  <c r="R13" i="3" s="1"/>
  <c r="R14" i="3" s="1"/>
  <c r="R15" i="3" s="1"/>
  <c r="R16" i="3" s="1"/>
  <c r="R17" i="3" s="1"/>
  <c r="R18" i="3" s="1"/>
  <c r="R19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H15" i="76" l="1"/>
  <c r="I14" i="76"/>
  <c r="F15" i="76"/>
  <c r="G14" i="76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9" i="76" s="1"/>
  <c r="H20" i="76" s="1"/>
  <c r="H21" i="76" s="1"/>
  <c r="H22" i="76" s="1"/>
  <c r="H23" i="76" s="1"/>
  <c r="H24" i="76" s="1"/>
  <c r="H25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7" i="1" s="1"/>
  <c r="AE18" i="1" s="1"/>
  <c r="P5" i="7"/>
  <c r="E18" i="2"/>
  <c r="C26" i="3"/>
  <c r="D13" i="73"/>
  <c r="D11" i="73"/>
  <c r="AE19" i="1" l="1"/>
  <c r="AE21" i="1" s="1"/>
  <c r="AE22" i="1" s="1"/>
  <c r="R5" i="7"/>
  <c r="E19" i="2"/>
  <c r="C27" i="3"/>
  <c r="AE24" i="1" l="1"/>
  <c r="AE25" i="1" s="1"/>
  <c r="T5" i="7"/>
  <c r="E20" i="2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7" i="1" s="1"/>
  <c r="AC18" i="1" s="1"/>
  <c r="AC19" i="1" s="1"/>
  <c r="AC21" i="1" s="1"/>
  <c r="AC22" i="1" s="1"/>
  <c r="AC24" i="1" s="1"/>
  <c r="AC25" i="1" s="1"/>
  <c r="AC26" i="1" s="1"/>
  <c r="AC28" i="1" s="1"/>
  <c r="AC29" i="1" s="1"/>
  <c r="AC30" i="1" s="1"/>
  <c r="AC31" i="1" s="1"/>
  <c r="AC32" i="1" s="1"/>
  <c r="AC33" i="1" s="1"/>
  <c r="AC35" i="1" s="1"/>
  <c r="AA4" i="2"/>
  <c r="AC4" i="2"/>
  <c r="AC5" i="2" l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A5" i="2"/>
  <c r="Q9" i="1"/>
  <c r="Q10" i="1" s="1"/>
  <c r="Q11" i="1" s="1"/>
  <c r="Q12" i="1" s="1"/>
  <c r="AE26" i="1"/>
  <c r="AE28" i="1" s="1"/>
  <c r="AE29" i="1" s="1"/>
  <c r="AE30" i="1" s="1"/>
  <c r="V5" i="7"/>
  <c r="C28" i="3"/>
  <c r="E21" i="2"/>
  <c r="I30" i="1"/>
  <c r="AB5" i="2" l="1"/>
  <c r="AA6" i="2"/>
  <c r="AE31" i="1"/>
  <c r="AE32" i="1" s="1"/>
  <c r="AE33" i="1" s="1"/>
  <c r="AE35" i="1" s="1"/>
  <c r="Q17" i="1"/>
  <c r="Q18" i="1" s="1"/>
  <c r="Q20" i="1" s="1"/>
  <c r="Q21" i="1" s="1"/>
  <c r="Q22" i="1" s="1"/>
  <c r="Q23" i="1" s="1"/>
  <c r="Q24" i="1" s="1"/>
  <c r="Q25" i="1" s="1"/>
  <c r="Q27" i="1" s="1"/>
  <c r="Q29" i="1" s="1"/>
  <c r="Q30" i="1" s="1"/>
  <c r="Q31" i="1" s="1"/>
  <c r="Q32" i="1" s="1"/>
  <c r="Q33" i="1" s="1"/>
  <c r="Q35" i="1" s="1"/>
  <c r="C29" i="3"/>
  <c r="E22" i="2"/>
  <c r="AM18" i="5"/>
  <c r="AB6" i="2" l="1"/>
  <c r="AA7" i="2"/>
  <c r="C30" i="3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AB7" i="2" l="1"/>
  <c r="AA8" i="2"/>
  <c r="C31" i="3"/>
  <c r="AF14" i="1"/>
  <c r="AF15" i="1"/>
  <c r="AF16" i="1"/>
  <c r="AF17" i="1"/>
  <c r="AB8" i="2" l="1"/>
  <c r="AA9" i="2"/>
  <c r="C33" i="3"/>
  <c r="C32" i="3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AB9" i="2" l="1"/>
  <c r="AA10" i="2"/>
  <c r="B12" i="76"/>
  <c r="B13" i="76" s="1"/>
  <c r="V28" i="76"/>
  <c r="V27" i="76"/>
  <c r="AB10" i="2" l="1"/>
  <c r="AA11" i="2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B15" i="76"/>
  <c r="B16" i="76" s="1"/>
  <c r="B17" i="76" s="1"/>
  <c r="C14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5" i="76" l="1"/>
  <c r="E15" i="77"/>
  <c r="E16" i="77"/>
  <c r="E17" i="77"/>
  <c r="E18" i="77"/>
  <c r="E14" i="77"/>
  <c r="B27" i="76" l="1"/>
  <c r="C26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7" i="5" s="1"/>
  <c r="V18" i="5" s="1"/>
  <c r="V19" i="5" s="1"/>
  <c r="V20" i="5" s="1"/>
  <c r="V21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28" i="76" l="1"/>
  <c r="C27" i="76"/>
  <c r="J19" i="76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B29" i="76" l="1"/>
  <c r="B30" i="76" s="1"/>
  <c r="B31" i="76" s="1"/>
  <c r="B32" i="76" s="1"/>
  <c r="B33" i="76" s="1"/>
  <c r="B34" i="76" s="1"/>
  <c r="C28" i="76"/>
  <c r="I22" i="2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AA26" i="76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L14" i="76" l="1"/>
  <c r="L31" i="1"/>
  <c r="C21" i="76"/>
  <c r="K14" i="76"/>
  <c r="K16" i="76"/>
  <c r="N16" i="76" s="1"/>
  <c r="K17" i="76"/>
  <c r="N17" i="76" s="1"/>
  <c r="N15" i="76"/>
  <c r="G15" i="76"/>
  <c r="I15" i="76"/>
  <c r="M15" i="76" s="1"/>
  <c r="N14" i="76" l="1"/>
  <c r="D14" i="76"/>
  <c r="M14" i="76"/>
  <c r="E14" i="76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E12" i="1"/>
  <c r="D12" i="7"/>
  <c r="I11" i="1"/>
  <c r="I10" i="1"/>
  <c r="E13" i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E14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AC27" i="76" l="1"/>
  <c r="AC28" i="76"/>
  <c r="AC26" i="76"/>
  <c r="AC29" i="76" l="1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O35" i="76" l="1"/>
  <c r="AB33" i="76"/>
  <c r="AB34" i="76" s="1"/>
  <c r="AB36" i="76"/>
  <c r="AB38" i="76" s="1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S5" i="2" s="1"/>
  <c r="U4" i="2"/>
  <c r="U5" i="2" s="1"/>
  <c r="V5" i="2" l="1"/>
  <c r="U6" i="2"/>
  <c r="T5" i="2"/>
  <c r="S6" i="2"/>
  <c r="V4" i="2"/>
  <c r="AF4" i="2" s="1"/>
  <c r="T4" i="2"/>
  <c r="V6" i="2" l="1"/>
  <c r="U7" i="2"/>
  <c r="S7" i="2"/>
  <c r="T6" i="2"/>
  <c r="AF5" i="2"/>
  <c r="B2" i="63"/>
  <c r="H5" i="65"/>
  <c r="A2" i="63"/>
  <c r="AE4" i="2"/>
  <c r="AG4" i="2" s="1"/>
  <c r="V7" i="2" l="1"/>
  <c r="U8" i="2"/>
  <c r="T7" i="2"/>
  <c r="S8" i="2"/>
  <c r="AF6" i="2"/>
  <c r="H6" i="65"/>
  <c r="B3" i="63"/>
  <c r="A3" i="63"/>
  <c r="AE5" i="2"/>
  <c r="AG5" i="2" s="1"/>
  <c r="V8" i="2" l="1"/>
  <c r="U9" i="2"/>
  <c r="T8" i="2"/>
  <c r="S9" i="2"/>
  <c r="B4" i="63"/>
  <c r="H7" i="65"/>
  <c r="A4" i="63"/>
  <c r="AE6" i="2"/>
  <c r="AG6" i="2" s="1"/>
  <c r="AF7" i="2"/>
  <c r="T9" i="2" l="1"/>
  <c r="S10" i="2"/>
  <c r="T10" i="2" s="1"/>
  <c r="V9" i="2"/>
  <c r="U10" i="2"/>
  <c r="V10" i="2" s="1"/>
  <c r="AF8" i="2"/>
  <c r="A5" i="63"/>
  <c r="AE7" i="2"/>
  <c r="AG7" i="2" s="1"/>
  <c r="B5" i="63"/>
  <c r="H8" i="65"/>
  <c r="A6" i="63" l="1"/>
  <c r="AE8" i="2"/>
  <c r="AG8" i="2" s="1"/>
  <c r="AF9" i="2"/>
  <c r="H9" i="65"/>
  <c r="B6" i="63"/>
  <c r="S11" i="2" l="1"/>
  <c r="A7" i="63"/>
  <c r="AE9" i="2"/>
  <c r="AG9" i="2" s="1"/>
  <c r="B7" i="63"/>
  <c r="H10" i="65"/>
  <c r="U11" i="2"/>
  <c r="AF10" i="2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<sst xmlns="http://schemas.openxmlformats.org/spreadsheetml/2006/main" count="666" uniqueCount="418">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</sst>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2492</c:v>
                </c:pt>
                <c:pt idx="24">
                  <c:v>1953</c:v>
                </c:pt>
                <c:pt idx="25">
                  <c:v>2394</c:v>
                </c:pt>
                <c:pt idx="26">
                  <c:v>2488.5999999996275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59440"/>
        <c:axId val="195462184"/>
      </c:lineChart>
      <c:catAx>
        <c:axId val="19545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62184"/>
        <c:crosses val="autoZero"/>
        <c:auto val="1"/>
        <c:lblAlgn val="ctr"/>
        <c:lblOffset val="100"/>
        <c:noMultiLvlLbl val="0"/>
      </c:catAx>
      <c:valAx>
        <c:axId val="1954621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5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60616"/>
        <c:axId val="195462968"/>
      </c:lineChart>
      <c:catAx>
        <c:axId val="195460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62968"/>
        <c:crosses val="autoZero"/>
        <c:auto val="1"/>
        <c:lblAlgn val="ctr"/>
        <c:lblOffset val="100"/>
        <c:noMultiLvlLbl val="0"/>
      </c:catAx>
      <c:valAx>
        <c:axId val="195462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60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59832"/>
        <c:axId val="153769480"/>
      </c:lineChart>
      <c:catAx>
        <c:axId val="195459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9480"/>
        <c:crosses val="autoZero"/>
        <c:auto val="1"/>
        <c:lblAlgn val="ctr"/>
        <c:lblOffset val="100"/>
        <c:noMultiLvlLbl val="0"/>
      </c:catAx>
      <c:valAx>
        <c:axId val="15376948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459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2424"/>
        <c:axId val="153764384"/>
      </c:lineChart>
      <c:catAx>
        <c:axId val="153762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4384"/>
        <c:crosses val="autoZero"/>
        <c:auto val="1"/>
        <c:lblAlgn val="ctr"/>
        <c:lblOffset val="100"/>
        <c:noMultiLvlLbl val="0"/>
      </c:catAx>
      <c:valAx>
        <c:axId val="1537643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2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9872"/>
        <c:axId val="153764776"/>
      </c:lineChart>
      <c:catAx>
        <c:axId val="15376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4776"/>
        <c:crosses val="autoZero"/>
        <c:auto val="1"/>
        <c:lblAlgn val="ctr"/>
        <c:lblOffset val="100"/>
        <c:noMultiLvlLbl val="0"/>
      </c:catAx>
      <c:valAx>
        <c:axId val="153764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5168"/>
        <c:axId val="153768304"/>
      </c:lineChart>
      <c:catAx>
        <c:axId val="15376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8304"/>
        <c:crosses val="autoZero"/>
        <c:auto val="1"/>
        <c:lblAlgn val="ctr"/>
        <c:lblOffset val="100"/>
        <c:noMultiLvlLbl val="0"/>
      </c:catAx>
      <c:valAx>
        <c:axId val="15376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3600"/>
        <c:axId val="153765952"/>
      </c:lineChart>
      <c:catAx>
        <c:axId val="15376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5952"/>
        <c:crosses val="autoZero"/>
        <c:auto val="1"/>
        <c:lblAlgn val="ctr"/>
        <c:lblOffset val="100"/>
        <c:noMultiLvlLbl val="0"/>
      </c:catAx>
      <c:valAx>
        <c:axId val="15376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5560"/>
        <c:axId val="153766344"/>
      </c:lineChart>
      <c:catAx>
        <c:axId val="153765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6344"/>
        <c:crosses val="autoZero"/>
        <c:auto val="1"/>
        <c:lblAlgn val="ctr"/>
        <c:lblOffset val="100"/>
        <c:noMultiLvlLbl val="0"/>
      </c:catAx>
      <c:valAx>
        <c:axId val="153766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5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19">
                  <c:v>0</c:v>
                </c:pt>
                <c:pt idx="20">
                  <c:v>0</c:v>
                </c:pt>
                <c:pt idx="21">
                  <c:v>21.5</c:v>
                </c:pt>
                <c:pt idx="22">
                  <c:v>17.5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67128"/>
        <c:axId val="153767912"/>
      </c:lineChart>
      <c:catAx>
        <c:axId val="153767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7912"/>
        <c:crosses val="autoZero"/>
        <c:auto val="1"/>
        <c:lblAlgn val="ctr"/>
        <c:lblOffset val="100"/>
        <c:noMultiLvlLbl val="0"/>
      </c:catAx>
      <c:valAx>
        <c:axId val="153767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7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8112"/>
        <c:axId val="155060856"/>
      </c:lineChart>
      <c:catAx>
        <c:axId val="1550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0856"/>
        <c:crosses val="autoZero"/>
        <c:auto val="1"/>
        <c:lblAlgn val="ctr"/>
        <c:lblOffset val="100"/>
        <c:noMultiLvlLbl val="0"/>
      </c:catAx>
      <c:valAx>
        <c:axId val="155060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17.5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5560"/>
        <c:axId val="155064384"/>
      </c:lineChart>
      <c:catAx>
        <c:axId val="155065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4384"/>
        <c:crosses val="autoZero"/>
        <c:auto val="1"/>
        <c:lblAlgn val="ctr"/>
        <c:lblOffset val="100"/>
        <c:noMultiLvlLbl val="0"/>
      </c:catAx>
      <c:valAx>
        <c:axId val="155064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5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8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3992"/>
        <c:axId val="155061640"/>
      </c:lineChart>
      <c:catAx>
        <c:axId val="155063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1640"/>
        <c:crosses val="autoZero"/>
        <c:auto val="1"/>
        <c:lblAlgn val="ctr"/>
        <c:lblOffset val="100"/>
        <c:noMultiLvlLbl val="0"/>
      </c:catAx>
      <c:valAx>
        <c:axId val="1550616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3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8896"/>
        <c:axId val="155059288"/>
      </c:lineChart>
      <c:catAx>
        <c:axId val="15505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9288"/>
        <c:crosses val="autoZero"/>
        <c:auto val="1"/>
        <c:lblAlgn val="ctr"/>
        <c:lblOffset val="100"/>
        <c:noMultiLvlLbl val="0"/>
      </c:catAx>
      <c:valAx>
        <c:axId val="155059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205</c:v>
                </c:pt>
                <c:pt idx="12">
                  <c:v>141.5</c:v>
                </c:pt>
                <c:pt idx="13">
                  <c:v>0</c:v>
                </c:pt>
                <c:pt idx="14">
                  <c:v>0</c:v>
                </c:pt>
                <c:pt idx="15">
                  <c:v>258</c:v>
                </c:pt>
                <c:pt idx="16">
                  <c:v>182</c:v>
                </c:pt>
                <c:pt idx="17">
                  <c:v>185</c:v>
                </c:pt>
                <c:pt idx="18">
                  <c:v>143</c:v>
                </c:pt>
                <c:pt idx="19">
                  <c:v>150</c:v>
                </c:pt>
                <c:pt idx="20">
                  <c:v>0</c:v>
                </c:pt>
                <c:pt idx="21">
                  <c:v>0</c:v>
                </c:pt>
                <c:pt idx="22">
                  <c:v>261</c:v>
                </c:pt>
                <c:pt idx="23">
                  <c:v>153</c:v>
                </c:pt>
                <c:pt idx="24">
                  <c:v>56</c:v>
                </c:pt>
                <c:pt idx="25">
                  <c:v>309</c:v>
                </c:pt>
                <c:pt idx="26">
                  <c:v>140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9680"/>
        <c:axId val="155060072"/>
      </c:lineChart>
      <c:catAx>
        <c:axId val="15505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0072"/>
        <c:crosses val="autoZero"/>
        <c:auto val="1"/>
        <c:lblAlgn val="ctr"/>
        <c:lblOffset val="100"/>
        <c:noMultiLvlLbl val="0"/>
      </c:catAx>
      <c:valAx>
        <c:axId val="155060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5168"/>
        <c:axId val="155061248"/>
      </c:lineChart>
      <c:catAx>
        <c:axId val="15506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1248"/>
        <c:crosses val="autoZero"/>
        <c:auto val="1"/>
        <c:lblAlgn val="ctr"/>
        <c:lblOffset val="100"/>
        <c:noMultiLvlLbl val="0"/>
      </c:catAx>
      <c:valAx>
        <c:axId val="1550612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2492</c:v>
                </c:pt>
                <c:pt idx="24">
                  <c:v>1953</c:v>
                </c:pt>
                <c:pt idx="25">
                  <c:v>2394</c:v>
                </c:pt>
                <c:pt idx="26">
                  <c:v>2488.5999999996275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3600"/>
        <c:axId val="155064776"/>
      </c:lineChart>
      <c:catAx>
        <c:axId val="15506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4776"/>
        <c:crosses val="autoZero"/>
        <c:auto val="1"/>
        <c:lblAlgn val="ctr"/>
        <c:lblOffset val="100"/>
        <c:noMultiLvlLbl val="0"/>
      </c:catAx>
      <c:valAx>
        <c:axId val="1550647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2480"/>
        <c:axId val="155754440"/>
      </c:lineChart>
      <c:catAx>
        <c:axId val="15575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4440"/>
        <c:crosses val="autoZero"/>
        <c:auto val="1"/>
        <c:lblAlgn val="ctr"/>
        <c:lblOffset val="100"/>
        <c:noMultiLvlLbl val="0"/>
      </c:catAx>
      <c:valAx>
        <c:axId val="155754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8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0520"/>
        <c:axId val="155754832"/>
      </c:lineChart>
      <c:catAx>
        <c:axId val="155750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4832"/>
        <c:crosses val="autoZero"/>
        <c:auto val="1"/>
        <c:lblAlgn val="ctr"/>
        <c:lblOffset val="100"/>
        <c:noMultiLvlLbl val="0"/>
      </c:catAx>
      <c:valAx>
        <c:axId val="15575483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0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-408.06451612904493</c:v>
                </c:pt>
                <c:pt idx="4">
                  <c:v>-920.03225806451519</c:v>
                </c:pt>
                <c:pt idx="5">
                  <c:v>-710.03225806450064</c:v>
                </c:pt>
                <c:pt idx="6">
                  <c:v>0</c:v>
                </c:pt>
                <c:pt idx="7">
                  <c:v>-920.03225806451519</c:v>
                </c:pt>
                <c:pt idx="8">
                  <c:v>-613.35483870966709</c:v>
                </c:pt>
                <c:pt idx="9">
                  <c:v>-920.03225806454429</c:v>
                </c:pt>
                <c:pt idx="10">
                  <c:v>-920.03225806451519</c:v>
                </c:pt>
                <c:pt idx="11">
                  <c:v>-1380.0483870967582</c:v>
                </c:pt>
                <c:pt idx="12">
                  <c:v>0</c:v>
                </c:pt>
                <c:pt idx="13">
                  <c:v>0</c:v>
                </c:pt>
                <c:pt idx="14">
                  <c:v>-1013.1774193548481</c:v>
                </c:pt>
                <c:pt idx="15">
                  <c:v>-990.03225806450064</c:v>
                </c:pt>
                <c:pt idx="16">
                  <c:v>-1533.3870967742114</c:v>
                </c:pt>
                <c:pt idx="17">
                  <c:v>-623.1612903225614</c:v>
                </c:pt>
                <c:pt idx="18">
                  <c:v>-1226.7096774193778</c:v>
                </c:pt>
                <c:pt idx="19">
                  <c:v>0</c:v>
                </c:pt>
                <c:pt idx="20">
                  <c:v>0</c:v>
                </c:pt>
                <c:pt idx="21">
                  <c:v>-1156.7096774193487</c:v>
                </c:pt>
                <c:pt idx="22">
                  <c:v>-990.03225806450064</c:v>
                </c:pt>
                <c:pt idx="23">
                  <c:v>-613.35483870968164</c:v>
                </c:pt>
                <c:pt idx="24">
                  <c:v>-1226.7096774193633</c:v>
                </c:pt>
                <c:pt idx="25">
                  <c:v>-920.03225806451519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2872"/>
        <c:axId val="155750912"/>
      </c:lineChart>
      <c:catAx>
        <c:axId val="155752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0912"/>
        <c:crosses val="autoZero"/>
        <c:auto val="1"/>
        <c:lblAlgn val="ctr"/>
        <c:lblOffset val="100"/>
        <c:noMultiLvlLbl val="0"/>
      </c:catAx>
      <c:valAx>
        <c:axId val="155750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7968"/>
        <c:axId val="155753656"/>
      </c:lineChart>
      <c:catAx>
        <c:axId val="15575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3656"/>
        <c:crosses val="autoZero"/>
        <c:auto val="1"/>
        <c:lblAlgn val="ctr"/>
        <c:lblOffset val="100"/>
        <c:noMultiLvlLbl val="0"/>
      </c:catAx>
      <c:valAx>
        <c:axId val="155753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4048"/>
        <c:axId val="155755224"/>
      </c:lineChart>
      <c:catAx>
        <c:axId val="15575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5224"/>
        <c:crosses val="autoZero"/>
        <c:auto val="1"/>
        <c:lblAlgn val="ctr"/>
        <c:lblOffset val="100"/>
        <c:noMultiLvlLbl val="0"/>
      </c:catAx>
      <c:valAx>
        <c:axId val="1557552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6792"/>
        <c:axId val="155752088"/>
      </c:lineChart>
      <c:catAx>
        <c:axId val="15575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088"/>
        <c:crosses val="autoZero"/>
        <c:auto val="1"/>
        <c:lblAlgn val="ctr"/>
        <c:lblOffset val="100"/>
        <c:noMultiLvlLbl val="0"/>
      </c:catAx>
      <c:valAx>
        <c:axId val="1557520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6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51696"/>
        <c:axId val="155662720"/>
      </c:lineChart>
      <c:catAx>
        <c:axId val="15575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2720"/>
        <c:crosses val="autoZero"/>
        <c:auto val="1"/>
        <c:lblAlgn val="ctr"/>
        <c:lblOffset val="100"/>
        <c:noMultiLvlLbl val="0"/>
      </c:catAx>
      <c:valAx>
        <c:axId val="15566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1152"/>
        <c:axId val="155661936"/>
      </c:lineChart>
      <c:catAx>
        <c:axId val="15566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1936"/>
        <c:crosses val="autoZero"/>
        <c:auto val="1"/>
        <c:lblAlgn val="ctr"/>
        <c:lblOffset val="100"/>
        <c:noMultiLvlLbl val="0"/>
      </c:catAx>
      <c:valAx>
        <c:axId val="15566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17.5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2328"/>
        <c:axId val="155663112"/>
      </c:lineChart>
      <c:catAx>
        <c:axId val="155662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3112"/>
        <c:crosses val="autoZero"/>
        <c:auto val="1"/>
        <c:lblAlgn val="ctr"/>
        <c:lblOffset val="100"/>
        <c:noMultiLvlLbl val="0"/>
      </c:catAx>
      <c:valAx>
        <c:axId val="155663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2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5072"/>
        <c:axId val="155665464"/>
      </c:lineChart>
      <c:catAx>
        <c:axId val="15566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464"/>
        <c:crosses val="autoZero"/>
        <c:auto val="1"/>
        <c:lblAlgn val="ctr"/>
        <c:lblOffset val="100"/>
        <c:noMultiLvlLbl val="0"/>
      </c:catAx>
      <c:valAx>
        <c:axId val="15566546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7424"/>
        <c:axId val="155664288"/>
      </c:lineChart>
      <c:catAx>
        <c:axId val="15566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4288"/>
        <c:crosses val="autoZero"/>
        <c:auto val="1"/>
        <c:lblAlgn val="ctr"/>
        <c:lblOffset val="100"/>
        <c:noMultiLvlLbl val="0"/>
      </c:catAx>
      <c:valAx>
        <c:axId val="155664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5856"/>
        <c:axId val="155663504"/>
      </c:lineChart>
      <c:catAx>
        <c:axId val="155665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3504"/>
        <c:crosses val="autoZero"/>
        <c:auto val="1"/>
        <c:lblAlgn val="ctr"/>
        <c:lblOffset val="100"/>
        <c:noMultiLvlLbl val="0"/>
      </c:catAx>
      <c:valAx>
        <c:axId val="15566350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/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F35"/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C33">
            <v>0</v>
          </cell>
          <cell r="D33">
            <v>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9" zoomScale="70" zoomScaleNormal="70" workbookViewId="0">
      <selection activeCell="I10" sqref="I10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</v>
      </c>
      <c r="D2">
        <v>2023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</v>
      </c>
      <c r="D3">
        <v>2023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</v>
      </c>
      <c r="D4">
        <v>2023</v>
      </c>
      <c r="E4" s="192">
        <f>ELEC!N6</f>
        <v>2464</v>
      </c>
      <c r="F4" s="282">
        <f>SUM('EDl log'!T6)</f>
        <v>0.44985468417061247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</v>
      </c>
      <c r="D5">
        <v>2023</v>
      </c>
      <c r="E5" s="192">
        <f>ELEC!N7</f>
        <v>2763</v>
      </c>
      <c r="F5" s="282">
        <f>SUM('EDl log'!T7)</f>
        <v>9.1762357368551886E-2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</v>
      </c>
      <c r="D6">
        <v>2023</v>
      </c>
      <c r="E6" s="192">
        <f>ELEC!N8</f>
        <v>2299</v>
      </c>
      <c r="F6" s="282">
        <f>SUM('EDl log'!T8)</f>
        <v>0.37940614005652107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</v>
      </c>
      <c r="D7">
        <v>2023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</v>
      </c>
      <c r="D8">
        <v>2023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</v>
      </c>
      <c r="D9">
        <v>2023</v>
      </c>
      <c r="E9" s="192">
        <f>ELEC!N11</f>
        <v>2330</v>
      </c>
      <c r="F9" s="282">
        <f>SUM('EDl log'!T11)</f>
        <v>0.34879472789267896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</v>
      </c>
      <c r="D10">
        <v>2023</v>
      </c>
      <c r="E10" s="192">
        <f>ELEC!N12</f>
        <v>3064</v>
      </c>
      <c r="F10" s="282">
        <f>SUM('EDl log'!T12)</f>
        <v>0.1482594615481338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</v>
      </c>
      <c r="D11">
        <v>2023</v>
      </c>
      <c r="E11" s="192">
        <f>ELEC!N13</f>
        <v>2908</v>
      </c>
      <c r="F11" s="282">
        <f>SUM('EDl log'!T13)</f>
        <v>0.31401262585624751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</v>
      </c>
      <c r="D12">
        <v>2023</v>
      </c>
      <c r="E12" s="192">
        <f>ELEC!N14</f>
        <v>1839</v>
      </c>
      <c r="F12" s="282">
        <f>SUM('EDl log'!T14)</f>
        <v>0.44118741956515678</v>
      </c>
      <c r="G12" s="192">
        <f>-tanks!AW16</f>
        <v>205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</v>
      </c>
      <c r="D13">
        <v>2023</v>
      </c>
      <c r="E13" s="192">
        <f>ELEC!N15</f>
        <v>4552</v>
      </c>
      <c r="F13" s="282">
        <f>SUM('EDl log'!T15)</f>
        <v>0.27589467370377985</v>
      </c>
      <c r="G13" s="192">
        <f>-tanks!AW17</f>
        <v>141.5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63</v>
      </c>
      <c r="L13" s="283">
        <f>SUM(WATER!J17)</f>
        <v>3.8402457757296466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</v>
      </c>
      <c r="D14">
        <v>2023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</v>
      </c>
      <c r="D15">
        <v>2023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</v>
      </c>
      <c r="D16">
        <v>2023</v>
      </c>
      <c r="E16" s="192">
        <f>ELEC!N18</f>
        <v>2647</v>
      </c>
      <c r="F16" s="282">
        <f>SUM('EDl log'!T18)</f>
        <v>0.31820091453033278</v>
      </c>
      <c r="G16" s="192">
        <f>-tanks!AW20</f>
        <v>258</v>
      </c>
      <c r="H16" s="529">
        <f>tanks!AV20</f>
        <v>0.86799999999999999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</v>
      </c>
      <c r="D17">
        <v>2023</v>
      </c>
      <c r="E17" s="192">
        <f>ELEC!N19</f>
        <v>3310</v>
      </c>
      <c r="F17" s="282">
        <f>SUM('EDl log'!T19)</f>
        <v>0.26378964229302992</v>
      </c>
      <c r="G17" s="192">
        <f>-tanks!AW21</f>
        <v>182</v>
      </c>
      <c r="H17" s="529">
        <f>tanks!AV21</f>
        <v>0.86799999999999999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</v>
      </c>
      <c r="D18">
        <v>2023</v>
      </c>
      <c r="E18" s="192">
        <f>ELEC!N20</f>
        <v>3279</v>
      </c>
      <c r="F18" s="282">
        <f>SUM('EDl log'!T20)</f>
        <v>0.4127841316263684</v>
      </c>
      <c r="G18" s="192">
        <f>-tanks!AW22</f>
        <v>185</v>
      </c>
      <c r="H18" s="529">
        <f>tanks!AV22</f>
        <v>0.86799999999999999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</v>
      </c>
      <c r="D19">
        <v>2023</v>
      </c>
      <c r="E19" s="192">
        <f>ELEC!N21</f>
        <v>3504</v>
      </c>
      <c r="F19" s="282">
        <f>SUM('EDl log'!T21)</f>
        <v>0.16600069225666239</v>
      </c>
      <c r="G19" s="192">
        <f>-tanks!AW23</f>
        <v>143</v>
      </c>
      <c r="H19" s="529">
        <f>tanks!AV23</f>
        <v>0.88300000000000001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</v>
      </c>
      <c r="D20">
        <v>2023</v>
      </c>
      <c r="E20" s="192">
        <f>ELEC!N22</f>
        <v>3229</v>
      </c>
      <c r="F20" s="282">
        <f>SUM('EDl log'!T22)</f>
        <v>0.34437842731384788</v>
      </c>
      <c r="G20" s="192">
        <f>-tanks!AW24</f>
        <v>150</v>
      </c>
      <c r="H20" s="529">
        <f>tanks!AV24</f>
        <v>0.88300000000000001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</v>
      </c>
      <c r="D21">
        <v>2023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0.88300000000000001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</v>
      </c>
      <c r="D22">
        <v>2023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0.88300000000000001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</v>
      </c>
      <c r="D23">
        <v>2023</v>
      </c>
      <c r="E23" s="192">
        <f>ELEC!N25</f>
        <v>2894</v>
      </c>
      <c r="F23" s="282">
        <f>SUM('EDl log'!T25)</f>
        <v>0.32864165231388698</v>
      </c>
      <c r="G23" s="192">
        <f>-tanks!AW27</f>
        <v>261</v>
      </c>
      <c r="H23" s="529">
        <f>tanks!AV27</f>
        <v>0.88300000000000001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</v>
      </c>
      <c r="D24">
        <v>2023</v>
      </c>
      <c r="E24" s="192">
        <f>ELEC!N26</f>
        <v>2492</v>
      </c>
      <c r="F24" s="282">
        <f>SUM('EDl log'!T26)</f>
        <v>0.36349685743428867</v>
      </c>
      <c r="G24" s="192">
        <f>-tanks!AW28</f>
        <v>153</v>
      </c>
      <c r="H24" s="529">
        <f>tanks!AV28</f>
        <v>0.88300000000000001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</v>
      </c>
      <c r="D25">
        <v>2023</v>
      </c>
      <c r="E25" s="192">
        <f>ELEC!N27</f>
        <v>1953</v>
      </c>
      <c r="F25" s="282">
        <f>SUM('EDl log'!T27)</f>
        <v>0.33297055308934714</v>
      </c>
      <c r="G25" s="192">
        <f>-tanks!AW29</f>
        <v>56</v>
      </c>
      <c r="H25" s="529">
        <f>tanks!AV29</f>
        <v>0.88300000000000001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</v>
      </c>
      <c r="D26">
        <v>2023</v>
      </c>
      <c r="E26" s="192">
        <f>ELEC!N28</f>
        <v>2394</v>
      </c>
      <c r="F26" s="282">
        <f>SUM('EDl log'!T28)</f>
        <v>0.40544985037443687</v>
      </c>
      <c r="G26" s="192">
        <f>-tanks!AW30</f>
        <v>309</v>
      </c>
      <c r="H26" s="529">
        <f>tanks!AV30</f>
        <v>0.88300000000000001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</v>
      </c>
      <c r="D27">
        <v>2023</v>
      </c>
      <c r="E27" s="192">
        <f>ELEC!N29</f>
        <v>2488.5999999996275</v>
      </c>
      <c r="F27" s="282">
        <f>SUM('EDl log'!T29)</f>
        <v>0.34085498512821222</v>
      </c>
      <c r="G27" s="192">
        <f>-tanks!AW31</f>
        <v>140</v>
      </c>
      <c r="H27" s="529">
        <f>tanks!AV31</f>
        <v>0.88300000000000001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</v>
      </c>
      <c r="D28">
        <v>2023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0.88300000000000001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</v>
      </c>
      <c r="D29">
        <v>2023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0.88300000000000001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</v>
      </c>
      <c r="D30">
        <v>2023</v>
      </c>
      <c r="E30" s="192">
        <f>ELEC!N32</f>
        <v>2670.8000000007451</v>
      </c>
      <c r="F30" s="282">
        <f>SUM('EDl log'!T32)</f>
        <v>0.39272088580055015</v>
      </c>
      <c r="G30" s="192">
        <f>-tanks!AW34</f>
        <v>221</v>
      </c>
      <c r="H30" s="529">
        <f>tanks!AV34</f>
        <v>0.88300000000000001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</v>
      </c>
      <c r="D31">
        <v>2023</v>
      </c>
      <c r="E31" s="192">
        <f>ELEC!N33</f>
        <v>3771.5999999996275</v>
      </c>
      <c r="F31" s="282">
        <f>SUM('EDl log'!T33)</f>
        <v>1.7097122259129353E-2</v>
      </c>
      <c r="G31" s="192">
        <f>-tanks!AW35</f>
        <v>383</v>
      </c>
      <c r="H31" s="529">
        <f>tanks!AV35</f>
        <v>0.91500000000000004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</v>
      </c>
      <c r="D32">
        <v>2023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29">
        <f>tanks!AV36</f>
        <v>0.91500000000000004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topLeftCell="C2"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</v>
      </c>
      <c r="D2">
        <v>2023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</v>
      </c>
      <c r="D3">
        <v>2023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</v>
      </c>
      <c r="D4">
        <v>2023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</v>
      </c>
      <c r="D5">
        <v>2023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</v>
      </c>
      <c r="D6">
        <v>2023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</v>
      </c>
      <c r="D7">
        <v>2023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</v>
      </c>
      <c r="D8">
        <v>2023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</v>
      </c>
      <c r="D9">
        <v>2023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</v>
      </c>
      <c r="D10">
        <v>2023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</v>
      </c>
      <c r="D11">
        <v>2023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</v>
      </c>
      <c r="D12">
        <v>2023</v>
      </c>
      <c r="E12" s="192">
        <f>ELEC!M14</f>
        <v>482</v>
      </c>
      <c r="F12" s="192">
        <f>ELEC!K14</f>
        <v>464</v>
      </c>
      <c r="G12" s="192">
        <f>ELEC!I14</f>
        <v>238</v>
      </c>
      <c r="H12" s="192">
        <f>ELEC!E14</f>
        <v>420</v>
      </c>
      <c r="I12" s="192">
        <f>ELEC!G14</f>
        <v>235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</v>
      </c>
      <c r="D13">
        <v>2023</v>
      </c>
      <c r="E13" s="192">
        <f>ELEC!M15</f>
        <v>1220</v>
      </c>
      <c r="F13" s="192">
        <f>ELEC!K15</f>
        <v>1342</v>
      </c>
      <c r="G13" s="192">
        <f>ELEC!I15</f>
        <v>683</v>
      </c>
      <c r="H13" s="192">
        <f>ELEC!E15</f>
        <v>810</v>
      </c>
      <c r="I13" s="192">
        <f>ELEC!G15</f>
        <v>497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</v>
      </c>
      <c r="D14">
        <v>2023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</v>
      </c>
      <c r="D15">
        <v>2023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</v>
      </c>
      <c r="D16">
        <v>2023</v>
      </c>
      <c r="E16" s="192">
        <f>ELEC!M18</f>
        <v>452</v>
      </c>
      <c r="F16" s="192">
        <f>ELEC!K18</f>
        <v>358</v>
      </c>
      <c r="G16" s="192">
        <f>ELEC!I18</f>
        <v>205</v>
      </c>
      <c r="H16" s="192">
        <f>ELEC!E18</f>
        <v>1400</v>
      </c>
      <c r="I16" s="192">
        <f>ELEC!G18</f>
        <v>232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</v>
      </c>
      <c r="D17">
        <v>2023</v>
      </c>
      <c r="E17" s="192">
        <f>ELEC!M19</f>
        <v>686</v>
      </c>
      <c r="F17" s="192">
        <f>ELEC!K19</f>
        <v>758</v>
      </c>
      <c r="G17" s="192">
        <f>ELEC!I19</f>
        <v>424</v>
      </c>
      <c r="H17" s="192">
        <f>ELEC!E19</f>
        <v>1130</v>
      </c>
      <c r="I17" s="192">
        <f>ELEC!G19</f>
        <v>312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</v>
      </c>
      <c r="D18">
        <v>2023</v>
      </c>
      <c r="E18" s="192">
        <f>ELEC!M20</f>
        <v>736</v>
      </c>
      <c r="F18" s="192">
        <f>ELEC!K20</f>
        <v>886</v>
      </c>
      <c r="G18" s="192">
        <f>ELEC!I20</f>
        <v>420</v>
      </c>
      <c r="H18" s="192">
        <f>ELEC!E20</f>
        <v>940</v>
      </c>
      <c r="I18" s="192">
        <f>ELEC!G20</f>
        <v>297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</v>
      </c>
      <c r="D19">
        <v>2023</v>
      </c>
      <c r="E19" s="192">
        <f>ELEC!M21</f>
        <v>876</v>
      </c>
      <c r="F19" s="192">
        <f>ELEC!K21</f>
        <v>820</v>
      </c>
      <c r="G19" s="192">
        <f>ELEC!I21</f>
        <v>458</v>
      </c>
      <c r="H19" s="192">
        <f>ELEC!E21</f>
        <v>1000</v>
      </c>
      <c r="I19" s="192">
        <f>ELEC!G21</f>
        <v>350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</v>
      </c>
      <c r="D20">
        <v>2023</v>
      </c>
      <c r="E20" s="192">
        <f>ELEC!M22</f>
        <v>796</v>
      </c>
      <c r="F20" s="192">
        <f>ELEC!K22</f>
        <v>836</v>
      </c>
      <c r="G20" s="192">
        <f>ELEC!I22</f>
        <v>404</v>
      </c>
      <c r="H20" s="192">
        <f>ELEC!E22</f>
        <v>910</v>
      </c>
      <c r="I20" s="192">
        <f>ELEC!G22</f>
        <v>283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</v>
      </c>
      <c r="D21">
        <v>2023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</v>
      </c>
      <c r="D22">
        <v>2023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</v>
      </c>
      <c r="D23">
        <v>2023</v>
      </c>
      <c r="E23" s="192">
        <f>ELEC!M25</f>
        <v>810</v>
      </c>
      <c r="F23" s="192">
        <f>ELEC!K25</f>
        <v>624</v>
      </c>
      <c r="G23" s="192">
        <f>ELEC!I25</f>
        <v>406</v>
      </c>
      <c r="H23" s="192">
        <f>ELEC!E25</f>
        <v>760</v>
      </c>
      <c r="I23" s="192">
        <f>ELEC!G25</f>
        <v>294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</v>
      </c>
      <c r="D24">
        <v>2023</v>
      </c>
      <c r="E24" s="192">
        <f>ELEC!M26</f>
        <v>730</v>
      </c>
      <c r="F24" s="192">
        <f>ELEC!K26</f>
        <v>552</v>
      </c>
      <c r="G24" s="192">
        <f>ELEC!I26</f>
        <v>380</v>
      </c>
      <c r="H24" s="192">
        <f>ELEC!E26</f>
        <v>550</v>
      </c>
      <c r="I24" s="192">
        <f>ELEC!G26</f>
        <v>280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</v>
      </c>
      <c r="D25">
        <v>2023</v>
      </c>
      <c r="E25" s="192">
        <f>ELEC!M27</f>
        <v>522</v>
      </c>
      <c r="F25" s="192">
        <f>ELEC!K27</f>
        <v>452</v>
      </c>
      <c r="G25" s="192">
        <f>ELEC!I27</f>
        <v>338</v>
      </c>
      <c r="H25" s="192">
        <f>ELEC!E27</f>
        <v>400</v>
      </c>
      <c r="I25" s="192">
        <f>ELEC!G27</f>
        <v>241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</v>
      </c>
      <c r="D26">
        <v>2023</v>
      </c>
      <c r="E26" s="192">
        <f>ELEC!M28</f>
        <v>706</v>
      </c>
      <c r="F26" s="192">
        <f>ELEC!K28</f>
        <v>578</v>
      </c>
      <c r="G26" s="192">
        <f>ELEC!I28</f>
        <v>376</v>
      </c>
      <c r="H26" s="192">
        <f>ELEC!E28</f>
        <v>450</v>
      </c>
      <c r="I26" s="192">
        <f>ELEC!G28</f>
        <v>284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</v>
      </c>
      <c r="D27">
        <v>2023</v>
      </c>
      <c r="E27" s="192">
        <f>ELEC!M29</f>
        <v>660</v>
      </c>
      <c r="F27" s="192">
        <f>ELEC!K29</f>
        <v>636</v>
      </c>
      <c r="G27" s="192">
        <f>ELEC!I29</f>
        <v>396</v>
      </c>
      <c r="H27" s="192">
        <f>ELEC!E29</f>
        <v>500</v>
      </c>
      <c r="I27" s="192">
        <f>ELEC!G29</f>
        <v>296.59999999962747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</v>
      </c>
      <c r="D28">
        <v>2023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</v>
      </c>
      <c r="D29">
        <v>2023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</v>
      </c>
      <c r="D30">
        <v>2023</v>
      </c>
      <c r="E30" s="192">
        <f>ELEC!M32</f>
        <v>716</v>
      </c>
      <c r="F30" s="192">
        <f>ELEC!K32</f>
        <v>698</v>
      </c>
      <c r="G30" s="192">
        <f>ELEC!I32</f>
        <v>418</v>
      </c>
      <c r="H30" s="192">
        <f>ELEC!E32</f>
        <v>530</v>
      </c>
      <c r="I30" s="192">
        <f>ELEC!G32</f>
        <v>308.80000000074506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</v>
      </c>
      <c r="D31">
        <v>2023</v>
      </c>
      <c r="E31" s="192">
        <f>ELEC!M33</f>
        <v>772</v>
      </c>
      <c r="F31" s="192">
        <f>ELEC!K33</f>
        <v>692</v>
      </c>
      <c r="G31" s="192">
        <f>ELEC!I33</f>
        <v>420</v>
      </c>
      <c r="H31" s="192">
        <f>ELEC!E33</f>
        <v>1470</v>
      </c>
      <c r="I31" s="192">
        <f>ELEC!G33</f>
        <v>417.59999999962747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</v>
      </c>
      <c r="D32">
        <v>2023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tabSelected="1" zoomScale="60" zoomScaleNormal="60" zoomScaleSheetLayoutView="100" workbookViewId="0">
      <pane ySplit="2" topLeftCell="A21" activePane="bottomLeft" state="frozen"/>
      <selection pane="bottomLeft" activeCell="G39" sqref="G39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10" si="15">S4</f>
        <v>10175</v>
      </c>
      <c r="T5" s="394">
        <f t="shared" ref="T5:T10" si="16">S5-S4</f>
        <v>0</v>
      </c>
      <c r="U5" s="380">
        <f t="shared" ref="U5:U10" si="17">U4</f>
        <v>429166</v>
      </c>
      <c r="V5" s="393">
        <f t="shared" ref="V5:V10" si="18">U5-U4</f>
        <v>0</v>
      </c>
      <c r="W5" s="380">
        <v>33500</v>
      </c>
      <c r="X5" s="393">
        <f t="shared" ref="X5:X10" si="19">W5-W4</f>
        <v>0</v>
      </c>
      <c r="Y5" s="380">
        <v>1000644</v>
      </c>
      <c r="Z5" s="393">
        <f t="shared" ref="Z5:Z10" si="20">Y5-Y4</f>
        <v>1</v>
      </c>
      <c r="AA5" s="380">
        <f t="shared" ref="AA5:AA10" si="21">AA4</f>
        <v>36804</v>
      </c>
      <c r="AB5" s="393">
        <f t="shared" ref="AB5:AB10" si="22">AA5-AA4</f>
        <v>0</v>
      </c>
      <c r="AC5" s="380">
        <f t="shared" ref="AC5:AC10" si="23">AC4</f>
        <v>1173391</v>
      </c>
      <c r="AD5" s="402">
        <f>AC5-AC4</f>
        <v>0</v>
      </c>
      <c r="AE5" s="403">
        <f t="shared" ref="AE5:AE31" si="24">AB5+X5+T5</f>
        <v>0</v>
      </c>
      <c r="AF5" s="404">
        <f t="shared" si="4"/>
        <v>1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5">D6-D5</f>
        <v>500</v>
      </c>
      <c r="F6" s="380">
        <v>4189690</v>
      </c>
      <c r="G6" s="402">
        <f t="shared" ref="G6:G7" si="26">F6-F5</f>
        <v>258</v>
      </c>
      <c r="H6" s="380">
        <v>18107186</v>
      </c>
      <c r="I6" s="402">
        <f t="shared" ref="I6:I7" si="27">H6-H5</f>
        <v>352</v>
      </c>
      <c r="J6" s="380">
        <v>29897734</v>
      </c>
      <c r="K6" s="402">
        <f t="shared" ref="K6:K7" si="28">J6-J5</f>
        <v>756</v>
      </c>
      <c r="L6" s="380">
        <v>24716864</v>
      </c>
      <c r="M6" s="402">
        <f t="shared" ref="M6:M7" si="29">L6-L5</f>
        <v>598</v>
      </c>
      <c r="N6" s="266">
        <f t="shared" ref="N6:N7" si="30">M6+K6+I6+G6+E6</f>
        <v>2464</v>
      </c>
      <c r="O6" s="399">
        <f t="shared" ref="O6:O7" si="31">IF(B6&gt;0,N6/B6,0)</f>
        <v>0</v>
      </c>
      <c r="P6" s="526">
        <v>19709.752</v>
      </c>
      <c r="Q6" s="382">
        <f t="shared" ref="Q6:Q7" si="32">(P6-P5)*1000</f>
        <v>3419.000000001688</v>
      </c>
      <c r="R6" s="474">
        <f t="shared" si="14"/>
        <v>-955.00000000168802</v>
      </c>
      <c r="S6" s="380">
        <f t="shared" si="15"/>
        <v>10175</v>
      </c>
      <c r="T6" s="394">
        <f t="shared" si="16"/>
        <v>0</v>
      </c>
      <c r="U6" s="380">
        <f t="shared" si="17"/>
        <v>429166</v>
      </c>
      <c r="V6" s="393">
        <f t="shared" si="18"/>
        <v>0</v>
      </c>
      <c r="W6" s="380">
        <v>33500</v>
      </c>
      <c r="X6" s="393">
        <f t="shared" si="19"/>
        <v>0</v>
      </c>
      <c r="Y6" s="380">
        <v>1000645</v>
      </c>
      <c r="Z6" s="393">
        <f t="shared" si="20"/>
        <v>1</v>
      </c>
      <c r="AA6" s="380">
        <f t="shared" si="21"/>
        <v>36804</v>
      </c>
      <c r="AB6" s="393">
        <f t="shared" si="22"/>
        <v>0</v>
      </c>
      <c r="AC6" s="380">
        <f t="shared" si="23"/>
        <v>1173391</v>
      </c>
      <c r="AD6" s="382">
        <f t="shared" ref="AD6:AD17" si="33">AC6-AC5</f>
        <v>0</v>
      </c>
      <c r="AE6" s="403">
        <f t="shared" si="24"/>
        <v>0</v>
      </c>
      <c r="AF6" s="404">
        <f t="shared" si="4"/>
        <v>1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5"/>
        <v>520</v>
      </c>
      <c r="F7" s="380">
        <v>4189979</v>
      </c>
      <c r="G7" s="402">
        <f t="shared" si="26"/>
        <v>289</v>
      </c>
      <c r="H7" s="380">
        <v>18107546</v>
      </c>
      <c r="I7" s="402">
        <f t="shared" si="27"/>
        <v>360</v>
      </c>
      <c r="J7" s="380">
        <v>29898494</v>
      </c>
      <c r="K7" s="402">
        <f t="shared" si="28"/>
        <v>760</v>
      </c>
      <c r="L7" s="380">
        <v>24717698</v>
      </c>
      <c r="M7" s="402">
        <f t="shared" si="29"/>
        <v>834</v>
      </c>
      <c r="N7" s="266">
        <f t="shared" si="30"/>
        <v>2763</v>
      </c>
      <c r="O7" s="399">
        <f t="shared" si="31"/>
        <v>0</v>
      </c>
      <c r="P7" s="526">
        <v>19712.489000000001</v>
      </c>
      <c r="Q7" s="382">
        <f t="shared" si="32"/>
        <v>2737.0000000009895</v>
      </c>
      <c r="R7" s="474">
        <f>+N7-Q7</f>
        <v>25.99999999901047</v>
      </c>
      <c r="S7" s="380">
        <f t="shared" si="15"/>
        <v>10175</v>
      </c>
      <c r="T7" s="394">
        <f t="shared" si="16"/>
        <v>0</v>
      </c>
      <c r="U7" s="380">
        <f t="shared" si="17"/>
        <v>429166</v>
      </c>
      <c r="V7" s="393">
        <f t="shared" si="18"/>
        <v>0</v>
      </c>
      <c r="W7" s="380">
        <v>33500</v>
      </c>
      <c r="X7" s="393">
        <f t="shared" si="19"/>
        <v>0</v>
      </c>
      <c r="Y7" s="380">
        <v>1000646</v>
      </c>
      <c r="Z7" s="393">
        <f t="shared" si="20"/>
        <v>1</v>
      </c>
      <c r="AA7" s="380">
        <f t="shared" si="21"/>
        <v>36804</v>
      </c>
      <c r="AB7" s="393">
        <f t="shared" si="22"/>
        <v>0</v>
      </c>
      <c r="AC7" s="380">
        <f t="shared" si="23"/>
        <v>1173391</v>
      </c>
      <c r="AD7" s="382">
        <f t="shared" si="33"/>
        <v>0</v>
      </c>
      <c r="AE7" s="403">
        <f t="shared" si="24"/>
        <v>0</v>
      </c>
      <c r="AF7" s="404">
        <f t="shared" si="4"/>
        <v>1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4">F8-F7</f>
        <v>223</v>
      </c>
      <c r="H8" s="380">
        <v>18107818</v>
      </c>
      <c r="I8" s="402">
        <f t="shared" ref="I8:I34" si="35">H8-H7</f>
        <v>272</v>
      </c>
      <c r="J8" s="380">
        <v>29899254</v>
      </c>
      <c r="K8" s="402">
        <f t="shared" ref="K8:K34" si="36">J8-J7</f>
        <v>760</v>
      </c>
      <c r="L8" s="380">
        <v>24718282</v>
      </c>
      <c r="M8" s="402">
        <f t="shared" ref="M8:M31" si="37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394">
        <f t="shared" si="16"/>
        <v>0</v>
      </c>
      <c r="U8" s="380">
        <f t="shared" si="17"/>
        <v>429166</v>
      </c>
      <c r="V8" s="393">
        <f t="shared" si="18"/>
        <v>0</v>
      </c>
      <c r="W8" s="380">
        <v>33500</v>
      </c>
      <c r="X8" s="393">
        <f t="shared" si="19"/>
        <v>0</v>
      </c>
      <c r="Y8" s="380">
        <v>1000647</v>
      </c>
      <c r="Z8" s="393">
        <f t="shared" si="20"/>
        <v>1</v>
      </c>
      <c r="AA8" s="380">
        <f t="shared" si="21"/>
        <v>36804</v>
      </c>
      <c r="AB8" s="393">
        <f t="shared" si="22"/>
        <v>0</v>
      </c>
      <c r="AC8" s="380">
        <f t="shared" si="23"/>
        <v>1173391</v>
      </c>
      <c r="AD8" s="382">
        <f t="shared" si="33"/>
        <v>0</v>
      </c>
      <c r="AE8" s="403">
        <f t="shared" si="24"/>
        <v>0</v>
      </c>
      <c r="AF8" s="404">
        <f t="shared" si="4"/>
        <v>1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4"/>
        <v>0</v>
      </c>
      <c r="H9" s="380">
        <f>H8</f>
        <v>18107818</v>
      </c>
      <c r="I9" s="402">
        <f t="shared" si="35"/>
        <v>0</v>
      </c>
      <c r="J9" s="380">
        <f>J8</f>
        <v>29899254</v>
      </c>
      <c r="K9" s="402">
        <f t="shared" si="36"/>
        <v>0</v>
      </c>
      <c r="L9" s="380">
        <f>L8</f>
        <v>24718282</v>
      </c>
      <c r="M9" s="402">
        <f t="shared" si="37"/>
        <v>0</v>
      </c>
      <c r="N9" s="266">
        <f t="shared" ref="N9:N31" si="38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394">
        <f t="shared" si="16"/>
        <v>0</v>
      </c>
      <c r="U9" s="380">
        <f t="shared" si="17"/>
        <v>429166</v>
      </c>
      <c r="V9" s="393">
        <f t="shared" si="18"/>
        <v>0</v>
      </c>
      <c r="W9" s="380">
        <v>33500</v>
      </c>
      <c r="X9" s="393">
        <f t="shared" si="19"/>
        <v>0</v>
      </c>
      <c r="Y9" s="380">
        <v>1000648</v>
      </c>
      <c r="Z9" s="393">
        <f t="shared" si="20"/>
        <v>1</v>
      </c>
      <c r="AA9" s="380">
        <f t="shared" si="21"/>
        <v>36804</v>
      </c>
      <c r="AB9" s="393">
        <f t="shared" si="22"/>
        <v>0</v>
      </c>
      <c r="AC9" s="380">
        <f t="shared" si="23"/>
        <v>1173391</v>
      </c>
      <c r="AD9" s="382">
        <f t="shared" si="33"/>
        <v>0</v>
      </c>
      <c r="AE9" s="403">
        <f t="shared" si="24"/>
        <v>0</v>
      </c>
      <c r="AF9" s="404">
        <f t="shared" si="4"/>
        <v>1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" si="39">F9</f>
        <v>4190202</v>
      </c>
      <c r="G10" s="402">
        <f t="shared" si="34"/>
        <v>0</v>
      </c>
      <c r="H10" s="380">
        <f t="shared" ref="H10:H34" si="40">H9</f>
        <v>18107818</v>
      </c>
      <c r="I10" s="402">
        <f t="shared" si="35"/>
        <v>0</v>
      </c>
      <c r="J10" s="380">
        <f t="shared" ref="J10:J34" si="41">J9</f>
        <v>29899254</v>
      </c>
      <c r="K10" s="402">
        <f t="shared" si="36"/>
        <v>0</v>
      </c>
      <c r="L10" s="380">
        <f t="shared" ref="L10:L34" si="42">L9</f>
        <v>24718282</v>
      </c>
      <c r="M10" s="402">
        <f t="shared" si="37"/>
        <v>0</v>
      </c>
      <c r="N10" s="266">
        <f t="shared" si="38"/>
        <v>0</v>
      </c>
      <c r="O10" s="399">
        <f t="shared" si="0"/>
        <v>0</v>
      </c>
      <c r="P10" s="526">
        <f t="shared" ref="P10:P34" si="43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394">
        <f t="shared" si="16"/>
        <v>0</v>
      </c>
      <c r="U10" s="380">
        <f t="shared" si="17"/>
        <v>429166</v>
      </c>
      <c r="V10" s="393">
        <f t="shared" si="18"/>
        <v>0</v>
      </c>
      <c r="W10" s="380">
        <v>33500</v>
      </c>
      <c r="X10" s="393">
        <f t="shared" si="19"/>
        <v>0</v>
      </c>
      <c r="Y10" s="380">
        <v>1000649</v>
      </c>
      <c r="Z10" s="393">
        <f t="shared" si="20"/>
        <v>1</v>
      </c>
      <c r="AA10" s="380">
        <f t="shared" si="21"/>
        <v>36804</v>
      </c>
      <c r="AB10" s="393">
        <f t="shared" si="22"/>
        <v>0</v>
      </c>
      <c r="AC10" s="380">
        <f t="shared" si="23"/>
        <v>1173391</v>
      </c>
      <c r="AD10" s="382">
        <f t="shared" si="33"/>
        <v>0</v>
      </c>
      <c r="AE10" s="403">
        <f t="shared" si="24"/>
        <v>0</v>
      </c>
      <c r="AF10" s="404">
        <f t="shared" si="4"/>
        <v>1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4"/>
        <v>252</v>
      </c>
      <c r="H11" s="380">
        <v>18108126</v>
      </c>
      <c r="I11" s="402">
        <f t="shared" si="35"/>
        <v>308</v>
      </c>
      <c r="J11" s="380">
        <v>29899922</v>
      </c>
      <c r="K11" s="402">
        <f t="shared" si="36"/>
        <v>668</v>
      </c>
      <c r="L11" s="380">
        <v>24718914</v>
      </c>
      <c r="M11" s="402">
        <f t="shared" si="37"/>
        <v>632</v>
      </c>
      <c r="N11" s="266">
        <f t="shared" si="38"/>
        <v>2330</v>
      </c>
      <c r="O11" s="399">
        <f t="shared" ref="O11:O31" si="44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5">N11-Q11</f>
        <v>-32.00000000098953</v>
      </c>
      <c r="S11" s="380">
        <f t="shared" ref="S11:S34" si="46">S10</f>
        <v>10175</v>
      </c>
      <c r="T11" s="400">
        <f t="shared" si="2"/>
        <v>0</v>
      </c>
      <c r="U11" s="380">
        <f t="shared" ref="U11:U34" si="47">U10</f>
        <v>429166</v>
      </c>
      <c r="V11" s="382">
        <f t="shared" ref="V11:V30" si="48">U11-U10</f>
        <v>0</v>
      </c>
      <c r="W11" s="380">
        <v>33501</v>
      </c>
      <c r="X11" s="382">
        <f t="shared" ref="X11:X31" si="49">W11-W10</f>
        <v>1</v>
      </c>
      <c r="Y11" s="380">
        <v>1000894</v>
      </c>
      <c r="Z11" s="382">
        <f t="shared" ref="Z11:Z31" si="50">Y11-Y10</f>
        <v>245</v>
      </c>
      <c r="AA11" s="380">
        <f t="shared" ref="AA11:AA34" si="51">AA10</f>
        <v>36804</v>
      </c>
      <c r="AB11" s="382">
        <f t="shared" ref="AB11:AB31" si="52">AA11-AA10</f>
        <v>0</v>
      </c>
      <c r="AC11" s="380">
        <f t="shared" ref="AC11:AC34" si="53">AC10</f>
        <v>1173391</v>
      </c>
      <c r="AD11" s="382">
        <f t="shared" si="33"/>
        <v>0</v>
      </c>
      <c r="AE11" s="403">
        <f t="shared" si="24"/>
        <v>1</v>
      </c>
      <c r="AF11" s="404">
        <f t="shared" si="4"/>
        <v>245</v>
      </c>
      <c r="AG11" s="397">
        <f t="shared" ref="AG11:AG32" si="54">IF(AE11&gt;0,AF11/AE11,0)</f>
        <v>245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4"/>
        <v>368</v>
      </c>
      <c r="H12" s="380">
        <v>18108520</v>
      </c>
      <c r="I12" s="402">
        <f t="shared" si="35"/>
        <v>394</v>
      </c>
      <c r="J12" s="380">
        <v>29900726</v>
      </c>
      <c r="K12" s="402">
        <f t="shared" si="36"/>
        <v>804</v>
      </c>
      <c r="L12" s="380">
        <v>24719802</v>
      </c>
      <c r="M12" s="402">
        <f t="shared" si="37"/>
        <v>888</v>
      </c>
      <c r="N12" s="266">
        <f>M12+K12+I12+G12+E12</f>
        <v>3064</v>
      </c>
      <c r="O12" s="399">
        <f t="shared" si="44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46"/>
        <v>10175</v>
      </c>
      <c r="T12" s="400">
        <f t="shared" si="2"/>
        <v>0</v>
      </c>
      <c r="U12" s="380">
        <f t="shared" si="47"/>
        <v>429166</v>
      </c>
      <c r="V12" s="382">
        <f t="shared" si="48"/>
        <v>0</v>
      </c>
      <c r="W12" s="380">
        <f>W11</f>
        <v>33501</v>
      </c>
      <c r="X12" s="382">
        <f t="shared" si="49"/>
        <v>0</v>
      </c>
      <c r="Y12" s="380">
        <f>Y11</f>
        <v>1000894</v>
      </c>
      <c r="Z12" s="382">
        <f t="shared" si="50"/>
        <v>0</v>
      </c>
      <c r="AA12" s="380">
        <f t="shared" si="51"/>
        <v>36804</v>
      </c>
      <c r="AB12" s="382">
        <f t="shared" si="52"/>
        <v>0</v>
      </c>
      <c r="AC12" s="380">
        <f t="shared" si="53"/>
        <v>1173391</v>
      </c>
      <c r="AD12" s="382">
        <f t="shared" si="33"/>
        <v>0</v>
      </c>
      <c r="AE12" s="403">
        <f t="shared" si="24"/>
        <v>0</v>
      </c>
      <c r="AF12" s="404">
        <f t="shared" si="4"/>
        <v>0</v>
      </c>
      <c r="AG12" s="397">
        <f t="shared" si="54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4"/>
        <v>356</v>
      </c>
      <c r="H13" s="380">
        <v>18108884</v>
      </c>
      <c r="I13" s="402">
        <f t="shared" si="35"/>
        <v>364</v>
      </c>
      <c r="J13" s="380">
        <v>29901478</v>
      </c>
      <c r="K13" s="402">
        <f t="shared" si="36"/>
        <v>752</v>
      </c>
      <c r="L13" s="380">
        <v>24720618</v>
      </c>
      <c r="M13" s="402">
        <f t="shared" si="37"/>
        <v>816</v>
      </c>
      <c r="N13" s="266">
        <f>M13+K13+I13+G13+E13</f>
        <v>2908</v>
      </c>
      <c r="O13" s="399">
        <f t="shared" si="44"/>
        <v>0</v>
      </c>
      <c r="P13" s="526">
        <v>19723.284</v>
      </c>
      <c r="Q13" s="382">
        <f t="shared" si="1"/>
        <v>2957.9999999987194</v>
      </c>
      <c r="R13" s="382">
        <f t="shared" si="45"/>
        <v>-49.999999998719431</v>
      </c>
      <c r="S13" s="380">
        <f t="shared" si="46"/>
        <v>10175</v>
      </c>
      <c r="T13" s="400">
        <f t="shared" si="2"/>
        <v>0</v>
      </c>
      <c r="U13" s="380">
        <f t="shared" si="47"/>
        <v>429166</v>
      </c>
      <c r="V13" s="382">
        <f t="shared" si="48"/>
        <v>0</v>
      </c>
      <c r="W13" s="380">
        <f t="shared" ref="W13:W34" si="55">W12</f>
        <v>33501</v>
      </c>
      <c r="X13" s="382">
        <f t="shared" si="49"/>
        <v>0</v>
      </c>
      <c r="Y13" s="380">
        <f t="shared" ref="Y13:Y18" si="56">Y12</f>
        <v>1000894</v>
      </c>
      <c r="Z13" s="382">
        <f t="shared" si="50"/>
        <v>0</v>
      </c>
      <c r="AA13" s="380">
        <f t="shared" si="51"/>
        <v>36804</v>
      </c>
      <c r="AB13" s="382">
        <f t="shared" si="52"/>
        <v>0</v>
      </c>
      <c r="AC13" s="380">
        <f t="shared" si="53"/>
        <v>1173391</v>
      </c>
      <c r="AD13" s="382">
        <f t="shared" si="33"/>
        <v>0</v>
      </c>
      <c r="AE13" s="403">
        <f t="shared" si="24"/>
        <v>0</v>
      </c>
      <c r="AF13" s="404">
        <f t="shared" si="4"/>
        <v>0</v>
      </c>
      <c r="AG13" s="397">
        <f t="shared" si="54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v>423700</v>
      </c>
      <c r="E14" s="497">
        <f t="shared" si="9"/>
        <v>420</v>
      </c>
      <c r="F14" s="380">
        <v>4191413</v>
      </c>
      <c r="G14" s="402">
        <f t="shared" si="34"/>
        <v>235</v>
      </c>
      <c r="H14" s="380">
        <v>18109122</v>
      </c>
      <c r="I14" s="402">
        <f t="shared" si="35"/>
        <v>238</v>
      </c>
      <c r="J14" s="380">
        <v>29901942</v>
      </c>
      <c r="K14" s="402">
        <f t="shared" si="36"/>
        <v>464</v>
      </c>
      <c r="L14" s="380">
        <v>24721100</v>
      </c>
      <c r="M14" s="402">
        <f t="shared" si="37"/>
        <v>482</v>
      </c>
      <c r="N14" s="266">
        <f>M14+K14+I14+G14+E14</f>
        <v>1839</v>
      </c>
      <c r="O14" s="399">
        <f t="shared" si="44"/>
        <v>0</v>
      </c>
      <c r="P14" s="526">
        <v>19724.741000000002</v>
      </c>
      <c r="Q14" s="382">
        <f t="shared" si="1"/>
        <v>1457.0000000021537</v>
      </c>
      <c r="R14" s="382">
        <f t="shared" si="45"/>
        <v>381.99999999784632</v>
      </c>
      <c r="S14" s="380">
        <f t="shared" si="46"/>
        <v>10175</v>
      </c>
      <c r="T14" s="400">
        <f t="shared" si="2"/>
        <v>0</v>
      </c>
      <c r="U14" s="380">
        <f t="shared" si="47"/>
        <v>429166</v>
      </c>
      <c r="V14" s="382">
        <f t="shared" si="48"/>
        <v>0</v>
      </c>
      <c r="W14" s="380">
        <f t="shared" si="55"/>
        <v>33501</v>
      </c>
      <c r="X14" s="382">
        <f t="shared" si="49"/>
        <v>0</v>
      </c>
      <c r="Y14" s="380">
        <f t="shared" si="56"/>
        <v>1000894</v>
      </c>
      <c r="Z14" s="382">
        <f t="shared" si="50"/>
        <v>0</v>
      </c>
      <c r="AA14" s="380">
        <f t="shared" si="51"/>
        <v>36804</v>
      </c>
      <c r="AB14" s="382">
        <f t="shared" si="52"/>
        <v>0</v>
      </c>
      <c r="AC14" s="380">
        <f t="shared" si="53"/>
        <v>1173391</v>
      </c>
      <c r="AD14" s="382">
        <f t="shared" si="33"/>
        <v>0</v>
      </c>
      <c r="AE14" s="403">
        <f t="shared" si="24"/>
        <v>0</v>
      </c>
      <c r="AF14" s="404">
        <f t="shared" si="4"/>
        <v>0</v>
      </c>
      <c r="AG14" s="397">
        <f t="shared" si="54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v>424510</v>
      </c>
      <c r="E15" s="497">
        <f t="shared" si="9"/>
        <v>810</v>
      </c>
      <c r="F15" s="380">
        <v>4191910</v>
      </c>
      <c r="G15" s="402">
        <f t="shared" si="34"/>
        <v>497</v>
      </c>
      <c r="H15" s="380">
        <v>18109805</v>
      </c>
      <c r="I15" s="402">
        <f t="shared" si="35"/>
        <v>683</v>
      </c>
      <c r="J15" s="380">
        <v>29903284</v>
      </c>
      <c r="K15" s="402">
        <f t="shared" si="36"/>
        <v>1342</v>
      </c>
      <c r="L15" s="380">
        <v>24722320</v>
      </c>
      <c r="M15" s="402">
        <f t="shared" si="37"/>
        <v>1220</v>
      </c>
      <c r="N15" s="266">
        <f t="shared" si="38"/>
        <v>4552</v>
      </c>
      <c r="O15" s="399">
        <f t="shared" si="44"/>
        <v>0</v>
      </c>
      <c r="P15" s="526">
        <v>19727.982</v>
      </c>
      <c r="Q15" s="382">
        <f t="shared" si="1"/>
        <v>3240.9999999981665</v>
      </c>
      <c r="R15" s="506">
        <f>N15-Q15</f>
        <v>1311.0000000018335</v>
      </c>
      <c r="S15" s="380">
        <f t="shared" si="46"/>
        <v>10175</v>
      </c>
      <c r="T15" s="400">
        <f t="shared" si="2"/>
        <v>0</v>
      </c>
      <c r="U15" s="380">
        <f t="shared" si="47"/>
        <v>429166</v>
      </c>
      <c r="V15" s="382">
        <f t="shared" si="48"/>
        <v>0</v>
      </c>
      <c r="W15" s="380">
        <f t="shared" si="55"/>
        <v>33501</v>
      </c>
      <c r="X15" s="382">
        <f t="shared" si="49"/>
        <v>0</v>
      </c>
      <c r="Y15" s="380">
        <f t="shared" si="56"/>
        <v>1000894</v>
      </c>
      <c r="Z15" s="382">
        <f t="shared" si="50"/>
        <v>0</v>
      </c>
      <c r="AA15" s="380">
        <f t="shared" si="51"/>
        <v>36804</v>
      </c>
      <c r="AB15" s="382">
        <f t="shared" si="52"/>
        <v>0</v>
      </c>
      <c r="AC15" s="380">
        <f t="shared" si="53"/>
        <v>1173391</v>
      </c>
      <c r="AD15" s="382">
        <f t="shared" si="33"/>
        <v>0</v>
      </c>
      <c r="AE15" s="403">
        <f t="shared" si="24"/>
        <v>0</v>
      </c>
      <c r="AF15" s="404">
        <f t="shared" si="4"/>
        <v>0</v>
      </c>
      <c r="AG15" s="397">
        <f t="shared" si="54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ref="D16:D34" si="57">D15</f>
        <v>424510</v>
      </c>
      <c r="E16" s="497">
        <f t="shared" si="9"/>
        <v>0</v>
      </c>
      <c r="F16" s="380">
        <f t="shared" ref="F16:F34" si="58">F15</f>
        <v>4191910</v>
      </c>
      <c r="G16" s="402">
        <f t="shared" si="34"/>
        <v>0</v>
      </c>
      <c r="H16" s="380">
        <f>H15</f>
        <v>18109805</v>
      </c>
      <c r="I16" s="402">
        <f t="shared" si="35"/>
        <v>0</v>
      </c>
      <c r="J16" s="380">
        <f t="shared" si="41"/>
        <v>29903284</v>
      </c>
      <c r="K16" s="402">
        <f t="shared" si="36"/>
        <v>0</v>
      </c>
      <c r="L16" s="380">
        <f t="shared" si="42"/>
        <v>24722320</v>
      </c>
      <c r="M16" s="402">
        <f t="shared" si="37"/>
        <v>0</v>
      </c>
      <c r="N16" s="266">
        <f t="shared" si="38"/>
        <v>0</v>
      </c>
      <c r="O16" s="399">
        <f t="shared" si="44"/>
        <v>0</v>
      </c>
      <c r="P16" s="526">
        <f t="shared" si="43"/>
        <v>19727.982</v>
      </c>
      <c r="Q16" s="382">
        <f t="shared" si="1"/>
        <v>0</v>
      </c>
      <c r="R16" s="382">
        <f t="shared" si="45"/>
        <v>0</v>
      </c>
      <c r="S16" s="380">
        <f t="shared" si="46"/>
        <v>10175</v>
      </c>
      <c r="T16" s="400">
        <f t="shared" si="2"/>
        <v>0</v>
      </c>
      <c r="U16" s="380">
        <f t="shared" si="47"/>
        <v>429166</v>
      </c>
      <c r="V16" s="382">
        <f t="shared" si="48"/>
        <v>0</v>
      </c>
      <c r="W16" s="380">
        <f t="shared" si="55"/>
        <v>33501</v>
      </c>
      <c r="X16" s="382">
        <f t="shared" si="49"/>
        <v>0</v>
      </c>
      <c r="Y16" s="380">
        <f t="shared" si="56"/>
        <v>1000894</v>
      </c>
      <c r="Z16" s="382">
        <f t="shared" si="50"/>
        <v>0</v>
      </c>
      <c r="AA16" s="380">
        <f t="shared" si="51"/>
        <v>36804</v>
      </c>
      <c r="AB16" s="382">
        <f t="shared" si="52"/>
        <v>0</v>
      </c>
      <c r="AC16" s="380">
        <f t="shared" si="53"/>
        <v>1173391</v>
      </c>
      <c r="AD16" s="382">
        <f t="shared" si="33"/>
        <v>0</v>
      </c>
      <c r="AE16" s="403">
        <f t="shared" si="24"/>
        <v>0</v>
      </c>
      <c r="AF16" s="404">
        <f t="shared" si="4"/>
        <v>0</v>
      </c>
      <c r="AG16" s="397">
        <f t="shared" si="54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57"/>
        <v>424510</v>
      </c>
      <c r="E17" s="497">
        <f t="shared" si="9"/>
        <v>0</v>
      </c>
      <c r="F17" s="380">
        <f t="shared" si="58"/>
        <v>4191910</v>
      </c>
      <c r="G17" s="402">
        <f t="shared" si="34"/>
        <v>0</v>
      </c>
      <c r="H17" s="380">
        <f t="shared" si="40"/>
        <v>18109805</v>
      </c>
      <c r="I17" s="402">
        <f t="shared" si="35"/>
        <v>0</v>
      </c>
      <c r="J17" s="380">
        <f t="shared" si="41"/>
        <v>29903284</v>
      </c>
      <c r="K17" s="402">
        <f t="shared" si="36"/>
        <v>0</v>
      </c>
      <c r="L17" s="380">
        <f t="shared" si="42"/>
        <v>24722320</v>
      </c>
      <c r="M17" s="402">
        <f t="shared" si="37"/>
        <v>0</v>
      </c>
      <c r="N17" s="266">
        <f t="shared" si="38"/>
        <v>0</v>
      </c>
      <c r="O17" s="399">
        <f t="shared" si="44"/>
        <v>0</v>
      </c>
      <c r="P17" s="526">
        <f t="shared" si="43"/>
        <v>19727.982</v>
      </c>
      <c r="Q17" s="382">
        <f t="shared" si="1"/>
        <v>0</v>
      </c>
      <c r="R17" s="382">
        <f t="shared" si="45"/>
        <v>0</v>
      </c>
      <c r="S17" s="380">
        <f t="shared" si="46"/>
        <v>10175</v>
      </c>
      <c r="T17" s="400">
        <f t="shared" si="2"/>
        <v>0</v>
      </c>
      <c r="U17" s="380">
        <f t="shared" si="47"/>
        <v>429166</v>
      </c>
      <c r="V17" s="382">
        <f t="shared" si="48"/>
        <v>0</v>
      </c>
      <c r="W17" s="380">
        <f t="shared" si="55"/>
        <v>33501</v>
      </c>
      <c r="X17" s="382">
        <f>W17-W16</f>
        <v>0</v>
      </c>
      <c r="Y17" s="380">
        <f t="shared" si="56"/>
        <v>1000894</v>
      </c>
      <c r="Z17" s="382">
        <f>Y17-Y16</f>
        <v>0</v>
      </c>
      <c r="AA17" s="380">
        <f t="shared" si="51"/>
        <v>36804</v>
      </c>
      <c r="AB17" s="382">
        <f>AA17-AA16</f>
        <v>0</v>
      </c>
      <c r="AC17" s="380">
        <f t="shared" si="53"/>
        <v>1173391</v>
      </c>
      <c r="AD17" s="382">
        <f t="shared" si="33"/>
        <v>0</v>
      </c>
      <c r="AE17" s="403">
        <f t="shared" si="24"/>
        <v>0</v>
      </c>
      <c r="AF17" s="404">
        <f t="shared" si="4"/>
        <v>0</v>
      </c>
      <c r="AG17" s="397">
        <f t="shared" si="54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v>425910</v>
      </c>
      <c r="E18" s="497">
        <f t="shared" si="9"/>
        <v>1400</v>
      </c>
      <c r="F18" s="380">
        <v>4192142</v>
      </c>
      <c r="G18" s="402">
        <f t="shared" si="34"/>
        <v>232</v>
      </c>
      <c r="H18" s="380">
        <v>18110010</v>
      </c>
      <c r="I18" s="402">
        <f t="shared" si="35"/>
        <v>205</v>
      </c>
      <c r="J18" s="380">
        <v>29903642</v>
      </c>
      <c r="K18" s="402">
        <f t="shared" si="36"/>
        <v>358</v>
      </c>
      <c r="L18" s="380">
        <v>24722772</v>
      </c>
      <c r="M18" s="402">
        <f t="shared" si="37"/>
        <v>452</v>
      </c>
      <c r="N18" s="266">
        <f>M18+K18+I18+G18+E18</f>
        <v>2647</v>
      </c>
      <c r="O18" s="399">
        <f t="shared" si="44"/>
        <v>0</v>
      </c>
      <c r="P18" s="526">
        <v>19732.078000000001</v>
      </c>
      <c r="Q18" s="382">
        <f t="shared" si="1"/>
        <v>4096.0000000013679</v>
      </c>
      <c r="R18" s="382">
        <f t="shared" si="45"/>
        <v>-1449.0000000013679</v>
      </c>
      <c r="S18" s="380">
        <f t="shared" si="46"/>
        <v>10175</v>
      </c>
      <c r="T18" s="400">
        <f t="shared" si="2"/>
        <v>0</v>
      </c>
      <c r="U18" s="380">
        <f t="shared" si="47"/>
        <v>429166</v>
      </c>
      <c r="V18" s="382">
        <f t="shared" si="48"/>
        <v>0</v>
      </c>
      <c r="W18" s="380">
        <f t="shared" si="55"/>
        <v>33501</v>
      </c>
      <c r="X18" s="382">
        <f t="shared" si="49"/>
        <v>0</v>
      </c>
      <c r="Y18" s="380">
        <f t="shared" si="56"/>
        <v>1000894</v>
      </c>
      <c r="Z18" s="382">
        <f t="shared" si="50"/>
        <v>0</v>
      </c>
      <c r="AA18" s="380">
        <f t="shared" si="51"/>
        <v>36804</v>
      </c>
      <c r="AB18" s="382">
        <f t="shared" si="52"/>
        <v>0</v>
      </c>
      <c r="AC18" s="380">
        <f t="shared" si="53"/>
        <v>1173391</v>
      </c>
      <c r="AD18" s="382">
        <f t="shared" ref="AD18:AD31" si="59">AC18-AC17</f>
        <v>0</v>
      </c>
      <c r="AE18" s="403">
        <f t="shared" si="24"/>
        <v>0</v>
      </c>
      <c r="AF18" s="404">
        <f t="shared" si="4"/>
        <v>0</v>
      </c>
      <c r="AG18" s="397">
        <f t="shared" si="54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v>427040</v>
      </c>
      <c r="E19" s="497">
        <f t="shared" si="9"/>
        <v>1130</v>
      </c>
      <c r="F19" s="380">
        <v>4192454</v>
      </c>
      <c r="G19" s="402">
        <f t="shared" si="34"/>
        <v>312</v>
      </c>
      <c r="H19" s="380">
        <v>18110434</v>
      </c>
      <c r="I19" s="402">
        <f t="shared" si="35"/>
        <v>424</v>
      </c>
      <c r="J19" s="380">
        <v>29904400</v>
      </c>
      <c r="K19" s="402">
        <f t="shared" si="36"/>
        <v>758</v>
      </c>
      <c r="L19" s="380">
        <v>24723458</v>
      </c>
      <c r="M19" s="402">
        <f t="shared" si="37"/>
        <v>686</v>
      </c>
      <c r="N19" s="266">
        <f t="shared" si="38"/>
        <v>3310</v>
      </c>
      <c r="O19" s="399">
        <f t="shared" si="44"/>
        <v>0</v>
      </c>
      <c r="P19" s="526">
        <v>19735.41</v>
      </c>
      <c r="Q19" s="382">
        <f>(P19-P18)*1000</f>
        <v>3331.9999999985157</v>
      </c>
      <c r="R19" s="506">
        <f>N19-Q19</f>
        <v>-21.999999998515705</v>
      </c>
      <c r="S19" s="380">
        <f t="shared" si="46"/>
        <v>10175</v>
      </c>
      <c r="T19" s="400">
        <f t="shared" si="2"/>
        <v>0</v>
      </c>
      <c r="U19" s="380">
        <f t="shared" si="47"/>
        <v>429166</v>
      </c>
      <c r="V19" s="382">
        <f t="shared" si="48"/>
        <v>0</v>
      </c>
      <c r="W19" s="380">
        <v>33502</v>
      </c>
      <c r="X19" s="382">
        <f t="shared" si="49"/>
        <v>1</v>
      </c>
      <c r="Y19" s="380">
        <v>1001172</v>
      </c>
      <c r="Z19" s="382">
        <f t="shared" si="50"/>
        <v>278</v>
      </c>
      <c r="AA19" s="380">
        <f t="shared" si="51"/>
        <v>36804</v>
      </c>
      <c r="AB19" s="382">
        <f t="shared" si="52"/>
        <v>0</v>
      </c>
      <c r="AC19" s="380">
        <f t="shared" si="53"/>
        <v>1173391</v>
      </c>
      <c r="AD19" s="382">
        <f t="shared" si="59"/>
        <v>0</v>
      </c>
      <c r="AE19" s="403">
        <f t="shared" si="24"/>
        <v>1</v>
      </c>
      <c r="AF19" s="404">
        <f t="shared" si="4"/>
        <v>278</v>
      </c>
      <c r="AG19" s="397">
        <f t="shared" si="54"/>
        <v>278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v>427980</v>
      </c>
      <c r="E20" s="497">
        <f t="shared" si="9"/>
        <v>940</v>
      </c>
      <c r="F20" s="380">
        <v>4192751</v>
      </c>
      <c r="G20" s="402">
        <f t="shared" si="34"/>
        <v>297</v>
      </c>
      <c r="H20" s="380">
        <v>18110854</v>
      </c>
      <c r="I20" s="402">
        <f t="shared" si="35"/>
        <v>420</v>
      </c>
      <c r="J20" s="380">
        <v>29905286</v>
      </c>
      <c r="K20" s="402">
        <f t="shared" si="36"/>
        <v>886</v>
      </c>
      <c r="L20" s="380">
        <v>24724194</v>
      </c>
      <c r="M20" s="402">
        <f t="shared" si="37"/>
        <v>736</v>
      </c>
      <c r="N20" s="266">
        <f t="shared" si="38"/>
        <v>3279</v>
      </c>
      <c r="O20" s="399">
        <f t="shared" si="44"/>
        <v>0</v>
      </c>
      <c r="P20" s="526">
        <v>19738.582999999999</v>
      </c>
      <c r="Q20" s="382">
        <f>(P20-P19)*1000</f>
        <v>3172.999999998865</v>
      </c>
      <c r="R20" s="506">
        <f>N20-Q20</f>
        <v>106.00000000113505</v>
      </c>
      <c r="S20" s="380">
        <f t="shared" si="46"/>
        <v>10175</v>
      </c>
      <c r="T20" s="400">
        <f t="shared" si="2"/>
        <v>0</v>
      </c>
      <c r="U20" s="380">
        <f t="shared" si="47"/>
        <v>429166</v>
      </c>
      <c r="V20" s="382">
        <f t="shared" si="48"/>
        <v>0</v>
      </c>
      <c r="W20" s="380">
        <f t="shared" si="55"/>
        <v>33502</v>
      </c>
      <c r="X20" s="382">
        <f t="shared" si="49"/>
        <v>0</v>
      </c>
      <c r="Y20" s="380">
        <f>Y19</f>
        <v>1001172</v>
      </c>
      <c r="Z20" s="382">
        <f t="shared" si="50"/>
        <v>0</v>
      </c>
      <c r="AA20" s="380">
        <f t="shared" si="51"/>
        <v>36804</v>
      </c>
      <c r="AB20" s="382">
        <f t="shared" si="52"/>
        <v>0</v>
      </c>
      <c r="AC20" s="380">
        <f t="shared" si="53"/>
        <v>1173391</v>
      </c>
      <c r="AD20" s="382">
        <f t="shared" si="59"/>
        <v>0</v>
      </c>
      <c r="AE20" s="403">
        <f t="shared" si="24"/>
        <v>0</v>
      </c>
      <c r="AF20" s="404">
        <f t="shared" si="4"/>
        <v>0</v>
      </c>
      <c r="AG20" s="397">
        <f t="shared" si="54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v>428980</v>
      </c>
      <c r="E21" s="497">
        <f t="shared" si="9"/>
        <v>1000</v>
      </c>
      <c r="F21" s="380">
        <v>4193101</v>
      </c>
      <c r="G21" s="402">
        <f t="shared" si="34"/>
        <v>350</v>
      </c>
      <c r="H21" s="380">
        <v>18111312</v>
      </c>
      <c r="I21" s="402">
        <f t="shared" si="35"/>
        <v>458</v>
      </c>
      <c r="J21" s="380">
        <v>29906106</v>
      </c>
      <c r="K21" s="402">
        <f t="shared" si="36"/>
        <v>820</v>
      </c>
      <c r="L21" s="380">
        <v>24725070</v>
      </c>
      <c r="M21" s="402">
        <f t="shared" si="37"/>
        <v>876</v>
      </c>
      <c r="N21" s="266">
        <f t="shared" si="38"/>
        <v>3504</v>
      </c>
      <c r="O21" s="399">
        <f t="shared" si="44"/>
        <v>0</v>
      </c>
      <c r="P21" s="526">
        <v>19742.163</v>
      </c>
      <c r="Q21" s="382">
        <f t="shared" si="1"/>
        <v>3580.0000000017462</v>
      </c>
      <c r="R21" s="506">
        <f t="shared" ref="R21:R31" si="60">N21-Q21</f>
        <v>-76.00000000174623</v>
      </c>
      <c r="S21" s="380">
        <f t="shared" si="46"/>
        <v>10175</v>
      </c>
      <c r="T21" s="400">
        <f t="shared" si="2"/>
        <v>0</v>
      </c>
      <c r="U21" s="380">
        <f t="shared" si="47"/>
        <v>429166</v>
      </c>
      <c r="V21" s="382">
        <f t="shared" si="48"/>
        <v>0</v>
      </c>
      <c r="W21" s="380">
        <f t="shared" si="55"/>
        <v>33502</v>
      </c>
      <c r="X21" s="382">
        <f t="shared" si="49"/>
        <v>0</v>
      </c>
      <c r="Y21" s="380">
        <f t="shared" ref="Y21:Y34" si="61">Y20</f>
        <v>1001172</v>
      </c>
      <c r="Z21" s="382">
        <f t="shared" si="50"/>
        <v>0</v>
      </c>
      <c r="AA21" s="380">
        <f t="shared" si="51"/>
        <v>36804</v>
      </c>
      <c r="AB21" s="382">
        <f t="shared" si="52"/>
        <v>0</v>
      </c>
      <c r="AC21" s="380">
        <f t="shared" si="53"/>
        <v>1173391</v>
      </c>
      <c r="AD21" s="382">
        <f t="shared" si="59"/>
        <v>0</v>
      </c>
      <c r="AE21" s="403">
        <f t="shared" si="24"/>
        <v>0</v>
      </c>
      <c r="AF21" s="404">
        <f t="shared" si="4"/>
        <v>0</v>
      </c>
      <c r="AG21" s="397">
        <f t="shared" si="54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v>429890</v>
      </c>
      <c r="E22" s="497">
        <f t="shared" si="9"/>
        <v>910</v>
      </c>
      <c r="F22" s="380">
        <v>4193384</v>
      </c>
      <c r="G22" s="402">
        <f t="shared" ref="G22" si="62">F22-F21</f>
        <v>283</v>
      </c>
      <c r="H22" s="380">
        <v>18111716</v>
      </c>
      <c r="I22" s="402">
        <f t="shared" si="35"/>
        <v>404</v>
      </c>
      <c r="J22" s="380">
        <v>29906942</v>
      </c>
      <c r="K22" s="402">
        <f t="shared" ref="K22" si="63">J22-J21</f>
        <v>836</v>
      </c>
      <c r="L22" s="380">
        <v>24725866</v>
      </c>
      <c r="M22" s="402">
        <f t="shared" ref="M22" si="64">L22-L21</f>
        <v>796</v>
      </c>
      <c r="N22" s="266">
        <f t="shared" ref="N22" si="65">M22+K22+I22+G22+E22</f>
        <v>3229</v>
      </c>
      <c r="O22" s="399">
        <f t="shared" ref="O22" si="66">IF(B22&gt;0,N22/B22,0)</f>
        <v>0</v>
      </c>
      <c r="P22" s="526">
        <v>19745.453000000001</v>
      </c>
      <c r="Q22" s="382">
        <f t="shared" ref="Q22" si="67">(P22-P21)*1000</f>
        <v>3290.0000000008731</v>
      </c>
      <c r="R22" s="506">
        <f t="shared" ref="R22" si="68">N22-Q22</f>
        <v>-61.000000000873115</v>
      </c>
      <c r="S22" s="380">
        <f t="shared" si="46"/>
        <v>10175</v>
      </c>
      <c r="T22" s="400">
        <f t="shared" si="2"/>
        <v>0</v>
      </c>
      <c r="U22" s="380">
        <f t="shared" si="47"/>
        <v>429166</v>
      </c>
      <c r="V22" s="382">
        <f t="shared" si="48"/>
        <v>0</v>
      </c>
      <c r="W22" s="380">
        <f t="shared" si="55"/>
        <v>33502</v>
      </c>
      <c r="X22" s="382">
        <f t="shared" si="49"/>
        <v>0</v>
      </c>
      <c r="Y22" s="380">
        <v>1001280</v>
      </c>
      <c r="Z22" s="382">
        <f t="shared" si="50"/>
        <v>108</v>
      </c>
      <c r="AA22" s="380">
        <f t="shared" si="51"/>
        <v>36804</v>
      </c>
      <c r="AB22" s="382">
        <f t="shared" si="52"/>
        <v>0</v>
      </c>
      <c r="AC22" s="380">
        <f t="shared" si="53"/>
        <v>1173391</v>
      </c>
      <c r="AD22" s="402">
        <f>AC22-AC21</f>
        <v>0</v>
      </c>
      <c r="AE22" s="403">
        <f t="shared" si="24"/>
        <v>0</v>
      </c>
      <c r="AF22" s="404">
        <f t="shared" si="4"/>
        <v>108</v>
      </c>
      <c r="AG22" s="397">
        <f t="shared" si="54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57"/>
        <v>429890</v>
      </c>
      <c r="E23" s="497">
        <f t="shared" si="9"/>
        <v>0</v>
      </c>
      <c r="F23" s="380">
        <f t="shared" si="58"/>
        <v>4193384</v>
      </c>
      <c r="G23" s="402">
        <f t="shared" si="34"/>
        <v>0</v>
      </c>
      <c r="H23" s="380">
        <f t="shared" si="40"/>
        <v>18111716</v>
      </c>
      <c r="I23" s="402">
        <f t="shared" si="35"/>
        <v>0</v>
      </c>
      <c r="J23" s="380">
        <f t="shared" si="41"/>
        <v>29906942</v>
      </c>
      <c r="K23" s="402">
        <f t="shared" si="36"/>
        <v>0</v>
      </c>
      <c r="L23" s="380">
        <f t="shared" si="42"/>
        <v>24725866</v>
      </c>
      <c r="M23" s="402">
        <f t="shared" si="37"/>
        <v>0</v>
      </c>
      <c r="N23" s="266">
        <f t="shared" si="38"/>
        <v>0</v>
      </c>
      <c r="O23" s="399">
        <f t="shared" si="44"/>
        <v>0</v>
      </c>
      <c r="P23" s="526">
        <f t="shared" si="43"/>
        <v>19745.453000000001</v>
      </c>
      <c r="Q23" s="382">
        <f t="shared" si="1"/>
        <v>0</v>
      </c>
      <c r="R23" s="506">
        <f t="shared" si="60"/>
        <v>0</v>
      </c>
      <c r="S23" s="380">
        <f t="shared" si="46"/>
        <v>10175</v>
      </c>
      <c r="T23" s="400">
        <f t="shared" si="2"/>
        <v>0</v>
      </c>
      <c r="U23" s="380">
        <f t="shared" si="47"/>
        <v>429166</v>
      </c>
      <c r="V23" s="382">
        <f t="shared" si="48"/>
        <v>0</v>
      </c>
      <c r="W23" s="380">
        <f t="shared" si="55"/>
        <v>33502</v>
      </c>
      <c r="X23" s="382">
        <f t="shared" si="49"/>
        <v>0</v>
      </c>
      <c r="Y23" s="380">
        <f t="shared" si="61"/>
        <v>1001280</v>
      </c>
      <c r="Z23" s="382">
        <f t="shared" si="50"/>
        <v>0</v>
      </c>
      <c r="AA23" s="380">
        <f t="shared" si="51"/>
        <v>36804</v>
      </c>
      <c r="AB23" s="382">
        <f t="shared" si="52"/>
        <v>0</v>
      </c>
      <c r="AC23" s="380">
        <f t="shared" si="53"/>
        <v>1173391</v>
      </c>
      <c r="AD23" s="382">
        <f t="shared" si="59"/>
        <v>0</v>
      </c>
      <c r="AE23" s="403">
        <f t="shared" si="24"/>
        <v>0</v>
      </c>
      <c r="AF23" s="404">
        <f t="shared" si="4"/>
        <v>0</v>
      </c>
      <c r="AG23" s="397">
        <f t="shared" si="54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57"/>
        <v>429890</v>
      </c>
      <c r="E24" s="497">
        <f t="shared" si="9"/>
        <v>0</v>
      </c>
      <c r="F24" s="380">
        <f t="shared" si="58"/>
        <v>4193384</v>
      </c>
      <c r="G24" s="402">
        <f t="shared" si="34"/>
        <v>0</v>
      </c>
      <c r="H24" s="380">
        <f t="shared" si="40"/>
        <v>18111716</v>
      </c>
      <c r="I24" s="509">
        <f t="shared" si="35"/>
        <v>0</v>
      </c>
      <c r="J24" s="380">
        <f t="shared" si="41"/>
        <v>29906942</v>
      </c>
      <c r="K24" s="402">
        <f t="shared" si="36"/>
        <v>0</v>
      </c>
      <c r="L24" s="380">
        <f t="shared" si="42"/>
        <v>24725866</v>
      </c>
      <c r="M24" s="402">
        <f t="shared" si="37"/>
        <v>0</v>
      </c>
      <c r="N24" s="266">
        <f t="shared" si="38"/>
        <v>0</v>
      </c>
      <c r="O24" s="399">
        <f t="shared" si="44"/>
        <v>0</v>
      </c>
      <c r="P24" s="526">
        <f t="shared" si="43"/>
        <v>19745.453000000001</v>
      </c>
      <c r="Q24" s="382">
        <f t="shared" si="1"/>
        <v>0</v>
      </c>
      <c r="R24" s="506">
        <f t="shared" si="60"/>
        <v>0</v>
      </c>
      <c r="S24" s="380">
        <f t="shared" si="46"/>
        <v>10175</v>
      </c>
      <c r="T24" s="400">
        <f t="shared" si="2"/>
        <v>0</v>
      </c>
      <c r="U24" s="380">
        <f t="shared" si="47"/>
        <v>429166</v>
      </c>
      <c r="V24" s="382">
        <f t="shared" si="48"/>
        <v>0</v>
      </c>
      <c r="W24" s="380">
        <f t="shared" si="55"/>
        <v>33502</v>
      </c>
      <c r="X24" s="382">
        <f t="shared" si="49"/>
        <v>0</v>
      </c>
      <c r="Y24" s="380">
        <f t="shared" si="61"/>
        <v>1001280</v>
      </c>
      <c r="Z24" s="382">
        <f t="shared" si="50"/>
        <v>0</v>
      </c>
      <c r="AA24" s="380">
        <f t="shared" si="51"/>
        <v>36804</v>
      </c>
      <c r="AB24" s="382">
        <f t="shared" si="52"/>
        <v>0</v>
      </c>
      <c r="AC24" s="380">
        <f t="shared" si="53"/>
        <v>1173391</v>
      </c>
      <c r="AD24" s="382">
        <f t="shared" si="59"/>
        <v>0</v>
      </c>
      <c r="AE24" s="403">
        <f t="shared" si="24"/>
        <v>0</v>
      </c>
      <c r="AF24" s="404">
        <f t="shared" si="4"/>
        <v>0</v>
      </c>
      <c r="AG24" s="397">
        <f t="shared" si="54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v>430650</v>
      </c>
      <c r="E25" s="497">
        <f t="shared" si="9"/>
        <v>760</v>
      </c>
      <c r="F25" s="380">
        <v>4193678</v>
      </c>
      <c r="G25" s="402">
        <f t="shared" si="34"/>
        <v>294</v>
      </c>
      <c r="H25" s="380">
        <v>18112122</v>
      </c>
      <c r="I25" s="402">
        <f t="shared" si="35"/>
        <v>406</v>
      </c>
      <c r="J25" s="380">
        <v>29907566</v>
      </c>
      <c r="K25" s="402">
        <f t="shared" si="36"/>
        <v>624</v>
      </c>
      <c r="L25" s="380">
        <v>24726676</v>
      </c>
      <c r="M25" s="402">
        <f t="shared" si="37"/>
        <v>810</v>
      </c>
      <c r="N25" s="266">
        <f t="shared" si="38"/>
        <v>2894</v>
      </c>
      <c r="O25" s="399">
        <f t="shared" si="44"/>
        <v>0</v>
      </c>
      <c r="P25" s="526">
        <v>19748.401000000002</v>
      </c>
      <c r="Q25" s="382">
        <f t="shared" si="1"/>
        <v>2948.0000000003201</v>
      </c>
      <c r="R25" s="506">
        <f t="shared" si="60"/>
        <v>-54.000000000320142</v>
      </c>
      <c r="S25" s="380">
        <f t="shared" si="46"/>
        <v>10175</v>
      </c>
      <c r="T25" s="400">
        <f t="shared" si="2"/>
        <v>0</v>
      </c>
      <c r="U25" s="380">
        <f t="shared" si="47"/>
        <v>429166</v>
      </c>
      <c r="V25" s="382">
        <f t="shared" si="48"/>
        <v>0</v>
      </c>
      <c r="W25" s="380">
        <f t="shared" si="55"/>
        <v>33502</v>
      </c>
      <c r="X25" s="382">
        <f t="shared" si="49"/>
        <v>0</v>
      </c>
      <c r="Y25" s="380">
        <f t="shared" si="61"/>
        <v>1001280</v>
      </c>
      <c r="Z25" s="382">
        <f t="shared" si="50"/>
        <v>0</v>
      </c>
      <c r="AA25" s="380">
        <f t="shared" si="51"/>
        <v>36804</v>
      </c>
      <c r="AB25" s="382">
        <f t="shared" si="52"/>
        <v>0</v>
      </c>
      <c r="AC25" s="380">
        <f t="shared" si="53"/>
        <v>1173391</v>
      </c>
      <c r="AD25" s="382">
        <f t="shared" si="59"/>
        <v>0</v>
      </c>
      <c r="AE25" s="403">
        <f t="shared" si="24"/>
        <v>0</v>
      </c>
      <c r="AF25" s="404">
        <f t="shared" si="4"/>
        <v>0</v>
      </c>
      <c r="AG25" s="397">
        <f t="shared" si="54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v>431200</v>
      </c>
      <c r="E26" s="497">
        <f t="shared" si="9"/>
        <v>550</v>
      </c>
      <c r="F26" s="380">
        <v>4193958</v>
      </c>
      <c r="G26" s="402">
        <f t="shared" si="34"/>
        <v>280</v>
      </c>
      <c r="H26" s="380">
        <v>18112502</v>
      </c>
      <c r="I26" s="402">
        <f t="shared" si="35"/>
        <v>380</v>
      </c>
      <c r="J26" s="380">
        <v>29908118</v>
      </c>
      <c r="K26" s="402">
        <f t="shared" si="36"/>
        <v>552</v>
      </c>
      <c r="L26" s="380">
        <v>24727406</v>
      </c>
      <c r="M26" s="402">
        <f t="shared" si="37"/>
        <v>730</v>
      </c>
      <c r="N26" s="266">
        <f t="shared" si="38"/>
        <v>2492</v>
      </c>
      <c r="O26" s="399">
        <f t="shared" si="44"/>
        <v>0</v>
      </c>
      <c r="P26" s="526">
        <v>19750.902999999998</v>
      </c>
      <c r="Q26" s="382">
        <f t="shared" si="1"/>
        <v>2501.9999999967695</v>
      </c>
      <c r="R26" s="506">
        <f t="shared" si="60"/>
        <v>-9.9999999967694748</v>
      </c>
      <c r="S26" s="380">
        <f t="shared" si="46"/>
        <v>10175</v>
      </c>
      <c r="T26" s="400">
        <f t="shared" si="2"/>
        <v>0</v>
      </c>
      <c r="U26" s="380">
        <f t="shared" si="47"/>
        <v>429166</v>
      </c>
      <c r="V26" s="382">
        <f t="shared" si="48"/>
        <v>0</v>
      </c>
      <c r="W26" s="380">
        <f t="shared" si="55"/>
        <v>33502</v>
      </c>
      <c r="X26" s="382">
        <f t="shared" si="49"/>
        <v>0</v>
      </c>
      <c r="Y26" s="380">
        <f t="shared" si="61"/>
        <v>1001280</v>
      </c>
      <c r="Z26" s="382">
        <f t="shared" si="50"/>
        <v>0</v>
      </c>
      <c r="AA26" s="380">
        <f t="shared" si="51"/>
        <v>36804</v>
      </c>
      <c r="AB26" s="382">
        <f t="shared" si="52"/>
        <v>0</v>
      </c>
      <c r="AC26" s="380">
        <f t="shared" si="53"/>
        <v>1173391</v>
      </c>
      <c r="AD26" s="382">
        <f t="shared" si="59"/>
        <v>0</v>
      </c>
      <c r="AE26" s="403">
        <f t="shared" si="24"/>
        <v>0</v>
      </c>
      <c r="AF26" s="404">
        <f t="shared" si="4"/>
        <v>0</v>
      </c>
      <c r="AG26" s="397">
        <f t="shared" si="54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v>431600</v>
      </c>
      <c r="E27" s="497">
        <f t="shared" si="9"/>
        <v>400</v>
      </c>
      <c r="F27" s="380">
        <v>4194199</v>
      </c>
      <c r="G27" s="402">
        <f t="shared" si="34"/>
        <v>241</v>
      </c>
      <c r="H27" s="380">
        <v>18112840</v>
      </c>
      <c r="I27" s="402">
        <f t="shared" si="35"/>
        <v>338</v>
      </c>
      <c r="J27" s="380">
        <v>29908570</v>
      </c>
      <c r="K27" s="402">
        <f t="shared" si="36"/>
        <v>452</v>
      </c>
      <c r="L27" s="380">
        <v>24727928</v>
      </c>
      <c r="M27" s="402">
        <f t="shared" si="37"/>
        <v>522</v>
      </c>
      <c r="N27" s="266">
        <f t="shared" si="38"/>
        <v>1953</v>
      </c>
      <c r="O27" s="399">
        <f t="shared" si="44"/>
        <v>0</v>
      </c>
      <c r="P27" s="526">
        <v>19752.78</v>
      </c>
      <c r="Q27" s="382">
        <f t="shared" si="1"/>
        <v>1877.0000000004075</v>
      </c>
      <c r="R27" s="506">
        <f t="shared" si="60"/>
        <v>75.999999999592546</v>
      </c>
      <c r="S27" s="380">
        <f t="shared" si="46"/>
        <v>10175</v>
      </c>
      <c r="T27" s="400">
        <f t="shared" si="2"/>
        <v>0</v>
      </c>
      <c r="U27" s="380">
        <f t="shared" si="47"/>
        <v>429166</v>
      </c>
      <c r="V27" s="382">
        <f t="shared" si="48"/>
        <v>0</v>
      </c>
      <c r="W27" s="380">
        <f t="shared" si="55"/>
        <v>33502</v>
      </c>
      <c r="X27" s="382">
        <f t="shared" si="49"/>
        <v>0</v>
      </c>
      <c r="Y27" s="380">
        <f t="shared" si="61"/>
        <v>1001280</v>
      </c>
      <c r="Z27" s="382">
        <f t="shared" si="50"/>
        <v>0</v>
      </c>
      <c r="AA27" s="380">
        <f t="shared" si="51"/>
        <v>36804</v>
      </c>
      <c r="AB27" s="382">
        <f t="shared" si="52"/>
        <v>0</v>
      </c>
      <c r="AC27" s="380">
        <f t="shared" si="53"/>
        <v>1173391</v>
      </c>
      <c r="AD27" s="382">
        <f t="shared" si="59"/>
        <v>0</v>
      </c>
      <c r="AE27" s="403">
        <f t="shared" si="24"/>
        <v>0</v>
      </c>
      <c r="AF27" s="404">
        <f t="shared" si="4"/>
        <v>0</v>
      </c>
      <c r="AG27" s="397">
        <f t="shared" si="54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v>432050</v>
      </c>
      <c r="E28" s="497">
        <f t="shared" si="9"/>
        <v>450</v>
      </c>
      <c r="F28" s="380">
        <v>4194483</v>
      </c>
      <c r="G28" s="402">
        <f>F28-F27</f>
        <v>284</v>
      </c>
      <c r="H28" s="380">
        <v>18113216</v>
      </c>
      <c r="I28" s="402">
        <f t="shared" si="35"/>
        <v>376</v>
      </c>
      <c r="J28" s="380">
        <v>29909148</v>
      </c>
      <c r="K28" s="402">
        <f t="shared" si="36"/>
        <v>578</v>
      </c>
      <c r="L28" s="380">
        <v>24728634</v>
      </c>
      <c r="M28" s="402">
        <f t="shared" si="37"/>
        <v>706</v>
      </c>
      <c r="N28" s="266">
        <f t="shared" si="38"/>
        <v>2394</v>
      </c>
      <c r="O28" s="399">
        <f t="shared" si="44"/>
        <v>0</v>
      </c>
      <c r="P28" s="526">
        <v>19755.153999999999</v>
      </c>
      <c r="Q28" s="382">
        <f t="shared" si="1"/>
        <v>2373.9999999997963</v>
      </c>
      <c r="R28" s="506">
        <f>N28-Q28</f>
        <v>20.000000000203727</v>
      </c>
      <c r="S28" s="380">
        <f t="shared" si="46"/>
        <v>10175</v>
      </c>
      <c r="T28" s="400">
        <f t="shared" si="2"/>
        <v>0</v>
      </c>
      <c r="U28" s="380">
        <f t="shared" si="47"/>
        <v>429166</v>
      </c>
      <c r="V28" s="382">
        <f t="shared" si="48"/>
        <v>0</v>
      </c>
      <c r="W28" s="380">
        <f t="shared" si="55"/>
        <v>33502</v>
      </c>
      <c r="X28" s="382">
        <f t="shared" si="49"/>
        <v>0</v>
      </c>
      <c r="Y28" s="380">
        <f t="shared" si="61"/>
        <v>1001280</v>
      </c>
      <c r="Z28" s="382">
        <f t="shared" si="50"/>
        <v>0</v>
      </c>
      <c r="AA28" s="380">
        <f t="shared" si="51"/>
        <v>36804</v>
      </c>
      <c r="AB28" s="382">
        <f t="shared" si="52"/>
        <v>0</v>
      </c>
      <c r="AC28" s="380">
        <f t="shared" si="53"/>
        <v>1173391</v>
      </c>
      <c r="AD28" s="382">
        <f t="shared" si="59"/>
        <v>0</v>
      </c>
      <c r="AE28" s="403">
        <f t="shared" si="24"/>
        <v>0</v>
      </c>
      <c r="AF28" s="404">
        <f t="shared" si="4"/>
        <v>0</v>
      </c>
      <c r="AG28" s="397">
        <f t="shared" si="54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v>432550</v>
      </c>
      <c r="E29" s="497">
        <f t="shared" si="9"/>
        <v>500</v>
      </c>
      <c r="F29" s="380">
        <v>4194779.5999999996</v>
      </c>
      <c r="G29" s="402">
        <f>F29-F28</f>
        <v>296.59999999962747</v>
      </c>
      <c r="H29" s="380">
        <v>18113612</v>
      </c>
      <c r="I29" s="402">
        <f>H29-H28</f>
        <v>396</v>
      </c>
      <c r="J29" s="380">
        <v>29909784</v>
      </c>
      <c r="K29" s="402">
        <f>J29-J28</f>
        <v>636</v>
      </c>
      <c r="L29" s="380">
        <v>24729294</v>
      </c>
      <c r="M29" s="402">
        <f>L29-L28</f>
        <v>660</v>
      </c>
      <c r="N29" s="266">
        <f>M29+K29+I29+G29+E29</f>
        <v>2488.5999999996275</v>
      </c>
      <c r="O29" s="399">
        <f>IF(B29&gt;0,N29/B29,0)</f>
        <v>0</v>
      </c>
      <c r="P29" s="526">
        <v>19757.699000000001</v>
      </c>
      <c r="Q29" s="382">
        <f>(P29-P28)*1000</f>
        <v>2545.0000000018917</v>
      </c>
      <c r="R29" s="506">
        <f t="shared" si="60"/>
        <v>-56.400000002264278</v>
      </c>
      <c r="S29" s="380">
        <f t="shared" si="46"/>
        <v>10175</v>
      </c>
      <c r="T29" s="400">
        <f>S29-S28</f>
        <v>0</v>
      </c>
      <c r="U29" s="380">
        <f t="shared" si="47"/>
        <v>429166</v>
      </c>
      <c r="V29" s="382">
        <f>U29-U28</f>
        <v>0</v>
      </c>
      <c r="W29" s="380">
        <f t="shared" si="55"/>
        <v>33502</v>
      </c>
      <c r="X29" s="382">
        <f>W29-W28</f>
        <v>0</v>
      </c>
      <c r="Y29" s="380">
        <f t="shared" si="61"/>
        <v>1001280</v>
      </c>
      <c r="Z29" s="382">
        <f>Y29-Y28</f>
        <v>0</v>
      </c>
      <c r="AA29" s="380">
        <f t="shared" si="51"/>
        <v>36804</v>
      </c>
      <c r="AB29" s="382">
        <f>AA29-AA28</f>
        <v>0</v>
      </c>
      <c r="AC29" s="380">
        <f t="shared" si="53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54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57"/>
        <v>432550</v>
      </c>
      <c r="E30" s="497">
        <f t="shared" si="9"/>
        <v>0</v>
      </c>
      <c r="F30" s="380">
        <f t="shared" si="58"/>
        <v>4194779.5999999996</v>
      </c>
      <c r="G30" s="402">
        <f t="shared" si="34"/>
        <v>0</v>
      </c>
      <c r="H30" s="380">
        <f t="shared" si="40"/>
        <v>18113612</v>
      </c>
      <c r="I30" s="402">
        <f t="shared" si="35"/>
        <v>0</v>
      </c>
      <c r="J30" s="380">
        <f t="shared" si="41"/>
        <v>29909784</v>
      </c>
      <c r="K30" s="402">
        <f t="shared" si="36"/>
        <v>0</v>
      </c>
      <c r="L30" s="380">
        <f t="shared" si="42"/>
        <v>24729294</v>
      </c>
      <c r="M30" s="402">
        <f t="shared" si="37"/>
        <v>0</v>
      </c>
      <c r="N30" s="266">
        <f>M30+K30+I30+G30+E30</f>
        <v>0</v>
      </c>
      <c r="O30" s="399">
        <f t="shared" si="44"/>
        <v>0</v>
      </c>
      <c r="P30" s="526">
        <f t="shared" si="43"/>
        <v>19757.699000000001</v>
      </c>
      <c r="Q30" s="382">
        <f t="shared" si="1"/>
        <v>0</v>
      </c>
      <c r="R30" s="506">
        <f>N30-Q30</f>
        <v>0</v>
      </c>
      <c r="S30" s="380">
        <f t="shared" si="46"/>
        <v>10175</v>
      </c>
      <c r="T30" s="400">
        <f t="shared" si="2"/>
        <v>0</v>
      </c>
      <c r="U30" s="380">
        <f t="shared" si="47"/>
        <v>429166</v>
      </c>
      <c r="V30" s="382">
        <f t="shared" si="48"/>
        <v>0</v>
      </c>
      <c r="W30" s="380">
        <f t="shared" si="55"/>
        <v>33502</v>
      </c>
      <c r="X30" s="382">
        <f t="shared" si="49"/>
        <v>0</v>
      </c>
      <c r="Y30" s="380">
        <f t="shared" si="61"/>
        <v>1001280</v>
      </c>
      <c r="Z30" s="382">
        <f t="shared" si="50"/>
        <v>0</v>
      </c>
      <c r="AA30" s="380">
        <f t="shared" si="51"/>
        <v>36804</v>
      </c>
      <c r="AB30" s="382">
        <f t="shared" si="52"/>
        <v>0</v>
      </c>
      <c r="AC30" s="380">
        <f t="shared" si="53"/>
        <v>1173391</v>
      </c>
      <c r="AD30" s="382">
        <f t="shared" si="59"/>
        <v>0</v>
      </c>
      <c r="AE30" s="403">
        <f t="shared" si="24"/>
        <v>0</v>
      </c>
      <c r="AF30" s="404">
        <f t="shared" si="4"/>
        <v>0</v>
      </c>
      <c r="AG30" s="397">
        <f t="shared" si="54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57"/>
        <v>432550</v>
      </c>
      <c r="E31" s="497">
        <f t="shared" si="9"/>
        <v>0</v>
      </c>
      <c r="F31" s="380">
        <f t="shared" si="58"/>
        <v>4194779.5999999996</v>
      </c>
      <c r="G31" s="402">
        <f t="shared" si="34"/>
        <v>0</v>
      </c>
      <c r="H31" s="380">
        <f t="shared" si="40"/>
        <v>18113612</v>
      </c>
      <c r="I31" s="402">
        <f t="shared" si="35"/>
        <v>0</v>
      </c>
      <c r="J31" s="380">
        <f t="shared" si="41"/>
        <v>29909784</v>
      </c>
      <c r="K31" s="402">
        <f t="shared" si="36"/>
        <v>0</v>
      </c>
      <c r="L31" s="380">
        <f t="shared" si="42"/>
        <v>24729294</v>
      </c>
      <c r="M31" s="402">
        <f t="shared" si="37"/>
        <v>0</v>
      </c>
      <c r="N31" s="266">
        <f t="shared" si="38"/>
        <v>0</v>
      </c>
      <c r="O31" s="399">
        <f t="shared" si="44"/>
        <v>0</v>
      </c>
      <c r="P31" s="526">
        <f t="shared" si="43"/>
        <v>19757.699000000001</v>
      </c>
      <c r="Q31" s="382">
        <f t="shared" si="1"/>
        <v>0</v>
      </c>
      <c r="R31" s="506">
        <f t="shared" si="60"/>
        <v>0</v>
      </c>
      <c r="S31" s="380">
        <f t="shared" si="46"/>
        <v>10175</v>
      </c>
      <c r="T31" s="400">
        <f t="shared" si="2"/>
        <v>0</v>
      </c>
      <c r="U31" s="380">
        <f t="shared" si="47"/>
        <v>429166</v>
      </c>
      <c r="V31" s="402">
        <f>U31-U30</f>
        <v>0</v>
      </c>
      <c r="W31" s="380">
        <f t="shared" si="55"/>
        <v>33502</v>
      </c>
      <c r="X31" s="401">
        <f t="shared" si="49"/>
        <v>0</v>
      </c>
      <c r="Y31" s="380">
        <f t="shared" si="61"/>
        <v>1001280</v>
      </c>
      <c r="Z31" s="382">
        <f t="shared" si="50"/>
        <v>0</v>
      </c>
      <c r="AA31" s="380">
        <f t="shared" si="51"/>
        <v>36804</v>
      </c>
      <c r="AB31" s="382">
        <f t="shared" si="52"/>
        <v>0</v>
      </c>
      <c r="AC31" s="380">
        <f t="shared" si="53"/>
        <v>1173391</v>
      </c>
      <c r="AD31" s="382">
        <f t="shared" si="59"/>
        <v>0</v>
      </c>
      <c r="AE31" s="403">
        <f t="shared" si="24"/>
        <v>0</v>
      </c>
      <c r="AF31" s="404">
        <f t="shared" si="4"/>
        <v>0</v>
      </c>
      <c r="AG31" s="397">
        <f t="shared" si="54"/>
        <v>0</v>
      </c>
      <c r="AJ31" s="473"/>
    </row>
    <row r="32" spans="1:36">
      <c r="A32" s="390">
        <f>'General information '!F33</f>
        <v>0</v>
      </c>
      <c r="B32" s="384">
        <f t="shared" ref="B32:B34" si="69">SUM(230*A32)</f>
        <v>0</v>
      </c>
      <c r="C32" s="391">
        <f t="shared" si="7"/>
        <v>44955</v>
      </c>
      <c r="D32" s="380">
        <v>433080</v>
      </c>
      <c r="E32" s="497">
        <f t="shared" si="9"/>
        <v>530</v>
      </c>
      <c r="F32" s="380">
        <v>4195088.4000000004</v>
      </c>
      <c r="G32" s="402">
        <f t="shared" si="34"/>
        <v>308.80000000074506</v>
      </c>
      <c r="H32" s="380">
        <v>18114030</v>
      </c>
      <c r="I32" s="402">
        <f t="shared" si="35"/>
        <v>418</v>
      </c>
      <c r="J32" s="380">
        <v>29910482</v>
      </c>
      <c r="K32" s="402">
        <f t="shared" si="36"/>
        <v>698</v>
      </c>
      <c r="L32" s="380">
        <v>24730010</v>
      </c>
      <c r="M32" s="402">
        <f t="shared" ref="M32:M34" si="70">L32-L31</f>
        <v>716</v>
      </c>
      <c r="N32" s="266">
        <f t="shared" ref="N32:N34" si="71">M32+K32+I32+G32+E32</f>
        <v>2670.8000000007451</v>
      </c>
      <c r="O32" s="399">
        <f t="shared" ref="O32:O34" si="72">IF(B32&gt;0,N32/B32,0)</f>
        <v>0</v>
      </c>
      <c r="P32" s="526">
        <v>19760.427</v>
      </c>
      <c r="Q32" s="382">
        <f t="shared" ref="Q32:Q34" si="73">(P32-P31)*1000</f>
        <v>2727.999999999156</v>
      </c>
      <c r="R32" s="506">
        <f t="shared" ref="R32:R34" si="74">N32-Q32</f>
        <v>-57.199999998410931</v>
      </c>
      <c r="S32" s="380">
        <f t="shared" si="46"/>
        <v>10175</v>
      </c>
      <c r="T32" s="400">
        <f t="shared" si="2"/>
        <v>0</v>
      </c>
      <c r="U32" s="380">
        <f t="shared" si="47"/>
        <v>429166</v>
      </c>
      <c r="V32" s="402">
        <f>U32-U31</f>
        <v>0</v>
      </c>
      <c r="W32" s="380">
        <f t="shared" si="55"/>
        <v>33502</v>
      </c>
      <c r="X32" s="401">
        <f t="shared" ref="X32:X34" si="75">W32-W31</f>
        <v>0</v>
      </c>
      <c r="Y32" s="380">
        <f t="shared" si="61"/>
        <v>1001280</v>
      </c>
      <c r="Z32" s="382">
        <f t="shared" ref="Z32:Z34" si="76">Y32-Y31</f>
        <v>0</v>
      </c>
      <c r="AA32" s="380">
        <f t="shared" si="51"/>
        <v>36804</v>
      </c>
      <c r="AB32" s="382">
        <f t="shared" ref="AB32:AB34" si="77">AA32-AA31</f>
        <v>0</v>
      </c>
      <c r="AC32" s="380">
        <f t="shared" si="53"/>
        <v>1173391</v>
      </c>
      <c r="AD32" s="382">
        <f t="shared" ref="AD32:AD34" si="78">AC32-AC31</f>
        <v>0</v>
      </c>
      <c r="AE32" s="403">
        <f t="shared" ref="AE32:AE34" si="79">AB32+X32+T32</f>
        <v>0</v>
      </c>
      <c r="AF32" s="404">
        <f t="shared" ref="AF32:AF34" si="80">V32+Z32+AD32</f>
        <v>0</v>
      </c>
      <c r="AG32" s="397">
        <f t="shared" si="54"/>
        <v>0</v>
      </c>
      <c r="AJ32" s="473"/>
    </row>
    <row r="33" spans="1:36">
      <c r="A33" s="390">
        <f>'General information '!F34</f>
        <v>0</v>
      </c>
      <c r="B33" s="384">
        <f t="shared" si="69"/>
        <v>0</v>
      </c>
      <c r="C33" s="391">
        <f t="shared" si="7"/>
        <v>44956</v>
      </c>
      <c r="D33" s="380">
        <v>434550</v>
      </c>
      <c r="E33" s="497">
        <f t="shared" si="9"/>
        <v>1470</v>
      </c>
      <c r="F33" s="380">
        <v>4195506</v>
      </c>
      <c r="G33" s="402">
        <f t="shared" si="34"/>
        <v>417.59999999962747</v>
      </c>
      <c r="H33" s="380">
        <v>18114450</v>
      </c>
      <c r="I33" s="402">
        <f t="shared" si="35"/>
        <v>420</v>
      </c>
      <c r="J33" s="380">
        <v>29911174</v>
      </c>
      <c r="K33" s="402">
        <f t="shared" si="36"/>
        <v>692</v>
      </c>
      <c r="L33" s="380">
        <v>24730782</v>
      </c>
      <c r="M33" s="402">
        <f t="shared" si="70"/>
        <v>772</v>
      </c>
      <c r="N33" s="266">
        <f t="shared" si="71"/>
        <v>3771.5999999996275</v>
      </c>
      <c r="O33" s="399">
        <f t="shared" si="72"/>
        <v>0</v>
      </c>
      <c r="P33" s="526">
        <v>19763.900000000001</v>
      </c>
      <c r="Q33" s="382">
        <f t="shared" si="73"/>
        <v>3473.0000000017753</v>
      </c>
      <c r="R33" s="506">
        <f>N33-Q33</f>
        <v>298.59999999785214</v>
      </c>
      <c r="S33" s="380">
        <f t="shared" si="46"/>
        <v>10175</v>
      </c>
      <c r="T33" s="400">
        <f t="shared" si="2"/>
        <v>0</v>
      </c>
      <c r="U33" s="380">
        <f t="shared" si="47"/>
        <v>429166</v>
      </c>
      <c r="V33" s="382">
        <f t="shared" ref="V33" si="81">U33-U32</f>
        <v>0</v>
      </c>
      <c r="W33" s="380">
        <f t="shared" si="55"/>
        <v>33502</v>
      </c>
      <c r="X33" s="401">
        <f t="shared" si="75"/>
        <v>0</v>
      </c>
      <c r="Y33" s="380">
        <v>1001284</v>
      </c>
      <c r="Z33" s="382">
        <f t="shared" si="76"/>
        <v>4</v>
      </c>
      <c r="AA33" s="380">
        <f t="shared" si="51"/>
        <v>36804</v>
      </c>
      <c r="AB33" s="382">
        <f t="shared" si="77"/>
        <v>0</v>
      </c>
      <c r="AC33" s="380">
        <f t="shared" si="53"/>
        <v>1173391</v>
      </c>
      <c r="AD33" s="382">
        <f t="shared" si="78"/>
        <v>0</v>
      </c>
      <c r="AE33" s="403">
        <f t="shared" si="79"/>
        <v>0</v>
      </c>
      <c r="AF33" s="404">
        <f t="shared" si="80"/>
        <v>4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69"/>
        <v>0</v>
      </c>
      <c r="C34" s="391">
        <f t="shared" si="7"/>
        <v>44957</v>
      </c>
      <c r="D34" s="380">
        <f t="shared" si="57"/>
        <v>434550</v>
      </c>
      <c r="E34" s="497">
        <f t="shared" si="9"/>
        <v>0</v>
      </c>
      <c r="F34" s="380">
        <f t="shared" si="58"/>
        <v>4195506</v>
      </c>
      <c r="G34" s="402">
        <f t="shared" si="34"/>
        <v>0</v>
      </c>
      <c r="H34" s="380">
        <f t="shared" si="40"/>
        <v>18114450</v>
      </c>
      <c r="I34" s="402">
        <f t="shared" si="35"/>
        <v>0</v>
      </c>
      <c r="J34" s="380">
        <f t="shared" si="41"/>
        <v>29911174</v>
      </c>
      <c r="K34" s="402">
        <f t="shared" si="36"/>
        <v>0</v>
      </c>
      <c r="L34" s="380">
        <f t="shared" si="42"/>
        <v>24730782</v>
      </c>
      <c r="M34" s="402">
        <f t="shared" si="70"/>
        <v>0</v>
      </c>
      <c r="N34" s="266">
        <f t="shared" si="71"/>
        <v>0</v>
      </c>
      <c r="O34" s="399">
        <f t="shared" si="72"/>
        <v>0</v>
      </c>
      <c r="P34" s="526">
        <f t="shared" si="43"/>
        <v>19763.900000000001</v>
      </c>
      <c r="Q34" s="382">
        <f t="shared" si="73"/>
        <v>0</v>
      </c>
      <c r="R34" s="506">
        <f t="shared" si="74"/>
        <v>0</v>
      </c>
      <c r="S34" s="380">
        <f t="shared" si="46"/>
        <v>10175</v>
      </c>
      <c r="T34" s="400">
        <f t="shared" si="2"/>
        <v>0</v>
      </c>
      <c r="U34" s="380">
        <f t="shared" si="47"/>
        <v>429166</v>
      </c>
      <c r="V34" s="402">
        <f>U34-U33</f>
        <v>0</v>
      </c>
      <c r="W34" s="380">
        <f t="shared" si="55"/>
        <v>33502</v>
      </c>
      <c r="X34" s="401">
        <f t="shared" si="75"/>
        <v>0</v>
      </c>
      <c r="Y34" s="380">
        <f t="shared" si="61"/>
        <v>1001284</v>
      </c>
      <c r="Z34" s="382">
        <f t="shared" si="76"/>
        <v>0</v>
      </c>
      <c r="AA34" s="380">
        <f t="shared" si="51"/>
        <v>36804</v>
      </c>
      <c r="AB34" s="382">
        <f t="shared" si="77"/>
        <v>0</v>
      </c>
      <c r="AC34" s="380">
        <f t="shared" si="53"/>
        <v>1173391</v>
      </c>
      <c r="AD34" s="382">
        <f t="shared" si="78"/>
        <v>0</v>
      </c>
      <c r="AE34" s="403">
        <f t="shared" si="79"/>
        <v>0</v>
      </c>
      <c r="AF34" s="404">
        <f t="shared" si="80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topLeftCell="I1" zoomScale="60" zoomScaleNormal="60" workbookViewId="0">
      <pane ySplit="1" topLeftCell="A29" activePane="bottomLeft" state="frozen"/>
      <selection pane="bottomLeft" activeCell="AI34" sqref="AI34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57.708333333333336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242</v>
      </c>
      <c r="D8" s="44">
        <f t="shared" si="31"/>
        <v>-21</v>
      </c>
      <c r="E8" s="44">
        <f t="shared" si="9"/>
        <v>-175.98000000000002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239</v>
      </c>
      <c r="D9" s="44">
        <f t="shared" si="31"/>
        <v>3</v>
      </c>
      <c r="E9" s="44">
        <f t="shared" si="9"/>
        <v>25.14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233</v>
      </c>
      <c r="C10" s="63">
        <v>239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v>233</v>
      </c>
      <c r="C11" s="63">
        <v>239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0">H10</f>
        <v>52811</v>
      </c>
      <c r="I11" s="338">
        <f t="shared" si="1"/>
        <v>0</v>
      </c>
      <c r="J11" s="65">
        <f t="shared" si="11"/>
        <v>0</v>
      </c>
      <c r="K11" s="468">
        <f t="shared" ref="K11:K35" si="41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2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230</v>
      </c>
      <c r="C12" s="63">
        <v>236</v>
      </c>
      <c r="D12" s="44">
        <f t="shared" si="31"/>
        <v>3</v>
      </c>
      <c r="E12" s="44">
        <f t="shared" si="9"/>
        <v>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1"/>
        <v>2483</v>
      </c>
      <c r="L12" s="51">
        <f t="shared" si="12"/>
        <v>0</v>
      </c>
      <c r="M12" s="63">
        <f t="shared" ref="M12:M35" si="43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2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2</v>
      </c>
      <c r="E13" s="44">
        <f t="shared" si="9"/>
        <v>16.760000000000002</v>
      </c>
      <c r="F13" s="468">
        <f t="shared" si="10"/>
        <v>2368</v>
      </c>
      <c r="G13" s="51">
        <f t="shared" si="0"/>
        <v>0</v>
      </c>
      <c r="H13" s="468">
        <f t="shared" si="40"/>
        <v>52991</v>
      </c>
      <c r="I13" s="338">
        <f t="shared" si="1"/>
        <v>0</v>
      </c>
      <c r="J13" s="65">
        <f t="shared" si="11"/>
        <v>0</v>
      </c>
      <c r="K13" s="468">
        <f t="shared" si="41"/>
        <v>2483</v>
      </c>
      <c r="L13" s="51">
        <f t="shared" si="12"/>
        <v>0</v>
      </c>
      <c r="M13" s="63">
        <f t="shared" si="43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2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0"/>
        <v>52991</v>
      </c>
      <c r="I14" s="338">
        <f t="shared" si="1"/>
        <v>0</v>
      </c>
      <c r="J14" s="65">
        <f t="shared" si="11"/>
        <v>0</v>
      </c>
      <c r="K14" s="468">
        <f t="shared" si="41"/>
        <v>2483</v>
      </c>
      <c r="L14" s="51">
        <f t="shared" si="12"/>
        <v>0</v>
      </c>
      <c r="M14" s="63">
        <f t="shared" si="43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2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v>222</v>
      </c>
      <c r="C15" s="63">
        <v>228</v>
      </c>
      <c r="D15" s="44">
        <f t="shared" si="31"/>
        <v>3</v>
      </c>
      <c r="E15" s="44">
        <f t="shared" si="9"/>
        <v>25.14</v>
      </c>
      <c r="F15" s="468">
        <f t="shared" si="10"/>
        <v>2368</v>
      </c>
      <c r="G15" s="51">
        <f t="shared" si="0"/>
        <v>0</v>
      </c>
      <c r="H15" s="468">
        <f t="shared" si="40"/>
        <v>52991</v>
      </c>
      <c r="I15" s="338">
        <f t="shared" si="1"/>
        <v>0</v>
      </c>
      <c r="J15" s="65">
        <f t="shared" si="11"/>
        <v>0</v>
      </c>
      <c r="K15" s="468">
        <f t="shared" si="41"/>
        <v>2483</v>
      </c>
      <c r="L15" s="51">
        <f t="shared" si="12"/>
        <v>0</v>
      </c>
      <c r="M15" s="63">
        <f t="shared" si="43"/>
        <v>185088</v>
      </c>
      <c r="N15" s="338">
        <f t="shared" si="2"/>
        <v>0</v>
      </c>
      <c r="O15" s="63">
        <f t="shared" si="3"/>
        <v>1869</v>
      </c>
      <c r="P15" s="468">
        <v>2246</v>
      </c>
      <c r="Q15" s="468">
        <v>187588</v>
      </c>
      <c r="R15" s="337">
        <f t="shared" si="42"/>
        <v>205</v>
      </c>
      <c r="S15" s="51">
        <f t="shared" si="5"/>
        <v>3</v>
      </c>
      <c r="T15" s="66">
        <f t="shared" si="32"/>
        <v>0</v>
      </c>
      <c r="U15" s="344">
        <f t="shared" si="14"/>
        <v>3</v>
      </c>
      <c r="V15" s="61">
        <f t="shared" si="15"/>
        <v>205</v>
      </c>
      <c r="W15" s="342">
        <f t="shared" si="16"/>
        <v>68.333333333333329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205</v>
      </c>
      <c r="AJ15" s="271">
        <f>-tanks!AW16</f>
        <v>205</v>
      </c>
      <c r="AK15" s="271">
        <f t="shared" si="23"/>
        <v>0</v>
      </c>
      <c r="AL15" s="271">
        <f t="shared" si="8"/>
        <v>3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v>217.5</v>
      </c>
      <c r="C16" s="63">
        <v>223.5</v>
      </c>
      <c r="D16" s="44">
        <f t="shared" si="31"/>
        <v>4.5</v>
      </c>
      <c r="E16" s="44">
        <f t="shared" si="9"/>
        <v>37.71</v>
      </c>
      <c r="F16" s="468">
        <f t="shared" si="10"/>
        <v>2368</v>
      </c>
      <c r="G16" s="51">
        <f t="shared" si="0"/>
        <v>0</v>
      </c>
      <c r="H16" s="468">
        <f t="shared" si="40"/>
        <v>52991</v>
      </c>
      <c r="I16" s="338">
        <f t="shared" si="1"/>
        <v>0</v>
      </c>
      <c r="J16" s="65">
        <f t="shared" si="11"/>
        <v>0</v>
      </c>
      <c r="K16" s="468">
        <f t="shared" si="41"/>
        <v>2483</v>
      </c>
      <c r="L16" s="51">
        <f t="shared" si="12"/>
        <v>0</v>
      </c>
      <c r="M16" s="63">
        <f t="shared" si="43"/>
        <v>185088</v>
      </c>
      <c r="N16" s="338">
        <f t="shared" si="2"/>
        <v>0</v>
      </c>
      <c r="O16" s="63">
        <f t="shared" si="3"/>
        <v>1869</v>
      </c>
      <c r="P16" s="468">
        <v>2247</v>
      </c>
      <c r="Q16" s="468">
        <v>187674</v>
      </c>
      <c r="R16" s="337">
        <f t="shared" si="42"/>
        <v>86</v>
      </c>
      <c r="S16" s="51">
        <f t="shared" si="5"/>
        <v>1</v>
      </c>
      <c r="T16" s="66">
        <f t="shared" si="32"/>
        <v>0</v>
      </c>
      <c r="U16" s="344">
        <f t="shared" si="14"/>
        <v>1</v>
      </c>
      <c r="V16" s="61">
        <f t="shared" si="15"/>
        <v>86</v>
      </c>
      <c r="W16" s="342">
        <f t="shared" si="16"/>
        <v>86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v>1962</v>
      </c>
      <c r="AD16" s="44">
        <f t="shared" si="7"/>
        <v>1</v>
      </c>
      <c r="AE16" s="468">
        <v>367905</v>
      </c>
      <c r="AF16" s="263">
        <f t="shared" si="21"/>
        <v>55.5</v>
      </c>
      <c r="AG16" s="196">
        <f t="shared" si="35"/>
        <v>55.5</v>
      </c>
      <c r="AH16" s="61">
        <f t="shared" si="36"/>
        <v>55.5</v>
      </c>
      <c r="AI16" s="271">
        <f t="shared" si="22"/>
        <v>141.5</v>
      </c>
      <c r="AJ16" s="271">
        <f>-tanks!AW17</f>
        <v>141.5</v>
      </c>
      <c r="AK16" s="271">
        <f t="shared" si="23"/>
        <v>0</v>
      </c>
      <c r="AL16" s="271">
        <f t="shared" si="8"/>
        <v>1</v>
      </c>
      <c r="AM16" s="271">
        <f t="shared" si="24"/>
        <v>1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ref="B17:B35" si="44">B16</f>
        <v>217.5</v>
      </c>
      <c r="C17" s="63">
        <f t="shared" ref="C17:C35" si="45">C16</f>
        <v>223.5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0"/>
        <v>52991</v>
      </c>
      <c r="I17" s="338">
        <f t="shared" si="1"/>
        <v>0</v>
      </c>
      <c r="J17" s="65">
        <f t="shared" si="11"/>
        <v>0</v>
      </c>
      <c r="K17" s="468">
        <f t="shared" si="41"/>
        <v>2483</v>
      </c>
      <c r="L17" s="51">
        <f t="shared" si="12"/>
        <v>0</v>
      </c>
      <c r="M17" s="63">
        <f t="shared" si="43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2247</v>
      </c>
      <c r="Q17" s="468">
        <f t="shared" ref="Q17:Q35" si="46">Q16</f>
        <v>187674</v>
      </c>
      <c r="R17" s="337">
        <f t="shared" si="42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1962</v>
      </c>
      <c r="AD17" s="44">
        <f t="shared" si="7"/>
        <v>0</v>
      </c>
      <c r="AE17" s="468">
        <f t="shared" si="20"/>
        <v>367905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4"/>
        <v>217.5</v>
      </c>
      <c r="C18" s="63">
        <f t="shared" si="45"/>
        <v>223.5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0"/>
        <v>52991</v>
      </c>
      <c r="I18" s="338">
        <f t="shared" si="1"/>
        <v>0</v>
      </c>
      <c r="J18" s="65">
        <f t="shared" si="11"/>
        <v>0</v>
      </c>
      <c r="K18" s="468">
        <f t="shared" si="41"/>
        <v>2483</v>
      </c>
      <c r="L18" s="51">
        <f t="shared" si="12"/>
        <v>0</v>
      </c>
      <c r="M18" s="63">
        <f t="shared" si="43"/>
        <v>185088</v>
      </c>
      <c r="N18" s="338">
        <f t="shared" si="2"/>
        <v>0</v>
      </c>
      <c r="O18" s="63">
        <v>1869</v>
      </c>
      <c r="P18" s="468">
        <f t="shared" ref="P18:P35" si="47">P17</f>
        <v>2247</v>
      </c>
      <c r="Q18" s="468">
        <f t="shared" si="46"/>
        <v>187674</v>
      </c>
      <c r="R18" s="337">
        <f t="shared" si="42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1962</v>
      </c>
      <c r="AD18" s="44">
        <f t="shared" si="7"/>
        <v>0</v>
      </c>
      <c r="AE18" s="468">
        <f t="shared" si="20"/>
        <v>367905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v>232</v>
      </c>
      <c r="C19" s="63">
        <v>239</v>
      </c>
      <c r="D19" s="44">
        <f t="shared" si="31"/>
        <v>-15.5</v>
      </c>
      <c r="E19" s="44">
        <f t="shared" si="9"/>
        <v>-129.89000000000001</v>
      </c>
      <c r="F19" s="468">
        <f t="shared" si="10"/>
        <v>2368</v>
      </c>
      <c r="G19" s="51">
        <f t="shared" si="0"/>
        <v>0</v>
      </c>
      <c r="H19" s="468">
        <v>53005</v>
      </c>
      <c r="I19" s="338">
        <f t="shared" si="1"/>
        <v>14</v>
      </c>
      <c r="J19" s="65">
        <f t="shared" si="11"/>
        <v>0</v>
      </c>
      <c r="K19" s="468">
        <f t="shared" si="41"/>
        <v>2483</v>
      </c>
      <c r="L19" s="51">
        <f t="shared" si="12"/>
        <v>0</v>
      </c>
      <c r="M19" s="63">
        <v>185088</v>
      </c>
      <c r="N19" s="338">
        <f t="shared" si="2"/>
        <v>0</v>
      </c>
      <c r="O19" s="63">
        <f t="shared" ref="O19:O35" si="49">O18</f>
        <v>1869</v>
      </c>
      <c r="P19" s="468">
        <v>2250</v>
      </c>
      <c r="Q19" s="468">
        <v>187918</v>
      </c>
      <c r="R19" s="337">
        <f t="shared" si="42"/>
        <v>244</v>
      </c>
      <c r="S19" s="51">
        <f t="shared" si="5"/>
        <v>3</v>
      </c>
      <c r="T19" s="66">
        <f t="shared" si="32"/>
        <v>0</v>
      </c>
      <c r="U19" s="344">
        <f t="shared" si="14"/>
        <v>3</v>
      </c>
      <c r="V19" s="61">
        <f t="shared" si="15"/>
        <v>258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1962</v>
      </c>
      <c r="AD19" s="44">
        <f t="shared" si="7"/>
        <v>0</v>
      </c>
      <c r="AE19" s="468">
        <f t="shared" si="20"/>
        <v>367905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258</v>
      </c>
      <c r="AJ19" s="271">
        <f>-tanks!AW20</f>
        <v>258</v>
      </c>
      <c r="AK19" s="271">
        <f t="shared" si="23"/>
        <v>0</v>
      </c>
      <c r="AL19" s="271">
        <f t="shared" si="8"/>
        <v>3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v>229</v>
      </c>
      <c r="C20" s="63">
        <v>235</v>
      </c>
      <c r="D20" s="44">
        <f>C19-C20</f>
        <v>4</v>
      </c>
      <c r="E20" s="44">
        <f t="shared" si="9"/>
        <v>33.520000000000003</v>
      </c>
      <c r="F20" s="468">
        <f t="shared" si="10"/>
        <v>2368</v>
      </c>
      <c r="G20" s="51">
        <f t="shared" si="0"/>
        <v>0</v>
      </c>
      <c r="H20" s="468">
        <f t="shared" si="40"/>
        <v>53005</v>
      </c>
      <c r="I20" s="338">
        <f t="shared" si="1"/>
        <v>0</v>
      </c>
      <c r="J20" s="65">
        <f t="shared" si="11"/>
        <v>0</v>
      </c>
      <c r="K20" s="468">
        <v>2484</v>
      </c>
      <c r="L20" s="51">
        <f t="shared" si="12"/>
        <v>1</v>
      </c>
      <c r="M20" s="63">
        <v>185203</v>
      </c>
      <c r="N20" s="338">
        <f t="shared" si="2"/>
        <v>115</v>
      </c>
      <c r="O20" s="63">
        <f t="shared" si="49"/>
        <v>1869</v>
      </c>
      <c r="P20" s="468">
        <f t="shared" si="47"/>
        <v>2250</v>
      </c>
      <c r="Q20" s="468">
        <f t="shared" si="46"/>
        <v>187918</v>
      </c>
      <c r="R20" s="337">
        <f t="shared" si="42"/>
        <v>0</v>
      </c>
      <c r="S20" s="51">
        <f t="shared" si="5"/>
        <v>0</v>
      </c>
      <c r="T20" s="66">
        <f t="shared" si="32"/>
        <v>0</v>
      </c>
      <c r="U20" s="344">
        <f t="shared" si="14"/>
        <v>1</v>
      </c>
      <c r="V20" s="61">
        <f t="shared" si="15"/>
        <v>115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v>1963</v>
      </c>
      <c r="AD20" s="44">
        <f t="shared" si="7"/>
        <v>1</v>
      </c>
      <c r="AE20" s="468">
        <v>367972</v>
      </c>
      <c r="AF20" s="263">
        <f t="shared" si="21"/>
        <v>67</v>
      </c>
      <c r="AG20" s="196">
        <f t="shared" si="35"/>
        <v>67</v>
      </c>
      <c r="AH20" s="61">
        <f t="shared" si="36"/>
        <v>67</v>
      </c>
      <c r="AI20" s="271">
        <f t="shared" si="22"/>
        <v>182</v>
      </c>
      <c r="AJ20" s="271">
        <f>-tanks!AW21</f>
        <v>182</v>
      </c>
      <c r="AK20" s="271">
        <f t="shared" si="23"/>
        <v>0</v>
      </c>
      <c r="AL20" s="271">
        <f t="shared" si="8"/>
        <v>1</v>
      </c>
      <c r="AM20" s="271">
        <f t="shared" si="24"/>
        <v>1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v>224</v>
      </c>
      <c r="C21" s="63">
        <v>230</v>
      </c>
      <c r="D21" s="44">
        <f t="shared" ref="D21:D32" si="50">C20-C21</f>
        <v>5</v>
      </c>
      <c r="E21" s="44">
        <f t="shared" si="9"/>
        <v>41.900000000000006</v>
      </c>
      <c r="F21" s="468">
        <f t="shared" si="10"/>
        <v>2368</v>
      </c>
      <c r="G21" s="51">
        <f t="shared" si="0"/>
        <v>0</v>
      </c>
      <c r="H21" s="468">
        <f t="shared" si="40"/>
        <v>53005</v>
      </c>
      <c r="I21" s="338">
        <f t="shared" si="1"/>
        <v>0</v>
      </c>
      <c r="J21" s="65">
        <f t="shared" si="11"/>
        <v>0</v>
      </c>
      <c r="K21" s="468">
        <v>2486</v>
      </c>
      <c r="L21" s="51">
        <f t="shared" si="12"/>
        <v>2</v>
      </c>
      <c r="M21" s="63">
        <v>185388</v>
      </c>
      <c r="N21" s="338">
        <f t="shared" si="2"/>
        <v>185</v>
      </c>
      <c r="O21" s="63">
        <f t="shared" si="49"/>
        <v>1869</v>
      </c>
      <c r="P21" s="468">
        <f t="shared" si="47"/>
        <v>2250</v>
      </c>
      <c r="Q21" s="468">
        <f t="shared" si="46"/>
        <v>187918</v>
      </c>
      <c r="R21" s="337">
        <f t="shared" si="42"/>
        <v>0</v>
      </c>
      <c r="S21" s="51">
        <f t="shared" si="5"/>
        <v>0</v>
      </c>
      <c r="T21" s="66">
        <f t="shared" si="32"/>
        <v>0</v>
      </c>
      <c r="U21" s="344">
        <f t="shared" si="14"/>
        <v>2</v>
      </c>
      <c r="V21" s="61">
        <f t="shared" si="15"/>
        <v>185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1963</v>
      </c>
      <c r="AD21" s="44">
        <f t="shared" si="7"/>
        <v>0</v>
      </c>
      <c r="AE21" s="468">
        <f t="shared" si="20"/>
        <v>367972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185</v>
      </c>
      <c r="AJ21" s="271">
        <f>-tanks!AW22</f>
        <v>185</v>
      </c>
      <c r="AK21" s="271">
        <f t="shared" si="23"/>
        <v>0</v>
      </c>
      <c r="AL21" s="271">
        <f t="shared" si="8"/>
        <v>2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v>240</v>
      </c>
      <c r="C22" s="63">
        <v>246</v>
      </c>
      <c r="D22" s="44">
        <f t="shared" si="50"/>
        <v>-16</v>
      </c>
      <c r="E22" s="44">
        <f t="shared" si="9"/>
        <v>-134.08000000000001</v>
      </c>
      <c r="F22" s="468">
        <f t="shared" si="10"/>
        <v>2368</v>
      </c>
      <c r="G22" s="51">
        <f t="shared" si="0"/>
        <v>0</v>
      </c>
      <c r="H22" s="468">
        <f t="shared" si="40"/>
        <v>53005</v>
      </c>
      <c r="I22" s="338">
        <f t="shared" si="1"/>
        <v>0</v>
      </c>
      <c r="J22" s="65">
        <f t="shared" si="11"/>
        <v>0</v>
      </c>
      <c r="K22" s="468">
        <v>2488</v>
      </c>
      <c r="L22" s="51">
        <f t="shared" si="12"/>
        <v>2</v>
      </c>
      <c r="M22" s="63">
        <v>185531</v>
      </c>
      <c r="N22" s="338">
        <f t="shared" si="2"/>
        <v>143</v>
      </c>
      <c r="O22" s="63">
        <f t="shared" si="49"/>
        <v>1869</v>
      </c>
      <c r="P22" s="468">
        <f t="shared" si="47"/>
        <v>2250</v>
      </c>
      <c r="Q22" s="468">
        <f t="shared" si="46"/>
        <v>187918</v>
      </c>
      <c r="R22" s="337">
        <f t="shared" si="42"/>
        <v>0</v>
      </c>
      <c r="S22" s="51">
        <f t="shared" si="5"/>
        <v>0</v>
      </c>
      <c r="T22" s="66">
        <f t="shared" si="32"/>
        <v>0</v>
      </c>
      <c r="U22" s="344">
        <f t="shared" si="14"/>
        <v>2</v>
      </c>
      <c r="V22" s="61">
        <f t="shared" si="15"/>
        <v>143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1963</v>
      </c>
      <c r="AD22" s="44">
        <f t="shared" si="7"/>
        <v>0</v>
      </c>
      <c r="AE22" s="468">
        <f t="shared" si="20"/>
        <v>367972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143</v>
      </c>
      <c r="AJ22" s="271">
        <f>-tanks!AW23</f>
        <v>143</v>
      </c>
      <c r="AK22" s="271">
        <f t="shared" si="23"/>
        <v>0</v>
      </c>
      <c r="AL22" s="271">
        <f t="shared" si="8"/>
        <v>2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v>236</v>
      </c>
      <c r="C23" s="63">
        <v>242</v>
      </c>
      <c r="D23" s="44">
        <f t="shared" si="50"/>
        <v>4</v>
      </c>
      <c r="E23" s="44">
        <f t="shared" si="9"/>
        <v>33.520000000000003</v>
      </c>
      <c r="F23" s="468">
        <f t="shared" si="10"/>
        <v>2368</v>
      </c>
      <c r="G23" s="51">
        <f t="shared" si="0"/>
        <v>0</v>
      </c>
      <c r="H23" s="468">
        <f t="shared" si="40"/>
        <v>53005</v>
      </c>
      <c r="I23" s="338">
        <f t="shared" si="1"/>
        <v>0</v>
      </c>
      <c r="J23" s="65">
        <f t="shared" si="11"/>
        <v>0</v>
      </c>
      <c r="K23" s="468">
        <v>2489</v>
      </c>
      <c r="L23" s="51">
        <f t="shared" si="12"/>
        <v>1</v>
      </c>
      <c r="M23" s="63">
        <v>185614</v>
      </c>
      <c r="N23" s="338">
        <f t="shared" si="2"/>
        <v>83</v>
      </c>
      <c r="O23" s="63">
        <f t="shared" si="49"/>
        <v>1869</v>
      </c>
      <c r="P23" s="468">
        <f t="shared" si="47"/>
        <v>2250</v>
      </c>
      <c r="Q23" s="468">
        <f t="shared" si="46"/>
        <v>187918</v>
      </c>
      <c r="R23" s="337">
        <f t="shared" si="42"/>
        <v>0</v>
      </c>
      <c r="S23" s="51">
        <f t="shared" si="5"/>
        <v>0</v>
      </c>
      <c r="T23" s="66">
        <f t="shared" si="32"/>
        <v>0</v>
      </c>
      <c r="U23" s="344">
        <f t="shared" si="14"/>
        <v>1</v>
      </c>
      <c r="V23" s="61">
        <f t="shared" si="15"/>
        <v>83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v>1964</v>
      </c>
      <c r="AD23" s="44">
        <f t="shared" si="7"/>
        <v>1</v>
      </c>
      <c r="AE23" s="468">
        <v>368039</v>
      </c>
      <c r="AF23" s="263">
        <f t="shared" si="21"/>
        <v>67</v>
      </c>
      <c r="AG23" s="196">
        <f t="shared" si="35"/>
        <v>67</v>
      </c>
      <c r="AH23" s="61">
        <f t="shared" si="36"/>
        <v>67</v>
      </c>
      <c r="AI23" s="271">
        <f>SUM(AH23+V23)</f>
        <v>150</v>
      </c>
      <c r="AJ23" s="271">
        <f>-tanks!AW24</f>
        <v>150</v>
      </c>
      <c r="AK23" s="271">
        <f>SUM(AJ23-AI23)</f>
        <v>0</v>
      </c>
      <c r="AL23" s="271">
        <f>S23+L23+G23</f>
        <v>1</v>
      </c>
      <c r="AM23" s="271">
        <f>Y23+AD23</f>
        <v>1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4"/>
        <v>236</v>
      </c>
      <c r="C24" s="63">
        <f t="shared" si="45"/>
        <v>242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0"/>
        <v>53005</v>
      </c>
      <c r="I24" s="338">
        <f t="shared" si="1"/>
        <v>0</v>
      </c>
      <c r="J24" s="65">
        <f t="shared" si="11"/>
        <v>0</v>
      </c>
      <c r="K24" s="468">
        <f t="shared" si="41"/>
        <v>2489</v>
      </c>
      <c r="L24" s="51">
        <f t="shared" si="12"/>
        <v>0</v>
      </c>
      <c r="M24" s="63">
        <f t="shared" si="43"/>
        <v>185614</v>
      </c>
      <c r="N24" s="338">
        <f t="shared" si="2"/>
        <v>0</v>
      </c>
      <c r="O24" s="63">
        <f t="shared" si="49"/>
        <v>1869</v>
      </c>
      <c r="P24" s="468">
        <f t="shared" si="47"/>
        <v>2250</v>
      </c>
      <c r="Q24" s="468">
        <f t="shared" si="46"/>
        <v>187918</v>
      </c>
      <c r="R24" s="337">
        <f t="shared" si="42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1964</v>
      </c>
      <c r="AD24" s="44">
        <f t="shared" si="7"/>
        <v>0</v>
      </c>
      <c r="AE24" s="468">
        <f t="shared" si="20"/>
        <v>368039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4"/>
        <v>236</v>
      </c>
      <c r="C25" s="63">
        <f t="shared" si="45"/>
        <v>242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0"/>
        <v>53005</v>
      </c>
      <c r="I25" s="338">
        <f t="shared" si="1"/>
        <v>0</v>
      </c>
      <c r="J25" s="65">
        <f t="shared" si="11"/>
        <v>0</v>
      </c>
      <c r="K25" s="468">
        <f t="shared" si="41"/>
        <v>2489</v>
      </c>
      <c r="L25" s="51">
        <f t="shared" si="12"/>
        <v>0</v>
      </c>
      <c r="M25" s="63">
        <f t="shared" si="43"/>
        <v>185614</v>
      </c>
      <c r="N25" s="338">
        <f t="shared" si="2"/>
        <v>0</v>
      </c>
      <c r="O25" s="63">
        <f t="shared" si="49"/>
        <v>1869</v>
      </c>
      <c r="P25" s="468">
        <f t="shared" si="47"/>
        <v>2250</v>
      </c>
      <c r="Q25" s="468">
        <f t="shared" si="46"/>
        <v>187918</v>
      </c>
      <c r="R25" s="337">
        <f t="shared" si="42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1964</v>
      </c>
      <c r="AD25" s="44">
        <f t="shared" si="7"/>
        <v>0</v>
      </c>
      <c r="AE25" s="468">
        <f t="shared" si="20"/>
        <v>368039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v>232</v>
      </c>
      <c r="C26" s="63">
        <v>239</v>
      </c>
      <c r="D26" s="44">
        <f t="shared" si="50"/>
        <v>3</v>
      </c>
      <c r="E26" s="44">
        <f t="shared" si="9"/>
        <v>25.14</v>
      </c>
      <c r="F26" s="468">
        <v>2370</v>
      </c>
      <c r="G26" s="51">
        <f t="shared" si="0"/>
        <v>2</v>
      </c>
      <c r="H26" s="468">
        <v>53157</v>
      </c>
      <c r="I26" s="338">
        <f t="shared" si="1"/>
        <v>152</v>
      </c>
      <c r="J26" s="65">
        <f t="shared" si="11"/>
        <v>76</v>
      </c>
      <c r="K26" s="468">
        <v>2490</v>
      </c>
      <c r="L26" s="51">
        <f t="shared" si="12"/>
        <v>1</v>
      </c>
      <c r="M26" s="63">
        <v>185690</v>
      </c>
      <c r="N26" s="338">
        <f t="shared" si="2"/>
        <v>76</v>
      </c>
      <c r="O26" s="63">
        <v>2251</v>
      </c>
      <c r="P26" s="468">
        <v>2251</v>
      </c>
      <c r="Q26" s="468">
        <v>187951</v>
      </c>
      <c r="R26" s="337">
        <f t="shared" si="42"/>
        <v>33</v>
      </c>
      <c r="S26" s="51">
        <f t="shared" si="5"/>
        <v>1</v>
      </c>
      <c r="T26" s="66">
        <f t="shared" si="32"/>
        <v>0</v>
      </c>
      <c r="U26" s="344">
        <f t="shared" si="14"/>
        <v>4</v>
      </c>
      <c r="V26" s="61">
        <f t="shared" si="15"/>
        <v>261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1964</v>
      </c>
      <c r="AD26" s="44">
        <f t="shared" si="7"/>
        <v>0</v>
      </c>
      <c r="AE26" s="468">
        <f t="shared" si="20"/>
        <v>368039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261</v>
      </c>
      <c r="AJ26" s="271">
        <f>-tanks!AW27</f>
        <v>261</v>
      </c>
      <c r="AK26" s="271">
        <f t="shared" si="23"/>
        <v>0</v>
      </c>
      <c r="AL26" s="271">
        <f t="shared" si="8"/>
        <v>4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v>229</v>
      </c>
      <c r="C27" s="63">
        <v>235</v>
      </c>
      <c r="D27" s="44">
        <f t="shared" si="50"/>
        <v>4</v>
      </c>
      <c r="E27" s="44">
        <f t="shared" si="9"/>
        <v>33.520000000000003</v>
      </c>
      <c r="F27" s="468">
        <v>2371</v>
      </c>
      <c r="G27" s="51">
        <f t="shared" si="0"/>
        <v>1</v>
      </c>
      <c r="H27" s="468">
        <v>53227</v>
      </c>
      <c r="I27" s="338">
        <f t="shared" si="1"/>
        <v>70</v>
      </c>
      <c r="J27" s="65">
        <f t="shared" si="11"/>
        <v>70</v>
      </c>
      <c r="K27" s="468">
        <f t="shared" si="41"/>
        <v>2490</v>
      </c>
      <c r="L27" s="51">
        <f t="shared" si="12"/>
        <v>0</v>
      </c>
      <c r="M27" s="63">
        <f t="shared" si="43"/>
        <v>185690</v>
      </c>
      <c r="N27" s="338">
        <f t="shared" si="2"/>
        <v>0</v>
      </c>
      <c r="O27" s="63">
        <f t="shared" si="49"/>
        <v>2251</v>
      </c>
      <c r="P27" s="468">
        <f t="shared" si="47"/>
        <v>2251</v>
      </c>
      <c r="Q27" s="468">
        <f t="shared" si="46"/>
        <v>187951</v>
      </c>
      <c r="R27" s="337">
        <f t="shared" si="42"/>
        <v>0</v>
      </c>
      <c r="S27" s="51">
        <f t="shared" si="5"/>
        <v>0</v>
      </c>
      <c r="T27" s="66">
        <f t="shared" si="32"/>
        <v>0</v>
      </c>
      <c r="U27" s="344">
        <f t="shared" si="14"/>
        <v>1</v>
      </c>
      <c r="V27" s="61">
        <f t="shared" si="15"/>
        <v>70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v>1966</v>
      </c>
      <c r="AD27" s="44">
        <f t="shared" si="7"/>
        <v>2</v>
      </c>
      <c r="AE27" s="468">
        <v>368122</v>
      </c>
      <c r="AF27" s="263">
        <f t="shared" si="21"/>
        <v>83</v>
      </c>
      <c r="AG27" s="196">
        <f t="shared" si="35"/>
        <v>41.5</v>
      </c>
      <c r="AH27" s="61">
        <f t="shared" si="36"/>
        <v>83</v>
      </c>
      <c r="AI27" s="271">
        <f t="shared" si="22"/>
        <v>153</v>
      </c>
      <c r="AJ27" s="271">
        <f>-tanks!AW28</f>
        <v>153</v>
      </c>
      <c r="AK27" s="271">
        <f t="shared" si="23"/>
        <v>0</v>
      </c>
      <c r="AL27" s="271">
        <f t="shared" si="8"/>
        <v>1</v>
      </c>
      <c r="AM27" s="271">
        <f t="shared" si="24"/>
        <v>2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v>227</v>
      </c>
      <c r="C28" s="63">
        <v>233</v>
      </c>
      <c r="D28" s="44">
        <f t="shared" si="50"/>
        <v>2</v>
      </c>
      <c r="E28" s="44">
        <f t="shared" si="9"/>
        <v>16.760000000000002</v>
      </c>
      <c r="F28" s="468">
        <v>2372</v>
      </c>
      <c r="G28" s="51">
        <f t="shared" si="0"/>
        <v>1</v>
      </c>
      <c r="H28" s="468">
        <v>53273</v>
      </c>
      <c r="I28" s="338">
        <f t="shared" si="1"/>
        <v>46</v>
      </c>
      <c r="J28" s="65">
        <f t="shared" si="11"/>
        <v>46</v>
      </c>
      <c r="K28" s="468">
        <v>2490</v>
      </c>
      <c r="L28" s="51">
        <f t="shared" si="12"/>
        <v>0</v>
      </c>
      <c r="M28" s="63">
        <f t="shared" si="43"/>
        <v>185690</v>
      </c>
      <c r="N28" s="338">
        <f t="shared" si="2"/>
        <v>0</v>
      </c>
      <c r="O28" s="63">
        <f t="shared" si="49"/>
        <v>2251</v>
      </c>
      <c r="P28" s="468">
        <v>2251</v>
      </c>
      <c r="Q28" s="468">
        <v>187961</v>
      </c>
      <c r="R28" s="337">
        <f t="shared" si="42"/>
        <v>10</v>
      </c>
      <c r="S28" s="51">
        <f t="shared" si="5"/>
        <v>0</v>
      </c>
      <c r="T28" s="66">
        <f t="shared" si="32"/>
        <v>0</v>
      </c>
      <c r="U28" s="344">
        <f t="shared" si="14"/>
        <v>1</v>
      </c>
      <c r="V28" s="61">
        <f t="shared" si="15"/>
        <v>56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1966</v>
      </c>
      <c r="AD28" s="44">
        <f t="shared" si="7"/>
        <v>0</v>
      </c>
      <c r="AE28" s="468">
        <f t="shared" si="20"/>
        <v>368122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56</v>
      </c>
      <c r="AJ28" s="271">
        <f>-tanks!AW29</f>
        <v>56</v>
      </c>
      <c r="AK28" s="271">
        <f t="shared" si="23"/>
        <v>0</v>
      </c>
      <c r="AL28" s="271">
        <f t="shared" si="8"/>
        <v>1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v>223</v>
      </c>
      <c r="C29" s="63">
        <v>229</v>
      </c>
      <c r="D29" s="44">
        <f t="shared" si="50"/>
        <v>4</v>
      </c>
      <c r="E29" s="44">
        <f t="shared" si="9"/>
        <v>33.520000000000003</v>
      </c>
      <c r="F29" s="468">
        <v>2375</v>
      </c>
      <c r="G29" s="51">
        <f t="shared" si="0"/>
        <v>3</v>
      </c>
      <c r="H29" s="468">
        <v>53491</v>
      </c>
      <c r="I29" s="338">
        <f t="shared" si="1"/>
        <v>218</v>
      </c>
      <c r="J29" s="65">
        <f t="shared" si="11"/>
        <v>72.666666666666671</v>
      </c>
      <c r="K29" s="468">
        <f t="shared" si="41"/>
        <v>2490</v>
      </c>
      <c r="L29" s="51">
        <f t="shared" si="12"/>
        <v>0</v>
      </c>
      <c r="M29" s="63">
        <v>185720</v>
      </c>
      <c r="N29" s="338">
        <f t="shared" si="2"/>
        <v>30</v>
      </c>
      <c r="O29" s="63">
        <f t="shared" si="49"/>
        <v>2251</v>
      </c>
      <c r="P29" s="468">
        <f t="shared" si="47"/>
        <v>2251</v>
      </c>
      <c r="Q29" s="468">
        <f t="shared" si="46"/>
        <v>187961</v>
      </c>
      <c r="R29" s="337">
        <f t="shared" si="42"/>
        <v>0</v>
      </c>
      <c r="S29" s="51">
        <f t="shared" si="5"/>
        <v>0</v>
      </c>
      <c r="T29" s="66">
        <f t="shared" si="32"/>
        <v>0</v>
      </c>
      <c r="U29" s="344">
        <f t="shared" si="14"/>
        <v>3</v>
      </c>
      <c r="V29" s="61">
        <f t="shared" si="15"/>
        <v>248</v>
      </c>
      <c r="W29" s="342"/>
      <c r="X29" s="468">
        <f t="shared" si="17"/>
        <v>2498</v>
      </c>
      <c r="Y29" s="51">
        <f t="shared" si="18"/>
        <v>0</v>
      </c>
      <c r="Z29" s="468">
        <v>141480</v>
      </c>
      <c r="AA29" s="64">
        <f t="shared" si="6"/>
        <v>61</v>
      </c>
      <c r="AB29" s="246">
        <f t="shared" si="51"/>
        <v>0</v>
      </c>
      <c r="AC29" s="468">
        <f t="shared" si="34"/>
        <v>1966</v>
      </c>
      <c r="AD29" s="44">
        <f t="shared" si="7"/>
        <v>0</v>
      </c>
      <c r="AE29" s="468">
        <f t="shared" si="20"/>
        <v>368122</v>
      </c>
      <c r="AF29" s="263">
        <f t="shared" si="21"/>
        <v>0</v>
      </c>
      <c r="AG29" s="196">
        <f t="shared" si="35"/>
        <v>0</v>
      </c>
      <c r="AH29" s="61">
        <f t="shared" si="36"/>
        <v>61</v>
      </c>
      <c r="AI29" s="271">
        <f t="shared" si="22"/>
        <v>309</v>
      </c>
      <c r="AJ29" s="271">
        <f>-tanks!AW30</f>
        <v>309</v>
      </c>
      <c r="AK29" s="271">
        <f t="shared" si="23"/>
        <v>0</v>
      </c>
      <c r="AL29" s="271">
        <f t="shared" si="8"/>
        <v>3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v>220</v>
      </c>
      <c r="C30" s="63">
        <v>226</v>
      </c>
      <c r="D30" s="44">
        <f>C29-C30</f>
        <v>3</v>
      </c>
      <c r="E30" s="44">
        <f>D30*8.38</f>
        <v>25.14</v>
      </c>
      <c r="F30" s="468">
        <f t="shared" si="10"/>
        <v>2375</v>
      </c>
      <c r="G30" s="51">
        <f>F30-F29</f>
        <v>0</v>
      </c>
      <c r="H30" s="468">
        <v>53624</v>
      </c>
      <c r="I30" s="338">
        <f t="shared" si="1"/>
        <v>133</v>
      </c>
      <c r="J30" s="65">
        <f>IF(G30&gt;0,I30/G30,0)</f>
        <v>0</v>
      </c>
      <c r="K30" s="468">
        <f t="shared" si="41"/>
        <v>2490</v>
      </c>
      <c r="L30" s="51">
        <f>K30-K29</f>
        <v>0</v>
      </c>
      <c r="M30" s="63">
        <v>185727</v>
      </c>
      <c r="N30" s="338">
        <f>M30-M29</f>
        <v>7</v>
      </c>
      <c r="O30" s="63">
        <f t="shared" si="49"/>
        <v>2251</v>
      </c>
      <c r="P30" s="468">
        <f t="shared" si="47"/>
        <v>2251</v>
      </c>
      <c r="Q30" s="468">
        <f t="shared" si="46"/>
        <v>187961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140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141480</v>
      </c>
      <c r="AA30" s="64">
        <f>Z30-Z29</f>
        <v>0</v>
      </c>
      <c r="AB30" s="246">
        <f>SUM(Y30*$AB$2)</f>
        <v>0</v>
      </c>
      <c r="AC30" s="468">
        <f t="shared" si="34"/>
        <v>1966</v>
      </c>
      <c r="AD30" s="237">
        <f>AC30-AC29</f>
        <v>0</v>
      </c>
      <c r="AE30" s="468">
        <f t="shared" si="20"/>
        <v>368122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140</v>
      </c>
      <c r="AJ30" s="271">
        <f>-tanks!AW31</f>
        <v>140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4"/>
        <v>220</v>
      </c>
      <c r="C31" s="63">
        <f t="shared" si="45"/>
        <v>226</v>
      </c>
      <c r="D31" s="44">
        <f t="shared" si="50"/>
        <v>0</v>
      </c>
      <c r="E31" s="44">
        <f t="shared" si="9"/>
        <v>0</v>
      </c>
      <c r="F31" s="468">
        <v>2377</v>
      </c>
      <c r="G31" s="51">
        <f t="shared" si="0"/>
        <v>2</v>
      </c>
      <c r="H31" s="468">
        <f t="shared" si="40"/>
        <v>53624</v>
      </c>
      <c r="I31" s="338">
        <f t="shared" si="1"/>
        <v>0</v>
      </c>
      <c r="J31" s="65">
        <f t="shared" si="11"/>
        <v>0</v>
      </c>
      <c r="K31" s="468">
        <f t="shared" si="41"/>
        <v>2490</v>
      </c>
      <c r="L31" s="51">
        <f t="shared" si="12"/>
        <v>0</v>
      </c>
      <c r="M31" s="63">
        <f t="shared" si="43"/>
        <v>185727</v>
      </c>
      <c r="N31" s="338">
        <f t="shared" si="2"/>
        <v>0</v>
      </c>
      <c r="O31" s="63">
        <f t="shared" si="49"/>
        <v>2251</v>
      </c>
      <c r="P31" s="468">
        <f t="shared" si="47"/>
        <v>2251</v>
      </c>
      <c r="Q31" s="468">
        <f t="shared" si="46"/>
        <v>187961</v>
      </c>
      <c r="R31" s="337">
        <f t="shared" si="42"/>
        <v>0</v>
      </c>
      <c r="S31" s="51">
        <f t="shared" si="5"/>
        <v>0</v>
      </c>
      <c r="T31" s="66">
        <f t="shared" si="32"/>
        <v>0</v>
      </c>
      <c r="U31" s="344">
        <f t="shared" si="14"/>
        <v>2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141480</v>
      </c>
      <c r="AA31" s="64">
        <f t="shared" si="6"/>
        <v>0</v>
      </c>
      <c r="AB31" s="246">
        <f t="shared" si="51"/>
        <v>0</v>
      </c>
      <c r="AC31" s="468">
        <f t="shared" si="34"/>
        <v>1966</v>
      </c>
      <c r="AD31" s="237">
        <f t="shared" si="7"/>
        <v>0</v>
      </c>
      <c r="AE31" s="468">
        <f t="shared" si="20"/>
        <v>368122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2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4"/>
        <v>220</v>
      </c>
      <c r="C32" s="63">
        <f t="shared" si="45"/>
        <v>226</v>
      </c>
      <c r="D32" s="44">
        <f t="shared" si="50"/>
        <v>0</v>
      </c>
      <c r="E32" s="44">
        <f t="shared" si="9"/>
        <v>0</v>
      </c>
      <c r="F32" s="468">
        <f t="shared" si="10"/>
        <v>2377</v>
      </c>
      <c r="G32" s="51">
        <f t="shared" si="0"/>
        <v>0</v>
      </c>
      <c r="H32" s="468">
        <f t="shared" si="40"/>
        <v>53624</v>
      </c>
      <c r="I32" s="338">
        <f t="shared" si="1"/>
        <v>0</v>
      </c>
      <c r="J32" s="65">
        <f t="shared" si="11"/>
        <v>0</v>
      </c>
      <c r="K32" s="468">
        <f t="shared" si="41"/>
        <v>2490</v>
      </c>
      <c r="L32" s="51">
        <f t="shared" si="12"/>
        <v>0</v>
      </c>
      <c r="M32" s="63">
        <f t="shared" si="43"/>
        <v>185727</v>
      </c>
      <c r="N32" s="338">
        <f t="shared" si="2"/>
        <v>0</v>
      </c>
      <c r="O32" s="63">
        <f t="shared" si="49"/>
        <v>2251</v>
      </c>
      <c r="P32" s="468">
        <f t="shared" si="47"/>
        <v>2251</v>
      </c>
      <c r="Q32" s="468">
        <f t="shared" si="46"/>
        <v>187961</v>
      </c>
      <c r="R32" s="337">
        <f t="shared" si="42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141480</v>
      </c>
      <c r="AA32" s="64">
        <f t="shared" si="6"/>
        <v>0</v>
      </c>
      <c r="AB32" s="246">
        <f t="shared" si="51"/>
        <v>0</v>
      </c>
      <c r="AC32" s="468">
        <f t="shared" si="34"/>
        <v>1966</v>
      </c>
      <c r="AD32" s="237">
        <f t="shared" si="7"/>
        <v>0</v>
      </c>
      <c r="AE32" s="468">
        <f t="shared" si="20"/>
        <v>368122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v>216</v>
      </c>
      <c r="C33" s="63">
        <v>222</v>
      </c>
      <c r="D33" s="44">
        <f t="shared" ref="D33:D35" si="54">C32-C33</f>
        <v>4</v>
      </c>
      <c r="E33" s="44">
        <f t="shared" ref="E33:E35" si="55">D33*8.38</f>
        <v>33.520000000000003</v>
      </c>
      <c r="F33" s="468">
        <v>2379</v>
      </c>
      <c r="G33" s="51">
        <f t="shared" ref="G33:G35" si="56">F33-F32</f>
        <v>2</v>
      </c>
      <c r="H33" s="468">
        <v>53845</v>
      </c>
      <c r="I33" s="338">
        <f t="shared" ref="I33:I35" si="57">SUM(H33-H32)</f>
        <v>221</v>
      </c>
      <c r="J33" s="65">
        <f t="shared" ref="J33:J35" si="58">IF(G33&gt;0,I33/G33,0)</f>
        <v>110.5</v>
      </c>
      <c r="K33" s="468">
        <f t="shared" si="41"/>
        <v>2490</v>
      </c>
      <c r="L33" s="51">
        <f t="shared" ref="L33:L35" si="59">K33-K32</f>
        <v>0</v>
      </c>
      <c r="M33" s="63">
        <f t="shared" si="43"/>
        <v>185727</v>
      </c>
      <c r="N33" s="338">
        <f t="shared" ref="N33:N35" si="60">M33-M32</f>
        <v>0</v>
      </c>
      <c r="O33" s="63">
        <f t="shared" si="49"/>
        <v>2251</v>
      </c>
      <c r="P33" s="468">
        <f t="shared" si="47"/>
        <v>2251</v>
      </c>
      <c r="Q33" s="468">
        <f t="shared" si="46"/>
        <v>187961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2</v>
      </c>
      <c r="V33" s="61">
        <f t="shared" ref="V33:V35" si="65">R33+N33+I33:I33</f>
        <v>221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141480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1966</v>
      </c>
      <c r="AD33" s="237">
        <f t="shared" ref="AD33:AD35" si="69">AC33-AC32</f>
        <v>0</v>
      </c>
      <c r="AE33" s="468">
        <f t="shared" si="20"/>
        <v>368122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221</v>
      </c>
      <c r="AJ33" s="271">
        <f>-tanks!AW34</f>
        <v>221</v>
      </c>
      <c r="AK33" s="271">
        <f t="shared" ref="AK33:AK35" si="74">SUM(AJ33-AI33)</f>
        <v>0</v>
      </c>
      <c r="AL33" s="271">
        <f t="shared" ref="AL33:AL35" si="75">S33+L33+G33</f>
        <v>2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v>240.5</v>
      </c>
      <c r="C34" s="63">
        <v>246.5</v>
      </c>
      <c r="D34" s="44">
        <f t="shared" si="54"/>
        <v>-24.5</v>
      </c>
      <c r="E34" s="44">
        <f t="shared" si="55"/>
        <v>-205.31000000000003</v>
      </c>
      <c r="F34" s="468">
        <v>2381</v>
      </c>
      <c r="G34" s="51">
        <f t="shared" si="56"/>
        <v>2</v>
      </c>
      <c r="H34" s="468">
        <v>53995</v>
      </c>
      <c r="I34" s="338">
        <f t="shared" si="57"/>
        <v>150</v>
      </c>
      <c r="J34" s="65">
        <f t="shared" si="58"/>
        <v>75</v>
      </c>
      <c r="K34" s="468">
        <f t="shared" si="41"/>
        <v>2490</v>
      </c>
      <c r="L34" s="51">
        <f t="shared" si="59"/>
        <v>0</v>
      </c>
      <c r="M34" s="63">
        <f t="shared" si="43"/>
        <v>185727</v>
      </c>
      <c r="N34" s="338">
        <f t="shared" si="60"/>
        <v>0</v>
      </c>
      <c r="O34" s="63">
        <f t="shared" si="49"/>
        <v>2251</v>
      </c>
      <c r="P34" s="468">
        <v>2252</v>
      </c>
      <c r="Q34" s="468">
        <v>188058</v>
      </c>
      <c r="R34" s="337">
        <f t="shared" si="61"/>
        <v>97</v>
      </c>
      <c r="S34" s="51">
        <f t="shared" si="62"/>
        <v>1</v>
      </c>
      <c r="T34" s="66">
        <f t="shared" si="63"/>
        <v>0</v>
      </c>
      <c r="U34" s="344">
        <f t="shared" si="64"/>
        <v>3</v>
      </c>
      <c r="V34" s="61">
        <f t="shared" si="65"/>
        <v>247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141480</v>
      </c>
      <c r="AA34" s="64">
        <f t="shared" si="67"/>
        <v>0</v>
      </c>
      <c r="AB34" s="246">
        <f t="shared" si="68"/>
        <v>0</v>
      </c>
      <c r="AC34" s="468">
        <v>1968</v>
      </c>
      <c r="AD34" s="237">
        <f t="shared" si="69"/>
        <v>2</v>
      </c>
      <c r="AE34" s="468">
        <v>368258</v>
      </c>
      <c r="AF34" s="263">
        <f t="shared" si="70"/>
        <v>136</v>
      </c>
      <c r="AG34" s="196">
        <f t="shared" si="71"/>
        <v>68</v>
      </c>
      <c r="AH34" s="61">
        <f t="shared" si="72"/>
        <v>136</v>
      </c>
      <c r="AI34" s="271">
        <f t="shared" si="73"/>
        <v>383</v>
      </c>
      <c r="AJ34" s="271">
        <f>-tanks!AW35</f>
        <v>383</v>
      </c>
      <c r="AK34" s="271">
        <f t="shared" si="74"/>
        <v>0</v>
      </c>
      <c r="AL34" s="271">
        <f t="shared" si="75"/>
        <v>3</v>
      </c>
      <c r="AM34" s="271">
        <f t="shared" si="76"/>
        <v>2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f t="shared" si="44"/>
        <v>240.5</v>
      </c>
      <c r="C35" s="63">
        <f t="shared" si="45"/>
        <v>246.5</v>
      </c>
      <c r="D35" s="44">
        <f t="shared" si="54"/>
        <v>0</v>
      </c>
      <c r="E35" s="44">
        <f t="shared" si="55"/>
        <v>0</v>
      </c>
      <c r="F35" s="468">
        <f t="shared" si="10"/>
        <v>2381</v>
      </c>
      <c r="G35" s="51">
        <f t="shared" si="56"/>
        <v>0</v>
      </c>
      <c r="H35" s="468">
        <f t="shared" si="40"/>
        <v>53995</v>
      </c>
      <c r="I35" s="338">
        <f t="shared" si="57"/>
        <v>0</v>
      </c>
      <c r="J35" s="65">
        <f t="shared" si="58"/>
        <v>0</v>
      </c>
      <c r="K35" s="468">
        <f t="shared" si="41"/>
        <v>2490</v>
      </c>
      <c r="L35" s="51">
        <f t="shared" si="59"/>
        <v>0</v>
      </c>
      <c r="M35" s="63">
        <f t="shared" si="43"/>
        <v>185727</v>
      </c>
      <c r="N35" s="338">
        <f t="shared" si="60"/>
        <v>0</v>
      </c>
      <c r="O35" s="63">
        <f t="shared" si="49"/>
        <v>2251</v>
      </c>
      <c r="P35" s="468">
        <f t="shared" si="47"/>
        <v>2252</v>
      </c>
      <c r="Q35" s="468">
        <f t="shared" si="46"/>
        <v>188058</v>
      </c>
      <c r="R35" s="337">
        <f t="shared" si="61"/>
        <v>0</v>
      </c>
      <c r="S35" s="51">
        <f t="shared" si="62"/>
        <v>0</v>
      </c>
      <c r="T35" s="66">
        <f t="shared" si="63"/>
        <v>0</v>
      </c>
      <c r="U35" s="344">
        <f t="shared" si="64"/>
        <v>0</v>
      </c>
      <c r="V35" s="61">
        <f t="shared" si="65"/>
        <v>0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141480</v>
      </c>
      <c r="AA35" s="64">
        <f t="shared" si="67"/>
        <v>0</v>
      </c>
      <c r="AB35" s="246">
        <f t="shared" si="68"/>
        <v>0</v>
      </c>
      <c r="AC35" s="468">
        <f t="shared" si="34"/>
        <v>1968</v>
      </c>
      <c r="AD35" s="237">
        <f t="shared" si="69"/>
        <v>0</v>
      </c>
      <c r="AE35" s="468">
        <f t="shared" si="20"/>
        <v>368258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0</v>
      </c>
      <c r="AJ35" s="271">
        <f>-tanks!AW36</f>
        <v>0</v>
      </c>
      <c r="AK35" s="271">
        <f t="shared" si="74"/>
        <v>0</v>
      </c>
      <c r="AL35" s="271">
        <f t="shared" si="75"/>
        <v>0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57.708333333333336</v>
      </c>
      <c r="U36" s="68">
        <f>SUM(U5:U35)</f>
        <v>40</v>
      </c>
      <c r="V36" s="61">
        <f>SUM(V5:V35)</f>
        <v>3175</v>
      </c>
      <c r="AE36" s="69" t="s">
        <v>23</v>
      </c>
      <c r="AG36" s="293"/>
      <c r="AH36" s="61">
        <f>SUM(AH5:AH35)</f>
        <v>630</v>
      </c>
      <c r="AL36" s="61">
        <f>SUM(AL5:AL35)</f>
        <v>40</v>
      </c>
      <c r="AM36" s="61">
        <f>SUM(AM5:AM35)</f>
        <v>9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79.375</v>
      </c>
      <c r="AH37" s="61">
        <f>AF37+AA37</f>
        <v>0</v>
      </c>
      <c r="AI37" s="69">
        <f>SUM(AI5:AI35)</f>
        <v>3805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V17" activePane="topRight" state="frozen"/>
      <selection pane="topRight" activeCell="AU58" sqref="AU58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242</v>
      </c>
      <c r="AA9" s="192">
        <f t="shared" si="45"/>
        <v>2420</v>
      </c>
      <c r="AB9" s="192">
        <f t="shared" si="46"/>
        <v>242</v>
      </c>
      <c r="AC9" s="192">
        <f t="shared" si="45"/>
        <v>2420</v>
      </c>
      <c r="AD9" s="192">
        <f t="shared" si="47"/>
        <v>242</v>
      </c>
      <c r="AE9" s="192">
        <f t="shared" si="25"/>
        <v>2420</v>
      </c>
      <c r="AF9" s="192">
        <f t="shared" si="48"/>
        <v>242</v>
      </c>
      <c r="AG9" s="192">
        <f t="shared" si="26"/>
        <v>2420</v>
      </c>
      <c r="AH9" s="192">
        <f t="shared" si="49"/>
        <v>242</v>
      </c>
      <c r="AI9" s="192">
        <f t="shared" si="27"/>
        <v>2420</v>
      </c>
      <c r="AJ9" s="192">
        <f t="shared" si="50"/>
        <v>242</v>
      </c>
      <c r="AK9" s="192">
        <f t="shared" si="28"/>
        <v>2420</v>
      </c>
      <c r="AL9" s="192">
        <f t="shared" si="51"/>
        <v>242</v>
      </c>
      <c r="AM9" s="192">
        <f t="shared" si="29"/>
        <v>2420</v>
      </c>
      <c r="AN9" s="34">
        <f t="shared" si="30"/>
        <v>0.86428571428571432</v>
      </c>
      <c r="AO9" s="35">
        <f>SUM(AA9+AC9+AE9+AG9+AI9+AK9+AM9)</f>
        <v>16940</v>
      </c>
      <c r="AQ9" s="208">
        <f t="shared" si="55"/>
        <v>0.79064110170814716</v>
      </c>
      <c r="AR9" s="37">
        <f t="shared" si="56"/>
        <v>73505.90322580644</v>
      </c>
      <c r="AS9" s="186">
        <f>SUM(AR9-AR8-AT9)</f>
        <v>-408.06451612904493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-111.06451612904493</v>
      </c>
      <c r="AY9" s="36">
        <f t="shared" si="52"/>
        <v>-408.06451612904493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-18.510752688174154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239</v>
      </c>
      <c r="AA10" s="192">
        <f t="shared" si="45"/>
        <v>2390</v>
      </c>
      <c r="AB10" s="192">
        <f t="shared" si="46"/>
        <v>239</v>
      </c>
      <c r="AC10" s="192">
        <f t="shared" si="45"/>
        <v>2390</v>
      </c>
      <c r="AD10" s="192">
        <f t="shared" si="47"/>
        <v>239</v>
      </c>
      <c r="AE10" s="192">
        <f t="shared" si="25"/>
        <v>2390</v>
      </c>
      <c r="AF10" s="192">
        <f t="shared" si="48"/>
        <v>239</v>
      </c>
      <c r="AG10" s="192">
        <f t="shared" si="26"/>
        <v>2390</v>
      </c>
      <c r="AH10" s="192">
        <f t="shared" si="49"/>
        <v>239</v>
      </c>
      <c r="AI10" s="192">
        <f t="shared" si="27"/>
        <v>2390</v>
      </c>
      <c r="AJ10" s="192">
        <f t="shared" si="50"/>
        <v>239</v>
      </c>
      <c r="AK10" s="192">
        <f t="shared" si="28"/>
        <v>2390</v>
      </c>
      <c r="AL10" s="192">
        <f t="shared" si="51"/>
        <v>239</v>
      </c>
      <c r="AM10" s="192">
        <f t="shared" si="29"/>
        <v>2390</v>
      </c>
      <c r="AN10" s="34">
        <f t="shared" si="30"/>
        <v>0.85357142857142854</v>
      </c>
      <c r="AO10" s="35">
        <f t="shared" si="54"/>
        <v>16730</v>
      </c>
      <c r="AQ10" s="208">
        <f t="shared" si="55"/>
        <v>0.78074508946694554</v>
      </c>
      <c r="AR10" s="37">
        <f t="shared" si="56"/>
        <v>72585.870967741925</v>
      </c>
      <c r="AS10" s="186">
        <f>SUM(AR10-AR9-AT10)</f>
        <v>-920.03225806451519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-807.03225806451519</v>
      </c>
      <c r="AY10" s="36">
        <f t="shared" si="52"/>
        <v>-920.03225806451519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-115.29032258064503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233</v>
      </c>
      <c r="C11" s="192">
        <f t="shared" si="32"/>
        <v>5013.2580645161288</v>
      </c>
      <c r="D11">
        <f>SUM(B11)</f>
        <v>233</v>
      </c>
      <c r="E11" s="192">
        <f t="shared" si="32"/>
        <v>5013.2580645161288</v>
      </c>
      <c r="F11">
        <f>SUM(D11)</f>
        <v>233</v>
      </c>
      <c r="G11" s="192">
        <f t="shared" si="16"/>
        <v>5013.2580645161288</v>
      </c>
      <c r="H11" s="192">
        <f>SUM(F11)</f>
        <v>233</v>
      </c>
      <c r="I11" s="192">
        <f t="shared" si="17"/>
        <v>5013.2580645161288</v>
      </c>
      <c r="J11" s="192">
        <f>SUM(H11)</f>
        <v>233</v>
      </c>
      <c r="K11" s="192">
        <f t="shared" si="18"/>
        <v>5013.2580645161288</v>
      </c>
      <c r="L11" s="192">
        <f>SUM(J11)</f>
        <v>233</v>
      </c>
      <c r="M11" s="192">
        <f t="shared" si="19"/>
        <v>5013.2580645161288</v>
      </c>
      <c r="N11" s="192">
        <f>SUM(L11)</f>
        <v>233</v>
      </c>
      <c r="O11" s="192">
        <f t="shared" si="20"/>
        <v>5013.2580645161288</v>
      </c>
      <c r="P11" s="192">
        <f>SUM(N11)</f>
        <v>233</v>
      </c>
      <c r="Q11" s="192">
        <f t="shared" si="21"/>
        <v>5013.2580645161288</v>
      </c>
      <c r="R11" s="192">
        <f>SUM(P11)</f>
        <v>233</v>
      </c>
      <c r="S11" s="192">
        <f t="shared" si="22"/>
        <v>5013.2580645161288</v>
      </c>
      <c r="T11" s="192">
        <f>SUM(R11)</f>
        <v>233</v>
      </c>
      <c r="U11" s="192">
        <f t="shared" si="23"/>
        <v>5013.2580645161288</v>
      </c>
      <c r="V11" s="192">
        <f>SUM(T11)</f>
        <v>233</v>
      </c>
      <c r="W11" s="192">
        <f t="shared" si="24"/>
        <v>5013.2580645161288</v>
      </c>
      <c r="X11" s="34">
        <f>SUM(Y11/73370)</f>
        <v>0.75161290322580643</v>
      </c>
      <c r="Y11" s="35">
        <f>SUM(C11+E11+G11+I11+K11+M11+O11+Q11+S11+U11+W11)</f>
        <v>55145.838709677417</v>
      </c>
      <c r="Z11" s="440">
        <f>'B5'!C10</f>
        <v>239</v>
      </c>
      <c r="AA11" s="192">
        <f t="shared" si="45"/>
        <v>2390</v>
      </c>
      <c r="AB11" s="192">
        <f>SUM(Z11)</f>
        <v>239</v>
      </c>
      <c r="AC11" s="192">
        <f t="shared" si="45"/>
        <v>2390</v>
      </c>
      <c r="AD11" s="192">
        <f>SUM(AB11)</f>
        <v>239</v>
      </c>
      <c r="AE11" s="192">
        <f t="shared" si="25"/>
        <v>2390</v>
      </c>
      <c r="AF11" s="192">
        <f>SUM(AD11)</f>
        <v>239</v>
      </c>
      <c r="AG11" s="192">
        <f t="shared" si="26"/>
        <v>2390</v>
      </c>
      <c r="AH11" s="192">
        <f>SUM(AF11)</f>
        <v>239</v>
      </c>
      <c r="AI11" s="192">
        <f t="shared" si="27"/>
        <v>2390</v>
      </c>
      <c r="AJ11" s="192">
        <f>SUM(AH11)</f>
        <v>239</v>
      </c>
      <c r="AK11" s="192">
        <f t="shared" si="28"/>
        <v>2390</v>
      </c>
      <c r="AL11" s="192">
        <f>SUM(AJ11)</f>
        <v>239</v>
      </c>
      <c r="AM11" s="192">
        <f t="shared" si="29"/>
        <v>2390</v>
      </c>
      <c r="AN11" s="34">
        <f>SUM(AO11/19600)</f>
        <v>0.85357142857142854</v>
      </c>
      <c r="AO11" s="35">
        <f t="shared" si="54"/>
        <v>16730</v>
      </c>
      <c r="AP11" s="458"/>
      <c r="AQ11" s="208">
        <f t="shared" si="55"/>
        <v>0.77310787038482764</v>
      </c>
      <c r="AR11" s="37">
        <f>Y11+AO11</f>
        <v>71875.838709677424</v>
      </c>
      <c r="AS11" s="186">
        <f t="shared" si="57"/>
        <v>-710.03225806450064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-710.03225806450064</v>
      </c>
      <c r="AY11" s="36">
        <f t="shared" si="52"/>
        <v>-710.03225806450064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-76.347554630597443</v>
      </c>
      <c r="BK11" s="469"/>
    </row>
    <row r="12" spans="1:63">
      <c r="A12" s="379">
        <f>ELEC!C10</f>
        <v>44933</v>
      </c>
      <c r="B12" s="440">
        <f>'B5'!B11</f>
        <v>233</v>
      </c>
      <c r="C12" s="192">
        <f t="shared" si="32"/>
        <v>5013.2580645161288</v>
      </c>
      <c r="D12">
        <f t="shared" si="33"/>
        <v>233</v>
      </c>
      <c r="E12" s="192">
        <f t="shared" si="32"/>
        <v>5013.2580645161288</v>
      </c>
      <c r="F12">
        <f t="shared" si="34"/>
        <v>233</v>
      </c>
      <c r="G12" s="192">
        <f t="shared" si="16"/>
        <v>5013.2580645161288</v>
      </c>
      <c r="H12" s="192">
        <f t="shared" si="35"/>
        <v>233</v>
      </c>
      <c r="I12" s="192">
        <f t="shared" si="17"/>
        <v>5013.2580645161288</v>
      </c>
      <c r="J12" s="192">
        <f t="shared" si="36"/>
        <v>233</v>
      </c>
      <c r="K12" s="192">
        <f t="shared" si="18"/>
        <v>5013.2580645161288</v>
      </c>
      <c r="L12" s="192">
        <f t="shared" si="37"/>
        <v>233</v>
      </c>
      <c r="M12" s="192">
        <f t="shared" si="19"/>
        <v>5013.2580645161288</v>
      </c>
      <c r="N12" s="192">
        <f t="shared" si="38"/>
        <v>233</v>
      </c>
      <c r="O12" s="192">
        <f t="shared" si="20"/>
        <v>5013.2580645161288</v>
      </c>
      <c r="P12" s="192">
        <f t="shared" si="39"/>
        <v>233</v>
      </c>
      <c r="Q12" s="192">
        <f t="shared" si="21"/>
        <v>5013.2580645161288</v>
      </c>
      <c r="R12" s="192">
        <f t="shared" si="40"/>
        <v>233</v>
      </c>
      <c r="S12" s="192">
        <f t="shared" si="22"/>
        <v>5013.2580645161288</v>
      </c>
      <c r="T12" s="192">
        <f t="shared" si="41"/>
        <v>233</v>
      </c>
      <c r="U12" s="192">
        <f t="shared" si="23"/>
        <v>5013.2580645161288</v>
      </c>
      <c r="V12" s="192">
        <f t="shared" si="42"/>
        <v>233</v>
      </c>
      <c r="W12" s="192">
        <f t="shared" si="24"/>
        <v>5013.2580645161288</v>
      </c>
      <c r="X12" s="34">
        <f t="shared" si="43"/>
        <v>0.75161290322580643</v>
      </c>
      <c r="Y12" s="35">
        <f t="shared" si="44"/>
        <v>55145.838709677417</v>
      </c>
      <c r="Z12" s="440">
        <f>'B5'!C11</f>
        <v>239</v>
      </c>
      <c r="AA12" s="192">
        <f t="shared" si="45"/>
        <v>2390</v>
      </c>
      <c r="AB12" s="192">
        <f t="shared" si="46"/>
        <v>239</v>
      </c>
      <c r="AC12" s="192">
        <f t="shared" si="45"/>
        <v>2390</v>
      </c>
      <c r="AD12" s="192">
        <f t="shared" si="47"/>
        <v>239</v>
      </c>
      <c r="AE12" s="192">
        <f t="shared" si="25"/>
        <v>2390</v>
      </c>
      <c r="AF12" s="192">
        <f t="shared" si="48"/>
        <v>239</v>
      </c>
      <c r="AG12" s="192">
        <f t="shared" si="26"/>
        <v>2390</v>
      </c>
      <c r="AH12" s="192">
        <f t="shared" si="49"/>
        <v>239</v>
      </c>
      <c r="AI12" s="192">
        <f t="shared" si="27"/>
        <v>2390</v>
      </c>
      <c r="AJ12" s="192">
        <f t="shared" si="50"/>
        <v>239</v>
      </c>
      <c r="AK12" s="192">
        <f t="shared" si="28"/>
        <v>2390</v>
      </c>
      <c r="AL12" s="192">
        <f t="shared" si="51"/>
        <v>239</v>
      </c>
      <c r="AM12" s="192">
        <f t="shared" si="29"/>
        <v>2390</v>
      </c>
      <c r="AN12" s="34">
        <f t="shared" si="30"/>
        <v>0.85357142857142854</v>
      </c>
      <c r="AO12" s="35">
        <f t="shared" si="54"/>
        <v>16730</v>
      </c>
      <c r="AP12" s="458"/>
      <c r="AQ12" s="208">
        <f t="shared" si="55"/>
        <v>0.77310787038482764</v>
      </c>
      <c r="AR12" s="37">
        <f t="shared" si="56"/>
        <v>71875.838709677424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230</v>
      </c>
      <c r="C13" s="192">
        <f t="shared" si="32"/>
        <v>4948.7096774193551</v>
      </c>
      <c r="D13">
        <f t="shared" si="33"/>
        <v>230</v>
      </c>
      <c r="E13" s="192">
        <f t="shared" si="32"/>
        <v>4948.7096774193551</v>
      </c>
      <c r="F13">
        <f t="shared" si="34"/>
        <v>230</v>
      </c>
      <c r="G13" s="192">
        <f t="shared" si="16"/>
        <v>4948.7096774193551</v>
      </c>
      <c r="H13" s="192">
        <f t="shared" si="35"/>
        <v>230</v>
      </c>
      <c r="I13" s="192">
        <f t="shared" si="17"/>
        <v>4948.7096774193551</v>
      </c>
      <c r="J13" s="192">
        <f t="shared" si="36"/>
        <v>230</v>
      </c>
      <c r="K13" s="192">
        <f t="shared" si="18"/>
        <v>4948.7096774193551</v>
      </c>
      <c r="L13" s="192">
        <f t="shared" si="37"/>
        <v>230</v>
      </c>
      <c r="M13" s="192">
        <f t="shared" si="19"/>
        <v>4948.7096774193551</v>
      </c>
      <c r="N13" s="192">
        <f t="shared" si="38"/>
        <v>230</v>
      </c>
      <c r="O13" s="192">
        <f t="shared" si="20"/>
        <v>4948.7096774193551</v>
      </c>
      <c r="P13" s="192">
        <f t="shared" si="39"/>
        <v>230</v>
      </c>
      <c r="Q13" s="192">
        <f t="shared" si="21"/>
        <v>4948.7096774193551</v>
      </c>
      <c r="R13" s="192">
        <f t="shared" si="40"/>
        <v>230</v>
      </c>
      <c r="S13" s="192">
        <f t="shared" si="22"/>
        <v>4948.7096774193551</v>
      </c>
      <c r="T13" s="192">
        <f t="shared" si="41"/>
        <v>230</v>
      </c>
      <c r="U13" s="192">
        <f t="shared" si="23"/>
        <v>4948.7096774193551</v>
      </c>
      <c r="V13" s="192">
        <f t="shared" si="42"/>
        <v>230</v>
      </c>
      <c r="W13" s="192">
        <f t="shared" si="24"/>
        <v>4948.7096774193551</v>
      </c>
      <c r="X13" s="34">
        <f t="shared" si="43"/>
        <v>0.74193548387096786</v>
      </c>
      <c r="Y13" s="35">
        <f t="shared" si="44"/>
        <v>54435.806451612909</v>
      </c>
      <c r="Z13" s="440">
        <f>'B5'!C12</f>
        <v>236</v>
      </c>
      <c r="AA13" s="192">
        <f t="shared" si="45"/>
        <v>2360</v>
      </c>
      <c r="AB13" s="192">
        <f t="shared" si="46"/>
        <v>236</v>
      </c>
      <c r="AC13" s="192">
        <f t="shared" si="45"/>
        <v>2360</v>
      </c>
      <c r="AD13" s="192">
        <f t="shared" si="47"/>
        <v>236</v>
      </c>
      <c r="AE13" s="192">
        <f t="shared" si="25"/>
        <v>2360</v>
      </c>
      <c r="AF13" s="192">
        <f t="shared" si="48"/>
        <v>236</v>
      </c>
      <c r="AG13" s="192">
        <f t="shared" si="26"/>
        <v>2360</v>
      </c>
      <c r="AH13" s="192">
        <f t="shared" si="49"/>
        <v>236</v>
      </c>
      <c r="AI13" s="192">
        <f t="shared" si="27"/>
        <v>2360</v>
      </c>
      <c r="AJ13" s="192">
        <f t="shared" si="50"/>
        <v>236</v>
      </c>
      <c r="AK13" s="192">
        <f t="shared" si="28"/>
        <v>2360</v>
      </c>
      <c r="AL13" s="192">
        <f t="shared" si="51"/>
        <v>236</v>
      </c>
      <c r="AM13" s="192">
        <f t="shared" si="29"/>
        <v>2360</v>
      </c>
      <c r="AN13" s="34">
        <f t="shared" si="30"/>
        <v>0.84285714285714286</v>
      </c>
      <c r="AO13" s="35">
        <f t="shared" si="54"/>
        <v>16520</v>
      </c>
      <c r="AP13" s="458"/>
      <c r="AQ13" s="208">
        <f t="shared" si="55"/>
        <v>0.76321185814362602</v>
      </c>
      <c r="AR13" s="37">
        <f>Y13+AO13</f>
        <v>70955.806451612909</v>
      </c>
      <c r="AS13" s="186">
        <f>SUM(AR13-AR12-AT13)</f>
        <v>-920.03225806451519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-740.03225806451519</v>
      </c>
      <c r="AY13" s="36">
        <f t="shared" si="52"/>
        <v>-920.03225806451519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-148.00645161290305</v>
      </c>
      <c r="BK13" s="469">
        <f>GEN!AF10</f>
        <v>0.12302083333338487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-613.35483870966709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-336.85483870966709</v>
      </c>
      <c r="AY14" s="36">
        <f t="shared" si="52"/>
        <v>-613.35483870966709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-112.2849462365557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16</v>
      </c>
      <c r="BB15" s="193">
        <f>SUM('General information '!E14)</f>
        <v>0.44</v>
      </c>
      <c r="BC15" s="3">
        <f t="shared" si="59"/>
        <v>0</v>
      </c>
      <c r="BD15" s="98">
        <v>19222</v>
      </c>
      <c r="BE15" s="14">
        <f>(305/1185)*ELEC!Q14</f>
        <v>375.00843881911976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222</v>
      </c>
      <c r="C16" s="192">
        <f t="shared" si="32"/>
        <v>4776.5806451612898</v>
      </c>
      <c r="D16">
        <f t="shared" si="33"/>
        <v>222</v>
      </c>
      <c r="E16" s="192">
        <f t="shared" si="32"/>
        <v>4776.5806451612898</v>
      </c>
      <c r="F16">
        <f t="shared" si="34"/>
        <v>222</v>
      </c>
      <c r="G16" s="192">
        <f t="shared" si="16"/>
        <v>4776.5806451612898</v>
      </c>
      <c r="H16" s="192">
        <f t="shared" si="35"/>
        <v>222</v>
      </c>
      <c r="I16" s="192">
        <f t="shared" si="17"/>
        <v>4776.5806451612898</v>
      </c>
      <c r="J16" s="192">
        <f t="shared" si="36"/>
        <v>222</v>
      </c>
      <c r="K16" s="192">
        <f t="shared" si="18"/>
        <v>4776.5806451612898</v>
      </c>
      <c r="L16" s="192">
        <f t="shared" si="37"/>
        <v>222</v>
      </c>
      <c r="M16" s="192">
        <f t="shared" si="19"/>
        <v>4776.5806451612898</v>
      </c>
      <c r="N16" s="192">
        <f t="shared" si="38"/>
        <v>222</v>
      </c>
      <c r="O16" s="192">
        <f t="shared" si="20"/>
        <v>4776.5806451612898</v>
      </c>
      <c r="P16" s="192">
        <f t="shared" si="39"/>
        <v>222</v>
      </c>
      <c r="Q16" s="192">
        <f t="shared" si="21"/>
        <v>4776.5806451612898</v>
      </c>
      <c r="R16" s="192">
        <f t="shared" si="40"/>
        <v>222</v>
      </c>
      <c r="S16" s="192">
        <f t="shared" si="22"/>
        <v>4776.5806451612898</v>
      </c>
      <c r="T16" s="192">
        <f t="shared" si="41"/>
        <v>222</v>
      </c>
      <c r="U16" s="192">
        <f t="shared" si="23"/>
        <v>4776.5806451612898</v>
      </c>
      <c r="V16" s="192">
        <f t="shared" si="42"/>
        <v>222</v>
      </c>
      <c r="W16" s="192">
        <f t="shared" si="24"/>
        <v>4776.5806451612898</v>
      </c>
      <c r="X16" s="34">
        <f t="shared" si="43"/>
        <v>0.71612903225806424</v>
      </c>
      <c r="Y16" s="35">
        <f t="shared" si="44"/>
        <v>52542.387096774175</v>
      </c>
      <c r="Z16" s="440">
        <f>'B5'!C15</f>
        <v>228</v>
      </c>
      <c r="AA16" s="192">
        <f t="shared" si="45"/>
        <v>2280</v>
      </c>
      <c r="AB16" s="192">
        <f t="shared" si="46"/>
        <v>228</v>
      </c>
      <c r="AC16" s="192">
        <f t="shared" si="45"/>
        <v>2280</v>
      </c>
      <c r="AD16" s="192">
        <f t="shared" si="47"/>
        <v>228</v>
      </c>
      <c r="AE16" s="192">
        <f t="shared" si="25"/>
        <v>2280</v>
      </c>
      <c r="AF16" s="192">
        <f t="shared" si="48"/>
        <v>228</v>
      </c>
      <c r="AG16" s="192">
        <f t="shared" si="26"/>
        <v>2280</v>
      </c>
      <c r="AH16" s="192">
        <f t="shared" si="49"/>
        <v>228</v>
      </c>
      <c r="AI16" s="192">
        <f t="shared" si="27"/>
        <v>2280</v>
      </c>
      <c r="AJ16" s="192">
        <f t="shared" si="50"/>
        <v>228</v>
      </c>
      <c r="AK16" s="192">
        <f t="shared" si="28"/>
        <v>2280</v>
      </c>
      <c r="AL16" s="192">
        <f t="shared" si="51"/>
        <v>228</v>
      </c>
      <c r="AM16" s="192">
        <f t="shared" si="29"/>
        <v>2280</v>
      </c>
      <c r="AN16" s="34">
        <f t="shared" si="30"/>
        <v>0.81428571428571428</v>
      </c>
      <c r="AO16" s="35">
        <f t="shared" si="54"/>
        <v>15960</v>
      </c>
      <c r="AQ16" s="208">
        <f t="shared" si="55"/>
        <v>0.73682249216708817</v>
      </c>
      <c r="AR16" s="37">
        <f>Y16+AO16</f>
        <v>68502.387096774182</v>
      </c>
      <c r="AS16" s="186">
        <f>SUM(AR16-AR15-AT16)</f>
        <v>-920.03225806451519</v>
      </c>
      <c r="AT16" s="303"/>
      <c r="AU16" s="475"/>
      <c r="AV16" s="432">
        <f t="shared" ref="AV16" si="60">IF(AT16&gt;0,AU16,AV15)</f>
        <v>0.89</v>
      </c>
      <c r="AW16" s="251">
        <f>-SUM('B5'!AI15)</f>
        <v>-205</v>
      </c>
      <c r="AX16" s="251">
        <f t="shared" si="31"/>
        <v>-715.03225806451519</v>
      </c>
      <c r="AY16" s="36">
        <f t="shared" si="52"/>
        <v>-920.03225806451519</v>
      </c>
      <c r="AZ16" s="96">
        <f>ELEC!A14</f>
        <v>0</v>
      </c>
      <c r="BA16" s="114">
        <f>'General information '!D15</f>
        <v>16</v>
      </c>
      <c r="BB16" s="193">
        <f>SUM('General information '!E15)</f>
        <v>0.49</v>
      </c>
      <c r="BC16" s="3">
        <f t="shared" si="59"/>
        <v>0</v>
      </c>
      <c r="BD16" s="98">
        <v>19222</v>
      </c>
      <c r="BE16" s="14">
        <f>(305/1185)*ELEC!Q15</f>
        <v>834.18143459868429</v>
      </c>
      <c r="BF16" s="14"/>
      <c r="BG16" s="14" t="e">
        <f>#REF!-BE16</f>
        <v>#REF!</v>
      </c>
      <c r="BH16" s="11"/>
      <c r="BI16">
        <v>3</v>
      </c>
      <c r="BJ16">
        <f t="shared" si="53"/>
        <v>-238.34408602150506</v>
      </c>
      <c r="BK16" s="469">
        <f>GEN!AF13</f>
        <v>0.10118055555570513</v>
      </c>
    </row>
    <row r="17" spans="1:64">
      <c r="A17" s="379">
        <f>ELEC!C15</f>
        <v>44938</v>
      </c>
      <c r="B17" s="440">
        <f>'B5'!B16</f>
        <v>217.5</v>
      </c>
      <c r="C17" s="192">
        <f t="shared" si="32"/>
        <v>4679.7580645161288</v>
      </c>
      <c r="D17">
        <f t="shared" si="33"/>
        <v>217.5</v>
      </c>
      <c r="E17" s="192">
        <f t="shared" si="32"/>
        <v>4679.7580645161288</v>
      </c>
      <c r="F17">
        <f t="shared" si="34"/>
        <v>217.5</v>
      </c>
      <c r="G17" s="192">
        <f t="shared" si="16"/>
        <v>4679.7580645161288</v>
      </c>
      <c r="H17" s="192">
        <f t="shared" si="35"/>
        <v>217.5</v>
      </c>
      <c r="I17" s="192">
        <f t="shared" si="17"/>
        <v>4679.7580645161288</v>
      </c>
      <c r="J17" s="192">
        <f t="shared" si="36"/>
        <v>217.5</v>
      </c>
      <c r="K17" s="192">
        <f t="shared" si="18"/>
        <v>4679.7580645161288</v>
      </c>
      <c r="L17" s="192">
        <f t="shared" si="37"/>
        <v>217.5</v>
      </c>
      <c r="M17" s="192">
        <f t="shared" si="19"/>
        <v>4679.7580645161288</v>
      </c>
      <c r="N17" s="192">
        <f t="shared" si="38"/>
        <v>217.5</v>
      </c>
      <c r="O17" s="192">
        <f t="shared" si="20"/>
        <v>4679.7580645161288</v>
      </c>
      <c r="P17" s="192">
        <f t="shared" si="39"/>
        <v>217.5</v>
      </c>
      <c r="Q17" s="192">
        <f t="shared" si="21"/>
        <v>4679.7580645161288</v>
      </c>
      <c r="R17" s="192">
        <f t="shared" si="40"/>
        <v>217.5</v>
      </c>
      <c r="S17" s="192">
        <f t="shared" si="22"/>
        <v>4679.7580645161288</v>
      </c>
      <c r="T17" s="192">
        <f t="shared" si="41"/>
        <v>217.5</v>
      </c>
      <c r="U17" s="192">
        <f t="shared" si="23"/>
        <v>4679.7580645161288</v>
      </c>
      <c r="V17" s="192">
        <f t="shared" si="42"/>
        <v>217.5</v>
      </c>
      <c r="W17" s="192">
        <f t="shared" si="24"/>
        <v>4679.7580645161288</v>
      </c>
      <c r="X17" s="34">
        <f t="shared" si="43"/>
        <v>0.70161290322580638</v>
      </c>
      <c r="Y17" s="35">
        <f t="shared" si="44"/>
        <v>51477.338709677417</v>
      </c>
      <c r="Z17" s="440">
        <f>'B5'!C16</f>
        <v>223.5</v>
      </c>
      <c r="AA17" s="192">
        <f t="shared" si="45"/>
        <v>2235</v>
      </c>
      <c r="AB17" s="192">
        <f t="shared" si="46"/>
        <v>223.5</v>
      </c>
      <c r="AC17" s="192">
        <f t="shared" si="45"/>
        <v>2235</v>
      </c>
      <c r="AD17" s="192">
        <f t="shared" si="47"/>
        <v>223.5</v>
      </c>
      <c r="AE17" s="192">
        <f t="shared" si="25"/>
        <v>2235</v>
      </c>
      <c r="AF17" s="192">
        <f t="shared" si="48"/>
        <v>223.5</v>
      </c>
      <c r="AG17" s="192">
        <f t="shared" si="26"/>
        <v>2235</v>
      </c>
      <c r="AH17" s="192">
        <f t="shared" si="49"/>
        <v>223.5</v>
      </c>
      <c r="AI17" s="192">
        <f t="shared" si="27"/>
        <v>2235</v>
      </c>
      <c r="AJ17" s="192">
        <f t="shared" si="50"/>
        <v>223.5</v>
      </c>
      <c r="AK17" s="192">
        <f t="shared" si="28"/>
        <v>2235</v>
      </c>
      <c r="AL17" s="192">
        <f t="shared" si="51"/>
        <v>223.5</v>
      </c>
      <c r="AM17" s="192">
        <f t="shared" si="29"/>
        <v>2235</v>
      </c>
      <c r="AN17" s="34">
        <f t="shared" si="30"/>
        <v>0.79821428571428577</v>
      </c>
      <c r="AO17" s="35">
        <f>SUM(AA17+AC17+AE17+AG17+AI17+AK17+AM17)</f>
        <v>15645</v>
      </c>
      <c r="AQ17" s="208">
        <f t="shared" si="55"/>
        <v>0.72197847380528579</v>
      </c>
      <c r="AR17" s="37">
        <f t="shared" si="56"/>
        <v>67122.338709677424</v>
      </c>
      <c r="AS17" s="186">
        <f t="shared" si="57"/>
        <v>-1380.0483870967582</v>
      </c>
      <c r="AT17" s="303"/>
      <c r="AU17" s="475"/>
      <c r="AV17" s="432">
        <f>IF(AT17&gt;0,AU17,AV16)</f>
        <v>0.89</v>
      </c>
      <c r="AW17" s="251">
        <f>-SUM('B5'!AI16)</f>
        <v>-141.5</v>
      </c>
      <c r="AX17" s="251">
        <f t="shared" si="31"/>
        <v>-1238.5483870967582</v>
      </c>
      <c r="AY17" s="36">
        <f t="shared" si="52"/>
        <v>-1380.0483870967582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-309.63709677418956</v>
      </c>
      <c r="BK17" s="469">
        <f>GEN!AF14</f>
        <v>0.14468749999991815</v>
      </c>
    </row>
    <row r="18" spans="1:64">
      <c r="A18" s="379">
        <f>ELEC!C16</f>
        <v>44939</v>
      </c>
      <c r="B18" s="440">
        <f>'B5'!B17</f>
        <v>217.5</v>
      </c>
      <c r="C18" s="192">
        <f t="shared" si="32"/>
        <v>4679.7580645161288</v>
      </c>
      <c r="D18">
        <f t="shared" si="33"/>
        <v>217.5</v>
      </c>
      <c r="E18" s="192">
        <f t="shared" si="32"/>
        <v>4679.7580645161288</v>
      </c>
      <c r="F18">
        <f t="shared" si="34"/>
        <v>217.5</v>
      </c>
      <c r="G18" s="192">
        <f t="shared" si="16"/>
        <v>4679.7580645161288</v>
      </c>
      <c r="H18" s="192">
        <f t="shared" si="35"/>
        <v>217.5</v>
      </c>
      <c r="I18" s="192">
        <f t="shared" si="17"/>
        <v>4679.7580645161288</v>
      </c>
      <c r="J18" s="192">
        <f t="shared" si="36"/>
        <v>217.5</v>
      </c>
      <c r="K18" s="192">
        <f t="shared" si="18"/>
        <v>4679.7580645161288</v>
      </c>
      <c r="L18" s="192">
        <f t="shared" si="37"/>
        <v>217.5</v>
      </c>
      <c r="M18" s="192">
        <f t="shared" si="19"/>
        <v>4679.7580645161288</v>
      </c>
      <c r="N18" s="192">
        <f t="shared" si="38"/>
        <v>217.5</v>
      </c>
      <c r="O18" s="192">
        <f t="shared" si="20"/>
        <v>4679.7580645161288</v>
      </c>
      <c r="P18" s="192">
        <f t="shared" si="39"/>
        <v>217.5</v>
      </c>
      <c r="Q18" s="192">
        <f t="shared" si="21"/>
        <v>4679.7580645161288</v>
      </c>
      <c r="R18" s="192">
        <f t="shared" si="40"/>
        <v>217.5</v>
      </c>
      <c r="S18" s="192">
        <f t="shared" si="22"/>
        <v>4679.7580645161288</v>
      </c>
      <c r="T18" s="192">
        <f t="shared" si="41"/>
        <v>217.5</v>
      </c>
      <c r="U18" s="192">
        <f t="shared" si="23"/>
        <v>4679.7580645161288</v>
      </c>
      <c r="V18" s="192">
        <f t="shared" si="42"/>
        <v>217.5</v>
      </c>
      <c r="W18" s="192">
        <f t="shared" si="24"/>
        <v>4679.7580645161288</v>
      </c>
      <c r="X18" s="34">
        <f t="shared" si="43"/>
        <v>0.70161290322580638</v>
      </c>
      <c r="Y18" s="35">
        <f t="shared" si="44"/>
        <v>51477.338709677417</v>
      </c>
      <c r="Z18" s="440">
        <f>'B5'!C17</f>
        <v>223.5</v>
      </c>
      <c r="AA18" s="192">
        <f t="shared" si="45"/>
        <v>2235</v>
      </c>
      <c r="AB18" s="192">
        <f t="shared" si="46"/>
        <v>223.5</v>
      </c>
      <c r="AC18" s="192">
        <f t="shared" si="45"/>
        <v>2235</v>
      </c>
      <c r="AD18" s="192">
        <f t="shared" si="47"/>
        <v>223.5</v>
      </c>
      <c r="AE18" s="192">
        <f t="shared" si="25"/>
        <v>2235</v>
      </c>
      <c r="AF18" s="192">
        <f t="shared" si="48"/>
        <v>223.5</v>
      </c>
      <c r="AG18" s="192">
        <f t="shared" si="26"/>
        <v>2235</v>
      </c>
      <c r="AH18" s="192">
        <f t="shared" si="49"/>
        <v>223.5</v>
      </c>
      <c r="AI18" s="192">
        <f t="shared" si="27"/>
        <v>2235</v>
      </c>
      <c r="AJ18" s="192">
        <f t="shared" si="50"/>
        <v>223.5</v>
      </c>
      <c r="AK18" s="192">
        <f t="shared" si="28"/>
        <v>2235</v>
      </c>
      <c r="AL18" s="192">
        <f t="shared" si="51"/>
        <v>223.5</v>
      </c>
      <c r="AM18" s="192">
        <f t="shared" si="29"/>
        <v>2235</v>
      </c>
      <c r="AN18" s="34">
        <f t="shared" si="30"/>
        <v>0.79821428571428577</v>
      </c>
      <c r="AO18" s="35">
        <f t="shared" si="54"/>
        <v>15645</v>
      </c>
      <c r="AQ18" s="208">
        <f t="shared" si="55"/>
        <v>0.72197847380528579</v>
      </c>
      <c r="AR18" s="37">
        <f t="shared" si="56"/>
        <v>67122.338709677424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217.5</v>
      </c>
      <c r="C19" s="192">
        <f t="shared" si="32"/>
        <v>4679.7580645161288</v>
      </c>
      <c r="D19">
        <f t="shared" si="33"/>
        <v>217.5</v>
      </c>
      <c r="E19" s="192">
        <f t="shared" si="32"/>
        <v>4679.7580645161288</v>
      </c>
      <c r="F19">
        <f t="shared" si="34"/>
        <v>217.5</v>
      </c>
      <c r="G19" s="192">
        <f t="shared" si="16"/>
        <v>4679.7580645161288</v>
      </c>
      <c r="H19" s="192">
        <f t="shared" si="35"/>
        <v>217.5</v>
      </c>
      <c r="I19" s="192">
        <f t="shared" si="17"/>
        <v>4679.7580645161288</v>
      </c>
      <c r="J19" s="192">
        <f t="shared" si="36"/>
        <v>217.5</v>
      </c>
      <c r="K19" s="192">
        <f t="shared" si="18"/>
        <v>4679.7580645161288</v>
      </c>
      <c r="L19" s="192">
        <f t="shared" si="37"/>
        <v>217.5</v>
      </c>
      <c r="M19" s="192">
        <f t="shared" si="19"/>
        <v>4679.7580645161288</v>
      </c>
      <c r="N19" s="192">
        <f t="shared" si="38"/>
        <v>217.5</v>
      </c>
      <c r="O19" s="192">
        <f t="shared" si="20"/>
        <v>4679.7580645161288</v>
      </c>
      <c r="P19" s="192">
        <f t="shared" si="39"/>
        <v>217.5</v>
      </c>
      <c r="Q19" s="192">
        <f t="shared" si="21"/>
        <v>4679.7580645161288</v>
      </c>
      <c r="R19" s="192">
        <f t="shared" si="40"/>
        <v>217.5</v>
      </c>
      <c r="S19" s="192">
        <f t="shared" si="22"/>
        <v>4679.7580645161288</v>
      </c>
      <c r="T19" s="192">
        <f t="shared" si="41"/>
        <v>217.5</v>
      </c>
      <c r="U19" s="192">
        <f t="shared" si="23"/>
        <v>4679.7580645161288</v>
      </c>
      <c r="V19" s="192">
        <f t="shared" si="42"/>
        <v>217.5</v>
      </c>
      <c r="W19" s="192">
        <f t="shared" si="24"/>
        <v>4679.7580645161288</v>
      </c>
      <c r="X19" s="34">
        <f t="shared" si="43"/>
        <v>0.70161290322580638</v>
      </c>
      <c r="Y19" s="35">
        <f t="shared" si="44"/>
        <v>51477.338709677417</v>
      </c>
      <c r="Z19" s="440">
        <f>'B5'!C18</f>
        <v>223.5</v>
      </c>
      <c r="AA19" s="192">
        <f t="shared" si="45"/>
        <v>2235</v>
      </c>
      <c r="AB19" s="192">
        <f t="shared" si="46"/>
        <v>223.5</v>
      </c>
      <c r="AC19" s="192">
        <f t="shared" si="45"/>
        <v>2235</v>
      </c>
      <c r="AD19" s="192">
        <f t="shared" si="47"/>
        <v>223.5</v>
      </c>
      <c r="AE19" s="192">
        <f t="shared" si="25"/>
        <v>2235</v>
      </c>
      <c r="AF19" s="192">
        <f t="shared" si="48"/>
        <v>223.5</v>
      </c>
      <c r="AG19" s="192">
        <f t="shared" si="26"/>
        <v>2235</v>
      </c>
      <c r="AH19" s="192">
        <f t="shared" si="49"/>
        <v>223.5</v>
      </c>
      <c r="AI19" s="192">
        <f t="shared" si="27"/>
        <v>2235</v>
      </c>
      <c r="AJ19" s="192">
        <f t="shared" si="50"/>
        <v>223.5</v>
      </c>
      <c r="AK19" s="192">
        <f t="shared" si="28"/>
        <v>2235</v>
      </c>
      <c r="AL19" s="192">
        <f t="shared" si="51"/>
        <v>223.5</v>
      </c>
      <c r="AM19" s="192">
        <f t="shared" si="29"/>
        <v>2235</v>
      </c>
      <c r="AN19" s="34">
        <f t="shared" si="30"/>
        <v>0.79821428571428577</v>
      </c>
      <c r="AO19" s="35">
        <f t="shared" si="54"/>
        <v>15645</v>
      </c>
      <c r="AQ19" s="208">
        <f t="shared" si="55"/>
        <v>0.72197847380528579</v>
      </c>
      <c r="AR19" s="37">
        <f t="shared" si="56"/>
        <v>67122.338709677424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15.5</v>
      </c>
      <c r="BB19" s="193">
        <f>SUM('General information '!E18)</f>
        <v>0.63</v>
      </c>
      <c r="BC19" s="3">
        <f t="shared" si="59"/>
        <v>0</v>
      </c>
      <c r="BD19" s="98">
        <v>19222</v>
      </c>
      <c r="BE19" s="14">
        <f>(305/1185)*ELEC!Q18</f>
        <v>1054.2447257387487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232</v>
      </c>
      <c r="C20" s="192">
        <f t="shared" si="32"/>
        <v>4991.7419354838712</v>
      </c>
      <c r="D20">
        <f t="shared" si="33"/>
        <v>232</v>
      </c>
      <c r="E20" s="192">
        <f t="shared" si="32"/>
        <v>4991.7419354838712</v>
      </c>
      <c r="F20">
        <f t="shared" si="34"/>
        <v>232</v>
      </c>
      <c r="G20" s="192">
        <f t="shared" si="16"/>
        <v>4991.7419354838712</v>
      </c>
      <c r="H20" s="192">
        <f t="shared" si="35"/>
        <v>232</v>
      </c>
      <c r="I20" s="192">
        <f t="shared" si="17"/>
        <v>4991.7419354838712</v>
      </c>
      <c r="J20" s="192">
        <f t="shared" si="36"/>
        <v>232</v>
      </c>
      <c r="K20" s="192">
        <f t="shared" si="18"/>
        <v>4991.7419354838712</v>
      </c>
      <c r="L20" s="192">
        <f t="shared" si="37"/>
        <v>232</v>
      </c>
      <c r="M20" s="192">
        <f t="shared" si="19"/>
        <v>4991.7419354838712</v>
      </c>
      <c r="N20" s="192">
        <f t="shared" si="38"/>
        <v>232</v>
      </c>
      <c r="O20" s="192">
        <f t="shared" si="20"/>
        <v>4991.7419354838712</v>
      </c>
      <c r="P20" s="192">
        <f t="shared" si="39"/>
        <v>232</v>
      </c>
      <c r="Q20" s="192">
        <f t="shared" si="21"/>
        <v>4991.7419354838712</v>
      </c>
      <c r="R20" s="192">
        <f t="shared" si="40"/>
        <v>232</v>
      </c>
      <c r="S20" s="192">
        <f t="shared" si="22"/>
        <v>4991.7419354838712</v>
      </c>
      <c r="T20" s="192">
        <f t="shared" si="41"/>
        <v>232</v>
      </c>
      <c r="U20" s="192">
        <f t="shared" si="23"/>
        <v>4991.7419354838712</v>
      </c>
      <c r="V20" s="192">
        <f t="shared" si="42"/>
        <v>232</v>
      </c>
      <c r="W20" s="192">
        <f t="shared" si="24"/>
        <v>4991.7419354838712</v>
      </c>
      <c r="X20" s="34">
        <f t="shared" si="43"/>
        <v>0.74838709677419357</v>
      </c>
      <c r="Y20" s="35">
        <f t="shared" si="44"/>
        <v>54909.161290322583</v>
      </c>
      <c r="Z20" s="440">
        <f>'B5'!C19</f>
        <v>239</v>
      </c>
      <c r="AA20" s="192">
        <f t="shared" si="45"/>
        <v>2390</v>
      </c>
      <c r="AB20" s="192">
        <f t="shared" si="46"/>
        <v>239</v>
      </c>
      <c r="AC20" s="192">
        <f t="shared" si="45"/>
        <v>2390</v>
      </c>
      <c r="AD20" s="192">
        <f t="shared" si="47"/>
        <v>239</v>
      </c>
      <c r="AE20" s="192">
        <f t="shared" si="25"/>
        <v>2390</v>
      </c>
      <c r="AF20" s="192">
        <f t="shared" si="48"/>
        <v>239</v>
      </c>
      <c r="AG20" s="192">
        <f t="shared" si="26"/>
        <v>2390</v>
      </c>
      <c r="AH20" s="192">
        <f t="shared" si="49"/>
        <v>239</v>
      </c>
      <c r="AI20" s="192">
        <f t="shared" si="27"/>
        <v>2390</v>
      </c>
      <c r="AJ20" s="192">
        <f t="shared" si="50"/>
        <v>239</v>
      </c>
      <c r="AK20" s="192">
        <f t="shared" si="28"/>
        <v>2390</v>
      </c>
      <c r="AL20" s="192">
        <f t="shared" si="51"/>
        <v>239</v>
      </c>
      <c r="AM20" s="192">
        <f t="shared" si="29"/>
        <v>2390</v>
      </c>
      <c r="AN20" s="34">
        <f t="shared" si="30"/>
        <v>0.85357142857142854</v>
      </c>
      <c r="AO20" s="35">
        <f t="shared" si="54"/>
        <v>16730</v>
      </c>
      <c r="AQ20" s="208">
        <f t="shared" si="55"/>
        <v>0.77056213069078816</v>
      </c>
      <c r="AR20" s="37">
        <f t="shared" si="56"/>
        <v>71639.161290322576</v>
      </c>
      <c r="AS20" s="186">
        <f t="shared" si="57"/>
        <v>-1013.1774193548481</v>
      </c>
      <c r="AT20" s="303">
        <v>5530</v>
      </c>
      <c r="AU20" s="475">
        <v>0.86799999999999999</v>
      </c>
      <c r="AV20" s="432">
        <f t="shared" si="62"/>
        <v>0.86799999999999999</v>
      </c>
      <c r="AW20" s="251">
        <f>-SUM('B5'!AI19)</f>
        <v>-258</v>
      </c>
      <c r="AX20" s="251">
        <f>-SUM(AW20-AS20)</f>
        <v>-755.1774193548481</v>
      </c>
      <c r="AY20" s="36">
        <f t="shared" si="52"/>
        <v>-1013.1774193548481</v>
      </c>
      <c r="AZ20" s="96">
        <f>ELEC!A18</f>
        <v>0</v>
      </c>
      <c r="BA20" s="114">
        <f>'General information '!D19</f>
        <v>15.5</v>
      </c>
      <c r="BB20" s="193">
        <f>SUM('General information '!E19)</f>
        <v>0.7</v>
      </c>
      <c r="BC20" s="3">
        <f t="shared" si="59"/>
        <v>1</v>
      </c>
      <c r="BD20" s="98">
        <v>19222</v>
      </c>
      <c r="BE20" s="14">
        <f>(305/1185)*ELEC!Q19</f>
        <v>857.60337552704425</v>
      </c>
      <c r="BF20" s="14"/>
      <c r="BG20" s="14" t="e">
        <f>#REF!-BE20</f>
        <v>#REF!</v>
      </c>
      <c r="BH20" s="11"/>
      <c r="BI20">
        <v>7</v>
      </c>
      <c r="BJ20">
        <f t="shared" si="61"/>
        <v>-107.88248847926401</v>
      </c>
      <c r="BK20" s="469">
        <f>GEN!AF17</f>
        <v>0.18285714285720392</v>
      </c>
      <c r="BL20" s="192"/>
    </row>
    <row r="21" spans="1:64">
      <c r="A21" s="379">
        <f>ELEC!C19</f>
        <v>44942</v>
      </c>
      <c r="B21" s="440">
        <f>'B5'!B20</f>
        <v>229</v>
      </c>
      <c r="C21" s="192">
        <f t="shared" si="32"/>
        <v>4927.1935483870966</v>
      </c>
      <c r="D21">
        <f t="shared" si="33"/>
        <v>229</v>
      </c>
      <c r="E21" s="192">
        <f t="shared" si="32"/>
        <v>4927.1935483870966</v>
      </c>
      <c r="F21">
        <f t="shared" si="34"/>
        <v>229</v>
      </c>
      <c r="G21" s="192">
        <f t="shared" si="16"/>
        <v>4927.1935483870966</v>
      </c>
      <c r="H21" s="192">
        <f t="shared" si="35"/>
        <v>229</v>
      </c>
      <c r="I21" s="192">
        <f t="shared" si="17"/>
        <v>4927.1935483870966</v>
      </c>
      <c r="J21" s="192">
        <f t="shared" si="36"/>
        <v>229</v>
      </c>
      <c r="K21" s="192">
        <f t="shared" si="18"/>
        <v>4927.1935483870966</v>
      </c>
      <c r="L21" s="192">
        <f t="shared" si="37"/>
        <v>229</v>
      </c>
      <c r="M21" s="192">
        <f t="shared" si="19"/>
        <v>4927.1935483870966</v>
      </c>
      <c r="N21" s="192">
        <f t="shared" si="38"/>
        <v>229</v>
      </c>
      <c r="O21" s="192">
        <f t="shared" si="20"/>
        <v>4927.1935483870966</v>
      </c>
      <c r="P21" s="192">
        <f t="shared" si="39"/>
        <v>229</v>
      </c>
      <c r="Q21" s="192">
        <f t="shared" si="21"/>
        <v>4927.1935483870966</v>
      </c>
      <c r="R21" s="192">
        <f t="shared" si="40"/>
        <v>229</v>
      </c>
      <c r="S21" s="192">
        <f t="shared" si="22"/>
        <v>4927.1935483870966</v>
      </c>
      <c r="T21" s="192">
        <f t="shared" si="41"/>
        <v>229</v>
      </c>
      <c r="U21" s="192">
        <f t="shared" si="23"/>
        <v>4927.1935483870966</v>
      </c>
      <c r="V21" s="192">
        <f t="shared" si="42"/>
        <v>229</v>
      </c>
      <c r="W21" s="192">
        <f t="shared" si="24"/>
        <v>4927.1935483870966</v>
      </c>
      <c r="X21" s="34">
        <f t="shared" si="43"/>
        <v>0.738709677419355</v>
      </c>
      <c r="Y21" s="35">
        <f t="shared" si="44"/>
        <v>54199.129032258075</v>
      </c>
      <c r="Z21" s="440">
        <f>'B5'!C20</f>
        <v>235</v>
      </c>
      <c r="AA21" s="192">
        <f t="shared" si="45"/>
        <v>2350</v>
      </c>
      <c r="AB21" s="192">
        <f t="shared" si="46"/>
        <v>235</v>
      </c>
      <c r="AC21" s="192">
        <f t="shared" si="45"/>
        <v>2350</v>
      </c>
      <c r="AD21" s="192">
        <f t="shared" si="47"/>
        <v>235</v>
      </c>
      <c r="AE21" s="192">
        <f t="shared" si="25"/>
        <v>2350</v>
      </c>
      <c r="AF21" s="192">
        <f t="shared" si="48"/>
        <v>235</v>
      </c>
      <c r="AG21" s="192">
        <f t="shared" si="26"/>
        <v>2350</v>
      </c>
      <c r="AH21" s="192">
        <f t="shared" si="49"/>
        <v>235</v>
      </c>
      <c r="AI21" s="192">
        <f t="shared" si="27"/>
        <v>2350</v>
      </c>
      <c r="AJ21" s="192">
        <f t="shared" si="50"/>
        <v>235</v>
      </c>
      <c r="AK21" s="192">
        <f t="shared" si="28"/>
        <v>2350</v>
      </c>
      <c r="AL21" s="192">
        <f t="shared" si="51"/>
        <v>235</v>
      </c>
      <c r="AM21" s="192">
        <f t="shared" si="29"/>
        <v>2350</v>
      </c>
      <c r="AN21" s="34">
        <f t="shared" si="30"/>
        <v>0.8392857142857143</v>
      </c>
      <c r="AO21" s="35">
        <f t="shared" si="54"/>
        <v>16450</v>
      </c>
      <c r="AQ21" s="208">
        <f t="shared" si="55"/>
        <v>0.75991318739655889</v>
      </c>
      <c r="AR21" s="37">
        <f t="shared" si="56"/>
        <v>70649.129032258075</v>
      </c>
      <c r="AS21" s="186">
        <f>SUM(AR21-AR20-AT21)</f>
        <v>-990.03225806450064</v>
      </c>
      <c r="AT21" s="303"/>
      <c r="AU21" s="475"/>
      <c r="AV21" s="432">
        <f t="shared" si="62"/>
        <v>0.86799999999999999</v>
      </c>
      <c r="AW21" s="251">
        <f>-SUM('B5'!AI20)</f>
        <v>-182</v>
      </c>
      <c r="AX21" s="251">
        <f t="shared" si="31"/>
        <v>-808.03225806450064</v>
      </c>
      <c r="AY21" s="36">
        <f t="shared" si="52"/>
        <v>-990.03225806450064</v>
      </c>
      <c r="AZ21" s="96">
        <f>ELEC!A19</f>
        <v>0</v>
      </c>
      <c r="BA21" s="114">
        <f>'General information '!D20</f>
        <v>16</v>
      </c>
      <c r="BB21" s="193">
        <f>SUM('General information '!E20)</f>
        <v>0.7</v>
      </c>
      <c r="BC21" s="3">
        <f t="shared" si="59"/>
        <v>0</v>
      </c>
      <c r="BD21" s="98">
        <v>19222</v>
      </c>
      <c r="BE21" s="14">
        <f>(305/1185)*ELEC!Q20</f>
        <v>816.67932489422265</v>
      </c>
      <c r="BF21" s="14"/>
      <c r="BG21" s="14" t="e">
        <f>#REF!-BE21</f>
        <v>#REF!</v>
      </c>
      <c r="BH21" s="11"/>
      <c r="BI21">
        <v>8</v>
      </c>
      <c r="BJ21">
        <f t="shared" si="61"/>
        <v>-101.00403225806258</v>
      </c>
      <c r="BK21" s="469">
        <f>GEN!AF18</f>
        <v>0.16019230769223633</v>
      </c>
    </row>
    <row r="22" spans="1:64">
      <c r="A22" s="379">
        <f>ELEC!C20</f>
        <v>44943</v>
      </c>
      <c r="B22" s="440">
        <f>'B5'!B21</f>
        <v>224</v>
      </c>
      <c r="C22" s="192">
        <f t="shared" si="32"/>
        <v>4819.6129032258068</v>
      </c>
      <c r="D22">
        <f t="shared" si="33"/>
        <v>224</v>
      </c>
      <c r="E22" s="192">
        <f t="shared" si="32"/>
        <v>4819.6129032258068</v>
      </c>
      <c r="F22">
        <f t="shared" si="34"/>
        <v>224</v>
      </c>
      <c r="G22" s="192">
        <f t="shared" si="16"/>
        <v>4819.6129032258068</v>
      </c>
      <c r="H22" s="192">
        <f t="shared" si="35"/>
        <v>224</v>
      </c>
      <c r="I22" s="192">
        <f t="shared" si="17"/>
        <v>4819.6129032258068</v>
      </c>
      <c r="J22" s="192">
        <f t="shared" si="36"/>
        <v>224</v>
      </c>
      <c r="K22" s="192">
        <f t="shared" si="18"/>
        <v>4819.6129032258068</v>
      </c>
      <c r="L22" s="192">
        <f t="shared" si="37"/>
        <v>224</v>
      </c>
      <c r="M22" s="192">
        <f t="shared" si="19"/>
        <v>4819.6129032258068</v>
      </c>
      <c r="N22" s="192">
        <f t="shared" si="38"/>
        <v>224</v>
      </c>
      <c r="O22" s="192">
        <f t="shared" si="20"/>
        <v>4819.6129032258068</v>
      </c>
      <c r="P22" s="192">
        <f t="shared" si="39"/>
        <v>224</v>
      </c>
      <c r="Q22" s="192">
        <f t="shared" si="21"/>
        <v>4819.6129032258068</v>
      </c>
      <c r="R22" s="192">
        <f t="shared" si="40"/>
        <v>224</v>
      </c>
      <c r="S22" s="192">
        <f t="shared" si="22"/>
        <v>4819.6129032258068</v>
      </c>
      <c r="T22" s="192">
        <f t="shared" si="41"/>
        <v>224</v>
      </c>
      <c r="U22" s="192">
        <f t="shared" si="23"/>
        <v>4819.6129032258068</v>
      </c>
      <c r="V22" s="192">
        <f t="shared" si="42"/>
        <v>224</v>
      </c>
      <c r="W22" s="192">
        <f t="shared" si="24"/>
        <v>4819.6129032258068</v>
      </c>
      <c r="X22" s="34">
        <f t="shared" si="43"/>
        <v>0.72258064516129028</v>
      </c>
      <c r="Y22" s="35">
        <f t="shared" si="44"/>
        <v>53015.741935483864</v>
      </c>
      <c r="Z22" s="440">
        <f>'B5'!C21</f>
        <v>230</v>
      </c>
      <c r="AA22" s="192">
        <f t="shared" si="45"/>
        <v>2300</v>
      </c>
      <c r="AB22" s="192">
        <f t="shared" si="46"/>
        <v>230</v>
      </c>
      <c r="AC22" s="192">
        <f t="shared" si="45"/>
        <v>2300</v>
      </c>
      <c r="AD22" s="192">
        <f t="shared" si="47"/>
        <v>230</v>
      </c>
      <c r="AE22" s="192">
        <f t="shared" si="25"/>
        <v>2300</v>
      </c>
      <c r="AF22" s="192">
        <f t="shared" si="48"/>
        <v>230</v>
      </c>
      <c r="AG22" s="192">
        <f t="shared" si="26"/>
        <v>2300</v>
      </c>
      <c r="AH22" s="192">
        <f t="shared" si="49"/>
        <v>230</v>
      </c>
      <c r="AI22" s="192">
        <f t="shared" si="27"/>
        <v>2300</v>
      </c>
      <c r="AJ22" s="192">
        <f t="shared" si="50"/>
        <v>230</v>
      </c>
      <c r="AK22" s="192">
        <f t="shared" si="28"/>
        <v>2300</v>
      </c>
      <c r="AL22" s="192">
        <f t="shared" si="51"/>
        <v>230</v>
      </c>
      <c r="AM22" s="192">
        <f t="shared" si="29"/>
        <v>2300</v>
      </c>
      <c r="AN22" s="34">
        <f t="shared" si="30"/>
        <v>0.8214285714285714</v>
      </c>
      <c r="AO22" s="35">
        <f t="shared" si="54"/>
        <v>16100</v>
      </c>
      <c r="AQ22" s="208">
        <f t="shared" si="55"/>
        <v>0.74341983366122255</v>
      </c>
      <c r="AR22" s="37">
        <f t="shared" si="56"/>
        <v>69115.741935483864</v>
      </c>
      <c r="AS22" s="186">
        <f t="shared" ref="AS22:AS32" si="63">SUM(AR22-AR21-AT22)</f>
        <v>-1533.3870967742114</v>
      </c>
      <c r="AT22" s="303"/>
      <c r="AU22" s="475"/>
      <c r="AV22" s="432">
        <f t="shared" si="62"/>
        <v>0.86799999999999999</v>
      </c>
      <c r="AW22" s="251">
        <f>-SUM('B5'!AI21)</f>
        <v>-185</v>
      </c>
      <c r="AX22" s="251">
        <f>-SUM(AW22-AS22)</f>
        <v>-1348.3870967742114</v>
      </c>
      <c r="AY22" s="36">
        <f t="shared" si="52"/>
        <v>-1533.3870967742114</v>
      </c>
      <c r="AZ22" s="96">
        <f>ELEC!A20</f>
        <v>0</v>
      </c>
      <c r="BA22" s="114">
        <f>'General information '!D21</f>
        <v>16</v>
      </c>
      <c r="BB22" s="193">
        <f>SUM('General information '!E21)</f>
        <v>0.65</v>
      </c>
      <c r="BC22" s="3">
        <f t="shared" si="59"/>
        <v>0</v>
      </c>
      <c r="BD22" s="98">
        <v>19222</v>
      </c>
      <c r="BE22" s="14">
        <f>(305/1185)*ELEC!Q21</f>
        <v>921.43459915656763</v>
      </c>
      <c r="BF22" s="14"/>
      <c r="BG22" s="14" t="e">
        <f>#REF!-BE22</f>
        <v>#REF!</v>
      </c>
      <c r="BH22" s="11"/>
      <c r="BI22">
        <v>9</v>
      </c>
      <c r="BJ22">
        <f t="shared" si="61"/>
        <v>-149.82078853046792</v>
      </c>
      <c r="BK22" s="469">
        <f>GEN!AF19</f>
        <v>0.19831249999992906</v>
      </c>
    </row>
    <row r="23" spans="1:64">
      <c r="A23" s="379">
        <f>ELEC!C21</f>
        <v>44944</v>
      </c>
      <c r="B23" s="440">
        <f>'B5'!B22</f>
        <v>240</v>
      </c>
      <c r="C23" s="192">
        <f t="shared" si="32"/>
        <v>5163.8709677419356</v>
      </c>
      <c r="D23">
        <f t="shared" si="33"/>
        <v>240</v>
      </c>
      <c r="E23" s="192">
        <f t="shared" si="32"/>
        <v>5163.8709677419356</v>
      </c>
      <c r="F23">
        <f t="shared" si="34"/>
        <v>240</v>
      </c>
      <c r="G23" s="192">
        <f t="shared" si="16"/>
        <v>5163.8709677419356</v>
      </c>
      <c r="H23" s="192">
        <f t="shared" si="35"/>
        <v>240</v>
      </c>
      <c r="I23" s="192">
        <f t="shared" si="17"/>
        <v>5163.8709677419356</v>
      </c>
      <c r="J23" s="192">
        <f t="shared" si="36"/>
        <v>240</v>
      </c>
      <c r="K23" s="192">
        <f t="shared" si="18"/>
        <v>5163.8709677419356</v>
      </c>
      <c r="L23" s="192">
        <f t="shared" si="37"/>
        <v>240</v>
      </c>
      <c r="M23" s="192">
        <f t="shared" si="19"/>
        <v>5163.8709677419356</v>
      </c>
      <c r="N23" s="192">
        <f t="shared" si="38"/>
        <v>240</v>
      </c>
      <c r="O23" s="192">
        <f t="shared" si="20"/>
        <v>5163.8709677419356</v>
      </c>
      <c r="P23" s="192">
        <f t="shared" si="39"/>
        <v>240</v>
      </c>
      <c r="Q23" s="192">
        <f t="shared" si="21"/>
        <v>5163.8709677419356</v>
      </c>
      <c r="R23" s="192">
        <f t="shared" si="40"/>
        <v>240</v>
      </c>
      <c r="S23" s="192">
        <f t="shared" si="22"/>
        <v>5163.8709677419356</v>
      </c>
      <c r="T23" s="192">
        <f t="shared" si="41"/>
        <v>240</v>
      </c>
      <c r="U23" s="192">
        <f t="shared" si="23"/>
        <v>5163.8709677419356</v>
      </c>
      <c r="V23" s="192">
        <f t="shared" si="42"/>
        <v>240</v>
      </c>
      <c r="W23" s="192">
        <f t="shared" si="24"/>
        <v>5163.8709677419356</v>
      </c>
      <c r="X23" s="34">
        <f t="shared" si="43"/>
        <v>0.77419354838709697</v>
      </c>
      <c r="Y23" s="35">
        <f t="shared" si="44"/>
        <v>56802.580645161303</v>
      </c>
      <c r="Z23" s="440">
        <f>'B5'!C22</f>
        <v>246</v>
      </c>
      <c r="AA23" s="192">
        <f t="shared" si="45"/>
        <v>2460</v>
      </c>
      <c r="AB23" s="192">
        <f t="shared" si="46"/>
        <v>246</v>
      </c>
      <c r="AC23" s="192">
        <f t="shared" si="45"/>
        <v>2460</v>
      </c>
      <c r="AD23" s="192">
        <f t="shared" si="47"/>
        <v>246</v>
      </c>
      <c r="AE23" s="192">
        <f t="shared" si="25"/>
        <v>2460</v>
      </c>
      <c r="AF23" s="192">
        <f t="shared" si="48"/>
        <v>246</v>
      </c>
      <c r="AG23" s="192">
        <f t="shared" si="26"/>
        <v>2460</v>
      </c>
      <c r="AH23" s="192">
        <f t="shared" si="49"/>
        <v>246</v>
      </c>
      <c r="AI23" s="192">
        <f t="shared" si="27"/>
        <v>2460</v>
      </c>
      <c r="AJ23" s="192">
        <f t="shared" si="50"/>
        <v>246</v>
      </c>
      <c r="AK23" s="192">
        <f t="shared" si="28"/>
        <v>2460</v>
      </c>
      <c r="AL23" s="192">
        <f t="shared" si="51"/>
        <v>246</v>
      </c>
      <c r="AM23" s="192">
        <f t="shared" si="29"/>
        <v>2460</v>
      </c>
      <c r="AN23" s="34">
        <f t="shared" si="30"/>
        <v>0.87857142857142856</v>
      </c>
      <c r="AO23" s="35">
        <f t="shared" si="54"/>
        <v>17220</v>
      </c>
      <c r="AQ23" s="208">
        <f t="shared" si="55"/>
        <v>0.79619856561429814</v>
      </c>
      <c r="AR23" s="37">
        <f t="shared" si="56"/>
        <v>74022.580645161303</v>
      </c>
      <c r="AS23" s="186">
        <f t="shared" si="63"/>
        <v>-623.1612903225614</v>
      </c>
      <c r="AT23" s="303">
        <v>5530</v>
      </c>
      <c r="AU23" s="475">
        <v>0.88300000000000001</v>
      </c>
      <c r="AV23" s="432">
        <f t="shared" si="62"/>
        <v>0.88300000000000001</v>
      </c>
      <c r="AW23" s="251">
        <f>-SUM('B5'!AI22)</f>
        <v>-143</v>
      </c>
      <c r="AX23" s="251">
        <f t="shared" si="31"/>
        <v>-480.1612903225614</v>
      </c>
      <c r="AY23" s="36">
        <f t="shared" si="52"/>
        <v>-623.1612903225614</v>
      </c>
      <c r="AZ23" s="96">
        <f>ELEC!A21</f>
        <v>0</v>
      </c>
      <c r="BA23" s="114">
        <f>'General information '!D22</f>
        <v>16.5</v>
      </c>
      <c r="BB23" s="193">
        <f>SUM('General information '!E22)</f>
        <v>0.68</v>
      </c>
      <c r="BC23" s="3">
        <f t="shared" si="59"/>
        <v>1</v>
      </c>
      <c r="BD23" s="98">
        <v>19222</v>
      </c>
      <c r="BE23" s="14">
        <f>(305/1185)*ELEC!Q22</f>
        <v>846.79324894537251</v>
      </c>
      <c r="BF23" s="14"/>
      <c r="BG23" s="14" t="e">
        <f>#REF!-BE23</f>
        <v>#REF!</v>
      </c>
      <c r="BH23" s="11"/>
      <c r="BI23">
        <v>10</v>
      </c>
      <c r="BJ23">
        <f t="shared" si="61"/>
        <v>-48.016129032256138</v>
      </c>
      <c r="BK23" s="469">
        <f>GEN!AF20</f>
        <v>0.15982142857150652</v>
      </c>
    </row>
    <row r="24" spans="1:64">
      <c r="A24" s="379">
        <f>ELEC!C22</f>
        <v>44945</v>
      </c>
      <c r="B24" s="440">
        <f>'B5'!B23</f>
        <v>236</v>
      </c>
      <c r="C24" s="192">
        <f t="shared" si="32"/>
        <v>5077.8064516129034</v>
      </c>
      <c r="D24">
        <f t="shared" si="33"/>
        <v>236</v>
      </c>
      <c r="E24" s="192">
        <f t="shared" si="32"/>
        <v>5077.8064516129034</v>
      </c>
      <c r="F24">
        <f t="shared" si="34"/>
        <v>236</v>
      </c>
      <c r="G24" s="192">
        <f t="shared" si="16"/>
        <v>5077.8064516129034</v>
      </c>
      <c r="H24" s="192">
        <f t="shared" si="35"/>
        <v>236</v>
      </c>
      <c r="I24" s="192">
        <f t="shared" si="17"/>
        <v>5077.8064516129034</v>
      </c>
      <c r="J24" s="192">
        <f t="shared" si="36"/>
        <v>236</v>
      </c>
      <c r="K24" s="192">
        <f t="shared" si="18"/>
        <v>5077.8064516129034</v>
      </c>
      <c r="L24" s="192">
        <f t="shared" si="37"/>
        <v>236</v>
      </c>
      <c r="M24" s="192">
        <f t="shared" si="19"/>
        <v>5077.8064516129034</v>
      </c>
      <c r="N24" s="192">
        <f t="shared" si="38"/>
        <v>236</v>
      </c>
      <c r="O24" s="192">
        <f t="shared" si="20"/>
        <v>5077.8064516129034</v>
      </c>
      <c r="P24" s="192">
        <f t="shared" si="39"/>
        <v>236</v>
      </c>
      <c r="Q24" s="192">
        <f t="shared" si="21"/>
        <v>5077.8064516129034</v>
      </c>
      <c r="R24" s="192">
        <f t="shared" si="40"/>
        <v>236</v>
      </c>
      <c r="S24" s="192">
        <f t="shared" si="22"/>
        <v>5077.8064516129034</v>
      </c>
      <c r="T24" s="192">
        <f t="shared" si="41"/>
        <v>236</v>
      </c>
      <c r="U24" s="192">
        <f t="shared" si="23"/>
        <v>5077.8064516129034</v>
      </c>
      <c r="V24" s="192">
        <f t="shared" si="42"/>
        <v>236</v>
      </c>
      <c r="W24" s="192">
        <f t="shared" si="24"/>
        <v>5077.8064516129034</v>
      </c>
      <c r="X24" s="34">
        <f t="shared" si="43"/>
        <v>0.761290322580645</v>
      </c>
      <c r="Y24" s="35">
        <f t="shared" si="44"/>
        <v>55855.870967741925</v>
      </c>
      <c r="Z24" s="440">
        <f>'B5'!C23</f>
        <v>242</v>
      </c>
      <c r="AA24" s="192">
        <f t="shared" si="45"/>
        <v>2420</v>
      </c>
      <c r="AB24" s="192">
        <f t="shared" si="46"/>
        <v>242</v>
      </c>
      <c r="AC24" s="192">
        <f t="shared" si="45"/>
        <v>2420</v>
      </c>
      <c r="AD24" s="192">
        <f t="shared" si="47"/>
        <v>242</v>
      </c>
      <c r="AE24" s="192">
        <f t="shared" si="25"/>
        <v>2420</v>
      </c>
      <c r="AF24" s="192">
        <f t="shared" si="48"/>
        <v>242</v>
      </c>
      <c r="AG24" s="192">
        <f t="shared" si="26"/>
        <v>2420</v>
      </c>
      <c r="AH24" s="192">
        <f t="shared" si="49"/>
        <v>242</v>
      </c>
      <c r="AI24" s="192">
        <f t="shared" si="27"/>
        <v>2420</v>
      </c>
      <c r="AJ24" s="192">
        <f t="shared" si="50"/>
        <v>242</v>
      </c>
      <c r="AK24" s="192">
        <f t="shared" si="28"/>
        <v>2420</v>
      </c>
      <c r="AL24" s="192">
        <f t="shared" si="51"/>
        <v>242</v>
      </c>
      <c r="AM24" s="192">
        <f t="shared" si="29"/>
        <v>2420</v>
      </c>
      <c r="AN24" s="34">
        <f t="shared" si="30"/>
        <v>0.86428571428571432</v>
      </c>
      <c r="AO24" s="35">
        <f t="shared" si="54"/>
        <v>16940</v>
      </c>
      <c r="AQ24" s="208">
        <f t="shared" si="55"/>
        <v>0.78300388262602905</v>
      </c>
      <c r="AR24" s="37">
        <f t="shared" si="56"/>
        <v>72795.870967741925</v>
      </c>
      <c r="AS24" s="186">
        <f t="shared" si="63"/>
        <v>-1226.7096774193778</v>
      </c>
      <c r="AT24" s="303"/>
      <c r="AU24" s="475"/>
      <c r="AV24" s="432">
        <f t="shared" si="62"/>
        <v>0.88300000000000001</v>
      </c>
      <c r="AW24" s="251">
        <f>-SUM('B5'!AI23)</f>
        <v>-150</v>
      </c>
      <c r="AX24" s="251">
        <f t="shared" si="31"/>
        <v>-1076.7096774193778</v>
      </c>
      <c r="AY24" s="36">
        <f t="shared" si="52"/>
        <v>-1226.7096774193778</v>
      </c>
      <c r="AZ24" s="96">
        <f>ELEC!A22</f>
        <v>0</v>
      </c>
      <c r="BA24" s="114">
        <f>'General information '!D23</f>
        <v>16.5</v>
      </c>
      <c r="BB24" s="193">
        <f>SUM('General information '!E23)</f>
        <v>0.41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-97.882697947216172</v>
      </c>
      <c r="BK24" s="469">
        <f>GEN!AF21</f>
        <v>0.1869318181818678</v>
      </c>
    </row>
    <row r="25" spans="1:64">
      <c r="A25" s="379">
        <f>ELEC!C23</f>
        <v>44946</v>
      </c>
      <c r="B25" s="440">
        <f>'B5'!B24</f>
        <v>236</v>
      </c>
      <c r="C25" s="192">
        <f t="shared" si="32"/>
        <v>5077.8064516129034</v>
      </c>
      <c r="D25">
        <f t="shared" si="33"/>
        <v>236</v>
      </c>
      <c r="E25" s="192">
        <f t="shared" si="32"/>
        <v>5077.8064516129034</v>
      </c>
      <c r="F25">
        <f t="shared" si="34"/>
        <v>236</v>
      </c>
      <c r="G25" s="192">
        <f t="shared" si="16"/>
        <v>5077.8064516129034</v>
      </c>
      <c r="H25" s="192">
        <f t="shared" si="35"/>
        <v>236</v>
      </c>
      <c r="I25" s="192">
        <f t="shared" si="17"/>
        <v>5077.8064516129034</v>
      </c>
      <c r="J25" s="192">
        <f t="shared" si="36"/>
        <v>236</v>
      </c>
      <c r="K25" s="192">
        <f t="shared" si="18"/>
        <v>5077.8064516129034</v>
      </c>
      <c r="L25" s="192">
        <f t="shared" si="37"/>
        <v>236</v>
      </c>
      <c r="M25" s="192">
        <f t="shared" si="19"/>
        <v>5077.8064516129034</v>
      </c>
      <c r="N25" s="192">
        <f t="shared" si="38"/>
        <v>236</v>
      </c>
      <c r="O25" s="192">
        <f t="shared" si="20"/>
        <v>5077.8064516129034</v>
      </c>
      <c r="P25" s="192">
        <f t="shared" si="39"/>
        <v>236</v>
      </c>
      <c r="Q25" s="192">
        <f t="shared" si="21"/>
        <v>5077.8064516129034</v>
      </c>
      <c r="R25" s="192">
        <f t="shared" si="40"/>
        <v>236</v>
      </c>
      <c r="S25" s="192">
        <f t="shared" si="22"/>
        <v>5077.8064516129034</v>
      </c>
      <c r="T25" s="192">
        <f t="shared" si="41"/>
        <v>236</v>
      </c>
      <c r="U25" s="192">
        <f t="shared" si="23"/>
        <v>5077.8064516129034</v>
      </c>
      <c r="V25" s="192">
        <f t="shared" si="42"/>
        <v>236</v>
      </c>
      <c r="W25" s="192">
        <f t="shared" si="24"/>
        <v>5077.8064516129034</v>
      </c>
      <c r="X25" s="34">
        <f t="shared" si="43"/>
        <v>0.761290322580645</v>
      </c>
      <c r="Y25" s="35">
        <f t="shared" si="44"/>
        <v>55855.870967741925</v>
      </c>
      <c r="Z25" s="440">
        <f>'B5'!C24</f>
        <v>242</v>
      </c>
      <c r="AA25" s="192">
        <f t="shared" si="45"/>
        <v>2420</v>
      </c>
      <c r="AB25" s="192">
        <f t="shared" si="46"/>
        <v>242</v>
      </c>
      <c r="AC25" s="192">
        <f t="shared" si="45"/>
        <v>2420</v>
      </c>
      <c r="AD25" s="192">
        <f t="shared" si="47"/>
        <v>242</v>
      </c>
      <c r="AE25" s="192">
        <f t="shared" si="25"/>
        <v>2420</v>
      </c>
      <c r="AF25" s="192">
        <f t="shared" si="48"/>
        <v>242</v>
      </c>
      <c r="AG25" s="192">
        <f t="shared" si="26"/>
        <v>2420</v>
      </c>
      <c r="AH25" s="192">
        <f t="shared" si="49"/>
        <v>242</v>
      </c>
      <c r="AI25" s="192">
        <f t="shared" si="27"/>
        <v>2420</v>
      </c>
      <c r="AJ25" s="192">
        <f t="shared" si="50"/>
        <v>242</v>
      </c>
      <c r="AK25" s="192">
        <f t="shared" si="28"/>
        <v>2420</v>
      </c>
      <c r="AL25" s="192">
        <f t="shared" si="51"/>
        <v>242</v>
      </c>
      <c r="AM25" s="192">
        <f t="shared" si="29"/>
        <v>2420</v>
      </c>
      <c r="AN25" s="34">
        <f t="shared" si="30"/>
        <v>0.86428571428571432</v>
      </c>
      <c r="AO25" s="35">
        <f t="shared" si="54"/>
        <v>16940</v>
      </c>
      <c r="AQ25" s="208">
        <f t="shared" si="55"/>
        <v>0.78300388262602905</v>
      </c>
      <c r="AR25" s="37">
        <f t="shared" si="56"/>
        <v>72795.870967741925</v>
      </c>
      <c r="AS25" s="186">
        <f t="shared" si="63"/>
        <v>0</v>
      </c>
      <c r="AT25" s="303"/>
      <c r="AU25" s="475"/>
      <c r="AV25" s="432">
        <f t="shared" si="62"/>
        <v>0.88300000000000001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236</v>
      </c>
      <c r="C26" s="192">
        <f t="shared" si="32"/>
        <v>5077.8064516129034</v>
      </c>
      <c r="D26">
        <f t="shared" si="33"/>
        <v>236</v>
      </c>
      <c r="E26" s="192">
        <f t="shared" si="32"/>
        <v>5077.8064516129034</v>
      </c>
      <c r="F26">
        <f t="shared" si="34"/>
        <v>236</v>
      </c>
      <c r="G26" s="192">
        <f t="shared" si="16"/>
        <v>5077.8064516129034</v>
      </c>
      <c r="H26" s="192">
        <f t="shared" si="35"/>
        <v>236</v>
      </c>
      <c r="I26" s="192">
        <f t="shared" si="17"/>
        <v>5077.8064516129034</v>
      </c>
      <c r="J26" s="192">
        <f t="shared" si="36"/>
        <v>236</v>
      </c>
      <c r="K26" s="192">
        <f t="shared" si="18"/>
        <v>5077.8064516129034</v>
      </c>
      <c r="L26" s="192">
        <f t="shared" si="37"/>
        <v>236</v>
      </c>
      <c r="M26" s="192">
        <f t="shared" si="19"/>
        <v>5077.8064516129034</v>
      </c>
      <c r="N26" s="192">
        <f t="shared" si="38"/>
        <v>236</v>
      </c>
      <c r="O26" s="192">
        <f t="shared" si="20"/>
        <v>5077.8064516129034</v>
      </c>
      <c r="P26" s="192">
        <f t="shared" si="39"/>
        <v>236</v>
      </c>
      <c r="Q26" s="192">
        <f t="shared" si="21"/>
        <v>5077.8064516129034</v>
      </c>
      <c r="R26" s="192">
        <f t="shared" si="40"/>
        <v>236</v>
      </c>
      <c r="S26" s="192">
        <f t="shared" si="22"/>
        <v>5077.8064516129034</v>
      </c>
      <c r="T26" s="192">
        <f t="shared" si="41"/>
        <v>236</v>
      </c>
      <c r="U26" s="192">
        <f t="shared" si="23"/>
        <v>5077.8064516129034</v>
      </c>
      <c r="V26" s="192">
        <f t="shared" si="42"/>
        <v>236</v>
      </c>
      <c r="W26" s="192">
        <f t="shared" si="24"/>
        <v>5077.8064516129034</v>
      </c>
      <c r="X26" s="34">
        <f t="shared" si="43"/>
        <v>0.761290322580645</v>
      </c>
      <c r="Y26" s="35">
        <f t="shared" si="44"/>
        <v>55855.870967741925</v>
      </c>
      <c r="Z26" s="440">
        <f>'B5'!C25</f>
        <v>242</v>
      </c>
      <c r="AA26" s="192">
        <f t="shared" si="45"/>
        <v>2420</v>
      </c>
      <c r="AB26" s="192">
        <f t="shared" si="46"/>
        <v>242</v>
      </c>
      <c r="AC26" s="192">
        <f t="shared" si="45"/>
        <v>2420</v>
      </c>
      <c r="AD26" s="192">
        <f t="shared" si="47"/>
        <v>242</v>
      </c>
      <c r="AE26" s="192">
        <f t="shared" si="25"/>
        <v>2420</v>
      </c>
      <c r="AF26" s="192">
        <f t="shared" si="48"/>
        <v>242</v>
      </c>
      <c r="AG26" s="192">
        <f t="shared" si="26"/>
        <v>2420</v>
      </c>
      <c r="AH26" s="192">
        <f t="shared" si="49"/>
        <v>242</v>
      </c>
      <c r="AI26" s="192">
        <f t="shared" si="27"/>
        <v>2420</v>
      </c>
      <c r="AJ26" s="192">
        <f t="shared" si="50"/>
        <v>242</v>
      </c>
      <c r="AK26" s="192">
        <f t="shared" si="28"/>
        <v>2420</v>
      </c>
      <c r="AL26" s="192">
        <f t="shared" si="51"/>
        <v>242</v>
      </c>
      <c r="AM26" s="192">
        <f t="shared" si="29"/>
        <v>2420</v>
      </c>
      <c r="AN26" s="34">
        <f t="shared" si="30"/>
        <v>0.86428571428571432</v>
      </c>
      <c r="AO26" s="35">
        <f t="shared" si="54"/>
        <v>16940</v>
      </c>
      <c r="AQ26" s="208">
        <f t="shared" si="55"/>
        <v>0.78300388262602905</v>
      </c>
      <c r="AR26" s="37">
        <f t="shared" si="56"/>
        <v>72795.870967741925</v>
      </c>
      <c r="AS26" s="186">
        <f t="shared" si="63"/>
        <v>0</v>
      </c>
      <c r="AT26" s="303"/>
      <c r="AU26" s="475"/>
      <c r="AV26" s="432">
        <f t="shared" si="62"/>
        <v>0.88300000000000001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758.76793248953391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232</v>
      </c>
      <c r="C27" s="192">
        <f t="shared" si="32"/>
        <v>4991.7419354838712</v>
      </c>
      <c r="D27">
        <f t="shared" si="33"/>
        <v>232</v>
      </c>
      <c r="E27" s="192">
        <f t="shared" si="32"/>
        <v>4991.7419354838712</v>
      </c>
      <c r="F27">
        <f t="shared" si="34"/>
        <v>232</v>
      </c>
      <c r="G27" s="192">
        <f t="shared" si="16"/>
        <v>4991.7419354838712</v>
      </c>
      <c r="H27" s="192">
        <f t="shared" si="35"/>
        <v>232</v>
      </c>
      <c r="I27" s="192">
        <f t="shared" si="17"/>
        <v>4991.7419354838712</v>
      </c>
      <c r="J27" s="192">
        <f t="shared" si="36"/>
        <v>232</v>
      </c>
      <c r="K27" s="192">
        <f t="shared" si="18"/>
        <v>4991.7419354838712</v>
      </c>
      <c r="L27" s="192">
        <f t="shared" si="37"/>
        <v>232</v>
      </c>
      <c r="M27" s="192">
        <f t="shared" si="19"/>
        <v>4991.7419354838712</v>
      </c>
      <c r="N27" s="192">
        <f t="shared" si="38"/>
        <v>232</v>
      </c>
      <c r="O27" s="192">
        <f t="shared" si="20"/>
        <v>4991.7419354838712</v>
      </c>
      <c r="P27" s="192">
        <f t="shared" si="39"/>
        <v>232</v>
      </c>
      <c r="Q27" s="192">
        <f t="shared" si="21"/>
        <v>4991.7419354838712</v>
      </c>
      <c r="R27" s="192">
        <f t="shared" si="40"/>
        <v>232</v>
      </c>
      <c r="S27" s="192">
        <f t="shared" si="22"/>
        <v>4991.7419354838712</v>
      </c>
      <c r="T27" s="192">
        <f t="shared" si="41"/>
        <v>232</v>
      </c>
      <c r="U27" s="192">
        <f t="shared" si="23"/>
        <v>4991.7419354838712</v>
      </c>
      <c r="V27" s="192">
        <f t="shared" si="42"/>
        <v>232</v>
      </c>
      <c r="W27" s="192">
        <f t="shared" si="24"/>
        <v>4991.7419354838712</v>
      </c>
      <c r="X27" s="34">
        <f t="shared" si="43"/>
        <v>0.74838709677419357</v>
      </c>
      <c r="Y27" s="35">
        <f t="shared" si="44"/>
        <v>54909.161290322583</v>
      </c>
      <c r="Z27" s="440">
        <f>'B5'!C26</f>
        <v>239</v>
      </c>
      <c r="AA27" s="192">
        <f t="shared" si="45"/>
        <v>2390</v>
      </c>
      <c r="AB27" s="192">
        <f t="shared" si="46"/>
        <v>239</v>
      </c>
      <c r="AC27" s="192">
        <f t="shared" si="45"/>
        <v>2390</v>
      </c>
      <c r="AD27" s="192">
        <f t="shared" si="47"/>
        <v>239</v>
      </c>
      <c r="AE27" s="192">
        <f t="shared" si="25"/>
        <v>2390</v>
      </c>
      <c r="AF27" s="192">
        <f t="shared" si="48"/>
        <v>239</v>
      </c>
      <c r="AG27" s="192">
        <f t="shared" si="26"/>
        <v>2390</v>
      </c>
      <c r="AH27" s="192">
        <f t="shared" si="49"/>
        <v>239</v>
      </c>
      <c r="AI27" s="192">
        <f t="shared" si="27"/>
        <v>2390</v>
      </c>
      <c r="AJ27" s="192">
        <f t="shared" si="50"/>
        <v>239</v>
      </c>
      <c r="AK27" s="192">
        <f t="shared" si="28"/>
        <v>2390</v>
      </c>
      <c r="AL27" s="192">
        <f t="shared" si="51"/>
        <v>239</v>
      </c>
      <c r="AM27" s="192">
        <f t="shared" si="29"/>
        <v>2390</v>
      </c>
      <c r="AN27" s="34">
        <f t="shared" si="30"/>
        <v>0.85357142857142854</v>
      </c>
      <c r="AO27" s="35">
        <f t="shared" si="54"/>
        <v>16730</v>
      </c>
      <c r="AQ27" s="208">
        <f t="shared" si="55"/>
        <v>0.77056213069078816</v>
      </c>
      <c r="AR27" s="37">
        <f t="shared" si="56"/>
        <v>71639.161290322576</v>
      </c>
      <c r="AS27" s="186">
        <f t="shared" si="63"/>
        <v>-1156.7096774193487</v>
      </c>
      <c r="AT27" s="303"/>
      <c r="AU27" s="475"/>
      <c r="AV27" s="432">
        <f t="shared" si="62"/>
        <v>0.88300000000000001</v>
      </c>
      <c r="AW27" s="251">
        <f>-SUM('B5'!AI26)</f>
        <v>-261</v>
      </c>
      <c r="AX27" s="251">
        <f t="shared" si="31"/>
        <v>-895.70967741934874</v>
      </c>
      <c r="AY27" s="36">
        <f t="shared" si="52"/>
        <v>-1156.7096774193487</v>
      </c>
      <c r="AZ27" s="96">
        <f>ELEC!A25</f>
        <v>0</v>
      </c>
      <c r="BA27" s="114">
        <f>'General information '!D26</f>
        <v>21.5</v>
      </c>
      <c r="BB27" s="193">
        <f>SUM('General information '!E26)</f>
        <v>0.65</v>
      </c>
      <c r="BC27" s="3">
        <f t="shared" si="59"/>
        <v>0</v>
      </c>
      <c r="BD27" s="98">
        <v>19222</v>
      </c>
      <c r="BE27" s="14">
        <f>(305/1185)*ELEC!Q26</f>
        <v>643.97468354347234</v>
      </c>
      <c r="BF27" s="14"/>
      <c r="BG27" s="14" t="e">
        <f>#REF!-BE27</f>
        <v>#REF!</v>
      </c>
      <c r="BH27" s="11"/>
      <c r="BI27">
        <v>14</v>
      </c>
      <c r="BJ27">
        <f t="shared" si="61"/>
        <v>-63.979262672810627</v>
      </c>
      <c r="BK27" s="469">
        <f>GEN!AF24</f>
        <v>0.15354166666668334</v>
      </c>
    </row>
    <row r="28" spans="1:64">
      <c r="A28" s="379">
        <f>ELEC!C26</f>
        <v>44949</v>
      </c>
      <c r="B28" s="440">
        <f>'B5'!B27</f>
        <v>229</v>
      </c>
      <c r="C28" s="192">
        <f t="shared" si="32"/>
        <v>4927.1935483870966</v>
      </c>
      <c r="D28">
        <f t="shared" si="33"/>
        <v>229</v>
      </c>
      <c r="E28" s="192">
        <f t="shared" si="32"/>
        <v>4927.1935483870966</v>
      </c>
      <c r="F28">
        <f t="shared" si="34"/>
        <v>229</v>
      </c>
      <c r="G28" s="192">
        <f t="shared" si="16"/>
        <v>4927.1935483870966</v>
      </c>
      <c r="H28" s="192">
        <f t="shared" si="35"/>
        <v>229</v>
      </c>
      <c r="I28" s="192">
        <f t="shared" si="17"/>
        <v>4927.1935483870966</v>
      </c>
      <c r="J28" s="192">
        <f t="shared" si="36"/>
        <v>229</v>
      </c>
      <c r="K28" s="192">
        <f t="shared" si="18"/>
        <v>4927.1935483870966</v>
      </c>
      <c r="L28" s="192">
        <f t="shared" si="37"/>
        <v>229</v>
      </c>
      <c r="M28" s="192">
        <f t="shared" si="19"/>
        <v>4927.1935483870966</v>
      </c>
      <c r="N28" s="192">
        <f t="shared" si="38"/>
        <v>229</v>
      </c>
      <c r="O28" s="192">
        <f t="shared" si="20"/>
        <v>4927.1935483870966</v>
      </c>
      <c r="P28" s="192">
        <f t="shared" si="39"/>
        <v>229</v>
      </c>
      <c r="Q28" s="192">
        <f t="shared" si="21"/>
        <v>4927.1935483870966</v>
      </c>
      <c r="R28" s="192">
        <f t="shared" si="40"/>
        <v>229</v>
      </c>
      <c r="S28" s="192">
        <f t="shared" si="22"/>
        <v>4927.1935483870966</v>
      </c>
      <c r="T28" s="192">
        <f t="shared" si="41"/>
        <v>229</v>
      </c>
      <c r="U28" s="192">
        <f t="shared" si="23"/>
        <v>4927.1935483870966</v>
      </c>
      <c r="V28" s="192">
        <f t="shared" si="42"/>
        <v>229</v>
      </c>
      <c r="W28" s="192">
        <f t="shared" si="24"/>
        <v>4927.1935483870966</v>
      </c>
      <c r="X28" s="34">
        <f t="shared" si="43"/>
        <v>0.738709677419355</v>
      </c>
      <c r="Y28" s="35">
        <f t="shared" si="44"/>
        <v>54199.129032258075</v>
      </c>
      <c r="Z28" s="440">
        <f>'B5'!C27</f>
        <v>235</v>
      </c>
      <c r="AA28" s="192">
        <f t="shared" si="45"/>
        <v>2350</v>
      </c>
      <c r="AB28" s="192">
        <f t="shared" si="46"/>
        <v>235</v>
      </c>
      <c r="AC28" s="192">
        <f t="shared" si="45"/>
        <v>2350</v>
      </c>
      <c r="AD28" s="192">
        <f t="shared" si="47"/>
        <v>235</v>
      </c>
      <c r="AE28" s="192">
        <f t="shared" si="25"/>
        <v>2350</v>
      </c>
      <c r="AF28" s="192">
        <f t="shared" si="48"/>
        <v>235</v>
      </c>
      <c r="AG28" s="192">
        <f t="shared" si="26"/>
        <v>2350</v>
      </c>
      <c r="AH28" s="192">
        <f t="shared" si="49"/>
        <v>235</v>
      </c>
      <c r="AI28" s="192">
        <f t="shared" si="27"/>
        <v>2350</v>
      </c>
      <c r="AJ28" s="192">
        <f t="shared" si="50"/>
        <v>235</v>
      </c>
      <c r="AK28" s="192">
        <f t="shared" si="28"/>
        <v>2350</v>
      </c>
      <c r="AL28" s="192">
        <f t="shared" si="51"/>
        <v>235</v>
      </c>
      <c r="AM28" s="192">
        <f t="shared" si="29"/>
        <v>2350</v>
      </c>
      <c r="AN28" s="34">
        <f t="shared" si="30"/>
        <v>0.8392857142857143</v>
      </c>
      <c r="AO28" s="35">
        <f t="shared" si="54"/>
        <v>16450</v>
      </c>
      <c r="AQ28" s="208">
        <f t="shared" si="55"/>
        <v>0.75991318739655889</v>
      </c>
      <c r="AR28" s="37">
        <f t="shared" si="56"/>
        <v>70649.129032258075</v>
      </c>
      <c r="AS28" s="186">
        <f t="shared" si="63"/>
        <v>-990.03225806450064</v>
      </c>
      <c r="AT28" s="303"/>
      <c r="AU28" s="475"/>
      <c r="AV28" s="432">
        <f t="shared" si="62"/>
        <v>0.88300000000000001</v>
      </c>
      <c r="AW28" s="251">
        <f>-SUM('B5'!AI27)</f>
        <v>-153</v>
      </c>
      <c r="AX28" s="251">
        <f t="shared" si="31"/>
        <v>-837.03225806450064</v>
      </c>
      <c r="AY28" s="36">
        <f t="shared" si="52"/>
        <v>-990.03225806450064</v>
      </c>
      <c r="AZ28" s="96">
        <f>ELEC!A26</f>
        <v>0</v>
      </c>
      <c r="BA28" s="114">
        <f>'General information '!D27</f>
        <v>17.5</v>
      </c>
      <c r="BB28" s="193">
        <f>SUM('General information '!E27)</f>
        <v>0.49</v>
      </c>
      <c r="BC28" s="3">
        <f t="shared" si="59"/>
        <v>0</v>
      </c>
      <c r="BD28" s="98">
        <v>19222</v>
      </c>
      <c r="BE28" s="14">
        <f>(305/1185)*ELEC!Q27</f>
        <v>483.1097046414551</v>
      </c>
      <c r="BF28" s="14"/>
      <c r="BG28" s="14" t="e">
        <f>#REF!-BE28</f>
        <v>#REF!</v>
      </c>
      <c r="BH28" s="11"/>
      <c r="BI28">
        <v>15</v>
      </c>
      <c r="BJ28">
        <f t="shared" si="61"/>
        <v>-55.802150537633374</v>
      </c>
      <c r="BK28" s="469">
        <f>GEN!AF25</f>
        <v>0.15637499999979809</v>
      </c>
    </row>
    <row r="29" spans="1:64">
      <c r="A29" s="379">
        <f>ELEC!C27</f>
        <v>44950</v>
      </c>
      <c r="B29" s="440">
        <f>'B5'!B28</f>
        <v>227</v>
      </c>
      <c r="C29" s="192">
        <f t="shared" si="32"/>
        <v>4884.1612903225805</v>
      </c>
      <c r="D29">
        <f t="shared" si="33"/>
        <v>227</v>
      </c>
      <c r="E29" s="192">
        <f t="shared" si="32"/>
        <v>4884.1612903225805</v>
      </c>
      <c r="F29">
        <f t="shared" si="34"/>
        <v>227</v>
      </c>
      <c r="G29" s="192">
        <f t="shared" si="16"/>
        <v>4884.1612903225805</v>
      </c>
      <c r="H29" s="192">
        <f t="shared" si="35"/>
        <v>227</v>
      </c>
      <c r="I29" s="192">
        <f t="shared" si="17"/>
        <v>4884.1612903225805</v>
      </c>
      <c r="J29" s="192">
        <f t="shared" si="36"/>
        <v>227</v>
      </c>
      <c r="K29" s="192">
        <f t="shared" si="18"/>
        <v>4884.1612903225805</v>
      </c>
      <c r="L29" s="192">
        <f t="shared" si="37"/>
        <v>227</v>
      </c>
      <c r="M29" s="192">
        <f t="shared" si="19"/>
        <v>4884.1612903225805</v>
      </c>
      <c r="N29" s="192">
        <f t="shared" si="38"/>
        <v>227</v>
      </c>
      <c r="O29" s="192">
        <f t="shared" si="20"/>
        <v>4884.1612903225805</v>
      </c>
      <c r="P29" s="192">
        <f t="shared" si="39"/>
        <v>227</v>
      </c>
      <c r="Q29" s="192">
        <f t="shared" si="21"/>
        <v>4884.1612903225805</v>
      </c>
      <c r="R29" s="192">
        <f t="shared" si="40"/>
        <v>227</v>
      </c>
      <c r="S29" s="192">
        <f t="shared" si="22"/>
        <v>4884.1612903225805</v>
      </c>
      <c r="T29" s="192">
        <f t="shared" si="41"/>
        <v>227</v>
      </c>
      <c r="U29" s="192">
        <f t="shared" si="23"/>
        <v>4884.1612903225805</v>
      </c>
      <c r="V29" s="192">
        <f t="shared" si="42"/>
        <v>227</v>
      </c>
      <c r="W29" s="192">
        <f t="shared" si="24"/>
        <v>4884.1612903225805</v>
      </c>
      <c r="X29" s="34">
        <f t="shared" si="43"/>
        <v>0.73225806451612907</v>
      </c>
      <c r="Y29" s="35">
        <f t="shared" si="44"/>
        <v>53725.774193548394</v>
      </c>
      <c r="Z29" s="440">
        <f>'B5'!C28</f>
        <v>233</v>
      </c>
      <c r="AA29" s="192">
        <f t="shared" si="45"/>
        <v>2330</v>
      </c>
      <c r="AB29" s="192">
        <f t="shared" si="46"/>
        <v>233</v>
      </c>
      <c r="AC29" s="192">
        <f t="shared" si="45"/>
        <v>2330</v>
      </c>
      <c r="AD29" s="192">
        <f t="shared" si="47"/>
        <v>233</v>
      </c>
      <c r="AE29" s="192">
        <f t="shared" si="25"/>
        <v>2330</v>
      </c>
      <c r="AF29" s="192">
        <f t="shared" si="48"/>
        <v>233</v>
      </c>
      <c r="AG29" s="192">
        <f t="shared" si="26"/>
        <v>2330</v>
      </c>
      <c r="AH29" s="192">
        <f t="shared" si="49"/>
        <v>233</v>
      </c>
      <c r="AI29" s="192">
        <f t="shared" si="27"/>
        <v>2330</v>
      </c>
      <c r="AJ29" s="192">
        <f t="shared" si="50"/>
        <v>233</v>
      </c>
      <c r="AK29" s="192">
        <f t="shared" si="28"/>
        <v>2330</v>
      </c>
      <c r="AL29" s="192">
        <f t="shared" si="51"/>
        <v>233</v>
      </c>
      <c r="AM29" s="192">
        <f t="shared" si="29"/>
        <v>2330</v>
      </c>
      <c r="AN29" s="34">
        <f t="shared" si="30"/>
        <v>0.83214285714285718</v>
      </c>
      <c r="AO29" s="35">
        <f t="shared" si="54"/>
        <v>16310</v>
      </c>
      <c r="AQ29" s="208">
        <f t="shared" si="55"/>
        <v>0.7533158459024244</v>
      </c>
      <c r="AR29" s="37">
        <f t="shared" si="56"/>
        <v>70035.774193548394</v>
      </c>
      <c r="AS29" s="186">
        <f>SUM(AR29-AR28-AT29)</f>
        <v>-613.35483870968164</v>
      </c>
      <c r="AT29" s="303"/>
      <c r="AU29" s="475"/>
      <c r="AV29" s="432">
        <f t="shared" si="62"/>
        <v>0.88300000000000001</v>
      </c>
      <c r="AW29" s="251">
        <f>-SUM('B5'!AI28)</f>
        <v>-56</v>
      </c>
      <c r="AX29" s="251">
        <f t="shared" si="31"/>
        <v>-557.35483870968164</v>
      </c>
      <c r="AY29" s="36">
        <f t="shared" si="52"/>
        <v>-613.35483870968164</v>
      </c>
      <c r="AZ29" s="96">
        <f>ELEC!A27</f>
        <v>0</v>
      </c>
      <c r="BA29" s="114">
        <f>'General information '!D28</f>
        <v>16</v>
      </c>
      <c r="BB29" s="193">
        <f>SUM('General information '!E28)</f>
        <v>0.56000000000000005</v>
      </c>
      <c r="BC29" s="3">
        <f t="shared" si="59"/>
        <v>0</v>
      </c>
      <c r="BD29" s="98">
        <v>19222</v>
      </c>
      <c r="BE29" s="14">
        <f>(305/1185)*ELEC!Q28</f>
        <v>611.02953586492652</v>
      </c>
      <c r="BF29" s="14"/>
      <c r="BG29" s="14" t="e">
        <f>#REF!-BE29</f>
        <v>#REF!</v>
      </c>
      <c r="BH29" s="11"/>
      <c r="BI29">
        <v>16</v>
      </c>
      <c r="BJ29">
        <f t="shared" si="61"/>
        <v>-34.834677419355103</v>
      </c>
      <c r="BK29" s="469">
        <f>GEN!AF26</f>
        <v>0.14664062500003183</v>
      </c>
    </row>
    <row r="30" spans="1:64">
      <c r="A30" s="379">
        <f>ELEC!C28</f>
        <v>44951</v>
      </c>
      <c r="B30" s="440">
        <f>'B5'!B29</f>
        <v>223</v>
      </c>
      <c r="C30" s="192">
        <f t="shared" si="32"/>
        <v>4798.0967741935483</v>
      </c>
      <c r="D30">
        <f>SUM(B30)</f>
        <v>223</v>
      </c>
      <c r="E30" s="192">
        <f t="shared" si="32"/>
        <v>4798.0967741935483</v>
      </c>
      <c r="F30">
        <f>SUM(D30)</f>
        <v>223</v>
      </c>
      <c r="G30" s="192">
        <f t="shared" si="16"/>
        <v>4798.0967741935483</v>
      </c>
      <c r="H30" s="192">
        <f>SUM(F30)</f>
        <v>223</v>
      </c>
      <c r="I30" s="192">
        <f t="shared" si="17"/>
        <v>4798.0967741935483</v>
      </c>
      <c r="J30" s="192">
        <f>SUM(H30)</f>
        <v>223</v>
      </c>
      <c r="K30" s="192">
        <f t="shared" si="18"/>
        <v>4798.0967741935483</v>
      </c>
      <c r="L30" s="192">
        <f>SUM(J30)</f>
        <v>223</v>
      </c>
      <c r="M30" s="192">
        <f t="shared" si="19"/>
        <v>4798.0967741935483</v>
      </c>
      <c r="N30" s="192">
        <f>SUM(L30)</f>
        <v>223</v>
      </c>
      <c r="O30" s="192">
        <f t="shared" si="20"/>
        <v>4798.0967741935483</v>
      </c>
      <c r="P30" s="192">
        <f>SUM(N30)</f>
        <v>223</v>
      </c>
      <c r="Q30" s="192">
        <f t="shared" si="21"/>
        <v>4798.0967741935483</v>
      </c>
      <c r="R30" s="192">
        <f>SUM(P30)</f>
        <v>223</v>
      </c>
      <c r="S30" s="192">
        <f t="shared" si="22"/>
        <v>4798.0967741935483</v>
      </c>
      <c r="T30" s="192">
        <f>SUM(R30)</f>
        <v>223</v>
      </c>
      <c r="U30" s="192">
        <f t="shared" si="23"/>
        <v>4798.0967741935483</v>
      </c>
      <c r="V30" s="192">
        <f>SUM(T30)</f>
        <v>223</v>
      </c>
      <c r="W30" s="192">
        <f t="shared" si="24"/>
        <v>4798.0967741935483</v>
      </c>
      <c r="X30" s="34">
        <f>SUM(Y30/73370)</f>
        <v>0.71935483870967731</v>
      </c>
      <c r="Y30" s="35">
        <f>SUM(C30+E30+G30+I30+K30+M30+O30+Q30+S30+U30+W30)</f>
        <v>52779.064516129023</v>
      </c>
      <c r="Z30" s="440">
        <f>'B5'!C29</f>
        <v>229</v>
      </c>
      <c r="AA30" s="192">
        <f t="shared" si="45"/>
        <v>2290</v>
      </c>
      <c r="AB30" s="192">
        <f>SUM(Z30)</f>
        <v>229</v>
      </c>
      <c r="AC30" s="192">
        <f t="shared" si="45"/>
        <v>2290</v>
      </c>
      <c r="AD30" s="192">
        <f>SUM(AB30)</f>
        <v>229</v>
      </c>
      <c r="AE30" s="192">
        <f t="shared" si="25"/>
        <v>2290</v>
      </c>
      <c r="AF30" s="192">
        <f>SUM(AD30)</f>
        <v>229</v>
      </c>
      <c r="AG30" s="192">
        <f t="shared" si="26"/>
        <v>2290</v>
      </c>
      <c r="AH30" s="192">
        <f>SUM(AF30)</f>
        <v>229</v>
      </c>
      <c r="AI30" s="192">
        <f t="shared" si="27"/>
        <v>2290</v>
      </c>
      <c r="AJ30" s="192">
        <f>SUM(AH30)</f>
        <v>229</v>
      </c>
      <c r="AK30" s="192">
        <f t="shared" si="28"/>
        <v>2290</v>
      </c>
      <c r="AL30" s="192">
        <f>SUM(AJ30)</f>
        <v>229</v>
      </c>
      <c r="AM30" s="192">
        <f t="shared" si="29"/>
        <v>2290</v>
      </c>
      <c r="AN30" s="34">
        <f>SUM(AO30/19600)</f>
        <v>0.81785714285714284</v>
      </c>
      <c r="AO30" s="35">
        <f>SUM(AA30+AC30+AE30+AG30+AI30+AK30+AM30)</f>
        <v>16030</v>
      </c>
      <c r="AQ30" s="208">
        <f t="shared" si="55"/>
        <v>0.74012116291415542</v>
      </c>
      <c r="AR30" s="37">
        <f t="shared" si="56"/>
        <v>68809.06451612903</v>
      </c>
      <c r="AS30" s="186">
        <f>SUM(AR30-AR29-AT30)</f>
        <v>-1226.7096774193633</v>
      </c>
      <c r="AT30" s="303"/>
      <c r="AU30" s="475"/>
      <c r="AV30" s="432">
        <f t="shared" si="62"/>
        <v>0.88300000000000001</v>
      </c>
      <c r="AW30" s="251">
        <f>-SUM('B5'!AI29)</f>
        <v>-309</v>
      </c>
      <c r="AX30" s="251">
        <f t="shared" si="31"/>
        <v>-917.70967741936329</v>
      </c>
      <c r="AY30" s="36">
        <f t="shared" si="52"/>
        <v>-1226.7096774193633</v>
      </c>
      <c r="AZ30" s="96">
        <f>ELEC!A28</f>
        <v>0</v>
      </c>
      <c r="BA30" s="114">
        <f>'General information '!D29</f>
        <v>16</v>
      </c>
      <c r="BB30" s="193">
        <f>SUM('General information '!E29)</f>
        <v>0.56000000000000005</v>
      </c>
      <c r="BC30" s="3">
        <f t="shared" si="59"/>
        <v>0</v>
      </c>
      <c r="BD30" s="98">
        <v>19222</v>
      </c>
      <c r="BE30" s="14">
        <f>(305/1185)*ELEC!Q29</f>
        <v>655.04219409331392</v>
      </c>
      <c r="BF30" s="14"/>
      <c r="BG30" s="14" t="e">
        <f>#REF!-BE30</f>
        <v>#REF!</v>
      </c>
      <c r="BH30" s="11"/>
      <c r="BI30">
        <v>17</v>
      </c>
      <c r="BJ30">
        <f t="shared" si="61"/>
        <v>-53.982922201139019</v>
      </c>
      <c r="BK30" s="469">
        <f>GEN!AF27</f>
        <v>0.13488636363635206</v>
      </c>
    </row>
    <row r="31" spans="1:64">
      <c r="A31" s="379">
        <f>ELEC!C29</f>
        <v>44952</v>
      </c>
      <c r="B31" s="440">
        <f>'B5'!B30</f>
        <v>220</v>
      </c>
      <c r="C31" s="192">
        <f t="shared" si="32"/>
        <v>4733.5483870967737</v>
      </c>
      <c r="D31">
        <f>SUM(B31)</f>
        <v>220</v>
      </c>
      <c r="E31" s="192">
        <f t="shared" si="32"/>
        <v>4733.5483870967737</v>
      </c>
      <c r="F31">
        <f>SUM(D31)</f>
        <v>220</v>
      </c>
      <c r="G31" s="192">
        <f t="shared" si="16"/>
        <v>4733.5483870967737</v>
      </c>
      <c r="H31" s="192">
        <f>SUM(F31)</f>
        <v>220</v>
      </c>
      <c r="I31" s="192">
        <f t="shared" si="17"/>
        <v>4733.5483870967737</v>
      </c>
      <c r="J31" s="192">
        <f>SUM(H31)</f>
        <v>220</v>
      </c>
      <c r="K31" s="192">
        <f t="shared" si="18"/>
        <v>4733.5483870967737</v>
      </c>
      <c r="L31" s="192">
        <f>SUM(J31)</f>
        <v>220</v>
      </c>
      <c r="M31" s="192">
        <f t="shared" si="19"/>
        <v>4733.5483870967737</v>
      </c>
      <c r="N31" s="192">
        <f>SUM(L31)</f>
        <v>220</v>
      </c>
      <c r="O31" s="192">
        <f t="shared" si="20"/>
        <v>4733.5483870967737</v>
      </c>
      <c r="P31" s="192">
        <f>SUM(N31)</f>
        <v>220</v>
      </c>
      <c r="Q31" s="192">
        <f t="shared" si="21"/>
        <v>4733.5483870967737</v>
      </c>
      <c r="R31" s="192">
        <f>SUM(P31)</f>
        <v>220</v>
      </c>
      <c r="S31" s="192">
        <f t="shared" si="22"/>
        <v>4733.5483870967737</v>
      </c>
      <c r="T31" s="192">
        <f>SUM(R31)</f>
        <v>220</v>
      </c>
      <c r="U31" s="192">
        <f t="shared" si="23"/>
        <v>4733.5483870967737</v>
      </c>
      <c r="V31" s="192">
        <f>SUM(T31)</f>
        <v>220</v>
      </c>
      <c r="W31" s="192">
        <f t="shared" si="24"/>
        <v>4733.5483870967737</v>
      </c>
      <c r="X31" s="34">
        <f>SUM(Y31/73370)</f>
        <v>0.70967741935483863</v>
      </c>
      <c r="Y31" s="35">
        <f>SUM(C31+E31+G31+I31+K31+M31+O31+Q31+S31+U31+W31)</f>
        <v>52069.032258064508</v>
      </c>
      <c r="Z31" s="440">
        <f>'B5'!C30</f>
        <v>226</v>
      </c>
      <c r="AA31" s="192">
        <f t="shared" si="45"/>
        <v>2260</v>
      </c>
      <c r="AB31" s="192">
        <f>SUM(Z31)</f>
        <v>226</v>
      </c>
      <c r="AC31" s="192">
        <f t="shared" si="45"/>
        <v>2260</v>
      </c>
      <c r="AD31" s="192">
        <f>SUM(AB31)</f>
        <v>226</v>
      </c>
      <c r="AE31" s="192">
        <f t="shared" si="25"/>
        <v>2260</v>
      </c>
      <c r="AF31" s="192">
        <f>SUM(AD31)</f>
        <v>226</v>
      </c>
      <c r="AG31" s="192">
        <f t="shared" si="26"/>
        <v>2260</v>
      </c>
      <c r="AH31" s="192">
        <f>SUM(AF31)</f>
        <v>226</v>
      </c>
      <c r="AI31" s="192">
        <f t="shared" si="27"/>
        <v>2260</v>
      </c>
      <c r="AJ31" s="192">
        <f>SUM(AH31)</f>
        <v>226</v>
      </c>
      <c r="AK31" s="192">
        <f t="shared" si="28"/>
        <v>2260</v>
      </c>
      <c r="AL31" s="192">
        <f>SUM(AJ31)</f>
        <v>226</v>
      </c>
      <c r="AM31" s="192">
        <f t="shared" si="29"/>
        <v>2260</v>
      </c>
      <c r="AN31" s="34">
        <f>SUM(AO31/19600)</f>
        <v>0.80714285714285716</v>
      </c>
      <c r="AO31" s="35">
        <f>SUM(AA31+AC31+AE31+AG31+AI31+AK31+AM31)</f>
        <v>15820</v>
      </c>
      <c r="AQ31" s="208">
        <f t="shared" si="55"/>
        <v>0.73022515067295379</v>
      </c>
      <c r="AR31" s="37">
        <f t="shared" si="56"/>
        <v>67889.032258064515</v>
      </c>
      <c r="AS31" s="186">
        <f t="shared" si="63"/>
        <v>-920.03225806451519</v>
      </c>
      <c r="AT31" s="303"/>
      <c r="AU31" s="475"/>
      <c r="AV31" s="432">
        <f t="shared" si="62"/>
        <v>0.88300000000000001</v>
      </c>
      <c r="AW31" s="251">
        <f>-SUM('B5'!AI30)</f>
        <v>-140</v>
      </c>
      <c r="AX31" s="251">
        <f t="shared" si="31"/>
        <v>-780.03225806451519</v>
      </c>
      <c r="AY31" s="36">
        <f t="shared" si="52"/>
        <v>-920.03225806451519</v>
      </c>
      <c r="AZ31" s="96">
        <f>ELEC!A29</f>
        <v>0</v>
      </c>
      <c r="BA31" s="114">
        <f>'General information '!D30</f>
        <v>16</v>
      </c>
      <c r="BB31" s="193">
        <f>SUM('General information '!E30)</f>
        <v>0.49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-43.33512544802862</v>
      </c>
      <c r="BK31" s="469">
        <f>GEN!AF28</f>
        <v>0.14460227272738022</v>
      </c>
    </row>
    <row r="32" spans="1:64">
      <c r="A32" s="379">
        <f>ELEC!C30</f>
        <v>44953</v>
      </c>
      <c r="B32" s="440">
        <f>'B5'!B31</f>
        <v>220</v>
      </c>
      <c r="C32" s="192">
        <f t="shared" si="32"/>
        <v>4733.5483870967737</v>
      </c>
      <c r="D32">
        <f>SUM(B32)</f>
        <v>220</v>
      </c>
      <c r="E32" s="192">
        <f t="shared" si="32"/>
        <v>4733.5483870967737</v>
      </c>
      <c r="F32">
        <f>SUM(D32)</f>
        <v>220</v>
      </c>
      <c r="G32" s="192">
        <f t="shared" si="16"/>
        <v>4733.5483870967737</v>
      </c>
      <c r="H32" s="192">
        <f>SUM(F32)</f>
        <v>220</v>
      </c>
      <c r="I32" s="192">
        <f t="shared" si="17"/>
        <v>4733.5483870967737</v>
      </c>
      <c r="J32" s="192">
        <f>SUM(H32)</f>
        <v>220</v>
      </c>
      <c r="K32" s="192">
        <f t="shared" si="18"/>
        <v>4733.5483870967737</v>
      </c>
      <c r="L32" s="192">
        <f>SUM(J32)</f>
        <v>220</v>
      </c>
      <c r="M32" s="192">
        <f t="shared" si="19"/>
        <v>4733.5483870967737</v>
      </c>
      <c r="N32" s="192">
        <f>SUM(L32)</f>
        <v>220</v>
      </c>
      <c r="O32" s="192">
        <f t="shared" si="20"/>
        <v>4733.5483870967737</v>
      </c>
      <c r="P32" s="192">
        <f>SUM(N32)</f>
        <v>220</v>
      </c>
      <c r="Q32" s="192">
        <f t="shared" si="21"/>
        <v>4733.5483870967737</v>
      </c>
      <c r="R32" s="192">
        <f>SUM(P32)</f>
        <v>220</v>
      </c>
      <c r="S32" s="192">
        <f t="shared" si="22"/>
        <v>4733.5483870967737</v>
      </c>
      <c r="T32" s="192">
        <f>SUM(R32)</f>
        <v>220</v>
      </c>
      <c r="U32" s="192">
        <f t="shared" si="23"/>
        <v>4733.5483870967737</v>
      </c>
      <c r="V32" s="192">
        <f>SUM(T32)</f>
        <v>220</v>
      </c>
      <c r="W32" s="192">
        <f t="shared" si="24"/>
        <v>4733.5483870967737</v>
      </c>
      <c r="X32" s="34">
        <f>SUM(Y32/73370)</f>
        <v>0.70967741935483863</v>
      </c>
      <c r="Y32" s="35">
        <f>SUM(C32+E32+G32+I32+K32+M32+O32+Q32+S32+U32+W32)</f>
        <v>52069.032258064508</v>
      </c>
      <c r="Z32" s="440">
        <f>'B5'!C31</f>
        <v>226</v>
      </c>
      <c r="AA32" s="192">
        <f t="shared" si="45"/>
        <v>2260</v>
      </c>
      <c r="AB32" s="192">
        <f>SUM(Z32)</f>
        <v>226</v>
      </c>
      <c r="AC32" s="192">
        <f t="shared" si="45"/>
        <v>2260</v>
      </c>
      <c r="AD32" s="192">
        <f>SUM(AB32)</f>
        <v>226</v>
      </c>
      <c r="AE32" s="192">
        <f t="shared" si="25"/>
        <v>2260</v>
      </c>
      <c r="AF32" s="192">
        <f>SUM(AD32)</f>
        <v>226</v>
      </c>
      <c r="AG32" s="192">
        <f t="shared" si="26"/>
        <v>2260</v>
      </c>
      <c r="AH32" s="192">
        <f>SUM(AF32)</f>
        <v>226</v>
      </c>
      <c r="AI32" s="192">
        <f t="shared" si="27"/>
        <v>2260</v>
      </c>
      <c r="AJ32" s="192">
        <f>SUM(AH32)</f>
        <v>226</v>
      </c>
      <c r="AK32" s="192">
        <f t="shared" si="28"/>
        <v>2260</v>
      </c>
      <c r="AL32" s="192">
        <f>SUM(AJ32)</f>
        <v>226</v>
      </c>
      <c r="AM32" s="192">
        <f t="shared" si="29"/>
        <v>2260</v>
      </c>
      <c r="AN32" s="34">
        <f>SUM(AO32/19600)</f>
        <v>0.80714285714285716</v>
      </c>
      <c r="AO32" s="35">
        <f>SUM(AA32+AC32+AE32+AG32+AI32+AK32+AM32)</f>
        <v>15820</v>
      </c>
      <c r="AQ32" s="208">
        <f t="shared" si="55"/>
        <v>0.73022515067295379</v>
      </c>
      <c r="AR32" s="37">
        <f t="shared" si="56"/>
        <v>67889.032258064515</v>
      </c>
      <c r="AS32" s="186">
        <f t="shared" si="63"/>
        <v>0</v>
      </c>
      <c r="AT32" s="303"/>
      <c r="AU32" s="475"/>
      <c r="AV32" s="432">
        <f t="shared" si="62"/>
        <v>0.88300000000000001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220</v>
      </c>
      <c r="C33" s="192">
        <f t="shared" si="32"/>
        <v>4733.5483870967737</v>
      </c>
      <c r="D33">
        <f>SUM(B33)</f>
        <v>220</v>
      </c>
      <c r="E33" s="192">
        <f t="shared" si="32"/>
        <v>4733.5483870967737</v>
      </c>
      <c r="F33">
        <f>SUM(D33)</f>
        <v>220</v>
      </c>
      <c r="G33" s="192">
        <f t="shared" si="16"/>
        <v>4733.5483870967737</v>
      </c>
      <c r="H33" s="192">
        <f>SUM(F33)</f>
        <v>220</v>
      </c>
      <c r="I33" s="192">
        <f t="shared" si="17"/>
        <v>4733.5483870967737</v>
      </c>
      <c r="J33" s="192">
        <f>SUM(H33)</f>
        <v>220</v>
      </c>
      <c r="K33" s="192">
        <f t="shared" si="18"/>
        <v>4733.5483870967737</v>
      </c>
      <c r="L33" s="192">
        <f>SUM(J33)</f>
        <v>220</v>
      </c>
      <c r="M33" s="192">
        <f t="shared" si="19"/>
        <v>4733.5483870967737</v>
      </c>
      <c r="N33" s="192">
        <f>SUM(L33)</f>
        <v>220</v>
      </c>
      <c r="O33" s="192">
        <f t="shared" si="20"/>
        <v>4733.5483870967737</v>
      </c>
      <c r="P33" s="192">
        <f>SUM(N33)</f>
        <v>220</v>
      </c>
      <c r="Q33" s="192">
        <f t="shared" si="21"/>
        <v>4733.5483870967737</v>
      </c>
      <c r="R33" s="192">
        <f>SUM(P33)</f>
        <v>220</v>
      </c>
      <c r="S33" s="192">
        <f t="shared" si="22"/>
        <v>4733.5483870967737</v>
      </c>
      <c r="T33" s="192">
        <f>SUM(R33)</f>
        <v>220</v>
      </c>
      <c r="U33" s="192">
        <f t="shared" si="23"/>
        <v>4733.5483870967737</v>
      </c>
      <c r="V33" s="192">
        <f>SUM(T33)</f>
        <v>220</v>
      </c>
      <c r="W33" s="192">
        <f t="shared" si="24"/>
        <v>4733.5483870967737</v>
      </c>
      <c r="X33" s="34">
        <f>SUM(Y33/73370)</f>
        <v>0.70967741935483863</v>
      </c>
      <c r="Y33" s="35">
        <f>SUM(C33+E33+G33+I33+K33+M33+O33+Q33+S33+U33+W33)</f>
        <v>52069.032258064508</v>
      </c>
      <c r="Z33" s="440">
        <f>'B5'!C32</f>
        <v>226</v>
      </c>
      <c r="AA33" s="192">
        <f t="shared" si="45"/>
        <v>2260</v>
      </c>
      <c r="AB33" s="192">
        <f>SUM(Z33)</f>
        <v>226</v>
      </c>
      <c r="AC33" s="192">
        <f t="shared" si="45"/>
        <v>2260</v>
      </c>
      <c r="AD33" s="192">
        <f>SUM(AB33)</f>
        <v>226</v>
      </c>
      <c r="AE33" s="192">
        <f t="shared" si="25"/>
        <v>2260</v>
      </c>
      <c r="AF33" s="192">
        <f>SUM(AD33)</f>
        <v>226</v>
      </c>
      <c r="AG33" s="192">
        <f t="shared" si="26"/>
        <v>2260</v>
      </c>
      <c r="AH33" s="192">
        <f>SUM(AF33)</f>
        <v>226</v>
      </c>
      <c r="AI33" s="192">
        <f t="shared" si="27"/>
        <v>2260</v>
      </c>
      <c r="AJ33" s="192">
        <f>SUM(AH33)</f>
        <v>226</v>
      </c>
      <c r="AK33" s="192">
        <f t="shared" si="28"/>
        <v>2260</v>
      </c>
      <c r="AL33" s="192">
        <f>SUM(AJ33)</f>
        <v>226</v>
      </c>
      <c r="AM33" s="192">
        <f t="shared" si="29"/>
        <v>2260</v>
      </c>
      <c r="AN33" s="34">
        <f>SUM(AO33/19600)</f>
        <v>0.80714285714285716</v>
      </c>
      <c r="AO33" s="35">
        <f>SUM(AA33+AC33+AE33+AG33+AI33+AK33+AM33)</f>
        <v>15820</v>
      </c>
      <c r="AQ33" s="208">
        <f t="shared" si="55"/>
        <v>0.73022515067295379</v>
      </c>
      <c r="AR33" s="37">
        <f t="shared" si="56"/>
        <v>67889.032258064515</v>
      </c>
      <c r="AS33" s="186">
        <f>SUM(AR33-AR32-AT33)</f>
        <v>0</v>
      </c>
      <c r="AT33" s="303"/>
      <c r="AU33" s="475"/>
      <c r="AV33" s="432">
        <f t="shared" si="62"/>
        <v>0.88300000000000001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216</v>
      </c>
      <c r="C34" s="192">
        <f t="shared" ref="C34:C36" si="64">B34*$B$4</f>
        <v>4647.4838709677415</v>
      </c>
      <c r="D34">
        <f t="shared" ref="D34:D36" si="65">SUM(B34)</f>
        <v>216</v>
      </c>
      <c r="E34" s="192">
        <f t="shared" ref="E34:E36" si="66">D34*$B$4</f>
        <v>4647.4838709677415</v>
      </c>
      <c r="F34">
        <f t="shared" ref="F34:F36" si="67">SUM(D34)</f>
        <v>216</v>
      </c>
      <c r="G34" s="192">
        <f t="shared" ref="G34:G36" si="68">F34*$B$4</f>
        <v>4647.4838709677415</v>
      </c>
      <c r="H34" s="192">
        <f t="shared" ref="H34:H36" si="69">SUM(F34)</f>
        <v>216</v>
      </c>
      <c r="I34" s="192">
        <f t="shared" ref="I34:I36" si="70">H34*$B$4</f>
        <v>4647.4838709677415</v>
      </c>
      <c r="J34" s="192">
        <f t="shared" ref="J34:J36" si="71">SUM(H34)</f>
        <v>216</v>
      </c>
      <c r="K34" s="192">
        <f t="shared" ref="K34:K36" si="72">J34*$B$4</f>
        <v>4647.4838709677415</v>
      </c>
      <c r="L34" s="192">
        <f t="shared" ref="L34:L36" si="73">SUM(J34)</f>
        <v>216</v>
      </c>
      <c r="M34" s="192">
        <f t="shared" ref="M34:M36" si="74">L34*$B$4</f>
        <v>4647.4838709677415</v>
      </c>
      <c r="N34" s="192">
        <f t="shared" ref="N34:N36" si="75">SUM(L34)</f>
        <v>216</v>
      </c>
      <c r="O34" s="192">
        <f t="shared" ref="O34:O36" si="76">N34*$B$4</f>
        <v>4647.4838709677415</v>
      </c>
      <c r="P34" s="192">
        <f t="shared" ref="P34:P36" si="77">SUM(N34)</f>
        <v>216</v>
      </c>
      <c r="Q34" s="192">
        <f t="shared" ref="Q34:Q36" si="78">P34*$B$4</f>
        <v>4647.4838709677415</v>
      </c>
      <c r="R34" s="192">
        <f t="shared" ref="R34:R36" si="79">SUM(P34)</f>
        <v>216</v>
      </c>
      <c r="S34" s="192">
        <f t="shared" ref="S34:S36" si="80">R34*$B$4</f>
        <v>4647.4838709677415</v>
      </c>
      <c r="T34" s="192">
        <f t="shared" ref="T34:T36" si="81">SUM(R34)</f>
        <v>216</v>
      </c>
      <c r="U34" s="192">
        <f t="shared" ref="U34:U36" si="82">T34*$B$4</f>
        <v>4647.4838709677415</v>
      </c>
      <c r="V34" s="192">
        <f t="shared" ref="V34:V36" si="83">SUM(T34)</f>
        <v>216</v>
      </c>
      <c r="W34" s="192">
        <f t="shared" ref="W34:W36" si="84">V34*$B$4</f>
        <v>4647.4838709677415</v>
      </c>
      <c r="X34" s="34">
        <f t="shared" ref="X34:X36" si="85">SUM(Y34/73370)</f>
        <v>0.6967741935483871</v>
      </c>
      <c r="Y34" s="35">
        <f t="shared" ref="Y34:Y36" si="86">SUM(C34+E34+G34+I34+K34+M34+O34+Q34+S34+U34+W34)</f>
        <v>51122.322580645159</v>
      </c>
      <c r="Z34" s="440">
        <f>'B5'!C33</f>
        <v>222</v>
      </c>
      <c r="AA34" s="192">
        <f t="shared" ref="AA34:AA36" si="87">SUM(Z34*$Z$4)</f>
        <v>2220</v>
      </c>
      <c r="AB34" s="192">
        <f t="shared" ref="AB34:AB36" si="88">SUM(Z34)</f>
        <v>222</v>
      </c>
      <c r="AC34" s="192">
        <f t="shared" ref="AC34:AC36" si="89">SUM(AB34*$Z$4)</f>
        <v>2220</v>
      </c>
      <c r="AD34" s="192">
        <f t="shared" ref="AD34:AD36" si="90">SUM(AB34)</f>
        <v>222</v>
      </c>
      <c r="AE34" s="192">
        <f t="shared" ref="AE34:AE36" si="91">SUM(AD34*$Z$4)</f>
        <v>2220</v>
      </c>
      <c r="AF34" s="192">
        <f t="shared" ref="AF34:AF36" si="92">SUM(AD34)</f>
        <v>222</v>
      </c>
      <c r="AG34" s="192">
        <f t="shared" ref="AG34:AG36" si="93">SUM(AF34*$Z$4)</f>
        <v>2220</v>
      </c>
      <c r="AH34" s="192">
        <f t="shared" ref="AH34:AH36" si="94">SUM(AF34)</f>
        <v>222</v>
      </c>
      <c r="AI34" s="192">
        <f t="shared" ref="AI34:AI36" si="95">SUM(AH34*$Z$4)</f>
        <v>2220</v>
      </c>
      <c r="AJ34" s="192">
        <f t="shared" ref="AJ34:AJ36" si="96">SUM(AH34)</f>
        <v>222</v>
      </c>
      <c r="AK34" s="192">
        <f t="shared" ref="AK34:AK36" si="97">SUM(AJ34*$Z$4)</f>
        <v>2220</v>
      </c>
      <c r="AL34" s="192">
        <f t="shared" ref="AL34:AL36" si="98">SUM(AJ34)</f>
        <v>222</v>
      </c>
      <c r="AM34" s="192">
        <f t="shared" ref="AM34:AM36" si="99">SUM(AL34*$Z$4)</f>
        <v>2220</v>
      </c>
      <c r="AN34" s="34">
        <f t="shared" ref="AN34:AN36" si="100">SUM(AO34/19600)</f>
        <v>0.79285714285714282</v>
      </c>
      <c r="AO34" s="35">
        <f t="shared" ref="AO34:AO36" si="101">SUM(AA34+AC34+AE34+AG34+AI34+AK34+AM34)</f>
        <v>15540</v>
      </c>
      <c r="AQ34" s="208">
        <f t="shared" ref="AQ34:AQ36" si="102">SUM(AR34/92970)</f>
        <v>0.71703046768468481</v>
      </c>
      <c r="AR34" s="37">
        <f t="shared" si="56"/>
        <v>66662.322580645152</v>
      </c>
      <c r="AS34" s="186">
        <f t="shared" ref="AS34:AS36" si="103">SUM(AR34-AR33-AT34)</f>
        <v>-1226.7096774193633</v>
      </c>
      <c r="AT34" s="303"/>
      <c r="AU34" s="475"/>
      <c r="AV34" s="432">
        <f t="shared" si="62"/>
        <v>0.88300000000000001</v>
      </c>
      <c r="AW34" s="251">
        <f>-SUM('B5'!AI33)</f>
        <v>-221</v>
      </c>
      <c r="AX34" s="251">
        <f t="shared" ref="AX34:AX36" si="104">-SUM(AW34-AS34)</f>
        <v>-1005.7096774193633</v>
      </c>
      <c r="AY34" s="36">
        <f t="shared" ref="AY34:AY36" si="105">SUM(AX34+AW34)</f>
        <v>-1226.7096774193633</v>
      </c>
      <c r="AZ34" s="96">
        <f>ELEC!A32</f>
        <v>0</v>
      </c>
      <c r="BA34" s="114">
        <f>'General information '!D33</f>
        <v>16.5</v>
      </c>
      <c r="BB34" s="193">
        <f>SUM('General information '!E33)</f>
        <v>0.73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-47.890937019969684</v>
      </c>
      <c r="BK34" s="469">
        <f>GEN!AF31</f>
        <v>0.15499999999995204</v>
      </c>
    </row>
    <row r="35" spans="1:63">
      <c r="A35" s="379">
        <f>ELEC!C33</f>
        <v>44956</v>
      </c>
      <c r="B35" s="440">
        <f>'B5'!B34</f>
        <v>240.5</v>
      </c>
      <c r="C35" s="192">
        <f t="shared" si="64"/>
        <v>5174.6290322580644</v>
      </c>
      <c r="D35">
        <f t="shared" si="65"/>
        <v>240.5</v>
      </c>
      <c r="E35" s="192">
        <f t="shared" si="66"/>
        <v>5174.6290322580644</v>
      </c>
      <c r="F35">
        <f t="shared" si="67"/>
        <v>240.5</v>
      </c>
      <c r="G35" s="192">
        <f t="shared" si="68"/>
        <v>5174.6290322580644</v>
      </c>
      <c r="H35" s="192">
        <f t="shared" si="69"/>
        <v>240.5</v>
      </c>
      <c r="I35" s="192">
        <f t="shared" si="70"/>
        <v>5174.6290322580644</v>
      </c>
      <c r="J35" s="192">
        <f t="shared" si="71"/>
        <v>240.5</v>
      </c>
      <c r="K35" s="192">
        <f t="shared" si="72"/>
        <v>5174.6290322580644</v>
      </c>
      <c r="L35" s="192">
        <f t="shared" si="73"/>
        <v>240.5</v>
      </c>
      <c r="M35" s="192">
        <f t="shared" si="74"/>
        <v>5174.6290322580644</v>
      </c>
      <c r="N35" s="192">
        <f t="shared" si="75"/>
        <v>240.5</v>
      </c>
      <c r="O35" s="192">
        <f t="shared" si="76"/>
        <v>5174.6290322580644</v>
      </c>
      <c r="P35" s="192">
        <f t="shared" si="77"/>
        <v>240.5</v>
      </c>
      <c r="Q35" s="192">
        <f t="shared" si="78"/>
        <v>5174.6290322580644</v>
      </c>
      <c r="R35" s="192">
        <f t="shared" si="79"/>
        <v>240.5</v>
      </c>
      <c r="S35" s="192">
        <f t="shared" si="80"/>
        <v>5174.6290322580644</v>
      </c>
      <c r="T35" s="192">
        <f t="shared" si="81"/>
        <v>240.5</v>
      </c>
      <c r="U35" s="192">
        <f t="shared" si="82"/>
        <v>5174.6290322580644</v>
      </c>
      <c r="V35" s="192">
        <f t="shared" si="83"/>
        <v>240.5</v>
      </c>
      <c r="W35" s="192">
        <f t="shared" si="84"/>
        <v>5174.6290322580644</v>
      </c>
      <c r="X35" s="34">
        <f t="shared" si="85"/>
        <v>0.77580645161290307</v>
      </c>
      <c r="Y35" s="35">
        <f t="shared" si="86"/>
        <v>56920.919354838697</v>
      </c>
      <c r="Z35" s="440">
        <f>'B5'!C34</f>
        <v>246.5</v>
      </c>
      <c r="AA35" s="192">
        <f t="shared" si="87"/>
        <v>2465</v>
      </c>
      <c r="AB35" s="192">
        <f t="shared" si="88"/>
        <v>246.5</v>
      </c>
      <c r="AC35" s="192">
        <f t="shared" si="89"/>
        <v>2465</v>
      </c>
      <c r="AD35" s="192">
        <f t="shared" si="90"/>
        <v>246.5</v>
      </c>
      <c r="AE35" s="192">
        <f t="shared" si="91"/>
        <v>2465</v>
      </c>
      <c r="AF35" s="192">
        <f t="shared" si="92"/>
        <v>246.5</v>
      </c>
      <c r="AG35" s="192">
        <f t="shared" si="93"/>
        <v>2465</v>
      </c>
      <c r="AH35" s="192">
        <f t="shared" si="94"/>
        <v>246.5</v>
      </c>
      <c r="AI35" s="192">
        <f t="shared" si="95"/>
        <v>2465</v>
      </c>
      <c r="AJ35" s="192">
        <f t="shared" si="96"/>
        <v>246.5</v>
      </c>
      <c r="AK35" s="192">
        <f t="shared" si="97"/>
        <v>2465</v>
      </c>
      <c r="AL35" s="192">
        <f t="shared" si="98"/>
        <v>246.5</v>
      </c>
      <c r="AM35" s="192">
        <f t="shared" si="99"/>
        <v>2465</v>
      </c>
      <c r="AN35" s="34">
        <f t="shared" si="100"/>
        <v>0.88035714285714284</v>
      </c>
      <c r="AO35" s="35">
        <f t="shared" si="101"/>
        <v>17255</v>
      </c>
      <c r="AQ35" s="208">
        <f t="shared" si="102"/>
        <v>0.79784790098783154</v>
      </c>
      <c r="AR35" s="37">
        <f t="shared" si="56"/>
        <v>74175.919354838697</v>
      </c>
      <c r="AS35" s="186">
        <f t="shared" si="103"/>
        <v>-281.40322580645443</v>
      </c>
      <c r="AT35" s="303">
        <v>7795</v>
      </c>
      <c r="AU35" s="475">
        <v>0.91500000000000004</v>
      </c>
      <c r="AV35" s="432">
        <f t="shared" si="62"/>
        <v>0.91500000000000004</v>
      </c>
      <c r="AW35" s="251">
        <f>-SUM('B5'!AI34)</f>
        <v>-383</v>
      </c>
      <c r="AX35" s="251">
        <f t="shared" si="104"/>
        <v>101.59677419354557</v>
      </c>
      <c r="AY35" s="36">
        <f t="shared" si="105"/>
        <v>-281.40322580645443</v>
      </c>
      <c r="AZ35" s="96">
        <f>ELEC!A33</f>
        <v>0</v>
      </c>
      <c r="BA35" s="114">
        <f>'General information '!D34</f>
        <v>14.5</v>
      </c>
      <c r="BB35" s="193">
        <f>SUM('General information '!E34)</f>
        <v>0.75</v>
      </c>
      <c r="BC35" s="3">
        <f t="shared" si="106"/>
        <v>1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4.618035190615708</v>
      </c>
      <c r="BK35" s="469">
        <f>GEN!AF32</f>
        <v>0.19732954545464632</v>
      </c>
    </row>
    <row r="36" spans="1:63">
      <c r="A36" s="379">
        <f>ELEC!C34</f>
        <v>44957</v>
      </c>
      <c r="B36" s="440">
        <f>'B5'!B35</f>
        <v>240.5</v>
      </c>
      <c r="C36" s="192">
        <f t="shared" si="64"/>
        <v>5174.6290322580644</v>
      </c>
      <c r="D36">
        <f t="shared" si="65"/>
        <v>240.5</v>
      </c>
      <c r="E36" s="192">
        <f t="shared" si="66"/>
        <v>5174.6290322580644</v>
      </c>
      <c r="F36">
        <f t="shared" si="67"/>
        <v>240.5</v>
      </c>
      <c r="G36" s="192">
        <f t="shared" si="68"/>
        <v>5174.6290322580644</v>
      </c>
      <c r="H36" s="192">
        <f t="shared" si="69"/>
        <v>240.5</v>
      </c>
      <c r="I36" s="192">
        <f t="shared" si="70"/>
        <v>5174.6290322580644</v>
      </c>
      <c r="J36" s="192">
        <f t="shared" si="71"/>
        <v>240.5</v>
      </c>
      <c r="K36" s="192">
        <f t="shared" si="72"/>
        <v>5174.6290322580644</v>
      </c>
      <c r="L36" s="192">
        <f t="shared" si="73"/>
        <v>240.5</v>
      </c>
      <c r="M36" s="192">
        <f t="shared" si="74"/>
        <v>5174.6290322580644</v>
      </c>
      <c r="N36" s="192">
        <f t="shared" si="75"/>
        <v>240.5</v>
      </c>
      <c r="O36" s="192">
        <f t="shared" si="76"/>
        <v>5174.6290322580644</v>
      </c>
      <c r="P36" s="192">
        <f t="shared" si="77"/>
        <v>240.5</v>
      </c>
      <c r="Q36" s="192">
        <f t="shared" si="78"/>
        <v>5174.6290322580644</v>
      </c>
      <c r="R36" s="192">
        <f t="shared" si="79"/>
        <v>240.5</v>
      </c>
      <c r="S36" s="192">
        <f t="shared" si="80"/>
        <v>5174.6290322580644</v>
      </c>
      <c r="T36" s="192">
        <f t="shared" si="81"/>
        <v>240.5</v>
      </c>
      <c r="U36" s="192">
        <f t="shared" si="82"/>
        <v>5174.6290322580644</v>
      </c>
      <c r="V36" s="192">
        <f t="shared" si="83"/>
        <v>240.5</v>
      </c>
      <c r="W36" s="192">
        <f t="shared" si="84"/>
        <v>5174.6290322580644</v>
      </c>
      <c r="X36" s="34">
        <f t="shared" si="85"/>
        <v>0.77580645161290307</v>
      </c>
      <c r="Y36" s="35">
        <f t="shared" si="86"/>
        <v>56920.919354838697</v>
      </c>
      <c r="Z36" s="440">
        <f>'B5'!C35</f>
        <v>246.5</v>
      </c>
      <c r="AA36" s="192">
        <f t="shared" si="87"/>
        <v>2465</v>
      </c>
      <c r="AB36" s="192">
        <f t="shared" si="88"/>
        <v>246.5</v>
      </c>
      <c r="AC36" s="192">
        <f t="shared" si="89"/>
        <v>2465</v>
      </c>
      <c r="AD36" s="192">
        <f t="shared" si="90"/>
        <v>246.5</v>
      </c>
      <c r="AE36" s="192">
        <f t="shared" si="91"/>
        <v>2465</v>
      </c>
      <c r="AF36" s="192">
        <f t="shared" si="92"/>
        <v>246.5</v>
      </c>
      <c r="AG36" s="192">
        <f t="shared" si="93"/>
        <v>2465</v>
      </c>
      <c r="AH36" s="192">
        <f t="shared" si="94"/>
        <v>246.5</v>
      </c>
      <c r="AI36" s="192">
        <f t="shared" si="95"/>
        <v>2465</v>
      </c>
      <c r="AJ36" s="192">
        <f t="shared" si="96"/>
        <v>246.5</v>
      </c>
      <c r="AK36" s="192">
        <f t="shared" si="97"/>
        <v>2465</v>
      </c>
      <c r="AL36" s="192">
        <f t="shared" si="98"/>
        <v>246.5</v>
      </c>
      <c r="AM36" s="192">
        <f t="shared" si="99"/>
        <v>2465</v>
      </c>
      <c r="AN36" s="34">
        <f t="shared" si="100"/>
        <v>0.88035714285714284</v>
      </c>
      <c r="AO36" s="35">
        <f t="shared" si="101"/>
        <v>17255</v>
      </c>
      <c r="AQ36" s="208">
        <f t="shared" si="102"/>
        <v>0.79784790098783154</v>
      </c>
      <c r="AR36" s="37">
        <f t="shared" si="56"/>
        <v>74175.919354838697</v>
      </c>
      <c r="AS36" s="186">
        <f t="shared" si="103"/>
        <v>0</v>
      </c>
      <c r="AT36" s="303"/>
      <c r="AU36" s="475"/>
      <c r="AV36" s="432">
        <f t="shared" si="62"/>
        <v>0.91500000000000004</v>
      </c>
      <c r="AW36" s="251">
        <f>-SUM('B5'!AI35)</f>
        <v>0</v>
      </c>
      <c r="AX36" s="251">
        <f t="shared" si="104"/>
        <v>0</v>
      </c>
      <c r="AY36" s="36">
        <f t="shared" si="105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0</v>
      </c>
      <c r="BK36" s="469" t="e">
        <f>GEN!AF33</f>
        <v>#DIV/0!</v>
      </c>
    </row>
    <row r="37" spans="1:63">
      <c r="AQ37" s="19"/>
      <c r="AR37" s="409" t="s">
        <v>121</v>
      </c>
      <c r="AS37" s="414">
        <f>COUNT(AT6:AT36)</f>
        <v>4</v>
      </c>
      <c r="AT37" s="192">
        <f>SUM(AT6:AT36)</f>
        <v>26650</v>
      </c>
      <c r="AU37">
        <f>SUM(AU6:AU36)/AS37</f>
        <v>0.88900000000000001</v>
      </c>
      <c r="AX37" s="192">
        <f>SUM(AX6:AX36)</f>
        <v>-15944.758064516136</v>
      </c>
      <c r="AY37" s="192">
        <f>SUM(AY6:AY36)</f>
        <v>-19749.758064516136</v>
      </c>
    </row>
    <row r="38" spans="1:63">
      <c r="AT38" s="79">
        <f>+AT37*AU37</f>
        <v>23691.85</v>
      </c>
    </row>
    <row r="40" spans="1:63">
      <c r="AS40" s="1">
        <f>SUM(AS6:AS36)/'EDl log'!A35</f>
        <v>-4937.439516129034</v>
      </c>
      <c r="AT40" s="192"/>
    </row>
    <row r="41" spans="1:63">
      <c r="AX41">
        <v>43309</v>
      </c>
    </row>
    <row r="42" spans="1:63">
      <c r="AR42" s="192">
        <f>AR36-22000</f>
        <v>52175.919354838697</v>
      </c>
      <c r="AU42" s="192"/>
      <c r="AX42">
        <f>AX37/AX41</f>
        <v>-0.36816269284712499</v>
      </c>
    </row>
    <row r="43" spans="1:63">
      <c r="AR43">
        <f>AR42/5500</f>
        <v>9.4865307917888533</v>
      </c>
    </row>
    <row r="44" spans="1:63">
      <c r="AR44">
        <f>AR43*2</f>
        <v>18.973061583577707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F1" zoomScale="85" zoomScaleNormal="85" workbookViewId="0">
      <pane ySplit="3" topLeftCell="AC29" activePane="bottomLeft" state="frozen"/>
      <selection pane="bottomLeft" activeCell="AY31" sqref="AY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8224606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16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v>516</v>
      </c>
      <c r="W16" s="276">
        <f t="shared" si="15"/>
        <v>1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-1</v>
      </c>
      <c r="AM16" s="279">
        <f>'General information '!D15</f>
        <v>16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v>99</v>
      </c>
      <c r="AW16" s="5">
        <v>2.9</v>
      </c>
      <c r="AX16" s="190">
        <v>133</v>
      </c>
      <c r="AY16" s="365">
        <f t="shared" si="37"/>
        <v>126</v>
      </c>
      <c r="AZ16" s="365">
        <f t="shared" si="38"/>
        <v>108.9</v>
      </c>
      <c r="BA16" s="365">
        <f t="shared" si="39"/>
        <v>385.7</v>
      </c>
      <c r="BB16" s="20">
        <f t="shared" si="40"/>
        <v>0</v>
      </c>
      <c r="BC16" s="20">
        <f t="shared" si="32"/>
        <v>-1.1000000000000085</v>
      </c>
      <c r="BD16" s="20">
        <f t="shared" si="32"/>
        <v>-5.8000000000000114</v>
      </c>
      <c r="BE16" s="23">
        <f t="shared" si="33"/>
        <v>-6.9000000000000199</v>
      </c>
      <c r="BF16" s="79">
        <f t="shared" si="34"/>
        <v>6.9000000000000199</v>
      </c>
      <c r="BG16" s="79">
        <f t="shared" si="4"/>
        <v>-6.9000000000000199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v>632662</v>
      </c>
      <c r="H17" s="5">
        <f t="shared" si="8"/>
        <v>63</v>
      </c>
      <c r="I17" s="5">
        <f t="shared" si="9"/>
        <v>63</v>
      </c>
      <c r="J17" s="286">
        <f t="shared" si="0"/>
        <v>3.8402457757296466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516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v>175</v>
      </c>
      <c r="AU17" s="364">
        <f t="shared" si="43"/>
        <v>1.1000000000000001</v>
      </c>
      <c r="AV17" s="190">
        <v>95</v>
      </c>
      <c r="AW17" s="5">
        <v>2.9</v>
      </c>
      <c r="AX17" s="190">
        <v>130</v>
      </c>
      <c r="AY17" s="365">
        <f t="shared" si="37"/>
        <v>157.5</v>
      </c>
      <c r="AZ17" s="365">
        <f t="shared" si="38"/>
        <v>104.50000000000001</v>
      </c>
      <c r="BA17" s="365">
        <f t="shared" si="39"/>
        <v>377</v>
      </c>
      <c r="BB17" s="20">
        <f t="shared" si="40"/>
        <v>31.5</v>
      </c>
      <c r="BC17" s="20">
        <f t="shared" si="32"/>
        <v>-4.3999999999999915</v>
      </c>
      <c r="BD17" s="20">
        <f t="shared" si="32"/>
        <v>-8.6999999999999886</v>
      </c>
      <c r="BE17" s="23">
        <f t="shared" si="33"/>
        <v>18.40000000000002</v>
      </c>
      <c r="BF17" s="79">
        <f t="shared" si="34"/>
        <v>44.59999999999998</v>
      </c>
      <c r="BG17" s="79">
        <f t="shared" si="4"/>
        <v>18.40000000000002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632662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516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175</v>
      </c>
      <c r="AU18" s="364">
        <f t="shared" si="43"/>
        <v>1.1000000000000001</v>
      </c>
      <c r="AV18" s="190">
        <f t="shared" si="30"/>
        <v>95</v>
      </c>
      <c r="AW18" s="5">
        <v>2.9</v>
      </c>
      <c r="AX18" s="190">
        <f t="shared" si="31"/>
        <v>130</v>
      </c>
      <c r="AY18" s="365">
        <f t="shared" si="37"/>
        <v>157.5</v>
      </c>
      <c r="AZ18" s="365">
        <f t="shared" si="38"/>
        <v>104.50000000000001</v>
      </c>
      <c r="BA18" s="365">
        <f t="shared" si="39"/>
        <v>377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632662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516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15.5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175</v>
      </c>
      <c r="AU19" s="364">
        <f t="shared" si="43"/>
        <v>1.1000000000000001</v>
      </c>
      <c r="AV19" s="190">
        <f t="shared" si="30"/>
        <v>95</v>
      </c>
      <c r="AW19" s="5">
        <v>2.9</v>
      </c>
      <c r="AX19" s="190">
        <f t="shared" si="31"/>
        <v>130</v>
      </c>
      <c r="AY19" s="365">
        <f>AS19*AT19</f>
        <v>157.5</v>
      </c>
      <c r="AZ19" s="365">
        <f>AU19*AV19</f>
        <v>104.50000000000001</v>
      </c>
      <c r="BA19" s="365">
        <f>AW19*AX19</f>
        <v>377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632662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516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15.5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175</v>
      </c>
      <c r="AU20" s="364">
        <f t="shared" si="43"/>
        <v>1.1000000000000001</v>
      </c>
      <c r="AV20" s="190">
        <v>90</v>
      </c>
      <c r="AW20" s="5">
        <v>2.9</v>
      </c>
      <c r="AX20" s="190">
        <v>126</v>
      </c>
      <c r="AY20" s="365">
        <f>AS20*AT20</f>
        <v>157.5</v>
      </c>
      <c r="AZ20" s="365">
        <f>AU20*AV20</f>
        <v>99.000000000000014</v>
      </c>
      <c r="BA20" s="365">
        <f>AW20*AX20</f>
        <v>365.4</v>
      </c>
      <c r="BB20" s="20">
        <f t="shared" si="40"/>
        <v>0</v>
      </c>
      <c r="BC20" s="20">
        <f t="shared" si="48"/>
        <v>-5.5</v>
      </c>
      <c r="BD20" s="20">
        <f t="shared" si="48"/>
        <v>-11.600000000000023</v>
      </c>
      <c r="BE20" s="23">
        <f>SUM(BB20:BD20)</f>
        <v>-17.100000000000023</v>
      </c>
      <c r="BF20" s="79">
        <f t="shared" si="34"/>
        <v>17.100000000000023</v>
      </c>
      <c r="BG20" s="79">
        <f t="shared" si="4"/>
        <v>-17.100000000000023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632662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516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16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175</v>
      </c>
      <c r="AU21" s="364">
        <f t="shared" si="43"/>
        <v>1.1000000000000001</v>
      </c>
      <c r="AV21" s="190">
        <v>87</v>
      </c>
      <c r="AW21" s="5">
        <v>2.9</v>
      </c>
      <c r="AX21" s="190">
        <v>122</v>
      </c>
      <c r="AY21" s="365">
        <f>AS21*AT21</f>
        <v>157.5</v>
      </c>
      <c r="AZ21" s="365">
        <f>AU21*AV21</f>
        <v>95.7</v>
      </c>
      <c r="BA21" s="365">
        <f>AW21*AX21</f>
        <v>353.8</v>
      </c>
      <c r="BB21" s="20">
        <f t="shared" si="40"/>
        <v>0</v>
      </c>
      <c r="BC21" s="20">
        <f t="shared" si="32"/>
        <v>-3.3000000000000114</v>
      </c>
      <c r="BD21" s="20">
        <f t="shared" si="32"/>
        <v>-11.599999999999966</v>
      </c>
      <c r="BE21" s="23">
        <f t="shared" si="33"/>
        <v>-14.899999999999977</v>
      </c>
      <c r="BF21" s="79">
        <f t="shared" si="34"/>
        <v>14.899999999999977</v>
      </c>
      <c r="BG21" s="79">
        <f t="shared" si="4"/>
        <v>-14.899999999999977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632662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v>517</v>
      </c>
      <c r="W22" s="276">
        <f t="shared" si="15"/>
        <v>1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-1</v>
      </c>
      <c r="AM22" s="279">
        <f>'General information '!D21</f>
        <v>16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175</v>
      </c>
      <c r="AU22" s="364">
        <f t="shared" si="43"/>
        <v>1.1000000000000001</v>
      </c>
      <c r="AV22" s="190">
        <v>85</v>
      </c>
      <c r="AW22" s="5">
        <v>2.9</v>
      </c>
      <c r="AX22" s="190">
        <v>118</v>
      </c>
      <c r="AY22" s="365">
        <f t="shared" si="37"/>
        <v>157.5</v>
      </c>
      <c r="AZ22" s="365">
        <f t="shared" si="38"/>
        <v>93.500000000000014</v>
      </c>
      <c r="BA22" s="365">
        <f t="shared" si="39"/>
        <v>342.2</v>
      </c>
      <c r="BB22" s="20">
        <f t="shared" si="40"/>
        <v>0</v>
      </c>
      <c r="BC22" s="20">
        <f t="shared" ref="BC22:BD33" si="50">AZ22-AZ21</f>
        <v>-2.1999999999999886</v>
      </c>
      <c r="BD22" s="20">
        <f t="shared" si="50"/>
        <v>-11.600000000000023</v>
      </c>
      <c r="BE22" s="23">
        <f t="shared" si="33"/>
        <v>-13.800000000000011</v>
      </c>
      <c r="BF22" s="79">
        <f t="shared" si="34"/>
        <v>13.800000000000011</v>
      </c>
      <c r="BG22" s="79">
        <f t="shared" si="4"/>
        <v>-13.800000000000011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632662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517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16.5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175</v>
      </c>
      <c r="AU23" s="364">
        <f t="shared" si="43"/>
        <v>1.1000000000000001</v>
      </c>
      <c r="AV23" s="190">
        <f t="shared" si="30"/>
        <v>85</v>
      </c>
      <c r="AW23" s="5">
        <v>2.9</v>
      </c>
      <c r="AX23" s="190">
        <f t="shared" si="31"/>
        <v>118</v>
      </c>
      <c r="AY23" s="365">
        <f t="shared" si="37"/>
        <v>157.5</v>
      </c>
      <c r="AZ23" s="365">
        <f t="shared" si="38"/>
        <v>93.500000000000014</v>
      </c>
      <c r="BA23" s="365">
        <f t="shared" si="39"/>
        <v>342.2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632662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517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16.5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175</v>
      </c>
      <c r="AU24" s="364">
        <f t="shared" si="43"/>
        <v>1.1000000000000001</v>
      </c>
      <c r="AV24" s="190">
        <f t="shared" si="30"/>
        <v>85</v>
      </c>
      <c r="AW24" s="5">
        <v>2.9</v>
      </c>
      <c r="AX24" s="190">
        <v>111</v>
      </c>
      <c r="AY24" s="365">
        <f t="shared" si="37"/>
        <v>157.5</v>
      </c>
      <c r="AZ24" s="365">
        <f t="shared" si="38"/>
        <v>93.500000000000014</v>
      </c>
      <c r="BA24" s="365">
        <f t="shared" si="39"/>
        <v>321.89999999999998</v>
      </c>
      <c r="BB24" s="20">
        <f t="shared" si="40"/>
        <v>0</v>
      </c>
      <c r="BC24" s="20">
        <f t="shared" si="50"/>
        <v>0</v>
      </c>
      <c r="BD24" s="20">
        <f t="shared" si="50"/>
        <v>-20.300000000000011</v>
      </c>
      <c r="BE24" s="23">
        <f t="shared" si="33"/>
        <v>-20.300000000000011</v>
      </c>
      <c r="BF24" s="79">
        <f t="shared" si="34"/>
        <v>20.300000000000011</v>
      </c>
      <c r="BG24" s="79">
        <f t="shared" si="4"/>
        <v>-20.300000000000011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632662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517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175</v>
      </c>
      <c r="AU25" s="364">
        <f t="shared" si="43"/>
        <v>1.1000000000000001</v>
      </c>
      <c r="AV25" s="190">
        <f t="shared" si="30"/>
        <v>85</v>
      </c>
      <c r="AW25" s="5">
        <v>2.9</v>
      </c>
      <c r="AX25" s="190">
        <f t="shared" si="31"/>
        <v>111</v>
      </c>
      <c r="AY25" s="365">
        <f t="shared" si="37"/>
        <v>157.5</v>
      </c>
      <c r="AZ25" s="365">
        <f t="shared" si="38"/>
        <v>93.500000000000014</v>
      </c>
      <c r="BA25" s="365">
        <f t="shared" si="39"/>
        <v>321.89999999999998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632662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517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175</v>
      </c>
      <c r="AU26" s="364">
        <f t="shared" si="43"/>
        <v>1.1000000000000001</v>
      </c>
      <c r="AV26" s="190">
        <f t="shared" si="30"/>
        <v>85</v>
      </c>
      <c r="AW26" s="5">
        <v>2.9</v>
      </c>
      <c r="AX26" s="190">
        <f t="shared" si="31"/>
        <v>111</v>
      </c>
      <c r="AY26" s="365">
        <f t="shared" si="37"/>
        <v>157.5</v>
      </c>
      <c r="AZ26" s="365">
        <f t="shared" si="38"/>
        <v>93.500000000000014</v>
      </c>
      <c r="BA26" s="365">
        <f t="shared" si="39"/>
        <v>321.89999999999998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632662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517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21.5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175</v>
      </c>
      <c r="AU27" s="364">
        <f t="shared" si="43"/>
        <v>1.1000000000000001</v>
      </c>
      <c r="AV27" s="190">
        <v>80</v>
      </c>
      <c r="AW27" s="5">
        <v>2.9</v>
      </c>
      <c r="AX27" s="190">
        <v>109</v>
      </c>
      <c r="AY27" s="365">
        <f t="shared" si="37"/>
        <v>157.5</v>
      </c>
      <c r="AZ27" s="365">
        <f t="shared" si="38"/>
        <v>88</v>
      </c>
      <c r="BA27" s="365">
        <f t="shared" si="39"/>
        <v>316.09999999999997</v>
      </c>
      <c r="BB27" s="20">
        <f t="shared" si="40"/>
        <v>0</v>
      </c>
      <c r="BC27" s="20">
        <f t="shared" si="50"/>
        <v>-5.5000000000000142</v>
      </c>
      <c r="BD27" s="20">
        <f t="shared" si="50"/>
        <v>-5.8000000000000114</v>
      </c>
      <c r="BE27" s="23">
        <f t="shared" si="33"/>
        <v>-11.300000000000026</v>
      </c>
      <c r="BF27" s="79">
        <f t="shared" si="34"/>
        <v>11.300000000000026</v>
      </c>
      <c r="BG27" s="79">
        <f t="shared" si="4"/>
        <v>-11.300000000000026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632662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517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17.5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v>177</v>
      </c>
      <c r="AU28" s="364">
        <f t="shared" si="43"/>
        <v>1.1000000000000001</v>
      </c>
      <c r="AV28" s="190">
        <v>74</v>
      </c>
      <c r="AW28" s="5">
        <v>2.9</v>
      </c>
      <c r="AX28" s="190">
        <v>107</v>
      </c>
      <c r="AY28" s="365">
        <f t="shared" si="37"/>
        <v>159.30000000000001</v>
      </c>
      <c r="AZ28" s="365">
        <f t="shared" si="38"/>
        <v>81.400000000000006</v>
      </c>
      <c r="BA28" s="365">
        <f t="shared" si="39"/>
        <v>310.3</v>
      </c>
      <c r="BB28" s="20">
        <f t="shared" si="40"/>
        <v>1.8000000000000114</v>
      </c>
      <c r="BC28" s="20">
        <f t="shared" si="50"/>
        <v>-6.5999999999999943</v>
      </c>
      <c r="BD28" s="20">
        <f t="shared" si="50"/>
        <v>-5.7999999999999545</v>
      </c>
      <c r="BE28" s="23">
        <f t="shared" si="33"/>
        <v>-10.599999999999937</v>
      </c>
      <c r="BF28" s="79">
        <f t="shared" si="34"/>
        <v>10.599999999999937</v>
      </c>
      <c r="BG28" s="79">
        <f t="shared" si="4"/>
        <v>-10.599999999999937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632662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517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16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v>141</v>
      </c>
      <c r="AU29" s="364">
        <f t="shared" si="43"/>
        <v>1.1000000000000001</v>
      </c>
      <c r="AV29" s="190">
        <v>73</v>
      </c>
      <c r="AW29" s="5">
        <v>2.9</v>
      </c>
      <c r="AX29" s="190">
        <v>105</v>
      </c>
      <c r="AY29" s="365">
        <f t="shared" si="37"/>
        <v>126.9</v>
      </c>
      <c r="AZ29" s="365">
        <f t="shared" si="38"/>
        <v>80.300000000000011</v>
      </c>
      <c r="BA29" s="365">
        <f t="shared" si="39"/>
        <v>304.5</v>
      </c>
      <c r="BB29" s="20">
        <f t="shared" si="40"/>
        <v>-32.400000000000006</v>
      </c>
      <c r="BC29" s="20">
        <f t="shared" si="50"/>
        <v>-1.0999999999999943</v>
      </c>
      <c r="BD29" s="20">
        <f t="shared" si="50"/>
        <v>-5.8000000000000114</v>
      </c>
      <c r="BE29" s="23">
        <f t="shared" si="33"/>
        <v>-39.300000000000011</v>
      </c>
      <c r="BF29" s="79">
        <f t="shared" si="34"/>
        <v>39.300000000000011</v>
      </c>
      <c r="BG29" s="79">
        <f t="shared" si="4"/>
        <v>-39.300000000000011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632662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517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16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v>138</v>
      </c>
      <c r="AU30" s="364">
        <f t="shared" si="43"/>
        <v>1.1000000000000001</v>
      </c>
      <c r="AV30" s="190">
        <f t="shared" si="30"/>
        <v>73</v>
      </c>
      <c r="AW30" s="5">
        <v>2.9</v>
      </c>
      <c r="AX30" s="190">
        <v>103</v>
      </c>
      <c r="AY30" s="365">
        <f t="shared" si="37"/>
        <v>124.2</v>
      </c>
      <c r="AZ30" s="365">
        <f t="shared" si="38"/>
        <v>80.300000000000011</v>
      </c>
      <c r="BA30" s="365">
        <f t="shared" si="39"/>
        <v>298.7</v>
      </c>
      <c r="BB30" s="20">
        <f t="shared" si="40"/>
        <v>-2.7000000000000028</v>
      </c>
      <c r="BC30" s="20">
        <f t="shared" si="50"/>
        <v>0</v>
      </c>
      <c r="BD30" s="20">
        <f t="shared" si="50"/>
        <v>-5.8000000000000114</v>
      </c>
      <c r="BE30" s="23">
        <f t="shared" si="33"/>
        <v>-8.5000000000000142</v>
      </c>
      <c r="BF30" s="79">
        <f t="shared" si="34"/>
        <v>8.5000000000000142</v>
      </c>
      <c r="BG30" s="79">
        <f t="shared" si="4"/>
        <v>-8.5000000000000142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632662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517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16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v>133</v>
      </c>
      <c r="AU31" s="364">
        <f t="shared" si="43"/>
        <v>1.1000000000000001</v>
      </c>
      <c r="AV31" s="190">
        <v>72</v>
      </c>
      <c r="AW31" s="5">
        <v>2.9</v>
      </c>
      <c r="AX31" s="190">
        <v>102</v>
      </c>
      <c r="AY31" s="365">
        <f t="shared" si="37"/>
        <v>119.7</v>
      </c>
      <c r="AZ31" s="365">
        <f>AU31*AV31</f>
        <v>79.2</v>
      </c>
      <c r="BA31" s="365">
        <f t="shared" si="39"/>
        <v>295.8</v>
      </c>
      <c r="BB31" s="20">
        <f t="shared" si="40"/>
        <v>-4.5</v>
      </c>
      <c r="BC31" s="20">
        <f t="shared" si="50"/>
        <v>-1.1000000000000085</v>
      </c>
      <c r="BD31" s="20">
        <f t="shared" si="50"/>
        <v>-2.8999999999999773</v>
      </c>
      <c r="BE31" s="23">
        <f t="shared" si="33"/>
        <v>-8.4999999999999858</v>
      </c>
      <c r="BF31" s="79">
        <f t="shared" si="34"/>
        <v>8.4999999999999858</v>
      </c>
      <c r="BG31" s="79">
        <f t="shared" si="4"/>
        <v>-8.4999999999999858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632662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517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133</v>
      </c>
      <c r="AU32" s="364">
        <f t="shared" si="43"/>
        <v>1.1000000000000001</v>
      </c>
      <c r="AV32" s="190">
        <f t="shared" si="30"/>
        <v>72</v>
      </c>
      <c r="AW32" s="5">
        <v>2.9</v>
      </c>
      <c r="AX32" s="190">
        <f t="shared" si="31"/>
        <v>102</v>
      </c>
      <c r="AY32" s="365">
        <f t="shared" si="37"/>
        <v>119.7</v>
      </c>
      <c r="AZ32" s="365">
        <f t="shared" si="38"/>
        <v>79.2</v>
      </c>
      <c r="BA32" s="365">
        <f t="shared" si="39"/>
        <v>295.8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632662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517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133</v>
      </c>
      <c r="AU33" s="364">
        <f t="shared" si="43"/>
        <v>1.1000000000000001</v>
      </c>
      <c r="AV33" s="190">
        <f t="shared" si="30"/>
        <v>72</v>
      </c>
      <c r="AW33" s="5">
        <v>2.9</v>
      </c>
      <c r="AX33" s="190">
        <f t="shared" si="31"/>
        <v>102</v>
      </c>
      <c r="AY33" s="365">
        <f t="shared" si="37"/>
        <v>119.7</v>
      </c>
      <c r="AZ33" s="365">
        <f t="shared" si="38"/>
        <v>79.2</v>
      </c>
      <c r="BA33" s="365">
        <f t="shared" si="39"/>
        <v>295.8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632662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5201</v>
      </c>
      <c r="U34" s="5">
        <f t="shared" ref="U34:U36" si="60">SUM(T34-T33)</f>
        <v>5</v>
      </c>
      <c r="V34" s="5">
        <v>518</v>
      </c>
      <c r="W34" s="276">
        <f t="shared" ref="W34:W36" si="61">+V34-V33</f>
        <v>1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-1</v>
      </c>
      <c r="AM34" s="279">
        <f>'General information '!D33</f>
        <v>16.5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v>131</v>
      </c>
      <c r="AU34" s="364">
        <f t="shared" si="43"/>
        <v>1.1000000000000001</v>
      </c>
      <c r="AV34" s="190">
        <v>67</v>
      </c>
      <c r="AW34" s="5">
        <v>2.9</v>
      </c>
      <c r="AX34" s="190">
        <v>100</v>
      </c>
      <c r="AY34" s="365">
        <f t="shared" ref="AY34:AY36" si="72">AS34*AT34</f>
        <v>117.9</v>
      </c>
      <c r="AZ34" s="365">
        <f t="shared" ref="AZ34:AZ36" si="73">AU34*AV34</f>
        <v>73.7</v>
      </c>
      <c r="BA34" s="365">
        <f t="shared" ref="BA34:BA36" si="74">AW34*AX34</f>
        <v>290</v>
      </c>
      <c r="BB34" s="20">
        <f t="shared" si="40"/>
        <v>-1.7999999999999972</v>
      </c>
      <c r="BC34" s="20">
        <f t="shared" ref="BC34:BC36" si="75">AZ34-AZ33</f>
        <v>-5.5</v>
      </c>
      <c r="BD34" s="20">
        <f t="shared" ref="BD34:BD36" si="76">BA34-BA33</f>
        <v>-5.8000000000000114</v>
      </c>
      <c r="BE34" s="23">
        <f t="shared" ref="BE34:BE36" si="77">SUM(BB34:BD34)</f>
        <v>-13.100000000000009</v>
      </c>
      <c r="BF34" s="79">
        <f t="shared" ref="BF34:BF36" si="78">SUM(I34-BE34)</f>
        <v>13.100000000000009</v>
      </c>
      <c r="BG34" s="79">
        <f t="shared" ref="BG34:BG36" si="79">SUM(I34-BF34)</f>
        <v>-13.100000000000009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632662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5201</v>
      </c>
      <c r="U35" s="5">
        <f t="shared" si="60"/>
        <v>0</v>
      </c>
      <c r="V35" s="5">
        <f t="shared" si="14"/>
        <v>518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14.5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131</v>
      </c>
      <c r="AU35" s="364">
        <f t="shared" si="43"/>
        <v>1.1000000000000001</v>
      </c>
      <c r="AV35" s="190">
        <v>62</v>
      </c>
      <c r="AW35" s="5">
        <v>2.9</v>
      </c>
      <c r="AX35" s="190">
        <v>98</v>
      </c>
      <c r="AY35" s="365">
        <f t="shared" si="72"/>
        <v>117.9</v>
      </c>
      <c r="AZ35" s="365">
        <f t="shared" si="73"/>
        <v>68.2</v>
      </c>
      <c r="BA35" s="365">
        <f t="shared" si="74"/>
        <v>284.2</v>
      </c>
      <c r="BB35" s="20">
        <f t="shared" si="40"/>
        <v>0</v>
      </c>
      <c r="BC35" s="20">
        <f t="shared" si="75"/>
        <v>-5.5</v>
      </c>
      <c r="BD35" s="20">
        <f t="shared" si="76"/>
        <v>-5.8000000000000114</v>
      </c>
      <c r="BE35" s="23">
        <f t="shared" si="77"/>
        <v>-11.300000000000011</v>
      </c>
      <c r="BF35" s="79">
        <f t="shared" si="78"/>
        <v>11.300000000000011</v>
      </c>
      <c r="BG35" s="79">
        <f t="shared" si="79"/>
        <v>-11.300000000000011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44"/>
        <v>632662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3"/>
        <v>5201</v>
      </c>
      <c r="U36" s="5">
        <f t="shared" si="60"/>
        <v>0</v>
      </c>
      <c r="V36" s="5">
        <f t="shared" si="14"/>
        <v>518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f t="shared" si="17"/>
        <v>99898</v>
      </c>
      <c r="AA36" s="80">
        <f t="shared" si="63"/>
        <v>0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36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f t="shared" si="81"/>
        <v>131</v>
      </c>
      <c r="AU36" s="364">
        <f t="shared" si="43"/>
        <v>1.1000000000000001</v>
      </c>
      <c r="AV36" s="190">
        <f t="shared" si="30"/>
        <v>62</v>
      </c>
      <c r="AW36" s="5">
        <v>2.9</v>
      </c>
      <c r="AX36" s="190">
        <f t="shared" si="31"/>
        <v>98</v>
      </c>
      <c r="AY36" s="365">
        <f t="shared" si="72"/>
        <v>117.9</v>
      </c>
      <c r="AZ36" s="365">
        <f t="shared" si="73"/>
        <v>68.2</v>
      </c>
      <c r="BA36" s="365">
        <f t="shared" si="74"/>
        <v>284.2</v>
      </c>
      <c r="BB36" s="20">
        <f t="shared" si="40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68</v>
      </c>
      <c r="I37" s="351">
        <f>SUM(I6:I36)</f>
        <v>68</v>
      </c>
      <c r="L37" s="1">
        <f>SUM(L7:L36)</f>
        <v>0</v>
      </c>
      <c r="Q37" s="353">
        <f>SUM(Q6:Q36)</f>
        <v>0</v>
      </c>
      <c r="U37" s="1">
        <f>SUM(U6:U36)</f>
        <v>3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-6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68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68</v>
      </c>
      <c r="H39" s="1">
        <f>SUM(H38+C38)</f>
        <v>7500</v>
      </c>
      <c r="K39" s="1">
        <f>SUM(H39/G39)</f>
        <v>110.29411764705883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30" activePane="bottomLeft" state="frozen"/>
      <selection pane="bottomLeft" activeCell="J50" sqref="J50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44926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44927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3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19</v>
      </c>
      <c r="C14" s="36">
        <v>13</v>
      </c>
      <c r="D14" s="25">
        <f t="shared" si="3"/>
        <v>16</v>
      </c>
      <c r="E14" s="193">
        <v>0.44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>
        <v>19</v>
      </c>
      <c r="C15" s="36">
        <v>13</v>
      </c>
      <c r="D15" s="25">
        <f t="shared" si="3"/>
        <v>16</v>
      </c>
      <c r="E15" s="193">
        <v>0.49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>
        <v>18</v>
      </c>
      <c r="C18" s="36">
        <v>13</v>
      </c>
      <c r="D18" s="25">
        <f t="shared" si="3"/>
        <v>15.5</v>
      </c>
      <c r="E18" s="193">
        <v>0.63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>
        <v>19</v>
      </c>
      <c r="C19" s="36">
        <v>12</v>
      </c>
      <c r="D19" s="25">
        <f t="shared" si="3"/>
        <v>15.5</v>
      </c>
      <c r="E19" s="193">
        <v>0.7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>
        <v>19</v>
      </c>
      <c r="C20" s="36">
        <v>13</v>
      </c>
      <c r="D20" s="25">
        <f t="shared" si="3"/>
        <v>16</v>
      </c>
      <c r="E20" s="193">
        <v>0.7</v>
      </c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>
        <v>19</v>
      </c>
      <c r="C21" s="36">
        <v>13</v>
      </c>
      <c r="D21" s="25">
        <f t="shared" ref="D21" si="5">(C21+B21)/2</f>
        <v>16</v>
      </c>
      <c r="E21" s="193">
        <v>0.65</v>
      </c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>
        <v>19</v>
      </c>
      <c r="C22" s="36">
        <v>14</v>
      </c>
      <c r="D22" s="25">
        <f>(C22+B22)/2</f>
        <v>16.5</v>
      </c>
      <c r="E22" s="193">
        <v>0.68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>
        <v>20</v>
      </c>
      <c r="C23" s="36">
        <v>13</v>
      </c>
      <c r="D23" s="25">
        <f t="shared" ref="D23:D35" si="6">(C23+B23)/2</f>
        <v>16.5</v>
      </c>
      <c r="E23" s="193">
        <v>0.41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/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/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>
        <v>20</v>
      </c>
      <c r="C26" s="36">
        <v>23</v>
      </c>
      <c r="D26" s="25">
        <f t="shared" si="6"/>
        <v>21.5</v>
      </c>
      <c r="E26" s="193">
        <v>0.65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>
        <v>22</v>
      </c>
      <c r="C27" s="36">
        <v>13</v>
      </c>
      <c r="D27" s="25">
        <f t="shared" si="6"/>
        <v>17.5</v>
      </c>
      <c r="E27" s="193">
        <v>0.49</v>
      </c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>
        <v>19</v>
      </c>
      <c r="C28" s="36">
        <v>13</v>
      </c>
      <c r="D28" s="25">
        <f t="shared" si="6"/>
        <v>16</v>
      </c>
      <c r="E28" s="193">
        <v>0.56000000000000005</v>
      </c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>
        <v>19</v>
      </c>
      <c r="C29" s="36">
        <v>13</v>
      </c>
      <c r="D29" s="25">
        <f t="shared" si="6"/>
        <v>16</v>
      </c>
      <c r="E29" s="193">
        <v>0.56000000000000005</v>
      </c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>
        <v>18</v>
      </c>
      <c r="C30" s="36">
        <v>14</v>
      </c>
      <c r="D30" s="25">
        <f t="shared" si="6"/>
        <v>16</v>
      </c>
      <c r="E30" s="291">
        <v>0.49</v>
      </c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>
        <v>18</v>
      </c>
      <c r="C33" s="36">
        <v>15</v>
      </c>
      <c r="D33" s="25">
        <f t="shared" si="6"/>
        <v>16.5</v>
      </c>
      <c r="E33" s="193">
        <v>0.73</v>
      </c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>
        <v>18</v>
      </c>
      <c r="C34" s="36">
        <v>11</v>
      </c>
      <c r="D34" s="25">
        <f t="shared" si="6"/>
        <v>14.5</v>
      </c>
      <c r="E34" s="193">
        <v>0.75</v>
      </c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91.25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zoomScale="60" zoomScaleNormal="60" workbookViewId="0">
      <pane ySplit="1" topLeftCell="A27" activePane="bottomLeft" state="frozen"/>
      <selection pane="bottomLeft" activeCell="C32" sqref="C32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v>13918</v>
      </c>
      <c r="S10" s="248">
        <f t="shared" si="5"/>
        <v>1</v>
      </c>
      <c r="T10" s="444">
        <f t="shared" si="31"/>
        <v>418762</v>
      </c>
      <c r="U10" s="248">
        <f t="shared" si="32"/>
        <v>250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12</v>
      </c>
      <c r="AA10" s="248">
        <f t="shared" si="20"/>
        <v>1185</v>
      </c>
      <c r="AB10" s="248">
        <f t="shared" si="21"/>
        <v>585</v>
      </c>
      <c r="AC10" s="248">
        <f t="shared" si="22"/>
        <v>98.75</v>
      </c>
      <c r="AD10" s="71">
        <f>ELEC!Q11</f>
        <v>2362.0000000009895</v>
      </c>
      <c r="AE10" s="71">
        <f t="shared" si="26"/>
        <v>196.83333333341579</v>
      </c>
      <c r="AF10" s="345">
        <f t="shared" si="27"/>
        <v>0.12302083333338487</v>
      </c>
      <c r="AG10" s="345">
        <f t="shared" si="27"/>
        <v>7.688802083336555E-5</v>
      </c>
      <c r="AH10" s="346">
        <f t="shared" si="23"/>
        <v>98.749923111979172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50.661744022524744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13918</v>
      </c>
      <c r="S11" s="248">
        <f t="shared" si="5"/>
        <v>0</v>
      </c>
      <c r="T11" s="444">
        <f t="shared" si="31"/>
        <v>418762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13918</v>
      </c>
      <c r="S12" s="248">
        <f t="shared" si="5"/>
        <v>0</v>
      </c>
      <c r="T12" s="444">
        <f>T11+U12</f>
        <v>418762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v>1809</v>
      </c>
      <c r="C13" s="248">
        <f t="shared" si="11"/>
        <v>9</v>
      </c>
      <c r="D13" s="444">
        <f t="shared" si="25"/>
        <v>812906</v>
      </c>
      <c r="E13" s="248">
        <f t="shared" si="12"/>
        <v>765</v>
      </c>
      <c r="F13" s="248">
        <f t="shared" si="0"/>
        <v>85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13918</v>
      </c>
      <c r="S13" s="248">
        <f t="shared" si="5"/>
        <v>0</v>
      </c>
      <c r="T13" s="444">
        <f t="shared" si="31"/>
        <v>418762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9</v>
      </c>
      <c r="AA13" s="248">
        <f t="shared" si="20"/>
        <v>765</v>
      </c>
      <c r="AB13" s="248">
        <f t="shared" si="21"/>
        <v>585</v>
      </c>
      <c r="AC13" s="248">
        <f t="shared" si="22"/>
        <v>85</v>
      </c>
      <c r="AD13" s="71">
        <f>ELEC!Q14</f>
        <v>1457.0000000021537</v>
      </c>
      <c r="AE13" s="71">
        <f t="shared" si="26"/>
        <v>161.8888888891282</v>
      </c>
      <c r="AF13" s="345">
        <f t="shared" si="27"/>
        <v>0.10118055555570513</v>
      </c>
      <c r="AG13" s="345">
        <f t="shared" si="27"/>
        <v>6.3237847222315704E-5</v>
      </c>
      <c r="AH13" s="346">
        <f t="shared" si="23"/>
        <v>84.999936762152771</v>
      </c>
      <c r="AI13" s="71">
        <f t="shared" si="28"/>
        <v>375.00843881911976</v>
      </c>
      <c r="AJ13" s="250">
        <f t="shared" si="9"/>
        <v>0.25738396624472576</v>
      </c>
      <c r="AK13" s="250">
        <f t="shared" si="10"/>
        <v>41.667604313235529</v>
      </c>
      <c r="AL13">
        <f t="shared" si="24"/>
        <v>1</v>
      </c>
    </row>
    <row r="14" spans="1:38" ht="15.75" thickBot="1">
      <c r="A14" s="4">
        <f>ELEC!C15</f>
        <v>44938</v>
      </c>
      <c r="B14" s="523">
        <v>1823</v>
      </c>
      <c r="C14" s="248">
        <f t="shared" si="11"/>
        <v>14</v>
      </c>
      <c r="D14" s="444">
        <f t="shared" si="25"/>
        <v>814096</v>
      </c>
      <c r="E14" s="248">
        <f t="shared" si="12"/>
        <v>1190</v>
      </c>
      <c r="F14" s="248">
        <f t="shared" si="0"/>
        <v>85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13918</v>
      </c>
      <c r="S14" s="248">
        <f t="shared" si="5"/>
        <v>0</v>
      </c>
      <c r="T14" s="444">
        <f t="shared" si="31"/>
        <v>418762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14</v>
      </c>
      <c r="AA14" s="248">
        <f t="shared" si="20"/>
        <v>1190</v>
      </c>
      <c r="AB14" s="248">
        <f t="shared" si="21"/>
        <v>585</v>
      </c>
      <c r="AC14" s="248">
        <f t="shared" si="22"/>
        <v>85</v>
      </c>
      <c r="AD14" s="71">
        <f>ELEC!Q15</f>
        <v>3240.9999999981665</v>
      </c>
      <c r="AE14" s="71">
        <f t="shared" si="26"/>
        <v>231.49999999986903</v>
      </c>
      <c r="AF14" s="345">
        <f t="shared" si="27"/>
        <v>0.14468749999991815</v>
      </c>
      <c r="AG14" s="345">
        <f t="shared" si="27"/>
        <v>9.0429687499948841E-5</v>
      </c>
      <c r="AH14" s="346">
        <f t="shared" si="23"/>
        <v>84.999909570312496</v>
      </c>
      <c r="AI14" s="71">
        <f t="shared" si="28"/>
        <v>834.18143459868429</v>
      </c>
      <c r="AJ14" s="250">
        <f t="shared" si="9"/>
        <v>0.25738396624472576</v>
      </c>
      <c r="AK14" s="250">
        <f t="shared" si="10"/>
        <v>59.584388185620305</v>
      </c>
      <c r="AL14">
        <f t="shared" si="24"/>
        <v>1</v>
      </c>
    </row>
    <row r="15" spans="1:38" ht="15.75" thickBot="1">
      <c r="A15" s="4">
        <f>ELEC!C16</f>
        <v>44939</v>
      </c>
      <c r="B15" s="523">
        <f t="shared" si="30"/>
        <v>1823</v>
      </c>
      <c r="C15" s="248">
        <f t="shared" si="11"/>
        <v>0</v>
      </c>
      <c r="D15" s="444">
        <f t="shared" si="25"/>
        <v>814096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13918</v>
      </c>
      <c r="S15" s="248">
        <f t="shared" si="5"/>
        <v>0</v>
      </c>
      <c r="T15" s="444">
        <f t="shared" si="31"/>
        <v>418762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1823</v>
      </c>
      <c r="C16" s="248">
        <f t="shared" si="11"/>
        <v>0</v>
      </c>
      <c r="D16" s="444">
        <f t="shared" si="25"/>
        <v>814096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13918</v>
      </c>
      <c r="S16" s="248">
        <f t="shared" si="5"/>
        <v>0</v>
      </c>
      <c r="T16" s="444">
        <f t="shared" si="31"/>
        <v>418762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v>1837</v>
      </c>
      <c r="C17" s="248">
        <f t="shared" si="11"/>
        <v>14</v>
      </c>
      <c r="D17" s="444">
        <f t="shared" si="25"/>
        <v>815286</v>
      </c>
      <c r="E17" s="248">
        <f t="shared" si="12"/>
        <v>1190</v>
      </c>
      <c r="F17" s="248">
        <f t="shared" si="0"/>
        <v>85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13918</v>
      </c>
      <c r="S17" s="248">
        <f t="shared" si="5"/>
        <v>0</v>
      </c>
      <c r="T17" s="444">
        <f t="shared" si="31"/>
        <v>418762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14</v>
      </c>
      <c r="AA17" s="248">
        <f t="shared" si="20"/>
        <v>1190</v>
      </c>
      <c r="AB17" s="248">
        <f t="shared" si="21"/>
        <v>585</v>
      </c>
      <c r="AC17" s="248">
        <f t="shared" si="22"/>
        <v>85</v>
      </c>
      <c r="AD17" s="71">
        <f>ELEC!Q18</f>
        <v>4096.0000000013679</v>
      </c>
      <c r="AE17" s="71">
        <f t="shared" si="26"/>
        <v>292.57142857152627</v>
      </c>
      <c r="AF17" s="345">
        <f t="shared" si="27"/>
        <v>0.18285714285720392</v>
      </c>
      <c r="AG17" s="345">
        <f t="shared" si="27"/>
        <v>1.1428571428575245E-4</v>
      </c>
      <c r="AH17" s="346">
        <f t="shared" si="23"/>
        <v>84.99988571428571</v>
      </c>
      <c r="AI17" s="71">
        <f t="shared" si="28"/>
        <v>1054.2447257387487</v>
      </c>
      <c r="AJ17" s="250">
        <f t="shared" si="9"/>
        <v>0.25738396624472576</v>
      </c>
      <c r="AK17" s="250">
        <f t="shared" si="10"/>
        <v>75.30319469562491</v>
      </c>
      <c r="AL17">
        <f t="shared" si="24"/>
        <v>1</v>
      </c>
    </row>
    <row r="18" spans="1:38" ht="15.75" thickBot="1">
      <c r="A18" s="4">
        <f>ELEC!C19</f>
        <v>44942</v>
      </c>
      <c r="B18" s="523">
        <v>1850</v>
      </c>
      <c r="C18" s="248">
        <f t="shared" si="11"/>
        <v>13</v>
      </c>
      <c r="D18" s="444">
        <f t="shared" si="25"/>
        <v>816391</v>
      </c>
      <c r="E18" s="248">
        <f t="shared" si="12"/>
        <v>1105</v>
      </c>
      <c r="F18" s="248">
        <f t="shared" si="0"/>
        <v>85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13918</v>
      </c>
      <c r="S18" s="248">
        <f t="shared" si="5"/>
        <v>0</v>
      </c>
      <c r="T18" s="444">
        <f t="shared" si="31"/>
        <v>418762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13</v>
      </c>
      <c r="AA18" s="248">
        <f t="shared" si="20"/>
        <v>1105</v>
      </c>
      <c r="AB18" s="248">
        <f t="shared" si="21"/>
        <v>585</v>
      </c>
      <c r="AC18" s="248">
        <f t="shared" si="22"/>
        <v>85</v>
      </c>
      <c r="AD18" s="71">
        <f>ELEC!Q19</f>
        <v>3331.9999999985157</v>
      </c>
      <c r="AE18" s="71">
        <f t="shared" si="26"/>
        <v>256.30769230757812</v>
      </c>
      <c r="AF18" s="345">
        <f t="shared" si="27"/>
        <v>0.16019230769223633</v>
      </c>
      <c r="AG18" s="345">
        <f t="shared" si="27"/>
        <v>1.0012019230764771E-4</v>
      </c>
      <c r="AH18" s="346">
        <f t="shared" si="23"/>
        <v>84.999899879807685</v>
      </c>
      <c r="AI18" s="71">
        <f t="shared" si="28"/>
        <v>857.60337552704425</v>
      </c>
      <c r="AJ18" s="250">
        <f t="shared" si="9"/>
        <v>0.25738396624472576</v>
      </c>
      <c r="AK18" s="250">
        <f t="shared" si="10"/>
        <v>65.969490425157247</v>
      </c>
      <c r="AL18">
        <f t="shared" si="24"/>
        <v>1</v>
      </c>
    </row>
    <row r="19" spans="1:38" ht="15.75" thickBot="1">
      <c r="A19" s="4">
        <f>ELEC!C20</f>
        <v>44943</v>
      </c>
      <c r="B19" s="523">
        <v>1860</v>
      </c>
      <c r="C19" s="248">
        <f t="shared" si="11"/>
        <v>10</v>
      </c>
      <c r="D19" s="444">
        <f t="shared" si="25"/>
        <v>817241</v>
      </c>
      <c r="E19" s="248">
        <f t="shared" si="12"/>
        <v>850</v>
      </c>
      <c r="F19" s="248">
        <f t="shared" si="0"/>
        <v>85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13918</v>
      </c>
      <c r="S19" s="248">
        <f t="shared" si="5"/>
        <v>0</v>
      </c>
      <c r="T19" s="444">
        <f t="shared" si="31"/>
        <v>418762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10</v>
      </c>
      <c r="AA19" s="248">
        <f t="shared" si="20"/>
        <v>850</v>
      </c>
      <c r="AB19" s="248">
        <f t="shared" si="21"/>
        <v>585</v>
      </c>
      <c r="AC19" s="248">
        <f t="shared" si="22"/>
        <v>85</v>
      </c>
      <c r="AD19" s="71">
        <f>ELEC!Q20</f>
        <v>3172.999999998865</v>
      </c>
      <c r="AE19" s="71">
        <f t="shared" si="26"/>
        <v>317.2999999998865</v>
      </c>
      <c r="AF19" s="345">
        <f t="shared" si="27"/>
        <v>0.19831249999992906</v>
      </c>
      <c r="AG19" s="345">
        <f t="shared" si="27"/>
        <v>1.2394531249995566E-4</v>
      </c>
      <c r="AH19" s="346">
        <f t="shared" si="23"/>
        <v>84.999876054687505</v>
      </c>
      <c r="AI19" s="71">
        <f t="shared" si="28"/>
        <v>816.67932489422265</v>
      </c>
      <c r="AJ19" s="250">
        <f t="shared" si="9"/>
        <v>0.25738396624472576</v>
      </c>
      <c r="AK19" s="250">
        <f t="shared" si="10"/>
        <v>81.66793248942227</v>
      </c>
      <c r="AL19">
        <f t="shared" si="24"/>
        <v>1</v>
      </c>
    </row>
    <row r="20" spans="1:38" ht="15.75" thickBot="1">
      <c r="A20" s="4">
        <f>ELEC!C21</f>
        <v>44944</v>
      </c>
      <c r="B20" s="523">
        <v>1874</v>
      </c>
      <c r="C20" s="248">
        <f>B20-B19</f>
        <v>14</v>
      </c>
      <c r="D20" s="444">
        <f t="shared" si="25"/>
        <v>818431</v>
      </c>
      <c r="E20" s="248">
        <f t="shared" si="12"/>
        <v>1190</v>
      </c>
      <c r="F20" s="248">
        <f t="shared" si="0"/>
        <v>85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v>13918</v>
      </c>
      <c r="S20" s="248">
        <f t="shared" si="5"/>
        <v>0</v>
      </c>
      <c r="T20" s="444">
        <f t="shared" si="31"/>
        <v>418762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14</v>
      </c>
      <c r="AA20" s="248">
        <f t="shared" si="20"/>
        <v>1190</v>
      </c>
      <c r="AB20" s="248">
        <f t="shared" si="21"/>
        <v>585</v>
      </c>
      <c r="AC20" s="248">
        <f t="shared" si="22"/>
        <v>85</v>
      </c>
      <c r="AD20" s="71">
        <f>ELEC!Q21</f>
        <v>3580.0000000017462</v>
      </c>
      <c r="AE20" s="71">
        <f t="shared" si="26"/>
        <v>255.71428571441044</v>
      </c>
      <c r="AF20" s="345">
        <f t="shared" si="27"/>
        <v>0.15982142857150652</v>
      </c>
      <c r="AG20" s="345">
        <f t="shared" si="27"/>
        <v>9.9888392857191578E-5</v>
      </c>
      <c r="AH20" s="346">
        <f t="shared" si="23"/>
        <v>84.999900111607147</v>
      </c>
      <c r="AI20" s="71">
        <f>AD20*AJ20</f>
        <v>921.43459915656763</v>
      </c>
      <c r="AJ20" s="250">
        <f t="shared" si="9"/>
        <v>0.25738396624472576</v>
      </c>
      <c r="AK20" s="250">
        <f t="shared" si="10"/>
        <v>65.816757082611971</v>
      </c>
      <c r="AL20">
        <f t="shared" si="24"/>
        <v>1</v>
      </c>
    </row>
    <row r="21" spans="1:38" ht="15.75" thickBot="1">
      <c r="A21" s="4">
        <f>ELEC!C22</f>
        <v>44945</v>
      </c>
      <c r="B21" s="523">
        <v>1883</v>
      </c>
      <c r="C21" s="248">
        <f>B21-B20</f>
        <v>9</v>
      </c>
      <c r="D21" s="444">
        <f t="shared" si="25"/>
        <v>819196</v>
      </c>
      <c r="E21" s="248">
        <f t="shared" si="12"/>
        <v>765</v>
      </c>
      <c r="F21" s="248">
        <f t="shared" si="0"/>
        <v>85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v>13920</v>
      </c>
      <c r="S21" s="248">
        <f t="shared" si="5"/>
        <v>2</v>
      </c>
      <c r="T21" s="444">
        <f t="shared" si="31"/>
        <v>419262</v>
      </c>
      <c r="U21" s="248">
        <f t="shared" si="32"/>
        <v>500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11</v>
      </c>
      <c r="AA21" s="248">
        <f t="shared" si="20"/>
        <v>1265</v>
      </c>
      <c r="AB21" s="248">
        <f t="shared" si="21"/>
        <v>585</v>
      </c>
      <c r="AC21" s="248">
        <f t="shared" si="22"/>
        <v>115</v>
      </c>
      <c r="AD21" s="71">
        <f>ELEC!Q22</f>
        <v>3290.0000000008731</v>
      </c>
      <c r="AE21" s="71">
        <f t="shared" si="26"/>
        <v>299.09090909098848</v>
      </c>
      <c r="AF21" s="345">
        <f t="shared" si="27"/>
        <v>0.1869318181818678</v>
      </c>
      <c r="AG21" s="345">
        <f t="shared" si="27"/>
        <v>1.1683238636366737E-4</v>
      </c>
      <c r="AH21" s="346">
        <f t="shared" si="23"/>
        <v>114.99988316761363</v>
      </c>
      <c r="AI21" s="71">
        <f t="shared" si="28"/>
        <v>846.79324894537251</v>
      </c>
      <c r="AJ21" s="250">
        <f t="shared" si="9"/>
        <v>0.25738396624472576</v>
      </c>
      <c r="AK21" s="250">
        <f t="shared" si="10"/>
        <v>76.981204449579323</v>
      </c>
      <c r="AL21">
        <f t="shared" si="24"/>
        <v>1</v>
      </c>
    </row>
    <row r="22" spans="1:38" ht="15.75" thickBot="1">
      <c r="A22" s="4">
        <f>ELEC!C23</f>
        <v>44946</v>
      </c>
      <c r="B22" s="523">
        <f t="shared" si="30"/>
        <v>1883</v>
      </c>
      <c r="C22" s="248">
        <f t="shared" ref="C22:C33" si="34">B22-B21</f>
        <v>0</v>
      </c>
      <c r="D22" s="444">
        <f t="shared" si="25"/>
        <v>819196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13920</v>
      </c>
      <c r="S22" s="248">
        <f t="shared" si="5"/>
        <v>0</v>
      </c>
      <c r="T22" s="444">
        <f t="shared" si="31"/>
        <v>419262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1883</v>
      </c>
      <c r="C23" s="248">
        <f t="shared" si="34"/>
        <v>0</v>
      </c>
      <c r="D23" s="444">
        <f>D22+C23*85</f>
        <v>819196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13920</v>
      </c>
      <c r="S23" s="248">
        <f>R23-R22</f>
        <v>0</v>
      </c>
      <c r="T23" s="444">
        <f t="shared" si="31"/>
        <v>419262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v>1894</v>
      </c>
      <c r="C24" s="248">
        <f t="shared" si="34"/>
        <v>11</v>
      </c>
      <c r="D24" s="444">
        <f t="shared" si="25"/>
        <v>820131</v>
      </c>
      <c r="E24" s="248">
        <f>SUM(D24-D23)</f>
        <v>935</v>
      </c>
      <c r="F24" s="248">
        <f t="shared" si="0"/>
        <v>85</v>
      </c>
      <c r="G24" s="185"/>
      <c r="H24" s="238">
        <f t="shared" si="13"/>
        <v>12231</v>
      </c>
      <c r="I24" s="248" t="str">
        <f t="shared" si="1"/>
        <v>ok</v>
      </c>
      <c r="J24" s="443">
        <v>148</v>
      </c>
      <c r="K24" s="248">
        <f t="shared" si="2"/>
        <v>1</v>
      </c>
      <c r="L24" s="444">
        <f t="shared" si="29"/>
        <v>392441</v>
      </c>
      <c r="M24" s="248">
        <f t="shared" si="3"/>
        <v>250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13920</v>
      </c>
      <c r="S24" s="248">
        <f t="shared" si="5"/>
        <v>0</v>
      </c>
      <c r="T24" s="444">
        <f t="shared" si="31"/>
        <v>419262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12</v>
      </c>
      <c r="AA24" s="248">
        <f t="shared" si="20"/>
        <v>1185</v>
      </c>
      <c r="AB24" s="248">
        <f t="shared" si="21"/>
        <v>585</v>
      </c>
      <c r="AC24" s="248">
        <f t="shared" si="22"/>
        <v>98.75</v>
      </c>
      <c r="AD24" s="71">
        <f>ELEC!Q25</f>
        <v>2948.0000000003201</v>
      </c>
      <c r="AE24" s="71">
        <f t="shared" si="26"/>
        <v>245.66666666669335</v>
      </c>
      <c r="AF24" s="345">
        <f t="shared" si="27"/>
        <v>0.15354166666668334</v>
      </c>
      <c r="AG24" s="345">
        <f t="shared" si="27"/>
        <v>9.5963541666677091E-5</v>
      </c>
      <c r="AH24" s="346">
        <f t="shared" si="23"/>
        <v>98.749904036458332</v>
      </c>
      <c r="AI24" s="71">
        <f t="shared" si="28"/>
        <v>758.76793248953391</v>
      </c>
      <c r="AJ24" s="250">
        <f t="shared" si="9"/>
        <v>0.25738396624472576</v>
      </c>
      <c r="AK24" s="250">
        <f t="shared" si="10"/>
        <v>63.230661040794494</v>
      </c>
      <c r="AL24">
        <f t="shared" si="24"/>
        <v>1</v>
      </c>
    </row>
    <row r="25" spans="1:38" ht="15.75" thickBot="1">
      <c r="A25" s="4">
        <f>ELEC!C26</f>
        <v>44949</v>
      </c>
      <c r="B25" s="523">
        <v>1904</v>
      </c>
      <c r="C25" s="248">
        <f t="shared" si="34"/>
        <v>10</v>
      </c>
      <c r="D25" s="444">
        <f t="shared" si="25"/>
        <v>820981</v>
      </c>
      <c r="E25" s="248">
        <f>SUM(D25-D24)</f>
        <v>850</v>
      </c>
      <c r="F25" s="248">
        <f t="shared" si="0"/>
        <v>85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148</v>
      </c>
      <c r="K25" s="248">
        <f t="shared" si="2"/>
        <v>0</v>
      </c>
      <c r="L25" s="444">
        <f t="shared" si="29"/>
        <v>392441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13920</v>
      </c>
      <c r="S25" s="248">
        <f t="shared" si="5"/>
        <v>0</v>
      </c>
      <c r="T25" s="444">
        <f t="shared" si="31"/>
        <v>419262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10</v>
      </c>
      <c r="AA25" s="248">
        <f t="shared" si="20"/>
        <v>850</v>
      </c>
      <c r="AB25" s="248">
        <f t="shared" si="21"/>
        <v>585</v>
      </c>
      <c r="AC25" s="248">
        <f t="shared" si="22"/>
        <v>85</v>
      </c>
      <c r="AD25" s="71">
        <f>ELEC!Q26</f>
        <v>2501.9999999967695</v>
      </c>
      <c r="AE25" s="71">
        <f t="shared" si="26"/>
        <v>250.19999999967695</v>
      </c>
      <c r="AF25" s="345">
        <f t="shared" si="27"/>
        <v>0.15637499999979809</v>
      </c>
      <c r="AG25" s="345">
        <f t="shared" si="27"/>
        <v>9.7734374999873801E-5</v>
      </c>
      <c r="AH25" s="346">
        <f t="shared" si="23"/>
        <v>84.999902265624996</v>
      </c>
      <c r="AI25" s="71">
        <f t="shared" si="28"/>
        <v>643.97468354347234</v>
      </c>
      <c r="AJ25" s="250">
        <f t="shared" si="9"/>
        <v>0.25738396624472576</v>
      </c>
      <c r="AK25" s="250">
        <f t="shared" si="10"/>
        <v>64.397468354347239</v>
      </c>
      <c r="AL25">
        <f t="shared" si="24"/>
        <v>1</v>
      </c>
    </row>
    <row r="26" spans="1:38" ht="15.75" thickBot="1">
      <c r="A26" s="4">
        <f>ELEC!C27</f>
        <v>44950</v>
      </c>
      <c r="B26" s="523">
        <v>1912</v>
      </c>
      <c r="C26" s="248">
        <f t="shared" si="34"/>
        <v>8</v>
      </c>
      <c r="D26" s="444">
        <f t="shared" si="25"/>
        <v>821661</v>
      </c>
      <c r="E26" s="248">
        <f>SUM(D26-D25)</f>
        <v>680</v>
      </c>
      <c r="F26" s="248">
        <f>IF(C25&gt;0,E26/C25,0)</f>
        <v>68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148</v>
      </c>
      <c r="K26" s="248">
        <f t="shared" si="2"/>
        <v>0</v>
      </c>
      <c r="L26" s="444">
        <f t="shared" si="29"/>
        <v>392441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13920</v>
      </c>
      <c r="S26" s="248">
        <f>R26-R25</f>
        <v>0</v>
      </c>
      <c r="T26" s="444">
        <f t="shared" si="31"/>
        <v>419262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8</v>
      </c>
      <c r="AA26" s="248">
        <f t="shared" si="20"/>
        <v>680</v>
      </c>
      <c r="AB26" s="248">
        <f t="shared" si="21"/>
        <v>568</v>
      </c>
      <c r="AC26" s="248">
        <f t="shared" si="22"/>
        <v>85</v>
      </c>
      <c r="AD26" s="71">
        <f>ELEC!Q27</f>
        <v>1877.0000000004075</v>
      </c>
      <c r="AE26" s="71">
        <f t="shared" si="26"/>
        <v>234.62500000005093</v>
      </c>
      <c r="AF26" s="345">
        <f t="shared" si="27"/>
        <v>0.14664062500003183</v>
      </c>
      <c r="AG26" s="345">
        <f t="shared" si="27"/>
        <v>9.1650390625019898E-5</v>
      </c>
      <c r="AH26" s="346">
        <f t="shared" si="23"/>
        <v>84.99990834960937</v>
      </c>
      <c r="AI26" s="71">
        <f t="shared" si="28"/>
        <v>483.1097046414551</v>
      </c>
      <c r="AJ26" s="250">
        <f t="shared" si="9"/>
        <v>0.25738396624472576</v>
      </c>
      <c r="AK26" s="250">
        <f t="shared" si="10"/>
        <v>60.388713080181887</v>
      </c>
      <c r="AL26">
        <f t="shared" si="24"/>
        <v>1</v>
      </c>
    </row>
    <row r="27" spans="1:38" ht="15.75" thickBot="1">
      <c r="A27" s="4">
        <f>ELEC!C28</f>
        <v>44951</v>
      </c>
      <c r="B27" s="523">
        <v>1923</v>
      </c>
      <c r="C27" s="248">
        <f t="shared" si="34"/>
        <v>11</v>
      </c>
      <c r="D27" s="444">
        <f t="shared" si="25"/>
        <v>822596</v>
      </c>
      <c r="E27" s="248">
        <f>SUM(D27-D26)</f>
        <v>935</v>
      </c>
      <c r="F27" s="248">
        <f>IF(C26&gt;0,E27/C26,0)</f>
        <v>116.875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148</v>
      </c>
      <c r="K27" s="248">
        <f t="shared" si="2"/>
        <v>0</v>
      </c>
      <c r="L27" s="444">
        <f t="shared" si="29"/>
        <v>392441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13920</v>
      </c>
      <c r="S27" s="248">
        <f t="shared" si="5"/>
        <v>0</v>
      </c>
      <c r="T27" s="444">
        <f t="shared" si="31"/>
        <v>419262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11</v>
      </c>
      <c r="AA27" s="248">
        <f t="shared" si="20"/>
        <v>935</v>
      </c>
      <c r="AB27" s="248">
        <f t="shared" si="21"/>
        <v>616.875</v>
      </c>
      <c r="AC27" s="248">
        <f t="shared" si="22"/>
        <v>85</v>
      </c>
      <c r="AD27" s="71">
        <f>ELEC!Q28</f>
        <v>2373.9999999997963</v>
      </c>
      <c r="AE27" s="71">
        <f t="shared" si="26"/>
        <v>215.81818181816331</v>
      </c>
      <c r="AF27" s="345">
        <f t="shared" si="27"/>
        <v>0.13488636363635206</v>
      </c>
      <c r="AG27" s="345">
        <f t="shared" si="27"/>
        <v>8.4303977272720033E-5</v>
      </c>
      <c r="AH27" s="346">
        <f t="shared" si="23"/>
        <v>84.999915696022725</v>
      </c>
      <c r="AI27" s="71">
        <f t="shared" si="28"/>
        <v>611.02953586492652</v>
      </c>
      <c r="AJ27" s="250">
        <f t="shared" si="9"/>
        <v>0.25738396624472576</v>
      </c>
      <c r="AK27" s="250">
        <f t="shared" si="10"/>
        <v>55.548139624084229</v>
      </c>
      <c r="AL27">
        <f t="shared" si="24"/>
        <v>1</v>
      </c>
    </row>
    <row r="28" spans="1:38" ht="15.75" thickBot="1">
      <c r="A28" s="4">
        <f>ELEC!C29</f>
        <v>44952</v>
      </c>
      <c r="B28" s="523">
        <v>1934</v>
      </c>
      <c r="C28" s="248">
        <f t="shared" si="34"/>
        <v>11</v>
      </c>
      <c r="D28" s="444">
        <f t="shared" si="25"/>
        <v>823531</v>
      </c>
      <c r="E28" s="248">
        <f t="shared" si="12"/>
        <v>935</v>
      </c>
      <c r="F28" s="248">
        <f t="shared" si="0"/>
        <v>85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148</v>
      </c>
      <c r="K28" s="248">
        <f t="shared" si="2"/>
        <v>0</v>
      </c>
      <c r="L28" s="444">
        <f t="shared" si="29"/>
        <v>392441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13920</v>
      </c>
      <c r="S28" s="248">
        <f t="shared" si="5"/>
        <v>0</v>
      </c>
      <c r="T28" s="444">
        <f t="shared" si="31"/>
        <v>419262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11</v>
      </c>
      <c r="AA28" s="248">
        <f t="shared" si="20"/>
        <v>935</v>
      </c>
      <c r="AB28" s="248">
        <f t="shared" si="21"/>
        <v>585</v>
      </c>
      <c r="AC28" s="248">
        <f t="shared" si="22"/>
        <v>85</v>
      </c>
      <c r="AD28" s="71">
        <f>ELEC!Q29</f>
        <v>2545.0000000018917</v>
      </c>
      <c r="AE28" s="71">
        <f t="shared" si="26"/>
        <v>231.36363636380835</v>
      </c>
      <c r="AF28" s="345">
        <f t="shared" si="27"/>
        <v>0.14460227272738022</v>
      </c>
      <c r="AG28" s="345">
        <f t="shared" si="27"/>
        <v>9.0376420454612631E-5</v>
      </c>
      <c r="AH28" s="346">
        <f t="shared" si="23"/>
        <v>84.999909623579541</v>
      </c>
      <c r="AI28" s="71">
        <f t="shared" si="28"/>
        <v>655.04219409331392</v>
      </c>
      <c r="AJ28" s="250">
        <f t="shared" si="9"/>
        <v>0.25738396624472576</v>
      </c>
      <c r="AK28" s="250">
        <f t="shared" si="10"/>
        <v>59.549290372119451</v>
      </c>
      <c r="AL28">
        <f t="shared" si="24"/>
        <v>1</v>
      </c>
    </row>
    <row r="29" spans="1:38" ht="15.75" thickBot="1">
      <c r="A29" s="4">
        <f>ELEC!C30</f>
        <v>44953</v>
      </c>
      <c r="B29" s="523">
        <f t="shared" si="30"/>
        <v>1934</v>
      </c>
      <c r="C29" s="248">
        <f t="shared" si="34"/>
        <v>0</v>
      </c>
      <c r="D29" s="444">
        <f t="shared" si="25"/>
        <v>823531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148</v>
      </c>
      <c r="K29" s="248">
        <f t="shared" si="2"/>
        <v>0</v>
      </c>
      <c r="L29" s="444">
        <f t="shared" si="29"/>
        <v>392441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13920</v>
      </c>
      <c r="S29" s="248">
        <f t="shared" si="5"/>
        <v>0</v>
      </c>
      <c r="T29" s="444">
        <f t="shared" si="31"/>
        <v>419262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1934</v>
      </c>
      <c r="C30" s="248">
        <f t="shared" si="34"/>
        <v>0</v>
      </c>
      <c r="D30" s="444">
        <f t="shared" si="25"/>
        <v>823531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148</v>
      </c>
      <c r="K30" s="248">
        <f t="shared" si="2"/>
        <v>0</v>
      </c>
      <c r="L30" s="444">
        <f t="shared" si="29"/>
        <v>392441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13920</v>
      </c>
      <c r="S30" s="248">
        <f t="shared" si="5"/>
        <v>0</v>
      </c>
      <c r="T30" s="444">
        <f t="shared" si="31"/>
        <v>419262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v>1945</v>
      </c>
      <c r="C31" s="248">
        <f t="shared" si="34"/>
        <v>11</v>
      </c>
      <c r="D31" s="444">
        <f t="shared" si="25"/>
        <v>824466</v>
      </c>
      <c r="E31" s="248">
        <f t="shared" si="12"/>
        <v>935</v>
      </c>
      <c r="F31" s="248">
        <f t="shared" ref="F31:F33" si="35">IF(C31&gt;0,E31/C31,0)</f>
        <v>85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148</v>
      </c>
      <c r="K31" s="248">
        <f t="shared" si="2"/>
        <v>0</v>
      </c>
      <c r="L31" s="444">
        <f t="shared" si="29"/>
        <v>392441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13920</v>
      </c>
      <c r="S31" s="248">
        <f t="shared" ref="S31:S33" si="38">R31-R30</f>
        <v>0</v>
      </c>
      <c r="T31" s="444">
        <f t="shared" si="31"/>
        <v>419262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11</v>
      </c>
      <c r="AA31" s="248">
        <f t="shared" ref="AA31:AA33" si="40">U31+M31+E31</f>
        <v>935</v>
      </c>
      <c r="AB31" s="248">
        <f t="shared" ref="AB31:AB33" si="41">V31+N31+F31</f>
        <v>585</v>
      </c>
      <c r="AC31" s="248">
        <f t="shared" ref="AC31:AC33" si="42">IF(Z31&gt;0,AA31/Z31,0)</f>
        <v>85</v>
      </c>
      <c r="AD31" s="71">
        <f>ELEC!Q32</f>
        <v>2727.999999999156</v>
      </c>
      <c r="AE31" s="71">
        <f t="shared" ref="AE31:AE33" si="43">SUM(AD31/Z31)</f>
        <v>247.99999999992326</v>
      </c>
      <c r="AF31" s="345">
        <f t="shared" ref="AF31:AF33" si="44">SUM(AE31/1600)</f>
        <v>0.15499999999995204</v>
      </c>
      <c r="AG31" s="345">
        <f t="shared" ref="AG31:AG33" si="45">SUM(AF31/1600)</f>
        <v>9.6874999999970018E-5</v>
      </c>
      <c r="AH31" s="346">
        <f t="shared" ref="AH31:AH33" si="46">SUM(AC31-AG31)</f>
        <v>84.999903125000003</v>
      </c>
      <c r="AI31" s="71">
        <f t="shared" ref="AI31:AI33" si="47">AD31*AJ31</f>
        <v>702.1434599153946</v>
      </c>
      <c r="AJ31" s="250">
        <f t="shared" si="9"/>
        <v>0.25738396624472576</v>
      </c>
      <c r="AK31" s="250">
        <f t="shared" ref="AK31:AK33" si="48">AI31/Z31</f>
        <v>63.831223628672234</v>
      </c>
      <c r="AL31">
        <f t="shared" ref="AL31:AL33" si="49">IF(Z31=0,0,1)</f>
        <v>1</v>
      </c>
    </row>
    <row r="32" spans="1:38" ht="15.75" thickBot="1">
      <c r="A32" s="4">
        <f>ELEC!C33</f>
        <v>44956</v>
      </c>
      <c r="B32" s="523">
        <v>1956</v>
      </c>
      <c r="C32" s="248">
        <f t="shared" si="34"/>
        <v>11</v>
      </c>
      <c r="D32" s="444">
        <f t="shared" si="25"/>
        <v>825401</v>
      </c>
      <c r="E32" s="248">
        <f t="shared" si="12"/>
        <v>935</v>
      </c>
      <c r="F32" s="248">
        <f t="shared" si="35"/>
        <v>85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148</v>
      </c>
      <c r="K32" s="248">
        <f t="shared" si="2"/>
        <v>0</v>
      </c>
      <c r="L32" s="444">
        <f t="shared" si="29"/>
        <v>392441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13920</v>
      </c>
      <c r="S32" s="248">
        <f t="shared" si="38"/>
        <v>0</v>
      </c>
      <c r="T32" s="444">
        <f t="shared" si="31"/>
        <v>419262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11</v>
      </c>
      <c r="AA32" s="248">
        <f t="shared" si="40"/>
        <v>935</v>
      </c>
      <c r="AB32" s="248">
        <f t="shared" si="41"/>
        <v>585</v>
      </c>
      <c r="AC32" s="248">
        <f t="shared" si="42"/>
        <v>85</v>
      </c>
      <c r="AD32" s="71">
        <f>ELEC!Q33</f>
        <v>3473.0000000017753</v>
      </c>
      <c r="AE32" s="71">
        <f t="shared" si="43"/>
        <v>315.72727272743413</v>
      </c>
      <c r="AF32" s="345">
        <f t="shared" si="44"/>
        <v>0.19732954545464632</v>
      </c>
      <c r="AG32" s="345">
        <f t="shared" si="45"/>
        <v>1.2333096590915396E-4</v>
      </c>
      <c r="AH32" s="346">
        <f t="shared" si="46"/>
        <v>84.999876669034094</v>
      </c>
      <c r="AI32" s="71">
        <f t="shared" si="47"/>
        <v>893.89451476838951</v>
      </c>
      <c r="AJ32" s="250">
        <f t="shared" si="9"/>
        <v>0.25738396624472576</v>
      </c>
      <c r="AK32" s="250">
        <f t="shared" si="48"/>
        <v>81.263137706217222</v>
      </c>
      <c r="AL32">
        <f t="shared" si="49"/>
        <v>1</v>
      </c>
    </row>
    <row r="33" spans="1:38">
      <c r="A33" s="4">
        <f>ELEC!C34</f>
        <v>44957</v>
      </c>
      <c r="B33" s="523">
        <f t="shared" si="30"/>
        <v>1956</v>
      </c>
      <c r="C33" s="248">
        <f t="shared" si="34"/>
        <v>0</v>
      </c>
      <c r="D33" s="444">
        <f t="shared" si="25"/>
        <v>825401</v>
      </c>
      <c r="E33" s="248">
        <f t="shared" si="12"/>
        <v>0</v>
      </c>
      <c r="F33" s="248">
        <f t="shared" si="35"/>
        <v>0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148</v>
      </c>
      <c r="K33" s="248">
        <f t="shared" si="2"/>
        <v>0</v>
      </c>
      <c r="L33" s="444">
        <f t="shared" si="29"/>
        <v>392441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13920</v>
      </c>
      <c r="S33" s="248">
        <f t="shared" si="38"/>
        <v>0</v>
      </c>
      <c r="T33" s="444">
        <f t="shared" si="31"/>
        <v>419262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236</v>
      </c>
      <c r="V34" s="39"/>
      <c r="X34">
        <v>341</v>
      </c>
      <c r="Z34" s="360">
        <f>SUM(Z3:Z33)</f>
        <v>236</v>
      </c>
      <c r="AF34" s="345">
        <f>SUM(AE34/1600)</f>
        <v>0</v>
      </c>
      <c r="AL34">
        <f>SUM(AL3:AL33)</f>
        <v>20</v>
      </c>
    </row>
    <row r="35" spans="1:38">
      <c r="C35" s="39">
        <f>SUM(C3:C33)</f>
        <v>232</v>
      </c>
      <c r="K35" s="39">
        <f>SUM(K3:K33)</f>
        <v>1</v>
      </c>
      <c r="S35" s="39">
        <f>SUM(S3:S33)</f>
        <v>3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topLeftCell="N18" zoomScale="85" zoomScaleNormal="85" workbookViewId="0">
      <selection activeCell="W28" sqref="W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v>161786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v>161786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v>45282</v>
      </c>
      <c r="X4" s="159"/>
      <c r="Y4" s="159"/>
      <c r="Z4" s="160" t="s">
        <v>216</v>
      </c>
      <c r="AA4" s="159"/>
      <c r="AB4" s="571"/>
      <c r="AC4" s="572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161786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5"/>
      <c r="W5" s="566"/>
      <c r="X5" s="566"/>
      <c r="Y5" s="567"/>
      <c r="Z5" s="25" t="s">
        <v>217</v>
      </c>
      <c r="AA5" s="25">
        <v>5000</v>
      </c>
      <c r="AB5" s="573"/>
      <c r="AC5" s="574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161786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953.63890322580107</v>
      </c>
      <c r="R6" s="255">
        <f t="shared" si="12"/>
        <v>1108.4419417963891</v>
      </c>
      <c r="S6" s="257">
        <f>SUM(ELEC!N6)</f>
        <v>2464</v>
      </c>
      <c r="T6" s="288">
        <f t="shared" ref="T6:T30" si="16">IF(S6&gt;0,R6/S6,0)</f>
        <v>0.44985468417061247</v>
      </c>
      <c r="V6" s="568"/>
      <c r="W6" s="569"/>
      <c r="X6" s="569"/>
      <c r="Y6" s="570"/>
      <c r="Z6" s="577"/>
      <c r="AA6" s="578"/>
      <c r="AB6" s="573"/>
      <c r="AC6" s="574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161786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98.736354838720942</v>
      </c>
      <c r="R7" s="255">
        <f t="shared" si="12"/>
        <v>253.53939340930884</v>
      </c>
      <c r="S7" s="257">
        <f>SUM(ELEC!N7)</f>
        <v>2763</v>
      </c>
      <c r="T7" s="288">
        <f t="shared" si="16"/>
        <v>9.1762357368551886E-2</v>
      </c>
      <c r="V7" s="560" t="s">
        <v>218</v>
      </c>
      <c r="W7" s="561"/>
      <c r="X7" s="562" t="s">
        <v>219</v>
      </c>
      <c r="Y7" s="563"/>
      <c r="Z7" s="564"/>
      <c r="AA7" s="161"/>
      <c r="AB7" s="575"/>
      <c r="AC7" s="576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161786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717.45167741935404</v>
      </c>
      <c r="R8" s="255">
        <f t="shared" si="12"/>
        <v>872.25471598994193</v>
      </c>
      <c r="S8" s="257">
        <f>SUM(ELEC!N8)</f>
        <v>2299</v>
      </c>
      <c r="T8" s="288">
        <f>IF(S8&gt;0,R8/S8,0)</f>
        <v>0.37940614005652107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161786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631.21867741934102</v>
      </c>
      <c r="R9" s="255">
        <f>SUM(P9:Q9)</f>
        <v>786.02171598992891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161786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161786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657.88867741935405</v>
      </c>
      <c r="R11" s="255">
        <f t="shared" si="12"/>
        <v>812.69171598994194</v>
      </c>
      <c r="S11" s="257">
        <f>SUM(ELEC!N11)</f>
        <v>2330</v>
      </c>
      <c r="T11" s="288">
        <f t="shared" si="16"/>
        <v>0.34879472789267896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161786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299.46395161289405</v>
      </c>
      <c r="R12" s="255">
        <f t="shared" si="12"/>
        <v>454.26699018348199</v>
      </c>
      <c r="S12" s="257">
        <f>SUM(ELEC!N12)</f>
        <v>3064</v>
      </c>
      <c r="T12" s="288">
        <f t="shared" si="16"/>
        <v>0.1482594615481338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161786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758.34567741937985</v>
      </c>
      <c r="R13" s="255">
        <f t="shared" si="12"/>
        <v>913.14871598996774</v>
      </c>
      <c r="S13" s="257">
        <f>SUM(ELEC!N13)</f>
        <v>2908</v>
      </c>
      <c r="T13" s="288">
        <f>IF(S13&gt;0,R13/S13,0)</f>
        <v>0.31401262585624751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v>1127801</v>
      </c>
      <c r="C14" s="78">
        <f>SUM(B14-B13)</f>
        <v>278</v>
      </c>
      <c r="D14" s="264">
        <f>SUM(G14+I14+K14)</f>
        <v>281</v>
      </c>
      <c r="E14" s="264">
        <f t="shared" si="14"/>
        <v>1127804</v>
      </c>
      <c r="F14" s="78">
        <v>161786</v>
      </c>
      <c r="G14" s="152">
        <f>F14-F13</f>
        <v>0</v>
      </c>
      <c r="H14" s="78">
        <v>564078</v>
      </c>
      <c r="I14" s="153">
        <f>H14-H13</f>
        <v>281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20.876948590381428</v>
      </c>
      <c r="N14" s="254">
        <f>SUM(K14*$Y$26)/1507.5</f>
        <v>0</v>
      </c>
      <c r="O14" s="254">
        <f t="shared" si="10"/>
        <v>154.80303857058792</v>
      </c>
      <c r="P14" s="255">
        <f>SUM(L14:O14)</f>
        <v>175.67998716096935</v>
      </c>
      <c r="Q14" s="255">
        <f>SUM(-tanks!AX16*tanks!$AU$37)</f>
        <v>635.66367741935403</v>
      </c>
      <c r="R14" s="255">
        <f>SUM(P14:Q14)</f>
        <v>811.34366458032332</v>
      </c>
      <c r="S14" s="257">
        <f>SUM(ELEC!N14)</f>
        <v>1839</v>
      </c>
      <c r="T14" s="288">
        <f>IF(S14&gt;0,R14/S14,0)</f>
        <v>0.44118741956515678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1127801</v>
      </c>
      <c r="C15" s="78">
        <f t="shared" si="0"/>
        <v>0</v>
      </c>
      <c r="D15" s="264">
        <f t="shared" si="13"/>
        <v>0</v>
      </c>
      <c r="E15" s="264">
        <f t="shared" si="14"/>
        <v>1127801</v>
      </c>
      <c r="F15" s="78">
        <f t="shared" si="15"/>
        <v>161786</v>
      </c>
      <c r="G15" s="152">
        <f t="shared" si="1"/>
        <v>0</v>
      </c>
      <c r="H15" s="78">
        <f t="shared" si="7"/>
        <v>564078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1101.069516129018</v>
      </c>
      <c r="R15" s="255">
        <f>SUM(P15:Q15)</f>
        <v>1255.8725546996059</v>
      </c>
      <c r="S15" s="257">
        <f>SUM(ELEC!N15)</f>
        <v>4552</v>
      </c>
      <c r="T15" s="288">
        <f>IF(S15&gt;0,R15/S15,0)</f>
        <v>0.27589467370377985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1127801</v>
      </c>
      <c r="C16" s="78">
        <f t="shared" si="0"/>
        <v>0</v>
      </c>
      <c r="D16" s="264">
        <f t="shared" si="13"/>
        <v>0</v>
      </c>
      <c r="E16" s="264">
        <f t="shared" si="14"/>
        <v>1127801</v>
      </c>
      <c r="F16" s="78">
        <f t="shared" si="15"/>
        <v>161786</v>
      </c>
      <c r="G16" s="152">
        <f t="shared" si="1"/>
        <v>0</v>
      </c>
      <c r="H16" s="78">
        <f t="shared" si="7"/>
        <v>564078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1127801</v>
      </c>
      <c r="C17" s="78">
        <f t="shared" si="0"/>
        <v>0</v>
      </c>
      <c r="D17" s="264">
        <f t="shared" si="13"/>
        <v>0</v>
      </c>
      <c r="E17" s="264">
        <f t="shared" si="14"/>
        <v>1127801</v>
      </c>
      <c r="F17" s="78">
        <f t="shared" si="15"/>
        <v>161786</v>
      </c>
      <c r="G17" s="152">
        <f>F17-F16</f>
        <v>0</v>
      </c>
      <c r="H17" s="78">
        <f t="shared" si="7"/>
        <v>564078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v>1128021</v>
      </c>
      <c r="C18" s="78">
        <f>SUM(B18-B17)</f>
        <v>220</v>
      </c>
      <c r="D18" s="264">
        <f>SUM(G18+I18+K18)</f>
        <v>217</v>
      </c>
      <c r="E18" s="264">
        <f t="shared" si="14"/>
        <v>1128018</v>
      </c>
      <c r="F18" s="78">
        <f t="shared" si="15"/>
        <v>161786</v>
      </c>
      <c r="G18" s="152">
        <f t="shared" si="1"/>
        <v>0</v>
      </c>
      <c r="H18" s="78">
        <v>564295</v>
      </c>
      <c r="I18" s="153">
        <f t="shared" si="2"/>
        <v>217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16.122056384742951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170.92509495533088</v>
      </c>
      <c r="Q18" s="255">
        <f>SUM(-tanks!AX20*tanks!$AU$37)</f>
        <v>671.35272580645994</v>
      </c>
      <c r="R18" s="255">
        <f t="shared" si="12"/>
        <v>842.27782076179085</v>
      </c>
      <c r="S18" s="257">
        <f>SUM(ELEC!N18)</f>
        <v>2647</v>
      </c>
      <c r="T18" s="288">
        <f t="shared" si="16"/>
        <v>0.31820091453033278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ref="B19:B25" si="20">B18</f>
        <v>1128021</v>
      </c>
      <c r="C19" s="78">
        <f t="shared" si="0"/>
        <v>0</v>
      </c>
      <c r="D19" s="264">
        <f t="shared" si="13"/>
        <v>0</v>
      </c>
      <c r="E19" s="264">
        <f t="shared" si="14"/>
        <v>1128021</v>
      </c>
      <c r="F19" s="78">
        <f t="shared" si="15"/>
        <v>161786</v>
      </c>
      <c r="G19" s="152">
        <f t="shared" si="1"/>
        <v>0</v>
      </c>
      <c r="H19" s="78">
        <f t="shared" si="7"/>
        <v>564295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718.34067741934109</v>
      </c>
      <c r="R19" s="255">
        <f>SUM(P19:Q19)</f>
        <v>873.14371598992898</v>
      </c>
      <c r="S19" s="257">
        <f>SUM(ELEC!N19)</f>
        <v>3310</v>
      </c>
      <c r="T19" s="288">
        <f>IF(S19&gt;0,R19/S19,0)</f>
        <v>0.26378964229302992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20"/>
        <v>1128021</v>
      </c>
      <c r="C20" s="78">
        <f t="shared" si="0"/>
        <v>0</v>
      </c>
      <c r="D20" s="264">
        <f t="shared" si="13"/>
        <v>0</v>
      </c>
      <c r="E20" s="264">
        <f t="shared" si="14"/>
        <v>1128021</v>
      </c>
      <c r="F20" s="78">
        <f t="shared" si="15"/>
        <v>161786</v>
      </c>
      <c r="G20" s="152">
        <f t="shared" si="1"/>
        <v>0</v>
      </c>
      <c r="H20" s="78">
        <f t="shared" si="7"/>
        <v>564295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1198.716129032274</v>
      </c>
      <c r="R20" s="255">
        <f t="shared" si="12"/>
        <v>1353.5191676028619</v>
      </c>
      <c r="S20" s="257">
        <f>SUM(ELEC!N20)</f>
        <v>3279</v>
      </c>
      <c r="T20" s="288">
        <f t="shared" si="16"/>
        <v>0.4127841316263684</v>
      </c>
      <c r="AB20" s="414"/>
    </row>
    <row r="21" spans="1:32" ht="20.100000000000001" customHeight="1">
      <c r="A21" s="155">
        <f>ELEC!C21</f>
        <v>44944</v>
      </c>
      <c r="B21" s="78">
        <f t="shared" si="20"/>
        <v>1128021</v>
      </c>
      <c r="C21" s="78">
        <f t="shared" si="0"/>
        <v>0</v>
      </c>
      <c r="D21" s="264">
        <f t="shared" si="13"/>
        <v>0</v>
      </c>
      <c r="E21" s="264">
        <f t="shared" si="14"/>
        <v>1128021</v>
      </c>
      <c r="F21" s="78">
        <f t="shared" si="15"/>
        <v>161786</v>
      </c>
      <c r="G21" s="152">
        <f t="shared" si="1"/>
        <v>0</v>
      </c>
      <c r="H21" s="78">
        <f t="shared" si="7"/>
        <v>564295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426.86338709675709</v>
      </c>
      <c r="R21" s="255">
        <f t="shared" si="12"/>
        <v>581.66642566734504</v>
      </c>
      <c r="S21" s="257">
        <f>SUM(ELEC!N21)</f>
        <v>3504</v>
      </c>
      <c r="T21" s="288">
        <f t="shared" si="16"/>
        <v>0.16600069225666239</v>
      </c>
      <c r="V21" s="157" t="s">
        <v>215</v>
      </c>
      <c r="W21" s="158">
        <v>44949</v>
      </c>
      <c r="X21" s="159"/>
      <c r="Y21" s="159"/>
      <c r="Z21" s="160" t="s">
        <v>216</v>
      </c>
      <c r="AA21" s="159"/>
      <c r="AB21" s="571"/>
      <c r="AC21" s="572"/>
    </row>
    <row r="22" spans="1:32" ht="20.100000000000001" customHeight="1">
      <c r="A22" s="155">
        <f>ELEC!C22</f>
        <v>44945</v>
      </c>
      <c r="B22" s="78">
        <f t="shared" si="20"/>
        <v>1128021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564295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957.19490322582692</v>
      </c>
      <c r="R22" s="255">
        <f t="shared" si="12"/>
        <v>1111.9979417964148</v>
      </c>
      <c r="S22" s="257">
        <f>SUM(ELEC!N22)</f>
        <v>3229</v>
      </c>
      <c r="T22" s="288">
        <f t="shared" si="16"/>
        <v>0.34437842731384788</v>
      </c>
      <c r="V22" s="565"/>
      <c r="W22" s="566"/>
      <c r="X22" s="566"/>
      <c r="Y22" s="567"/>
      <c r="Z22" s="25" t="s">
        <v>217</v>
      </c>
      <c r="AA22" s="25">
        <v>5000</v>
      </c>
      <c r="AB22" s="573"/>
      <c r="AC22" s="574"/>
    </row>
    <row r="23" spans="1:32" ht="21" customHeight="1">
      <c r="A23" s="155">
        <f>ELEC!C23</f>
        <v>44946</v>
      </c>
      <c r="B23" s="78">
        <f t="shared" si="20"/>
        <v>1128021</v>
      </c>
      <c r="C23" s="78">
        <f t="shared" si="0"/>
        <v>0</v>
      </c>
      <c r="D23" s="264">
        <f t="shared" si="13"/>
        <v>0</v>
      </c>
      <c r="E23" s="264">
        <f t="shared" si="14"/>
        <v>1128021</v>
      </c>
      <c r="F23" s="78">
        <f t="shared" si="15"/>
        <v>161786</v>
      </c>
      <c r="G23" s="152">
        <f t="shared" si="1"/>
        <v>0</v>
      </c>
      <c r="H23" s="78">
        <f t="shared" si="7"/>
        <v>564295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68"/>
      <c r="W23" s="569"/>
      <c r="X23" s="569"/>
      <c r="Y23" s="570"/>
      <c r="Z23" s="577"/>
      <c r="AA23" s="578"/>
      <c r="AB23" s="573"/>
      <c r="AC23" s="574"/>
    </row>
    <row r="24" spans="1:32" ht="20.100000000000001" customHeight="1">
      <c r="A24" s="155">
        <f>ELEC!C24</f>
        <v>44947</v>
      </c>
      <c r="B24" s="78">
        <f t="shared" si="20"/>
        <v>1128021</v>
      </c>
      <c r="C24" s="78">
        <f t="shared" si="0"/>
        <v>0</v>
      </c>
      <c r="D24" s="264">
        <f t="shared" si="13"/>
        <v>0</v>
      </c>
      <c r="E24" s="264">
        <f t="shared" si="14"/>
        <v>1128021</v>
      </c>
      <c r="F24" s="78">
        <f t="shared" si="15"/>
        <v>161786</v>
      </c>
      <c r="G24" s="152">
        <f t="shared" si="1"/>
        <v>0</v>
      </c>
      <c r="H24" s="78">
        <f t="shared" si="7"/>
        <v>564295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0" t="s">
        <v>218</v>
      </c>
      <c r="W24" s="561"/>
      <c r="X24" s="562" t="s">
        <v>219</v>
      </c>
      <c r="Y24" s="563"/>
      <c r="Z24" s="564"/>
      <c r="AA24" s="161"/>
      <c r="AB24" s="575"/>
      <c r="AC24" s="576"/>
    </row>
    <row r="25" spans="1:32" ht="20.100000000000001" customHeight="1">
      <c r="A25" s="155">
        <f>ELEC!C25</f>
        <v>44948</v>
      </c>
      <c r="B25" s="78">
        <f t="shared" si="20"/>
        <v>1128021</v>
      </c>
      <c r="C25" s="78">
        <f t="shared" si="0"/>
        <v>0</v>
      </c>
      <c r="D25" s="264">
        <f t="shared" si="13"/>
        <v>0</v>
      </c>
      <c r="E25" s="264">
        <f t="shared" si="14"/>
        <v>1128021</v>
      </c>
      <c r="F25" s="78">
        <f t="shared" si="15"/>
        <v>161786</v>
      </c>
      <c r="G25" s="152">
        <f t="shared" si="1"/>
        <v>0</v>
      </c>
      <c r="H25" s="78">
        <f t="shared" si="7"/>
        <v>564295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796.28590322580101</v>
      </c>
      <c r="R25" s="255">
        <f t="shared" si="12"/>
        <v>951.08894179638889</v>
      </c>
      <c r="S25" s="257">
        <f>SUM(ELEC!N25)</f>
        <v>2894</v>
      </c>
      <c r="T25" s="288">
        <f t="shared" si="16"/>
        <v>0.32864165231388698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v>1128115</v>
      </c>
      <c r="C26" s="78">
        <f t="shared" si="0"/>
        <v>94</v>
      </c>
      <c r="D26" s="264">
        <f t="shared" si="13"/>
        <v>93</v>
      </c>
      <c r="E26" s="264">
        <f t="shared" si="14"/>
        <v>1128114</v>
      </c>
      <c r="F26" s="78">
        <f t="shared" si="15"/>
        <v>161786</v>
      </c>
      <c r="G26" s="152">
        <f t="shared" si="1"/>
        <v>0</v>
      </c>
      <c r="H26" s="78">
        <v>564388</v>
      </c>
      <c r="I26" s="153">
        <f t="shared" si="2"/>
        <v>93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6.909452736318408</v>
      </c>
      <c r="N26" s="254">
        <f t="shared" si="19"/>
        <v>0</v>
      </c>
      <c r="O26" s="254">
        <f t="shared" si="10"/>
        <v>154.80303857058792</v>
      </c>
      <c r="P26" s="255">
        <f t="shared" si="11"/>
        <v>161.71249130690632</v>
      </c>
      <c r="Q26" s="255">
        <f>SUM(-tanks!AX28*tanks!$AU$37)</f>
        <v>744.12167741934104</v>
      </c>
      <c r="R26" s="255">
        <f t="shared" si="12"/>
        <v>905.8341687262473</v>
      </c>
      <c r="S26" s="257">
        <f>SUM(ELEC!N26)</f>
        <v>2492</v>
      </c>
      <c r="T26" s="288">
        <f t="shared" si="16"/>
        <v>0.36349685743428867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0</v>
      </c>
    </row>
    <row r="27" spans="1:32" ht="20.100000000000001" customHeight="1">
      <c r="A27" s="155">
        <f>ELEC!C27</f>
        <v>44950</v>
      </c>
      <c r="B27" s="78">
        <f t="shared" si="6"/>
        <v>1128115</v>
      </c>
      <c r="C27" s="78">
        <f t="shared" si="0"/>
        <v>0</v>
      </c>
      <c r="D27" s="264">
        <f t="shared" si="13"/>
        <v>0</v>
      </c>
      <c r="E27" s="264">
        <f t="shared" si="14"/>
        <v>1128115</v>
      </c>
      <c r="F27" s="78">
        <f t="shared" si="15"/>
        <v>161786</v>
      </c>
      <c r="G27" s="152">
        <f t="shared" si="1"/>
        <v>0</v>
      </c>
      <c r="H27" s="78">
        <f t="shared" si="7"/>
        <v>564388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495.488451612907</v>
      </c>
      <c r="R27" s="255">
        <f t="shared" si="12"/>
        <v>650.29149018349494</v>
      </c>
      <c r="S27" s="257">
        <f>SUM(ELEC!N27)</f>
        <v>1953</v>
      </c>
      <c r="T27" s="288">
        <f t="shared" si="16"/>
        <v>0.33297055308934714</v>
      </c>
      <c r="V27" s="227">
        <f>W10</f>
        <v>563190</v>
      </c>
      <c r="W27" s="161">
        <f>H34</f>
        <v>564388</v>
      </c>
      <c r="X27" s="163" t="s">
        <v>233</v>
      </c>
      <c r="Y27" s="163">
        <v>112</v>
      </c>
      <c r="Z27" s="163">
        <v>1</v>
      </c>
      <c r="AA27" s="185">
        <f>(W27-V27)*Z27</f>
        <v>1198</v>
      </c>
      <c r="AB27" s="185">
        <f>SUM(AA27*Y27)</f>
        <v>134176</v>
      </c>
      <c r="AC27" s="225">
        <f>AC10</f>
        <v>6200000</v>
      </c>
      <c r="AD27" s="424">
        <f>SUM(I36)</f>
        <v>0.99831081081081086</v>
      </c>
    </row>
    <row r="28" spans="1:32" ht="20.100000000000001" customHeight="1">
      <c r="A28" s="155">
        <f>ELEC!C28</f>
        <v>44951</v>
      </c>
      <c r="B28" s="78">
        <f t="shared" si="6"/>
        <v>1128115</v>
      </c>
      <c r="C28" s="78">
        <f t="shared" si="0"/>
        <v>0</v>
      </c>
      <c r="D28" s="264">
        <f t="shared" si="13"/>
        <v>0</v>
      </c>
      <c r="E28" s="264">
        <f t="shared" si="14"/>
        <v>1128115</v>
      </c>
      <c r="F28" s="78">
        <f t="shared" si="15"/>
        <v>161786</v>
      </c>
      <c r="G28" s="152">
        <f t="shared" si="1"/>
        <v>0</v>
      </c>
      <c r="H28" s="78">
        <f t="shared" si="7"/>
        <v>564388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815.84390322581396</v>
      </c>
      <c r="R28" s="255">
        <f t="shared" si="12"/>
        <v>970.64694179640185</v>
      </c>
      <c r="S28" s="257">
        <f>SUM(ELEC!N28)</f>
        <v>2394</v>
      </c>
      <c r="T28" s="288">
        <f t="shared" si="16"/>
        <v>0.40544985037443687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44952</v>
      </c>
      <c r="B29" s="78">
        <f t="shared" si="6"/>
        <v>1128115</v>
      </c>
      <c r="C29" s="78">
        <f t="shared" si="0"/>
        <v>0</v>
      </c>
      <c r="D29" s="264">
        <f t="shared" si="13"/>
        <v>0</v>
      </c>
      <c r="E29" s="264">
        <f t="shared" si="14"/>
        <v>1128115</v>
      </c>
      <c r="F29" s="78">
        <f t="shared" si="15"/>
        <v>161786</v>
      </c>
      <c r="G29" s="152">
        <f t="shared" si="1"/>
        <v>0</v>
      </c>
      <c r="H29" s="78">
        <f t="shared" si="7"/>
        <v>564388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693.448677419354</v>
      </c>
      <c r="R29" s="255">
        <f t="shared" si="12"/>
        <v>848.25171598994189</v>
      </c>
      <c r="S29" s="257">
        <f>SUM(ELEC!N29)</f>
        <v>2488.5999999996275</v>
      </c>
      <c r="T29" s="288">
        <f t="shared" si="16"/>
        <v>0.34085498512821222</v>
      </c>
      <c r="V29" s="200"/>
      <c r="W29" s="201"/>
      <c r="X29" s="201"/>
      <c r="Y29" s="145"/>
      <c r="Z29" s="3"/>
      <c r="AA29" s="185">
        <f>SUM(AA26:AA28)</f>
        <v>1349</v>
      </c>
      <c r="AB29" s="185">
        <f>SUM(AB26:AB28)</f>
        <v>181296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1128115</v>
      </c>
      <c r="C30" s="78">
        <f t="shared" si="0"/>
        <v>0</v>
      </c>
      <c r="D30" s="264">
        <f t="shared" si="13"/>
        <v>0</v>
      </c>
      <c r="E30" s="264">
        <f t="shared" si="14"/>
        <v>1128115</v>
      </c>
      <c r="F30" s="78">
        <f t="shared" si="15"/>
        <v>161786</v>
      </c>
      <c r="G30" s="152">
        <f t="shared" si="1"/>
        <v>0</v>
      </c>
      <c r="H30" s="78">
        <f t="shared" si="7"/>
        <v>564388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7415629</v>
      </c>
      <c r="AC30" s="225"/>
    </row>
    <row r="31" spans="1:32" ht="20.100000000000001" customHeight="1">
      <c r="A31" s="155">
        <f>ELEC!C31</f>
        <v>44954</v>
      </c>
      <c r="B31" s="78">
        <f t="shared" si="6"/>
        <v>1128115</v>
      </c>
      <c r="C31" s="78">
        <f>SUM(B31-B30)</f>
        <v>0</v>
      </c>
      <c r="D31" s="264">
        <f t="shared" si="13"/>
        <v>0</v>
      </c>
      <c r="E31" s="264">
        <f t="shared" si="14"/>
        <v>1128115</v>
      </c>
      <c r="F31" s="78">
        <f t="shared" si="15"/>
        <v>161786</v>
      </c>
      <c r="G31" s="152">
        <f>F31-F30</f>
        <v>0</v>
      </c>
      <c r="H31" s="78">
        <f t="shared" si="7"/>
        <v>564388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1128115</v>
      </c>
      <c r="C32" s="78">
        <f t="shared" ref="C32:C34" si="21">SUM(B32-B31)</f>
        <v>0</v>
      </c>
      <c r="D32" s="264">
        <f t="shared" ref="D32:D34" si="22">SUM(G32+I32+K32)</f>
        <v>0</v>
      </c>
      <c r="E32" s="264">
        <f t="shared" si="14"/>
        <v>1128115</v>
      </c>
      <c r="F32" s="78">
        <f t="shared" si="15"/>
        <v>161786</v>
      </c>
      <c r="G32" s="152">
        <f t="shared" ref="G32:G34" si="23">F32-F31</f>
        <v>0</v>
      </c>
      <c r="H32" s="78">
        <f t="shared" si="7"/>
        <v>564388</v>
      </c>
      <c r="I32" s="153">
        <f t="shared" ref="I32:I34" si="24">H32-H31</f>
        <v>0</v>
      </c>
      <c r="J32" s="78">
        <f t="shared" si="8"/>
        <v>401939</v>
      </c>
      <c r="K32" s="154">
        <f t="shared" ref="K32:K34" si="25">J32-J31</f>
        <v>0</v>
      </c>
      <c r="L32" s="254">
        <f t="shared" ref="L32:L34" si="26">SUM(G32*$Y$28)/1507.5</f>
        <v>0</v>
      </c>
      <c r="M32" s="254">
        <f t="shared" ref="M32:M34" si="27">SUM(I32*$Y$27)/1507.5</f>
        <v>0</v>
      </c>
      <c r="N32" s="254">
        <f t="shared" ref="N32:N34" si="28">SUM(K32*$Y$26)/1507.5</f>
        <v>0</v>
      </c>
      <c r="O32" s="254">
        <f t="shared" si="10"/>
        <v>154.80303857058792</v>
      </c>
      <c r="P32" s="255">
        <f t="shared" ref="P32:P34" si="29">SUM(L32:O32)</f>
        <v>154.80303857058792</v>
      </c>
      <c r="Q32" s="255">
        <f>SUM(-tanks!AX34*tanks!$AU$37)</f>
        <v>894.07590322581393</v>
      </c>
      <c r="R32" s="255">
        <f t="shared" ref="R32:R34" si="30">SUM(P32:Q32)</f>
        <v>1048.8789417964019</v>
      </c>
      <c r="S32" s="257">
        <f>SUM(ELEC!N32)</f>
        <v>2670.8000000007451</v>
      </c>
      <c r="T32" s="288">
        <f t="shared" ref="T32:T34" si="31">IF(S32&gt;0,R32/S32,0)</f>
        <v>0.39272088580055015</v>
      </c>
      <c r="V32" s="202" t="s">
        <v>229</v>
      </c>
      <c r="W32" s="360">
        <f>'Utility Cost '!B18</f>
        <v>236</v>
      </c>
      <c r="X32" s="207">
        <f>SUM(W32/A35)</f>
        <v>59</v>
      </c>
      <c r="Y32" s="231">
        <f>SUM(X32/1)</f>
        <v>59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1128115</v>
      </c>
      <c r="C33" s="78">
        <f t="shared" si="21"/>
        <v>0</v>
      </c>
      <c r="D33" s="264">
        <f t="shared" si="22"/>
        <v>0</v>
      </c>
      <c r="E33" s="264">
        <f t="shared" si="14"/>
        <v>1128115</v>
      </c>
      <c r="F33" s="78">
        <f t="shared" si="15"/>
        <v>161786</v>
      </c>
      <c r="G33" s="152">
        <f t="shared" si="23"/>
        <v>0</v>
      </c>
      <c r="H33" s="78">
        <f t="shared" si="7"/>
        <v>564388</v>
      </c>
      <c r="I33" s="153">
        <f t="shared" si="24"/>
        <v>0</v>
      </c>
      <c r="J33" s="78">
        <f t="shared" si="8"/>
        <v>401939</v>
      </c>
      <c r="K33" s="154">
        <f t="shared" si="25"/>
        <v>0</v>
      </c>
      <c r="L33" s="254">
        <f t="shared" si="26"/>
        <v>0</v>
      </c>
      <c r="M33" s="254">
        <f t="shared" si="27"/>
        <v>0</v>
      </c>
      <c r="N33" s="254">
        <f t="shared" si="28"/>
        <v>0</v>
      </c>
      <c r="O33" s="254">
        <f t="shared" si="10"/>
        <v>154.80303857058792</v>
      </c>
      <c r="P33" s="255">
        <f t="shared" si="29"/>
        <v>154.80303857058792</v>
      </c>
      <c r="Q33" s="255">
        <f>SUM(-tanks!AX35*tanks!$AU$37)</f>
        <v>-90.319532258062011</v>
      </c>
      <c r="R33" s="255">
        <f t="shared" si="30"/>
        <v>64.483506312525904</v>
      </c>
      <c r="S33" s="257">
        <f>SUM(ELEC!N33)</f>
        <v>3771.5999999996275</v>
      </c>
      <c r="T33" s="288">
        <f t="shared" si="31"/>
        <v>1.7097122259129353E-2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815719.19000000006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1128115</v>
      </c>
      <c r="C34" s="78">
        <f t="shared" si="21"/>
        <v>0</v>
      </c>
      <c r="D34" s="264">
        <f t="shared" si="22"/>
        <v>0</v>
      </c>
      <c r="E34" s="264">
        <f t="shared" si="14"/>
        <v>1128115</v>
      </c>
      <c r="F34" s="78">
        <f t="shared" si="15"/>
        <v>161786</v>
      </c>
      <c r="G34" s="152">
        <f t="shared" si="23"/>
        <v>0</v>
      </c>
      <c r="H34" s="78">
        <f t="shared" si="7"/>
        <v>564388</v>
      </c>
      <c r="I34" s="153">
        <f t="shared" si="24"/>
        <v>0</v>
      </c>
      <c r="J34" s="78">
        <f t="shared" si="8"/>
        <v>401939</v>
      </c>
      <c r="K34" s="154">
        <f t="shared" si="25"/>
        <v>0</v>
      </c>
      <c r="L34" s="254">
        <f t="shared" si="26"/>
        <v>0</v>
      </c>
      <c r="M34" s="254">
        <f t="shared" si="27"/>
        <v>0</v>
      </c>
      <c r="N34" s="254">
        <f t="shared" si="28"/>
        <v>0</v>
      </c>
      <c r="O34" s="254">
        <f t="shared" si="10"/>
        <v>154.80303857058792</v>
      </c>
      <c r="P34" s="255">
        <f t="shared" si="29"/>
        <v>154.80303857058792</v>
      </c>
      <c r="Q34" s="255">
        <f>SUM(-tanks!AX36*tanks!$AU$37)</f>
        <v>0</v>
      </c>
      <c r="R34" s="255">
        <f t="shared" si="30"/>
        <v>154.80303857058792</v>
      </c>
      <c r="S34" s="257">
        <f>SUM(ELEC!N34)</f>
        <v>0</v>
      </c>
      <c r="T34" s="288">
        <f t="shared" si="31"/>
        <v>0</v>
      </c>
      <c r="V34" s="202" t="s">
        <v>232</v>
      </c>
      <c r="Z34" s="3"/>
      <c r="AA34" s="3"/>
      <c r="AB34" s="445">
        <f>AB30+AB33</f>
        <v>8231348.1900000004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148</v>
      </c>
      <c r="D35" s="164"/>
      <c r="E35" s="164"/>
      <c r="F35" s="487"/>
      <c r="G35" s="487">
        <f>SUM(G4:G34)/A35</f>
        <v>0</v>
      </c>
      <c r="H35" s="164"/>
      <c r="I35" s="164">
        <f>SUM(I4:I34)/A35</f>
        <v>147.75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0.99831081081081086</v>
      </c>
      <c r="G36" s="210">
        <f>IF(C35&gt;0,G35/C35,0)</f>
        <v>0</v>
      </c>
      <c r="H36" s="199"/>
      <c r="I36" s="210">
        <f>SUM(I35/C35)</f>
        <v>0.99831081081081086</v>
      </c>
      <c r="J36" s="199"/>
      <c r="K36" s="210">
        <f>SUM(K35/C35)</f>
        <v>0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4919.15688225539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4919.15688225539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79"/>
      <c r="AC45" s="579"/>
      <c r="AD45" s="471"/>
    </row>
    <row r="46" spans="1:30">
      <c r="V46" s="579"/>
      <c r="W46" s="579"/>
      <c r="X46" s="579"/>
      <c r="Y46" s="579"/>
      <c r="Z46" s="226"/>
      <c r="AA46" s="226"/>
      <c r="AB46" s="579"/>
      <c r="AC46" s="579"/>
      <c r="AD46" s="471"/>
    </row>
    <row r="47" spans="1:30">
      <c r="V47" s="579"/>
      <c r="W47" s="579"/>
      <c r="X47" s="579"/>
      <c r="Y47" s="579"/>
      <c r="Z47" s="579"/>
      <c r="AA47" s="579"/>
      <c r="AB47" s="579"/>
      <c r="AC47" s="579"/>
      <c r="AD47" s="471"/>
    </row>
    <row r="48" spans="1:30">
      <c r="V48" s="580"/>
      <c r="W48" s="580"/>
      <c r="X48" s="581"/>
      <c r="Y48" s="581"/>
      <c r="Z48" s="581"/>
      <c r="AA48" s="1"/>
      <c r="AB48" s="579"/>
      <c r="AC48" s="579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1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1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1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1</v>
      </c>
      <c r="C6" s="3">
        <f>ELEC!N8</f>
        <v>2299</v>
      </c>
      <c r="D6" s="3">
        <f t="shared" si="0"/>
        <v>-649.00000000032014</v>
      </c>
      <c r="E6" s="3">
        <f>ELEC!Q25</f>
        <v>2948.0000000003201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1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1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245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12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1839</v>
      </c>
      <c r="D12" s="3">
        <f t="shared" si="0"/>
        <v>381.99999999784632</v>
      </c>
      <c r="E12" s="3">
        <f>ELEC!Q14</f>
        <v>1457.0000000021537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-10.899999999999991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4552</v>
      </c>
      <c r="D13" s="3">
        <f t="shared" si="0"/>
        <v>1311.0000000018335</v>
      </c>
      <c r="E13" s="3">
        <f>ELEC!Q15</f>
        <v>3240.9999999981665</v>
      </c>
      <c r="F13" s="3">
        <f>GEN!Z13</f>
        <v>9</v>
      </c>
      <c r="G13" s="3">
        <f>WATER!C16+WATER!H16</f>
        <v>0</v>
      </c>
      <c r="H13" s="3">
        <f>WATER!L16</f>
        <v>0</v>
      </c>
      <c r="I13" s="15">
        <f>WATER!BC16+WATER!BD16+WATER!BE17-Sheet1!G13</f>
        <v>11.5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63</v>
      </c>
      <c r="H14" s="3">
        <f>WATER!L17</f>
        <v>0</v>
      </c>
      <c r="I14" s="15">
        <f>WATER!BC17+WATER!BD17+WATER!BE18-Sheet1!G14</f>
        <v>-76.09999999999998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2647</v>
      </c>
      <c r="D16" s="3">
        <f t="shared" si="0"/>
        <v>-1449.0000000013679</v>
      </c>
      <c r="E16" s="3">
        <f>ELEC!Q18</f>
        <v>4096.0000000013679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-17.100000000000023</v>
      </c>
      <c r="J16" s="9">
        <f>'B5'!A18</f>
        <v>44940</v>
      </c>
    </row>
    <row r="17" spans="1:10">
      <c r="A17" s="3">
        <f>ELEC!T19+ELEC!X19+ELEC!AB19</f>
        <v>1</v>
      </c>
      <c r="B17" s="3">
        <f>ELEC!AF19</f>
        <v>278</v>
      </c>
      <c r="C17" s="3">
        <f>ELEC!N19</f>
        <v>3310</v>
      </c>
      <c r="D17" s="3">
        <f t="shared" si="0"/>
        <v>-21.999999998515705</v>
      </c>
      <c r="E17" s="3">
        <f>ELEC!Q19</f>
        <v>3331.9999999985157</v>
      </c>
      <c r="F17" s="3">
        <f>GEN!Z17</f>
        <v>14</v>
      </c>
      <c r="G17" s="3">
        <f>WATER!C20+WATER!H20</f>
        <v>0</v>
      </c>
      <c r="H17" s="3">
        <f>WATER!L20</f>
        <v>0</v>
      </c>
      <c r="I17" s="15">
        <f>WATER!BC20+WATER!BD20+WATER!BE21-Sheet1!G17</f>
        <v>-32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3279</v>
      </c>
      <c r="D18" s="3">
        <f t="shared" si="0"/>
        <v>106.00000000113505</v>
      </c>
      <c r="E18" s="3">
        <f>ELEC!Q20</f>
        <v>3172.999999998865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-28.699999999999989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3504</v>
      </c>
      <c r="D19" s="3">
        <f t="shared" si="0"/>
        <v>-76.00000000174623</v>
      </c>
      <c r="E19" s="3">
        <f>ELEC!Q21</f>
        <v>3580.0000000017462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-13.800000000000011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108</v>
      </c>
      <c r="C20" s="3">
        <f>ELEC!N22</f>
        <v>3229</v>
      </c>
      <c r="D20" s="3">
        <f t="shared" si="0"/>
        <v>-61.000000000873115</v>
      </c>
      <c r="E20" s="3">
        <f>ELEC!Q22</f>
        <v>3290.0000000008731</v>
      </c>
      <c r="F20" s="3">
        <f>GEN!Z20</f>
        <v>14</v>
      </c>
      <c r="G20" s="3">
        <f>WATER!C23+WATER!H23</f>
        <v>0</v>
      </c>
      <c r="H20" s="3">
        <f>WATER!L23</f>
        <v>0</v>
      </c>
      <c r="I20" s="15">
        <f>WATER!BC23+WATER!BD23+WATER!BE24-Sheet1!G20</f>
        <v>-20.300000000000011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-20.300000000000011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2894</v>
      </c>
      <c r="D23" s="3">
        <f t="shared" si="0"/>
        <v>-54.000000000320142</v>
      </c>
      <c r="E23" s="3">
        <f>ELEC!Q25</f>
        <v>2948.0000000003201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-11.300000000000026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2492</v>
      </c>
      <c r="D24" s="3">
        <f t="shared" si="0"/>
        <v>-9.9999999967694748</v>
      </c>
      <c r="E24" s="3">
        <f>ELEC!Q26</f>
        <v>2501.9999999967695</v>
      </c>
      <c r="F24" s="3">
        <f>GEN!Z24</f>
        <v>12</v>
      </c>
      <c r="G24" s="3">
        <f>WATER!C27+WATER!H27</f>
        <v>0</v>
      </c>
      <c r="H24" s="3">
        <f>WATER!L27</f>
        <v>0</v>
      </c>
      <c r="I24" s="15">
        <f>WATER!BC27+WATER!BD27+WATER!BE28-Sheet1!G24</f>
        <v>-21.899999999999963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1953</v>
      </c>
      <c r="D25" s="3">
        <f t="shared" si="0"/>
        <v>75.999999999592546</v>
      </c>
      <c r="E25" s="3">
        <f>ELEC!Q27</f>
        <v>1877.0000000004075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-51.69999999999996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2394</v>
      </c>
      <c r="D26" s="3">
        <f t="shared" si="0"/>
        <v>20.000000000203727</v>
      </c>
      <c r="E26" s="3">
        <f>ELEC!Q28</f>
        <v>2373.9999999997963</v>
      </c>
      <c r="F26" s="3">
        <f>GEN!Z26</f>
        <v>8</v>
      </c>
      <c r="G26" s="3">
        <f>WATER!C29+WATER!H29</f>
        <v>0</v>
      </c>
      <c r="H26" s="3">
        <f>WATER!L29</f>
        <v>0</v>
      </c>
      <c r="I26" s="15">
        <f>WATER!BC29+WATER!BD29+WATER!BE30-Sheet1!G26</f>
        <v>-15.40000000000002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2488.5999999996275</v>
      </c>
      <c r="D27" s="3">
        <f t="shared" si="0"/>
        <v>-56.400000002264278</v>
      </c>
      <c r="E27" s="3">
        <f>ELEC!Q29</f>
        <v>2545.0000000018917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-14.299999999999997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-3.9999999999999858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8"/>
      <c r="B1" s="586" t="s">
        <v>244</v>
      </c>
      <c r="C1" s="586" t="s">
        <v>245</v>
      </c>
      <c r="D1" s="590" t="s">
        <v>246</v>
      </c>
      <c r="E1" s="590" t="s">
        <v>247</v>
      </c>
      <c r="F1" s="591" t="s">
        <v>248</v>
      </c>
      <c r="G1" s="592" t="s">
        <v>249</v>
      </c>
      <c r="H1" s="583" t="s">
        <v>250</v>
      </c>
      <c r="I1" s="584" t="s">
        <v>251</v>
      </c>
      <c r="J1" s="583" t="s">
        <v>252</v>
      </c>
      <c r="K1" s="582" t="s">
        <v>253</v>
      </c>
      <c r="L1" s="582" t="s">
        <v>254</v>
      </c>
      <c r="M1" s="582" t="s">
        <v>255</v>
      </c>
      <c r="N1" s="582" t="s">
        <v>256</v>
      </c>
    </row>
    <row r="2" spans="1:14">
      <c r="A2" s="589"/>
      <c r="B2" s="587"/>
      <c r="C2" s="587"/>
      <c r="D2" s="590"/>
      <c r="E2" s="590"/>
      <c r="F2" s="591"/>
      <c r="G2" s="592"/>
      <c r="H2" s="583"/>
      <c r="I2" s="585"/>
      <c r="J2" s="583"/>
      <c r="K2" s="582"/>
      <c r="L2" s="582"/>
      <c r="M2" s="582"/>
      <c r="N2" s="582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1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1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1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1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1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1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245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205</v>
      </c>
      <c r="C15" s="74">
        <f>'B5'!AH15</f>
        <v>0</v>
      </c>
      <c r="D15" s="74">
        <f>GEN!AI13</f>
        <v>375.00843881911976</v>
      </c>
      <c r="E15" s="223">
        <f t="shared" si="0"/>
        <v>580.00843881911976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1457.0000000021537</v>
      </c>
      <c r="J15" s="77">
        <f>ELEC!R14</f>
        <v>381.99999999784632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86</v>
      </c>
      <c r="C16" s="74">
        <f>'B5'!AH16</f>
        <v>55.5</v>
      </c>
      <c r="D16" s="74">
        <f>GEN!AI14</f>
        <v>834.18143459868429</v>
      </c>
      <c r="E16" s="223">
        <f t="shared" si="0"/>
        <v>975.68143459868429</v>
      </c>
      <c r="F16" s="73">
        <f>WATER!L16</f>
        <v>0</v>
      </c>
      <c r="G16" s="76">
        <f>WATER!BG16</f>
        <v>-6.9000000000000199</v>
      </c>
      <c r="H16" s="77">
        <f>ELEC!AF15</f>
        <v>0</v>
      </c>
      <c r="I16" s="77">
        <f>ELEC!Q15</f>
        <v>3240.9999999981665</v>
      </c>
      <c r="J16" s="77">
        <f>ELEC!R15</f>
        <v>1311.0000000018335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18.40000000000002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258</v>
      </c>
      <c r="C19" s="74">
        <f>'B5'!AH19</f>
        <v>0</v>
      </c>
      <c r="D19" s="74">
        <f>GEN!AI17</f>
        <v>1054.2447257387487</v>
      </c>
      <c r="E19" s="223">
        <f t="shared" si="0"/>
        <v>1312.2447257387487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4096.0000000013679</v>
      </c>
      <c r="J19" s="77">
        <f>ELEC!R18</f>
        <v>-1449.0000000013679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115</v>
      </c>
      <c r="C20" s="74">
        <f>'B5'!AH20</f>
        <v>67</v>
      </c>
      <c r="D20" s="74">
        <f>GEN!AI18</f>
        <v>857.60337552704425</v>
      </c>
      <c r="E20" s="223">
        <f t="shared" si="0"/>
        <v>1039.6033755270441</v>
      </c>
      <c r="F20" s="73">
        <f>WATER!L20</f>
        <v>0</v>
      </c>
      <c r="G20" s="76">
        <f>WATER!BG20</f>
        <v>-17.100000000000023</v>
      </c>
      <c r="H20" s="77">
        <f>ELEC!AF19</f>
        <v>278</v>
      </c>
      <c r="I20" s="77">
        <f>ELEC!Q19</f>
        <v>3331.9999999985157</v>
      </c>
      <c r="J20" s="77">
        <f>ELEC!R19</f>
        <v>-21.999999998515705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185</v>
      </c>
      <c r="C21" s="74">
        <f>'B5'!AH21</f>
        <v>0</v>
      </c>
      <c r="D21" s="74">
        <f>GEN!AI19</f>
        <v>816.67932489422265</v>
      </c>
      <c r="E21" s="223">
        <f t="shared" si="0"/>
        <v>1001.6793248942226</v>
      </c>
      <c r="F21" s="73">
        <f>WATER!L21</f>
        <v>0</v>
      </c>
      <c r="G21" s="76">
        <f>WATER!BG21</f>
        <v>-14.899999999999977</v>
      </c>
      <c r="H21" s="77">
        <f>ELEC!AF20</f>
        <v>0</v>
      </c>
      <c r="I21" s="77">
        <f>ELEC!Q20</f>
        <v>3172.999999998865</v>
      </c>
      <c r="J21" s="77">
        <f>ELEC!R20</f>
        <v>106.00000000113505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143</v>
      </c>
      <c r="C22" s="74">
        <f>'B5'!AH22</f>
        <v>0</v>
      </c>
      <c r="D22" s="74">
        <f>GEN!AI20</f>
        <v>921.43459915656763</v>
      </c>
      <c r="E22" s="223">
        <f t="shared" si="0"/>
        <v>1064.4345991565676</v>
      </c>
      <c r="F22" s="73">
        <f>WATER!L22</f>
        <v>0</v>
      </c>
      <c r="G22" s="76">
        <f>WATER!BG22</f>
        <v>-13.800000000000011</v>
      </c>
      <c r="H22" s="77">
        <f>ELEC!AF21</f>
        <v>0</v>
      </c>
      <c r="I22" s="77">
        <f>ELEC!Q21</f>
        <v>3580.0000000017462</v>
      </c>
      <c r="J22" s="77">
        <f>ELEC!R21</f>
        <v>-76.00000000174623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83</v>
      </c>
      <c r="C23" s="74">
        <f>'B5'!AH23</f>
        <v>67</v>
      </c>
      <c r="D23" s="74">
        <f>GEN!AI21</f>
        <v>846.79324894537251</v>
      </c>
      <c r="E23" s="223">
        <f t="shared" si="0"/>
        <v>996.79324894537251</v>
      </c>
      <c r="F23" s="73">
        <f>WATER!L23</f>
        <v>0</v>
      </c>
      <c r="G23" s="76">
        <f>WATER!BG23</f>
        <v>0</v>
      </c>
      <c r="H23" s="77">
        <f>ELEC!AF22</f>
        <v>108</v>
      </c>
      <c r="I23" s="77">
        <f>ELEC!Q22</f>
        <v>3290.0000000008731</v>
      </c>
      <c r="J23" s="77">
        <f>ELEC!R22</f>
        <v>-61.000000000873115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-20.300000000000011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261</v>
      </c>
      <c r="C26" s="74">
        <f>'B5'!AH26</f>
        <v>0</v>
      </c>
      <c r="D26" s="74">
        <f>GEN!AI24</f>
        <v>758.76793248953391</v>
      </c>
      <c r="E26" s="223">
        <f t="shared" si="0"/>
        <v>1019.7679324895339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2948.0000000003201</v>
      </c>
      <c r="J26" s="77">
        <f>ELEC!R25</f>
        <v>-54.000000000320142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70</v>
      </c>
      <c r="C27" s="74">
        <f>'B5'!AH27</f>
        <v>83</v>
      </c>
      <c r="D27" s="74">
        <f>GEN!AI25</f>
        <v>643.97468354347234</v>
      </c>
      <c r="E27" s="223">
        <f t="shared" si="0"/>
        <v>796.97468354347234</v>
      </c>
      <c r="F27" s="73">
        <f>WATER!L27</f>
        <v>0</v>
      </c>
      <c r="G27" s="76">
        <f>WATER!BG27</f>
        <v>-11.300000000000026</v>
      </c>
      <c r="H27" s="77">
        <f>ELEC!AF26</f>
        <v>0</v>
      </c>
      <c r="I27" s="77">
        <f>ELEC!Q26</f>
        <v>2501.9999999967695</v>
      </c>
      <c r="J27" s="77">
        <f>ELEC!R26</f>
        <v>-9.9999999967694748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56</v>
      </c>
      <c r="C28" s="74">
        <f>'B5'!AH28</f>
        <v>0</v>
      </c>
      <c r="D28" s="74">
        <f>GEN!AI26</f>
        <v>483.1097046414551</v>
      </c>
      <c r="E28" s="223">
        <f t="shared" si="0"/>
        <v>539.1097046414551</v>
      </c>
      <c r="F28" s="73">
        <f>WATER!L28</f>
        <v>0</v>
      </c>
      <c r="G28" s="76">
        <f>WATER!BG28</f>
        <v>-10.599999999999937</v>
      </c>
      <c r="H28" s="77">
        <f>ELEC!AF27</f>
        <v>0</v>
      </c>
      <c r="I28" s="77">
        <f>ELEC!Q27</f>
        <v>1877.0000000004075</v>
      </c>
      <c r="J28" s="77">
        <f>ELEC!R27</f>
        <v>75.999999999592546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248</v>
      </c>
      <c r="C29" s="74">
        <f>'B5'!AH29</f>
        <v>61</v>
      </c>
      <c r="D29" s="74">
        <f>GEN!AI27</f>
        <v>611.02953586492652</v>
      </c>
      <c r="E29" s="75">
        <f t="shared" si="0"/>
        <v>920.02953586492652</v>
      </c>
      <c r="F29" s="73">
        <f>WATER!L29</f>
        <v>0</v>
      </c>
      <c r="G29" s="76">
        <f>WATER!BG29</f>
        <v>-39.300000000000011</v>
      </c>
      <c r="H29" s="77">
        <f>ELEC!AF28</f>
        <v>0</v>
      </c>
      <c r="I29" s="77">
        <f>ELEC!Q28</f>
        <v>2373.9999999997963</v>
      </c>
      <c r="J29" s="77">
        <f>ELEC!R28</f>
        <v>20.000000000203727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140</v>
      </c>
      <c r="C30" s="74">
        <f>'B5'!AH30</f>
        <v>0</v>
      </c>
      <c r="D30" s="74">
        <f>GEN!AI28</f>
        <v>655.04219409331392</v>
      </c>
      <c r="E30" s="75">
        <f t="shared" si="0"/>
        <v>795.04219409331392</v>
      </c>
      <c r="F30" s="73">
        <f>WATER!L30</f>
        <v>0</v>
      </c>
      <c r="G30" s="76">
        <f>WATER!BG30</f>
        <v>-8.5000000000000142</v>
      </c>
      <c r="H30" s="77">
        <f>ELEC!AF29</f>
        <v>0</v>
      </c>
      <c r="I30" s="77">
        <f>ELEC!Q29</f>
        <v>2545.0000000018917</v>
      </c>
      <c r="J30" s="77">
        <f>ELEC!R29</f>
        <v>-56.400000002264278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-8.4999999999999858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79" t="s">
        <v>257</v>
      </c>
      <c r="U3" s="579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1</v>
      </c>
      <c r="E21">
        <f t="shared" si="0"/>
        <v>90</v>
      </c>
      <c r="F21">
        <f>'B5'!AM20</f>
        <v>1</v>
      </c>
      <c r="G21">
        <f t="shared" si="1"/>
        <v>107</v>
      </c>
    </row>
    <row r="22" spans="3:7">
      <c r="C22" s="95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1</v>
      </c>
      <c r="E24">
        <f t="shared" si="0"/>
        <v>90</v>
      </c>
      <c r="F24">
        <f>'B5'!AM23</f>
        <v>1</v>
      </c>
      <c r="G24">
        <f t="shared" si="1"/>
        <v>107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1</v>
      </c>
      <c r="E28">
        <f t="shared" si="0"/>
        <v>90</v>
      </c>
      <c r="F28">
        <f>'B5'!AM27</f>
        <v>2</v>
      </c>
      <c r="G28">
        <f t="shared" si="1"/>
        <v>214</v>
      </c>
    </row>
    <row r="29" spans="3:7">
      <c r="C29" s="95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55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29" t="s">
        <v>289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</row>
    <row r="2" spans="1:28" ht="19.5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</row>
    <row r="3" spans="1:28" ht="19.5">
      <c r="A3" s="630" t="s">
        <v>290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0" t="s">
        <v>291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</row>
    <row r="6" spans="1:28" ht="15.75" thickBot="1">
      <c r="A6" s="631"/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  <c r="X6" s="631"/>
    </row>
    <row r="7" spans="1:28" ht="15.75" thickBot="1">
      <c r="A7" s="619" t="s">
        <v>292</v>
      </c>
      <c r="B7" s="620"/>
      <c r="C7" s="621" t="s">
        <v>293</v>
      </c>
      <c r="D7" s="622"/>
      <c r="E7" s="622"/>
      <c r="F7" s="622"/>
      <c r="G7" s="622"/>
      <c r="H7" s="622"/>
      <c r="I7" s="622"/>
      <c r="J7" s="622"/>
      <c r="K7" s="623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>
        <f>'[8]Degree Days 2022'!F10</f>
        <v>17</v>
      </c>
      <c r="G10" s="239">
        <f>'[8]Degree Days 2022'!G10</f>
        <v>12</v>
      </c>
      <c r="H10" s="239">
        <f>'[7]Degree Days 2020'!H10</f>
        <v>0.19999999999999929</v>
      </c>
      <c r="I10" s="3">
        <f>'[7]Degree Days 2020'!I10</f>
        <v>1</v>
      </c>
      <c r="J10" s="239">
        <f>'[9]Degree Days 2022'!J10</f>
        <v>17</v>
      </c>
      <c r="K10" s="239">
        <f>'[9]Degree Days 2022'!K10</f>
        <v>14</v>
      </c>
      <c r="L10" s="239">
        <f>'[7]Degree Days 2020'!L10</f>
        <v>-2.3000000000000007</v>
      </c>
      <c r="M10" s="3">
        <f>'[10]Degree Days 2020'!M10</f>
        <v>1</v>
      </c>
      <c r="N10" s="239">
        <f>'[11]Degree Days 2022'!N10</f>
        <v>0</v>
      </c>
      <c r="O10" s="239">
        <f>'[11]Degree Days 2022'!O10</f>
        <v>0</v>
      </c>
      <c r="P10" s="239">
        <f>(N10+O10)/2-18.3</f>
        <v>-18.3</v>
      </c>
      <c r="Q10" s="3">
        <v>1</v>
      </c>
      <c r="R10" s="239">
        <f>'[12]Degree Days 2022'!R10</f>
        <v>0</v>
      </c>
      <c r="S10" s="239">
        <f>'[12]Degree Days 2022'!S10</f>
        <v>0</v>
      </c>
      <c r="T10" s="239">
        <f>(R10+S10)/2-18.3</f>
        <v>-18.3</v>
      </c>
      <c r="U10" s="3">
        <v>1</v>
      </c>
      <c r="V10" s="239">
        <f>'[13]Degree Days 2022'!V10</f>
        <v>25</v>
      </c>
      <c r="W10" s="239">
        <f>'[13]Degree Days 2022'!W10</f>
        <v>21</v>
      </c>
      <c r="X10" s="239">
        <f>(V10+W10)/2-18.3</f>
        <v>4.6999999999999993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>
        <f>'[8]Degree Days 2022'!F11</f>
        <v>19</v>
      </c>
      <c r="G11" s="239">
        <f>'[8]Degree Days 2022'!G11</f>
        <v>11</v>
      </c>
      <c r="H11" s="239">
        <f>'[7]Degree Days 2020'!H11</f>
        <v>1.6999999999999993</v>
      </c>
      <c r="I11" s="3">
        <f>'[7]Degree Days 2020'!I11</f>
        <v>2</v>
      </c>
      <c r="J11" s="239">
        <f>'[9]Degree Days 2022'!J11</f>
        <v>24</v>
      </c>
      <c r="K11" s="239">
        <f>'[9]Degree Days 2022'!K11</f>
        <v>15</v>
      </c>
      <c r="L11" s="239">
        <f>'[7]Degree Days 2020'!L11</f>
        <v>-2.8000000000000007</v>
      </c>
      <c r="M11" s="3">
        <f>'[10]Degree Days 2020'!M11</f>
        <v>2</v>
      </c>
      <c r="N11" s="239">
        <f>'[11]Degree Days 2022'!N11</f>
        <v>0</v>
      </c>
      <c r="O11" s="239">
        <f>'[11]Degree Days 2022'!O11</f>
        <v>0</v>
      </c>
      <c r="P11" s="239">
        <f t="shared" ref="P11:P39" si="0">(N11+O11)/2-18.3</f>
        <v>-18.3</v>
      </c>
      <c r="Q11" s="3">
        <v>2</v>
      </c>
      <c r="R11" s="239">
        <f>'[12]Degree Days 2022'!R11</f>
        <v>0</v>
      </c>
      <c r="S11" s="239">
        <f>'[12]Degree Days 2022'!S11</f>
        <v>0</v>
      </c>
      <c r="T11" s="239">
        <f t="shared" ref="T11:T40" si="1">(R11+S11)/2-18.3</f>
        <v>-18.3</v>
      </c>
      <c r="U11" s="3">
        <v>2</v>
      </c>
      <c r="V11" s="239">
        <f>'[13]Degree Days 2022'!V11</f>
        <v>25</v>
      </c>
      <c r="W11" s="239">
        <f>'[13]Degree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>
        <f>'[8]Degree Days 2022'!F12</f>
        <v>19</v>
      </c>
      <c r="G12" s="239">
        <f>'[8]Degree Days 2022'!G12</f>
        <v>11</v>
      </c>
      <c r="H12" s="239">
        <f>'[7]Degree Days 2020'!H12</f>
        <v>-0.80000000000000071</v>
      </c>
      <c r="I12" s="3">
        <f>'[7]Degree Days 2020'!I12</f>
        <v>3</v>
      </c>
      <c r="J12" s="239">
        <f>'[9]Degree Days 2022'!J12</f>
        <v>20</v>
      </c>
      <c r="K12" s="239">
        <f>'[9]Degree Days 2022'!K12</f>
        <v>13</v>
      </c>
      <c r="L12" s="239">
        <f>'[7]Degree Days 2020'!L12</f>
        <v>-2.8000000000000007</v>
      </c>
      <c r="M12" s="3">
        <f>'[10]Degree Days 2020'!M12</f>
        <v>3</v>
      </c>
      <c r="N12" s="239">
        <f>'[11]Degree Days 2022'!N12</f>
        <v>24</v>
      </c>
      <c r="O12" s="239">
        <f>'[11]Degree Days 2022'!O12</f>
        <v>17</v>
      </c>
      <c r="P12" s="239">
        <f t="shared" si="0"/>
        <v>2.1999999999999993</v>
      </c>
      <c r="Q12" s="3">
        <v>3</v>
      </c>
      <c r="R12" s="239">
        <f>'[12]Degree Days 2022'!R12</f>
        <v>0</v>
      </c>
      <c r="S12" s="239">
        <f>'[12]Degree Days 2022'!S12</f>
        <v>0</v>
      </c>
      <c r="T12" s="239">
        <f t="shared" si="1"/>
        <v>-18.3</v>
      </c>
      <c r="U12" s="3">
        <v>3</v>
      </c>
      <c r="V12" s="239">
        <f>'[13]Degree Days 2022'!V12</f>
        <v>0</v>
      </c>
      <c r="W12" s="239">
        <f>'[13]Degree Days 2022'!W12</f>
        <v>0</v>
      </c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>
        <f>'[8]Degree Days 2022'!F13</f>
        <v>0</v>
      </c>
      <c r="G13" s="239">
        <f>'[8]Degree Days 2022'!G13</f>
        <v>0</v>
      </c>
      <c r="H13" s="239">
        <f>'[7]Degree Days 2020'!H13</f>
        <v>-0.80000000000000071</v>
      </c>
      <c r="I13" s="3">
        <f>'[7]Degree Days 2020'!I13</f>
        <v>4</v>
      </c>
      <c r="J13" s="239">
        <f>'[9]Degree Days 2022'!J13</f>
        <v>0</v>
      </c>
      <c r="K13" s="239">
        <f>'[9]Degree Days 2022'!K13</f>
        <v>0</v>
      </c>
      <c r="L13" s="239">
        <f>'[7]Degree Days 2020'!L13</f>
        <v>-2.8000000000000007</v>
      </c>
      <c r="M13" s="3">
        <f>'[10]Degree Days 2020'!M13</f>
        <v>4</v>
      </c>
      <c r="N13" s="239">
        <f>'[11]Degree Days 2022'!N13</f>
        <v>24</v>
      </c>
      <c r="O13" s="239">
        <f>'[11]Degree Days 2022'!O13</f>
        <v>16</v>
      </c>
      <c r="P13" s="239">
        <f t="shared" si="0"/>
        <v>1.6999999999999993</v>
      </c>
      <c r="Q13" s="3">
        <v>4</v>
      </c>
      <c r="R13" s="239">
        <f>'[12]Degree Days 2022'!R13</f>
        <v>23</v>
      </c>
      <c r="S13" s="239">
        <f>'[12]Degree Days 2022'!S13</f>
        <v>19</v>
      </c>
      <c r="T13" s="239">
        <f t="shared" si="1"/>
        <v>2.6999999999999993</v>
      </c>
      <c r="U13" s="3">
        <v>4</v>
      </c>
      <c r="V13" s="239">
        <f>'[13]Degree Days 2022'!V13</f>
        <v>0</v>
      </c>
      <c r="W13" s="239">
        <f>'[13]Degree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>
        <f>'[8]Degree Days 2022'!F14</f>
        <v>0</v>
      </c>
      <c r="G14" s="239">
        <f>'[8]Degree Days 2022'!G14</f>
        <v>0</v>
      </c>
      <c r="H14" s="239">
        <f>'[7]Degree Days 2020'!H14</f>
        <v>-0.80000000000000071</v>
      </c>
      <c r="I14" s="3">
        <f>'[7]Degree Days 2020'!I14</f>
        <v>5</v>
      </c>
      <c r="J14" s="239">
        <f>'[9]Degree Days 2022'!J14</f>
        <v>0</v>
      </c>
      <c r="K14" s="239">
        <f>'[9]Degree Days 2022'!K14</f>
        <v>0</v>
      </c>
      <c r="L14" s="239">
        <f>'[7]Degree Days 2020'!L14</f>
        <v>-2.8000000000000007</v>
      </c>
      <c r="M14" s="3">
        <f>'[10]Degree Days 2020'!M14</f>
        <v>5</v>
      </c>
      <c r="N14" s="239">
        <f>'[11]Degree Days 2022'!N14</f>
        <v>30</v>
      </c>
      <c r="O14" s="239">
        <f>'[11]Degree Days 2022'!O14</f>
        <v>16</v>
      </c>
      <c r="P14" s="239">
        <f t="shared" si="0"/>
        <v>4.6999999999999993</v>
      </c>
      <c r="Q14" s="3">
        <v>5</v>
      </c>
      <c r="R14" s="239">
        <f>'[12]Degree Days 2022'!R14</f>
        <v>22</v>
      </c>
      <c r="S14" s="239">
        <f>'[12]Degree Days 2022'!S14</f>
        <v>18</v>
      </c>
      <c r="T14" s="239">
        <f t="shared" si="1"/>
        <v>1.6999999999999993</v>
      </c>
      <c r="U14" s="3">
        <v>5</v>
      </c>
      <c r="V14" s="239">
        <f>'[13]Degree Days 2022'!V14</f>
        <v>27</v>
      </c>
      <c r="W14" s="239">
        <f>'[13]Degree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>
        <f>'[8]Degree Days 2022'!F15</f>
        <v>17</v>
      </c>
      <c r="G15" s="239">
        <f>'[8]Degree Days 2022'!G15</f>
        <v>12</v>
      </c>
      <c r="H15" s="239">
        <f>'[7]Degree Days 2020'!H15</f>
        <v>-1.3000000000000007</v>
      </c>
      <c r="I15" s="3">
        <f>'[7]Degree Days 2020'!I15</f>
        <v>6</v>
      </c>
      <c r="J15" s="239">
        <f>'[9]Degree Days 2022'!J15</f>
        <v>22</v>
      </c>
      <c r="K15" s="239">
        <f>'[9]Degree Days 2022'!K15</f>
        <v>13</v>
      </c>
      <c r="L15" s="239">
        <f>'[7]Degree Days 2020'!L15</f>
        <v>-2.3000000000000007</v>
      </c>
      <c r="M15" s="3">
        <f>'[10]Degree Days 2020'!M15</f>
        <v>6</v>
      </c>
      <c r="N15" s="239">
        <f>'[11]Degree Days 2022'!N15</f>
        <v>34</v>
      </c>
      <c r="O15" s="239">
        <f>'[11]Degree Days 2022'!O15</f>
        <v>18</v>
      </c>
      <c r="P15" s="239">
        <f t="shared" si="0"/>
        <v>7.6999999999999993</v>
      </c>
      <c r="Q15" s="3">
        <v>6</v>
      </c>
      <c r="R15" s="239">
        <f>'[12]Degree Days 2022'!R15</f>
        <v>0</v>
      </c>
      <c r="S15" s="239">
        <f>'[12]Degree Days 2022'!S15</f>
        <v>0</v>
      </c>
      <c r="T15" s="239">
        <f t="shared" si="1"/>
        <v>-18.3</v>
      </c>
      <c r="U15" s="3">
        <v>6</v>
      </c>
      <c r="V15" s="239">
        <f>'[13]Degree Days 2022'!V15</f>
        <v>26</v>
      </c>
      <c r="W15" s="239">
        <f>'[13]Degree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>
        <f>'[8]Degree Days 2022'!F16</f>
        <v>17</v>
      </c>
      <c r="G16" s="239">
        <f>'[8]Degree Days 2022'!G16</f>
        <v>13</v>
      </c>
      <c r="H16" s="239">
        <f>'[7]Degree Days 2020'!H16</f>
        <v>0.69999999999999929</v>
      </c>
      <c r="I16" s="3">
        <f>'[7]Degree Days 2020'!I16</f>
        <v>7</v>
      </c>
      <c r="J16" s="239">
        <f>'[9]Degree Days 2022'!J16</f>
        <v>17</v>
      </c>
      <c r="K16" s="239">
        <f>'[9]Degree Days 2022'!K16</f>
        <v>13</v>
      </c>
      <c r="L16" s="239">
        <f>'[7]Degree Days 2020'!L16</f>
        <v>-1.8000000000000007</v>
      </c>
      <c r="M16" s="3">
        <f>'[10]Degree Days 2020'!M16</f>
        <v>7</v>
      </c>
      <c r="N16" s="239">
        <f>'[11]Degree Days 2022'!N16</f>
        <v>21</v>
      </c>
      <c r="O16" s="239">
        <f>'[11]Degree Days 2022'!O16</f>
        <v>16</v>
      </c>
      <c r="P16" s="239">
        <f t="shared" si="0"/>
        <v>0.19999999999999929</v>
      </c>
      <c r="Q16" s="3">
        <v>7</v>
      </c>
      <c r="R16" s="239">
        <f>'[12]Degree Days 2022'!R16</f>
        <v>0</v>
      </c>
      <c r="S16" s="239">
        <f>'[12]Degree Days 2022'!S16</f>
        <v>0</v>
      </c>
      <c r="T16" s="239">
        <f t="shared" si="1"/>
        <v>-18.3</v>
      </c>
      <c r="U16" s="3">
        <v>7</v>
      </c>
      <c r="V16" s="239">
        <f>'[13]Degree Days 2022'!V16</f>
        <v>27</v>
      </c>
      <c r="W16" s="239">
        <f>'[13]Degree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>
        <f>'[8]Degree Days 2022'!F17</f>
        <v>0</v>
      </c>
      <c r="G17" s="239">
        <f>'[8]Degree Days 2022'!G17</f>
        <v>0</v>
      </c>
      <c r="H17" s="239">
        <f>'[7]Degree Days 2020'!H17</f>
        <v>2.6999999999999993</v>
      </c>
      <c r="I17" s="3">
        <f>'[7]Degree Days 2020'!I17</f>
        <v>8</v>
      </c>
      <c r="J17" s="239">
        <f>'[9]Degree Days 2022'!J17</f>
        <v>8</v>
      </c>
      <c r="K17" s="239">
        <f>'[9]Degree Days 2022'!K17</f>
        <v>13</v>
      </c>
      <c r="L17" s="239">
        <f>'[7]Degree Days 2020'!L17</f>
        <v>-0.30000000000000071</v>
      </c>
      <c r="M17" s="3">
        <f>'[10]Degree Days 2020'!M17</f>
        <v>8</v>
      </c>
      <c r="N17" s="239">
        <f>'[11]Degree Days 2022'!N17</f>
        <v>0</v>
      </c>
      <c r="O17" s="239">
        <f>'[11]Degree Days 2022'!O17</f>
        <v>0</v>
      </c>
      <c r="P17" s="239">
        <f t="shared" si="0"/>
        <v>-18.3</v>
      </c>
      <c r="Q17" s="3">
        <v>8</v>
      </c>
      <c r="R17" s="239">
        <f>'[12]Degree Days 2022'!R17</f>
        <v>22</v>
      </c>
      <c r="S17" s="239">
        <f>'[12]Degree Days 2022'!S17</f>
        <v>17</v>
      </c>
      <c r="T17" s="239">
        <f t="shared" si="1"/>
        <v>1.1999999999999993</v>
      </c>
      <c r="U17" s="3">
        <v>8</v>
      </c>
      <c r="V17" s="239">
        <f>'[13]Degree Days 2022'!V17</f>
        <v>27</v>
      </c>
      <c r="W17" s="239">
        <f>'[13]Degree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>
        <f>'[8]Degree Days 2022'!F18</f>
        <v>21</v>
      </c>
      <c r="G18" s="239">
        <f>'[8]Degree Days 2022'!G18</f>
        <v>10</v>
      </c>
      <c r="H18" s="239">
        <f>'[7]Degree Days 2020'!H18</f>
        <v>1.1999999999999993</v>
      </c>
      <c r="I18" s="3">
        <f>'[7]Degree Days 2020'!I18</f>
        <v>9</v>
      </c>
      <c r="J18" s="239">
        <f>'[9]Degree Days 2022'!J18</f>
        <v>16</v>
      </c>
      <c r="K18" s="239">
        <f>'[9]Degree Days 2022'!K18</f>
        <v>14</v>
      </c>
      <c r="L18" s="239">
        <f>'[7]Degree Days 2020'!L18</f>
        <v>1.6999999999999993</v>
      </c>
      <c r="M18" s="3">
        <f>'[10]Degree Days 2020'!M18</f>
        <v>9</v>
      </c>
      <c r="N18" s="239">
        <f>'[11]Degree Days 2022'!N18</f>
        <v>0</v>
      </c>
      <c r="O18" s="239">
        <f>'[11]Degree Days 2022'!O18</f>
        <v>0</v>
      </c>
      <c r="P18" s="239">
        <f t="shared" si="0"/>
        <v>-18.3</v>
      </c>
      <c r="Q18" s="3">
        <v>9</v>
      </c>
      <c r="R18" s="239">
        <f>'[12]Degree Days 2022'!R18</f>
        <v>23</v>
      </c>
      <c r="S18" s="239">
        <f>'[12]Degree Days 2022'!S18</f>
        <v>18</v>
      </c>
      <c r="T18" s="239">
        <f t="shared" si="1"/>
        <v>2.1999999999999993</v>
      </c>
      <c r="U18" s="3">
        <v>9</v>
      </c>
      <c r="V18" s="239">
        <f>'[13]Degree Days 2022'!V18</f>
        <v>0</v>
      </c>
      <c r="W18" s="239">
        <f>'[13]Degree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>
        <f>'[8]Degree Days 2022'!F19</f>
        <v>0</v>
      </c>
      <c r="G19" s="239">
        <f>'[8]Degree Days 2022'!G19</f>
        <v>0</v>
      </c>
      <c r="H19" s="239">
        <f>'[7]Degree Days 2020'!H19</f>
        <v>-1.8000000000000007</v>
      </c>
      <c r="I19" s="3">
        <f>'[7]Degree Days 2020'!I19</f>
        <v>10</v>
      </c>
      <c r="J19" s="239">
        <f>'[9]Degree Days 2022'!J19</f>
        <v>14</v>
      </c>
      <c r="K19" s="239">
        <f>'[9]Degree Days 2022'!K19</f>
        <v>11</v>
      </c>
      <c r="L19" s="239">
        <f>'[7]Degree Days 2020'!L19</f>
        <v>-2.3000000000000007</v>
      </c>
      <c r="M19" s="3">
        <f>'[10]Degree Days 2020'!M19</f>
        <v>10</v>
      </c>
      <c r="N19" s="239">
        <f>'[11]Degree Days 2022'!N19</f>
        <v>22</v>
      </c>
      <c r="O19" s="239">
        <f>'[11]Degree Days 2022'!O19</f>
        <v>15</v>
      </c>
      <c r="P19" s="239">
        <f t="shared" si="0"/>
        <v>0.19999999999999929</v>
      </c>
      <c r="Q19" s="3">
        <v>10</v>
      </c>
      <c r="R19" s="239">
        <f>'[12]Degree Days 2022'!R19</f>
        <v>23</v>
      </c>
      <c r="S19" s="239">
        <f>'[12]Degree Days 2022'!S19</f>
        <v>17</v>
      </c>
      <c r="T19" s="239">
        <f t="shared" si="1"/>
        <v>1.6999999999999993</v>
      </c>
      <c r="U19" s="3">
        <v>10</v>
      </c>
      <c r="V19" s="239">
        <f>'[13]Degree Days 2022'!V19</f>
        <v>0</v>
      </c>
      <c r="W19" s="239">
        <f>'[13]Degree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13</v>
      </c>
      <c r="D20" s="239">
        <f>'[7]Degree Days 2020'!D20</f>
        <v>0.69999999999999929</v>
      </c>
      <c r="E20" s="3">
        <f>'[7]Degree Days 2020'!E20</f>
        <v>11</v>
      </c>
      <c r="F20" s="239">
        <f>'[8]Degree Days 2022'!F20</f>
        <v>0</v>
      </c>
      <c r="G20" s="239">
        <f>'[8]Degree Days 2022'!G20</f>
        <v>0</v>
      </c>
      <c r="H20" s="239">
        <f>'[7]Degree Days 2020'!H20</f>
        <v>-2.8000000000000007</v>
      </c>
      <c r="I20" s="3">
        <f>'[7]Degree Days 2020'!I20</f>
        <v>11</v>
      </c>
      <c r="J20" s="239">
        <f>'[9]Degree Days 2022'!J20</f>
        <v>14</v>
      </c>
      <c r="K20" s="239">
        <f>'[9]Degree Days 2022'!K20</f>
        <v>9</v>
      </c>
      <c r="L20" s="239">
        <f>'[7]Degree Days 2020'!L20</f>
        <v>-3.8000000000000007</v>
      </c>
      <c r="M20" s="3">
        <f>'[10]Degree Days 2020'!M20</f>
        <v>11</v>
      </c>
      <c r="N20" s="239">
        <f>'[11]Degree Days 2022'!N20</f>
        <v>21</v>
      </c>
      <c r="O20" s="239">
        <f>'[11]Degree Days 2022'!O20</f>
        <v>16</v>
      </c>
      <c r="P20" s="239">
        <f t="shared" si="0"/>
        <v>0.19999999999999929</v>
      </c>
      <c r="Q20" s="3">
        <v>11</v>
      </c>
      <c r="R20" s="239">
        <f>'[12]Degree Days 2022'!R20</f>
        <v>23</v>
      </c>
      <c r="S20" s="239">
        <f>'[12]Degree Days 2022'!S20</f>
        <v>17</v>
      </c>
      <c r="T20" s="239">
        <f t="shared" si="1"/>
        <v>1.6999999999999993</v>
      </c>
      <c r="U20" s="3">
        <v>11</v>
      </c>
      <c r="V20" s="239">
        <f>'[13]Degree Days 2022'!V20</f>
        <v>0</v>
      </c>
      <c r="W20" s="239">
        <f>'[13]Degree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>
        <f>'[8]Degree Days 2022'!F21</f>
        <v>0</v>
      </c>
      <c r="G21" s="239">
        <f>'[8]Degree Days 2022'!G21</f>
        <v>0</v>
      </c>
      <c r="H21" s="239">
        <f>'[7]Degree Days 2020'!H21</f>
        <v>-2.8000000000000007</v>
      </c>
      <c r="I21" s="3">
        <f>'[7]Degree Days 2020'!I21</f>
        <v>12</v>
      </c>
      <c r="J21" s="239">
        <f>'[9]Degree Days 2022'!J21</f>
        <v>0</v>
      </c>
      <c r="K21" s="239">
        <f>'[9]Degree Days 2022'!K21</f>
        <v>0</v>
      </c>
      <c r="L21" s="239">
        <f>'[7]Degree Days 2020'!L21</f>
        <v>-2.8000000000000007</v>
      </c>
      <c r="M21" s="3">
        <f>'[10]Degree Days 2020'!M21</f>
        <v>12</v>
      </c>
      <c r="N21" s="239">
        <f>'[11]Degree Days 2022'!N21</f>
        <v>20</v>
      </c>
      <c r="O21" s="239">
        <f>'[11]Degree Days 2022'!O21</f>
        <v>16</v>
      </c>
      <c r="P21" s="239">
        <f t="shared" si="0"/>
        <v>-0.30000000000000071</v>
      </c>
      <c r="Q21" s="3">
        <v>12</v>
      </c>
      <c r="R21" s="239">
        <f>'[12]Degree Days 2022'!R21</f>
        <v>22</v>
      </c>
      <c r="S21" s="239">
        <f>'[12]Degree Days 2022'!S21</f>
        <v>17</v>
      </c>
      <c r="T21" s="239">
        <f t="shared" si="1"/>
        <v>1.1999999999999993</v>
      </c>
      <c r="U21" s="3">
        <v>12</v>
      </c>
      <c r="V21" s="239">
        <f>'[13]Degree Days 2022'!V21</f>
        <v>0</v>
      </c>
      <c r="W21" s="239">
        <f>'[13]Degree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>
        <f>'[8]Degree Days 2022'!F22</f>
        <v>17</v>
      </c>
      <c r="G22" s="239">
        <f>'[8]Degree Days 2022'!G22</f>
        <v>12</v>
      </c>
      <c r="H22" s="239">
        <f>'[7]Degree Days 2020'!H22</f>
        <v>-1.8000000000000007</v>
      </c>
      <c r="I22" s="3">
        <f>'[7]Degree Days 2020'!I22</f>
        <v>13</v>
      </c>
      <c r="J22" s="239">
        <f>'[9]Degree Days 2022'!J22</f>
        <v>13</v>
      </c>
      <c r="K22" s="239">
        <f>'[9]Degree Days 2022'!K22</f>
        <v>9</v>
      </c>
      <c r="L22" s="239">
        <f>'[7]Degree Days 2020'!L22</f>
        <v>-1.3000000000000007</v>
      </c>
      <c r="M22" s="3">
        <f>'[10]Degree Days 2020'!M22</f>
        <v>13</v>
      </c>
      <c r="N22" s="239">
        <f>'[11]Degree Days 2022'!N22</f>
        <v>20</v>
      </c>
      <c r="O22" s="239">
        <f>'[11]Degree Days 2022'!O22</f>
        <v>17</v>
      </c>
      <c r="P22" s="239">
        <f t="shared" si="0"/>
        <v>0.19999999999999929</v>
      </c>
      <c r="Q22" s="3">
        <v>13</v>
      </c>
      <c r="R22" s="239">
        <f>'[12]Degree Days 2022'!R22</f>
        <v>0</v>
      </c>
      <c r="S22" s="239">
        <f>'[12]Degree Days 2022'!S22</f>
        <v>0</v>
      </c>
      <c r="T22" s="239">
        <f t="shared" si="1"/>
        <v>-18.3</v>
      </c>
      <c r="U22" s="3">
        <v>13</v>
      </c>
      <c r="V22" s="239">
        <f>'[13]Degree Days 2022'!V22</f>
        <v>0</v>
      </c>
      <c r="W22" s="239">
        <f>'[13]Degree Days 2022'!W22</f>
        <v>0</v>
      </c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13</v>
      </c>
      <c r="D23" s="239">
        <f>'[7]Degree Days 2020'!D23</f>
        <v>-3.8000000000000007</v>
      </c>
      <c r="E23" s="3">
        <f>'[7]Degree Days 2020'!E23</f>
        <v>14</v>
      </c>
      <c r="F23" s="239">
        <f>'[8]Degree Days 2022'!F23</f>
        <v>18</v>
      </c>
      <c r="G23" s="239">
        <f>'[8]Degree Days 2022'!G23</f>
        <v>12</v>
      </c>
      <c r="H23" s="239">
        <f>'[7]Degree Days 2020'!H23</f>
        <v>-2.8000000000000007</v>
      </c>
      <c r="I23" s="3">
        <f>'[7]Degree Days 2020'!I23</f>
        <v>14</v>
      </c>
      <c r="J23" s="239">
        <f>'[9]Degree Days 2022'!J23</f>
        <v>12</v>
      </c>
      <c r="K23" s="239">
        <f>'[9]Degree Days 2022'!K23</f>
        <v>8</v>
      </c>
      <c r="L23" s="239">
        <f>'[7]Degree Days 2020'!L23</f>
        <v>-1.3000000000000007</v>
      </c>
      <c r="M23" s="3">
        <f>'[10]Degree Days 2020'!M23</f>
        <v>14</v>
      </c>
      <c r="N23" s="239">
        <f>'[11]Degree Days 2022'!N23</f>
        <v>0</v>
      </c>
      <c r="O23" s="239">
        <f>'[11]Degree Days 2022'!O23</f>
        <v>0</v>
      </c>
      <c r="P23" s="239">
        <f t="shared" si="0"/>
        <v>-18.3</v>
      </c>
      <c r="Q23" s="3">
        <v>14</v>
      </c>
      <c r="R23" s="239">
        <f>'[12]Degree Days 2022'!R23</f>
        <v>0</v>
      </c>
      <c r="S23" s="239">
        <f>'[12]Degree Days 2022'!S23</f>
        <v>0</v>
      </c>
      <c r="T23" s="239">
        <f t="shared" si="1"/>
        <v>-18.3</v>
      </c>
      <c r="U23" s="3">
        <v>14</v>
      </c>
      <c r="V23" s="239">
        <f>'[13]Degree Days 2022'!V23</f>
        <v>27</v>
      </c>
      <c r="W23" s="239">
        <f>'[13]Degree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12</v>
      </c>
      <c r="D24" s="239">
        <f>'[7]Degree Days 2020'!D24</f>
        <v>-2.3000000000000007</v>
      </c>
      <c r="E24" s="3">
        <f>'[7]Degree Days 2020'!E24</f>
        <v>15</v>
      </c>
      <c r="F24" s="239">
        <f>'[8]Degree Days 2022'!F24</f>
        <v>17</v>
      </c>
      <c r="G24" s="239">
        <f>'[8]Degree Days 2022'!G24</f>
        <v>14</v>
      </c>
      <c r="H24" s="239">
        <f>'[7]Degree Days 2020'!H24</f>
        <v>-3.3000000000000007</v>
      </c>
      <c r="I24" s="3">
        <f>'[7]Degree Days 2020'!I24</f>
        <v>15</v>
      </c>
      <c r="J24" s="239">
        <f>'[9]Degree Days 2022'!J24</f>
        <v>10</v>
      </c>
      <c r="K24" s="239">
        <f>'[9]Degree Days 2022'!K24</f>
        <v>5</v>
      </c>
      <c r="L24" s="239">
        <f>'[7]Degree Days 2020'!L24</f>
        <v>-1.3000000000000007</v>
      </c>
      <c r="M24" s="3">
        <f>'[10]Degree Days 2020'!M24</f>
        <v>15</v>
      </c>
      <c r="N24" s="239">
        <f>'[11]Degree Days 2022'!N24</f>
        <v>0</v>
      </c>
      <c r="O24" s="239">
        <f>'[11]Degree Days 2022'!O24</f>
        <v>0</v>
      </c>
      <c r="P24" s="239">
        <f t="shared" si="0"/>
        <v>-18.3</v>
      </c>
      <c r="Q24" s="3">
        <v>15</v>
      </c>
      <c r="R24" s="239">
        <f>'[12]Degree Days 2022'!R24</f>
        <v>22</v>
      </c>
      <c r="S24" s="239">
        <f>'[12]Degree Days 2022'!S24</f>
        <v>18</v>
      </c>
      <c r="T24" s="239">
        <f t="shared" si="1"/>
        <v>1.6999999999999993</v>
      </c>
      <c r="U24" s="3">
        <v>15</v>
      </c>
      <c r="V24" s="239">
        <f>'[13]Degree Days 2022'!V24</f>
        <v>28</v>
      </c>
      <c r="W24" s="239">
        <f>'[13]Degree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13</v>
      </c>
      <c r="D25" s="239">
        <f>'[7]Degree Days 2020'!D25</f>
        <v>-6.3000000000000007</v>
      </c>
      <c r="E25" s="3">
        <f>'[7]Degree Days 2020'!E25</f>
        <v>16</v>
      </c>
      <c r="F25" s="239">
        <f>'[8]Degree Days 2022'!F25</f>
        <v>17</v>
      </c>
      <c r="G25" s="239">
        <f>'[8]Degree Days 2022'!G25</f>
        <v>13</v>
      </c>
      <c r="H25" s="239">
        <f>'[7]Degree Days 2020'!H25</f>
        <v>-9.3000000000000007</v>
      </c>
      <c r="I25" s="3">
        <f>'[7]Degree Days 2020'!I25</f>
        <v>16</v>
      </c>
      <c r="J25" s="239">
        <f>'[9]Degree Days 2022'!J25</f>
        <v>0</v>
      </c>
      <c r="K25" s="239">
        <f>'[9]Degree Days 2022'!K25</f>
        <v>0</v>
      </c>
      <c r="L25" s="239">
        <f>'[7]Degree Days 2020'!L25</f>
        <v>-1.8000000000000007</v>
      </c>
      <c r="M25" s="3">
        <f>'[10]Degree Days 2020'!M25</f>
        <v>16</v>
      </c>
      <c r="N25" s="239">
        <f>'[11]Degree Days 2022'!N25</f>
        <v>0</v>
      </c>
      <c r="O25" s="239">
        <f>'[11]Degree Days 2022'!O25</f>
        <v>0</v>
      </c>
      <c r="P25" s="239">
        <f t="shared" si="0"/>
        <v>-18.3</v>
      </c>
      <c r="Q25" s="3">
        <v>16</v>
      </c>
      <c r="R25" s="239">
        <f>'[12]Degree Days 2022'!R25</f>
        <v>22</v>
      </c>
      <c r="S25" s="239">
        <f>'[12]Degree Days 2022'!S25</f>
        <v>18</v>
      </c>
      <c r="T25" s="239">
        <f t="shared" si="1"/>
        <v>1.6999999999999993</v>
      </c>
      <c r="U25" s="3">
        <v>16</v>
      </c>
      <c r="V25" s="239">
        <f>'[13]Degree Days 2022'!V25</f>
        <v>30</v>
      </c>
      <c r="W25" s="239">
        <f>'[13]Degree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13</v>
      </c>
      <c r="D26" s="239">
        <f>'[7]Degree Days 2020'!D26</f>
        <v>-4.8000000000000007</v>
      </c>
      <c r="E26" s="3">
        <f>'[7]Degree Days 2020'!E26</f>
        <v>17</v>
      </c>
      <c r="F26" s="239">
        <f>'[8]Degree Days 2022'!F26</f>
        <v>18</v>
      </c>
      <c r="G26" s="239">
        <f>'[8]Degree Days 2022'!G26</f>
        <v>12</v>
      </c>
      <c r="H26" s="239">
        <f>'[7]Degree Days 2020'!H26</f>
        <v>-8.3000000000000007</v>
      </c>
      <c r="I26" s="3">
        <f>'[7]Degree Days 2020'!I26</f>
        <v>17</v>
      </c>
      <c r="J26" s="239">
        <f>'[9]Degree Days 2022'!J26</f>
        <v>16</v>
      </c>
      <c r="K26" s="239">
        <f>'[9]Degree Days 2022'!K26</f>
        <v>9</v>
      </c>
      <c r="L26" s="239">
        <f>'[7]Degree Days 2020'!L26</f>
        <v>-0.80000000000000071</v>
      </c>
      <c r="M26" s="3">
        <f>'[10]Degree Days 2020'!M26</f>
        <v>17</v>
      </c>
      <c r="N26" s="239">
        <f>'[11]Degree Days 2022'!N26</f>
        <v>0</v>
      </c>
      <c r="O26" s="239">
        <f>'[11]Degree Days 2022'!O26</f>
        <v>0</v>
      </c>
      <c r="P26" s="239">
        <f t="shared" si="0"/>
        <v>-18.3</v>
      </c>
      <c r="Q26" s="3">
        <v>17</v>
      </c>
      <c r="R26" s="239">
        <f>'[12]Degree Days 2022'!R26</f>
        <v>23</v>
      </c>
      <c r="S26" s="239">
        <f>'[12]Degree Days 2022'!S26</f>
        <v>18</v>
      </c>
      <c r="T26" s="239">
        <f t="shared" si="1"/>
        <v>2.1999999999999993</v>
      </c>
      <c r="U26" s="3">
        <v>17</v>
      </c>
      <c r="V26" s="239">
        <f>'[13]Degree Days 2022'!V26</f>
        <v>0</v>
      </c>
      <c r="W26" s="239">
        <f>'[13]Degree Days 2022'!W26</f>
        <v>0</v>
      </c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14</v>
      </c>
      <c r="D27" s="239">
        <f>'[7]Degree Days 2020'!D27</f>
        <v>-7.3000000000000007</v>
      </c>
      <c r="E27" s="3">
        <f>'[7]Degree Days 2020'!E27</f>
        <v>18</v>
      </c>
      <c r="F27" s="239">
        <f>'[8]Degree Days 2022'!F27</f>
        <v>0</v>
      </c>
      <c r="G27" s="239">
        <f>'[8]Degree Days 2022'!G27</f>
        <v>0</v>
      </c>
      <c r="H27" s="239">
        <f>'[7]Degree Days 2020'!H27</f>
        <v>-8.3000000000000007</v>
      </c>
      <c r="I27" s="3">
        <f>'[7]Degree Days 2020'!I27</f>
        <v>18</v>
      </c>
      <c r="J27" s="239">
        <f>'[9]Degree Days 2022'!J27</f>
        <v>0</v>
      </c>
      <c r="K27" s="239">
        <f>'[9]Degree Days 2022'!K27</f>
        <v>0</v>
      </c>
      <c r="L27" s="239">
        <f>'[7]Degree Days 2020'!L27</f>
        <v>-0.80000000000000071</v>
      </c>
      <c r="M27" s="3">
        <f>'[10]Degree Days 2020'!M27</f>
        <v>18</v>
      </c>
      <c r="N27" s="239">
        <f>'[11]Degree Days 2022'!N27</f>
        <v>35</v>
      </c>
      <c r="O27" s="239">
        <f>'[11]Degree Days 2022'!O27</f>
        <v>19</v>
      </c>
      <c r="P27" s="239">
        <f t="shared" si="0"/>
        <v>8.6999999999999993</v>
      </c>
      <c r="Q27" s="3">
        <v>18</v>
      </c>
      <c r="R27" s="239">
        <f>'[12]Degree Days 2022'!R27</f>
        <v>23</v>
      </c>
      <c r="S27" s="239">
        <f>'[12]Degree Days 2022'!S27</f>
        <v>17</v>
      </c>
      <c r="T27" s="239">
        <f t="shared" si="1"/>
        <v>1.6999999999999993</v>
      </c>
      <c r="U27" s="3">
        <v>18</v>
      </c>
      <c r="V27" s="239">
        <f>'[13]Degree Days 2022'!V27</f>
        <v>0</v>
      </c>
      <c r="W27" s="239">
        <f>'[13]Degree Days 2022'!W27</f>
        <v>0</v>
      </c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13</v>
      </c>
      <c r="D28" s="239">
        <f>'[7]Degree Days 2020'!D28</f>
        <v>-4.8000000000000007</v>
      </c>
      <c r="E28" s="3">
        <f>'[7]Degree Days 2020'!E28</f>
        <v>19</v>
      </c>
      <c r="F28" s="239">
        <f>'[8]Degree Days 2022'!F28</f>
        <v>0</v>
      </c>
      <c r="G28" s="239">
        <f>'[8]Degree Days 2022'!G28</f>
        <v>0</v>
      </c>
      <c r="H28" s="239">
        <f>'[7]Degree Days 2020'!H28</f>
        <v>-7.8000000000000007</v>
      </c>
      <c r="I28" s="3">
        <f>'[7]Degree Days 2020'!I28</f>
        <v>19</v>
      </c>
      <c r="J28" s="239">
        <f>'[9]Degree Days 2022'!J28</f>
        <v>0</v>
      </c>
      <c r="K28" s="239">
        <f>'[9]Degree Days 2022'!K28</f>
        <v>0</v>
      </c>
      <c r="L28" s="239">
        <f>'[7]Degree Days 2020'!L28</f>
        <v>-0.30000000000000071</v>
      </c>
      <c r="M28" s="3">
        <f>'[10]Degree Days 2020'!M28</f>
        <v>19</v>
      </c>
      <c r="N28" s="239">
        <f>'[11]Degree Days 2022'!N28</f>
        <v>21</v>
      </c>
      <c r="O28" s="239">
        <f>'[11]Degree Days 2022'!O28</f>
        <v>16</v>
      </c>
      <c r="P28" s="239">
        <f t="shared" si="0"/>
        <v>0.19999999999999929</v>
      </c>
      <c r="Q28" s="3">
        <v>19</v>
      </c>
      <c r="R28" s="239">
        <f>'[12]Degree Days 2022'!R28</f>
        <v>24</v>
      </c>
      <c r="S28" s="239">
        <f>'[12]Degree Days 2022'!S28</f>
        <v>19</v>
      </c>
      <c r="T28" s="239">
        <f t="shared" si="1"/>
        <v>3.1999999999999993</v>
      </c>
      <c r="U28" s="3">
        <v>19</v>
      </c>
      <c r="V28" s="239">
        <f>'[13]Degree Days 2022'!V28</f>
        <v>0</v>
      </c>
      <c r="W28" s="239">
        <f>'[13]Degree Days 2022'!W28</f>
        <v>0</v>
      </c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>
        <f>'[8]Degree Days 2022'!F29</f>
        <v>18</v>
      </c>
      <c r="G29" s="239">
        <f>'[8]Degree Days 2022'!G29</f>
        <v>13</v>
      </c>
      <c r="H29" s="239">
        <f>'[7]Degree Days 2020'!H29</f>
        <v>-1.8000000000000007</v>
      </c>
      <c r="I29" s="3">
        <f>'[7]Degree Days 2020'!I29</f>
        <v>20</v>
      </c>
      <c r="J29" s="239">
        <f>'[9]Degree Days 2022'!J29</f>
        <v>11</v>
      </c>
      <c r="K29" s="239">
        <f>'[9]Degree Days 2022'!K29</f>
        <v>9</v>
      </c>
      <c r="L29" s="239">
        <f>'[7]Degree Days 2020'!L29</f>
        <v>1.1999999999999993</v>
      </c>
      <c r="M29" s="3">
        <f>'[10]Degree Days 2020'!M29</f>
        <v>20</v>
      </c>
      <c r="N29" s="239">
        <f>'[11]Degree Days 2022'!N29</f>
        <v>20</v>
      </c>
      <c r="O29" s="239">
        <f>'[11]Degree Days 2022'!O29</f>
        <v>16</v>
      </c>
      <c r="P29" s="239">
        <f t="shared" si="0"/>
        <v>-0.30000000000000071</v>
      </c>
      <c r="Q29" s="3">
        <v>20</v>
      </c>
      <c r="R29" s="239">
        <f>'[12]Degree Days 2022'!R29</f>
        <v>0</v>
      </c>
      <c r="S29" s="239">
        <f>'[12]Degree Days 2022'!S29</f>
        <v>0</v>
      </c>
      <c r="T29" s="239">
        <f t="shared" si="1"/>
        <v>-18.3</v>
      </c>
      <c r="U29" s="3">
        <v>20</v>
      </c>
      <c r="V29" s="239">
        <f>'[13]Degree Days 2022'!V29</f>
        <v>27</v>
      </c>
      <c r="W29" s="239">
        <f>'[13]Degree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>
        <f>'[8]Degree Days 2022'!F30</f>
        <v>19</v>
      </c>
      <c r="G30" s="239">
        <f>'[8]Degree Days 2022'!G30</f>
        <v>13</v>
      </c>
      <c r="H30" s="239">
        <f>'[7]Degree Days 2020'!H30</f>
        <v>-2.8000000000000007</v>
      </c>
      <c r="I30" s="3">
        <f>'[7]Degree Days 2020'!I30</f>
        <v>21</v>
      </c>
      <c r="J30" s="239">
        <f>'[9]Degree Days 2022'!J30</f>
        <v>14</v>
      </c>
      <c r="K30" s="239">
        <f>'[9]Degree Days 2022'!K30</f>
        <v>8</v>
      </c>
      <c r="L30" s="239">
        <f>'[7]Degree Days 2020'!L30</f>
        <v>0.19999999999999929</v>
      </c>
      <c r="M30" s="3">
        <f>'[10]Degree Days 2020'!M30</f>
        <v>21</v>
      </c>
      <c r="N30" s="239">
        <f>'[11]Degree Days 2022'!N30</f>
        <v>0</v>
      </c>
      <c r="O30" s="239">
        <f>'[11]Degree Days 2022'!O30</f>
        <v>0</v>
      </c>
      <c r="P30" s="239">
        <f t="shared" si="0"/>
        <v>-18.3</v>
      </c>
      <c r="Q30" s="3">
        <v>21</v>
      </c>
      <c r="R30" s="239">
        <f>'[12]Degree Days 2022'!R30</f>
        <v>0</v>
      </c>
      <c r="S30" s="239">
        <f>'[12]Degree Days 2022'!S30</f>
        <v>0</v>
      </c>
      <c r="T30" s="239">
        <f t="shared" si="1"/>
        <v>-18.3</v>
      </c>
      <c r="U30" s="3">
        <v>21</v>
      </c>
      <c r="V30" s="239">
        <f>'[13]Degree Days 2022'!V30</f>
        <v>28</v>
      </c>
      <c r="W30" s="239">
        <f>'[13]Degree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23</v>
      </c>
      <c r="D31" s="239">
        <f>'[7]Degree Days 2020'!D31</f>
        <v>-4.8000000000000007</v>
      </c>
      <c r="E31" s="3">
        <f>'[7]Degree Days 2020'!E31</f>
        <v>22</v>
      </c>
      <c r="F31" s="239">
        <f>'[8]Degree Days 2022'!F31</f>
        <v>23</v>
      </c>
      <c r="G31" s="239">
        <f>'[8]Degree Days 2022'!G31</f>
        <v>14</v>
      </c>
      <c r="H31" s="239">
        <f>'[7]Degree Days 2020'!H31</f>
        <v>-1.8000000000000007</v>
      </c>
      <c r="I31" s="3">
        <f>'[7]Degree Days 2020'!I31</f>
        <v>22</v>
      </c>
      <c r="J31" s="239">
        <f>'[9]Degree Days 2022'!J31</f>
        <v>15</v>
      </c>
      <c r="K31" s="239">
        <f>'[9]Degree Days 2022'!K31</f>
        <v>11</v>
      </c>
      <c r="L31" s="239">
        <f>'[7]Degree Days 2020'!L31</f>
        <v>1.6999999999999993</v>
      </c>
      <c r="M31" s="3">
        <f>'[10]Degree Days 2020'!M31</f>
        <v>22</v>
      </c>
      <c r="N31" s="239">
        <f>'[11]Degree Days 2022'!N31</f>
        <v>0</v>
      </c>
      <c r="O31" s="239">
        <f>'[11]Degree Days 2022'!O31</f>
        <v>0</v>
      </c>
      <c r="P31" s="239">
        <f t="shared" si="0"/>
        <v>-18.3</v>
      </c>
      <c r="Q31" s="3">
        <v>22</v>
      </c>
      <c r="R31" s="239">
        <f>'[12]Degree Days 2022'!R31</f>
        <v>24</v>
      </c>
      <c r="S31" s="239">
        <f>'[12]Degree Days 2022'!S31</f>
        <v>21</v>
      </c>
      <c r="T31" s="239">
        <f t="shared" si="1"/>
        <v>4.1999999999999993</v>
      </c>
      <c r="U31" s="3">
        <v>22</v>
      </c>
      <c r="V31" s="239">
        <f>'[13]Degree Days 2022'!V31</f>
        <v>0</v>
      </c>
      <c r="W31" s="239">
        <f>'[13]Degree Days 2022'!W31</f>
        <v>0</v>
      </c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13</v>
      </c>
      <c r="D32" s="239">
        <f>'[7]Degree Days 2020'!D32</f>
        <v>-3.3000000000000007</v>
      </c>
      <c r="E32" s="3">
        <f>'[7]Degree Days 2020'!E32</f>
        <v>23</v>
      </c>
      <c r="F32" s="239">
        <f>'[8]Degree Days 2022'!F32</f>
        <v>25</v>
      </c>
      <c r="G32" s="239">
        <f>'[8]Degree Days 2022'!G32</f>
        <v>14</v>
      </c>
      <c r="H32" s="239">
        <f>'[7]Degree Days 2020'!H32</f>
        <v>-2.3000000000000007</v>
      </c>
      <c r="I32" s="3">
        <f>'[7]Degree Days 2020'!I32</f>
        <v>23</v>
      </c>
      <c r="J32" s="239">
        <f>'[9]Degree Days 2022'!J32</f>
        <v>15</v>
      </c>
      <c r="K32" s="239">
        <f>'[9]Degree Days 2022'!K32</f>
        <v>9</v>
      </c>
      <c r="L32" s="239">
        <f>'[7]Degree Days 2020'!L32</f>
        <v>6.6999999999999993</v>
      </c>
      <c r="M32" s="3">
        <f>'[10]Degree Days 2020'!M32</f>
        <v>23</v>
      </c>
      <c r="N32" s="239">
        <f>'[11]Degree Days 2022'!N32</f>
        <v>0</v>
      </c>
      <c r="O32" s="239">
        <f>'[11]Degree Days 2022'!O32</f>
        <v>0</v>
      </c>
      <c r="P32" s="239">
        <f t="shared" si="0"/>
        <v>-18.3</v>
      </c>
      <c r="Q32" s="3">
        <v>23</v>
      </c>
      <c r="R32" s="239">
        <f>'[12]Degree Days 2022'!R32</f>
        <v>24</v>
      </c>
      <c r="S32" s="239">
        <f>'[12]Degree Days 2022'!S32</f>
        <v>20</v>
      </c>
      <c r="T32" s="239">
        <f t="shared" si="1"/>
        <v>3.6999999999999993</v>
      </c>
      <c r="U32" s="3">
        <v>23</v>
      </c>
      <c r="V32" s="239">
        <f>'[13]Degree Days 2022'!V32</f>
        <v>0</v>
      </c>
      <c r="W32" s="239">
        <f>'[13]Degree Days 2022'!W32</f>
        <v>0</v>
      </c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13</v>
      </c>
      <c r="D33" s="239">
        <f>'[7]Degree Days 2020'!D33</f>
        <v>-4.3000000000000007</v>
      </c>
      <c r="E33" s="3">
        <f>'[7]Degree Days 2020'!E33</f>
        <v>24</v>
      </c>
      <c r="F33" s="239">
        <f>'[8]Degree Days 2022'!F33</f>
        <v>26</v>
      </c>
      <c r="G33" s="239">
        <f>'[8]Degree Days 2022'!G33</f>
        <v>12</v>
      </c>
      <c r="H33" s="239">
        <f>'[7]Degree Days 2020'!H33</f>
        <v>-2.8000000000000007</v>
      </c>
      <c r="I33" s="3">
        <f>'[7]Degree Days 2020'!I33</f>
        <v>24</v>
      </c>
      <c r="J33" s="239">
        <f>'[9]Degree Days 2022'!J33</f>
        <v>13</v>
      </c>
      <c r="K33" s="239">
        <f>'[9]Degree Days 2022'!K33</f>
        <v>9</v>
      </c>
      <c r="L33" s="239">
        <f>'[7]Degree Days 2020'!L33</f>
        <v>-4.8000000000000007</v>
      </c>
      <c r="M33" s="3">
        <f>'[10]Degree Days 2020'!M33</f>
        <v>24</v>
      </c>
      <c r="N33" s="239">
        <f>'[11]Degree Days 2022'!N33</f>
        <v>0</v>
      </c>
      <c r="O33" s="239">
        <f>'[11]Degree Days 2022'!O33</f>
        <v>0</v>
      </c>
      <c r="P33" s="239">
        <f t="shared" si="0"/>
        <v>-18.3</v>
      </c>
      <c r="Q33" s="3">
        <v>24</v>
      </c>
      <c r="R33" s="239">
        <f>'[12]Degree Days 2022'!R33</f>
        <v>24</v>
      </c>
      <c r="S33" s="239">
        <f>'[12]Degree Days 2022'!S33</f>
        <v>20</v>
      </c>
      <c r="T33" s="239">
        <f t="shared" si="1"/>
        <v>3.6999999999999993</v>
      </c>
      <c r="U33" s="3">
        <v>24</v>
      </c>
      <c r="V33" s="239">
        <f>'[13]Degree Days 2022'!V33</f>
        <v>0</v>
      </c>
      <c r="W33" s="239">
        <f>'[13]Degree Days 2022'!W33</f>
        <v>0</v>
      </c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13</v>
      </c>
      <c r="D34" s="239">
        <f>'[7]Degree Days 2020'!D34</f>
        <v>-1.8000000000000007</v>
      </c>
      <c r="E34" s="3">
        <f>'[7]Degree Days 2020'!E34</f>
        <v>25</v>
      </c>
      <c r="F34" s="239">
        <f>'[8]Degree Days 2022'!F34</f>
        <v>0</v>
      </c>
      <c r="G34" s="239">
        <f>'[8]Degree Days 2022'!G34</f>
        <v>0</v>
      </c>
      <c r="H34" s="239">
        <f>'[7]Degree Days 2020'!H34</f>
        <v>-2.8000000000000007</v>
      </c>
      <c r="I34" s="3">
        <f>'[7]Degree Days 2020'!I34</f>
        <v>25</v>
      </c>
      <c r="J34" s="239">
        <f>'[9]Degree Days 2022'!J34</f>
        <v>0</v>
      </c>
      <c r="K34" s="239">
        <f>'[9]Degree Days 2022'!K34</f>
        <v>0</v>
      </c>
      <c r="L34" s="239">
        <f>'[7]Degree Days 2020'!L34</f>
        <v>-4.8000000000000007</v>
      </c>
      <c r="M34" s="3">
        <f>'[10]Degree Days 2020'!M34</f>
        <v>25</v>
      </c>
      <c r="N34" s="239">
        <f>'[11]Degree Days 2022'!N34</f>
        <v>23</v>
      </c>
      <c r="O34" s="239">
        <f>'[11]Degree Days 2022'!O34</f>
        <v>18</v>
      </c>
      <c r="P34" s="239">
        <f t="shared" si="0"/>
        <v>2.1999999999999993</v>
      </c>
      <c r="Q34" s="3">
        <v>25</v>
      </c>
      <c r="R34" s="239">
        <f>'[12]Degree Days 2022'!R34</f>
        <v>24</v>
      </c>
      <c r="S34" s="239">
        <f>'[12]Degree Days 2022'!S34</f>
        <v>20</v>
      </c>
      <c r="T34" s="239">
        <f t="shared" si="1"/>
        <v>3.6999999999999993</v>
      </c>
      <c r="U34" s="3">
        <v>25</v>
      </c>
      <c r="V34" s="239">
        <f>'[13]Degree Days 2022'!V34</f>
        <v>0</v>
      </c>
      <c r="W34" s="239">
        <f>'[13]Degree Days 2022'!W34</f>
        <v>0</v>
      </c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14</v>
      </c>
      <c r="D35" s="239">
        <f>'[7]Degree Days 2020'!D35</f>
        <v>-3.8000000000000007</v>
      </c>
      <c r="E35" s="3">
        <f>'[7]Degree Days 2020'!E35</f>
        <v>26</v>
      </c>
      <c r="F35" s="239">
        <f>'[8]Degree Days 2022'!F35</f>
        <v>0</v>
      </c>
      <c r="G35" s="239">
        <f>'[8]Degree Days 2022'!G35</f>
        <v>0</v>
      </c>
      <c r="H35" s="239">
        <f>'[7]Degree Days 2020'!H35</f>
        <v>-2.8000000000000007</v>
      </c>
      <c r="I35" s="3">
        <f>'[7]Degree Days 2020'!I35</f>
        <v>26</v>
      </c>
      <c r="J35" s="239">
        <f>'[9]Degree Days 2022'!J35</f>
        <v>0</v>
      </c>
      <c r="K35" s="239">
        <f>'[9]Degree Days 2022'!K35</f>
        <v>0</v>
      </c>
      <c r="L35" s="239">
        <f>'[7]Degree Days 2020'!L35</f>
        <v>-5.3000000000000007</v>
      </c>
      <c r="M35" s="3">
        <f>'[10]Degree Days 2020'!M35</f>
        <v>26</v>
      </c>
      <c r="N35" s="239">
        <f>'[11]Degree Days 2022'!N35</f>
        <v>25</v>
      </c>
      <c r="O35" s="239">
        <f>'[11]Degree Days 2022'!O35</f>
        <v>16</v>
      </c>
      <c r="P35" s="239">
        <f t="shared" si="0"/>
        <v>2.1999999999999993</v>
      </c>
      <c r="Q35" s="3">
        <v>26</v>
      </c>
      <c r="R35" s="239">
        <f>'[12]Degree Days 2022'!R35</f>
        <v>28</v>
      </c>
      <c r="S35" s="239">
        <f>'[12]Degree Days 2022'!S35</f>
        <v>19</v>
      </c>
      <c r="T35" s="239">
        <f t="shared" si="1"/>
        <v>5.1999999999999993</v>
      </c>
      <c r="U35" s="3">
        <v>26</v>
      </c>
      <c r="V35" s="239">
        <f>'[13]Degree Days 2022'!V35</f>
        <v>29</v>
      </c>
      <c r="W35" s="239">
        <f>'[13]Degree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'[8]Degree Days 2022'!F36</f>
        <v>18</v>
      </c>
      <c r="G36" s="239">
        <f>'[8]Degree Days 2022'!G36</f>
        <v>14</v>
      </c>
      <c r="H36" s="239">
        <f>'[7]Degree Days 2020'!H36</f>
        <v>-2.8000000000000007</v>
      </c>
      <c r="I36" s="3">
        <f>'[7]Degree Days 2020'!I36</f>
        <v>27</v>
      </c>
      <c r="J36" s="239">
        <f>'[9]Degree Days 2022'!J36</f>
        <v>18</v>
      </c>
      <c r="K36" s="239">
        <f>'[9]Degree Days 2022'!K36</f>
        <v>11</v>
      </c>
      <c r="L36" s="239">
        <f>'[7]Degree Days 2020'!L36</f>
        <v>-4.3000000000000007</v>
      </c>
      <c r="M36" s="3">
        <f>'[10]Degree Days 2020'!M36</f>
        <v>27</v>
      </c>
      <c r="N36" s="239">
        <f>'[11]Degree Days 2022'!N36</f>
        <v>23</v>
      </c>
      <c r="O36" s="239">
        <f>'[11]Degree Days 2022'!O36</f>
        <v>17</v>
      </c>
      <c r="P36" s="239">
        <f t="shared" si="0"/>
        <v>1.6999999999999993</v>
      </c>
      <c r="Q36" s="3">
        <v>27</v>
      </c>
      <c r="R36" s="239">
        <f>'[12]Degree Days 2022'!R36</f>
        <v>0</v>
      </c>
      <c r="S36" s="239">
        <f>'[12]Degree Days 2022'!S36</f>
        <v>0</v>
      </c>
      <c r="T36" s="239">
        <f t="shared" si="1"/>
        <v>-18.3</v>
      </c>
      <c r="U36" s="3">
        <v>27</v>
      </c>
      <c r="V36" s="239">
        <f>'[13]Degree Days 2022'!V36</f>
        <v>29</v>
      </c>
      <c r="W36" s="239">
        <f>'[13]Degree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'[8]Degree Days 2022'!F37</f>
        <v>17</v>
      </c>
      <c r="G37" s="239">
        <f>'[8]Degree Days 2022'!G37</f>
        <v>12</v>
      </c>
      <c r="H37" s="239">
        <f>'[7]Degree Days 2020'!H37</f>
        <v>-3.3000000000000007</v>
      </c>
      <c r="I37" s="3">
        <f>'[7]Degree Days 2020'!I37</f>
        <v>28</v>
      </c>
      <c r="J37" s="239">
        <f>'[9]Degree Days 2022'!J37</f>
        <v>18</v>
      </c>
      <c r="K37" s="239">
        <f>'[9]Degree Days 2022'!K37</f>
        <v>11</v>
      </c>
      <c r="L37" s="239">
        <f>'[7]Degree Days 2020'!L37</f>
        <v>-3.3000000000000007</v>
      </c>
      <c r="M37" s="3">
        <f>'[10]Degree Days 2020'!M37</f>
        <v>28</v>
      </c>
      <c r="N37" s="239">
        <f>'[11]Degree Days 2022'!N37</f>
        <v>22</v>
      </c>
      <c r="O37" s="239">
        <f>'[11]Degree Days 2022'!O37</f>
        <v>19</v>
      </c>
      <c r="P37" s="239">
        <f t="shared" si="0"/>
        <v>2.1999999999999993</v>
      </c>
      <c r="Q37" s="3">
        <v>28</v>
      </c>
      <c r="R37" s="239">
        <f>'[12]Degree Days 2022'!R37</f>
        <v>0</v>
      </c>
      <c r="S37" s="239">
        <f>'[12]Degree Days 2022'!S37</f>
        <v>0</v>
      </c>
      <c r="T37" s="239">
        <f t="shared" si="1"/>
        <v>-18.3</v>
      </c>
      <c r="U37" s="3">
        <v>28</v>
      </c>
      <c r="V37" s="239">
        <f>'[13]Degree Days 2022'!V37</f>
        <v>28</v>
      </c>
      <c r="W37" s="239">
        <f>'[13]Degree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15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>
        <f>'[9]Degree Days 2022'!J38</f>
        <v>22</v>
      </c>
      <c r="K38" s="239">
        <f>'[9]Degree Days 2022'!K38</f>
        <v>12</v>
      </c>
      <c r="L38" s="239">
        <f>'[7]Degree Days 2020'!L38</f>
        <v>-2.8000000000000007</v>
      </c>
      <c r="M38" s="3">
        <f>'[10]Degree Days 2020'!M38</f>
        <v>29</v>
      </c>
      <c r="N38" s="239">
        <f>'[11]Degree Days 2022'!N38</f>
        <v>0</v>
      </c>
      <c r="O38" s="239">
        <f>'[11]Degree Days 2022'!O38</f>
        <v>0</v>
      </c>
      <c r="P38" s="239">
        <f t="shared" si="0"/>
        <v>-18.3</v>
      </c>
      <c r="Q38" s="3">
        <v>29</v>
      </c>
      <c r="R38" s="239">
        <f>'[12]Degree Days 2022'!R38</f>
        <v>0</v>
      </c>
      <c r="S38" s="239">
        <f>'[12]Degree Days 2022'!S38</f>
        <v>0</v>
      </c>
      <c r="T38" s="239">
        <f t="shared" si="1"/>
        <v>-18.3</v>
      </c>
      <c r="U38" s="3">
        <v>29</v>
      </c>
      <c r="V38" s="239">
        <f>'[13]Degree Days 2022'!V38</f>
        <v>29</v>
      </c>
      <c r="W38" s="239">
        <f>'[13]Degree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11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>
        <f>'[9]Degree Days 2022'!J39</f>
        <v>19</v>
      </c>
      <c r="K39" s="239">
        <f>'[9]Degree Days 2022'!K39</f>
        <v>15</v>
      </c>
      <c r="L39" s="239">
        <f>'[7]Degree Days 2020'!L39</f>
        <v>-2.3000000000000007</v>
      </c>
      <c r="M39" s="3">
        <f>'[10]Degree Days 2020'!M39</f>
        <v>30</v>
      </c>
      <c r="N39" s="239">
        <f>'[11]Degree Days 2022'!N39</f>
        <v>0</v>
      </c>
      <c r="O39" s="239">
        <f>'[11]Degree Days 2022'!O39</f>
        <v>0</v>
      </c>
      <c r="P39" s="239">
        <f t="shared" si="0"/>
        <v>-18.3</v>
      </c>
      <c r="Q39" s="3">
        <v>30</v>
      </c>
      <c r="R39" s="239">
        <f>'[12]Degree Days 2022'!R39</f>
        <v>27</v>
      </c>
      <c r="S39" s="239">
        <f>'[12]Degree Days 2022'!S39</f>
        <v>22</v>
      </c>
      <c r="T39" s="239">
        <f t="shared" si="1"/>
        <v>6.1999999999999993</v>
      </c>
      <c r="U39" s="3">
        <v>30</v>
      </c>
      <c r="V39" s="239">
        <f>'[13]Degree Days 2022'!V39</f>
        <v>29</v>
      </c>
      <c r="W39" s="239">
        <f>'[13]Degree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>
        <f>'[9]Degree Days 2022'!J40</f>
        <v>21</v>
      </c>
      <c r="K40" s="239">
        <f>'[9]Degree Days 2022'!K40</f>
        <v>13</v>
      </c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>
        <f>'[12]Degree Days 2022'!R40</f>
        <v>26</v>
      </c>
      <c r="S40" s="239">
        <f>'[12]Degree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'[14]General information '!B5</f>
        <v>0</v>
      </c>
      <c r="C48" s="239">
        <f>'[14]General information '!C5</f>
        <v>0</v>
      </c>
      <c r="D48" s="115">
        <f t="shared" ref="D48:D56" si="3">(B48+C48)/2-18.3</f>
        <v>-18.3</v>
      </c>
      <c r="E48" s="113">
        <v>1</v>
      </c>
      <c r="F48" s="239">
        <f>'[15]General information '!B5</f>
        <v>31</v>
      </c>
      <c r="G48" s="239">
        <f>'[15]General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19</v>
      </c>
      <c r="K48" s="239">
        <f>'General information '!C5</f>
        <v>13</v>
      </c>
      <c r="L48" s="115">
        <f>(J48+K48)/2-18.3</f>
        <v>-2.3000000000000007</v>
      </c>
      <c r="M48" s="113">
        <v>1</v>
      </c>
      <c r="N48" s="239">
        <f>'[5]General information '!B5</f>
        <v>29</v>
      </c>
      <c r="O48" s="239">
        <f>'[5]General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19</v>
      </c>
      <c r="W48" s="239">
        <f>'General information '!C5</f>
        <v>13</v>
      </c>
      <c r="X48" s="115">
        <f t="shared" ref="X48:X78" si="5">(V48+W48)/2-18.3</f>
        <v>-2.3000000000000007</v>
      </c>
    </row>
    <row r="49" spans="1:24">
      <c r="A49" s="113">
        <v>2</v>
      </c>
      <c r="B49" s="239">
        <f>'[14]General information '!B6</f>
        <v>0</v>
      </c>
      <c r="C49" s="239">
        <f>'[14]General information '!C6</f>
        <v>0</v>
      </c>
      <c r="D49" s="115">
        <f t="shared" si="3"/>
        <v>-18.3</v>
      </c>
      <c r="E49" s="113">
        <v>2</v>
      </c>
      <c r="F49" s="239">
        <f>'[15]General information '!B6</f>
        <v>31</v>
      </c>
      <c r="G49" s="239">
        <f>'[15]General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20</v>
      </c>
      <c r="K49" s="239">
        <f>'General information '!C6</f>
        <v>14</v>
      </c>
      <c r="L49" s="115">
        <f t="shared" ref="L49:L77" si="6">(J49+K49)/2-18.3</f>
        <v>-1.3000000000000007</v>
      </c>
      <c r="M49" s="113">
        <v>2</v>
      </c>
      <c r="N49" s="239">
        <f>'[5]General information '!B6</f>
        <v>0</v>
      </c>
      <c r="O49" s="239">
        <f>'[5]General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20</v>
      </c>
      <c r="W49" s="239">
        <f>'General information '!C6</f>
        <v>14</v>
      </c>
      <c r="X49" s="115">
        <f t="shared" si="5"/>
        <v>-1.3000000000000007</v>
      </c>
    </row>
    <row r="50" spans="1:24">
      <c r="A50" s="113">
        <v>3</v>
      </c>
      <c r="B50" s="239">
        <f>'[14]General information '!B7</f>
        <v>29</v>
      </c>
      <c r="C50" s="239">
        <f>'[14]General information '!C7</f>
        <v>26</v>
      </c>
      <c r="D50" s="115">
        <f t="shared" si="3"/>
        <v>9.1999999999999993</v>
      </c>
      <c r="E50" s="113">
        <v>3</v>
      </c>
      <c r="F50" s="239">
        <f>'[15]General information '!B7</f>
        <v>0</v>
      </c>
      <c r="G50" s="239">
        <f>'[15]General information '!C7</f>
        <v>0</v>
      </c>
      <c r="H50" s="115">
        <f t="shared" si="4"/>
        <v>-18.3</v>
      </c>
      <c r="I50" s="113">
        <v>3</v>
      </c>
      <c r="J50" s="239">
        <f>'General information '!B7</f>
        <v>20</v>
      </c>
      <c r="K50" s="239">
        <f>'General information '!C7</f>
        <v>18</v>
      </c>
      <c r="L50" s="115">
        <f t="shared" si="6"/>
        <v>0.69999999999999929</v>
      </c>
      <c r="M50" s="113">
        <v>3</v>
      </c>
      <c r="N50" s="239">
        <f>'[5]General information '!B7</f>
        <v>0</v>
      </c>
      <c r="O50" s="239">
        <f>'[5]General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20</v>
      </c>
      <c r="W50" s="239">
        <f>'General information '!C7</f>
        <v>18</v>
      </c>
      <c r="X50" s="115">
        <f t="shared" si="5"/>
        <v>0.69999999999999929</v>
      </c>
    </row>
    <row r="51" spans="1:24">
      <c r="A51" s="113">
        <v>4</v>
      </c>
      <c r="B51" s="239">
        <f>'[14]General information '!B8</f>
        <v>29</v>
      </c>
      <c r="C51" s="239">
        <f>'[14]General information '!C8</f>
        <v>25</v>
      </c>
      <c r="D51" s="115">
        <f t="shared" si="3"/>
        <v>8.6999999999999993</v>
      </c>
      <c r="E51" s="113">
        <v>4</v>
      </c>
      <c r="F51" s="239">
        <f>'[15]General information '!B8</f>
        <v>30</v>
      </c>
      <c r="G51" s="239">
        <f>'[15]General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21</v>
      </c>
      <c r="K51" s="239">
        <f>'General information '!C8</f>
        <v>13</v>
      </c>
      <c r="L51" s="115">
        <f t="shared" si="6"/>
        <v>-1.3000000000000007</v>
      </c>
      <c r="M51" s="113">
        <v>4</v>
      </c>
      <c r="N51" s="239">
        <f>'[5]General information '!B8</f>
        <v>28</v>
      </c>
      <c r="O51" s="239">
        <f>'[5]General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21</v>
      </c>
      <c r="W51" s="239">
        <f>'General information '!C8</f>
        <v>13</v>
      </c>
      <c r="X51" s="115">
        <f t="shared" si="5"/>
        <v>-1.3000000000000007</v>
      </c>
    </row>
    <row r="52" spans="1:24">
      <c r="A52" s="113">
        <v>5</v>
      </c>
      <c r="B52" s="239">
        <f>'[14]General information '!B9</f>
        <v>30</v>
      </c>
      <c r="C52" s="239">
        <f>'[14]General information '!C9</f>
        <v>24</v>
      </c>
      <c r="D52" s="115">
        <f t="shared" si="3"/>
        <v>8.6999999999999993</v>
      </c>
      <c r="E52" s="113">
        <v>5</v>
      </c>
      <c r="F52" s="239">
        <f>'[15]General information '!B9</f>
        <v>0</v>
      </c>
      <c r="G52" s="239">
        <f>'[15]General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20</v>
      </c>
      <c r="K52" s="239">
        <f>'General information '!C9</f>
        <v>14</v>
      </c>
      <c r="L52" s="115">
        <f t="shared" si="6"/>
        <v>-1.3000000000000007</v>
      </c>
      <c r="M52" s="113">
        <v>5</v>
      </c>
      <c r="N52" s="239">
        <f>'[5]General information '!B9</f>
        <v>28</v>
      </c>
      <c r="O52" s="239">
        <f>'[5]General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20</v>
      </c>
      <c r="W52" s="239">
        <f>'General information '!C9</f>
        <v>14</v>
      </c>
      <c r="X52" s="115">
        <f t="shared" si="5"/>
        <v>-1.3000000000000007</v>
      </c>
    </row>
    <row r="53" spans="1:24">
      <c r="A53" s="113">
        <v>6</v>
      </c>
      <c r="B53" s="239">
        <f>'[14]General information '!B10</f>
        <v>30</v>
      </c>
      <c r="C53" s="239">
        <f>'[14]General information '!C10</f>
        <v>24</v>
      </c>
      <c r="D53" s="115">
        <f t="shared" si="3"/>
        <v>8.6999999999999993</v>
      </c>
      <c r="E53" s="113">
        <v>6</v>
      </c>
      <c r="F53" s="239">
        <f>'[15]General information '!B10</f>
        <v>0</v>
      </c>
      <c r="G53" s="239">
        <f>'[15]General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0</v>
      </c>
      <c r="K53" s="239">
        <f>'General information '!C10</f>
        <v>0</v>
      </c>
      <c r="L53" s="115">
        <f t="shared" si="6"/>
        <v>-18.3</v>
      </c>
      <c r="M53" s="113">
        <v>6</v>
      </c>
      <c r="N53" s="239">
        <f>'[5]General information '!B10</f>
        <v>27</v>
      </c>
      <c r="O53" s="239">
        <f>'[5]General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0</v>
      </c>
      <c r="W53" s="239">
        <f>'General information '!C10</f>
        <v>0</v>
      </c>
      <c r="X53" s="115">
        <f t="shared" si="5"/>
        <v>-18.3</v>
      </c>
    </row>
    <row r="54" spans="1:24">
      <c r="A54" s="113">
        <v>7</v>
      </c>
      <c r="B54" s="239">
        <f>'[14]General information '!B11</f>
        <v>0</v>
      </c>
      <c r="C54" s="239">
        <f>'[14]General information '!C11</f>
        <v>0</v>
      </c>
      <c r="D54" s="115">
        <f t="shared" si="3"/>
        <v>-18.3</v>
      </c>
      <c r="E54" s="113">
        <v>7</v>
      </c>
      <c r="F54" s="239">
        <f>'[15]General information '!B11</f>
        <v>0</v>
      </c>
      <c r="G54" s="239">
        <f>'[15]General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0</v>
      </c>
      <c r="K54" s="239">
        <f>'General information '!C11</f>
        <v>0</v>
      </c>
      <c r="L54" s="115">
        <f t="shared" si="6"/>
        <v>-18.3</v>
      </c>
      <c r="M54" s="113">
        <v>7</v>
      </c>
      <c r="N54" s="239">
        <f>'[5]General information '!B11</f>
        <v>27</v>
      </c>
      <c r="O54" s="239">
        <f>'[5]General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0</v>
      </c>
      <c r="W54" s="239">
        <f>'General information '!C11</f>
        <v>0</v>
      </c>
      <c r="X54" s="115">
        <f t="shared" si="5"/>
        <v>-18.3</v>
      </c>
    </row>
    <row r="55" spans="1:24">
      <c r="A55" s="113">
        <v>8</v>
      </c>
      <c r="B55" s="239">
        <f>'[14]General information '!B12</f>
        <v>0</v>
      </c>
      <c r="C55" s="239">
        <f>'[14]General information '!C12</f>
        <v>0</v>
      </c>
      <c r="D55" s="115">
        <f t="shared" si="3"/>
        <v>-18.3</v>
      </c>
      <c r="E55" s="113">
        <v>8</v>
      </c>
      <c r="F55" s="239">
        <f>'[15]General information '!B12</f>
        <v>30</v>
      </c>
      <c r="G55" s="239">
        <f>'[15]General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18</v>
      </c>
      <c r="K55" s="239">
        <f>'General information '!C12</f>
        <v>16</v>
      </c>
      <c r="L55" s="115">
        <f t="shared" si="6"/>
        <v>-1.3000000000000007</v>
      </c>
      <c r="M55" s="113">
        <v>8</v>
      </c>
      <c r="N55" s="239">
        <f>'[5]General information '!B12</f>
        <v>0</v>
      </c>
      <c r="O55" s="239">
        <f>'[5]General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18</v>
      </c>
      <c r="W55" s="239">
        <f>'General information '!C12</f>
        <v>16</v>
      </c>
      <c r="X55" s="115">
        <f t="shared" si="5"/>
        <v>-1.3000000000000007</v>
      </c>
    </row>
    <row r="56" spans="1:24">
      <c r="A56" s="113">
        <v>9</v>
      </c>
      <c r="B56" s="239">
        <f>'[14]General information '!B13</f>
        <v>0</v>
      </c>
      <c r="C56" s="239">
        <f>'[14]General information '!C13</f>
        <v>0</v>
      </c>
      <c r="D56" s="115">
        <f t="shared" si="3"/>
        <v>-18.3</v>
      </c>
      <c r="E56" s="113">
        <v>9</v>
      </c>
      <c r="F56" s="239">
        <f>'[15]General information '!B13</f>
        <v>30</v>
      </c>
      <c r="G56" s="239">
        <f>'[15]General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19</v>
      </c>
      <c r="K56" s="239">
        <f>'General information '!C13</f>
        <v>13</v>
      </c>
      <c r="L56" s="115">
        <f t="shared" si="6"/>
        <v>-2.3000000000000007</v>
      </c>
      <c r="M56" s="113">
        <v>9</v>
      </c>
      <c r="N56" s="239">
        <f>'[5]General information '!B13</f>
        <v>0</v>
      </c>
      <c r="O56" s="239">
        <f>'[5]General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19</v>
      </c>
      <c r="W56" s="239">
        <f>'General information '!C13</f>
        <v>13</v>
      </c>
      <c r="X56" s="115">
        <f t="shared" si="5"/>
        <v>-2.3000000000000007</v>
      </c>
    </row>
    <row r="57" spans="1:24">
      <c r="A57" s="113">
        <v>10</v>
      </c>
      <c r="B57" s="239">
        <f>'[14]General information '!B14</f>
        <v>0</v>
      </c>
      <c r="C57" s="239">
        <f>'[14]General information '!C14</f>
        <v>0</v>
      </c>
      <c r="D57" s="115">
        <f t="shared" ref="D57:D78" si="9">(B57+C57)/2-18.3</f>
        <v>-18.3</v>
      </c>
      <c r="E57" s="113">
        <v>10</v>
      </c>
      <c r="F57" s="239">
        <f>'[15]General information '!B14</f>
        <v>0</v>
      </c>
      <c r="G57" s="239">
        <f>'[15]General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19</v>
      </c>
      <c r="K57" s="239">
        <f>'General information '!C14</f>
        <v>13</v>
      </c>
      <c r="L57" s="115">
        <f t="shared" si="6"/>
        <v>-2.3000000000000007</v>
      </c>
      <c r="M57" s="113">
        <v>10</v>
      </c>
      <c r="N57" s="239">
        <f>'[5]General information '!B14</f>
        <v>0</v>
      </c>
      <c r="O57" s="239">
        <f>'[5]General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19</v>
      </c>
      <c r="W57" s="239">
        <f>'General information '!C14</f>
        <v>13</v>
      </c>
      <c r="X57" s="115">
        <f t="shared" si="5"/>
        <v>-2.3000000000000007</v>
      </c>
    </row>
    <row r="58" spans="1:24">
      <c r="A58" s="113">
        <v>11</v>
      </c>
      <c r="B58" s="239">
        <f>'[14]General information '!B15</f>
        <v>30</v>
      </c>
      <c r="C58" s="239">
        <f>'[14]General information '!C15</f>
        <v>25</v>
      </c>
      <c r="D58" s="115">
        <f t="shared" si="9"/>
        <v>9.1999999999999993</v>
      </c>
      <c r="E58" s="113">
        <v>11</v>
      </c>
      <c r="F58" s="239">
        <f>'[15]General information '!B15</f>
        <v>0</v>
      </c>
      <c r="G58" s="239">
        <f>'[15]General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19</v>
      </c>
      <c r="K58" s="239">
        <f>'General information '!C15</f>
        <v>13</v>
      </c>
      <c r="L58" s="115">
        <f t="shared" si="6"/>
        <v>-2.3000000000000007</v>
      </c>
      <c r="M58" s="113">
        <v>11</v>
      </c>
      <c r="N58" s="239">
        <f>'[5]General information '!B15</f>
        <v>28</v>
      </c>
      <c r="O58" s="239">
        <f>'[5]General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19</v>
      </c>
      <c r="W58" s="239">
        <f>'General information '!C15</f>
        <v>13</v>
      </c>
      <c r="X58" s="115">
        <f t="shared" si="5"/>
        <v>-2.3000000000000007</v>
      </c>
    </row>
    <row r="59" spans="1:24">
      <c r="A59" s="113">
        <v>12</v>
      </c>
      <c r="B59" s="239">
        <f>'[14]General information '!B16</f>
        <v>31</v>
      </c>
      <c r="C59" s="239">
        <f>'[14]General information '!C16</f>
        <v>24</v>
      </c>
      <c r="D59" s="115">
        <f t="shared" si="9"/>
        <v>9.1999999999999993</v>
      </c>
      <c r="E59" s="113">
        <v>12</v>
      </c>
      <c r="F59" s="239">
        <f>'[15]General information '!B16</f>
        <v>0</v>
      </c>
      <c r="G59" s="239">
        <f>'[15]General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'[5]General information '!B16</f>
        <v>27</v>
      </c>
      <c r="O59" s="239">
        <f>'[5]General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'[14]General information '!B17</f>
        <v>30</v>
      </c>
      <c r="C60" s="239">
        <f>'[14]General information '!C17</f>
        <v>23</v>
      </c>
      <c r="D60" s="115">
        <f t="shared" si="9"/>
        <v>8.1999999999999993</v>
      </c>
      <c r="E60" s="113">
        <v>13</v>
      </c>
      <c r="F60" s="239">
        <f>'[15]General information '!B17</f>
        <v>0</v>
      </c>
      <c r="G60" s="239">
        <f>'[15]General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'[5]General information '!B17</f>
        <v>0</v>
      </c>
      <c r="O60" s="239">
        <f>'[5]General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'[14]General information '!B18</f>
        <v>27</v>
      </c>
      <c r="C61" s="239">
        <f>'[14]General information '!C18</f>
        <v>26</v>
      </c>
      <c r="D61" s="115">
        <f t="shared" si="9"/>
        <v>8.1999999999999993</v>
      </c>
      <c r="E61" s="113">
        <v>14</v>
      </c>
      <c r="F61" s="239">
        <f>'[15]General information '!B18</f>
        <v>0</v>
      </c>
      <c r="G61" s="239">
        <f>'[15]General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18</v>
      </c>
      <c r="K61" s="239">
        <f>'General information '!C18</f>
        <v>13</v>
      </c>
      <c r="L61" s="115">
        <f t="shared" si="6"/>
        <v>-2.8000000000000007</v>
      </c>
      <c r="M61" s="113">
        <v>14</v>
      </c>
      <c r="N61" s="239">
        <f>'[5]General information '!B18</f>
        <v>0</v>
      </c>
      <c r="O61" s="239">
        <f>'[5]General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18</v>
      </c>
      <c r="W61" s="239">
        <f>'General information '!C18</f>
        <v>13</v>
      </c>
      <c r="X61" s="115">
        <f t="shared" si="5"/>
        <v>-2.8000000000000007</v>
      </c>
    </row>
    <row r="62" spans="1:24">
      <c r="A62" s="113">
        <v>15</v>
      </c>
      <c r="B62" s="239">
        <f>'[14]General information '!B19</f>
        <v>0</v>
      </c>
      <c r="C62" s="239">
        <f>'[14]General information '!C19</f>
        <v>0</v>
      </c>
      <c r="D62" s="115">
        <f t="shared" si="9"/>
        <v>-18.3</v>
      </c>
      <c r="E62" s="113">
        <v>15</v>
      </c>
      <c r="F62" s="239">
        <f>'[15]General information '!B19</f>
        <v>0</v>
      </c>
      <c r="G62" s="239">
        <f>'[15]General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19</v>
      </c>
      <c r="K62" s="239">
        <f>'General information '!C19</f>
        <v>12</v>
      </c>
      <c r="L62" s="115">
        <f t="shared" si="6"/>
        <v>-2.8000000000000007</v>
      </c>
      <c r="M62" s="113">
        <v>15</v>
      </c>
      <c r="N62" s="239">
        <f>'[5]General information '!B19</f>
        <v>0</v>
      </c>
      <c r="O62" s="239">
        <f>'[5]General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19</v>
      </c>
      <c r="W62" s="239">
        <f>'General information '!C19</f>
        <v>12</v>
      </c>
      <c r="X62" s="115">
        <f t="shared" si="5"/>
        <v>-2.8000000000000007</v>
      </c>
    </row>
    <row r="63" spans="1:24">
      <c r="A63" s="113">
        <v>16</v>
      </c>
      <c r="B63" s="239">
        <f>'[14]General information '!B20</f>
        <v>0</v>
      </c>
      <c r="C63" s="239">
        <f>'[14]General information '!C20</f>
        <v>0</v>
      </c>
      <c r="D63" s="115">
        <f t="shared" si="9"/>
        <v>-18.3</v>
      </c>
      <c r="E63" s="113">
        <v>16</v>
      </c>
      <c r="F63" s="239">
        <f>'[15]General information '!B20</f>
        <v>30</v>
      </c>
      <c r="G63" s="239">
        <f>'[15]General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19</v>
      </c>
      <c r="K63" s="239">
        <f>'General information '!C20</f>
        <v>13</v>
      </c>
      <c r="L63" s="115">
        <f t="shared" si="6"/>
        <v>-2.3000000000000007</v>
      </c>
      <c r="M63" s="113">
        <v>16</v>
      </c>
      <c r="N63" s="239">
        <f>'[5]General information '!B20</f>
        <v>0</v>
      </c>
      <c r="O63" s="239">
        <f>'[5]General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19</v>
      </c>
      <c r="W63" s="239">
        <f>'General information '!C20</f>
        <v>13</v>
      </c>
      <c r="X63" s="115">
        <f t="shared" si="5"/>
        <v>-2.3000000000000007</v>
      </c>
    </row>
    <row r="64" spans="1:24">
      <c r="A64" s="113">
        <v>17</v>
      </c>
      <c r="B64" s="239">
        <f>'[14]General information '!B21</f>
        <v>28</v>
      </c>
      <c r="C64" s="239">
        <f>'[14]General information '!C21</f>
        <v>26</v>
      </c>
      <c r="D64" s="115">
        <f t="shared" si="9"/>
        <v>8.6999999999999993</v>
      </c>
      <c r="E64" s="113">
        <v>17</v>
      </c>
      <c r="F64" s="239">
        <f>'[15]General information '!B21</f>
        <v>31</v>
      </c>
      <c r="G64" s="239">
        <f>'[15]General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19</v>
      </c>
      <c r="K64" s="239">
        <f>'General information '!C21</f>
        <v>13</v>
      </c>
      <c r="L64" s="115">
        <f t="shared" si="6"/>
        <v>-2.3000000000000007</v>
      </c>
      <c r="M64" s="113">
        <v>17</v>
      </c>
      <c r="N64" s="239">
        <f>'[5]General information '!B21</f>
        <v>26</v>
      </c>
      <c r="O64" s="239">
        <f>'[5]General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19</v>
      </c>
      <c r="W64" s="239">
        <f>'General information '!C21</f>
        <v>13</v>
      </c>
      <c r="X64" s="115">
        <f t="shared" si="5"/>
        <v>-2.3000000000000007</v>
      </c>
    </row>
    <row r="65" spans="1:24">
      <c r="A65" s="113">
        <v>18</v>
      </c>
      <c r="B65" s="239">
        <f>'[14]General information '!B22</f>
        <v>30</v>
      </c>
      <c r="C65" s="239">
        <f>'[14]General information '!C22</f>
        <v>25</v>
      </c>
      <c r="D65" s="115">
        <f t="shared" si="9"/>
        <v>9.1999999999999993</v>
      </c>
      <c r="E65" s="113">
        <v>18</v>
      </c>
      <c r="F65" s="239">
        <f>'[15]General information '!B22</f>
        <v>30</v>
      </c>
      <c r="G65" s="239">
        <f>'[15]General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19</v>
      </c>
      <c r="K65" s="239">
        <f>'General information '!C22</f>
        <v>14</v>
      </c>
      <c r="L65" s="115">
        <f t="shared" si="6"/>
        <v>-1.8000000000000007</v>
      </c>
      <c r="M65" s="113">
        <v>18</v>
      </c>
      <c r="N65" s="239">
        <f>'[5]General information '!B22</f>
        <v>27</v>
      </c>
      <c r="O65" s="239">
        <f>'[5]General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19</v>
      </c>
      <c r="W65" s="239">
        <f>'General information '!C22</f>
        <v>14</v>
      </c>
      <c r="X65" s="115">
        <f t="shared" si="5"/>
        <v>-1.8000000000000007</v>
      </c>
    </row>
    <row r="66" spans="1:24">
      <c r="A66" s="113">
        <v>19</v>
      </c>
      <c r="B66" s="239">
        <f>'[14]General information '!B23</f>
        <v>0</v>
      </c>
      <c r="C66" s="239">
        <f>'[14]General information '!C23</f>
        <v>0</v>
      </c>
      <c r="D66" s="115">
        <f t="shared" si="9"/>
        <v>-18.3</v>
      </c>
      <c r="E66" s="113">
        <v>19</v>
      </c>
      <c r="F66" s="239">
        <f>'[15]General information '!B23</f>
        <v>30</v>
      </c>
      <c r="G66" s="239">
        <f>'[15]General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20</v>
      </c>
      <c r="K66" s="239">
        <f>'General information '!C23</f>
        <v>13</v>
      </c>
      <c r="L66" s="115">
        <f t="shared" si="6"/>
        <v>-1.8000000000000007</v>
      </c>
      <c r="M66" s="113">
        <v>19</v>
      </c>
      <c r="N66" s="239">
        <f>'[5]General information '!B23</f>
        <v>26</v>
      </c>
      <c r="O66" s="239">
        <f>'[5]General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20</v>
      </c>
      <c r="W66" s="239">
        <f>'General information '!C23</f>
        <v>13</v>
      </c>
      <c r="X66" s="115">
        <f t="shared" si="5"/>
        <v>-1.8000000000000007</v>
      </c>
    </row>
    <row r="67" spans="1:24">
      <c r="A67" s="113">
        <v>20</v>
      </c>
      <c r="B67" s="239">
        <f>'[14]General information '!B24</f>
        <v>0</v>
      </c>
      <c r="C67" s="239">
        <f>'[14]General information '!C24</f>
        <v>0</v>
      </c>
      <c r="D67" s="115">
        <f t="shared" si="9"/>
        <v>-18.3</v>
      </c>
      <c r="E67" s="113">
        <v>20</v>
      </c>
      <c r="F67" s="239">
        <f>'[15]General information '!B24</f>
        <v>29</v>
      </c>
      <c r="G67" s="239">
        <f>'[15]General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'[5]General information '!B24</f>
        <v>26</v>
      </c>
      <c r="O67" s="239">
        <f>'[5]General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'[14]General information '!B25</f>
        <v>0</v>
      </c>
      <c r="C68" s="239">
        <f>'[14]General information '!C25</f>
        <v>0</v>
      </c>
      <c r="D68" s="115">
        <f t="shared" si="9"/>
        <v>-18.3</v>
      </c>
      <c r="E68" s="113">
        <v>21</v>
      </c>
      <c r="F68" s="239">
        <f>'[15]General information '!B25</f>
        <v>30</v>
      </c>
      <c r="G68" s="239">
        <f>'[15]General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'[5]General information '!B25</f>
        <v>0</v>
      </c>
      <c r="O68" s="239">
        <f>'[5]General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'[14]General information '!B26</f>
        <v>0</v>
      </c>
      <c r="C69" s="239">
        <f>'[14]General information '!C26</f>
        <v>0</v>
      </c>
      <c r="D69" s="115">
        <f t="shared" si="9"/>
        <v>-18.3</v>
      </c>
      <c r="E69" s="113">
        <v>22</v>
      </c>
      <c r="F69" s="239">
        <f>'[15]General information '!B26</f>
        <v>30</v>
      </c>
      <c r="G69" s="239">
        <f>'[15]General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23</v>
      </c>
      <c r="L69" s="115">
        <f t="shared" si="6"/>
        <v>3.1999999999999993</v>
      </c>
      <c r="M69" s="113">
        <v>22</v>
      </c>
      <c r="N69" s="239">
        <f>'[5]General information '!B26</f>
        <v>0</v>
      </c>
      <c r="O69" s="239">
        <f>'[5]General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23</v>
      </c>
      <c r="X69" s="115">
        <f t="shared" si="5"/>
        <v>3.1999999999999993</v>
      </c>
    </row>
    <row r="70" spans="1:24">
      <c r="A70" s="113">
        <v>23</v>
      </c>
      <c r="B70" s="239">
        <f>'[14]General information '!B27</f>
        <v>0</v>
      </c>
      <c r="C70" s="239">
        <f>'[14]General information '!C27</f>
        <v>0</v>
      </c>
      <c r="D70" s="115">
        <f t="shared" si="9"/>
        <v>-18.3</v>
      </c>
      <c r="E70" s="113">
        <v>23</v>
      </c>
      <c r="F70" s="239">
        <f>'[15]General information '!B27</f>
        <v>29</v>
      </c>
      <c r="G70" s="239">
        <f>'[15]General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22</v>
      </c>
      <c r="K70" s="239">
        <f>'General information '!C27</f>
        <v>13</v>
      </c>
      <c r="L70" s="115">
        <f t="shared" si="6"/>
        <v>-0.80000000000000071</v>
      </c>
      <c r="M70" s="113">
        <v>23</v>
      </c>
      <c r="N70" s="239">
        <f>'[5]General information '!B27</f>
        <v>26</v>
      </c>
      <c r="O70" s="239">
        <f>'[5]General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22</v>
      </c>
      <c r="W70" s="239">
        <f>'General information '!C27</f>
        <v>13</v>
      </c>
      <c r="X70" s="115">
        <f t="shared" si="5"/>
        <v>-0.80000000000000071</v>
      </c>
    </row>
    <row r="71" spans="1:24">
      <c r="A71" s="113">
        <v>24</v>
      </c>
      <c r="B71" s="239">
        <f>'[14]General information '!B28</f>
        <v>31</v>
      </c>
      <c r="C71" s="239">
        <f>'[14]General information '!C28</f>
        <v>26</v>
      </c>
      <c r="D71" s="115">
        <f t="shared" si="9"/>
        <v>10.199999999999999</v>
      </c>
      <c r="E71" s="113">
        <v>24</v>
      </c>
      <c r="F71" s="239">
        <f>'[15]General information '!B28</f>
        <v>29</v>
      </c>
      <c r="G71" s="239">
        <f>'[15]General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19</v>
      </c>
      <c r="K71" s="239">
        <f>'General information '!C28</f>
        <v>13</v>
      </c>
      <c r="L71" s="115">
        <f t="shared" si="6"/>
        <v>-2.3000000000000007</v>
      </c>
      <c r="M71" s="113">
        <v>24</v>
      </c>
      <c r="N71" s="239">
        <f>'[5]General information '!B28</f>
        <v>28</v>
      </c>
      <c r="O71" s="239">
        <f>'[5]General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19</v>
      </c>
      <c r="W71" s="239">
        <f>'General information '!C28</f>
        <v>13</v>
      </c>
      <c r="X71" s="115">
        <f t="shared" si="5"/>
        <v>-2.3000000000000007</v>
      </c>
    </row>
    <row r="72" spans="1:24">
      <c r="A72" s="113">
        <v>25</v>
      </c>
      <c r="B72" s="239">
        <f>'[14]General information '!B29</f>
        <v>31</v>
      </c>
      <c r="C72" s="239">
        <f>'[14]General information '!C29</f>
        <v>26</v>
      </c>
      <c r="D72" s="115">
        <f t="shared" si="9"/>
        <v>10.199999999999999</v>
      </c>
      <c r="E72" s="113">
        <v>25</v>
      </c>
      <c r="F72" s="239">
        <f>'[15]General information '!B29</f>
        <v>31</v>
      </c>
      <c r="G72" s="239">
        <f>'[15]General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19</v>
      </c>
      <c r="K72" s="239">
        <f>'General information '!C29</f>
        <v>13</v>
      </c>
      <c r="L72" s="115">
        <f t="shared" si="6"/>
        <v>-2.3000000000000007</v>
      </c>
      <c r="M72" s="113">
        <v>25</v>
      </c>
      <c r="N72" s="239">
        <f>'[5]General information '!B29</f>
        <v>27</v>
      </c>
      <c r="O72" s="239">
        <f>'[5]General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19</v>
      </c>
      <c r="W72" s="239">
        <f>'General information '!C29</f>
        <v>13</v>
      </c>
      <c r="X72" s="115">
        <f t="shared" si="5"/>
        <v>-2.3000000000000007</v>
      </c>
    </row>
    <row r="73" spans="1:24">
      <c r="A73" s="113">
        <v>26</v>
      </c>
      <c r="B73" s="239">
        <f>'[14]General information '!B30</f>
        <v>31</v>
      </c>
      <c r="C73" s="239">
        <f>'[14]General information '!C30</f>
        <v>27</v>
      </c>
      <c r="D73" s="115">
        <f t="shared" si="9"/>
        <v>10.7</v>
      </c>
      <c r="E73" s="113">
        <v>26</v>
      </c>
      <c r="F73" s="239">
        <f>'[15]General information '!B30</f>
        <v>31</v>
      </c>
      <c r="G73" s="239">
        <f>'[15]General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18</v>
      </c>
      <c r="K73" s="239">
        <f>'General information '!C30</f>
        <v>14</v>
      </c>
      <c r="L73" s="115">
        <f t="shared" si="6"/>
        <v>-2.3000000000000007</v>
      </c>
      <c r="M73" s="113">
        <v>26</v>
      </c>
      <c r="N73" s="239">
        <f>'[5]General information '!B30</f>
        <v>27</v>
      </c>
      <c r="O73" s="239">
        <f>'[5]General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18</v>
      </c>
      <c r="W73" s="239">
        <f>'General information '!C30</f>
        <v>14</v>
      </c>
      <c r="X73" s="115">
        <f t="shared" si="5"/>
        <v>-2.3000000000000007</v>
      </c>
    </row>
    <row r="74" spans="1:24">
      <c r="A74" s="113">
        <v>27</v>
      </c>
      <c r="B74" s="239">
        <f>'[14]General information '!B31</f>
        <v>30</v>
      </c>
      <c r="C74" s="239">
        <f>'[14]General information '!C31</f>
        <v>26</v>
      </c>
      <c r="D74" s="115">
        <f t="shared" si="9"/>
        <v>9.6999999999999993</v>
      </c>
      <c r="E74" s="113">
        <v>27</v>
      </c>
      <c r="F74" s="239">
        <f>'[15]General information '!B31</f>
        <v>0</v>
      </c>
      <c r="G74" s="239">
        <f>'[15]General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'[5]General information '!B31</f>
        <v>27</v>
      </c>
      <c r="O74" s="239">
        <f>'[5]General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'[14]General information '!B32</f>
        <v>31</v>
      </c>
      <c r="C75" s="239">
        <f>'[14]General information '!C32</f>
        <v>27</v>
      </c>
      <c r="D75" s="115">
        <f t="shared" si="9"/>
        <v>10.7</v>
      </c>
      <c r="E75" s="113">
        <v>28</v>
      </c>
      <c r="F75" s="239">
        <f>'[15]General information '!B32</f>
        <v>32</v>
      </c>
      <c r="G75" s="239">
        <f>'[15]General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'[5]General information '!B32</f>
        <v>0</v>
      </c>
      <c r="O75" s="239">
        <f>'[5]General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'[14]General information '!B33</f>
        <v>0</v>
      </c>
      <c r="C76" s="239">
        <f>'[14]General information '!C33</f>
        <v>0</v>
      </c>
      <c r="D76" s="115">
        <f t="shared" si="9"/>
        <v>-18.3</v>
      </c>
      <c r="E76" s="113">
        <v>29</v>
      </c>
      <c r="F76" s="239">
        <f>'[15]General information '!B33</f>
        <v>32</v>
      </c>
      <c r="G76" s="239">
        <f>'[15]General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18</v>
      </c>
      <c r="K76" s="239">
        <f>'General information '!C33</f>
        <v>15</v>
      </c>
      <c r="L76" s="115">
        <f t="shared" si="6"/>
        <v>-1.8000000000000007</v>
      </c>
      <c r="M76" s="113">
        <v>29</v>
      </c>
      <c r="N76" s="239">
        <f>'[5]General information '!B33</f>
        <v>0</v>
      </c>
      <c r="O76" s="239">
        <f>'[5]General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18</v>
      </c>
      <c r="W76" s="239">
        <f>'General information '!C33</f>
        <v>15</v>
      </c>
      <c r="X76" s="115">
        <f t="shared" si="5"/>
        <v>-1.8000000000000007</v>
      </c>
    </row>
    <row r="77" spans="1:24">
      <c r="A77" s="113">
        <v>30</v>
      </c>
      <c r="B77" s="239">
        <f>'[14]General information '!B34</f>
        <v>0</v>
      </c>
      <c r="C77" s="239">
        <f>'[14]General information '!C34</f>
        <v>0</v>
      </c>
      <c r="D77" s="115">
        <f t="shared" si="9"/>
        <v>-18.3</v>
      </c>
      <c r="E77" s="113">
        <v>30</v>
      </c>
      <c r="F77" s="239">
        <f>'[15]General information '!B34</f>
        <v>31</v>
      </c>
      <c r="G77" s="239">
        <f>'[15]General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18</v>
      </c>
      <c r="K77" s="239">
        <f>'General information '!C34</f>
        <v>11</v>
      </c>
      <c r="L77" s="115">
        <f t="shared" si="6"/>
        <v>-3.8000000000000007</v>
      </c>
      <c r="M77" s="113">
        <v>30</v>
      </c>
      <c r="N77" s="239">
        <f>'[5]General information '!B34</f>
        <v>26</v>
      </c>
      <c r="O77" s="239">
        <f>'[5]General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18</v>
      </c>
      <c r="W77" s="239">
        <f>'General information '!C34</f>
        <v>11</v>
      </c>
      <c r="X77" s="115">
        <f t="shared" si="5"/>
        <v>-3.8000000000000007</v>
      </c>
    </row>
    <row r="78" spans="1:24">
      <c r="A78" s="116">
        <v>31</v>
      </c>
      <c r="B78" s="239">
        <f>'[14]General information '!B35</f>
        <v>31</v>
      </c>
      <c r="C78" s="239">
        <f>'[14]General information '!C35</f>
        <v>26</v>
      </c>
      <c r="D78" s="115">
        <f t="shared" si="9"/>
        <v>10.199999999999999</v>
      </c>
      <c r="E78" s="116">
        <v>31</v>
      </c>
      <c r="F78" s="239">
        <f>'[15]General information '!B35</f>
        <v>31</v>
      </c>
      <c r="G78" s="239">
        <f>'[15]General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'[5]General information '!B35</f>
        <v>26</v>
      </c>
      <c r="O78" s="239">
        <f>'[5]General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-187.90000000000006</v>
      </c>
      <c r="K81" s="115">
        <f>SUMIF(L48:L78,"&gt;0")</f>
        <v>3.8999999999999986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-206.20000000000007</v>
      </c>
      <c r="W81" s="115">
        <f>SUMIF(X48:X78,"&gt;0")</f>
        <v>3.8999999999999986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4" t="s">
        <v>303</v>
      </c>
      <c r="O84" s="624" t="s">
        <v>304</v>
      </c>
      <c r="P84" s="130"/>
      <c r="T84" s="130"/>
      <c r="X84" s="130"/>
    </row>
    <row r="85" spans="1:24" ht="20.25" thickBot="1">
      <c r="D85" s="130"/>
      <c r="I85" s="626" t="s">
        <v>312</v>
      </c>
      <c r="J85" s="627"/>
      <c r="K85" s="627"/>
      <c r="L85" s="627"/>
      <c r="N85" s="625"/>
      <c r="O85" s="625"/>
      <c r="P85" s="130"/>
      <c r="T85" s="130"/>
      <c r="X85" s="130"/>
    </row>
    <row r="86" spans="1:24" ht="18.75" thickBot="1">
      <c r="D86" s="130"/>
      <c r="I86" s="628" t="s">
        <v>313</v>
      </c>
      <c r="J86" s="628"/>
      <c r="K86" s="628"/>
      <c r="L86" s="628"/>
      <c r="N86" s="136">
        <f>B43+F43+J43+N43+R43+V43+B81+F81+J81+N81+R81+V81</f>
        <v>-2197.5000000000005</v>
      </c>
      <c r="O86" s="136">
        <f>C43+G43+K43+O43+S43+W43+C81+G81+K81+O81+S81+W81</f>
        <v>700.9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8"/>
      <c r="C88" s="618"/>
      <c r="D88" s="618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8"/>
      <c r="P88" s="618"/>
      <c r="Q88" s="618"/>
      <c r="R88" s="618"/>
      <c r="S88" s="618"/>
      <c r="T88" s="618"/>
      <c r="U88" s="618"/>
      <c r="V88" s="618"/>
      <c r="W88" s="618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30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68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26650</v>
      </c>
      <c r="C8" s="417">
        <f>SUM(tanks!AU37)</f>
        <v>0.88900000000000001</v>
      </c>
      <c r="D8" s="181">
        <f>SUM(B8*C8)*D4</f>
        <v>35715463.875</v>
      </c>
      <c r="E8" s="182">
        <f>SUM(D8/D4/F4)</f>
        <v>764.25322580645161</v>
      </c>
      <c r="F8" s="182">
        <f>SUM(E8*F4)</f>
        <v>23691.85</v>
      </c>
      <c r="G8" s="174">
        <f>E8*$G$4</f>
        <v>22927.596774193549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1349</v>
      </c>
      <c r="C10" s="171"/>
      <c r="D10" s="173">
        <f>'EDl log'!AB30</f>
        <v>7415629</v>
      </c>
      <c r="E10" s="172">
        <f>SUM(D10/D4/F4)</f>
        <v>158.68248007275452</v>
      </c>
      <c r="F10" s="172">
        <f>SUM(E10*F4)</f>
        <v>4919.15688225539</v>
      </c>
      <c r="G10" s="425">
        <f>E10*$G$4</f>
        <v>4760.4744021826355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1187.4518349114642</v>
      </c>
      <c r="F12" s="170">
        <f>SUM(F6:F10)</f>
        <v>36811.006882255388</v>
      </c>
      <c r="G12" s="169">
        <f>SUM(G6:G10)</f>
        <v>35888.071176376186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3.8999999999999986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-44240.828823623808</v>
      </c>
      <c r="I14" s="362">
        <f>SUM(G12-I12)</f>
        <v>-15355.848544053923</v>
      </c>
    </row>
    <row r="15" spans="1:11">
      <c r="A15" s="382" t="s">
        <v>336</v>
      </c>
      <c r="B15" s="93">
        <f>'Degree Days 2022'!J81</f>
        <v>-187.90000000000006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91.25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236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33.333333333333343</v>
      </c>
    </row>
    <row r="19" spans="1:6">
      <c r="A19" s="434" t="s">
        <v>339</v>
      </c>
      <c r="B19" s="436">
        <f>GEN!AL34</f>
        <v>20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11.8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4A1211-60D8-4124-8B70-61D774B73CB5}"/>
</file>

<file path=customXml/itemProps2.xml><?xml version="1.0" encoding="utf-8"?>
<ds:datastoreItem xmlns:ds="http://schemas.openxmlformats.org/officeDocument/2006/customXml" ds:itemID="{1F2A82A3-AC79-49A3-AF02-735AF56E11B7}"/>
</file>

<file path=customXml/itemProps3.xml><?xml version="1.0" encoding="utf-8"?>
<ds:datastoreItem xmlns:ds="http://schemas.openxmlformats.org/officeDocument/2006/customXml" ds:itemID="{0681EA65-C721-4189-A818-9E5C2E92F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2023-01-31T10:20:17Z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