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8" i="14"/>
  <c r="K19"/>
  <c r="K20"/>
  <c r="D58" i="3"/>
  <c r="N17" i="12"/>
  <c r="P17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T28" i="1"/>
  <c r="S21" i="18" s="1"/>
  <c r="T24" i="1"/>
  <c r="S17" i="18" s="1"/>
  <c r="T29" i="1"/>
  <c r="S22" i="18" s="1"/>
  <c r="T30" i="1"/>
  <c r="S23" i="18" s="1"/>
  <c r="T31" i="1"/>
  <c r="S24" i="18" s="1"/>
  <c r="T32" i="1"/>
  <c r="S25" i="18" s="1"/>
  <c r="T33" i="1"/>
  <c r="S26" i="18" s="1"/>
  <c r="T34" i="1"/>
  <c r="S27" i="18" s="1"/>
  <c r="T35" i="1"/>
  <c r="S28" i="18" s="1"/>
  <c r="T36" i="1"/>
  <c r="S29" i="18" s="1"/>
  <c r="T37" i="1"/>
  <c r="S30" i="18" s="1"/>
  <c r="T38" i="1"/>
  <c r="S31" i="18" s="1"/>
  <c r="T39" i="1"/>
  <c r="S32" i="18" s="1"/>
  <c r="T40" i="1"/>
  <c r="S33" i="18" s="1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S34" i="18" s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34" i="24" l="1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9" i="13" l="1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<sst xmlns="http://schemas.openxmlformats.org/spreadsheetml/2006/main" count="532" uniqueCount="320">
  <si>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</si>
  <si>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</si>
  <si>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</si>
  <si>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</si>
  <si>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</si>
  <si>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</si>
  <si>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</si>
  <si>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</si>
  <si>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</si>
  <si>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</si>
  <si>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</si>
  <si>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</si>
  <si>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</si>
  <si>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</si>
  <si>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</si>
  <si>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</si>
  <si>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</si>
  <si>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</si>
  <si>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</si>
  <si>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</si>
  <si>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</si>
  <si>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</si>
  <si>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</si>
  <si>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</si>
  <si>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</si>
  <si>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</si>
  <si>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</si>
  <si>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</si>
  <si>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</si>
  <si>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</si>
  <si>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</si>
  <si>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</si>
  <si>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</si>
  <si>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</si>
  <si>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</si>
  <si>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</si>
  <si>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</si>
  <si>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</si>
  <si>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</si>
  <si>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</si>
  <si>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</si>
  <si>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</si>
  <si>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</si>
  <si>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</si>
  <si>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</si>
  <si>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</si>
  <si>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</si>
  <si>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</si>
  <si>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</si>
  <si>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</si>
  <si>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</si>
  <si>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</si>
  <si>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</si>
  <si>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</si>
  <si>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</si>
  <si>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</si>
  <si>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</si>
  <si>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</si>
  <si>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</si>
  <si>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</si>
  <si>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</si>
  <si>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</si>
  <si>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</si>
  <si>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</si>
  <si>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</si>
  <si>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</si>
  <si>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</si>
  <si>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</si>
  <si>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</si>
  <si>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</si>
  <si>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</si>
  <si>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</si>
  <si>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</si>
  <si>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</si>
  <si>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</si>
  <si>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</si>
  <si>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</si>
  <si>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</si>
  <si>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</si>
  <si>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</si>
  <si>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</si>
  <si>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</si>
  <si>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</si>
  <si>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</si>
  <si>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</si>
  <si>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</si>
  <si>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</si>
  <si>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</si>
  <si>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</si>
  <si>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</si>
  <si>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</si>
  <si>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</si>
  <si>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</si>
  <si>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</si>
  <si>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</si>
  <si>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</si>
  <si>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</si>
  <si>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</si>
  <si>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</si>
  <si>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</si>
  <si>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</si>
  <si>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</si>
  <si>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</si>
  <si>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</si>
  <si>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</si>
  <si>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</si>
  <si>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</si>
  <si>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</si>
  <si>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</si>
  <si>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</si>
  <si>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</si>
  <si>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</si>
  <si>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</si>
  <si>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</si>
  <si>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</si>
  <si>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</si>
  <si>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</si>
  <si>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</si>
  <si>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</si>
  <si>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</si>
  <si>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</si>
  <si>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</si>
  <si>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</si>
  <si>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</si>
  <si>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</si>
  <si>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</si>
  <si>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</si>
  <si>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</si>
  <si>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</si>
  <si>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</si>
  <si>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</si>
  <si>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</si>
  <si>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</si>
  <si>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</si>
  <si>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</si>
  <si>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</si>
  <si>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</si>
  <si>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</si>
  <si>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</si>
  <si>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</si>
  <si>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</si>
  <si>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</si>
  <si>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</si>
  <si>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</si>
  <si>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</si>
  <si>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</si>
  <si>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</si>
  <si>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</si>
  <si>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</si>
  <si>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</si>
  <si>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</si>
  <si>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</si>
  <si>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</si>
  <si>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</si>
  <si>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</si>
  <si>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</si>
  <si>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</si>
  <si>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</si>
  <si>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</si>
  <si>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</si>
  <si>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</si>
  <si>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</si>
  <si>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</si>
  <si>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</si>
  <si>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</si>
  <si>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</si>
  <si>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</si>
  <si>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</si>
  <si>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</si>
  <si>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</si>
  <si>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</si>
  <si>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</si>
  <si>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</si>
  <si>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</si>
  <si>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</si>
  <si>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</si>
  <si>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</si>
  <si>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</si>
  <si>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</si>
  <si>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</si>
  <si>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</si>
  <si>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</si>
  <si>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</si>
  <si>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</si>
  <si>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</si>
  <si>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</si>
  <si>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</si>
  <si>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</si>
  <si>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</si>
  <si>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</si>
  <si>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</si>
  <si>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</si>
  <si>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</si>
  <si>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</si>
  <si>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</si>
  <si>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</si>
  <si>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</si>
  <si>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</si>
  <si>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</si>
  <si>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</si>
  <si>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</si>
  <si>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</si>
  <si>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</si>
  <si>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</si>
  <si>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</si>
  <si>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</si>
  <si>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</si>
  <si>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</si>
  <si>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</si>
  <si>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</si>
  <si>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</si>
  <si>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</si>
  <si>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</si>
  <si>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</si>
  <si>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</si>
  <si>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</si>
  <si>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</si>
  <si>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</si>
  <si>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</si>
  <si>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</si>
  <si>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</si>
  <si>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</si>
  <si>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</si>
  <si>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</si>
  <si>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</si>
  <si>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</si>
  <si>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</si>
  <si>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</si>
  <si>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</si>
  <si>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</si>
  <si>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</si>
  <si>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</si>
  <si>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</si>
  <si>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</si>
  <si>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</si>
  <si>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</si>
  <si>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</si>
  <si>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</si>
  <si>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</si>
  <si>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</si>
  <si>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</si>
  <si>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</si>
  <si>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</si>
  <si>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</si>
  <si>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</si>
  <si>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</si>
  <si>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</si>
  <si>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</si>
  <si>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</si>
  <si>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</si>
  <si>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</si>
  <si>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</si>
  <si>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</si>
  <si>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</si>
  <si>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</si>
  <si>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</si>
  <si>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</si>
  <si>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</si>
  <si>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</si>
  <si>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</si>
  <si>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</si>
  <si>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</si>
  <si>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</si>
  <si>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</si>
  <si>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</si>
  <si>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</si>
  <si>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</si>
  <si>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</si>
  <si>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</si>
  <si>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</si>
  <si>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</si>
  <si>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</si>
  <si>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</si>
  <si>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</si>
  <si>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</si>
  <si>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</si>
  <si>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</si>
  <si>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</si>
  <si>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</si>
  <si>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</si>
  <si>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</si>
  <si>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</si>
  <si>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</si>
  <si>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</si>
  <si>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</si>
  <si>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</si>
  <si>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</si>
  <si>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</si>
  <si>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</si>
  <si>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</si>
  <si>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</si>
  <si>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</si>
  <si>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</si>
  <si>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</si>
  <si>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</si>
  <si>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</si>
  <si>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</si>
  <si>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</si>
  <si>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</si>
  <si>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</si>
  <si>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</si>
  <si>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</si>
  <si>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</si>
  <si>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</si>
  <si>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</si>
  <si>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</si>
  <si>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</si>
  <si>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</si>
  <si>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</si>
  <si>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</si>
  <si>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</si>
  <si>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</si>
  <si>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</si>
  <si>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</si>
  <si>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</si>
  <si>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</si>
  <si>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</si>
  <si>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</si>
  <si>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>DAILY UTILITY REPORT MAY 2020</t>
  </si>
  <si>
    <t>RAHA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</si>
</sst>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7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637.52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652.33000000000004</c:v>
                </c:pt>
                <c:pt idx="9">
                  <c:v>675.39</c:v>
                </c:pt>
                <c:pt idx="10">
                  <c:v>719.01</c:v>
                </c:pt>
                <c:pt idx="11">
                  <c:v>656.19</c:v>
                </c:pt>
                <c:pt idx="12">
                  <c:v>633.07999999999993</c:v>
                </c:pt>
                <c:pt idx="13">
                  <c:v>603.86</c:v>
                </c:pt>
                <c:pt idx="14">
                  <c:v>635.49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3494272"/>
        <c:axId val="1334958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3837568"/>
        <c:axId val="133839104"/>
      </c:lineChart>
      <c:catAx>
        <c:axId val="13349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95808"/>
        <c:crosses val="autoZero"/>
        <c:auto val="1"/>
        <c:lblAlgn val="ctr"/>
        <c:lblOffset val="100"/>
      </c:catAx>
      <c:valAx>
        <c:axId val="13349580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94272"/>
        <c:crosses val="autoZero"/>
        <c:crossBetween val="between"/>
        <c:majorUnit val="200"/>
      </c:valAx>
      <c:catAx>
        <c:axId val="133837568"/>
        <c:scaling>
          <c:orientation val="minMax"/>
        </c:scaling>
        <c:delete val="1"/>
        <c:axPos val="b"/>
        <c:tickLblPos val="none"/>
        <c:crossAx val="133839104"/>
        <c:crosses val="autoZero"/>
        <c:auto val="1"/>
        <c:lblAlgn val="ctr"/>
        <c:lblOffset val="100"/>
      </c:catAx>
      <c:valAx>
        <c:axId val="1338391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37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3861376"/>
        <c:axId val="938629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3868800"/>
        <c:axId val="93870336"/>
      </c:lineChart>
      <c:catAx>
        <c:axId val="9386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62912"/>
        <c:crosses val="autoZero"/>
        <c:auto val="1"/>
        <c:lblAlgn val="ctr"/>
        <c:lblOffset val="100"/>
      </c:catAx>
      <c:valAx>
        <c:axId val="9386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61376"/>
        <c:crosses val="autoZero"/>
        <c:crossBetween val="between"/>
        <c:majorUnit val="200"/>
      </c:valAx>
      <c:catAx>
        <c:axId val="93868800"/>
        <c:scaling>
          <c:orientation val="minMax"/>
        </c:scaling>
        <c:delete val="1"/>
        <c:axPos val="b"/>
        <c:tickLblPos val="none"/>
        <c:crossAx val="93870336"/>
        <c:crosses val="autoZero"/>
        <c:auto val="1"/>
        <c:lblAlgn val="ctr"/>
        <c:lblOffset val="100"/>
      </c:catAx>
      <c:valAx>
        <c:axId val="938703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688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635.49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4058752"/>
        <c:axId val="95027200"/>
      </c:lineChart>
      <c:catAx>
        <c:axId val="9405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27200"/>
        <c:crosses val="autoZero"/>
        <c:auto val="1"/>
        <c:lblAlgn val="ctr"/>
        <c:lblOffset val="200"/>
        <c:tickLblSkip val="1"/>
      </c:catAx>
      <c:valAx>
        <c:axId val="950272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5047680"/>
        <c:axId val="95049216"/>
      </c:lineChart>
      <c:catAx>
        <c:axId val="9504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49216"/>
        <c:crosses val="autoZero"/>
        <c:auto val="1"/>
        <c:lblAlgn val="ctr"/>
        <c:lblOffset val="100"/>
      </c:catAx>
      <c:valAx>
        <c:axId val="950492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4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5815168"/>
        <c:axId val="95817088"/>
      </c:lineChart>
      <c:catAx>
        <c:axId val="95815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17088"/>
        <c:crosses val="autoZero"/>
        <c:auto val="1"/>
        <c:lblAlgn val="ctr"/>
        <c:lblOffset val="100"/>
      </c:catAx>
      <c:valAx>
        <c:axId val="958170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151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5834112"/>
        <c:axId val="95836032"/>
      </c:lineChart>
      <c:catAx>
        <c:axId val="95834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36032"/>
        <c:crosses val="autoZero"/>
        <c:auto val="1"/>
        <c:lblAlgn val="ctr"/>
        <c:lblOffset val="100"/>
      </c:catAx>
      <c:valAx>
        <c:axId val="958360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341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-313606.87599999999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5873280"/>
        <c:axId val="95887360"/>
      </c:lineChart>
      <c:catAx>
        <c:axId val="9587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87360"/>
        <c:crosses val="autoZero"/>
        <c:auto val="1"/>
        <c:lblAlgn val="ctr"/>
        <c:lblOffset val="100"/>
      </c:catAx>
      <c:valAx>
        <c:axId val="958873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7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5912704"/>
        <c:axId val="95914240"/>
      </c:lineChart>
      <c:catAx>
        <c:axId val="9591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14240"/>
        <c:crosses val="autoZero"/>
        <c:auto val="1"/>
        <c:lblAlgn val="ctr"/>
        <c:lblOffset val="100"/>
      </c:catAx>
      <c:valAx>
        <c:axId val="95914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1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635.49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5958912"/>
        <c:axId val="95960448"/>
      </c:lineChart>
      <c:catAx>
        <c:axId val="9595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60448"/>
        <c:crosses val="autoZero"/>
        <c:auto val="1"/>
        <c:lblAlgn val="ctr"/>
        <c:lblOffset val="100"/>
      </c:catAx>
      <c:valAx>
        <c:axId val="95960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5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764"/>
          <c:y val="7.471324705110790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5993216"/>
        <c:axId val="95999104"/>
      </c:lineChart>
      <c:catAx>
        <c:axId val="9599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9104"/>
        <c:crosses val="autoZero"/>
        <c:auto val="1"/>
        <c:lblAlgn val="ctr"/>
        <c:lblOffset val="200"/>
        <c:tickLblSkip val="1"/>
      </c:catAx>
      <c:valAx>
        <c:axId val="959991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6114176"/>
        <c:axId val="96115712"/>
      </c:lineChart>
      <c:catAx>
        <c:axId val="9611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15712"/>
        <c:crosses val="autoZero"/>
        <c:auto val="1"/>
        <c:lblAlgn val="ctr"/>
        <c:lblOffset val="100"/>
      </c:catAx>
      <c:valAx>
        <c:axId val="9611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1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6136192"/>
        <c:axId val="96826496"/>
      </c:lineChart>
      <c:catAx>
        <c:axId val="96136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26496"/>
        <c:crosses val="autoZero"/>
        <c:auto val="1"/>
        <c:lblAlgn val="ctr"/>
        <c:lblOffset val="100"/>
      </c:catAx>
      <c:valAx>
        <c:axId val="968264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36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6851456"/>
        <c:axId val="96853376"/>
      </c:lineChart>
      <c:catAx>
        <c:axId val="96851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53376"/>
        <c:crosses val="autoZero"/>
        <c:auto val="1"/>
        <c:lblAlgn val="ctr"/>
        <c:lblOffset val="100"/>
      </c:catAx>
      <c:valAx>
        <c:axId val="968533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51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7026048"/>
        <c:axId val="97027584"/>
      </c:lineChart>
      <c:catAx>
        <c:axId val="9702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27584"/>
        <c:crosses val="autoZero"/>
        <c:auto val="1"/>
        <c:lblAlgn val="ctr"/>
        <c:lblOffset val="100"/>
      </c:catAx>
      <c:valAx>
        <c:axId val="97027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2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7847552"/>
        <c:axId val="97849344"/>
      </c:lineChart>
      <c:catAx>
        <c:axId val="9784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49344"/>
        <c:crosses val="autoZero"/>
        <c:auto val="1"/>
        <c:lblAlgn val="ctr"/>
        <c:lblOffset val="100"/>
      </c:catAx>
      <c:valAx>
        <c:axId val="9784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4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7856896"/>
        <c:axId val="97883264"/>
      </c:lineChart>
      <c:catAx>
        <c:axId val="9785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83264"/>
        <c:crosses val="autoZero"/>
        <c:auto val="1"/>
        <c:lblAlgn val="ctr"/>
        <c:lblOffset val="100"/>
      </c:catAx>
      <c:valAx>
        <c:axId val="97883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5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053"/>
          <c:y val="7.471324705110828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8768000"/>
        <c:axId val="9876953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8800000"/>
        <c:axId val="98801536"/>
      </c:lineChart>
      <c:catAx>
        <c:axId val="987680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69536"/>
        <c:crosses val="autoZero"/>
        <c:lblAlgn val="ctr"/>
        <c:lblOffset val="100"/>
        <c:tickMarkSkip val="1"/>
      </c:catAx>
      <c:valAx>
        <c:axId val="98769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68000"/>
        <c:crosses val="autoZero"/>
        <c:crossBetween val="between"/>
      </c:valAx>
      <c:catAx>
        <c:axId val="98800000"/>
        <c:scaling>
          <c:orientation val="minMax"/>
        </c:scaling>
        <c:delete val="1"/>
        <c:axPos val="b"/>
        <c:numFmt formatCode="[$-409]d\-mmm\-yy;@" sourceLinked="1"/>
        <c:tickLblPos val="none"/>
        <c:crossAx val="98801536"/>
        <c:crosses val="autoZero"/>
        <c:lblAlgn val="ctr"/>
        <c:lblOffset val="100"/>
      </c:catAx>
      <c:valAx>
        <c:axId val="9880153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00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9108736"/>
        <c:axId val="99110272"/>
      </c:lineChart>
      <c:catAx>
        <c:axId val="9910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10272"/>
        <c:crosses val="autoZero"/>
        <c:auto val="1"/>
        <c:lblAlgn val="ctr"/>
        <c:lblOffset val="100"/>
      </c:catAx>
      <c:valAx>
        <c:axId val="991102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0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9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9155328"/>
        <c:axId val="99488896"/>
      </c:lineChart>
      <c:catAx>
        <c:axId val="9915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488896"/>
        <c:crosses val="autoZero"/>
        <c:auto val="1"/>
        <c:lblAlgn val="ctr"/>
        <c:lblOffset val="100"/>
      </c:catAx>
      <c:valAx>
        <c:axId val="994888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15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9544448"/>
        <c:axId val="995667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9568256"/>
        <c:axId val="99574144"/>
      </c:lineChart>
      <c:catAx>
        <c:axId val="995444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66720"/>
        <c:crosses val="autoZero"/>
        <c:lblAlgn val="ctr"/>
        <c:lblOffset val="100"/>
        <c:tickMarkSkip val="1"/>
      </c:catAx>
      <c:valAx>
        <c:axId val="99566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44448"/>
        <c:crosses val="autoZero"/>
        <c:crossBetween val="between"/>
      </c:valAx>
      <c:catAx>
        <c:axId val="99568256"/>
        <c:scaling>
          <c:orientation val="minMax"/>
        </c:scaling>
        <c:delete val="1"/>
        <c:axPos val="b"/>
        <c:numFmt formatCode="General" sourceLinked="1"/>
        <c:tickLblPos val="none"/>
        <c:crossAx val="99574144"/>
        <c:crosses val="autoZero"/>
        <c:lblAlgn val="ctr"/>
        <c:lblOffset val="100"/>
      </c:catAx>
      <c:valAx>
        <c:axId val="995741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68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9598336"/>
        <c:axId val="99599872"/>
      </c:lineChart>
      <c:catAx>
        <c:axId val="9959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9872"/>
        <c:crosses val="autoZero"/>
        <c:auto val="1"/>
        <c:lblAlgn val="ctr"/>
        <c:lblOffset val="100"/>
      </c:catAx>
      <c:valAx>
        <c:axId val="9959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59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3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9644928"/>
        <c:axId val="99646464"/>
      </c:lineChart>
      <c:catAx>
        <c:axId val="9964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46464"/>
        <c:crosses val="autoZero"/>
        <c:auto val="1"/>
        <c:lblAlgn val="ctr"/>
        <c:lblOffset val="100"/>
      </c:catAx>
      <c:valAx>
        <c:axId val="9964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64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01472512"/>
        <c:axId val="10149068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01492224"/>
        <c:axId val="101493760"/>
      </c:lineChart>
      <c:catAx>
        <c:axId val="1014725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90688"/>
        <c:crosses val="autoZero"/>
        <c:lblAlgn val="ctr"/>
        <c:lblOffset val="100"/>
        <c:tickMarkSkip val="1"/>
      </c:catAx>
      <c:valAx>
        <c:axId val="1014906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72512"/>
        <c:crosses val="autoZero"/>
        <c:crossBetween val="between"/>
      </c:valAx>
      <c:catAx>
        <c:axId val="101492224"/>
        <c:scaling>
          <c:orientation val="minMax"/>
        </c:scaling>
        <c:delete val="1"/>
        <c:axPos val="b"/>
        <c:numFmt formatCode="[$-409]d\-mmm\-yy;@" sourceLinked="1"/>
        <c:tickLblPos val="none"/>
        <c:crossAx val="101493760"/>
        <c:crosses val="autoZero"/>
        <c:lblAlgn val="ctr"/>
        <c:lblOffset val="100"/>
      </c:catAx>
      <c:valAx>
        <c:axId val="1014937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92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3661440"/>
        <c:axId val="1336629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3672960"/>
        <c:axId val="133674496"/>
      </c:lineChart>
      <c:catAx>
        <c:axId val="1336614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62976"/>
        <c:crosses val="autoZero"/>
        <c:lblAlgn val="ctr"/>
        <c:lblOffset val="100"/>
        <c:tickMarkSkip val="1"/>
      </c:catAx>
      <c:valAx>
        <c:axId val="13366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61440"/>
        <c:crosses val="autoZero"/>
        <c:crossBetween val="between"/>
      </c:valAx>
      <c:catAx>
        <c:axId val="133672960"/>
        <c:scaling>
          <c:orientation val="minMax"/>
        </c:scaling>
        <c:delete val="1"/>
        <c:axPos val="b"/>
        <c:numFmt formatCode="General" sourceLinked="1"/>
        <c:tickLblPos val="none"/>
        <c:crossAx val="133674496"/>
        <c:crosses val="autoZero"/>
        <c:lblAlgn val="ctr"/>
        <c:lblOffset val="100"/>
      </c:catAx>
      <c:valAx>
        <c:axId val="1336744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2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5331840"/>
        <c:axId val="13533337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5334912"/>
        <c:axId val="135336704"/>
      </c:lineChart>
      <c:catAx>
        <c:axId val="1353318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3376"/>
        <c:crosses val="autoZero"/>
        <c:lblAlgn val="ctr"/>
        <c:lblOffset val="100"/>
        <c:tickMarkSkip val="1"/>
      </c:catAx>
      <c:valAx>
        <c:axId val="13533337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1840"/>
        <c:crosses val="autoZero"/>
        <c:crossBetween val="between"/>
      </c:valAx>
      <c:catAx>
        <c:axId val="135334912"/>
        <c:scaling>
          <c:orientation val="minMax"/>
        </c:scaling>
        <c:delete val="1"/>
        <c:axPos val="b"/>
        <c:numFmt formatCode="[$-409]d\-mmm\-yy;@" sourceLinked="1"/>
        <c:tickLblPos val="none"/>
        <c:crossAx val="135336704"/>
        <c:crosses val="autoZero"/>
        <c:lblAlgn val="ctr"/>
        <c:lblOffset val="100"/>
      </c:catAx>
      <c:valAx>
        <c:axId val="13533670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4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35371008"/>
        <c:axId val="1353809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35382528"/>
        <c:axId val="135384064"/>
      </c:lineChart>
      <c:catAx>
        <c:axId val="1353710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80992"/>
        <c:crosses val="autoZero"/>
        <c:lblAlgn val="ctr"/>
        <c:lblOffset val="100"/>
        <c:tickMarkSkip val="1"/>
      </c:catAx>
      <c:valAx>
        <c:axId val="135380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71008"/>
        <c:crosses val="autoZero"/>
        <c:crossBetween val="between"/>
      </c:valAx>
      <c:catAx>
        <c:axId val="135382528"/>
        <c:scaling>
          <c:orientation val="minMax"/>
        </c:scaling>
        <c:delete val="1"/>
        <c:axPos val="b"/>
        <c:numFmt formatCode="General" sourceLinked="1"/>
        <c:tickLblPos val="none"/>
        <c:crossAx val="135384064"/>
        <c:crosses val="autoZero"/>
        <c:lblAlgn val="ctr"/>
        <c:lblOffset val="100"/>
      </c:catAx>
      <c:valAx>
        <c:axId val="1353840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825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5986560"/>
        <c:axId val="136734208"/>
      </c:lineChart>
      <c:catAx>
        <c:axId val="135986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34208"/>
        <c:crosses val="autoZero"/>
        <c:auto val="1"/>
        <c:lblAlgn val="ctr"/>
        <c:lblOffset val="100"/>
      </c:catAx>
      <c:valAx>
        <c:axId val="1367342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865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6812416"/>
        <c:axId val="136814592"/>
      </c:lineChart>
      <c:catAx>
        <c:axId val="136812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14592"/>
        <c:crosses val="autoZero"/>
        <c:auto val="1"/>
        <c:lblAlgn val="ctr"/>
        <c:lblOffset val="100"/>
      </c:catAx>
      <c:valAx>
        <c:axId val="136814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124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635.49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6831360"/>
        <c:axId val="136832896"/>
      </c:lineChart>
      <c:catAx>
        <c:axId val="13683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32896"/>
        <c:crosses val="autoZero"/>
        <c:auto val="1"/>
        <c:lblAlgn val="ctr"/>
        <c:lblOffset val="200"/>
        <c:tickLblSkip val="1"/>
      </c:catAx>
      <c:valAx>
        <c:axId val="1368328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3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3280768"/>
        <c:axId val="163282304"/>
      </c:lineChart>
      <c:catAx>
        <c:axId val="16328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82304"/>
        <c:crosses val="autoZero"/>
        <c:auto val="1"/>
        <c:lblAlgn val="ctr"/>
        <c:lblOffset val="100"/>
      </c:catAx>
      <c:valAx>
        <c:axId val="1632823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8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9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-313606.87599999999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3978624"/>
        <c:axId val="163980416"/>
      </c:lineChart>
      <c:catAx>
        <c:axId val="16397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80416"/>
        <c:crosses val="autoZero"/>
        <c:auto val="1"/>
        <c:lblAlgn val="ctr"/>
        <c:lblOffset val="100"/>
      </c:catAx>
      <c:valAx>
        <c:axId val="1639804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7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4017280"/>
        <c:axId val="164019200"/>
      </c:lineChart>
      <c:catAx>
        <c:axId val="164017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19200"/>
        <c:crosses val="autoZero"/>
        <c:auto val="1"/>
        <c:lblAlgn val="ctr"/>
        <c:lblOffset val="100"/>
      </c:catAx>
      <c:valAx>
        <c:axId val="1640192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172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4027776"/>
        <c:axId val="164087296"/>
      </c:lineChart>
      <c:catAx>
        <c:axId val="164027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87296"/>
        <c:crosses val="autoZero"/>
        <c:auto val="1"/>
        <c:lblAlgn val="ctr"/>
        <c:lblOffset val="100"/>
      </c:catAx>
      <c:valAx>
        <c:axId val="1640872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277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603.86</c:v>
                </c:pt>
                <c:pt idx="17">
                  <c:v>635.49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4132736"/>
        <c:axId val="164134272"/>
      </c:lineChart>
      <c:catAx>
        <c:axId val="16413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34272"/>
        <c:crosses val="autoZero"/>
        <c:auto val="1"/>
        <c:lblAlgn val="ctr"/>
        <c:lblOffset val="200"/>
        <c:tickLblSkip val="1"/>
      </c:catAx>
      <c:valAx>
        <c:axId val="1641342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3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4015488"/>
        <c:axId val="166679680"/>
      </c:lineChart>
      <c:catAx>
        <c:axId val="16401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79680"/>
        <c:crosses val="autoZero"/>
        <c:auto val="1"/>
        <c:lblAlgn val="ctr"/>
        <c:lblOffset val="100"/>
      </c:catAx>
      <c:valAx>
        <c:axId val="1666796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1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9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-313606.87599999999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6704256"/>
        <c:axId val="166705792"/>
      </c:lineChart>
      <c:catAx>
        <c:axId val="16670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05792"/>
        <c:crosses val="autoZero"/>
        <c:auto val="1"/>
        <c:lblAlgn val="ctr"/>
        <c:lblOffset val="100"/>
      </c:catAx>
      <c:valAx>
        <c:axId val="166705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0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7123584"/>
        <c:axId val="167158528"/>
      </c:lineChart>
      <c:catAx>
        <c:axId val="167123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58528"/>
        <c:crosses val="autoZero"/>
        <c:auto val="1"/>
        <c:lblAlgn val="ctr"/>
        <c:lblOffset val="100"/>
      </c:catAx>
      <c:valAx>
        <c:axId val="1671585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235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7752832"/>
        <c:axId val="167754752"/>
      </c:lineChart>
      <c:catAx>
        <c:axId val="167752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4752"/>
        <c:crosses val="autoZero"/>
        <c:auto val="1"/>
        <c:lblAlgn val="ctr"/>
        <c:lblOffset val="100"/>
      </c:catAx>
      <c:valAx>
        <c:axId val="1677547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52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7918976"/>
        <c:axId val="167920768"/>
      </c:lineChart>
      <c:catAx>
        <c:axId val="16791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20768"/>
        <c:crosses val="autoZero"/>
        <c:auto val="1"/>
        <c:lblAlgn val="ctr"/>
        <c:lblOffset val="200"/>
        <c:tickLblSkip val="1"/>
      </c:catAx>
      <c:valAx>
        <c:axId val="1679207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1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7949440"/>
        <c:axId val="167950976"/>
      </c:lineChart>
      <c:catAx>
        <c:axId val="16794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50976"/>
        <c:crosses val="autoZero"/>
        <c:auto val="1"/>
        <c:lblAlgn val="ctr"/>
        <c:lblOffset val="100"/>
      </c:catAx>
      <c:valAx>
        <c:axId val="167950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4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57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8249984"/>
        <c:axId val="168264064"/>
      </c:lineChart>
      <c:catAx>
        <c:axId val="16824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64064"/>
        <c:crosses val="autoZero"/>
        <c:auto val="1"/>
        <c:lblAlgn val="ctr"/>
        <c:lblOffset val="100"/>
      </c:catAx>
      <c:valAx>
        <c:axId val="16826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4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8481152"/>
        <c:axId val="168483072"/>
      </c:lineChart>
      <c:catAx>
        <c:axId val="168481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83072"/>
        <c:crosses val="autoZero"/>
        <c:auto val="1"/>
        <c:lblAlgn val="ctr"/>
        <c:lblOffset val="100"/>
      </c:catAx>
      <c:valAx>
        <c:axId val="168483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811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8442496"/>
        <c:axId val="168678144"/>
      </c:lineChart>
      <c:catAx>
        <c:axId val="168442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678144"/>
        <c:crosses val="autoZero"/>
        <c:auto val="1"/>
        <c:lblAlgn val="ctr"/>
        <c:lblOffset val="100"/>
      </c:catAx>
      <c:valAx>
        <c:axId val="1686781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24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9288832"/>
        <c:axId val="169290368"/>
      </c:lineChart>
      <c:catAx>
        <c:axId val="16928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90368"/>
        <c:crosses val="autoZero"/>
        <c:auto val="1"/>
        <c:lblAlgn val="ctr"/>
        <c:lblOffset val="200"/>
        <c:tickLblSkip val="1"/>
      </c:catAx>
      <c:valAx>
        <c:axId val="1692903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8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8438400"/>
        <c:axId val="169410944"/>
      </c:lineChart>
      <c:catAx>
        <c:axId val="16843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10944"/>
        <c:crosses val="autoZero"/>
        <c:auto val="1"/>
        <c:lblAlgn val="ctr"/>
        <c:lblOffset val="100"/>
      </c:catAx>
      <c:valAx>
        <c:axId val="169410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3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57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9468288"/>
        <c:axId val="169469824"/>
      </c:lineChart>
      <c:catAx>
        <c:axId val="16946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69824"/>
        <c:crosses val="autoZero"/>
        <c:auto val="1"/>
        <c:lblAlgn val="ctr"/>
        <c:lblOffset val="100"/>
      </c:catAx>
      <c:valAx>
        <c:axId val="169469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6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0.44457461645746166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1451</v>
      </c>
      <c r="F11" s="490">
        <f>('UTILITY REPORT 1'!E12*'UTILITY REPORT 1'!D12)/'UTILITY REPORT 1'!F12</f>
        <v>0.4495727084769125</v>
      </c>
      <c r="G11" s="490">
        <f>IF('Utility summery'!M15&lt;0,"0",'Utility summery'!M15)</f>
        <v>45.143999999976955</v>
      </c>
      <c r="H11" s="499">
        <v>0</v>
      </c>
      <c r="I11" s="490">
        <f>IF('UTILITY REPORT 1'!G12&lt;0,"0",'UTILITY REPORT 1'!G12)</f>
        <v>51</v>
      </c>
      <c r="J11" s="499">
        <v>0</v>
      </c>
      <c r="K11" s="489">
        <f>'UTILITY REPORT 1'!C12</f>
        <v>0</v>
      </c>
      <c r="L11" s="491" t="e">
        <f>E11*F11+G11*H11+#REF!*#REF!+I11*J11</f>
        <v>#REF!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1449</v>
      </c>
      <c r="F12" s="490">
        <f>('UTILITY REPORT 1'!E13*'UTILITY REPORT 1'!D13)/'UTILITY REPORT 1'!F13</f>
        <v>0.46610766045548652</v>
      </c>
      <c r="G12" s="490">
        <f>IF('Utility summery'!M16&lt;0,"0",'Utility summery'!M16)</f>
        <v>38.896000000048666</v>
      </c>
      <c r="H12" s="499">
        <v>0</v>
      </c>
      <c r="I12" s="490">
        <f>IF('UTILITY REPORT 1'!G13&lt;0,"0",'UTILITY REPORT 1'!G13)</f>
        <v>56</v>
      </c>
      <c r="J12" s="499">
        <v>0</v>
      </c>
      <c r="K12" s="489">
        <f>'UTILITY REPORT 1'!C13</f>
        <v>0</v>
      </c>
      <c r="L12" s="491" t="e">
        <f>E12*F12+G12*H12+#REF!*#REF!+I12*J12</f>
        <v>#REF!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1623</v>
      </c>
      <c r="F13" s="490">
        <f>('UTILITY REPORT 1'!E14*'UTILITY REPORT 1'!D14)/'UTILITY REPORT 1'!F14</f>
        <v>0.4430129390018484</v>
      </c>
      <c r="G13" s="490">
        <f>IF('Utility summery'!M17&lt;0,"0",'Utility summery'!M17)</f>
        <v>27.01599999999744</v>
      </c>
      <c r="H13" s="499">
        <v>0</v>
      </c>
      <c r="I13" s="490">
        <f>IF('UTILITY REPORT 1'!G14&lt;0,"0",'UTILITY REPORT 1'!G14)</f>
        <v>58</v>
      </c>
      <c r="J13" s="499">
        <v>0</v>
      </c>
      <c r="K13" s="489">
        <f>'UTILITY REPORT 1'!C14</f>
        <v>0</v>
      </c>
      <c r="L13" s="491" t="e">
        <f>E13*F13+G13*H13+#REF!*#REF!+I13*J13</f>
        <v>#REF!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1552</v>
      </c>
      <c r="F14" s="490">
        <f>('UTILITY REPORT 1'!E15*'UTILITY REPORT 1'!D15)/'UTILITY REPORT 1'!F15</f>
        <v>0.42280283505154642</v>
      </c>
      <c r="G14" s="490">
        <f>IF('Utility summery'!M18&lt;0,"0",'Utility summery'!M18)</f>
        <v>29.21599999999744</v>
      </c>
      <c r="H14" s="499">
        <v>0</v>
      </c>
      <c r="I14" s="490">
        <f>IF('UTILITY REPORT 1'!G15&lt;0,"0",'UTILITY REPORT 1'!G15)</f>
        <v>41</v>
      </c>
      <c r="J14" s="499">
        <v>0</v>
      </c>
      <c r="K14" s="489">
        <f>'UTILITY REPORT 1'!C15</f>
        <v>0</v>
      </c>
      <c r="L14" s="491" t="e">
        <f>E14*F14+G14*H14+#REF!*#REF!+I14*J14</f>
        <v>#REF!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1480</v>
      </c>
      <c r="F15" s="490">
        <f>('UTILITY REPORT 1'!E16*'UTILITY REPORT 1'!D16)/'UTILITY REPORT 1'!F16</f>
        <v>0.42775675675675673</v>
      </c>
      <c r="G15" s="490">
        <f>IF('Utility summery'!M19&lt;0,"0",'Utility summery'!M19)</f>
        <v>37.179999999987196</v>
      </c>
      <c r="H15" s="499">
        <v>0</v>
      </c>
      <c r="I15" s="490">
        <f>IF('UTILITY REPORT 1'!G16&lt;0,"0",'UTILITY REPORT 1'!G16)</f>
        <v>33</v>
      </c>
      <c r="J15" s="499">
        <v>0</v>
      </c>
      <c r="K15" s="489">
        <f>'UTILITY REPORT 1'!C16</f>
        <v>0</v>
      </c>
      <c r="L15" s="491" t="e">
        <f>E15*F15+G15*H15+#REF!*#REF!+I15*J15</f>
        <v>#REF!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1322</v>
      </c>
      <c r="F16" s="490">
        <f>('UTILITY REPORT 1'!E17*'UTILITY REPORT 1'!D17)/'UTILITY REPORT 1'!F17</f>
        <v>0.45677760968229958</v>
      </c>
      <c r="G16" s="490">
        <f>IF('Utility summery'!M20&lt;0,"0",'Utility summery'!M20)</f>
        <v>22.175999999971829</v>
      </c>
      <c r="H16" s="499">
        <v>0</v>
      </c>
      <c r="I16" s="490">
        <f>IF('UTILITY REPORT 1'!G17&lt;0,"0",'UTILITY REPORT 1'!G17)</f>
        <v>38</v>
      </c>
      <c r="J16" s="499">
        <v>0</v>
      </c>
      <c r="K16" s="489">
        <f>'UTILITY REPORT 1'!C17</f>
        <v>0</v>
      </c>
      <c r="L16" s="491" t="e">
        <f>E16*F16+G16*H16+#REF!*#REF!+I16*J16</f>
        <v>#REF!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1674</v>
      </c>
      <c r="F17" s="490">
        <f>('UTILITY REPORT 1'!E18*'UTILITY REPORT 1'!D18)/'UTILITY REPORT 1'!F18</f>
        <v>0.37962365591397851</v>
      </c>
      <c r="G17" s="490">
        <f>IF('Utility summery'!M21&lt;0,"0",'Utility summery'!M21)</f>
        <v>34.847999999992318</v>
      </c>
      <c r="H17" s="499">
        <v>0</v>
      </c>
      <c r="I17" s="490">
        <f>IF('UTILITY REPORT 1'!G18&lt;0,"0",'UTILITY REPORT 1'!G18)</f>
        <v>44</v>
      </c>
      <c r="J17" s="499">
        <v>0</v>
      </c>
      <c r="K17" s="489">
        <f>'UTILITY REPORT 1'!C18</f>
        <v>0</v>
      </c>
      <c r="L17" s="491" t="e">
        <f>E17*F17+G17*H17+#REF!*#REF!+I17*J17</f>
        <v>#REF!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 t="str">
        <f>IF('Utility summery'!M22&lt;0,"0",'Utility summery'!M22)</f>
        <v>0</v>
      </c>
      <c r="H18" s="499">
        <v>0</v>
      </c>
      <c r="I18" s="490" t="str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637.52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652.33000000000004</v>
      </c>
      <c r="G11" s="549">
        <f>'UTILITY REPORT 1'!F12</f>
        <v>1451</v>
      </c>
      <c r="H11" s="548">
        <f>IF('Kit report'!F13&lt;0,"0",'Kit report'!F13)</f>
        <v>95.999999999912689</v>
      </c>
      <c r="I11" s="548">
        <f>IF('Kit report'!X13&lt;0,"0",'Kit report'!X13)</f>
        <v>0</v>
      </c>
      <c r="J11" s="548">
        <f>IF('Utility summery'!H15&lt;0,"0",'Utility summery'!H15)</f>
        <v>35</v>
      </c>
      <c r="K11" s="549">
        <f>IF('UTILITY REPORT 1'!H12&lt;0,"0",'UTILITY REPORT 1'!H12)</f>
        <v>0</v>
      </c>
      <c r="L11" s="548">
        <f>'Water-Meter'!K15</f>
        <v>1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51</v>
      </c>
      <c r="Q11" s="291">
        <f>IF('Water-Meter'!U15&lt;0,"0",'Water-Meter'!U15)</f>
        <v>24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22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46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675.39</v>
      </c>
      <c r="G12" s="549">
        <f>'UTILITY REPORT 1'!F13</f>
        <v>1449</v>
      </c>
      <c r="H12" s="548">
        <f>IF('Kit report'!F14&lt;0,"0",'Kit report'!F14)</f>
        <v>107.99999999995634</v>
      </c>
      <c r="I12" s="548">
        <f>IF('Kit report'!X14&lt;0,"0",'Kit report'!X14)</f>
        <v>0</v>
      </c>
      <c r="J12" s="548">
        <f>IF('Utility summery'!H16&lt;0,"0",'Utility summery'!H16)</f>
        <v>38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56</v>
      </c>
      <c r="Q12" s="291">
        <f>IF('Water-Meter'!U16&lt;0,"0",'Water-Meter'!U16)</f>
        <v>37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22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59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106.89</v>
      </c>
      <c r="F13" s="548">
        <f>'UTILITY REPORT 1'!E14</f>
        <v>719.01</v>
      </c>
      <c r="G13" s="549">
        <f>'UTILITY REPORT 1'!F14</f>
        <v>1623</v>
      </c>
      <c r="H13" s="548">
        <f>IF('Kit report'!F15&lt;0,"0",'Kit report'!F15)</f>
        <v>96.000000000130967</v>
      </c>
      <c r="I13" s="548">
        <f>IF('Kit report'!X15&lt;0,"0",'Kit report'!X15)</f>
        <v>19.999999999890861</v>
      </c>
      <c r="J13" s="548">
        <f>IF('Utility summery'!H17&lt;0,"0",'Utility summery'!H17)</f>
        <v>43</v>
      </c>
      <c r="K13" s="549">
        <f>IF('UTILITY REPORT 1'!H14&lt;0,"0",'UTILITY REPORT 1'!H14)</f>
        <v>71</v>
      </c>
      <c r="L13" s="548">
        <f>'Water-Meter'!K17</f>
        <v>0</v>
      </c>
      <c r="M13" s="549">
        <f>'Water-Meter'!H17</f>
        <v>0</v>
      </c>
      <c r="N13" s="549">
        <f>'Water-Meter'!Q17</f>
        <v>1</v>
      </c>
      <c r="O13" s="548" t="e">
        <f>K13*E13+H13*I13+#REF!*#REF!+J13*L13</f>
        <v>#REF!</v>
      </c>
      <c r="P13" s="555">
        <f>'Water-Meter'!E17</f>
        <v>58</v>
      </c>
      <c r="Q13" s="291">
        <f>IF('Water-Meter'!U17&lt;0,"0",'Water-Meter'!U17)</f>
        <v>23</v>
      </c>
      <c r="R13" s="291">
        <f>IF('Water-Meter'!X17&lt;0,"0",'Water-Meter'!X17)</f>
        <v>0</v>
      </c>
      <c r="S13" s="291">
        <f>IF('Water-Meter'!AA17&lt;0,"0",'Water-Meter'!AA17)</f>
        <v>43</v>
      </c>
      <c r="T13" s="291">
        <f>IF('Water-Meter'!AD17&lt;0,"0",'Water-Meter'!AD17)</f>
        <v>22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88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656.19</v>
      </c>
      <c r="G14" s="549">
        <f>'UTILITY REPORT 1'!F15</f>
        <v>1552</v>
      </c>
      <c r="H14" s="548">
        <f>IF('Kit report'!F16&lt;0,"0",'Kit report'!F16)</f>
        <v>107.99999999995634</v>
      </c>
      <c r="I14" s="548">
        <f>IF('Kit report'!X16&lt;0,"0",'Kit report'!X16)</f>
        <v>0</v>
      </c>
      <c r="J14" s="548">
        <f>IF('Utility summery'!H18&lt;0,"0",'Utility summery'!H18)</f>
        <v>32</v>
      </c>
      <c r="K14" s="549">
        <f>IF('UTILITY REPORT 1'!H15&lt;0,"0",'UTILITY REPORT 1'!H15)</f>
        <v>0</v>
      </c>
      <c r="L14" s="548">
        <f>'Water-Meter'!K18</f>
        <v>1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41</v>
      </c>
      <c r="Q14" s="291">
        <f>IF('Water-Meter'!U18&lt;0,"0",'Water-Meter'!U18)</f>
        <v>10</v>
      </c>
      <c r="R14" s="291">
        <f>IF('Water-Meter'!X18&lt;0,"0",'Water-Meter'!X18)</f>
        <v>0</v>
      </c>
      <c r="S14" s="291">
        <f>IF('Water-Meter'!AA18&lt;0,"0",'Water-Meter'!AA18)</f>
        <v>10</v>
      </c>
      <c r="T14" s="291">
        <f>IF('Water-Meter'!AD18&lt;0,"0",'Water-Meter'!AD18)</f>
        <v>4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24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633.07999999999993</v>
      </c>
      <c r="G15" s="549">
        <f>'UTILITY REPORT 1'!F16</f>
        <v>1480</v>
      </c>
      <c r="H15" s="548">
        <f>IF('Kit report'!F17&lt;0,"0",'Kit report'!F17)</f>
        <v>107.99999999995634</v>
      </c>
      <c r="I15" s="548">
        <f>IF('Kit report'!X17&lt;0,"0",'Kit report'!X17)</f>
        <v>0</v>
      </c>
      <c r="J15" s="548">
        <f>IF('Utility summery'!H19&lt;0,"0",'Utility summery'!H19)</f>
        <v>36</v>
      </c>
      <c r="K15" s="549">
        <f>IF('UTILITY REPORT 1'!H16&lt;0,"0",'UTILITY REPORT 1'!H16)</f>
        <v>0</v>
      </c>
      <c r="L15" s="548">
        <f>'Water-Meter'!K19</f>
        <v>1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33</v>
      </c>
      <c r="Q15" s="291">
        <f>IF('Water-Meter'!U19&lt;0,"0",'Water-Meter'!U19)</f>
        <v>63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63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3.78</v>
      </c>
      <c r="F16" s="548">
        <f>'UTILITY REPORT 1'!E17</f>
        <v>603.86</v>
      </c>
      <c r="G16" s="549">
        <f>'UTILITY REPORT 1'!F17</f>
        <v>1322</v>
      </c>
      <c r="H16" s="548">
        <f>IF('Kit report'!F18&lt;0,"0",'Kit report'!F18)</f>
        <v>120</v>
      </c>
      <c r="I16" s="548">
        <f>IF('Kit report'!X18&lt;0,"0",'Kit report'!X18)</f>
        <v>20.00000000007276</v>
      </c>
      <c r="J16" s="548">
        <f>IF('Utility summery'!H20&lt;0,"0",'Utility summery'!H20)</f>
        <v>35</v>
      </c>
      <c r="K16" s="549">
        <f>IF('UTILITY REPORT 1'!H17&lt;0,"0",'UTILITY REPORT 1'!H17)</f>
        <v>0</v>
      </c>
      <c r="L16" s="548">
        <f>'Water-Meter'!K20</f>
        <v>2</v>
      </c>
      <c r="M16" s="549">
        <f>'Water-Meter'!H20</f>
        <v>0</v>
      </c>
      <c r="N16" s="549">
        <f>'Water-Meter'!Q20</f>
        <v>1</v>
      </c>
      <c r="O16" s="548" t="e">
        <f>K16*E16+H16*I16+#REF!*#REF!+J16*L16</f>
        <v>#REF!</v>
      </c>
      <c r="P16" s="555">
        <f>'Water-Meter'!E20</f>
        <v>38</v>
      </c>
      <c r="Q16" s="291">
        <f>IF('Water-Meter'!U20&lt;0,"0",'Water-Meter'!U20)</f>
        <v>22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22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635.49</v>
      </c>
      <c r="G17" s="549">
        <f>'UTILITY REPORT 1'!F18</f>
        <v>1674</v>
      </c>
      <c r="H17" s="548">
        <f>IF('Kit report'!F19&lt;0,"0",'Kit report'!F19)</f>
        <v>96.000000000130967</v>
      </c>
      <c r="I17" s="548">
        <f>IF('Kit report'!X19&lt;0,"0",'Kit report'!X19)</f>
        <v>19.999999999890861</v>
      </c>
      <c r="J17" s="548">
        <f>IF('Utility summery'!H21&lt;0,"0",'Utility summery'!H21)</f>
        <v>43</v>
      </c>
      <c r="K17" s="549">
        <f>IF('UTILITY REPORT 1'!H18&lt;0,"0",'UTILITY REPORT 1'!H18)</f>
        <v>69</v>
      </c>
      <c r="L17" s="548">
        <f>'Water-Meter'!K21</f>
        <v>0</v>
      </c>
      <c r="M17" s="549">
        <f>'Water-Meter'!H21</f>
        <v>0</v>
      </c>
      <c r="N17" s="549">
        <f>'Water-Meter'!Q21</f>
        <v>1</v>
      </c>
      <c r="O17" s="548" t="e">
        <f>K17*E17+H17*I17+#REF!*#REF!+J17*L17</f>
        <v>#REF!</v>
      </c>
      <c r="P17" s="555">
        <f>'Water-Meter'!E21</f>
        <v>44</v>
      </c>
      <c r="Q17" s="291">
        <f>IF('Water-Meter'!U21&lt;0,"0",'Water-Meter'!U21)</f>
        <v>82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 t="str">
        <f>IF('Water-Meter'!AJ21&lt;0,"0",'Water-Meter'!AJ21)</f>
        <v>0</v>
      </c>
      <c r="W17" s="31">
        <f>'Water-Meter'!AN21</f>
        <v>82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 t="str">
        <f>IF('Kit report'!F20&lt;0,"0",'Kit report'!F20)</f>
        <v>0</v>
      </c>
      <c r="I18" s="548" t="str">
        <f>IF('Kit report'!X20&lt;0,"0",'Kit report'!X20)</f>
        <v>0</v>
      </c>
      <c r="J18" s="548" t="str">
        <f>IF('Utility summery'!H22&lt;0,"0",'Utility summery'!H22)</f>
        <v>0</v>
      </c>
      <c r="K18" s="549" t="str">
        <f>IF('UTILITY REPORT 1'!H19&lt;0,"0",'UTILITY REPORT 1'!H19)</f>
        <v>0</v>
      </c>
      <c r="L18" s="548" t="str">
        <f>'Water-Meter'!K22</f>
        <v>0</v>
      </c>
      <c r="M18" s="549" t="str">
        <f>'Water-Meter'!H22</f>
        <v>0</v>
      </c>
      <c r="N18" s="549" t="str">
        <f>'Water-Meter'!Q22</f>
        <v>0</v>
      </c>
      <c r="O18" s="548" t="e">
        <f>K18*E18+H18*I18+#REF!*#REF!+J18*L18</f>
        <v>#REF!</v>
      </c>
      <c r="P18" s="555" t="str">
        <f>'Water-Meter'!E22</f>
        <v>0</v>
      </c>
      <c r="Q18" s="291" t="str">
        <f>IF('Water-Meter'!U22&lt;0,"0",'Water-Meter'!U22)</f>
        <v>0</v>
      </c>
      <c r="R18" s="291" t="str">
        <f>IF('Water-Meter'!X22&lt;0,"0",'Water-Meter'!X22)</f>
        <v>0</v>
      </c>
      <c r="S18" s="291" t="str">
        <f>IF('Water-Meter'!AA22&lt;0,"0",'Water-Meter'!AA22)</f>
        <v>0</v>
      </c>
      <c r="T18" s="291" t="str">
        <f>IF('Water-Meter'!AD22&lt;0,"0",'Water-Meter'!AD22)</f>
        <v>0</v>
      </c>
      <c r="U18" s="291" t="str">
        <f>IF('Water-Meter'!AG22&lt;0,"0",'Water-Meter'!AG22)</f>
        <v>0</v>
      </c>
      <c r="V18" s="291" t="str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90" t="s">
        <v>305</v>
      </c>
      <c r="B1" s="790"/>
      <c r="C1" s="790"/>
      <c r="D1" s="790"/>
      <c r="E1" s="790"/>
      <c r="F1" s="790"/>
      <c r="G1" s="790"/>
      <c r="H1" s="790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637.52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652.33000000000004</v>
      </c>
      <c r="F12" s="477">
        <f>Gen!U20</f>
        <v>1451</v>
      </c>
      <c r="G12" s="477">
        <f>'Water-Meter'!E15</f>
        <v>51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675.39</v>
      </c>
      <c r="F13" s="477">
        <f>Gen!U21</f>
        <v>1449</v>
      </c>
      <c r="G13" s="477">
        <f>'Water-Meter'!E16</f>
        <v>56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719.01</v>
      </c>
      <c r="F14" s="477">
        <f>Gen!U22</f>
        <v>1623</v>
      </c>
      <c r="G14" s="477">
        <f>'Water-Meter'!E17</f>
        <v>58</v>
      </c>
      <c r="H14" s="477">
        <f>'Utility report '!AC17</f>
        <v>71</v>
      </c>
      <c r="I14" s="477">
        <f>Gen!AK22</f>
        <v>106.89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656.19</v>
      </c>
      <c r="F15" s="477">
        <f>Gen!U23</f>
        <v>1552</v>
      </c>
      <c r="G15" s="477">
        <f>'Water-Meter'!E18</f>
        <v>41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633.07999999999993</v>
      </c>
      <c r="F16" s="477">
        <f>Gen!U24</f>
        <v>1480</v>
      </c>
      <c r="G16" s="477">
        <f>'Water-Meter'!E19</f>
        <v>33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603.86</v>
      </c>
      <c r="F17" s="477">
        <f>Gen!U25</f>
        <v>1322</v>
      </c>
      <c r="G17" s="477">
        <f>'Water-Meter'!E20</f>
        <v>38</v>
      </c>
      <c r="H17" s="477">
        <f>'Utility report '!AC20</f>
        <v>0</v>
      </c>
      <c r="I17" s="477">
        <f>Gen!AK25</f>
        <v>3.78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635.49</v>
      </c>
      <c r="F18" s="477">
        <f>Gen!U26</f>
        <v>1674</v>
      </c>
      <c r="G18" s="477">
        <f>'Water-Meter'!E21</f>
        <v>44</v>
      </c>
      <c r="H18" s="477">
        <f>'Utility report '!AC21</f>
        <v>69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 t="str">
        <f>'Water-Meter'!E22</f>
        <v>0</v>
      </c>
      <c r="H19" s="477">
        <f>'Utility report '!AC22</f>
        <v>-32087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1" t="s">
        <v>135</v>
      </c>
      <c r="E4" s="791"/>
      <c r="F4" s="791"/>
      <c r="G4" s="792" t="s">
        <v>20</v>
      </c>
      <c r="H4" s="792"/>
      <c r="I4" s="792"/>
      <c r="J4" s="793" t="s">
        <v>54</v>
      </c>
      <c r="K4" s="793"/>
      <c r="L4" s="793"/>
      <c r="M4" s="793"/>
      <c r="N4" s="794" t="s">
        <v>143</v>
      </c>
      <c r="O4" s="794"/>
      <c r="P4" s="794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637.52</v>
      </c>
      <c r="E12" s="179">
        <f>Gen!AK17</f>
        <v>22.97</v>
      </c>
      <c r="F12" s="179">
        <f>Gen!AS17</f>
        <v>660.49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892.52799999999991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1451</v>
      </c>
      <c r="D15" s="179">
        <f>Gen!T20</f>
        <v>652.33000000000004</v>
      </c>
      <c r="E15" s="179">
        <f>Gen!AK20</f>
        <v>0</v>
      </c>
      <c r="F15" s="179">
        <f>Gen!AS20</f>
        <v>652.33000000000004</v>
      </c>
      <c r="G15" s="182">
        <f>'Utility report '!AC15</f>
        <v>0</v>
      </c>
      <c r="H15" s="182">
        <f>'Utility report '!AE15</f>
        <v>35</v>
      </c>
      <c r="I15" s="352">
        <f>'Water-Meter'!E15</f>
        <v>51</v>
      </c>
      <c r="J15" s="184">
        <f>'Lpg (2)'!B19</f>
        <v>85</v>
      </c>
      <c r="K15" s="184">
        <f>'Lpg (2)'!C19</f>
        <v>83</v>
      </c>
      <c r="L15" s="184">
        <f>'Lpg (2)'!D19</f>
        <v>25</v>
      </c>
      <c r="M15" s="536">
        <f>'Lpg (2)'!G19</f>
        <v>45.143999999976955</v>
      </c>
      <c r="N15" s="177">
        <f t="shared" si="2"/>
        <v>913.26199999999994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1449</v>
      </c>
      <c r="D16" s="179">
        <f>Gen!T21</f>
        <v>675.39</v>
      </c>
      <c r="E16" s="179">
        <f>Gen!AK21</f>
        <v>0</v>
      </c>
      <c r="F16" s="179">
        <f>Gen!AS21</f>
        <v>675.39</v>
      </c>
      <c r="G16" s="182">
        <f>'Utility report '!AC16</f>
        <v>0</v>
      </c>
      <c r="H16" s="182">
        <f>'Utility report '!AE16</f>
        <v>38</v>
      </c>
      <c r="I16" s="352">
        <f>'Water-Meter'!E16</f>
        <v>56</v>
      </c>
      <c r="J16" s="184">
        <f>'Lpg (2)'!B20</f>
        <v>85</v>
      </c>
      <c r="K16" s="184">
        <f>'Lpg (2)'!C20</f>
        <v>83</v>
      </c>
      <c r="L16" s="184">
        <f>'Lpg (2)'!D20</f>
        <v>21</v>
      </c>
      <c r="M16" s="536">
        <f>'Lpg (2)'!G20</f>
        <v>38.896000000048666</v>
      </c>
      <c r="N16" s="177">
        <f t="shared" si="2"/>
        <v>945.54599999999994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1623</v>
      </c>
      <c r="D17" s="179">
        <f>Gen!T22</f>
        <v>719.01</v>
      </c>
      <c r="E17" s="179">
        <f>Gen!AK22</f>
        <v>106.89</v>
      </c>
      <c r="F17" s="179">
        <f>Gen!AS22</f>
        <v>825.9</v>
      </c>
      <c r="G17" s="182">
        <f>'Utility report '!AC17</f>
        <v>71</v>
      </c>
      <c r="H17" s="182">
        <f>'Utility report '!AE17</f>
        <v>43</v>
      </c>
      <c r="I17" s="352">
        <f>'Water-Meter'!E17</f>
        <v>58</v>
      </c>
      <c r="J17" s="184">
        <f>'Lpg (2)'!B21</f>
        <v>85</v>
      </c>
      <c r="K17" s="184">
        <f>'Lpg (2)'!C22</f>
        <v>83</v>
      </c>
      <c r="L17" s="184">
        <f>'Lpg (2)'!D21</f>
        <v>20</v>
      </c>
      <c r="M17" s="536">
        <f>'Lpg (2)'!G21</f>
        <v>27.01599999999744</v>
      </c>
      <c r="N17" s="177">
        <f t="shared" si="2"/>
        <v>1006.6139999999999</v>
      </c>
      <c r="O17" s="177">
        <f t="shared" si="2"/>
        <v>149.64599999999999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1552</v>
      </c>
      <c r="D18" s="179">
        <f>Gen!T23</f>
        <v>656.19</v>
      </c>
      <c r="E18" s="179">
        <f>Gen!AK23</f>
        <v>0</v>
      </c>
      <c r="F18" s="179">
        <f>Gen!AS23</f>
        <v>656.19</v>
      </c>
      <c r="G18" s="182">
        <f>'Utility report '!AC18</f>
        <v>0</v>
      </c>
      <c r="H18" s="182">
        <f>'Utility report '!AE18</f>
        <v>32</v>
      </c>
      <c r="I18" s="352">
        <f>'Water-Meter'!E18</f>
        <v>41</v>
      </c>
      <c r="J18" s="184">
        <f>'Lpg (2)'!B22</f>
        <v>85</v>
      </c>
      <c r="K18" s="184">
        <f>'Lpg (2)'!C23</f>
        <v>83</v>
      </c>
      <c r="L18" s="184">
        <f>'Lpg (2)'!D22</f>
        <v>18</v>
      </c>
      <c r="M18" s="536">
        <f>'Lpg (2)'!G22</f>
        <v>29.21599999999744</v>
      </c>
      <c r="N18" s="177">
        <f t="shared" si="2"/>
        <v>918.66600000000005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1480</v>
      </c>
      <c r="D19" s="179">
        <f>Gen!T24</f>
        <v>633.07999999999993</v>
      </c>
      <c r="E19" s="179">
        <f>Gen!AK24</f>
        <v>0</v>
      </c>
      <c r="F19" s="179">
        <f>Gen!AS24</f>
        <v>633.07999999999993</v>
      </c>
      <c r="G19" s="182">
        <f>'Utility report '!AC19</f>
        <v>0</v>
      </c>
      <c r="H19" s="182">
        <f>'Utility report '!AE19</f>
        <v>36</v>
      </c>
      <c r="I19" s="352">
        <f>'Water-Meter'!E19</f>
        <v>33</v>
      </c>
      <c r="J19" s="184">
        <f>'Lpg (2)'!B23</f>
        <v>85</v>
      </c>
      <c r="K19" s="184">
        <f>'Lpg (2)'!C24</f>
        <v>83</v>
      </c>
      <c r="L19" s="184">
        <f>'Lpg (2)'!D23</f>
        <v>16</v>
      </c>
      <c r="M19" s="536">
        <f>'Lpg (2)'!G23</f>
        <v>37.179999999987196</v>
      </c>
      <c r="N19" s="177">
        <f t="shared" si="2"/>
        <v>886.3119999999999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1322</v>
      </c>
      <c r="D20" s="179">
        <f>Gen!T25</f>
        <v>603.86</v>
      </c>
      <c r="E20" s="179">
        <f>Gen!AK25</f>
        <v>3.78</v>
      </c>
      <c r="F20" s="179">
        <f>Gen!AS25</f>
        <v>607.64</v>
      </c>
      <c r="G20" s="182">
        <f>'Utility report '!AC20</f>
        <v>0</v>
      </c>
      <c r="H20" s="182">
        <f>'Utility report '!AE20</f>
        <v>35</v>
      </c>
      <c r="I20" s="352">
        <f>'Water-Meter'!E20</f>
        <v>38</v>
      </c>
      <c r="J20" s="184">
        <f>'Lpg (2)'!B24</f>
        <v>85</v>
      </c>
      <c r="K20" s="184">
        <f>'Lpg (2)'!C25</f>
        <v>83</v>
      </c>
      <c r="L20" s="184">
        <f>'Lpg (2)'!D24</f>
        <v>15</v>
      </c>
      <c r="M20" s="536">
        <f>'Lpg (2)'!G24</f>
        <v>22.175999999971829</v>
      </c>
      <c r="N20" s="177">
        <f t="shared" si="2"/>
        <v>845.404</v>
      </c>
      <c r="O20" s="177">
        <f t="shared" si="2"/>
        <v>5.2919999999999998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1674</v>
      </c>
      <c r="D21" s="179">
        <f>Gen!T26</f>
        <v>635.49</v>
      </c>
      <c r="E21" s="179">
        <f>Gen!AK26</f>
        <v>0</v>
      </c>
      <c r="F21" s="179">
        <f>Gen!AS26</f>
        <v>635.49</v>
      </c>
      <c r="G21" s="182">
        <f>'Utility report '!AC21</f>
        <v>69</v>
      </c>
      <c r="H21" s="182">
        <f>'Utility report '!AE21</f>
        <v>43</v>
      </c>
      <c r="I21" s="352">
        <f>'Water-Meter'!E21</f>
        <v>44</v>
      </c>
      <c r="J21" s="184">
        <f>'Lpg (2)'!B25</f>
        <v>85</v>
      </c>
      <c r="K21" s="184">
        <f>'Lpg (2)'!C25</f>
        <v>83</v>
      </c>
      <c r="L21" s="184">
        <f>'Lpg (2)'!D25</f>
        <v>13</v>
      </c>
      <c r="M21" s="536">
        <f>'Lpg (2)'!G25</f>
        <v>34.847999999992318</v>
      </c>
      <c r="N21" s="177">
        <f t="shared" si="2"/>
        <v>889.68599999999992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-32087</v>
      </c>
      <c r="H22" s="182">
        <f>'Utility report '!AE22</f>
        <v>-201425</v>
      </c>
      <c r="I22" s="352" t="str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-313606.87599999999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21140</v>
      </c>
      <c r="D39" s="545">
        <f>SUM(D7:D35)</f>
        <v>9794.8000000000011</v>
      </c>
      <c r="E39" s="545">
        <f t="shared" ref="E39:S39" si="3">SUM(E7:E35)</f>
        <v>247.17999999999998</v>
      </c>
      <c r="F39" s="545">
        <f t="shared" si="3"/>
        <v>10041.98</v>
      </c>
      <c r="G39" s="545">
        <f t="shared" si="3"/>
        <v>-31574</v>
      </c>
      <c r="H39" s="545">
        <f t="shared" si="3"/>
        <v>-200803</v>
      </c>
      <c r="I39" s="545">
        <f t="shared" si="3"/>
        <v>622</v>
      </c>
      <c r="J39" s="545">
        <f t="shared" si="3"/>
        <v>1275</v>
      </c>
      <c r="K39" s="545">
        <f t="shared" si="3"/>
        <v>1245</v>
      </c>
      <c r="L39" s="545">
        <f t="shared" si="3"/>
        <v>399</v>
      </c>
      <c r="M39" s="545">
        <f t="shared" si="3"/>
        <v>-313165.51199999999</v>
      </c>
      <c r="N39" s="545">
        <f t="shared" si="3"/>
        <v>13712.719999999998</v>
      </c>
      <c r="O39" s="545">
        <f t="shared" si="3"/>
        <v>346.05199999999996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D28" zoomScale="85" zoomScalePageLayoutView="85" workbookViewId="0">
      <selection activeCell="O47" sqref="O46:O4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3" t="s">
        <v>318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  <c r="AB1" s="804"/>
      <c r="AC1" s="804"/>
      <c r="AD1" s="804"/>
      <c r="AE1" s="804"/>
      <c r="AF1" s="804"/>
      <c r="AG1" s="804"/>
      <c r="AH1" s="804"/>
      <c r="AI1" s="804"/>
      <c r="AJ1" s="804"/>
      <c r="AK1" s="805"/>
    </row>
    <row r="2" spans="1:37" ht="61.5" customHeight="1" thickBot="1">
      <c r="A2" s="150" t="s">
        <v>98</v>
      </c>
      <c r="B2" s="806" t="s">
        <v>99</v>
      </c>
      <c r="C2" s="807"/>
      <c r="D2" s="808"/>
      <c r="E2" s="151"/>
      <c r="F2" s="151"/>
      <c r="G2" s="151"/>
      <c r="H2" s="148" t="s">
        <v>124</v>
      </c>
      <c r="I2" s="338" t="s">
        <v>100</v>
      </c>
      <c r="J2" s="811" t="s">
        <v>122</v>
      </c>
      <c r="K2" s="493"/>
      <c r="L2" s="813" t="s">
        <v>123</v>
      </c>
      <c r="M2" s="492" t="s">
        <v>101</v>
      </c>
      <c r="N2" s="811" t="s">
        <v>102</v>
      </c>
      <c r="O2" s="795" t="s">
        <v>103</v>
      </c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796"/>
      <c r="AA2" s="339" t="s">
        <v>104</v>
      </c>
      <c r="AB2" s="806" t="s">
        <v>164</v>
      </c>
      <c r="AC2" s="808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9">
        <f>SUM(D3/B3)</f>
        <v>1.3262195121951219</v>
      </c>
      <c r="G3" s="810"/>
      <c r="H3" s="131">
        <f>Gen!D11</f>
        <v>43367.69</v>
      </c>
      <c r="I3" s="141"/>
      <c r="J3" s="811"/>
      <c r="K3" s="493" t="s">
        <v>165</v>
      </c>
      <c r="L3" s="813"/>
      <c r="M3" s="340" t="s">
        <v>111</v>
      </c>
      <c r="N3" s="811"/>
      <c r="O3" s="795" t="s">
        <v>112</v>
      </c>
      <c r="P3" s="796"/>
      <c r="Q3" s="796"/>
      <c r="R3" s="796"/>
      <c r="S3" s="797" t="s">
        <v>113</v>
      </c>
      <c r="T3" s="798"/>
      <c r="U3" s="798"/>
      <c r="V3" s="799"/>
      <c r="W3" s="800" t="s">
        <v>114</v>
      </c>
      <c r="X3" s="801"/>
      <c r="Y3" s="801"/>
      <c r="Z3" s="802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1"/>
      <c r="K4" s="493"/>
      <c r="L4" s="813"/>
      <c r="M4" s="143"/>
      <c r="N4" s="812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911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574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911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574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911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574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911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574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911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574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911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574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911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574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637.52</v>
      </c>
      <c r="K12" s="142">
        <f>Gen!AK17</f>
        <v>22.97</v>
      </c>
      <c r="L12" s="142">
        <f t="shared" si="1"/>
        <v>660.49</v>
      </c>
      <c r="M12" s="535">
        <f>'Water-Meter'!K52</f>
        <v>534.91910412419975</v>
      </c>
      <c r="N12" s="203">
        <f>'Water-Meter'!E12</f>
        <v>41</v>
      </c>
      <c r="O12" s="214"/>
      <c r="P12" s="911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574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38768.69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911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574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37995.760000000002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911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574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37333.660000000003</v>
      </c>
      <c r="I15" s="505">
        <f>Gen!F20</f>
        <v>0</v>
      </c>
      <c r="J15" s="142">
        <f>Gen!T20</f>
        <v>652.33000000000004</v>
      </c>
      <c r="K15" s="142">
        <f>Gen!AK20</f>
        <v>0</v>
      </c>
      <c r="L15" s="142">
        <f t="shared" si="1"/>
        <v>652.33000000000004</v>
      </c>
      <c r="M15" s="535">
        <f>'Water-Meter'!K55</f>
        <v>451.94849247329876</v>
      </c>
      <c r="N15" s="203">
        <f>'Water-Meter'!E15</f>
        <v>51</v>
      </c>
      <c r="O15" s="214"/>
      <c r="P15" s="911">
        <v>19030</v>
      </c>
      <c r="Q15" s="506">
        <f t="shared" si="2"/>
        <v>0</v>
      </c>
      <c r="R15" s="507">
        <f t="shared" si="5"/>
        <v>0</v>
      </c>
      <c r="S15" s="452"/>
      <c r="T15" s="575">
        <v>24499</v>
      </c>
      <c r="U15" s="506">
        <f t="shared" si="6"/>
        <v>0</v>
      </c>
      <c r="V15" s="508">
        <f t="shared" si="16"/>
        <v>0</v>
      </c>
      <c r="W15" s="452"/>
      <c r="X15" s="573">
        <v>16219</v>
      </c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>
        <v>31947</v>
      </c>
      <c r="AC15" s="138">
        <f t="shared" si="11"/>
        <v>0</v>
      </c>
      <c r="AD15" s="574">
        <v>201198</v>
      </c>
      <c r="AE15" s="221">
        <f>AD15-AD14</f>
        <v>35</v>
      </c>
      <c r="AF15" s="317">
        <f>'Lpg (2)'!B19*2000/85</f>
        <v>2000</v>
      </c>
      <c r="AG15" s="318">
        <f>'Lpg (2)'!C19*1000/85</f>
        <v>976.47058823529414</v>
      </c>
      <c r="AH15" s="319">
        <f>'Lpg (2)'!D19*1000/85</f>
        <v>294.11764705882354</v>
      </c>
      <c r="AI15" s="511">
        <f t="shared" ref="AI15:AI35" si="17">SUM(AF15*2000)+(AG15*1000)+(AH15*1000)</f>
        <v>5270588.2352941176</v>
      </c>
      <c r="AJ15" s="510">
        <f t="shared" si="4"/>
        <v>35294.117647059262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36681.33</v>
      </c>
      <c r="I16" s="505">
        <f>Gen!F21</f>
        <v>0</v>
      </c>
      <c r="J16" s="142">
        <f>Gen!T21</f>
        <v>675.39</v>
      </c>
      <c r="K16" s="142">
        <f>Gen!AK21</f>
        <v>0</v>
      </c>
      <c r="L16" s="142">
        <f t="shared" si="1"/>
        <v>675.39</v>
      </c>
      <c r="M16" s="535">
        <f>'Water-Meter'!K56</f>
        <v>434.37855279734322</v>
      </c>
      <c r="N16" s="203">
        <f>'Water-Meter'!E16</f>
        <v>56</v>
      </c>
      <c r="O16" s="214"/>
      <c r="P16" s="911">
        <v>19030</v>
      </c>
      <c r="Q16" s="506">
        <f t="shared" si="2"/>
        <v>0</v>
      </c>
      <c r="R16" s="507">
        <f t="shared" si="5"/>
        <v>0</v>
      </c>
      <c r="S16" s="452"/>
      <c r="T16" s="575">
        <v>24499</v>
      </c>
      <c r="U16" s="506">
        <f t="shared" si="6"/>
        <v>0</v>
      </c>
      <c r="V16" s="508">
        <f t="shared" si="16"/>
        <v>0</v>
      </c>
      <c r="W16" s="452"/>
      <c r="X16" s="573">
        <v>16219</v>
      </c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>
        <v>31947</v>
      </c>
      <c r="AC16" s="138">
        <f t="shared" si="11"/>
        <v>0</v>
      </c>
      <c r="AD16" s="574">
        <v>201236</v>
      </c>
      <c r="AE16" s="221">
        <f t="shared" si="15"/>
        <v>38</v>
      </c>
      <c r="AF16" s="317">
        <f>'Lpg (2)'!B20*2000/85</f>
        <v>2000</v>
      </c>
      <c r="AG16" s="318">
        <f>'Lpg (2)'!C20*1000/85</f>
        <v>976.47058823529414</v>
      </c>
      <c r="AH16" s="319">
        <f>'Lpg (2)'!D20*1000/85</f>
        <v>247.05882352941177</v>
      </c>
      <c r="AI16" s="511">
        <f t="shared" si="17"/>
        <v>5223529.4117647065</v>
      </c>
      <c r="AJ16" s="510">
        <f t="shared" si="4"/>
        <v>47058.823529411107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46005.94</v>
      </c>
      <c r="I17" s="505">
        <f>Gen!F22</f>
        <v>10000</v>
      </c>
      <c r="J17" s="142">
        <f>Gen!T22</f>
        <v>719.01</v>
      </c>
      <c r="K17" s="142">
        <f>Gen!AK22</f>
        <v>106.89</v>
      </c>
      <c r="L17" s="142">
        <f t="shared" si="1"/>
        <v>825.9</v>
      </c>
      <c r="M17" s="535">
        <f>'Water-Meter'!K57</f>
        <v>473.35906902596753</v>
      </c>
      <c r="N17" s="203">
        <f>'Water-Meter'!E17</f>
        <v>58</v>
      </c>
      <c r="O17" s="214"/>
      <c r="P17" s="911">
        <v>19030</v>
      </c>
      <c r="Q17" s="506">
        <f>SUM(P18-P16)</f>
        <v>0</v>
      </c>
      <c r="R17" s="507">
        <f t="shared" si="5"/>
        <v>0</v>
      </c>
      <c r="S17" s="452"/>
      <c r="T17" s="575">
        <v>24506</v>
      </c>
      <c r="U17" s="506">
        <f t="shared" si="6"/>
        <v>7</v>
      </c>
      <c r="V17" s="508">
        <f t="shared" ref="V17:V36" si="18">SUM(U17*S17)</f>
        <v>0</v>
      </c>
      <c r="W17" s="452"/>
      <c r="X17" s="573">
        <v>16225</v>
      </c>
      <c r="Y17" s="506">
        <f t="shared" si="8"/>
        <v>6</v>
      </c>
      <c r="Z17" s="508">
        <f t="shared" si="9"/>
        <v>0</v>
      </c>
      <c r="AA17" s="508">
        <f t="shared" si="10"/>
        <v>0</v>
      </c>
      <c r="AB17" s="574">
        <v>32018</v>
      </c>
      <c r="AC17" s="138">
        <f t="shared" si="11"/>
        <v>71</v>
      </c>
      <c r="AD17" s="574">
        <v>201279</v>
      </c>
      <c r="AE17" s="221">
        <f t="shared" si="15"/>
        <v>43</v>
      </c>
      <c r="AF17" s="317">
        <f>'Lpg (2)'!B21*2000/85</f>
        <v>2000</v>
      </c>
      <c r="AG17" s="318">
        <f>'Lpg (2)'!C22*1000/85</f>
        <v>976.47058823529414</v>
      </c>
      <c r="AH17" s="319">
        <f>'Lpg (2)'!D21*1000/85</f>
        <v>235.29411764705881</v>
      </c>
      <c r="AI17" s="511">
        <f t="shared" si="17"/>
        <v>5211764.7058823537</v>
      </c>
      <c r="AJ17" s="510">
        <f t="shared" si="4"/>
        <v>11764.705882352777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45180.04</v>
      </c>
      <c r="I18" s="505">
        <f>Gen!F23</f>
        <v>0</v>
      </c>
      <c r="J18" s="142">
        <f>Gen!T23</f>
        <v>656.19</v>
      </c>
      <c r="K18" s="142">
        <f>Gen!AK23</f>
        <v>0</v>
      </c>
      <c r="L18" s="142">
        <f t="shared" si="1"/>
        <v>656.19</v>
      </c>
      <c r="M18" s="535">
        <f>'Water-Meter'!K58</f>
        <v>521.36044011204308</v>
      </c>
      <c r="N18" s="203">
        <f>'Water-Meter'!E18</f>
        <v>41</v>
      </c>
      <c r="O18" s="214"/>
      <c r="P18" s="911">
        <v>19030</v>
      </c>
      <c r="Q18" s="506"/>
      <c r="R18" s="507">
        <f t="shared" si="5"/>
        <v>0</v>
      </c>
      <c r="S18" s="452"/>
      <c r="T18" s="575">
        <v>24506</v>
      </c>
      <c r="U18" s="506">
        <f t="shared" si="6"/>
        <v>0</v>
      </c>
      <c r="V18" s="508">
        <f t="shared" si="18"/>
        <v>0</v>
      </c>
      <c r="W18" s="452"/>
      <c r="X18" s="573">
        <v>16225</v>
      </c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>
        <v>32018</v>
      </c>
      <c r="AC18" s="138">
        <f t="shared" si="11"/>
        <v>0</v>
      </c>
      <c r="AD18" s="574">
        <v>201311</v>
      </c>
      <c r="AE18" s="221">
        <f t="shared" si="15"/>
        <v>32</v>
      </c>
      <c r="AF18" s="317">
        <f>'Lpg (2)'!B22*2000/85</f>
        <v>2000</v>
      </c>
      <c r="AG18" s="318" t="e">
        <f>'Lpg (2)'!#REF!*1000/85</f>
        <v>#REF!</v>
      </c>
      <c r="AH18" s="319">
        <f>'Lpg (2)'!D22*1000/85</f>
        <v>211.76470588235293</v>
      </c>
      <c r="AI18" s="511" t="e">
        <f t="shared" si="17"/>
        <v>#REF!</v>
      </c>
      <c r="AJ18" s="510" t="e">
        <f t="shared" si="4"/>
        <v>#REF!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44523.85</v>
      </c>
      <c r="I19" s="505">
        <f>Gen!F24</f>
        <v>0</v>
      </c>
      <c r="J19" s="142">
        <f>Gen!T24</f>
        <v>633.07999999999993</v>
      </c>
      <c r="K19" s="142">
        <f>Gen!AK24</f>
        <v>0</v>
      </c>
      <c r="L19" s="142">
        <f t="shared" si="1"/>
        <v>633.07999999999993</v>
      </c>
      <c r="M19" s="535">
        <f>'Water-Meter'!K59</f>
        <v>486.76278002198683</v>
      </c>
      <c r="N19" s="203">
        <f>'Water-Meter'!E19</f>
        <v>33</v>
      </c>
      <c r="O19" s="214"/>
      <c r="P19" s="911">
        <v>19030</v>
      </c>
      <c r="Q19" s="506"/>
      <c r="R19" s="507">
        <f t="shared" si="5"/>
        <v>0</v>
      </c>
      <c r="S19" s="452"/>
      <c r="T19" s="575">
        <v>24506</v>
      </c>
      <c r="U19" s="506">
        <f t="shared" si="6"/>
        <v>0</v>
      </c>
      <c r="V19" s="508">
        <f t="shared" si="18"/>
        <v>0</v>
      </c>
      <c r="W19" s="452"/>
      <c r="X19" s="573">
        <v>16225</v>
      </c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>
        <v>32018</v>
      </c>
      <c r="AC19" s="138">
        <f t="shared" si="11"/>
        <v>0</v>
      </c>
      <c r="AD19" s="574">
        <v>201347</v>
      </c>
      <c r="AE19" s="221">
        <f t="shared" si="15"/>
        <v>36</v>
      </c>
      <c r="AF19" s="317">
        <f>'Lpg (2)'!B23*2000/85</f>
        <v>2000</v>
      </c>
      <c r="AG19" s="318">
        <f>'Lpg (2)'!C23*1000/85</f>
        <v>976.47058823529414</v>
      </c>
      <c r="AH19" s="319">
        <f>'Lpg (2)'!D23*1000/85</f>
        <v>188.23529411764707</v>
      </c>
      <c r="AI19" s="511">
        <f t="shared" si="17"/>
        <v>5164705.8823529417</v>
      </c>
      <c r="AJ19" s="510" t="e">
        <f t="shared" si="4"/>
        <v>#REF!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43890.77</v>
      </c>
      <c r="I20" s="505">
        <f>Gen!F25</f>
        <v>0</v>
      </c>
      <c r="J20" s="142">
        <f>Gen!T25</f>
        <v>603.86</v>
      </c>
      <c r="K20" s="142">
        <f>Gen!AK25</f>
        <v>3.78</v>
      </c>
      <c r="L20" s="142">
        <f t="shared" si="1"/>
        <v>607.64</v>
      </c>
      <c r="M20" s="535">
        <f>'Water-Meter'!K60</f>
        <v>523.93294537575889</v>
      </c>
      <c r="N20" s="203">
        <f>'Water-Meter'!E20</f>
        <v>38</v>
      </c>
      <c r="O20" s="214"/>
      <c r="P20" s="911">
        <v>19030</v>
      </c>
      <c r="Q20" s="506">
        <f t="shared" si="2"/>
        <v>0</v>
      </c>
      <c r="R20" s="507">
        <f t="shared" si="5"/>
        <v>0</v>
      </c>
      <c r="S20" s="452"/>
      <c r="T20" s="575">
        <v>24506</v>
      </c>
      <c r="U20" s="506">
        <f t="shared" si="6"/>
        <v>0</v>
      </c>
      <c r="V20" s="508">
        <f t="shared" si="18"/>
        <v>0</v>
      </c>
      <c r="W20" s="452"/>
      <c r="X20" s="573">
        <v>16225</v>
      </c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>
        <v>32018</v>
      </c>
      <c r="AC20" s="138"/>
      <c r="AD20" s="574">
        <v>201382</v>
      </c>
      <c r="AE20" s="221">
        <f t="shared" si="15"/>
        <v>35</v>
      </c>
      <c r="AF20" s="317">
        <f>'Lpg (2)'!B24*2000/85</f>
        <v>2000</v>
      </c>
      <c r="AG20" s="318">
        <f>'Lpg (2)'!C24*1000/85</f>
        <v>976.47058823529414</v>
      </c>
      <c r="AH20" s="319">
        <f>'Lpg (2)'!D24*1000/85</f>
        <v>176.47058823529412</v>
      </c>
      <c r="AI20" s="511">
        <f t="shared" si="17"/>
        <v>5152941.1764705889</v>
      </c>
      <c r="AJ20" s="510">
        <f t="shared" si="4"/>
        <v>11764.705882352777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43283.13</v>
      </c>
      <c r="I21" s="505">
        <f>Gen!F26</f>
        <v>0</v>
      </c>
      <c r="J21" s="142">
        <f>Gen!T26</f>
        <v>635.49</v>
      </c>
      <c r="K21" s="142">
        <f>Gen!AK26</f>
        <v>0</v>
      </c>
      <c r="L21" s="142">
        <f t="shared" si="1"/>
        <v>635.49</v>
      </c>
      <c r="M21" s="535">
        <f>'Water-Meter'!K61</f>
        <v>449.10681906659306</v>
      </c>
      <c r="N21" s="203">
        <f>'Water-Meter'!E21</f>
        <v>44</v>
      </c>
      <c r="O21" s="214"/>
      <c r="P21" s="911">
        <v>19030</v>
      </c>
      <c r="Q21" s="506">
        <f t="shared" si="2"/>
        <v>0</v>
      </c>
      <c r="R21" s="507">
        <f t="shared" si="5"/>
        <v>0</v>
      </c>
      <c r="S21" s="452"/>
      <c r="T21" s="575">
        <v>24506</v>
      </c>
      <c r="U21" s="506">
        <f>T22-T20</f>
        <v>-24506</v>
      </c>
      <c r="V21" s="508">
        <f t="shared" si="18"/>
        <v>0</v>
      </c>
      <c r="W21" s="452"/>
      <c r="X21" s="573">
        <v>16233</v>
      </c>
      <c r="Y21" s="506">
        <f t="shared" si="8"/>
        <v>8</v>
      </c>
      <c r="Z21" s="508">
        <f t="shared" si="9"/>
        <v>0</v>
      </c>
      <c r="AA21" s="508">
        <f t="shared" si="10"/>
        <v>0</v>
      </c>
      <c r="AB21" s="574">
        <v>32087</v>
      </c>
      <c r="AC21" s="138">
        <f t="shared" si="11"/>
        <v>69</v>
      </c>
      <c r="AD21" s="574">
        <v>201425</v>
      </c>
      <c r="AE21" s="221">
        <f t="shared" si="15"/>
        <v>43</v>
      </c>
      <c r="AF21" s="317">
        <f>'Lpg (2)'!B25*2000/85</f>
        <v>2000</v>
      </c>
      <c r="AG21" s="318">
        <f>'Lpg (2)'!C25*1000/85</f>
        <v>976.47058823529414</v>
      </c>
      <c r="AH21" s="319">
        <f>'Lpg (2)'!D25*1000/85</f>
        <v>152.94117647058823</v>
      </c>
      <c r="AI21" s="511">
        <f t="shared" si="17"/>
        <v>5129411.7647058824</v>
      </c>
      <c r="AJ21" s="510">
        <f t="shared" si="4"/>
        <v>23529.411764706485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42647.64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397.27853570404829</v>
      </c>
      <c r="N22" s="203" t="str">
        <f>'Water-Meter'!E22</f>
        <v>0</v>
      </c>
      <c r="O22" s="214"/>
      <c r="P22" s="911"/>
      <c r="Q22" s="506">
        <f t="shared" si="2"/>
        <v>-19030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-16233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-32087</v>
      </c>
      <c r="AD22" s="912"/>
      <c r="AE22" s="221">
        <f t="shared" si="15"/>
        <v>-201425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5129411.7647058824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42647.64</v>
      </c>
      <c r="I23" s="505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911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911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42647.64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911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911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42647.64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911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911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42647.64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911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911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42647.64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911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911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42647.64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911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911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42647.64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911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911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42647.64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911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911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42647.64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911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911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42647.64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911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911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42647.64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911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911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42647.64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911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911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42647.64</v>
      </c>
      <c r="I35" s="505">
        <f>Gen!F40</f>
        <v>15000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911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911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42647.64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911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10472.870000000001</v>
      </c>
      <c r="K37" s="165"/>
      <c r="L37" s="142">
        <f t="shared" si="1"/>
        <v>10472.870000000001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913"/>
      <c r="AE37" s="221">
        <f t="shared" si="15"/>
        <v>0</v>
      </c>
      <c r="AF37" s="166"/>
      <c r="AG37" s="166"/>
      <c r="AH37" s="166"/>
      <c r="AI37" s="163"/>
      <c r="AJ37" s="168" t="e">
        <f>SUM(AJ6:AJ36)</f>
        <v>#REF!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22" sqref="E22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4" t="s">
        <v>150</v>
      </c>
      <c r="C1" s="815"/>
      <c r="D1" s="815"/>
      <c r="E1" s="815"/>
      <c r="F1" s="816"/>
      <c r="G1" s="189"/>
      <c r="H1" s="814" t="s">
        <v>151</v>
      </c>
      <c r="I1" s="815"/>
      <c r="J1" s="815"/>
      <c r="K1" s="815"/>
      <c r="L1" s="816"/>
      <c r="M1" s="814" t="s">
        <v>170</v>
      </c>
      <c r="N1" s="815"/>
      <c r="O1" s="815"/>
      <c r="P1" s="815"/>
      <c r="Q1" s="816"/>
      <c r="R1" s="189"/>
      <c r="T1" s="814" t="s">
        <v>166</v>
      </c>
      <c r="U1" s="815"/>
      <c r="V1" s="815"/>
      <c r="W1" s="815"/>
      <c r="X1" s="816"/>
      <c r="Y1" s="814" t="s">
        <v>169</v>
      </c>
      <c r="Z1" s="815"/>
      <c r="AA1" s="815"/>
      <c r="AB1" s="815"/>
      <c r="AC1" s="816"/>
    </row>
    <row r="2" spans="1:29" ht="45.75" thickBot="1">
      <c r="A2" s="733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4">
        <v>43770</v>
      </c>
      <c r="B3" s="817" t="s">
        <v>156</v>
      </c>
      <c r="C3" s="818"/>
      <c r="D3" s="198"/>
      <c r="E3" s="735">
        <v>8666.6</v>
      </c>
      <c r="F3" s="736" t="s">
        <v>157</v>
      </c>
      <c r="G3" s="737"/>
      <c r="H3" s="817" t="s">
        <v>156</v>
      </c>
      <c r="I3" s="818"/>
      <c r="J3" s="290"/>
      <c r="K3" s="738">
        <f>'Water-Meter'!G5</f>
        <v>38000</v>
      </c>
      <c r="L3" s="290"/>
      <c r="M3" s="817" t="s">
        <v>156</v>
      </c>
      <c r="N3" s="818"/>
      <c r="O3" s="198"/>
      <c r="P3" s="739">
        <f>'Water-Meter'!J5</f>
        <v>7903</v>
      </c>
      <c r="Q3" s="197"/>
      <c r="R3" s="724"/>
      <c r="S3" s="725"/>
      <c r="T3" s="817" t="s">
        <v>156</v>
      </c>
      <c r="U3" s="818"/>
      <c r="V3" s="198"/>
      <c r="W3" s="740">
        <v>7804.5</v>
      </c>
      <c r="X3" s="741">
        <f t="shared" ref="X3:X35" si="0">(W3-V3)*200</f>
        <v>1560900</v>
      </c>
      <c r="Y3" s="817" t="s">
        <v>156</v>
      </c>
      <c r="Z3" s="818"/>
      <c r="AA3" s="198"/>
      <c r="AB3" s="201">
        <f>'Water-Meter'!P5</f>
        <v>20131</v>
      </c>
      <c r="AC3" s="202"/>
    </row>
    <row r="4" spans="1:29" ht="18.75">
      <c r="A4" s="742">
        <f>Gen!C11</f>
        <v>0</v>
      </c>
      <c r="B4" s="746">
        <f>Gen!B11</f>
        <v>43952</v>
      </c>
      <c r="C4" s="747"/>
      <c r="D4" s="748">
        <f t="shared" ref="D4:D23" si="1">E3</f>
        <v>8666.6</v>
      </c>
      <c r="E4" s="749">
        <v>8667.5</v>
      </c>
      <c r="F4" s="748">
        <f t="shared" ref="F4:F15" si="2">SUM(E4-D4)*120</f>
        <v>107.99999999995634</v>
      </c>
      <c r="G4" s="747"/>
      <c r="H4" s="750">
        <f>B4</f>
        <v>43952</v>
      </c>
      <c r="I4" s="775"/>
      <c r="J4" s="747">
        <f t="shared" ref="J4:J30" si="3">SUM(K3)</f>
        <v>38000</v>
      </c>
      <c r="K4" s="776">
        <f>'Water-Meter'!G6</f>
        <v>38000</v>
      </c>
      <c r="L4" s="777">
        <f t="shared" ref="L4:L34" si="4">SUM(K4-J4)</f>
        <v>0</v>
      </c>
      <c r="M4" s="759">
        <f>H4</f>
        <v>43952</v>
      </c>
      <c r="N4" s="747"/>
      <c r="O4" s="747">
        <f t="shared" ref="O4:O33" si="5">SUM(P3)</f>
        <v>7903</v>
      </c>
      <c r="P4" s="760">
        <f>'Water-Meter'!J6</f>
        <v>7904</v>
      </c>
      <c r="Q4" s="777">
        <f t="shared" ref="Q4:Q34" si="6">SUM(P4-O4)</f>
        <v>1</v>
      </c>
      <c r="R4" s="782">
        <f t="shared" ref="R4:R20" si="7">SUM(Q4/1615)</f>
        <v>6.1919504643962852E-4</v>
      </c>
      <c r="S4" s="783">
        <f>Gen!T11</f>
        <v>678.06999999999994</v>
      </c>
      <c r="T4" s="780">
        <f>M4</f>
        <v>43952</v>
      </c>
      <c r="U4" s="747"/>
      <c r="V4" s="748">
        <f t="shared" ref="V4:V33" si="8">W3</f>
        <v>7804.5</v>
      </c>
      <c r="W4" s="770">
        <v>7804.5</v>
      </c>
      <c r="X4" s="771">
        <f t="shared" si="0"/>
        <v>0</v>
      </c>
      <c r="Y4" s="759">
        <f>T4</f>
        <v>43952</v>
      </c>
      <c r="Z4" s="747"/>
      <c r="AA4" s="747">
        <v>3397.9</v>
      </c>
      <c r="AB4" s="760">
        <f>'Water-Meter'!P6</f>
        <v>20132</v>
      </c>
      <c r="AC4" s="761">
        <f t="shared" ref="AC4:AC34" si="9">SUM(AB4-AA4)</f>
        <v>16734.099999999999</v>
      </c>
    </row>
    <row r="5" spans="1:29" ht="18.75">
      <c r="A5" s="743">
        <f>Gen!C12</f>
        <v>0</v>
      </c>
      <c r="B5" s="751">
        <f>Gen!B12</f>
        <v>43953</v>
      </c>
      <c r="C5" s="726"/>
      <c r="D5" s="732">
        <f t="shared" si="1"/>
        <v>8667.5</v>
      </c>
      <c r="E5" s="727">
        <v>8668.4</v>
      </c>
      <c r="F5" s="732">
        <f t="shared" si="2"/>
        <v>107.99999999995634</v>
      </c>
      <c r="G5" s="726"/>
      <c r="H5" s="752">
        <f t="shared" ref="H5:H35" si="10">B5</f>
        <v>43953</v>
      </c>
      <c r="I5" s="744"/>
      <c r="J5" s="726">
        <f t="shared" si="3"/>
        <v>38000</v>
      </c>
      <c r="K5" s="731">
        <f>'Water-Meter'!G7</f>
        <v>38000</v>
      </c>
      <c r="L5" s="758">
        <f t="shared" si="4"/>
        <v>0</v>
      </c>
      <c r="M5" s="762">
        <f t="shared" ref="M5:M35" si="11">H5</f>
        <v>43953</v>
      </c>
      <c r="N5" s="726"/>
      <c r="O5" s="726">
        <f t="shared" si="5"/>
        <v>7904</v>
      </c>
      <c r="P5" s="730">
        <f>'Water-Meter'!J7</f>
        <v>7904</v>
      </c>
      <c r="Q5" s="758">
        <f t="shared" si="6"/>
        <v>0</v>
      </c>
      <c r="R5" s="784">
        <f t="shared" si="7"/>
        <v>0</v>
      </c>
      <c r="S5" s="785">
        <f>Gen!T12</f>
        <v>659.66</v>
      </c>
      <c r="T5" s="769">
        <f t="shared" ref="T5:T30" si="12">M5</f>
        <v>43953</v>
      </c>
      <c r="U5" s="726"/>
      <c r="V5" s="732">
        <f t="shared" si="8"/>
        <v>7804.5</v>
      </c>
      <c r="W5" s="728">
        <v>7804.6</v>
      </c>
      <c r="X5" s="772">
        <f t="shared" si="0"/>
        <v>20.00000000007276</v>
      </c>
      <c r="Y5" s="762">
        <f t="shared" ref="Y5:Y30" si="13">T5</f>
        <v>43953</v>
      </c>
      <c r="Z5" s="726"/>
      <c r="AA5" s="726">
        <f t="shared" ref="AA5:AA35" si="14">SUM(AB4)</f>
        <v>20132</v>
      </c>
      <c r="AB5" s="730">
        <f>'Water-Meter'!P7</f>
        <v>20133</v>
      </c>
      <c r="AC5" s="763">
        <f t="shared" si="9"/>
        <v>1</v>
      </c>
    </row>
    <row r="6" spans="1:29" ht="18.75">
      <c r="A6" s="743">
        <f>Gen!C13</f>
        <v>0</v>
      </c>
      <c r="B6" s="751">
        <f>Gen!B13</f>
        <v>43954</v>
      </c>
      <c r="C6" s="726"/>
      <c r="D6" s="732">
        <f t="shared" si="1"/>
        <v>8668.4</v>
      </c>
      <c r="E6" s="727">
        <v>8669.2000000000007</v>
      </c>
      <c r="F6" s="732">
        <f t="shared" si="2"/>
        <v>96.000000000130967</v>
      </c>
      <c r="G6" s="726"/>
      <c r="H6" s="752">
        <f t="shared" si="10"/>
        <v>43954</v>
      </c>
      <c r="I6" s="744"/>
      <c r="J6" s="726">
        <f t="shared" si="3"/>
        <v>38000</v>
      </c>
      <c r="K6" s="731">
        <f>'Water-Meter'!G8</f>
        <v>38000</v>
      </c>
      <c r="L6" s="758">
        <f t="shared" si="4"/>
        <v>0</v>
      </c>
      <c r="M6" s="762">
        <f t="shared" si="11"/>
        <v>43954</v>
      </c>
      <c r="N6" s="726"/>
      <c r="O6" s="726">
        <f t="shared" si="5"/>
        <v>7904</v>
      </c>
      <c r="P6" s="730">
        <f>'Water-Meter'!J8</f>
        <v>7905</v>
      </c>
      <c r="Q6" s="758">
        <f t="shared" si="6"/>
        <v>1</v>
      </c>
      <c r="R6" s="784">
        <f t="shared" si="7"/>
        <v>6.1919504643962852E-4</v>
      </c>
      <c r="S6" s="785">
        <f>Gen!T13</f>
        <v>659.29</v>
      </c>
      <c r="T6" s="769">
        <f t="shared" si="12"/>
        <v>43954</v>
      </c>
      <c r="U6" s="726"/>
      <c r="V6" s="732">
        <f t="shared" si="8"/>
        <v>7804.6</v>
      </c>
      <c r="W6" s="728">
        <v>7804.6</v>
      </c>
      <c r="X6" s="772">
        <f t="shared" si="0"/>
        <v>0</v>
      </c>
      <c r="Y6" s="762">
        <f t="shared" si="13"/>
        <v>43954</v>
      </c>
      <c r="Z6" s="726"/>
      <c r="AA6" s="726">
        <f t="shared" si="14"/>
        <v>20133</v>
      </c>
      <c r="AB6" s="730">
        <f>'Water-Meter'!P8</f>
        <v>20133</v>
      </c>
      <c r="AC6" s="763">
        <f t="shared" si="9"/>
        <v>0</v>
      </c>
    </row>
    <row r="7" spans="1:29" ht="18.75">
      <c r="A7" s="743">
        <f>Gen!C14</f>
        <v>0</v>
      </c>
      <c r="B7" s="751">
        <f>Gen!B14</f>
        <v>43955</v>
      </c>
      <c r="C7" s="726"/>
      <c r="D7" s="732">
        <f t="shared" si="1"/>
        <v>8669.2000000000007</v>
      </c>
      <c r="E7" s="727">
        <v>8670.1</v>
      </c>
      <c r="F7" s="732">
        <f t="shared" si="2"/>
        <v>107.99999999995634</v>
      </c>
      <c r="G7" s="726"/>
      <c r="H7" s="752">
        <f t="shared" si="10"/>
        <v>43955</v>
      </c>
      <c r="I7" s="744"/>
      <c r="J7" s="726">
        <f t="shared" si="3"/>
        <v>38000</v>
      </c>
      <c r="K7" s="731">
        <f>'Water-Meter'!G9</f>
        <v>38000</v>
      </c>
      <c r="L7" s="758">
        <f t="shared" si="4"/>
        <v>0</v>
      </c>
      <c r="M7" s="762">
        <f t="shared" si="11"/>
        <v>43955</v>
      </c>
      <c r="N7" s="726"/>
      <c r="O7" s="726">
        <f t="shared" si="5"/>
        <v>7905</v>
      </c>
      <c r="P7" s="730">
        <f>'Water-Meter'!J9</f>
        <v>7905</v>
      </c>
      <c r="Q7" s="758">
        <f t="shared" si="6"/>
        <v>0</v>
      </c>
      <c r="R7" s="784">
        <f t="shared" si="7"/>
        <v>0</v>
      </c>
      <c r="S7" s="785">
        <f>Gen!T14</f>
        <v>633.92999999999995</v>
      </c>
      <c r="T7" s="769">
        <f t="shared" si="12"/>
        <v>43955</v>
      </c>
      <c r="U7" s="726"/>
      <c r="V7" s="732">
        <f t="shared" si="8"/>
        <v>7804.6</v>
      </c>
      <c r="W7" s="728">
        <v>7804.7</v>
      </c>
      <c r="X7" s="772">
        <f t="shared" si="0"/>
        <v>19.999999999890861</v>
      </c>
      <c r="Y7" s="762">
        <f t="shared" si="13"/>
        <v>43955</v>
      </c>
      <c r="Z7" s="726"/>
      <c r="AA7" s="726">
        <f t="shared" si="14"/>
        <v>20133</v>
      </c>
      <c r="AB7" s="730">
        <f>'Water-Meter'!P9</f>
        <v>20134</v>
      </c>
      <c r="AC7" s="763">
        <f t="shared" si="9"/>
        <v>1</v>
      </c>
    </row>
    <row r="8" spans="1:29" ht="18.75">
      <c r="A8" s="743">
        <f>Gen!C15</f>
        <v>0</v>
      </c>
      <c r="B8" s="751">
        <f>Gen!B15</f>
        <v>43956</v>
      </c>
      <c r="C8" s="726"/>
      <c r="D8" s="732">
        <f t="shared" si="1"/>
        <v>8670.1</v>
      </c>
      <c r="E8" s="727">
        <v>8670.9</v>
      </c>
      <c r="F8" s="732">
        <f t="shared" si="2"/>
        <v>95.999999999912689</v>
      </c>
      <c r="G8" s="726"/>
      <c r="H8" s="752">
        <f t="shared" si="10"/>
        <v>43956</v>
      </c>
      <c r="I8" s="744"/>
      <c r="J8" s="726">
        <f t="shared" si="3"/>
        <v>38000</v>
      </c>
      <c r="K8" s="731">
        <f>'Water-Meter'!G10</f>
        <v>38000</v>
      </c>
      <c r="L8" s="758">
        <f t="shared" si="4"/>
        <v>0</v>
      </c>
      <c r="M8" s="762">
        <f t="shared" si="11"/>
        <v>43956</v>
      </c>
      <c r="N8" s="726"/>
      <c r="O8" s="726">
        <f t="shared" si="5"/>
        <v>7905</v>
      </c>
      <c r="P8" s="730">
        <f>'Water-Meter'!J10</f>
        <v>7906</v>
      </c>
      <c r="Q8" s="758">
        <f t="shared" si="6"/>
        <v>1</v>
      </c>
      <c r="R8" s="784">
        <f t="shared" si="7"/>
        <v>6.1919504643962852E-4</v>
      </c>
      <c r="S8" s="785">
        <f>Gen!T15</f>
        <v>646.24</v>
      </c>
      <c r="T8" s="769">
        <f t="shared" si="12"/>
        <v>43956</v>
      </c>
      <c r="U8" s="726"/>
      <c r="V8" s="732">
        <f t="shared" si="8"/>
        <v>7804.7</v>
      </c>
      <c r="W8" s="728">
        <v>7804.7</v>
      </c>
      <c r="X8" s="772">
        <f t="shared" si="0"/>
        <v>0</v>
      </c>
      <c r="Y8" s="762">
        <f t="shared" si="13"/>
        <v>43956</v>
      </c>
      <c r="Z8" s="726"/>
      <c r="AA8" s="726">
        <f t="shared" si="14"/>
        <v>20134</v>
      </c>
      <c r="AB8" s="730">
        <f>'Water-Meter'!P10</f>
        <v>20134</v>
      </c>
      <c r="AC8" s="763">
        <f t="shared" si="9"/>
        <v>0</v>
      </c>
    </row>
    <row r="9" spans="1:29" ht="18.75">
      <c r="A9" s="743">
        <f>Gen!C16</f>
        <v>0</v>
      </c>
      <c r="B9" s="751">
        <f>Gen!B16</f>
        <v>43957</v>
      </c>
      <c r="C9" s="726"/>
      <c r="D9" s="732">
        <f t="shared" si="1"/>
        <v>8670.9</v>
      </c>
      <c r="E9" s="727">
        <v>8671.6</v>
      </c>
      <c r="F9" s="732">
        <f t="shared" si="2"/>
        <v>84.000000000087311</v>
      </c>
      <c r="G9" s="726"/>
      <c r="H9" s="752">
        <f t="shared" si="10"/>
        <v>43957</v>
      </c>
      <c r="I9" s="744"/>
      <c r="J9" s="726">
        <f t="shared" si="3"/>
        <v>38000</v>
      </c>
      <c r="K9" s="731">
        <f>'Water-Meter'!G11</f>
        <v>38000</v>
      </c>
      <c r="L9" s="758">
        <f t="shared" si="4"/>
        <v>0</v>
      </c>
      <c r="M9" s="762">
        <f t="shared" si="11"/>
        <v>43957</v>
      </c>
      <c r="N9" s="726"/>
      <c r="O9" s="726">
        <f t="shared" si="5"/>
        <v>7906</v>
      </c>
      <c r="P9" s="730">
        <f>'Water-Meter'!J11</f>
        <v>7906</v>
      </c>
      <c r="Q9" s="758">
        <f t="shared" si="6"/>
        <v>0</v>
      </c>
      <c r="R9" s="784">
        <f t="shared" si="7"/>
        <v>0</v>
      </c>
      <c r="S9" s="785">
        <f>Gen!T16</f>
        <v>627.88</v>
      </c>
      <c r="T9" s="769">
        <f t="shared" si="12"/>
        <v>43957</v>
      </c>
      <c r="U9" s="726"/>
      <c r="V9" s="732">
        <f t="shared" si="8"/>
        <v>7804.7</v>
      </c>
      <c r="W9" s="728">
        <v>7804.8</v>
      </c>
      <c r="X9" s="772">
        <f t="shared" si="0"/>
        <v>20.00000000007276</v>
      </c>
      <c r="Y9" s="762">
        <f t="shared" si="13"/>
        <v>43957</v>
      </c>
      <c r="Z9" s="726"/>
      <c r="AA9" s="726">
        <f t="shared" si="14"/>
        <v>20134</v>
      </c>
      <c r="AB9" s="730">
        <f>'Water-Meter'!P11</f>
        <v>20135</v>
      </c>
      <c r="AC9" s="763">
        <f t="shared" si="9"/>
        <v>1</v>
      </c>
    </row>
    <row r="10" spans="1:29" ht="18.75">
      <c r="A10" s="743">
        <f>Gen!C17</f>
        <v>0</v>
      </c>
      <c r="B10" s="751">
        <f>Gen!B17</f>
        <v>43958</v>
      </c>
      <c r="C10" s="726"/>
      <c r="D10" s="732">
        <f t="shared" si="1"/>
        <v>8671.6</v>
      </c>
      <c r="E10" s="727">
        <v>8672.4</v>
      </c>
      <c r="F10" s="732">
        <f t="shared" si="2"/>
        <v>95.999999999912689</v>
      </c>
      <c r="G10" s="726"/>
      <c r="H10" s="752">
        <f t="shared" si="10"/>
        <v>43958</v>
      </c>
      <c r="I10" s="744"/>
      <c r="J10" s="726">
        <f t="shared" si="3"/>
        <v>38000</v>
      </c>
      <c r="K10" s="731">
        <f>'Water-Meter'!G12</f>
        <v>38000</v>
      </c>
      <c r="L10" s="758">
        <f t="shared" si="4"/>
        <v>0</v>
      </c>
      <c r="M10" s="762">
        <f t="shared" si="11"/>
        <v>43958</v>
      </c>
      <c r="N10" s="726"/>
      <c r="O10" s="726">
        <f t="shared" si="5"/>
        <v>7906</v>
      </c>
      <c r="P10" s="730">
        <f>'Water-Meter'!J12</f>
        <v>7906</v>
      </c>
      <c r="Q10" s="758">
        <f t="shared" si="6"/>
        <v>0</v>
      </c>
      <c r="R10" s="784">
        <f t="shared" si="7"/>
        <v>0</v>
      </c>
      <c r="S10" s="785">
        <f>Gen!T17</f>
        <v>637.52</v>
      </c>
      <c r="T10" s="769">
        <f t="shared" si="12"/>
        <v>43958</v>
      </c>
      <c r="U10" s="726"/>
      <c r="V10" s="732">
        <f t="shared" si="8"/>
        <v>7804.8</v>
      </c>
      <c r="W10" s="728">
        <v>7804.9</v>
      </c>
      <c r="X10" s="772">
        <f t="shared" si="0"/>
        <v>19.999999999890861</v>
      </c>
      <c r="Y10" s="762">
        <f t="shared" si="13"/>
        <v>43958</v>
      </c>
      <c r="Z10" s="726"/>
      <c r="AA10" s="726">
        <f t="shared" si="14"/>
        <v>20135</v>
      </c>
      <c r="AB10" s="730">
        <f>'Water-Meter'!P12</f>
        <v>20135</v>
      </c>
      <c r="AC10" s="763">
        <f t="shared" si="9"/>
        <v>0</v>
      </c>
    </row>
    <row r="11" spans="1:29" ht="18.75">
      <c r="A11" s="743">
        <f>Gen!C18</f>
        <v>0</v>
      </c>
      <c r="B11" s="751">
        <f>Gen!B18</f>
        <v>43959</v>
      </c>
      <c r="C11" s="726"/>
      <c r="D11" s="732">
        <f t="shared" si="1"/>
        <v>8672.4</v>
      </c>
      <c r="E11" s="727">
        <v>8673.2999999999993</v>
      </c>
      <c r="F11" s="732">
        <f t="shared" si="2"/>
        <v>107.99999999995634</v>
      </c>
      <c r="G11" s="726"/>
      <c r="H11" s="752">
        <f t="shared" si="10"/>
        <v>43959</v>
      </c>
      <c r="I11" s="744"/>
      <c r="J11" s="726">
        <f t="shared" si="3"/>
        <v>38000</v>
      </c>
      <c r="K11" s="731">
        <f>'Water-Meter'!G13</f>
        <v>38000</v>
      </c>
      <c r="L11" s="758">
        <f t="shared" si="4"/>
        <v>0</v>
      </c>
      <c r="M11" s="762">
        <f t="shared" si="11"/>
        <v>43959</v>
      </c>
      <c r="N11" s="726"/>
      <c r="O11" s="726">
        <f t="shared" si="5"/>
        <v>7906</v>
      </c>
      <c r="P11" s="730">
        <f>'Water-Meter'!J13</f>
        <v>7907</v>
      </c>
      <c r="Q11" s="758">
        <f t="shared" si="6"/>
        <v>1</v>
      </c>
      <c r="R11" s="784">
        <f t="shared" si="7"/>
        <v>6.1919504643962852E-4</v>
      </c>
      <c r="S11" s="785">
        <f>Gen!T18</f>
        <v>692.82999999999993</v>
      </c>
      <c r="T11" s="769">
        <f t="shared" si="12"/>
        <v>43959</v>
      </c>
      <c r="U11" s="726"/>
      <c r="V11" s="732">
        <f t="shared" si="8"/>
        <v>7804.9</v>
      </c>
      <c r="W11" s="728">
        <v>7805.1</v>
      </c>
      <c r="X11" s="772">
        <f t="shared" si="0"/>
        <v>40.000000000145519</v>
      </c>
      <c r="Y11" s="762">
        <f t="shared" si="13"/>
        <v>43959</v>
      </c>
      <c r="Z11" s="726"/>
      <c r="AA11" s="726">
        <f t="shared" si="14"/>
        <v>20135</v>
      </c>
      <c r="AB11" s="730">
        <f>'Water-Meter'!P13</f>
        <v>20136</v>
      </c>
      <c r="AC11" s="763">
        <f t="shared" si="9"/>
        <v>1</v>
      </c>
    </row>
    <row r="12" spans="1:29" ht="18.75">
      <c r="A12" s="743">
        <f>Gen!C19</f>
        <v>0</v>
      </c>
      <c r="B12" s="751">
        <f>Gen!B19</f>
        <v>43960</v>
      </c>
      <c r="C12" s="726"/>
      <c r="D12" s="732">
        <f t="shared" si="1"/>
        <v>8673.2999999999993</v>
      </c>
      <c r="E12" s="727">
        <v>8674.1</v>
      </c>
      <c r="F12" s="732">
        <f t="shared" si="2"/>
        <v>96.000000000130967</v>
      </c>
      <c r="G12" s="726"/>
      <c r="H12" s="752">
        <f t="shared" si="10"/>
        <v>43960</v>
      </c>
      <c r="I12" s="744"/>
      <c r="J12" s="726">
        <f t="shared" si="3"/>
        <v>38000</v>
      </c>
      <c r="K12" s="731">
        <f>'Water-Meter'!G14</f>
        <v>38000</v>
      </c>
      <c r="L12" s="758">
        <f t="shared" si="4"/>
        <v>0</v>
      </c>
      <c r="M12" s="762">
        <f t="shared" si="11"/>
        <v>43960</v>
      </c>
      <c r="N12" s="726"/>
      <c r="O12" s="726">
        <f t="shared" si="5"/>
        <v>7907</v>
      </c>
      <c r="P12" s="730">
        <f>'Water-Meter'!J14</f>
        <v>7907</v>
      </c>
      <c r="Q12" s="758">
        <f t="shared" si="6"/>
        <v>0</v>
      </c>
      <c r="R12" s="784">
        <f t="shared" si="7"/>
        <v>0</v>
      </c>
      <c r="S12" s="785">
        <f>Gen!T19</f>
        <v>662.1</v>
      </c>
      <c r="T12" s="769">
        <f t="shared" si="12"/>
        <v>43960</v>
      </c>
      <c r="U12" s="726"/>
      <c r="V12" s="732">
        <f t="shared" si="8"/>
        <v>7805.1</v>
      </c>
      <c r="W12" s="728">
        <v>7805.1</v>
      </c>
      <c r="X12" s="772">
        <f t="shared" si="0"/>
        <v>0</v>
      </c>
      <c r="Y12" s="762">
        <f t="shared" si="13"/>
        <v>43960</v>
      </c>
      <c r="Z12" s="726"/>
      <c r="AA12" s="726">
        <f t="shared" si="14"/>
        <v>20136</v>
      </c>
      <c r="AB12" s="730">
        <f>'Water-Meter'!P14</f>
        <v>20137</v>
      </c>
      <c r="AC12" s="763">
        <f t="shared" si="9"/>
        <v>1</v>
      </c>
    </row>
    <row r="13" spans="1:29" ht="18.75">
      <c r="A13" s="743">
        <f>Gen!C20</f>
        <v>0</v>
      </c>
      <c r="B13" s="751">
        <f>Gen!B20</f>
        <v>43961</v>
      </c>
      <c r="C13" s="726"/>
      <c r="D13" s="732">
        <f t="shared" si="1"/>
        <v>8674.1</v>
      </c>
      <c r="E13" s="727">
        <v>8674.9</v>
      </c>
      <c r="F13" s="732">
        <f t="shared" si="2"/>
        <v>95.999999999912689</v>
      </c>
      <c r="G13" s="726"/>
      <c r="H13" s="752">
        <f t="shared" si="10"/>
        <v>43961</v>
      </c>
      <c r="I13" s="744"/>
      <c r="J13" s="726">
        <f t="shared" si="3"/>
        <v>38000</v>
      </c>
      <c r="K13" s="731">
        <f>'Water-Meter'!G15</f>
        <v>38000</v>
      </c>
      <c r="L13" s="758">
        <f t="shared" si="4"/>
        <v>0</v>
      </c>
      <c r="M13" s="762">
        <f t="shared" si="11"/>
        <v>43961</v>
      </c>
      <c r="N13" s="726"/>
      <c r="O13" s="726">
        <f t="shared" si="5"/>
        <v>7907</v>
      </c>
      <c r="P13" s="730">
        <f>'Water-Meter'!J15</f>
        <v>7908</v>
      </c>
      <c r="Q13" s="758">
        <f t="shared" si="6"/>
        <v>1</v>
      </c>
      <c r="R13" s="784">
        <f t="shared" si="7"/>
        <v>6.1919504643962852E-4</v>
      </c>
      <c r="S13" s="785">
        <f>Gen!T20</f>
        <v>652.33000000000004</v>
      </c>
      <c r="T13" s="769">
        <f t="shared" si="12"/>
        <v>43961</v>
      </c>
      <c r="U13" s="726"/>
      <c r="V13" s="732">
        <f t="shared" si="8"/>
        <v>7805.1</v>
      </c>
      <c r="W13" s="728">
        <v>7805.1</v>
      </c>
      <c r="X13" s="772">
        <f t="shared" si="0"/>
        <v>0</v>
      </c>
      <c r="Y13" s="762">
        <f t="shared" si="13"/>
        <v>43961</v>
      </c>
      <c r="Z13" s="726"/>
      <c r="AA13" s="726">
        <f t="shared" si="14"/>
        <v>20137</v>
      </c>
      <c r="AB13" s="730">
        <f>'Water-Meter'!P15</f>
        <v>20137</v>
      </c>
      <c r="AC13" s="763">
        <f t="shared" si="9"/>
        <v>0</v>
      </c>
    </row>
    <row r="14" spans="1:29" ht="18.75">
      <c r="A14" s="743">
        <f>Gen!C21</f>
        <v>0</v>
      </c>
      <c r="B14" s="751">
        <f>Gen!B21</f>
        <v>43962</v>
      </c>
      <c r="C14" s="726"/>
      <c r="D14" s="732">
        <f t="shared" si="1"/>
        <v>8674.9</v>
      </c>
      <c r="E14" s="727">
        <v>8675.7999999999993</v>
      </c>
      <c r="F14" s="732">
        <f t="shared" si="2"/>
        <v>107.99999999995634</v>
      </c>
      <c r="G14" s="726"/>
      <c r="H14" s="752">
        <f t="shared" si="10"/>
        <v>43962</v>
      </c>
      <c r="I14" s="744"/>
      <c r="J14" s="726">
        <f t="shared" si="3"/>
        <v>38000</v>
      </c>
      <c r="K14" s="731">
        <f>'Water-Meter'!G16</f>
        <v>38000</v>
      </c>
      <c r="L14" s="758">
        <f t="shared" si="4"/>
        <v>0</v>
      </c>
      <c r="M14" s="762">
        <f t="shared" si="11"/>
        <v>43962</v>
      </c>
      <c r="N14" s="726"/>
      <c r="O14" s="726">
        <f t="shared" si="5"/>
        <v>7908</v>
      </c>
      <c r="P14" s="730">
        <f>'Water-Meter'!J16</f>
        <v>7908</v>
      </c>
      <c r="Q14" s="758">
        <f t="shared" si="6"/>
        <v>0</v>
      </c>
      <c r="R14" s="784">
        <f t="shared" si="7"/>
        <v>0</v>
      </c>
      <c r="S14" s="785">
        <f>Gen!T21</f>
        <v>675.39</v>
      </c>
      <c r="T14" s="769">
        <f t="shared" si="12"/>
        <v>43962</v>
      </c>
      <c r="U14" s="726"/>
      <c r="V14" s="732">
        <f t="shared" si="8"/>
        <v>7805.1</v>
      </c>
      <c r="W14" s="728">
        <v>7805.1</v>
      </c>
      <c r="X14" s="772">
        <f t="shared" si="0"/>
        <v>0</v>
      </c>
      <c r="Y14" s="762">
        <f t="shared" si="13"/>
        <v>43962</v>
      </c>
      <c r="Z14" s="726"/>
      <c r="AA14" s="726">
        <f t="shared" si="14"/>
        <v>20137</v>
      </c>
      <c r="AB14" s="730">
        <f>'Water-Meter'!P16</f>
        <v>20137</v>
      </c>
      <c r="AC14" s="763">
        <f t="shared" si="9"/>
        <v>0</v>
      </c>
    </row>
    <row r="15" spans="1:29" ht="18.75">
      <c r="A15" s="743">
        <f>Gen!C22</f>
        <v>0</v>
      </c>
      <c r="B15" s="751">
        <f>Gen!B22</f>
        <v>43963</v>
      </c>
      <c r="C15" s="726"/>
      <c r="D15" s="732">
        <f t="shared" si="1"/>
        <v>8675.7999999999993</v>
      </c>
      <c r="E15" s="727">
        <v>8676.6</v>
      </c>
      <c r="F15" s="732">
        <f t="shared" si="2"/>
        <v>96.000000000130967</v>
      </c>
      <c r="G15" s="726"/>
      <c r="H15" s="752">
        <f t="shared" si="10"/>
        <v>43963</v>
      </c>
      <c r="I15" s="744"/>
      <c r="J15" s="726">
        <f t="shared" si="3"/>
        <v>38000</v>
      </c>
      <c r="K15" s="731">
        <f>'Water-Meter'!G17</f>
        <v>38000</v>
      </c>
      <c r="L15" s="758">
        <f t="shared" si="4"/>
        <v>0</v>
      </c>
      <c r="M15" s="762">
        <f t="shared" si="11"/>
        <v>43963</v>
      </c>
      <c r="N15" s="726"/>
      <c r="O15" s="726">
        <f t="shared" si="5"/>
        <v>7908</v>
      </c>
      <c r="P15" s="730">
        <f>'Water-Meter'!J17</f>
        <v>7908</v>
      </c>
      <c r="Q15" s="758">
        <f t="shared" si="6"/>
        <v>0</v>
      </c>
      <c r="R15" s="784">
        <f t="shared" si="7"/>
        <v>0</v>
      </c>
      <c r="S15" s="785">
        <f>Gen!T22</f>
        <v>719.01</v>
      </c>
      <c r="T15" s="769">
        <f t="shared" si="12"/>
        <v>43963</v>
      </c>
      <c r="U15" s="726"/>
      <c r="V15" s="732">
        <f t="shared" si="8"/>
        <v>7805.1</v>
      </c>
      <c r="W15" s="728">
        <v>7805.2</v>
      </c>
      <c r="X15" s="772">
        <f t="shared" si="0"/>
        <v>19.999999999890861</v>
      </c>
      <c r="Y15" s="762">
        <f t="shared" si="13"/>
        <v>43963</v>
      </c>
      <c r="Z15" s="726"/>
      <c r="AA15" s="726">
        <f t="shared" si="14"/>
        <v>20137</v>
      </c>
      <c r="AB15" s="730">
        <f>'Water-Meter'!P17</f>
        <v>20138</v>
      </c>
      <c r="AC15" s="763">
        <f t="shared" si="9"/>
        <v>1</v>
      </c>
    </row>
    <row r="16" spans="1:29" ht="18.75">
      <c r="A16" s="743">
        <f>Gen!C23</f>
        <v>0</v>
      </c>
      <c r="B16" s="751">
        <f>Gen!B23</f>
        <v>43964</v>
      </c>
      <c r="C16" s="726"/>
      <c r="D16" s="732">
        <f t="shared" si="1"/>
        <v>8676.6</v>
      </c>
      <c r="E16" s="727">
        <v>8677.5</v>
      </c>
      <c r="F16" s="732">
        <f>SUM(E16-D16)*120</f>
        <v>107.99999999995634</v>
      </c>
      <c r="G16" s="726"/>
      <c r="H16" s="752">
        <f t="shared" si="10"/>
        <v>43964</v>
      </c>
      <c r="I16" s="744"/>
      <c r="J16" s="726">
        <f t="shared" si="3"/>
        <v>38000</v>
      </c>
      <c r="K16" s="731">
        <f>'Water-Meter'!G18</f>
        <v>38000</v>
      </c>
      <c r="L16" s="758">
        <f t="shared" si="4"/>
        <v>0</v>
      </c>
      <c r="M16" s="762">
        <f t="shared" si="11"/>
        <v>43964</v>
      </c>
      <c r="N16" s="726"/>
      <c r="O16" s="726">
        <f t="shared" si="5"/>
        <v>7908</v>
      </c>
      <c r="P16" s="730">
        <f>'Water-Meter'!J18</f>
        <v>7909</v>
      </c>
      <c r="Q16" s="758">
        <f t="shared" si="6"/>
        <v>1</v>
      </c>
      <c r="R16" s="784">
        <f t="shared" si="7"/>
        <v>6.1919504643962852E-4</v>
      </c>
      <c r="S16" s="785">
        <f>Gen!T23</f>
        <v>656.19</v>
      </c>
      <c r="T16" s="769">
        <f t="shared" si="12"/>
        <v>43964</v>
      </c>
      <c r="U16" s="726"/>
      <c r="V16" s="732">
        <f t="shared" si="8"/>
        <v>7805.2</v>
      </c>
      <c r="W16" s="728">
        <v>7805.2</v>
      </c>
      <c r="X16" s="772">
        <f t="shared" si="0"/>
        <v>0</v>
      </c>
      <c r="Y16" s="762">
        <f t="shared" si="13"/>
        <v>43964</v>
      </c>
      <c r="Z16" s="726"/>
      <c r="AA16" s="726">
        <f t="shared" si="14"/>
        <v>20138</v>
      </c>
      <c r="AB16" s="730">
        <f>'Water-Meter'!P18</f>
        <v>20138</v>
      </c>
      <c r="AC16" s="763">
        <f t="shared" si="9"/>
        <v>0</v>
      </c>
    </row>
    <row r="17" spans="1:29" ht="18.75">
      <c r="A17" s="743">
        <f>Gen!C24</f>
        <v>0</v>
      </c>
      <c r="B17" s="751">
        <f>Gen!B24</f>
        <v>43965</v>
      </c>
      <c r="C17" s="726"/>
      <c r="D17" s="732">
        <f t="shared" si="1"/>
        <v>8677.5</v>
      </c>
      <c r="E17" s="727">
        <v>8678.4</v>
      </c>
      <c r="F17" s="732">
        <f>SUM(E17-D17)*120</f>
        <v>107.99999999995634</v>
      </c>
      <c r="G17" s="726"/>
      <c r="H17" s="752">
        <f t="shared" si="10"/>
        <v>43965</v>
      </c>
      <c r="I17" s="744"/>
      <c r="J17" s="726">
        <f t="shared" si="3"/>
        <v>38000</v>
      </c>
      <c r="K17" s="731">
        <f>'Water-Meter'!G19</f>
        <v>38000</v>
      </c>
      <c r="L17" s="758">
        <f t="shared" si="4"/>
        <v>0</v>
      </c>
      <c r="M17" s="762">
        <f t="shared" si="11"/>
        <v>43965</v>
      </c>
      <c r="N17" s="726"/>
      <c r="O17" s="726">
        <f t="shared" si="5"/>
        <v>7909</v>
      </c>
      <c r="P17" s="730">
        <f>'Water-Meter'!J19</f>
        <v>7910</v>
      </c>
      <c r="Q17" s="758">
        <f t="shared" si="6"/>
        <v>1</v>
      </c>
      <c r="R17" s="784">
        <f t="shared" si="7"/>
        <v>6.1919504643962852E-4</v>
      </c>
      <c r="S17" s="785">
        <f>Gen!T24</f>
        <v>633.07999999999993</v>
      </c>
      <c r="T17" s="769">
        <f t="shared" si="12"/>
        <v>43965</v>
      </c>
      <c r="U17" s="726"/>
      <c r="V17" s="732">
        <f t="shared" si="8"/>
        <v>7805.2</v>
      </c>
      <c r="W17" s="728">
        <v>7805.2</v>
      </c>
      <c r="X17" s="772">
        <f t="shared" si="0"/>
        <v>0</v>
      </c>
      <c r="Y17" s="762">
        <f t="shared" si="13"/>
        <v>43965</v>
      </c>
      <c r="Z17" s="726"/>
      <c r="AA17" s="726">
        <f t="shared" si="14"/>
        <v>20138</v>
      </c>
      <c r="AB17" s="730">
        <f>'Water-Meter'!P19</f>
        <v>20138</v>
      </c>
      <c r="AC17" s="763">
        <f t="shared" si="9"/>
        <v>0</v>
      </c>
    </row>
    <row r="18" spans="1:29" ht="18.75">
      <c r="A18" s="743">
        <f>Gen!C25</f>
        <v>0</v>
      </c>
      <c r="B18" s="751">
        <f>Gen!B25</f>
        <v>43966</v>
      </c>
      <c r="C18" s="726"/>
      <c r="D18" s="732">
        <f t="shared" si="1"/>
        <v>8678.4</v>
      </c>
      <c r="E18" s="727">
        <v>8679.4</v>
      </c>
      <c r="F18" s="732">
        <f t="shared" ref="F18:F22" si="15">SUM(E18-D18)*120</f>
        <v>120</v>
      </c>
      <c r="G18" s="726"/>
      <c r="H18" s="752">
        <f t="shared" si="10"/>
        <v>43966</v>
      </c>
      <c r="I18" s="744"/>
      <c r="J18" s="726">
        <f t="shared" si="3"/>
        <v>38000</v>
      </c>
      <c r="K18" s="731">
        <f>'Water-Meter'!G20</f>
        <v>38000</v>
      </c>
      <c r="L18" s="758">
        <f t="shared" si="4"/>
        <v>0</v>
      </c>
      <c r="M18" s="762">
        <f t="shared" si="11"/>
        <v>43966</v>
      </c>
      <c r="N18" s="726"/>
      <c r="O18" s="726">
        <f t="shared" si="5"/>
        <v>7910</v>
      </c>
      <c r="P18" s="730">
        <f>'Water-Meter'!J20</f>
        <v>7912</v>
      </c>
      <c r="Q18" s="758">
        <f t="shared" si="6"/>
        <v>2</v>
      </c>
      <c r="R18" s="784">
        <f t="shared" si="7"/>
        <v>1.238390092879257E-3</v>
      </c>
      <c r="S18" s="785">
        <f>Gen!T25</f>
        <v>603.86</v>
      </c>
      <c r="T18" s="769">
        <f t="shared" si="12"/>
        <v>43966</v>
      </c>
      <c r="U18" s="726"/>
      <c r="V18" s="732">
        <f t="shared" si="8"/>
        <v>7805.2</v>
      </c>
      <c r="W18" s="728">
        <v>7805.3</v>
      </c>
      <c r="X18" s="772">
        <f t="shared" si="0"/>
        <v>20.00000000007276</v>
      </c>
      <c r="Y18" s="762">
        <f t="shared" si="13"/>
        <v>43966</v>
      </c>
      <c r="Z18" s="726"/>
      <c r="AA18" s="726">
        <f t="shared" si="14"/>
        <v>20138</v>
      </c>
      <c r="AB18" s="730">
        <f>'Water-Meter'!P20</f>
        <v>20139</v>
      </c>
      <c r="AC18" s="763">
        <f>SUM(AB18-AA18)</f>
        <v>1</v>
      </c>
    </row>
    <row r="19" spans="1:29" ht="18.75">
      <c r="A19" s="743">
        <f>Gen!C26</f>
        <v>0</v>
      </c>
      <c r="B19" s="751">
        <f>Gen!B26</f>
        <v>43967</v>
      </c>
      <c r="C19" s="729"/>
      <c r="D19" s="732">
        <f t="shared" si="1"/>
        <v>8679.4</v>
      </c>
      <c r="E19" s="727">
        <v>8680.2000000000007</v>
      </c>
      <c r="F19" s="732">
        <f t="shared" si="15"/>
        <v>96.000000000130967</v>
      </c>
      <c r="G19" s="726"/>
      <c r="H19" s="752">
        <f t="shared" si="10"/>
        <v>43967</v>
      </c>
      <c r="I19" s="745"/>
      <c r="J19" s="726">
        <f t="shared" si="3"/>
        <v>38000</v>
      </c>
      <c r="K19" s="731">
        <f>'Water-Meter'!G21</f>
        <v>38000</v>
      </c>
      <c r="L19" s="758">
        <f t="shared" si="4"/>
        <v>0</v>
      </c>
      <c r="M19" s="762">
        <f t="shared" si="11"/>
        <v>43967</v>
      </c>
      <c r="N19" s="729"/>
      <c r="O19" s="726">
        <f t="shared" si="5"/>
        <v>7912</v>
      </c>
      <c r="P19" s="730">
        <f>'Water-Meter'!J21</f>
        <v>7912</v>
      </c>
      <c r="Q19" s="758">
        <f t="shared" si="6"/>
        <v>0</v>
      </c>
      <c r="R19" s="784">
        <f t="shared" si="7"/>
        <v>0</v>
      </c>
      <c r="S19" s="785">
        <f>Gen!T26</f>
        <v>635.49</v>
      </c>
      <c r="T19" s="769">
        <f t="shared" si="12"/>
        <v>43967</v>
      </c>
      <c r="U19" s="729"/>
      <c r="V19" s="732">
        <f t="shared" si="8"/>
        <v>7805.3</v>
      </c>
      <c r="W19" s="728">
        <v>7805.4</v>
      </c>
      <c r="X19" s="772">
        <f t="shared" si="0"/>
        <v>19.999999999890861</v>
      </c>
      <c r="Y19" s="762">
        <f t="shared" si="13"/>
        <v>43967</v>
      </c>
      <c r="Z19" s="729"/>
      <c r="AA19" s="726">
        <f t="shared" si="14"/>
        <v>20139</v>
      </c>
      <c r="AB19" s="730">
        <f>'Water-Meter'!P21</f>
        <v>20140</v>
      </c>
      <c r="AC19" s="763">
        <f t="shared" si="9"/>
        <v>1</v>
      </c>
    </row>
    <row r="20" spans="1:29" ht="18.75">
      <c r="A20" s="743">
        <f>Gen!C27</f>
        <v>0</v>
      </c>
      <c r="B20" s="751">
        <f>Gen!B27</f>
        <v>43968</v>
      </c>
      <c r="C20" s="729"/>
      <c r="D20" s="732">
        <f t="shared" si="1"/>
        <v>8680.2000000000007</v>
      </c>
      <c r="E20" s="727"/>
      <c r="F20" s="732">
        <f t="shared" si="15"/>
        <v>-1041624.0000000001</v>
      </c>
      <c r="G20" s="726"/>
      <c r="H20" s="752">
        <f t="shared" si="10"/>
        <v>43968</v>
      </c>
      <c r="I20" s="745"/>
      <c r="J20" s="726">
        <f t="shared" si="3"/>
        <v>38000</v>
      </c>
      <c r="K20" s="731">
        <f>'Water-Meter'!G22</f>
        <v>0</v>
      </c>
      <c r="L20" s="758">
        <f t="shared" si="4"/>
        <v>-38000</v>
      </c>
      <c r="M20" s="762">
        <f t="shared" si="11"/>
        <v>43968</v>
      </c>
      <c r="N20" s="729"/>
      <c r="O20" s="726">
        <f t="shared" si="5"/>
        <v>7912</v>
      </c>
      <c r="P20" s="730">
        <f>'Water-Meter'!J22</f>
        <v>0</v>
      </c>
      <c r="Q20" s="758">
        <f t="shared" si="6"/>
        <v>-7912</v>
      </c>
      <c r="R20" s="784">
        <f t="shared" si="7"/>
        <v>-4.8990712074303406</v>
      </c>
      <c r="S20" s="785">
        <f>Gen!T27</f>
        <v>0</v>
      </c>
      <c r="T20" s="769">
        <f t="shared" si="12"/>
        <v>43968</v>
      </c>
      <c r="U20" s="729"/>
      <c r="V20" s="732">
        <f t="shared" si="8"/>
        <v>7805.4</v>
      </c>
      <c r="W20" s="728"/>
      <c r="X20" s="772">
        <f t="shared" si="0"/>
        <v>-1561080</v>
      </c>
      <c r="Y20" s="762">
        <f t="shared" si="13"/>
        <v>43968</v>
      </c>
      <c r="Z20" s="729"/>
      <c r="AA20" s="726">
        <f t="shared" si="14"/>
        <v>20140</v>
      </c>
      <c r="AB20" s="730">
        <f>'Water-Meter'!P22</f>
        <v>0</v>
      </c>
      <c r="AC20" s="763">
        <f t="shared" si="9"/>
        <v>-20140</v>
      </c>
    </row>
    <row r="21" spans="1:29" ht="18.75">
      <c r="A21" s="743">
        <f>Gen!C28</f>
        <v>0</v>
      </c>
      <c r="B21" s="751">
        <f>Gen!B28</f>
        <v>43969</v>
      </c>
      <c r="C21" s="729"/>
      <c r="D21" s="732">
        <f t="shared" si="1"/>
        <v>0</v>
      </c>
      <c r="E21" s="727"/>
      <c r="F21" s="732">
        <f t="shared" si="15"/>
        <v>0</v>
      </c>
      <c r="G21" s="726"/>
      <c r="H21" s="752">
        <f t="shared" si="10"/>
        <v>43969</v>
      </c>
      <c r="I21" s="745"/>
      <c r="J21" s="726">
        <f t="shared" si="3"/>
        <v>0</v>
      </c>
      <c r="K21" s="731">
        <f>'Water-Meter'!G23</f>
        <v>0</v>
      </c>
      <c r="L21" s="758">
        <f t="shared" si="4"/>
        <v>0</v>
      </c>
      <c r="M21" s="762">
        <f t="shared" si="11"/>
        <v>43969</v>
      </c>
      <c r="N21" s="729"/>
      <c r="O21" s="726">
        <f t="shared" si="5"/>
        <v>0</v>
      </c>
      <c r="P21" s="730">
        <f>'Water-Meter'!J23</f>
        <v>0</v>
      </c>
      <c r="Q21" s="758">
        <f t="shared" si="6"/>
        <v>0</v>
      </c>
      <c r="R21" s="784">
        <f t="shared" ref="R21:R35" si="16">SUM(Q21/1615)</f>
        <v>0</v>
      </c>
      <c r="S21" s="785">
        <f>Gen!T28</f>
        <v>0</v>
      </c>
      <c r="T21" s="769">
        <f t="shared" si="12"/>
        <v>43969</v>
      </c>
      <c r="U21" s="729"/>
      <c r="V21" s="732">
        <f t="shared" si="8"/>
        <v>0</v>
      </c>
      <c r="W21" s="728"/>
      <c r="X21" s="772">
        <f t="shared" si="0"/>
        <v>0</v>
      </c>
      <c r="Y21" s="762">
        <f t="shared" si="13"/>
        <v>43969</v>
      </c>
      <c r="Z21" s="729"/>
      <c r="AA21" s="726">
        <f t="shared" si="14"/>
        <v>0</v>
      </c>
      <c r="AB21" s="730">
        <f>'Water-Meter'!P23</f>
        <v>0</v>
      </c>
      <c r="AC21" s="763">
        <f t="shared" si="9"/>
        <v>0</v>
      </c>
    </row>
    <row r="22" spans="1:29" ht="18.75">
      <c r="A22" s="743">
        <f>Gen!C29</f>
        <v>0</v>
      </c>
      <c r="B22" s="751">
        <f>Gen!B29</f>
        <v>43970</v>
      </c>
      <c r="C22" s="726"/>
      <c r="D22" s="732">
        <f t="shared" si="1"/>
        <v>0</v>
      </c>
      <c r="E22" s="727"/>
      <c r="F22" s="732">
        <f t="shared" si="15"/>
        <v>0</v>
      </c>
      <c r="G22" s="726"/>
      <c r="H22" s="752">
        <f t="shared" si="10"/>
        <v>43970</v>
      </c>
      <c r="I22" s="744"/>
      <c r="J22" s="726">
        <f t="shared" si="3"/>
        <v>0</v>
      </c>
      <c r="K22" s="731">
        <f>'Water-Meter'!G24</f>
        <v>0</v>
      </c>
      <c r="L22" s="758">
        <f t="shared" si="4"/>
        <v>0</v>
      </c>
      <c r="M22" s="762">
        <f t="shared" si="11"/>
        <v>43970</v>
      </c>
      <c r="N22" s="726"/>
      <c r="O22" s="726">
        <f t="shared" si="5"/>
        <v>0</v>
      </c>
      <c r="P22" s="730">
        <f>'Water-Meter'!J24</f>
        <v>0</v>
      </c>
      <c r="Q22" s="758">
        <f t="shared" si="6"/>
        <v>0</v>
      </c>
      <c r="R22" s="784">
        <f t="shared" si="16"/>
        <v>0</v>
      </c>
      <c r="S22" s="785">
        <f>Gen!T29</f>
        <v>0</v>
      </c>
      <c r="T22" s="769">
        <f t="shared" si="12"/>
        <v>43970</v>
      </c>
      <c r="U22" s="726"/>
      <c r="V22" s="732">
        <f t="shared" si="8"/>
        <v>0</v>
      </c>
      <c r="W22" s="728"/>
      <c r="X22" s="772">
        <f t="shared" si="0"/>
        <v>0</v>
      </c>
      <c r="Y22" s="762">
        <f t="shared" si="13"/>
        <v>43970</v>
      </c>
      <c r="Z22" s="726"/>
      <c r="AA22" s="726">
        <f t="shared" si="14"/>
        <v>0</v>
      </c>
      <c r="AB22" s="730">
        <f>'Water-Meter'!P24</f>
        <v>0</v>
      </c>
      <c r="AC22" s="763">
        <f t="shared" si="9"/>
        <v>0</v>
      </c>
    </row>
    <row r="23" spans="1:29" ht="18.75">
      <c r="A23" s="743">
        <f>Gen!C30</f>
        <v>0</v>
      </c>
      <c r="B23" s="751">
        <f>Gen!B30</f>
        <v>43971</v>
      </c>
      <c r="C23" s="729"/>
      <c r="D23" s="732">
        <f t="shared" si="1"/>
        <v>0</v>
      </c>
      <c r="E23" s="727"/>
      <c r="F23" s="732">
        <f t="shared" ref="F23:F34" si="17">SUM(E23-D23)*120</f>
        <v>0</v>
      </c>
      <c r="G23" s="726"/>
      <c r="H23" s="752">
        <f t="shared" si="10"/>
        <v>43971</v>
      </c>
      <c r="I23" s="745"/>
      <c r="J23" s="726">
        <f t="shared" si="3"/>
        <v>0</v>
      </c>
      <c r="K23" s="731">
        <f>'Water-Meter'!G25</f>
        <v>0</v>
      </c>
      <c r="L23" s="758">
        <f t="shared" si="4"/>
        <v>0</v>
      </c>
      <c r="M23" s="762">
        <f t="shared" si="11"/>
        <v>43971</v>
      </c>
      <c r="N23" s="729"/>
      <c r="O23" s="726">
        <f t="shared" si="5"/>
        <v>0</v>
      </c>
      <c r="P23" s="730">
        <f>'Water-Meter'!J25</f>
        <v>0</v>
      </c>
      <c r="Q23" s="758">
        <f t="shared" si="6"/>
        <v>0</v>
      </c>
      <c r="R23" s="784">
        <f t="shared" si="16"/>
        <v>0</v>
      </c>
      <c r="S23" s="785">
        <f>Gen!T30</f>
        <v>0</v>
      </c>
      <c r="T23" s="769">
        <f t="shared" si="12"/>
        <v>43971</v>
      </c>
      <c r="U23" s="729"/>
      <c r="V23" s="732">
        <f t="shared" si="8"/>
        <v>0</v>
      </c>
      <c r="W23" s="728"/>
      <c r="X23" s="772">
        <f t="shared" si="0"/>
        <v>0</v>
      </c>
      <c r="Y23" s="762">
        <f t="shared" si="13"/>
        <v>43971</v>
      </c>
      <c r="Z23" s="729"/>
      <c r="AA23" s="726">
        <f t="shared" si="14"/>
        <v>0</v>
      </c>
      <c r="AB23" s="730">
        <f>'Water-Meter'!P25</f>
        <v>0</v>
      </c>
      <c r="AC23" s="763">
        <f t="shared" si="9"/>
        <v>0</v>
      </c>
    </row>
    <row r="24" spans="1:29" ht="18.75">
      <c r="A24" s="743">
        <f>Gen!C31</f>
        <v>0</v>
      </c>
      <c r="B24" s="751">
        <f>Gen!B31</f>
        <v>43972</v>
      </c>
      <c r="C24" s="729"/>
      <c r="D24" s="732">
        <f t="shared" ref="D24:D35" si="18">SUM(E23)</f>
        <v>0</v>
      </c>
      <c r="E24" s="727"/>
      <c r="F24" s="732">
        <f t="shared" si="17"/>
        <v>0</v>
      </c>
      <c r="G24" s="726"/>
      <c r="H24" s="752">
        <f t="shared" si="10"/>
        <v>43972</v>
      </c>
      <c r="I24" s="745"/>
      <c r="J24" s="726">
        <f t="shared" si="3"/>
        <v>0</v>
      </c>
      <c r="K24" s="731">
        <f>'Water-Meter'!G26</f>
        <v>0</v>
      </c>
      <c r="L24" s="758">
        <f t="shared" si="4"/>
        <v>0</v>
      </c>
      <c r="M24" s="762">
        <f t="shared" si="11"/>
        <v>43972</v>
      </c>
      <c r="N24" s="729"/>
      <c r="O24" s="726">
        <f t="shared" si="5"/>
        <v>0</v>
      </c>
      <c r="P24" s="730">
        <f>'Water-Meter'!J26</f>
        <v>0</v>
      </c>
      <c r="Q24" s="758">
        <f t="shared" si="6"/>
        <v>0</v>
      </c>
      <c r="R24" s="784">
        <f t="shared" si="16"/>
        <v>0</v>
      </c>
      <c r="S24" s="785">
        <f>Gen!T31</f>
        <v>0</v>
      </c>
      <c r="T24" s="769">
        <v>5835.7</v>
      </c>
      <c r="U24" s="729"/>
      <c r="V24" s="732">
        <f t="shared" si="8"/>
        <v>0</v>
      </c>
      <c r="W24" s="728"/>
      <c r="X24" s="772">
        <f t="shared" si="0"/>
        <v>0</v>
      </c>
      <c r="Y24" s="762">
        <f t="shared" si="13"/>
        <v>5835.7</v>
      </c>
      <c r="Z24" s="729"/>
      <c r="AA24" s="726">
        <f t="shared" si="14"/>
        <v>0</v>
      </c>
      <c r="AB24" s="730">
        <f>'Water-Meter'!P26</f>
        <v>0</v>
      </c>
      <c r="AC24" s="763">
        <f t="shared" si="9"/>
        <v>0</v>
      </c>
    </row>
    <row r="25" spans="1:29" ht="18.75">
      <c r="A25" s="743">
        <f>Gen!C32</f>
        <v>0</v>
      </c>
      <c r="B25" s="751">
        <f>Gen!B32</f>
        <v>43973</v>
      </c>
      <c r="C25" s="729"/>
      <c r="D25" s="732">
        <f t="shared" si="18"/>
        <v>0</v>
      </c>
      <c r="E25" s="727"/>
      <c r="F25" s="732">
        <f t="shared" si="17"/>
        <v>0</v>
      </c>
      <c r="G25" s="726"/>
      <c r="H25" s="752">
        <f t="shared" si="10"/>
        <v>43973</v>
      </c>
      <c r="I25" s="745"/>
      <c r="J25" s="726">
        <f t="shared" si="3"/>
        <v>0</v>
      </c>
      <c r="K25" s="731">
        <f>'Water-Meter'!G27</f>
        <v>0</v>
      </c>
      <c r="L25" s="758">
        <f t="shared" si="4"/>
        <v>0</v>
      </c>
      <c r="M25" s="762">
        <f t="shared" si="11"/>
        <v>43973</v>
      </c>
      <c r="N25" s="729"/>
      <c r="O25" s="726">
        <f t="shared" si="5"/>
        <v>0</v>
      </c>
      <c r="P25" s="730">
        <f>'Water-Meter'!J27</f>
        <v>0</v>
      </c>
      <c r="Q25" s="758">
        <f t="shared" si="6"/>
        <v>0</v>
      </c>
      <c r="R25" s="784">
        <f t="shared" si="16"/>
        <v>0</v>
      </c>
      <c r="S25" s="785">
        <f>Gen!T32</f>
        <v>0</v>
      </c>
      <c r="T25" s="769">
        <f t="shared" si="12"/>
        <v>43973</v>
      </c>
      <c r="U25" s="729"/>
      <c r="V25" s="732">
        <f t="shared" si="8"/>
        <v>0</v>
      </c>
      <c r="W25" s="728"/>
      <c r="X25" s="772">
        <f t="shared" si="0"/>
        <v>0</v>
      </c>
      <c r="Y25" s="762">
        <f t="shared" si="13"/>
        <v>43973</v>
      </c>
      <c r="Z25" s="729"/>
      <c r="AA25" s="726">
        <f t="shared" si="14"/>
        <v>0</v>
      </c>
      <c r="AB25" s="730">
        <f>'Water-Meter'!P27</f>
        <v>0</v>
      </c>
      <c r="AC25" s="763">
        <f t="shared" si="9"/>
        <v>0</v>
      </c>
    </row>
    <row r="26" spans="1:29" ht="18.75">
      <c r="A26" s="743">
        <f>Gen!C33</f>
        <v>0</v>
      </c>
      <c r="B26" s="751">
        <f>Gen!B33</f>
        <v>43974</v>
      </c>
      <c r="C26" s="729"/>
      <c r="D26" s="732">
        <f t="shared" si="18"/>
        <v>0</v>
      </c>
      <c r="E26" s="727"/>
      <c r="F26" s="732">
        <f t="shared" si="17"/>
        <v>0</v>
      </c>
      <c r="G26" s="726"/>
      <c r="H26" s="752">
        <f t="shared" si="10"/>
        <v>43974</v>
      </c>
      <c r="I26" s="745"/>
      <c r="J26" s="726">
        <f t="shared" si="3"/>
        <v>0</v>
      </c>
      <c r="K26" s="731">
        <f>'Water-Meter'!G28</f>
        <v>0</v>
      </c>
      <c r="L26" s="758">
        <f t="shared" si="4"/>
        <v>0</v>
      </c>
      <c r="M26" s="762">
        <f t="shared" si="11"/>
        <v>43974</v>
      </c>
      <c r="N26" s="729"/>
      <c r="O26" s="726">
        <f t="shared" si="5"/>
        <v>0</v>
      </c>
      <c r="P26" s="730">
        <f>'Water-Meter'!J28</f>
        <v>0</v>
      </c>
      <c r="Q26" s="758">
        <f t="shared" si="6"/>
        <v>0</v>
      </c>
      <c r="R26" s="784">
        <f t="shared" si="16"/>
        <v>0</v>
      </c>
      <c r="S26" s="785">
        <f>Gen!T33</f>
        <v>0</v>
      </c>
      <c r="T26" s="769">
        <f t="shared" si="12"/>
        <v>43974</v>
      </c>
      <c r="U26" s="729"/>
      <c r="V26" s="732">
        <f t="shared" si="8"/>
        <v>0</v>
      </c>
      <c r="W26" s="728"/>
      <c r="X26" s="772">
        <f t="shared" si="0"/>
        <v>0</v>
      </c>
      <c r="Y26" s="762">
        <f t="shared" si="13"/>
        <v>43974</v>
      </c>
      <c r="Z26" s="729"/>
      <c r="AA26" s="726">
        <f t="shared" si="14"/>
        <v>0</v>
      </c>
      <c r="AB26" s="730">
        <f>'Water-Meter'!P28</f>
        <v>0</v>
      </c>
      <c r="AC26" s="763">
        <f t="shared" si="9"/>
        <v>0</v>
      </c>
    </row>
    <row r="27" spans="1:29" ht="18.75">
      <c r="A27" s="743">
        <f>Gen!C34</f>
        <v>0</v>
      </c>
      <c r="B27" s="751">
        <f>Gen!B34</f>
        <v>43975</v>
      </c>
      <c r="C27" s="729"/>
      <c r="D27" s="732">
        <f t="shared" si="18"/>
        <v>0</v>
      </c>
      <c r="E27" s="727"/>
      <c r="F27" s="732">
        <f t="shared" si="17"/>
        <v>0</v>
      </c>
      <c r="G27" s="726"/>
      <c r="H27" s="752">
        <f t="shared" si="10"/>
        <v>43975</v>
      </c>
      <c r="I27" s="745"/>
      <c r="J27" s="726">
        <f t="shared" si="3"/>
        <v>0</v>
      </c>
      <c r="K27" s="731">
        <f>'Water-Meter'!G29</f>
        <v>0</v>
      </c>
      <c r="L27" s="758">
        <f t="shared" si="4"/>
        <v>0</v>
      </c>
      <c r="M27" s="762">
        <f t="shared" si="11"/>
        <v>43975</v>
      </c>
      <c r="N27" s="729"/>
      <c r="O27" s="726">
        <f t="shared" si="5"/>
        <v>0</v>
      </c>
      <c r="P27" s="730">
        <f>'Water-Meter'!J29</f>
        <v>0</v>
      </c>
      <c r="Q27" s="758">
        <f t="shared" si="6"/>
        <v>0</v>
      </c>
      <c r="R27" s="784">
        <f t="shared" si="16"/>
        <v>0</v>
      </c>
      <c r="S27" s="785">
        <f>Gen!T34</f>
        <v>0</v>
      </c>
      <c r="T27" s="769">
        <f t="shared" si="12"/>
        <v>43975</v>
      </c>
      <c r="U27" s="729"/>
      <c r="V27" s="732">
        <f t="shared" si="8"/>
        <v>0</v>
      </c>
      <c r="W27" s="728"/>
      <c r="X27" s="772">
        <f t="shared" si="0"/>
        <v>0</v>
      </c>
      <c r="Y27" s="762">
        <f t="shared" si="13"/>
        <v>43975</v>
      </c>
      <c r="Z27" s="729"/>
      <c r="AA27" s="726">
        <f t="shared" si="14"/>
        <v>0</v>
      </c>
      <c r="AB27" s="730">
        <f>'Water-Meter'!P29</f>
        <v>0</v>
      </c>
      <c r="AC27" s="763">
        <f t="shared" si="9"/>
        <v>0</v>
      </c>
    </row>
    <row r="28" spans="1:29" ht="18.75">
      <c r="A28" s="743">
        <f>Gen!C35</f>
        <v>0</v>
      </c>
      <c r="B28" s="751">
        <f>Gen!B35</f>
        <v>43976</v>
      </c>
      <c r="C28" s="729"/>
      <c r="D28" s="732">
        <f t="shared" si="18"/>
        <v>0</v>
      </c>
      <c r="E28" s="727"/>
      <c r="F28" s="732">
        <f t="shared" si="17"/>
        <v>0</v>
      </c>
      <c r="G28" s="726"/>
      <c r="H28" s="752">
        <f t="shared" si="10"/>
        <v>43976</v>
      </c>
      <c r="I28" s="745"/>
      <c r="J28" s="726">
        <f t="shared" si="3"/>
        <v>0</v>
      </c>
      <c r="K28" s="731">
        <f>'Water-Meter'!G30</f>
        <v>0</v>
      </c>
      <c r="L28" s="758">
        <f t="shared" si="4"/>
        <v>0</v>
      </c>
      <c r="M28" s="762">
        <f t="shared" si="11"/>
        <v>43976</v>
      </c>
      <c r="N28" s="729"/>
      <c r="O28" s="726">
        <f t="shared" si="5"/>
        <v>0</v>
      </c>
      <c r="P28" s="730">
        <f>'Water-Meter'!J30</f>
        <v>0</v>
      </c>
      <c r="Q28" s="758">
        <f t="shared" si="6"/>
        <v>0</v>
      </c>
      <c r="R28" s="784">
        <f t="shared" si="16"/>
        <v>0</v>
      </c>
      <c r="S28" s="785">
        <f>Gen!T35</f>
        <v>0</v>
      </c>
      <c r="T28" s="769">
        <f t="shared" si="12"/>
        <v>43976</v>
      </c>
      <c r="U28" s="729"/>
      <c r="V28" s="732">
        <f t="shared" si="8"/>
        <v>0</v>
      </c>
      <c r="W28" s="728"/>
      <c r="X28" s="772">
        <f t="shared" si="0"/>
        <v>0</v>
      </c>
      <c r="Y28" s="762">
        <f t="shared" si="13"/>
        <v>43976</v>
      </c>
      <c r="Z28" s="729"/>
      <c r="AA28" s="726">
        <f t="shared" si="14"/>
        <v>0</v>
      </c>
      <c r="AB28" s="730">
        <f>'Water-Meter'!P30</f>
        <v>0</v>
      </c>
      <c r="AC28" s="763">
        <f t="shared" si="9"/>
        <v>0</v>
      </c>
    </row>
    <row r="29" spans="1:29" ht="18.75">
      <c r="A29" s="743">
        <f>Gen!C36</f>
        <v>0</v>
      </c>
      <c r="B29" s="751">
        <f>Gen!B36</f>
        <v>43977</v>
      </c>
      <c r="C29" s="729"/>
      <c r="D29" s="732">
        <f t="shared" si="18"/>
        <v>0</v>
      </c>
      <c r="E29" s="727"/>
      <c r="F29" s="732">
        <f t="shared" si="17"/>
        <v>0</v>
      </c>
      <c r="G29" s="726"/>
      <c r="H29" s="752">
        <f t="shared" si="10"/>
        <v>43977</v>
      </c>
      <c r="I29" s="745"/>
      <c r="J29" s="726">
        <f t="shared" si="3"/>
        <v>0</v>
      </c>
      <c r="K29" s="731">
        <f>'Water-Meter'!G31</f>
        <v>0</v>
      </c>
      <c r="L29" s="758">
        <f t="shared" si="4"/>
        <v>0</v>
      </c>
      <c r="M29" s="762">
        <f t="shared" si="11"/>
        <v>43977</v>
      </c>
      <c r="N29" s="729"/>
      <c r="O29" s="726">
        <f t="shared" si="5"/>
        <v>0</v>
      </c>
      <c r="P29" s="730">
        <f>'Water-Meter'!J31</f>
        <v>0</v>
      </c>
      <c r="Q29" s="758">
        <f t="shared" si="6"/>
        <v>0</v>
      </c>
      <c r="R29" s="784">
        <f t="shared" si="16"/>
        <v>0</v>
      </c>
      <c r="S29" s="785">
        <f>Gen!T36</f>
        <v>0</v>
      </c>
      <c r="T29" s="769">
        <f t="shared" si="12"/>
        <v>43977</v>
      </c>
      <c r="U29" s="729"/>
      <c r="V29" s="732">
        <f t="shared" si="8"/>
        <v>0</v>
      </c>
      <c r="W29" s="728"/>
      <c r="X29" s="772">
        <f t="shared" si="0"/>
        <v>0</v>
      </c>
      <c r="Y29" s="762">
        <f t="shared" si="13"/>
        <v>43977</v>
      </c>
      <c r="Z29" s="729"/>
      <c r="AA29" s="726">
        <f t="shared" si="14"/>
        <v>0</v>
      </c>
      <c r="AB29" s="730">
        <f>'Water-Meter'!P31</f>
        <v>0</v>
      </c>
      <c r="AC29" s="763">
        <f t="shared" si="9"/>
        <v>0</v>
      </c>
    </row>
    <row r="30" spans="1:29" ht="18.75">
      <c r="A30" s="743">
        <f>Gen!C37</f>
        <v>0</v>
      </c>
      <c r="B30" s="751">
        <f>Gen!B37</f>
        <v>43978</v>
      </c>
      <c r="C30" s="729"/>
      <c r="D30" s="732">
        <f t="shared" si="18"/>
        <v>0</v>
      </c>
      <c r="E30" s="727"/>
      <c r="F30" s="732">
        <f t="shared" si="17"/>
        <v>0</v>
      </c>
      <c r="G30" s="726"/>
      <c r="H30" s="752">
        <f t="shared" si="10"/>
        <v>43978</v>
      </c>
      <c r="I30" s="745"/>
      <c r="J30" s="726">
        <f t="shared" si="3"/>
        <v>0</v>
      </c>
      <c r="K30" s="731">
        <f>'Water-Meter'!G32</f>
        <v>0</v>
      </c>
      <c r="L30" s="758">
        <f t="shared" si="4"/>
        <v>0</v>
      </c>
      <c r="M30" s="762">
        <f t="shared" si="11"/>
        <v>43978</v>
      </c>
      <c r="N30" s="729"/>
      <c r="O30" s="726">
        <f t="shared" si="5"/>
        <v>0</v>
      </c>
      <c r="P30" s="730">
        <f>'Water-Meter'!J32</f>
        <v>0</v>
      </c>
      <c r="Q30" s="758">
        <f t="shared" si="6"/>
        <v>0</v>
      </c>
      <c r="R30" s="784">
        <f t="shared" si="16"/>
        <v>0</v>
      </c>
      <c r="S30" s="785">
        <f>Gen!T37</f>
        <v>0</v>
      </c>
      <c r="T30" s="769">
        <f t="shared" si="12"/>
        <v>43978</v>
      </c>
      <c r="U30" s="729"/>
      <c r="V30" s="732">
        <f t="shared" si="8"/>
        <v>0</v>
      </c>
      <c r="W30" s="728"/>
      <c r="X30" s="772">
        <f t="shared" si="0"/>
        <v>0</v>
      </c>
      <c r="Y30" s="762">
        <f t="shared" si="13"/>
        <v>43978</v>
      </c>
      <c r="Z30" s="729"/>
      <c r="AA30" s="726">
        <f t="shared" si="14"/>
        <v>0</v>
      </c>
      <c r="AB30" s="730">
        <f>'Water-Meter'!P32</f>
        <v>0</v>
      </c>
      <c r="AC30" s="763">
        <f t="shared" si="9"/>
        <v>0</v>
      </c>
    </row>
    <row r="31" spans="1:29" ht="18.75">
      <c r="A31" s="743">
        <f>Gen!C38</f>
        <v>0</v>
      </c>
      <c r="B31" s="751">
        <f>Gen!B38</f>
        <v>43979</v>
      </c>
      <c r="C31" s="729"/>
      <c r="D31" s="732">
        <f t="shared" si="18"/>
        <v>0</v>
      </c>
      <c r="E31" s="727"/>
      <c r="F31" s="732">
        <f t="shared" si="17"/>
        <v>0</v>
      </c>
      <c r="G31" s="726"/>
      <c r="H31" s="752">
        <f t="shared" si="10"/>
        <v>43979</v>
      </c>
      <c r="I31" s="745"/>
      <c r="J31" s="726">
        <f t="shared" ref="J31:J35" si="19">SUM(K30)</f>
        <v>0</v>
      </c>
      <c r="K31" s="731">
        <f>'Water-Meter'!G33</f>
        <v>0</v>
      </c>
      <c r="L31" s="758">
        <f t="shared" si="4"/>
        <v>0</v>
      </c>
      <c r="M31" s="762">
        <f t="shared" si="11"/>
        <v>43979</v>
      </c>
      <c r="N31" s="729"/>
      <c r="O31" s="726">
        <f t="shared" si="5"/>
        <v>0</v>
      </c>
      <c r="P31" s="730">
        <f>'Water-Meter'!J33</f>
        <v>0</v>
      </c>
      <c r="Q31" s="758">
        <f t="shared" si="6"/>
        <v>0</v>
      </c>
      <c r="R31" s="784">
        <f t="shared" si="16"/>
        <v>0</v>
      </c>
      <c r="S31" s="785">
        <f>Gen!T38</f>
        <v>0</v>
      </c>
      <c r="T31" s="769">
        <f>M31</f>
        <v>43979</v>
      </c>
      <c r="U31" s="729"/>
      <c r="V31" s="732">
        <f t="shared" si="8"/>
        <v>0</v>
      </c>
      <c r="W31" s="728"/>
      <c r="X31" s="772">
        <f t="shared" si="0"/>
        <v>0</v>
      </c>
      <c r="Y31" s="762">
        <f>T31</f>
        <v>43979</v>
      </c>
      <c r="Z31" s="729"/>
      <c r="AA31" s="726">
        <f t="shared" si="14"/>
        <v>0</v>
      </c>
      <c r="AB31" s="730">
        <f>'Water-Meter'!P33</f>
        <v>0</v>
      </c>
      <c r="AC31" s="763">
        <f t="shared" si="9"/>
        <v>0</v>
      </c>
    </row>
    <row r="32" spans="1:29" ht="18.75">
      <c r="A32" s="743">
        <f>Gen!C39</f>
        <v>0</v>
      </c>
      <c r="B32" s="751">
        <f>Gen!B39</f>
        <v>43980</v>
      </c>
      <c r="C32" s="729"/>
      <c r="D32" s="732">
        <f t="shared" si="18"/>
        <v>0</v>
      </c>
      <c r="E32" s="727"/>
      <c r="F32" s="732">
        <f t="shared" si="17"/>
        <v>0</v>
      </c>
      <c r="G32" s="726"/>
      <c r="H32" s="752">
        <f t="shared" si="10"/>
        <v>43980</v>
      </c>
      <c r="I32" s="745"/>
      <c r="J32" s="726">
        <f t="shared" si="19"/>
        <v>0</v>
      </c>
      <c r="K32" s="731">
        <f>'Water-Meter'!G34</f>
        <v>0</v>
      </c>
      <c r="L32" s="758">
        <f t="shared" si="4"/>
        <v>0</v>
      </c>
      <c r="M32" s="762">
        <f t="shared" si="11"/>
        <v>43980</v>
      </c>
      <c r="N32" s="729"/>
      <c r="O32" s="726">
        <f t="shared" si="5"/>
        <v>0</v>
      </c>
      <c r="P32" s="730">
        <f>'Water-Meter'!J34</f>
        <v>0</v>
      </c>
      <c r="Q32" s="758">
        <f t="shared" si="6"/>
        <v>0</v>
      </c>
      <c r="R32" s="784">
        <f t="shared" si="16"/>
        <v>0</v>
      </c>
      <c r="S32" s="785">
        <f>Gen!T39</f>
        <v>0</v>
      </c>
      <c r="T32" s="769">
        <f t="shared" ref="T32:T35" si="20">M32</f>
        <v>43980</v>
      </c>
      <c r="U32" s="729"/>
      <c r="V32" s="732">
        <f t="shared" si="8"/>
        <v>0</v>
      </c>
      <c r="W32" s="728"/>
      <c r="X32" s="772">
        <f t="shared" si="0"/>
        <v>0</v>
      </c>
      <c r="Y32" s="762">
        <f t="shared" ref="Y32:Y35" si="21">T32</f>
        <v>43980</v>
      </c>
      <c r="Z32" s="729"/>
      <c r="AA32" s="726">
        <f t="shared" si="14"/>
        <v>0</v>
      </c>
      <c r="AB32" s="730">
        <f>'Water-Meter'!P34</f>
        <v>0</v>
      </c>
      <c r="AC32" s="763">
        <f t="shared" si="9"/>
        <v>0</v>
      </c>
    </row>
    <row r="33" spans="1:29" ht="18.75">
      <c r="A33" s="743">
        <f>Gen!C40</f>
        <v>0</v>
      </c>
      <c r="B33" s="751">
        <f>Gen!B40</f>
        <v>43981</v>
      </c>
      <c r="C33" s="729"/>
      <c r="D33" s="732">
        <f t="shared" si="18"/>
        <v>0</v>
      </c>
      <c r="E33" s="727"/>
      <c r="F33" s="732">
        <f t="shared" si="17"/>
        <v>0</v>
      </c>
      <c r="G33" s="726"/>
      <c r="H33" s="752">
        <f t="shared" si="10"/>
        <v>43981</v>
      </c>
      <c r="I33" s="745"/>
      <c r="J33" s="726">
        <f t="shared" si="19"/>
        <v>0</v>
      </c>
      <c r="K33" s="731">
        <f>'Water-Meter'!G35</f>
        <v>0</v>
      </c>
      <c r="L33" s="758">
        <f t="shared" si="4"/>
        <v>0</v>
      </c>
      <c r="M33" s="762">
        <f t="shared" si="11"/>
        <v>43981</v>
      </c>
      <c r="N33" s="729"/>
      <c r="O33" s="726">
        <f t="shared" si="5"/>
        <v>0</v>
      </c>
      <c r="P33" s="730">
        <f>'Water-Meter'!J35</f>
        <v>0</v>
      </c>
      <c r="Q33" s="758">
        <f t="shared" si="6"/>
        <v>0</v>
      </c>
      <c r="R33" s="784">
        <f t="shared" si="16"/>
        <v>0</v>
      </c>
      <c r="S33" s="785">
        <f>Gen!T40</f>
        <v>0</v>
      </c>
      <c r="T33" s="769">
        <f t="shared" si="20"/>
        <v>43981</v>
      </c>
      <c r="U33" s="729"/>
      <c r="V33" s="732">
        <f t="shared" si="8"/>
        <v>0</v>
      </c>
      <c r="W33" s="728"/>
      <c r="X33" s="772">
        <f t="shared" si="0"/>
        <v>0</v>
      </c>
      <c r="Y33" s="762">
        <f t="shared" si="21"/>
        <v>43981</v>
      </c>
      <c r="Z33" s="729"/>
      <c r="AA33" s="726">
        <f t="shared" si="14"/>
        <v>0</v>
      </c>
      <c r="AB33" s="730">
        <f>'Water-Meter'!P35</f>
        <v>0</v>
      </c>
      <c r="AC33" s="763">
        <f t="shared" si="9"/>
        <v>0</v>
      </c>
    </row>
    <row r="34" spans="1:29" ht="18.75">
      <c r="A34" s="743">
        <f>Gen!C41</f>
        <v>0</v>
      </c>
      <c r="B34" s="751">
        <f>Gen!B41</f>
        <v>43982</v>
      </c>
      <c r="C34" s="6"/>
      <c r="D34" s="732">
        <f t="shared" si="18"/>
        <v>0</v>
      </c>
      <c r="E34" s="727"/>
      <c r="F34" s="732">
        <f t="shared" si="17"/>
        <v>0</v>
      </c>
      <c r="G34" s="6"/>
      <c r="H34" s="752">
        <f t="shared" si="10"/>
        <v>43982</v>
      </c>
      <c r="I34" s="17"/>
      <c r="J34" s="726">
        <f t="shared" si="19"/>
        <v>0</v>
      </c>
      <c r="K34" s="731">
        <f>'Water-Meter'!G36</f>
        <v>0</v>
      </c>
      <c r="L34" s="758">
        <f t="shared" si="4"/>
        <v>0</v>
      </c>
      <c r="M34" s="762">
        <f t="shared" si="11"/>
        <v>43982</v>
      </c>
      <c r="N34" s="6"/>
      <c r="O34" s="726">
        <f t="shared" ref="O34:O35" si="22">SUM(P33)</f>
        <v>0</v>
      </c>
      <c r="P34" s="730">
        <f>'Water-Meter'!J36</f>
        <v>0</v>
      </c>
      <c r="Q34" s="758">
        <f t="shared" si="6"/>
        <v>0</v>
      </c>
      <c r="R34" s="784">
        <f t="shared" si="16"/>
        <v>0</v>
      </c>
      <c r="S34" s="785">
        <f>Gen!T41</f>
        <v>0</v>
      </c>
      <c r="T34" s="769">
        <f t="shared" si="20"/>
        <v>43982</v>
      </c>
      <c r="U34" s="6"/>
      <c r="V34" s="732">
        <f t="shared" ref="V34:V35" si="23">SUM(W33)</f>
        <v>0</v>
      </c>
      <c r="W34" s="728"/>
      <c r="X34" s="772">
        <f t="shared" si="0"/>
        <v>0</v>
      </c>
      <c r="Y34" s="762">
        <f t="shared" si="21"/>
        <v>43982</v>
      </c>
      <c r="Z34" s="6"/>
      <c r="AA34" s="726">
        <f t="shared" si="14"/>
        <v>0</v>
      </c>
      <c r="AB34" s="730">
        <f>'Water-Meter'!P36</f>
        <v>0</v>
      </c>
      <c r="AC34" s="763">
        <f t="shared" si="9"/>
        <v>0</v>
      </c>
    </row>
    <row r="35" spans="1:29" ht="20.25" customHeight="1" thickBot="1">
      <c r="A35" s="743" t="e">
        <f>[1]Gen!B42</f>
        <v>#REF!</v>
      </c>
      <c r="B35" s="753" t="e">
        <f>[1]Gen!A42</f>
        <v>#REF!</v>
      </c>
      <c r="C35" s="8"/>
      <c r="D35" s="754">
        <f t="shared" si="18"/>
        <v>0</v>
      </c>
      <c r="E35" s="755"/>
      <c r="F35" s="756">
        <f>SUM(F4:F6)</f>
        <v>312.00000000004366</v>
      </c>
      <c r="G35" s="8"/>
      <c r="H35" s="757" t="e">
        <f t="shared" si="10"/>
        <v>#REF!</v>
      </c>
      <c r="I35" s="83"/>
      <c r="J35" s="765">
        <f t="shared" si="19"/>
        <v>0</v>
      </c>
      <c r="K35" s="778">
        <f>'Water-Meter'!G37</f>
        <v>0</v>
      </c>
      <c r="L35" s="779">
        <f>SUM(L5:L34)</f>
        <v>-38000</v>
      </c>
      <c r="M35" s="764" t="e">
        <f t="shared" si="11"/>
        <v>#REF!</v>
      </c>
      <c r="N35" s="8"/>
      <c r="O35" s="765">
        <f t="shared" si="22"/>
        <v>0</v>
      </c>
      <c r="P35" s="766">
        <f>'Water-Meter'!J37</f>
        <v>0</v>
      </c>
      <c r="Q35" s="779">
        <f>SUM(Q5:Q34)</f>
        <v>-7904</v>
      </c>
      <c r="R35" s="786">
        <f t="shared" si="16"/>
        <v>-4.8941176470588239</v>
      </c>
      <c r="S35" s="787">
        <f>Gen!T42</f>
        <v>0</v>
      </c>
      <c r="T35" s="781" t="e">
        <f t="shared" si="20"/>
        <v>#REF!</v>
      </c>
      <c r="U35" s="8"/>
      <c r="V35" s="754">
        <f t="shared" si="23"/>
        <v>0</v>
      </c>
      <c r="W35" s="773"/>
      <c r="X35" s="774">
        <f t="shared" si="0"/>
        <v>0</v>
      </c>
      <c r="Y35" s="764" t="e">
        <f t="shared" si="21"/>
        <v>#REF!</v>
      </c>
      <c r="Z35" s="8"/>
      <c r="AA35" s="765">
        <f t="shared" si="14"/>
        <v>0</v>
      </c>
      <c r="AB35" s="766">
        <f>'Water-Meter'!P37</f>
        <v>0</v>
      </c>
      <c r="AC35" s="767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9" t="s">
        <v>316</v>
      </c>
      <c r="B2" s="820"/>
      <c r="C2" s="820"/>
      <c r="D2" s="820"/>
      <c r="E2" s="821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38768.69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637.52</v>
      </c>
      <c r="H13" s="87">
        <f>Gen!AK19</f>
        <v>0</v>
      </c>
      <c r="I13" s="87">
        <f t="shared" si="1"/>
        <v>637.52</v>
      </c>
      <c r="J13" s="533">
        <f>Gen!D19</f>
        <v>37995.760000000002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25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37333.660000000003</v>
      </c>
      <c r="K14" s="351">
        <f>'Water-Meter'!E15</f>
        <v>51</v>
      </c>
      <c r="L14" s="534">
        <f>'Lpg (2)'!G19</f>
        <v>45.143999999976955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24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36681.33</v>
      </c>
      <c r="K15" s="351">
        <f>'Water-Meter'!E16</f>
        <v>56</v>
      </c>
      <c r="L15" s="534">
        <f>'Lpg (2)'!G20</f>
        <v>38.896000000048666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24</v>
      </c>
      <c r="C16" s="89">
        <f>Gen!C22</f>
        <v>0</v>
      </c>
      <c r="D16" s="519">
        <f t="shared" si="0"/>
        <v>0</v>
      </c>
      <c r="E16" s="76"/>
      <c r="F16" s="72">
        <f>Gen!U20</f>
        <v>1451</v>
      </c>
      <c r="G16" s="87">
        <f>Gen!T20</f>
        <v>652.33000000000004</v>
      </c>
      <c r="H16" s="87">
        <f>Gen!AK22</f>
        <v>106.89</v>
      </c>
      <c r="I16" s="87">
        <f t="shared" si="1"/>
        <v>759.22</v>
      </c>
      <c r="J16" s="533">
        <f>Gen!D22</f>
        <v>46005.94</v>
      </c>
      <c r="K16" s="351">
        <f>'Water-Meter'!E17</f>
        <v>58</v>
      </c>
      <c r="L16" s="534">
        <f>'Lpg (2)'!G21</f>
        <v>27.01599999999744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11</v>
      </c>
      <c r="C17" s="89">
        <f>Gen!C23</f>
        <v>0</v>
      </c>
      <c r="D17" s="519">
        <f t="shared" si="0"/>
        <v>0</v>
      </c>
      <c r="E17" s="76"/>
      <c r="F17" s="72">
        <f>Gen!U21</f>
        <v>1449</v>
      </c>
      <c r="G17" s="87">
        <f>Gen!T21</f>
        <v>675.39</v>
      </c>
      <c r="H17" s="87">
        <f>Gen!AK23</f>
        <v>0</v>
      </c>
      <c r="I17" s="87">
        <f t="shared" si="1"/>
        <v>675.39</v>
      </c>
      <c r="J17" s="533">
        <f>Gen!D23</f>
        <v>45180.04</v>
      </c>
      <c r="K17" s="351">
        <f>'Water-Meter'!E18</f>
        <v>41</v>
      </c>
      <c r="L17" s="534">
        <f>'Lpg (2)'!G22</f>
        <v>29.21599999999744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38</v>
      </c>
      <c r="C18" s="89">
        <f>Gen!C24</f>
        <v>0</v>
      </c>
      <c r="D18" s="519">
        <f t="shared" si="0"/>
        <v>0</v>
      </c>
      <c r="E18" s="76"/>
      <c r="F18" s="72">
        <f>Gen!U22</f>
        <v>1623</v>
      </c>
      <c r="G18" s="87">
        <f>Gen!T22</f>
        <v>719.01</v>
      </c>
      <c r="H18" s="87">
        <f>Gen!AK24</f>
        <v>0</v>
      </c>
      <c r="I18" s="87">
        <f t="shared" si="1"/>
        <v>719.01</v>
      </c>
      <c r="J18" s="533">
        <f>Gen!D24</f>
        <v>44523.85</v>
      </c>
      <c r="K18" s="351">
        <f>'Water-Meter'!E19</f>
        <v>33</v>
      </c>
      <c r="L18" s="534">
        <f>'Lpg (2)'!G23</f>
        <v>37.179999999987196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23</v>
      </c>
      <c r="C19" s="89">
        <f>Gen!C25</f>
        <v>0</v>
      </c>
      <c r="D19" s="519">
        <f t="shared" si="0"/>
        <v>0</v>
      </c>
      <c r="E19" s="76"/>
      <c r="F19" s="72">
        <f>Gen!U23</f>
        <v>1552</v>
      </c>
      <c r="G19" s="87">
        <f>Gen!T23</f>
        <v>656.19</v>
      </c>
      <c r="H19" s="87">
        <f>Gen!AK25</f>
        <v>3.78</v>
      </c>
      <c r="I19" s="87">
        <f t="shared" si="1"/>
        <v>659.97</v>
      </c>
      <c r="J19" s="533">
        <f>Gen!D25</f>
        <v>43890.77</v>
      </c>
      <c r="K19" s="351">
        <f>'Water-Meter'!E20</f>
        <v>38</v>
      </c>
      <c r="L19" s="534">
        <f>'Lpg (2)'!G24</f>
        <v>22.175999999971829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26</v>
      </c>
      <c r="C20" s="89">
        <f>Gen!C26</f>
        <v>0</v>
      </c>
      <c r="D20" s="519">
        <f t="shared" si="0"/>
        <v>0</v>
      </c>
      <c r="E20" s="76"/>
      <c r="F20" s="72">
        <f>Gen!U24</f>
        <v>1480</v>
      </c>
      <c r="G20" s="87">
        <f>Gen!T24</f>
        <v>633.07999999999993</v>
      </c>
      <c r="H20" s="87">
        <f>Gen!AK26</f>
        <v>0</v>
      </c>
      <c r="I20" s="87">
        <f t="shared" si="1"/>
        <v>633.07999999999993</v>
      </c>
      <c r="J20" s="533">
        <f>Gen!D26</f>
        <v>43283.13</v>
      </c>
      <c r="K20" s="351">
        <f>'Water-Meter'!E21</f>
        <v>44</v>
      </c>
      <c r="L20" s="534">
        <f>'Lpg (2)'!G25</f>
        <v>34.847999999992318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-151011</v>
      </c>
      <c r="C21" s="89">
        <f>Gen!C27</f>
        <v>0</v>
      </c>
      <c r="D21" s="519">
        <f t="shared" si="0"/>
        <v>0</v>
      </c>
      <c r="E21" s="76"/>
      <c r="F21" s="72">
        <f>Gen!U25</f>
        <v>1322</v>
      </c>
      <c r="G21" s="87">
        <f>Gen!T25</f>
        <v>603.86</v>
      </c>
      <c r="H21" s="87">
        <f>Gen!AK27</f>
        <v>0</v>
      </c>
      <c r="I21" s="87">
        <f t="shared" si="1"/>
        <v>603.86</v>
      </c>
      <c r="J21" s="533">
        <f>Gen!D27</f>
        <v>42647.64</v>
      </c>
      <c r="K21" s="351" t="str">
        <f>'Water-Meter'!E22</f>
        <v>0</v>
      </c>
      <c r="L21" s="534">
        <f>'Lpg (2)'!G26</f>
        <v>-313606.87599999999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1674</v>
      </c>
      <c r="G22" s="87">
        <f>Gen!T26</f>
        <v>635.49</v>
      </c>
      <c r="H22" s="87">
        <f>Gen!AK28</f>
        <v>0</v>
      </c>
      <c r="I22" s="87">
        <f t="shared" si="1"/>
        <v>635.49</v>
      </c>
      <c r="J22" s="533">
        <f>Gen!D28</f>
        <v>42647.64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42647.64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42647.64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42647.64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42647.64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42647.64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42647.64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42647.64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42647.64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42647.64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42647.64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42647.64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42647.64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42647.64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42647.64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F1" workbookViewId="0">
      <selection activeCell="AB24" sqref="AB2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2">
        <v>43952</v>
      </c>
      <c r="B1" s="823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823"/>
      <c r="N1" s="823"/>
      <c r="O1" s="823"/>
      <c r="P1" s="823"/>
      <c r="Q1" s="823"/>
      <c r="R1" s="823"/>
      <c r="S1" s="823"/>
      <c r="T1" s="823"/>
      <c r="U1" s="823"/>
      <c r="V1" s="823"/>
      <c r="W1" s="823"/>
      <c r="X1" s="823"/>
      <c r="Y1" s="823"/>
      <c r="Z1" s="823"/>
      <c r="AA1" s="823"/>
      <c r="AB1" s="823"/>
      <c r="AC1" s="20"/>
    </row>
    <row r="2" spans="1:29" ht="12" customHeight="1" thickBot="1">
      <c r="A2" s="823"/>
      <c r="B2" s="823"/>
      <c r="C2" s="823"/>
      <c r="D2" s="823"/>
      <c r="E2" s="823"/>
      <c r="F2" s="823"/>
      <c r="G2" s="823"/>
      <c r="H2" s="823"/>
      <c r="I2" s="823"/>
      <c r="J2" s="823"/>
      <c r="K2" s="823"/>
      <c r="L2" s="823"/>
      <c r="M2" s="823"/>
      <c r="N2" s="823"/>
      <c r="O2" s="823"/>
      <c r="P2" s="823"/>
      <c r="Q2" s="823"/>
      <c r="R2" s="823"/>
      <c r="S2" s="823"/>
      <c r="T2" s="823"/>
      <c r="U2" s="823"/>
      <c r="V2" s="823"/>
      <c r="W2" s="823"/>
      <c r="X2" s="823"/>
      <c r="Y2" s="823"/>
      <c r="Z2" s="823"/>
      <c r="AA2" s="823"/>
      <c r="AB2" s="823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4" t="s">
        <v>299</v>
      </c>
      <c r="L3" s="825"/>
      <c r="M3" s="826"/>
      <c r="N3" s="824" t="s">
        <v>300</v>
      </c>
      <c r="O3" s="825"/>
      <c r="P3" s="826"/>
      <c r="Q3" s="824" t="s">
        <v>301</v>
      </c>
      <c r="R3" s="825"/>
      <c r="S3" s="826"/>
      <c r="T3" s="824" t="s">
        <v>302</v>
      </c>
      <c r="U3" s="825"/>
      <c r="V3" s="826"/>
      <c r="W3" s="824" t="s">
        <v>303</v>
      </c>
      <c r="X3" s="825"/>
      <c r="Y3" s="826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637.52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>
        <v>30648.2</v>
      </c>
      <c r="J15" s="364">
        <v>20283.5</v>
      </c>
      <c r="K15" s="363">
        <f t="shared" si="0"/>
        <v>34367</v>
      </c>
      <c r="L15" s="364">
        <v>34378</v>
      </c>
      <c r="M15" s="363">
        <f t="shared" si="1"/>
        <v>11</v>
      </c>
      <c r="N15" s="365">
        <f t="shared" si="2"/>
        <v>29486</v>
      </c>
      <c r="O15" s="364">
        <v>29486</v>
      </c>
      <c r="P15" s="363">
        <f t="shared" si="3"/>
        <v>0</v>
      </c>
      <c r="Q15" s="363">
        <f t="shared" si="4"/>
        <v>34808</v>
      </c>
      <c r="R15" s="364">
        <v>34808</v>
      </c>
      <c r="S15" s="363">
        <f t="shared" si="5"/>
        <v>0</v>
      </c>
      <c r="T15" s="363">
        <f t="shared" si="6"/>
        <v>32182</v>
      </c>
      <c r="U15" s="364">
        <v>32182</v>
      </c>
      <c r="V15" s="363">
        <f t="shared" si="7"/>
        <v>0</v>
      </c>
      <c r="W15" s="365">
        <f t="shared" si="8"/>
        <v>19997</v>
      </c>
      <c r="X15" s="364">
        <v>20011</v>
      </c>
      <c r="Y15" s="363">
        <f t="shared" si="9"/>
        <v>14</v>
      </c>
      <c r="Z15" s="366">
        <f t="shared" si="10"/>
        <v>25</v>
      </c>
      <c r="AA15" s="128">
        <v>165</v>
      </c>
      <c r="AB15" s="128">
        <v>70</v>
      </c>
      <c r="AC15" s="315">
        <f>Gen!T20</f>
        <v>652.33000000000004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>
        <v>10685.13</v>
      </c>
      <c r="D16" s="364">
        <v>25996.2</v>
      </c>
      <c r="E16" s="364"/>
      <c r="F16" s="364"/>
      <c r="G16" s="364"/>
      <c r="H16" s="364"/>
      <c r="I16" s="364">
        <v>30650.6</v>
      </c>
      <c r="J16" s="364">
        <v>20285.3</v>
      </c>
      <c r="K16" s="363">
        <f t="shared" si="0"/>
        <v>34378</v>
      </c>
      <c r="L16" s="364">
        <v>34378</v>
      </c>
      <c r="M16" s="363">
        <f t="shared" si="1"/>
        <v>0</v>
      </c>
      <c r="N16" s="365">
        <f t="shared" si="2"/>
        <v>29486</v>
      </c>
      <c r="O16" s="364">
        <v>29499</v>
      </c>
      <c r="P16" s="363">
        <f t="shared" si="3"/>
        <v>13</v>
      </c>
      <c r="Q16" s="363">
        <f t="shared" si="4"/>
        <v>34808</v>
      </c>
      <c r="R16" s="364">
        <v>34808</v>
      </c>
      <c r="S16" s="363">
        <f t="shared" si="5"/>
        <v>0</v>
      </c>
      <c r="T16" s="363">
        <f t="shared" si="6"/>
        <v>32182</v>
      </c>
      <c r="U16" s="364">
        <v>32182</v>
      </c>
      <c r="V16" s="363">
        <f t="shared" si="7"/>
        <v>0</v>
      </c>
      <c r="W16" s="365">
        <f t="shared" si="8"/>
        <v>20011</v>
      </c>
      <c r="X16" s="364">
        <v>20022</v>
      </c>
      <c r="Y16" s="363">
        <f t="shared" si="9"/>
        <v>11</v>
      </c>
      <c r="Z16" s="366">
        <f t="shared" si="10"/>
        <v>24</v>
      </c>
      <c r="AA16" s="128">
        <v>160</v>
      </c>
      <c r="AB16" s="128">
        <v>89</v>
      </c>
      <c r="AC16" s="315">
        <f>Gen!T21</f>
        <v>675.39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>
        <v>10009.74</v>
      </c>
      <c r="D17" s="364">
        <v>25996.2</v>
      </c>
      <c r="E17" s="610"/>
      <c r="F17" s="364"/>
      <c r="G17" s="364"/>
      <c r="H17" s="364"/>
      <c r="I17" s="364">
        <v>30652.9</v>
      </c>
      <c r="J17" s="364">
        <v>20287.5</v>
      </c>
      <c r="K17" s="363">
        <f t="shared" si="0"/>
        <v>34378</v>
      </c>
      <c r="L17" s="364">
        <v>34378</v>
      </c>
      <c r="M17" s="363">
        <f t="shared" si="1"/>
        <v>0</v>
      </c>
      <c r="N17" s="365">
        <f t="shared" si="2"/>
        <v>29499</v>
      </c>
      <c r="O17" s="364">
        <v>29510</v>
      </c>
      <c r="P17" s="363">
        <f t="shared" si="3"/>
        <v>11</v>
      </c>
      <c r="Q17" s="363">
        <f t="shared" si="4"/>
        <v>34808</v>
      </c>
      <c r="R17" s="364">
        <v>34808</v>
      </c>
      <c r="S17" s="363">
        <f t="shared" si="5"/>
        <v>0</v>
      </c>
      <c r="T17" s="363">
        <f t="shared" si="6"/>
        <v>32182</v>
      </c>
      <c r="U17" s="364">
        <v>32182</v>
      </c>
      <c r="V17" s="363">
        <f t="shared" si="7"/>
        <v>0</v>
      </c>
      <c r="W17" s="365">
        <f t="shared" si="8"/>
        <v>20022</v>
      </c>
      <c r="X17" s="364">
        <v>20035</v>
      </c>
      <c r="Y17" s="363">
        <f t="shared" si="9"/>
        <v>13</v>
      </c>
      <c r="Z17" s="366">
        <f t="shared" si="10"/>
        <v>24</v>
      </c>
      <c r="AA17" s="128">
        <v>165</v>
      </c>
      <c r="AB17" s="128">
        <v>78</v>
      </c>
      <c r="AC17" s="315">
        <f>Gen!T22</f>
        <v>719.01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>
        <v>19183.84</v>
      </c>
      <c r="D18" s="364">
        <v>25996.2</v>
      </c>
      <c r="E18" s="364"/>
      <c r="F18" s="364"/>
      <c r="G18" s="364"/>
      <c r="H18" s="364"/>
      <c r="I18" s="364">
        <v>30655.3</v>
      </c>
      <c r="J18" s="364">
        <v>20289.3</v>
      </c>
      <c r="K18" s="363">
        <f t="shared" si="0"/>
        <v>34378</v>
      </c>
      <c r="L18" s="364">
        <v>34389</v>
      </c>
      <c r="M18" s="363">
        <f t="shared" si="1"/>
        <v>11</v>
      </c>
      <c r="N18" s="365">
        <f t="shared" si="2"/>
        <v>29510</v>
      </c>
      <c r="O18" s="364">
        <v>29510</v>
      </c>
      <c r="P18" s="363">
        <f t="shared" si="3"/>
        <v>0</v>
      </c>
      <c r="Q18" s="363">
        <f t="shared" si="4"/>
        <v>34808</v>
      </c>
      <c r="R18" s="364">
        <v>34808</v>
      </c>
      <c r="S18" s="363">
        <f t="shared" si="5"/>
        <v>0</v>
      </c>
      <c r="T18" s="363">
        <f t="shared" si="6"/>
        <v>32182</v>
      </c>
      <c r="U18" s="364">
        <v>32182</v>
      </c>
      <c r="V18" s="363">
        <f t="shared" si="7"/>
        <v>0</v>
      </c>
      <c r="W18" s="365">
        <f t="shared" si="8"/>
        <v>20035</v>
      </c>
      <c r="X18" s="364">
        <v>20035</v>
      </c>
      <c r="Y18" s="363">
        <f t="shared" si="9"/>
        <v>0</v>
      </c>
      <c r="Z18" s="366">
        <f t="shared" si="10"/>
        <v>11</v>
      </c>
      <c r="AA18" s="128">
        <v>160</v>
      </c>
      <c r="AB18" s="128">
        <v>75</v>
      </c>
      <c r="AC18" s="315">
        <f>Gen!T23</f>
        <v>656.19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>
        <v>18527.650000000001</v>
      </c>
      <c r="D19" s="364">
        <v>25996.2</v>
      </c>
      <c r="E19" s="364"/>
      <c r="F19" s="364"/>
      <c r="G19" s="364"/>
      <c r="H19" s="364"/>
      <c r="I19" s="364">
        <v>30657.5</v>
      </c>
      <c r="J19" s="364">
        <v>20291.099999999999</v>
      </c>
      <c r="K19" s="363">
        <f t="shared" si="0"/>
        <v>34389</v>
      </c>
      <c r="L19" s="364">
        <v>34401</v>
      </c>
      <c r="M19" s="363">
        <f t="shared" si="1"/>
        <v>12</v>
      </c>
      <c r="N19" s="365">
        <f t="shared" si="2"/>
        <v>29510</v>
      </c>
      <c r="O19" s="364">
        <v>29522</v>
      </c>
      <c r="P19" s="363">
        <f t="shared" si="3"/>
        <v>12</v>
      </c>
      <c r="Q19" s="363">
        <f t="shared" si="4"/>
        <v>34808</v>
      </c>
      <c r="R19" s="364">
        <v>34808</v>
      </c>
      <c r="S19" s="363">
        <f t="shared" si="5"/>
        <v>0</v>
      </c>
      <c r="T19" s="363">
        <f t="shared" si="6"/>
        <v>32182</v>
      </c>
      <c r="U19" s="364">
        <v>32182</v>
      </c>
      <c r="V19" s="363">
        <f t="shared" si="7"/>
        <v>0</v>
      </c>
      <c r="W19" s="365">
        <f t="shared" si="8"/>
        <v>20035</v>
      </c>
      <c r="X19" s="364">
        <v>20049</v>
      </c>
      <c r="Y19" s="363">
        <f t="shared" si="9"/>
        <v>14</v>
      </c>
      <c r="Z19" s="366">
        <f t="shared" si="10"/>
        <v>38</v>
      </c>
      <c r="AA19" s="128">
        <v>161</v>
      </c>
      <c r="AB19" s="128">
        <v>76</v>
      </c>
      <c r="AC19" s="315">
        <f>Gen!T24</f>
        <v>633.07999999999993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>
        <v>17894.57</v>
      </c>
      <c r="D20" s="364">
        <v>25996.2</v>
      </c>
      <c r="E20" s="364"/>
      <c r="F20" s="364"/>
      <c r="G20" s="364"/>
      <c r="H20" s="364"/>
      <c r="I20" s="364">
        <v>30659.7</v>
      </c>
      <c r="J20" s="364">
        <v>20292.7</v>
      </c>
      <c r="K20" s="363">
        <f t="shared" si="0"/>
        <v>34401</v>
      </c>
      <c r="L20" s="364">
        <v>34401</v>
      </c>
      <c r="M20" s="363">
        <f t="shared" si="1"/>
        <v>0</v>
      </c>
      <c r="N20" s="365">
        <f t="shared" si="2"/>
        <v>29522</v>
      </c>
      <c r="O20" s="364">
        <v>29532</v>
      </c>
      <c r="P20" s="363">
        <f t="shared" si="3"/>
        <v>10</v>
      </c>
      <c r="Q20" s="363">
        <f t="shared" si="4"/>
        <v>34808</v>
      </c>
      <c r="R20" s="364">
        <v>34808</v>
      </c>
      <c r="S20" s="363">
        <f t="shared" si="5"/>
        <v>0</v>
      </c>
      <c r="T20" s="363">
        <f t="shared" si="6"/>
        <v>32182</v>
      </c>
      <c r="U20" s="364">
        <v>32182</v>
      </c>
      <c r="V20" s="363">
        <f t="shared" si="7"/>
        <v>0</v>
      </c>
      <c r="W20" s="365">
        <f t="shared" si="8"/>
        <v>20049</v>
      </c>
      <c r="X20" s="364">
        <v>20062</v>
      </c>
      <c r="Y20" s="363">
        <f t="shared" si="9"/>
        <v>13</v>
      </c>
      <c r="Z20" s="366">
        <f t="shared" si="10"/>
        <v>23</v>
      </c>
      <c r="AA20" s="128">
        <v>150</v>
      </c>
      <c r="AB20" s="128">
        <v>69</v>
      </c>
      <c r="AC20" s="315">
        <f>Gen!T25</f>
        <v>603.86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>
        <v>17290.71</v>
      </c>
      <c r="D21" s="364">
        <v>25996.2</v>
      </c>
      <c r="E21" s="364"/>
      <c r="F21" s="364"/>
      <c r="G21" s="364"/>
      <c r="H21" s="364"/>
      <c r="I21" s="364">
        <v>30661.8</v>
      </c>
      <c r="J21" s="364">
        <v>20294.599999999999</v>
      </c>
      <c r="K21" s="363">
        <f t="shared" si="0"/>
        <v>34401</v>
      </c>
      <c r="L21" s="364">
        <v>34426</v>
      </c>
      <c r="M21" s="363">
        <f t="shared" si="1"/>
        <v>25</v>
      </c>
      <c r="N21" s="365">
        <f t="shared" si="2"/>
        <v>29532</v>
      </c>
      <c r="O21" s="364">
        <v>29533</v>
      </c>
      <c r="P21" s="363">
        <f t="shared" si="3"/>
        <v>1</v>
      </c>
      <c r="Q21" s="363">
        <f t="shared" si="4"/>
        <v>34808</v>
      </c>
      <c r="R21" s="364">
        <v>34808</v>
      </c>
      <c r="S21" s="363">
        <f t="shared" si="5"/>
        <v>0</v>
      </c>
      <c r="T21" s="363">
        <f t="shared" si="6"/>
        <v>32182</v>
      </c>
      <c r="U21" s="364">
        <v>32182</v>
      </c>
      <c r="V21" s="363">
        <f t="shared" si="7"/>
        <v>0</v>
      </c>
      <c r="W21" s="365">
        <f t="shared" si="8"/>
        <v>20062</v>
      </c>
      <c r="X21" s="364">
        <v>20062</v>
      </c>
      <c r="Y21" s="363">
        <f t="shared" si="9"/>
        <v>0</v>
      </c>
      <c r="Z21" s="366">
        <f t="shared" si="10"/>
        <v>26</v>
      </c>
      <c r="AA21" s="128">
        <v>161</v>
      </c>
      <c r="AB21" s="128">
        <v>76</v>
      </c>
      <c r="AC21" s="315">
        <f>Gen!T26</f>
        <v>635.49</v>
      </c>
    </row>
    <row r="22" spans="1:29" ht="18.75" customHeight="1">
      <c r="A22" s="310">
        <f>Gen!B27</f>
        <v>43968</v>
      </c>
      <c r="B22" s="396">
        <f>Gen!C27</f>
        <v>0</v>
      </c>
      <c r="C22" s="364">
        <v>16651.439999999999</v>
      </c>
      <c r="D22" s="364">
        <v>25996.2</v>
      </c>
      <c r="E22" s="364"/>
      <c r="F22" s="364"/>
      <c r="G22" s="364"/>
      <c r="H22" s="364"/>
      <c r="I22" s="364"/>
      <c r="J22" s="364"/>
      <c r="K22" s="363">
        <f t="shared" si="0"/>
        <v>34426</v>
      </c>
      <c r="L22" s="364"/>
      <c r="M22" s="363">
        <f t="shared" si="1"/>
        <v>-34426</v>
      </c>
      <c r="N22" s="365">
        <f t="shared" si="2"/>
        <v>29533</v>
      </c>
      <c r="O22" s="364"/>
      <c r="P22" s="363">
        <f t="shared" si="3"/>
        <v>-29533</v>
      </c>
      <c r="Q22" s="363">
        <f t="shared" si="4"/>
        <v>34808</v>
      </c>
      <c r="R22" s="364"/>
      <c r="S22" s="363">
        <f t="shared" si="5"/>
        <v>-34808</v>
      </c>
      <c r="T22" s="363">
        <f t="shared" si="6"/>
        <v>32182</v>
      </c>
      <c r="U22" s="364"/>
      <c r="V22" s="363">
        <f t="shared" si="7"/>
        <v>-32182</v>
      </c>
      <c r="W22" s="365">
        <f t="shared" si="8"/>
        <v>20062</v>
      </c>
      <c r="X22" s="364"/>
      <c r="Y22" s="363">
        <f t="shared" si="9"/>
        <v>-20062</v>
      </c>
      <c r="Z22" s="366">
        <f t="shared" si="10"/>
        <v>-151011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abSelected="1" topLeftCell="A10" zoomScale="110" zoomScaleNormal="110" workbookViewId="0">
      <pane xSplit="2" topLeftCell="C1" activePane="topRight" state="frozen"/>
      <selection pane="topRight" activeCell="K37" sqref="K37:L37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10.85546875" style="497" customWidth="1"/>
    <col min="15" max="15" width="11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3"/>
      <c r="C1" s="833"/>
    </row>
    <row r="2" spans="2:47" ht="26.25">
      <c r="B2" s="833"/>
      <c r="C2" s="833"/>
      <c r="E2" s="834" t="s">
        <v>314</v>
      </c>
      <c r="F2" s="834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35"/>
      <c r="R2" s="835"/>
      <c r="S2" s="835"/>
      <c r="T2" s="835"/>
      <c r="U2" s="835"/>
      <c r="V2" s="835"/>
      <c r="W2" s="835"/>
      <c r="X2" s="835"/>
      <c r="Y2" s="835"/>
      <c r="Z2" s="835"/>
      <c r="AA2" s="835"/>
      <c r="AB2" s="835"/>
      <c r="AC2" s="835"/>
      <c r="AD2" s="835"/>
      <c r="AE2" s="835"/>
      <c r="AF2" s="835"/>
      <c r="AG2" s="835"/>
      <c r="AH2" s="835"/>
      <c r="AI2" s="835"/>
      <c r="AJ2" s="835"/>
      <c r="AK2" s="835"/>
      <c r="AL2" s="835"/>
      <c r="AM2" s="835"/>
      <c r="AN2" s="835"/>
      <c r="AO2" s="835"/>
      <c r="AP2" s="835"/>
      <c r="AQ2" s="835"/>
      <c r="AR2" s="835"/>
      <c r="AS2" s="835"/>
      <c r="AT2" s="835"/>
      <c r="AU2" s="835"/>
    </row>
    <row r="3" spans="2:47">
      <c r="B3" s="833"/>
      <c r="C3" s="833"/>
      <c r="L3" s="226"/>
      <c r="R3" s="226"/>
    </row>
    <row r="4" spans="2:47">
      <c r="B4" s="833"/>
      <c r="C4" s="833"/>
      <c r="L4" s="226"/>
      <c r="R4" s="226"/>
    </row>
    <row r="5" spans="2:47" ht="12" thickBot="1">
      <c r="B5" s="833"/>
      <c r="C5" s="833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3"/>
      <c r="C6" s="833"/>
      <c r="D6" s="231"/>
      <c r="G6" s="842" t="s">
        <v>57</v>
      </c>
      <c r="H6" s="843"/>
      <c r="I6" s="843"/>
      <c r="J6" s="843"/>
      <c r="K6" s="843"/>
      <c r="L6" s="843"/>
      <c r="M6" s="844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6" t="s">
        <v>201</v>
      </c>
      <c r="H7" s="837"/>
      <c r="I7" s="837"/>
      <c r="J7" s="837"/>
      <c r="K7" s="837"/>
      <c r="L7" s="837"/>
      <c r="M7" s="838"/>
      <c r="N7" s="839" t="s">
        <v>40</v>
      </c>
      <c r="O7" s="840"/>
      <c r="P7" s="840"/>
      <c r="Q7" s="840"/>
      <c r="R7" s="840"/>
      <c r="S7" s="841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4">
        <f>[4]Gen!$D$43</f>
        <v>43367.69</v>
      </c>
      <c r="E9" s="715"/>
      <c r="F9" s="716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7"/>
      <c r="E10" s="240"/>
      <c r="F10" s="718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3">
        <v>43952</v>
      </c>
      <c r="C11" s="710"/>
      <c r="D11" s="719">
        <f>SUM(D9+E11)</f>
        <v>43367.69</v>
      </c>
      <c r="E11" s="271"/>
      <c r="F11" s="718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3">
        <v>43953</v>
      </c>
      <c r="C12" s="710"/>
      <c r="D12" s="719">
        <f t="shared" ref="D12:D43" si="6">SUM(D11-AS11+E12)</f>
        <v>42689.62</v>
      </c>
      <c r="E12" s="271"/>
      <c r="F12" s="718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3">
        <v>43954</v>
      </c>
      <c r="C13" s="710"/>
      <c r="D13" s="719">
        <f t="shared" si="6"/>
        <v>42029.96</v>
      </c>
      <c r="E13" s="271"/>
      <c r="F13" s="718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3">
        <v>43955</v>
      </c>
      <c r="C14" s="710"/>
      <c r="D14" s="719">
        <f t="shared" si="6"/>
        <v>41370.67</v>
      </c>
      <c r="E14" s="271"/>
      <c r="F14" s="718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3">
        <v>43956</v>
      </c>
      <c r="C15" s="710"/>
      <c r="D15" s="719">
        <f t="shared" si="6"/>
        <v>40734.409999999996</v>
      </c>
      <c r="E15" s="271"/>
      <c r="F15" s="718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3">
        <v>43957</v>
      </c>
      <c r="C16" s="710"/>
      <c r="D16" s="719">
        <f t="shared" si="6"/>
        <v>40088.17</v>
      </c>
      <c r="E16" s="271"/>
      <c r="F16" s="718"/>
      <c r="G16" s="712"/>
      <c r="H16" s="691">
        <v>323.5</v>
      </c>
      <c r="I16" s="252">
        <v>304.38</v>
      </c>
      <c r="J16" s="272"/>
      <c r="K16" s="252"/>
      <c r="L16" s="252"/>
      <c r="M16" s="355"/>
      <c r="N16" s="789"/>
      <c r="O16" s="789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3">
        <v>43958</v>
      </c>
      <c r="C17" s="710"/>
      <c r="D17" s="719">
        <f t="shared" si="6"/>
        <v>39429.18</v>
      </c>
      <c r="E17" s="271"/>
      <c r="F17" s="718"/>
      <c r="G17" s="712"/>
      <c r="H17" s="691">
        <v>308.52999999999997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637.52</v>
      </c>
      <c r="U17" s="266">
        <f t="shared" si="1"/>
        <v>1434</v>
      </c>
      <c r="V17" s="705">
        <f t="shared" si="4"/>
        <v>0.44457461645746166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660.49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3">
        <v>43959</v>
      </c>
      <c r="C18" s="710"/>
      <c r="D18" s="719">
        <f t="shared" si="6"/>
        <v>38768.69</v>
      </c>
      <c r="E18" s="271"/>
      <c r="F18" s="718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38768.69</v>
      </c>
    </row>
    <row r="19" spans="2:47" ht="13.5" customHeight="1">
      <c r="B19" s="723">
        <v>43960</v>
      </c>
      <c r="C19" s="710"/>
      <c r="D19" s="719">
        <f t="shared" si="6"/>
        <v>37995.760000000002</v>
      </c>
      <c r="E19" s="271"/>
      <c r="F19" s="718"/>
      <c r="G19" s="712"/>
      <c r="H19" s="691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6">
        <v>753</v>
      </c>
      <c r="T19" s="704">
        <f t="shared" si="0"/>
        <v>662.1</v>
      </c>
      <c r="U19" s="266">
        <f t="shared" si="1"/>
        <v>1527</v>
      </c>
      <c r="V19" s="705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37995.760000000002</v>
      </c>
    </row>
    <row r="20" spans="2:47" ht="14.25">
      <c r="B20" s="723">
        <v>43961</v>
      </c>
      <c r="C20" s="710"/>
      <c r="D20" s="719">
        <f t="shared" si="6"/>
        <v>37333.660000000003</v>
      </c>
      <c r="E20" s="271"/>
      <c r="F20" s="718"/>
      <c r="G20" s="712"/>
      <c r="H20" s="691">
        <v>201.21</v>
      </c>
      <c r="I20" s="267"/>
      <c r="J20" s="272"/>
      <c r="K20" s="252"/>
      <c r="L20" s="252"/>
      <c r="M20" s="654">
        <v>451.12</v>
      </c>
      <c r="N20" s="354">
        <v>636</v>
      </c>
      <c r="O20" s="254"/>
      <c r="P20" s="254"/>
      <c r="Q20" s="254"/>
      <c r="R20" s="254"/>
      <c r="S20" s="697">
        <v>815</v>
      </c>
      <c r="T20" s="704">
        <f t="shared" si="0"/>
        <v>652.33000000000004</v>
      </c>
      <c r="U20" s="266">
        <f t="shared" si="1"/>
        <v>1451</v>
      </c>
      <c r="V20" s="705">
        <f t="shared" si="4"/>
        <v>0.4495727084769125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652.33000000000004</v>
      </c>
      <c r="AT20" s="269">
        <f t="shared" si="7"/>
        <v>0</v>
      </c>
      <c r="AU20" s="337">
        <f t="shared" si="5"/>
        <v>37333.660000000003</v>
      </c>
    </row>
    <row r="21" spans="2:47" ht="14.25">
      <c r="B21" s="723">
        <v>43962</v>
      </c>
      <c r="C21" s="710"/>
      <c r="D21" s="719">
        <f t="shared" si="6"/>
        <v>36681.33</v>
      </c>
      <c r="E21" s="271"/>
      <c r="F21" s="718"/>
      <c r="G21" s="712"/>
      <c r="H21" s="691"/>
      <c r="I21" s="267">
        <v>370.95</v>
      </c>
      <c r="J21" s="272"/>
      <c r="K21" s="252"/>
      <c r="L21" s="252"/>
      <c r="M21" s="615">
        <v>304.44</v>
      </c>
      <c r="N21" s="354"/>
      <c r="O21" s="354">
        <v>783</v>
      </c>
      <c r="P21" s="254"/>
      <c r="Q21" s="254"/>
      <c r="R21" s="254"/>
      <c r="S21" s="696">
        <v>666</v>
      </c>
      <c r="T21" s="704">
        <f t="shared" si="0"/>
        <v>675.39</v>
      </c>
      <c r="U21" s="266">
        <f t="shared" si="1"/>
        <v>1449</v>
      </c>
      <c r="V21" s="705">
        <f t="shared" si="4"/>
        <v>0.46610766045548652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675.39</v>
      </c>
      <c r="AT21" s="269">
        <f t="shared" si="7"/>
        <v>0</v>
      </c>
      <c r="AU21" s="337">
        <f t="shared" si="5"/>
        <v>36681.33</v>
      </c>
    </row>
    <row r="22" spans="2:47" ht="14.25">
      <c r="B22" s="723">
        <v>43963</v>
      </c>
      <c r="C22" s="710"/>
      <c r="D22" s="719">
        <f t="shared" si="6"/>
        <v>46005.94</v>
      </c>
      <c r="E22" s="271">
        <v>10000</v>
      </c>
      <c r="F22" s="718">
        <v>10000</v>
      </c>
      <c r="G22" s="788" t="s">
        <v>312</v>
      </c>
      <c r="H22" s="691"/>
      <c r="I22" s="252">
        <v>318.31</v>
      </c>
      <c r="J22" s="272"/>
      <c r="K22" s="252"/>
      <c r="L22" s="252"/>
      <c r="M22" s="654">
        <v>400.7</v>
      </c>
      <c r="N22" s="354"/>
      <c r="O22" s="354">
        <v>765</v>
      </c>
      <c r="P22" s="254"/>
      <c r="Q22" s="254"/>
      <c r="R22" s="254"/>
      <c r="S22" s="696">
        <v>858</v>
      </c>
      <c r="T22" s="704">
        <f t="shared" si="0"/>
        <v>719.01</v>
      </c>
      <c r="U22" s="266">
        <f t="shared" si="1"/>
        <v>1623</v>
      </c>
      <c r="V22" s="705">
        <f t="shared" si="4"/>
        <v>0.4430129390018484</v>
      </c>
      <c r="W22" s="259"/>
      <c r="X22" s="267"/>
      <c r="Y22" s="243">
        <v>24.77</v>
      </c>
      <c r="Z22" s="267">
        <v>56.92</v>
      </c>
      <c r="AA22" s="252">
        <v>25.2</v>
      </c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106.89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825.9</v>
      </c>
      <c r="AT22" s="269">
        <f t="shared" si="7"/>
        <v>0</v>
      </c>
      <c r="AU22" s="337">
        <f t="shared" si="5"/>
        <v>46005.94</v>
      </c>
    </row>
    <row r="23" spans="2:47" ht="14.25">
      <c r="B23" s="723">
        <v>43964</v>
      </c>
      <c r="C23" s="710"/>
      <c r="D23" s="719">
        <f t="shared" si="6"/>
        <v>45180.04</v>
      </c>
      <c r="E23" s="271"/>
      <c r="F23" s="718"/>
      <c r="G23" s="712"/>
      <c r="H23" s="691">
        <v>326.19</v>
      </c>
      <c r="I23" s="267"/>
      <c r="J23" s="272"/>
      <c r="K23" s="252"/>
      <c r="L23" s="252"/>
      <c r="M23" s="654">
        <v>330</v>
      </c>
      <c r="N23" s="354">
        <v>694</v>
      </c>
      <c r="O23" s="254"/>
      <c r="P23" s="254"/>
      <c r="Q23" s="254"/>
      <c r="R23" s="254"/>
      <c r="S23" s="696">
        <v>858</v>
      </c>
      <c r="T23" s="704">
        <f t="shared" si="0"/>
        <v>656.19</v>
      </c>
      <c r="U23" s="266">
        <f t="shared" si="1"/>
        <v>1552</v>
      </c>
      <c r="V23" s="705">
        <f t="shared" si="4"/>
        <v>0.42280283505154642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656.19</v>
      </c>
      <c r="AT23" s="269">
        <f t="shared" si="7"/>
        <v>0</v>
      </c>
      <c r="AU23" s="337">
        <f t="shared" si="5"/>
        <v>45180.04</v>
      </c>
    </row>
    <row r="24" spans="2:47" ht="14.25">
      <c r="B24" s="723">
        <v>43965</v>
      </c>
      <c r="C24" s="710"/>
      <c r="D24" s="719">
        <f t="shared" si="6"/>
        <v>44523.85</v>
      </c>
      <c r="E24" s="251"/>
      <c r="F24" s="718"/>
      <c r="G24" s="712"/>
      <c r="H24" s="691">
        <v>327.68</v>
      </c>
      <c r="I24" s="267">
        <v>305.39999999999998</v>
      </c>
      <c r="J24" s="272"/>
      <c r="K24" s="252"/>
      <c r="L24" s="252"/>
      <c r="M24" s="654"/>
      <c r="N24" s="354">
        <v>782</v>
      </c>
      <c r="O24" s="354">
        <v>698</v>
      </c>
      <c r="P24" s="254"/>
      <c r="Q24" s="254"/>
      <c r="R24" s="254"/>
      <c r="S24" s="696"/>
      <c r="T24" s="704">
        <f t="shared" si="0"/>
        <v>633.07999999999993</v>
      </c>
      <c r="U24" s="266">
        <f t="shared" si="1"/>
        <v>1480</v>
      </c>
      <c r="V24" s="705">
        <f t="shared" si="4"/>
        <v>0.42775675675675673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633.07999999999993</v>
      </c>
      <c r="AT24" s="269">
        <f t="shared" si="7"/>
        <v>0</v>
      </c>
      <c r="AU24" s="337">
        <f t="shared" si="5"/>
        <v>44523.85</v>
      </c>
    </row>
    <row r="25" spans="2:47" ht="14.25">
      <c r="B25" s="723">
        <v>43966</v>
      </c>
      <c r="C25" s="710"/>
      <c r="D25" s="719">
        <f t="shared" si="6"/>
        <v>43890.77</v>
      </c>
      <c r="E25" s="271"/>
      <c r="F25" s="718"/>
      <c r="G25" s="712"/>
      <c r="H25" s="691"/>
      <c r="I25" s="267">
        <v>266.05</v>
      </c>
      <c r="J25" s="272"/>
      <c r="K25" s="252"/>
      <c r="L25" s="252"/>
      <c r="M25" s="654">
        <v>337.81</v>
      </c>
      <c r="N25" s="354"/>
      <c r="O25" s="254">
        <v>543</v>
      </c>
      <c r="P25" s="254"/>
      <c r="Q25" s="254"/>
      <c r="R25" s="254"/>
      <c r="S25" s="696">
        <v>779</v>
      </c>
      <c r="T25" s="704">
        <f t="shared" si="0"/>
        <v>603.86</v>
      </c>
      <c r="U25" s="266">
        <f t="shared" si="1"/>
        <v>1322</v>
      </c>
      <c r="V25" s="705">
        <f t="shared" si="4"/>
        <v>0.45677760968229958</v>
      </c>
      <c r="W25" s="259"/>
      <c r="X25" s="267"/>
      <c r="Y25" s="243"/>
      <c r="Z25" s="267">
        <v>3.78</v>
      </c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3.78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607.64</v>
      </c>
      <c r="AT25" s="269">
        <f t="shared" si="7"/>
        <v>0</v>
      </c>
      <c r="AU25" s="337">
        <f t="shared" si="5"/>
        <v>43890.77</v>
      </c>
    </row>
    <row r="26" spans="2:47" ht="14.25">
      <c r="B26" s="723">
        <v>43967</v>
      </c>
      <c r="C26" s="710"/>
      <c r="D26" s="719">
        <f t="shared" si="6"/>
        <v>43283.13</v>
      </c>
      <c r="E26" s="271"/>
      <c r="F26" s="718"/>
      <c r="G26" s="712"/>
      <c r="H26" s="691">
        <v>335.49</v>
      </c>
      <c r="I26" s="267"/>
      <c r="J26" s="272"/>
      <c r="K26" s="252"/>
      <c r="L26" s="252"/>
      <c r="M26" s="654">
        <v>300</v>
      </c>
      <c r="N26" s="354">
        <v>894</v>
      </c>
      <c r="O26" s="254"/>
      <c r="P26" s="254"/>
      <c r="Q26" s="254"/>
      <c r="R26" s="254"/>
      <c r="S26" s="696">
        <v>780</v>
      </c>
      <c r="T26" s="704">
        <f t="shared" si="0"/>
        <v>635.49</v>
      </c>
      <c r="U26" s="266">
        <f t="shared" si="1"/>
        <v>1674</v>
      </c>
      <c r="V26" s="705">
        <f t="shared" si="4"/>
        <v>0.37962365591397851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635.49</v>
      </c>
      <c r="AT26" s="269">
        <f t="shared" si="7"/>
        <v>0</v>
      </c>
      <c r="AU26" s="337">
        <f t="shared" si="5"/>
        <v>43283.13</v>
      </c>
    </row>
    <row r="27" spans="2:47" ht="14.25">
      <c r="B27" s="723">
        <v>43968</v>
      </c>
      <c r="C27" s="710"/>
      <c r="D27" s="719">
        <f t="shared" si="6"/>
        <v>42647.64</v>
      </c>
      <c r="E27" s="271"/>
      <c r="F27" s="718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42647.64</v>
      </c>
    </row>
    <row r="28" spans="2:47" ht="14.25">
      <c r="B28" s="723">
        <v>43969</v>
      </c>
      <c r="C28" s="710"/>
      <c r="D28" s="719">
        <f t="shared" si="6"/>
        <v>42647.64</v>
      </c>
      <c r="E28" s="271"/>
      <c r="F28" s="718"/>
      <c r="G28" s="712"/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42647.64</v>
      </c>
    </row>
    <row r="29" spans="2:47" ht="14.25">
      <c r="B29" s="723">
        <v>43970</v>
      </c>
      <c r="C29" s="710"/>
      <c r="D29" s="719">
        <f t="shared" si="6"/>
        <v>42647.64</v>
      </c>
      <c r="E29" s="271"/>
      <c r="F29" s="718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42647.64</v>
      </c>
    </row>
    <row r="30" spans="2:47" ht="14.25">
      <c r="B30" s="723">
        <v>43971</v>
      </c>
      <c r="C30" s="710"/>
      <c r="D30" s="719">
        <f t="shared" si="6"/>
        <v>42647.64</v>
      </c>
      <c r="E30" s="271"/>
      <c r="F30" s="718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42647.64</v>
      </c>
    </row>
    <row r="31" spans="2:47" ht="14.25">
      <c r="B31" s="723">
        <v>43972</v>
      </c>
      <c r="C31" s="710"/>
      <c r="D31" s="719">
        <f t="shared" si="6"/>
        <v>42647.64</v>
      </c>
      <c r="E31" s="271"/>
      <c r="F31" s="718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42647.64</v>
      </c>
    </row>
    <row r="32" spans="2:47" ht="14.25">
      <c r="B32" s="723">
        <v>43973</v>
      </c>
      <c r="C32" s="710"/>
      <c r="D32" s="719">
        <f t="shared" si="6"/>
        <v>42647.64</v>
      </c>
      <c r="E32" s="271"/>
      <c r="F32" s="718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42647.64</v>
      </c>
    </row>
    <row r="33" spans="2:48" ht="14.25">
      <c r="B33" s="723">
        <v>43974</v>
      </c>
      <c r="C33" s="710"/>
      <c r="D33" s="719">
        <f t="shared" si="6"/>
        <v>42647.64</v>
      </c>
      <c r="E33" s="271"/>
      <c r="F33" s="718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42647.64</v>
      </c>
      <c r="AV33" s="225">
        <f t="shared" ref="AV33:AV41" si="8">SUM(AV32)</f>
        <v>0</v>
      </c>
    </row>
    <row r="34" spans="2:48" ht="14.25">
      <c r="B34" s="723">
        <v>43975</v>
      </c>
      <c r="C34" s="710"/>
      <c r="D34" s="719">
        <f t="shared" si="6"/>
        <v>42647.64</v>
      </c>
      <c r="E34" s="271"/>
      <c r="F34" s="718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42647.64</v>
      </c>
      <c r="AV34" s="225">
        <f t="shared" si="8"/>
        <v>0</v>
      </c>
    </row>
    <row r="35" spans="2:48" ht="14.25">
      <c r="B35" s="723">
        <v>43976</v>
      </c>
      <c r="C35" s="710"/>
      <c r="D35" s="719">
        <f t="shared" si="6"/>
        <v>42647.64</v>
      </c>
      <c r="E35" s="271"/>
      <c r="F35" s="718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42647.64</v>
      </c>
      <c r="AV35" s="225">
        <f t="shared" si="8"/>
        <v>0</v>
      </c>
    </row>
    <row r="36" spans="2:48" ht="14.25">
      <c r="B36" s="723">
        <v>43977</v>
      </c>
      <c r="C36" s="710"/>
      <c r="D36" s="719">
        <f t="shared" si="6"/>
        <v>42647.64</v>
      </c>
      <c r="E36" s="271"/>
      <c r="F36" s="718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42647.64</v>
      </c>
      <c r="AV36" s="225">
        <f t="shared" si="8"/>
        <v>0</v>
      </c>
    </row>
    <row r="37" spans="2:48" ht="14.25">
      <c r="B37" s="723">
        <v>43978</v>
      </c>
      <c r="C37" s="710"/>
      <c r="D37" s="719">
        <f t="shared" si="6"/>
        <v>42647.64</v>
      </c>
      <c r="E37" s="271"/>
      <c r="F37" s="718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42647.64</v>
      </c>
      <c r="AV37" s="225">
        <f t="shared" si="8"/>
        <v>0</v>
      </c>
    </row>
    <row r="38" spans="2:48" ht="14.25">
      <c r="B38" s="723">
        <v>43979</v>
      </c>
      <c r="C38" s="710"/>
      <c r="D38" s="719">
        <f t="shared" si="6"/>
        <v>42647.64</v>
      </c>
      <c r="E38" s="271"/>
      <c r="F38" s="718"/>
      <c r="G38" s="712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42647.64</v>
      </c>
      <c r="AV38" s="225">
        <f t="shared" si="8"/>
        <v>0</v>
      </c>
    </row>
    <row r="39" spans="2:48" ht="14.25">
      <c r="B39" s="723">
        <v>43980</v>
      </c>
      <c r="C39" s="710"/>
      <c r="D39" s="719">
        <f t="shared" si="6"/>
        <v>42647.64</v>
      </c>
      <c r="E39" s="271"/>
      <c r="F39" s="718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42647.64</v>
      </c>
      <c r="AV39" s="225">
        <f t="shared" si="8"/>
        <v>0</v>
      </c>
    </row>
    <row r="40" spans="2:48" ht="14.25">
      <c r="B40" s="723">
        <v>43981</v>
      </c>
      <c r="C40" s="710"/>
      <c r="D40" s="719">
        <f t="shared" si="6"/>
        <v>42647.64</v>
      </c>
      <c r="E40" s="271"/>
      <c r="F40" s="718">
        <v>15000</v>
      </c>
      <c r="G40" s="713" t="s">
        <v>319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42647.64</v>
      </c>
      <c r="AV40" s="225">
        <f t="shared" si="8"/>
        <v>0</v>
      </c>
    </row>
    <row r="41" spans="2:48" ht="14.25">
      <c r="B41" s="723">
        <v>43982</v>
      </c>
      <c r="C41" s="710"/>
      <c r="D41" s="719">
        <f t="shared" si="6"/>
        <v>42647.64</v>
      </c>
      <c r="E41" s="271"/>
      <c r="F41" s="718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42647.64</v>
      </c>
      <c r="AV41" s="225">
        <f t="shared" si="8"/>
        <v>0</v>
      </c>
    </row>
    <row r="42" spans="2:48" ht="14.25">
      <c r="B42" s="723">
        <v>43983</v>
      </c>
      <c r="C42" s="711"/>
      <c r="D42" s="719">
        <f t="shared" si="6"/>
        <v>42647.64</v>
      </c>
      <c r="E42" s="250"/>
      <c r="F42" s="718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42647.64</v>
      </c>
    </row>
    <row r="43" spans="2:48" ht="14.25">
      <c r="B43" s="616" t="s">
        <v>25</v>
      </c>
      <c r="C43" s="562" t="e">
        <f>AVERAGE(C11:C42)</f>
        <v>#DIV/0!</v>
      </c>
      <c r="D43" s="717">
        <f t="shared" si="6"/>
        <v>42647.64</v>
      </c>
      <c r="E43" s="250"/>
      <c r="F43" s="718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42647.64</v>
      </c>
    </row>
    <row r="44" spans="2:48" ht="15" thickBot="1">
      <c r="B44" s="617"/>
      <c r="C44" s="618"/>
      <c r="D44" s="720"/>
      <c r="E44" s="721"/>
      <c r="F44" s="722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10000</v>
      </c>
      <c r="F45" s="372">
        <f>SUM(F11:F42)</f>
        <v>25000</v>
      </c>
      <c r="G45" s="373">
        <f t="shared" ref="G45" si="9">SUM(G11:G44)</f>
        <v>0</v>
      </c>
      <c r="H45" s="372">
        <f>SUM(H11:H44)</f>
        <v>3026.8199999999997</v>
      </c>
      <c r="I45" s="367">
        <f t="shared" ref="I45:P45" si="10">SUM(I11:I44)</f>
        <v>3988.4700000000003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3457.58</v>
      </c>
      <c r="N45" s="372">
        <f t="shared" si="10"/>
        <v>7470</v>
      </c>
      <c r="O45" s="684">
        <f t="shared" si="10"/>
        <v>7057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8233</v>
      </c>
      <c r="T45" s="681">
        <f t="shared" si="0"/>
        <v>10472.869999999999</v>
      </c>
      <c r="U45" s="367">
        <f>SUM(N45:S45)</f>
        <v>22760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78.849999999999994</v>
      </c>
      <c r="Z45" s="283">
        <f t="shared" si="11"/>
        <v>63.03</v>
      </c>
      <c r="AA45" s="676">
        <f t="shared" si="11"/>
        <v>105.3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247.17999999999998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10720.05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24244694.049999997</v>
      </c>
      <c r="V47" s="377" t="s">
        <v>244</v>
      </c>
      <c r="AS47" s="644">
        <f>AS45*2143</f>
        <v>22973067.149999999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10591.827894276976</v>
      </c>
      <c r="V48" s="377" t="s">
        <v>245</v>
      </c>
      <c r="X48" s="236"/>
      <c r="Y48" s="236"/>
      <c r="Z48" s="236"/>
      <c r="AA48" s="236"/>
      <c r="AB48" s="236"/>
      <c r="AS48" s="376">
        <f>AS47/2289</f>
        <v>10036.289711664482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7" t="s">
        <v>241</v>
      </c>
      <c r="D50" s="828"/>
      <c r="E50" s="828"/>
      <c r="F50" s="828"/>
      <c r="G50" s="829"/>
      <c r="H50" s="655"/>
      <c r="I50" s="830" t="s">
        <v>213</v>
      </c>
      <c r="J50" s="831"/>
      <c r="K50" s="831"/>
      <c r="L50" s="831"/>
      <c r="M50" s="832"/>
      <c r="N50" s="655"/>
      <c r="O50" s="845" t="s">
        <v>311</v>
      </c>
      <c r="P50" s="846"/>
      <c r="Q50" s="846"/>
      <c r="R50" s="846"/>
      <c r="S50" s="847"/>
      <c r="U50" s="848" t="s">
        <v>226</v>
      </c>
      <c r="V50" s="849"/>
      <c r="W50" s="849"/>
      <c r="X50" s="849"/>
      <c r="Y50" s="849"/>
      <c r="Z50" s="850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8" sqref="F2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2"/>
      <c r="D6" s="853"/>
      <c r="E6" s="854"/>
      <c r="F6" s="854"/>
      <c r="G6" s="49" t="s">
        <v>4</v>
      </c>
      <c r="H6" s="47" t="s">
        <v>14</v>
      </c>
      <c r="I6" s="42"/>
      <c r="J6" s="116"/>
    </row>
    <row r="7" spans="1:15" ht="18" customHeight="1">
      <c r="A7" s="855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6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>
        <v>85</v>
      </c>
      <c r="C19" s="321">
        <v>83</v>
      </c>
      <c r="D19" s="321">
        <v>25</v>
      </c>
      <c r="E19" s="321"/>
      <c r="F19" s="321">
        <v>71231.259999999995</v>
      </c>
      <c r="G19" s="321">
        <f t="shared" si="0"/>
        <v>45.143999999976955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>
        <v>85</v>
      </c>
      <c r="C20" s="321">
        <v>83</v>
      </c>
      <c r="D20" s="321">
        <v>21</v>
      </c>
      <c r="E20" s="321"/>
      <c r="F20" s="321">
        <v>71240.100000000006</v>
      </c>
      <c r="G20" s="321">
        <f t="shared" si="0"/>
        <v>38.896000000048666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>
        <v>85</v>
      </c>
      <c r="C21" s="321">
        <v>83</v>
      </c>
      <c r="D21" s="321">
        <v>20</v>
      </c>
      <c r="E21" s="321"/>
      <c r="F21" s="321">
        <v>71246.240000000005</v>
      </c>
      <c r="G21" s="321">
        <f t="shared" si="0"/>
        <v>27.01599999999744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>
        <v>85</v>
      </c>
      <c r="C22" s="321">
        <v>83</v>
      </c>
      <c r="D22" s="321">
        <v>18</v>
      </c>
      <c r="E22" s="321"/>
      <c r="F22" s="321">
        <v>71252.88</v>
      </c>
      <c r="G22" s="321">
        <f t="shared" si="0"/>
        <v>29.21599999999744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>
        <v>85</v>
      </c>
      <c r="C23" s="321">
        <v>83</v>
      </c>
      <c r="D23" s="321">
        <v>16</v>
      </c>
      <c r="E23" s="321"/>
      <c r="F23" s="321">
        <v>71261.33</v>
      </c>
      <c r="G23" s="321">
        <f t="shared" si="0"/>
        <v>37.179999999987196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>
        <v>85</v>
      </c>
      <c r="C24" s="321">
        <v>83</v>
      </c>
      <c r="D24" s="321">
        <v>15</v>
      </c>
      <c r="E24" s="321"/>
      <c r="F24" s="321">
        <v>71266.37</v>
      </c>
      <c r="G24" s="321">
        <f t="shared" si="0"/>
        <v>22.175999999971829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>
        <v>85</v>
      </c>
      <c r="C25" s="321">
        <v>83</v>
      </c>
      <c r="D25" s="321">
        <v>13</v>
      </c>
      <c r="E25" s="321"/>
      <c r="F25" s="321">
        <v>71274.289999999994</v>
      </c>
      <c r="G25" s="321">
        <f t="shared" si="0"/>
        <v>34.847999999992318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-313606.87599999999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1" t="s">
        <v>6</v>
      </c>
      <c r="D42" s="851"/>
      <c r="E42" s="2">
        <f t="shared" ref="E42:F42" si="4">SUM(E10:E40)</f>
        <v>0</v>
      </c>
      <c r="F42" s="2">
        <f t="shared" si="4"/>
        <v>1139536.6200000001</v>
      </c>
      <c r="G42" s="104">
        <f>SUM(G10:G40)</f>
        <v>-313130.53200000001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AF21" sqref="AF2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1" t="s">
        <v>315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2"/>
      <c r="W1" s="862"/>
      <c r="X1" s="862"/>
      <c r="Y1" s="862"/>
      <c r="Z1" s="862"/>
      <c r="AA1" s="862"/>
      <c r="AB1" s="862"/>
      <c r="AC1" s="862"/>
      <c r="AD1" s="862"/>
      <c r="AE1" s="862"/>
      <c r="AF1" s="862"/>
      <c r="AG1" s="862"/>
      <c r="AH1" s="862"/>
      <c r="AI1" s="862"/>
      <c r="AJ1" s="862"/>
      <c r="AK1" s="862"/>
      <c r="AL1" s="862"/>
      <c r="AM1" s="862"/>
      <c r="AN1" s="862"/>
    </row>
    <row r="2" spans="1:40" ht="13.5" customHeight="1" thickTop="1">
      <c r="A2" s="30"/>
      <c r="B2" s="30"/>
      <c r="C2" s="858" t="s">
        <v>52</v>
      </c>
      <c r="D2" s="858"/>
      <c r="E2" s="858"/>
      <c r="F2" s="858" t="s">
        <v>17</v>
      </c>
      <c r="G2" s="858"/>
      <c r="H2" s="858"/>
      <c r="I2" s="858" t="s">
        <v>131</v>
      </c>
      <c r="J2" s="858"/>
      <c r="K2" s="858"/>
      <c r="L2" s="858" t="s">
        <v>134</v>
      </c>
      <c r="M2" s="858"/>
      <c r="N2" s="858"/>
      <c r="O2" s="858" t="s">
        <v>132</v>
      </c>
      <c r="P2" s="858"/>
      <c r="Q2" s="858"/>
      <c r="R2" s="301"/>
      <c r="S2" s="869" t="s">
        <v>181</v>
      </c>
      <c r="T2" s="870"/>
      <c r="U2" s="871"/>
      <c r="V2" s="869" t="s">
        <v>182</v>
      </c>
      <c r="W2" s="870"/>
      <c r="X2" s="871"/>
      <c r="Y2" s="869" t="s">
        <v>183</v>
      </c>
      <c r="Z2" s="870"/>
      <c r="AA2" s="871"/>
      <c r="AB2" s="869" t="s">
        <v>184</v>
      </c>
      <c r="AC2" s="870"/>
      <c r="AD2" s="871"/>
      <c r="AE2" s="863" t="s">
        <v>239</v>
      </c>
      <c r="AF2" s="864"/>
      <c r="AG2" s="875"/>
      <c r="AH2" s="863" t="s">
        <v>243</v>
      </c>
      <c r="AI2" s="864"/>
      <c r="AJ2" s="875"/>
      <c r="AK2" s="863" t="s">
        <v>240</v>
      </c>
      <c r="AL2" s="864"/>
      <c r="AM2" s="864"/>
      <c r="AN2" s="867" t="s">
        <v>189</v>
      </c>
    </row>
    <row r="3" spans="1:40" ht="21.75" customHeight="1" thickBot="1">
      <c r="A3" s="859" t="s">
        <v>7</v>
      </c>
      <c r="B3" s="30"/>
      <c r="C3" s="858" t="s">
        <v>133</v>
      </c>
      <c r="D3" s="858" t="s">
        <v>15</v>
      </c>
      <c r="E3" s="858" t="s">
        <v>16</v>
      </c>
      <c r="F3" s="858" t="s">
        <v>133</v>
      </c>
      <c r="G3" s="858" t="s">
        <v>15</v>
      </c>
      <c r="H3" s="858" t="s">
        <v>16</v>
      </c>
      <c r="I3" s="858" t="s">
        <v>133</v>
      </c>
      <c r="J3" s="858" t="s">
        <v>15</v>
      </c>
      <c r="K3" s="858" t="s">
        <v>16</v>
      </c>
      <c r="L3" s="858" t="s">
        <v>133</v>
      </c>
      <c r="M3" s="858" t="s">
        <v>15</v>
      </c>
      <c r="N3" s="858" t="s">
        <v>16</v>
      </c>
      <c r="O3" s="858" t="s">
        <v>133</v>
      </c>
      <c r="P3" s="858" t="s">
        <v>15</v>
      </c>
      <c r="Q3" s="858" t="s">
        <v>16</v>
      </c>
      <c r="R3" s="877" t="s">
        <v>185</v>
      </c>
      <c r="S3" s="872"/>
      <c r="T3" s="873"/>
      <c r="U3" s="874"/>
      <c r="V3" s="872"/>
      <c r="W3" s="873"/>
      <c r="X3" s="874"/>
      <c r="Y3" s="872"/>
      <c r="Z3" s="873"/>
      <c r="AA3" s="874"/>
      <c r="AB3" s="872"/>
      <c r="AC3" s="873"/>
      <c r="AD3" s="874"/>
      <c r="AE3" s="865"/>
      <c r="AF3" s="866"/>
      <c r="AG3" s="876"/>
      <c r="AH3" s="865"/>
      <c r="AI3" s="866"/>
      <c r="AJ3" s="876"/>
      <c r="AK3" s="865"/>
      <c r="AL3" s="866"/>
      <c r="AM3" s="866"/>
      <c r="AN3" s="868"/>
    </row>
    <row r="4" spans="1:40" ht="15.75" thickTop="1">
      <c r="A4" s="860"/>
      <c r="B4" s="293"/>
      <c r="C4" s="858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O4" s="858"/>
      <c r="P4" s="858"/>
      <c r="Q4" s="858"/>
      <c r="R4" s="877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5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IF((AI7-AI5)&lt;0,"0",(AI7-AI5))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IF((AI8-AI6)&lt;0,"0",(AI8-AI6))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6">
        <v>24546</v>
      </c>
      <c r="AJ14" s="568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>
        <v>234178</v>
      </c>
      <c r="E15" s="59">
        <f t="shared" si="1"/>
        <v>51</v>
      </c>
      <c r="F15" s="98">
        <f t="shared" si="2"/>
        <v>38000</v>
      </c>
      <c r="G15" s="458">
        <v>38000</v>
      </c>
      <c r="H15" s="567">
        <f t="shared" si="3"/>
        <v>0</v>
      </c>
      <c r="I15" s="98">
        <f t="shared" si="4"/>
        <v>7907</v>
      </c>
      <c r="J15" s="1">
        <v>7908</v>
      </c>
      <c r="K15" s="567">
        <f t="shared" si="5"/>
        <v>1</v>
      </c>
      <c r="L15" s="98">
        <f t="shared" si="6"/>
        <v>11978</v>
      </c>
      <c r="M15" s="1">
        <v>11978</v>
      </c>
      <c r="N15" s="567">
        <f t="shared" si="7"/>
        <v>0</v>
      </c>
      <c r="O15" s="98">
        <f t="shared" si="8"/>
        <v>20137</v>
      </c>
      <c r="P15" s="454">
        <v>20137</v>
      </c>
      <c r="Q15" s="567">
        <f t="shared" si="9"/>
        <v>0</v>
      </c>
      <c r="R15" s="299"/>
      <c r="S15" s="294">
        <f t="shared" si="16"/>
        <v>52586</v>
      </c>
      <c r="T15" s="455">
        <v>52610</v>
      </c>
      <c r="U15" s="568">
        <f t="shared" si="17"/>
        <v>24</v>
      </c>
      <c r="V15" s="294">
        <f t="shared" si="10"/>
        <v>71260</v>
      </c>
      <c r="W15" s="455">
        <v>71260</v>
      </c>
      <c r="X15" s="568">
        <f t="shared" si="18"/>
        <v>0</v>
      </c>
      <c r="Y15" s="294">
        <f t="shared" si="11"/>
        <v>80538</v>
      </c>
      <c r="Z15" s="455">
        <v>80538</v>
      </c>
      <c r="AA15" s="568">
        <f t="shared" si="19"/>
        <v>0</v>
      </c>
      <c r="AB15" s="294">
        <f t="shared" si="12"/>
        <v>13819</v>
      </c>
      <c r="AC15" s="572">
        <v>13841</v>
      </c>
      <c r="AD15" s="568">
        <f t="shared" si="20"/>
        <v>22</v>
      </c>
      <c r="AE15" s="294">
        <f t="shared" si="13"/>
        <v>17976</v>
      </c>
      <c r="AF15" s="456">
        <v>17976</v>
      </c>
      <c r="AG15" s="568">
        <f t="shared" si="21"/>
        <v>0</v>
      </c>
      <c r="AH15" s="294">
        <f t="shared" si="14"/>
        <v>24546</v>
      </c>
      <c r="AI15" s="636">
        <v>24546</v>
      </c>
      <c r="AJ15" s="568">
        <f t="shared" si="23"/>
        <v>0</v>
      </c>
      <c r="AK15" s="375">
        <f t="shared" si="15"/>
        <v>15154</v>
      </c>
      <c r="AL15" s="455">
        <v>15154</v>
      </c>
      <c r="AM15" s="568">
        <f t="shared" si="22"/>
        <v>0</v>
      </c>
      <c r="AN15" s="460">
        <f t="shared" si="24"/>
        <v>46</v>
      </c>
    </row>
    <row r="16" spans="1:40" ht="23.1" customHeight="1">
      <c r="A16" s="58">
        <f>Gen!B21</f>
        <v>43962</v>
      </c>
      <c r="B16" s="4"/>
      <c r="C16" s="98">
        <f t="shared" si="0"/>
        <v>234178</v>
      </c>
      <c r="D16" s="1">
        <v>234234</v>
      </c>
      <c r="E16" s="59">
        <f>IF((D16-D15)&lt;0,"0",(D16-D15))</f>
        <v>56</v>
      </c>
      <c r="F16" s="98">
        <f t="shared" si="2"/>
        <v>38000</v>
      </c>
      <c r="G16" s="458">
        <v>38000</v>
      </c>
      <c r="H16" s="567">
        <f t="shared" si="3"/>
        <v>0</v>
      </c>
      <c r="I16" s="98">
        <f t="shared" si="4"/>
        <v>7908</v>
      </c>
      <c r="J16" s="1">
        <v>7908</v>
      </c>
      <c r="K16" s="567">
        <f t="shared" si="5"/>
        <v>0</v>
      </c>
      <c r="L16" s="98"/>
      <c r="M16" s="1">
        <v>11978</v>
      </c>
      <c r="N16" s="567">
        <f t="shared" si="7"/>
        <v>0</v>
      </c>
      <c r="O16" s="98">
        <f t="shared" si="8"/>
        <v>20137</v>
      </c>
      <c r="P16" s="454">
        <v>20137</v>
      </c>
      <c r="Q16" s="567">
        <f t="shared" si="9"/>
        <v>0</v>
      </c>
      <c r="R16" s="299"/>
      <c r="S16" s="294">
        <f t="shared" si="16"/>
        <v>52610</v>
      </c>
      <c r="T16" s="455">
        <v>52647</v>
      </c>
      <c r="U16" s="568">
        <f t="shared" si="17"/>
        <v>37</v>
      </c>
      <c r="V16" s="294">
        <f t="shared" si="10"/>
        <v>71260</v>
      </c>
      <c r="W16" s="455">
        <v>71260</v>
      </c>
      <c r="X16" s="568">
        <f t="shared" si="18"/>
        <v>0</v>
      </c>
      <c r="Y16" s="294">
        <f t="shared" si="11"/>
        <v>80538</v>
      </c>
      <c r="Z16" s="455">
        <v>80538</v>
      </c>
      <c r="AA16" s="568">
        <f t="shared" si="19"/>
        <v>0</v>
      </c>
      <c r="AB16" s="294">
        <f t="shared" si="12"/>
        <v>13841</v>
      </c>
      <c r="AC16" s="572">
        <v>13863</v>
      </c>
      <c r="AD16" s="568">
        <f t="shared" si="20"/>
        <v>22</v>
      </c>
      <c r="AE16" s="294">
        <f t="shared" si="13"/>
        <v>17976</v>
      </c>
      <c r="AF16" s="456">
        <v>17976</v>
      </c>
      <c r="AG16" s="568">
        <f t="shared" si="21"/>
        <v>0</v>
      </c>
      <c r="AH16" s="294">
        <f t="shared" si="14"/>
        <v>24546</v>
      </c>
      <c r="AI16" s="636">
        <v>24546</v>
      </c>
      <c r="AJ16" s="568">
        <f>IF((AI17-AI15)&lt;0,"0",(AI17-AI15))</f>
        <v>0</v>
      </c>
      <c r="AK16" s="375">
        <f t="shared" si="15"/>
        <v>15154</v>
      </c>
      <c r="AL16" s="455">
        <v>15154</v>
      </c>
      <c r="AM16" s="568">
        <f t="shared" si="22"/>
        <v>0</v>
      </c>
      <c r="AN16" s="460">
        <f t="shared" si="24"/>
        <v>59</v>
      </c>
    </row>
    <row r="17" spans="1:40" ht="23.1" customHeight="1">
      <c r="A17" s="58">
        <f>Gen!B22</f>
        <v>43963</v>
      </c>
      <c r="B17" s="4"/>
      <c r="C17" s="98">
        <f t="shared" si="0"/>
        <v>234234</v>
      </c>
      <c r="D17" s="1">
        <v>234292</v>
      </c>
      <c r="E17" s="567">
        <f>IF((D17-D16)&lt;0,"0",(D17-D16))</f>
        <v>58</v>
      </c>
      <c r="F17" s="98">
        <f t="shared" si="2"/>
        <v>38000</v>
      </c>
      <c r="G17" s="458">
        <v>38000</v>
      </c>
      <c r="H17" s="567">
        <f t="shared" si="3"/>
        <v>0</v>
      </c>
      <c r="I17" s="98">
        <f t="shared" si="4"/>
        <v>7908</v>
      </c>
      <c r="J17" s="1">
        <v>7908</v>
      </c>
      <c r="K17" s="567">
        <f t="shared" si="5"/>
        <v>0</v>
      </c>
      <c r="L17" s="98"/>
      <c r="M17" s="1">
        <v>11978</v>
      </c>
      <c r="N17" s="567">
        <f t="shared" si="7"/>
        <v>0</v>
      </c>
      <c r="O17" s="98">
        <f t="shared" si="8"/>
        <v>20137</v>
      </c>
      <c r="P17" s="454">
        <v>20138</v>
      </c>
      <c r="Q17" s="567">
        <f t="shared" si="9"/>
        <v>1</v>
      </c>
      <c r="R17" s="299"/>
      <c r="S17" s="294">
        <f t="shared" si="16"/>
        <v>52647</v>
      </c>
      <c r="T17" s="455">
        <v>52670</v>
      </c>
      <c r="U17" s="568">
        <f t="shared" si="17"/>
        <v>23</v>
      </c>
      <c r="V17" s="294">
        <f t="shared" si="10"/>
        <v>71260</v>
      </c>
      <c r="W17" s="455">
        <v>71260</v>
      </c>
      <c r="X17" s="568">
        <f>IF((W17-W16)&lt;0,"0",(W17-W16))</f>
        <v>0</v>
      </c>
      <c r="Y17" s="294">
        <f t="shared" si="11"/>
        <v>80538</v>
      </c>
      <c r="Z17" s="455">
        <v>80581</v>
      </c>
      <c r="AA17" s="568">
        <f>IF((Z17-Z16)&lt;0,"0",(Z17-Z16))</f>
        <v>43</v>
      </c>
      <c r="AB17" s="294">
        <f t="shared" si="12"/>
        <v>13863</v>
      </c>
      <c r="AC17" s="572">
        <v>13885</v>
      </c>
      <c r="AD17" s="568">
        <f>IF((AC17-AC16)&lt;0,"0",(AC17-AC16))</f>
        <v>22</v>
      </c>
      <c r="AE17" s="294">
        <f t="shared" si="13"/>
        <v>17976</v>
      </c>
      <c r="AF17" s="456">
        <v>17976</v>
      </c>
      <c r="AG17" s="568">
        <f>IF((AF17-AF16)&lt;0,"0",(AF17-AF16))</f>
        <v>0</v>
      </c>
      <c r="AH17" s="294">
        <f t="shared" si="14"/>
        <v>24546</v>
      </c>
      <c r="AI17" s="636">
        <v>24546</v>
      </c>
      <c r="AJ17" s="568">
        <f>IF((AI18-AI16)&lt;0,"0",(AI18-AI16))</f>
        <v>0</v>
      </c>
      <c r="AK17" s="375">
        <f t="shared" si="15"/>
        <v>15154</v>
      </c>
      <c r="AL17" s="455">
        <v>15154</v>
      </c>
      <c r="AM17" s="568">
        <f>IF((AL17-AL16)&lt;0,"0",(AL17-AL16))</f>
        <v>0</v>
      </c>
      <c r="AN17" s="460">
        <f t="shared" si="24"/>
        <v>88</v>
      </c>
    </row>
    <row r="18" spans="1:40" ht="23.1" customHeight="1">
      <c r="A18" s="58">
        <f>Gen!B23</f>
        <v>43964</v>
      </c>
      <c r="B18" s="4"/>
      <c r="C18" s="98">
        <f t="shared" si="0"/>
        <v>234292</v>
      </c>
      <c r="D18" s="1">
        <v>234333</v>
      </c>
      <c r="E18" s="567">
        <f t="shared" ref="E18:E37" si="26">IF((D18-D17)&lt;0,"0",(D18-D17))</f>
        <v>41</v>
      </c>
      <c r="F18" s="98">
        <f t="shared" si="2"/>
        <v>38000</v>
      </c>
      <c r="G18" s="458">
        <v>38000</v>
      </c>
      <c r="H18" s="567">
        <f t="shared" si="3"/>
        <v>0</v>
      </c>
      <c r="I18" s="98"/>
      <c r="J18" s="1">
        <v>7909</v>
      </c>
      <c r="K18" s="567">
        <f t="shared" si="5"/>
        <v>1</v>
      </c>
      <c r="L18" s="98">
        <f t="shared" si="6"/>
        <v>11978</v>
      </c>
      <c r="M18" s="1">
        <v>11978</v>
      </c>
      <c r="N18" s="567">
        <f t="shared" si="7"/>
        <v>0</v>
      </c>
      <c r="O18" s="98">
        <f t="shared" si="8"/>
        <v>20138</v>
      </c>
      <c r="P18" s="454">
        <v>20138</v>
      </c>
      <c r="Q18" s="567">
        <f t="shared" si="9"/>
        <v>0</v>
      </c>
      <c r="R18" s="299"/>
      <c r="S18" s="294">
        <f t="shared" si="16"/>
        <v>52670</v>
      </c>
      <c r="T18" s="455">
        <v>52680</v>
      </c>
      <c r="U18" s="568">
        <f t="shared" si="17"/>
        <v>10</v>
      </c>
      <c r="V18" s="294">
        <f t="shared" si="10"/>
        <v>71260</v>
      </c>
      <c r="W18" s="455">
        <v>71260</v>
      </c>
      <c r="X18" s="568">
        <f t="shared" si="18"/>
        <v>0</v>
      </c>
      <c r="Y18" s="294">
        <f t="shared" si="11"/>
        <v>80581</v>
      </c>
      <c r="Z18" s="455">
        <v>80591</v>
      </c>
      <c r="AA18" s="568">
        <f t="shared" si="19"/>
        <v>10</v>
      </c>
      <c r="AB18" s="294">
        <f t="shared" si="12"/>
        <v>13885</v>
      </c>
      <c r="AC18" s="572">
        <v>13889</v>
      </c>
      <c r="AD18" s="568">
        <f t="shared" si="20"/>
        <v>4</v>
      </c>
      <c r="AE18" s="294">
        <f t="shared" si="13"/>
        <v>17976</v>
      </c>
      <c r="AF18" s="456">
        <v>17976</v>
      </c>
      <c r="AG18" s="568">
        <f t="shared" si="21"/>
        <v>0</v>
      </c>
      <c r="AH18" s="294">
        <f>AI17</f>
        <v>24546</v>
      </c>
      <c r="AI18" s="636">
        <v>24546</v>
      </c>
      <c r="AJ18" s="568">
        <f>IF((AI19-AI17)&lt;0,"0",(AI19-AI17))</f>
        <v>0</v>
      </c>
      <c r="AK18" s="375">
        <f t="shared" si="15"/>
        <v>15154</v>
      </c>
      <c r="AL18" s="455">
        <v>15154</v>
      </c>
      <c r="AM18" s="568">
        <f t="shared" ref="AM18:AM26" si="27">IF((AL18-AL17)&lt;0,"0",(AL18-AL17))</f>
        <v>0</v>
      </c>
      <c r="AN18" s="460">
        <f t="shared" si="24"/>
        <v>24</v>
      </c>
    </row>
    <row r="19" spans="1:40" ht="23.1" customHeight="1">
      <c r="A19" s="58">
        <f>Gen!B24</f>
        <v>43965</v>
      </c>
      <c r="B19" s="4"/>
      <c r="C19" s="98">
        <f t="shared" si="0"/>
        <v>234333</v>
      </c>
      <c r="D19" s="1">
        <v>234366</v>
      </c>
      <c r="E19" s="567">
        <f t="shared" si="26"/>
        <v>33</v>
      </c>
      <c r="F19" s="98">
        <f t="shared" si="2"/>
        <v>38000</v>
      </c>
      <c r="G19" s="458">
        <v>38000</v>
      </c>
      <c r="H19" s="567">
        <f t="shared" si="3"/>
        <v>0</v>
      </c>
      <c r="I19" s="98">
        <f t="shared" si="4"/>
        <v>7909</v>
      </c>
      <c r="J19" s="1">
        <v>7910</v>
      </c>
      <c r="K19" s="567">
        <f t="shared" si="5"/>
        <v>1</v>
      </c>
      <c r="L19" s="98">
        <f t="shared" si="6"/>
        <v>11978</v>
      </c>
      <c r="M19" s="1">
        <v>11978</v>
      </c>
      <c r="N19" s="567">
        <f t="shared" si="7"/>
        <v>0</v>
      </c>
      <c r="O19" s="98">
        <f t="shared" si="8"/>
        <v>20138</v>
      </c>
      <c r="P19" s="454">
        <v>20138</v>
      </c>
      <c r="Q19" s="567">
        <f t="shared" si="9"/>
        <v>0</v>
      </c>
      <c r="R19" s="299"/>
      <c r="S19" s="294">
        <f t="shared" si="16"/>
        <v>52680</v>
      </c>
      <c r="T19" s="455">
        <v>52743</v>
      </c>
      <c r="U19" s="568">
        <f t="shared" si="17"/>
        <v>63</v>
      </c>
      <c r="V19" s="294">
        <f t="shared" si="10"/>
        <v>71260</v>
      </c>
      <c r="W19" s="455">
        <v>71260</v>
      </c>
      <c r="X19" s="568">
        <f t="shared" si="18"/>
        <v>0</v>
      </c>
      <c r="Y19" s="294">
        <f t="shared" si="11"/>
        <v>80591</v>
      </c>
      <c r="Z19" s="455">
        <v>80591</v>
      </c>
      <c r="AA19" s="568">
        <f t="shared" si="19"/>
        <v>0</v>
      </c>
      <c r="AB19" s="294">
        <f t="shared" si="12"/>
        <v>13889</v>
      </c>
      <c r="AC19" s="572">
        <v>13889</v>
      </c>
      <c r="AD19" s="568">
        <f t="shared" si="20"/>
        <v>0</v>
      </c>
      <c r="AE19" s="294">
        <f t="shared" si="13"/>
        <v>17976</v>
      </c>
      <c r="AF19" s="456">
        <v>17976</v>
      </c>
      <c r="AG19" s="568">
        <f t="shared" si="21"/>
        <v>0</v>
      </c>
      <c r="AH19" s="294">
        <f>AI18</f>
        <v>24546</v>
      </c>
      <c r="AI19" s="636">
        <v>24546</v>
      </c>
      <c r="AJ19" s="568">
        <f>IF((AI20-AI18)&lt;0,"0",(AI20-AI18))</f>
        <v>0</v>
      </c>
      <c r="AK19" s="375">
        <f t="shared" si="15"/>
        <v>15154</v>
      </c>
      <c r="AL19" s="455">
        <v>15154</v>
      </c>
      <c r="AM19" s="568">
        <f t="shared" si="27"/>
        <v>0</v>
      </c>
      <c r="AN19" s="460">
        <f t="shared" si="24"/>
        <v>63</v>
      </c>
    </row>
    <row r="20" spans="1:40" ht="23.1" customHeight="1">
      <c r="A20" s="58">
        <f>Gen!B25</f>
        <v>43966</v>
      </c>
      <c r="B20" s="4"/>
      <c r="C20" s="98">
        <f t="shared" si="0"/>
        <v>234366</v>
      </c>
      <c r="D20" s="1">
        <v>234404</v>
      </c>
      <c r="E20" s="567">
        <f t="shared" si="26"/>
        <v>38</v>
      </c>
      <c r="F20" s="98">
        <f t="shared" si="2"/>
        <v>38000</v>
      </c>
      <c r="G20" s="458">
        <v>38000</v>
      </c>
      <c r="H20" s="567">
        <f t="shared" si="3"/>
        <v>0</v>
      </c>
      <c r="I20" s="98">
        <f t="shared" si="4"/>
        <v>7910</v>
      </c>
      <c r="J20" s="1">
        <v>7912</v>
      </c>
      <c r="K20" s="567">
        <f t="shared" si="5"/>
        <v>2</v>
      </c>
      <c r="L20" s="98">
        <f t="shared" si="6"/>
        <v>11978</v>
      </c>
      <c r="M20" s="1">
        <v>11978</v>
      </c>
      <c r="N20" s="567">
        <f t="shared" si="7"/>
        <v>0</v>
      </c>
      <c r="O20" s="98">
        <f t="shared" si="8"/>
        <v>20138</v>
      </c>
      <c r="P20" s="454">
        <v>20139</v>
      </c>
      <c r="Q20" s="567">
        <f t="shared" si="9"/>
        <v>1</v>
      </c>
      <c r="R20" s="299"/>
      <c r="S20" s="294">
        <f t="shared" si="16"/>
        <v>52743</v>
      </c>
      <c r="T20" s="455">
        <v>52765</v>
      </c>
      <c r="U20" s="568">
        <f t="shared" si="17"/>
        <v>22</v>
      </c>
      <c r="V20" s="294">
        <f t="shared" si="10"/>
        <v>71260</v>
      </c>
      <c r="W20" s="455">
        <v>71260</v>
      </c>
      <c r="X20" s="568">
        <f t="shared" si="18"/>
        <v>0</v>
      </c>
      <c r="Y20" s="294">
        <f t="shared" si="11"/>
        <v>80591</v>
      </c>
      <c r="Z20" s="455">
        <v>80591</v>
      </c>
      <c r="AA20" s="568">
        <f t="shared" si="19"/>
        <v>0</v>
      </c>
      <c r="AB20" s="294">
        <f t="shared" si="12"/>
        <v>13889</v>
      </c>
      <c r="AC20" s="572">
        <v>13889</v>
      </c>
      <c r="AD20" s="568">
        <f t="shared" si="20"/>
        <v>0</v>
      </c>
      <c r="AE20" s="294">
        <f t="shared" si="13"/>
        <v>17976</v>
      </c>
      <c r="AF20" s="456">
        <v>17976</v>
      </c>
      <c r="AG20" s="568">
        <f t="shared" si="21"/>
        <v>0</v>
      </c>
      <c r="AH20" s="294">
        <f t="shared" si="14"/>
        <v>24546</v>
      </c>
      <c r="AI20" s="636">
        <v>24546</v>
      </c>
      <c r="AJ20" s="568">
        <f t="shared" si="23"/>
        <v>0</v>
      </c>
      <c r="AK20" s="375">
        <f t="shared" si="15"/>
        <v>15154</v>
      </c>
      <c r="AL20" s="455">
        <v>15154</v>
      </c>
      <c r="AM20" s="568">
        <f t="shared" si="27"/>
        <v>0</v>
      </c>
      <c r="AN20" s="460">
        <f t="shared" si="24"/>
        <v>22</v>
      </c>
    </row>
    <row r="21" spans="1:40" ht="23.1" customHeight="1">
      <c r="A21" s="58">
        <f>Gen!B26</f>
        <v>43967</v>
      </c>
      <c r="B21" s="4"/>
      <c r="C21" s="98">
        <f t="shared" si="0"/>
        <v>234404</v>
      </c>
      <c r="D21" s="1">
        <v>234448</v>
      </c>
      <c r="E21" s="567">
        <f t="shared" si="26"/>
        <v>44</v>
      </c>
      <c r="F21" s="98">
        <f t="shared" si="2"/>
        <v>38000</v>
      </c>
      <c r="G21" s="458">
        <v>38000</v>
      </c>
      <c r="H21" s="567">
        <f t="shared" si="3"/>
        <v>0</v>
      </c>
      <c r="I21" s="98">
        <f t="shared" si="4"/>
        <v>7912</v>
      </c>
      <c r="J21" s="1">
        <v>7912</v>
      </c>
      <c r="K21" s="567">
        <f t="shared" si="5"/>
        <v>0</v>
      </c>
      <c r="L21" s="98">
        <f t="shared" si="6"/>
        <v>11978</v>
      </c>
      <c r="M21" s="1">
        <v>11978</v>
      </c>
      <c r="N21" s="567">
        <f t="shared" si="7"/>
        <v>0</v>
      </c>
      <c r="O21" s="98">
        <f t="shared" si="8"/>
        <v>20139</v>
      </c>
      <c r="P21" s="454">
        <v>20140</v>
      </c>
      <c r="Q21" s="567">
        <f t="shared" si="9"/>
        <v>1</v>
      </c>
      <c r="R21" s="299"/>
      <c r="S21" s="294">
        <f t="shared" si="16"/>
        <v>52765</v>
      </c>
      <c r="T21" s="455">
        <v>52847</v>
      </c>
      <c r="U21" s="568">
        <f t="shared" si="17"/>
        <v>82</v>
      </c>
      <c r="V21" s="294">
        <f t="shared" ref="V21:V37" si="28">W20</f>
        <v>71260</v>
      </c>
      <c r="W21" s="455">
        <v>71260</v>
      </c>
      <c r="X21" s="568">
        <f t="shared" si="18"/>
        <v>0</v>
      </c>
      <c r="Y21" s="294">
        <f t="shared" si="11"/>
        <v>80591</v>
      </c>
      <c r="Z21" s="455">
        <v>80591</v>
      </c>
      <c r="AA21" s="568">
        <f t="shared" si="19"/>
        <v>0</v>
      </c>
      <c r="AB21" s="294">
        <f t="shared" si="12"/>
        <v>13889</v>
      </c>
      <c r="AC21" s="572">
        <v>13889</v>
      </c>
      <c r="AD21" s="568">
        <f t="shared" si="20"/>
        <v>0</v>
      </c>
      <c r="AE21" s="294">
        <f t="shared" si="13"/>
        <v>17976</v>
      </c>
      <c r="AF21" s="456">
        <v>17976</v>
      </c>
      <c r="AG21" s="568">
        <f t="shared" si="21"/>
        <v>0</v>
      </c>
      <c r="AH21" s="294">
        <f t="shared" si="14"/>
        <v>24546</v>
      </c>
      <c r="AI21" s="636">
        <v>24546</v>
      </c>
      <c r="AJ21" s="568" t="str">
        <f t="shared" si="23"/>
        <v>0</v>
      </c>
      <c r="AK21" s="375">
        <f t="shared" si="15"/>
        <v>15154</v>
      </c>
      <c r="AL21" s="455">
        <v>15154</v>
      </c>
      <c r="AM21" s="568">
        <f t="shared" si="27"/>
        <v>0</v>
      </c>
      <c r="AN21" s="460">
        <f t="shared" si="24"/>
        <v>82</v>
      </c>
    </row>
    <row r="22" spans="1:40" ht="23.1" customHeight="1">
      <c r="A22" s="58">
        <f>Gen!B27</f>
        <v>43968</v>
      </c>
      <c r="B22" s="4"/>
      <c r="C22" s="98">
        <f t="shared" si="0"/>
        <v>234448</v>
      </c>
      <c r="D22" s="1"/>
      <c r="E22" s="567" t="str">
        <f t="shared" si="26"/>
        <v>0</v>
      </c>
      <c r="F22" s="98">
        <f t="shared" si="2"/>
        <v>38000</v>
      </c>
      <c r="G22" s="458"/>
      <c r="H22" s="567" t="str">
        <f t="shared" si="3"/>
        <v>0</v>
      </c>
      <c r="I22" s="98">
        <f t="shared" si="4"/>
        <v>7912</v>
      </c>
      <c r="J22" s="1"/>
      <c r="K22" s="567" t="str">
        <f t="shared" si="5"/>
        <v>0</v>
      </c>
      <c r="L22" s="98">
        <f t="shared" si="6"/>
        <v>11978</v>
      </c>
      <c r="M22" s="1"/>
      <c r="N22" s="567" t="str">
        <f t="shared" si="7"/>
        <v>0</v>
      </c>
      <c r="O22" s="98">
        <f t="shared" si="8"/>
        <v>20140</v>
      </c>
      <c r="P22" s="454"/>
      <c r="Q22" s="567" t="str">
        <f t="shared" si="9"/>
        <v>0</v>
      </c>
      <c r="R22" s="299"/>
      <c r="S22" s="294">
        <f t="shared" si="16"/>
        <v>52847</v>
      </c>
      <c r="T22" s="455"/>
      <c r="U22" s="568" t="str">
        <f t="shared" si="17"/>
        <v>0</v>
      </c>
      <c r="V22" s="294">
        <f t="shared" si="28"/>
        <v>71260</v>
      </c>
      <c r="W22" s="455"/>
      <c r="X22" s="568" t="str">
        <f t="shared" si="18"/>
        <v>0</v>
      </c>
      <c r="Y22" s="294">
        <f t="shared" si="11"/>
        <v>80591</v>
      </c>
      <c r="Z22" s="455"/>
      <c r="AA22" s="568" t="str">
        <f t="shared" si="19"/>
        <v>0</v>
      </c>
      <c r="AB22" s="294">
        <f t="shared" si="12"/>
        <v>13889</v>
      </c>
      <c r="AC22" s="572"/>
      <c r="AD22" s="568" t="str">
        <f t="shared" si="20"/>
        <v>0</v>
      </c>
      <c r="AE22" s="294">
        <f t="shared" si="13"/>
        <v>17976</v>
      </c>
      <c r="AF22" s="456"/>
      <c r="AG22" s="568" t="str">
        <f t="shared" si="21"/>
        <v>0</v>
      </c>
      <c r="AH22" s="294">
        <f t="shared" si="14"/>
        <v>24546</v>
      </c>
      <c r="AI22" s="456"/>
      <c r="AJ22" s="568" t="str">
        <f t="shared" si="23"/>
        <v>0</v>
      </c>
      <c r="AK22" s="375">
        <f t="shared" si="15"/>
        <v>15154</v>
      </c>
      <c r="AL22" s="455"/>
      <c r="AM22" s="568" t="str">
        <f t="shared" si="27"/>
        <v>0</v>
      </c>
      <c r="AN22" s="460">
        <f t="shared" si="24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6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5"/>
        <v>0</v>
      </c>
      <c r="L23" s="98">
        <f t="shared" si="6"/>
        <v>0</v>
      </c>
      <c r="M23" s="1"/>
      <c r="N23" s="567">
        <f t="shared" si="7"/>
        <v>0</v>
      </c>
      <c r="O23" s="98">
        <f t="shared" si="8"/>
        <v>0</v>
      </c>
      <c r="P23" s="454"/>
      <c r="Q23" s="567">
        <f t="shared" si="9"/>
        <v>0</v>
      </c>
      <c r="R23" s="299"/>
      <c r="S23" s="294">
        <f t="shared" si="16"/>
        <v>0</v>
      </c>
      <c r="T23" s="455"/>
      <c r="U23" s="568">
        <f t="shared" si="17"/>
        <v>0</v>
      </c>
      <c r="V23" s="294">
        <f t="shared" si="28"/>
        <v>0</v>
      </c>
      <c r="W23" s="455"/>
      <c r="X23" s="568">
        <f t="shared" si="18"/>
        <v>0</v>
      </c>
      <c r="Y23" s="294">
        <f t="shared" si="11"/>
        <v>0</v>
      </c>
      <c r="Z23" s="455"/>
      <c r="AA23" s="568">
        <f t="shared" si="19"/>
        <v>0</v>
      </c>
      <c r="AB23" s="294">
        <f t="shared" si="12"/>
        <v>0</v>
      </c>
      <c r="AC23" s="295"/>
      <c r="AD23" s="568">
        <f t="shared" si="20"/>
        <v>0</v>
      </c>
      <c r="AE23" s="294">
        <f t="shared" si="13"/>
        <v>0</v>
      </c>
      <c r="AF23" s="456"/>
      <c r="AG23" s="568">
        <f t="shared" si="21"/>
        <v>0</v>
      </c>
      <c r="AH23" s="294">
        <f t="shared" si="14"/>
        <v>0</v>
      </c>
      <c r="AI23" s="456"/>
      <c r="AJ23" s="568">
        <f t="shared" si="23"/>
        <v>0</v>
      </c>
      <c r="AK23" s="375">
        <f t="shared" si="15"/>
        <v>0</v>
      </c>
      <c r="AL23" s="455"/>
      <c r="AM23" s="568">
        <f t="shared" si="27"/>
        <v>0</v>
      </c>
      <c r="AN23" s="460">
        <f t="shared" si="24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6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si="5"/>
        <v>0</v>
      </c>
      <c r="L24" s="98">
        <f t="shared" si="6"/>
        <v>0</v>
      </c>
      <c r="M24" s="1"/>
      <c r="N24" s="567">
        <f t="shared" si="7"/>
        <v>0</v>
      </c>
      <c r="O24" s="98">
        <f t="shared" si="8"/>
        <v>0</v>
      </c>
      <c r="P24" s="454"/>
      <c r="Q24" s="567">
        <f t="shared" si="9"/>
        <v>0</v>
      </c>
      <c r="R24" s="299"/>
      <c r="S24" s="294">
        <f t="shared" si="16"/>
        <v>0</v>
      </c>
      <c r="T24" s="455"/>
      <c r="U24" s="568">
        <f t="shared" si="17"/>
        <v>0</v>
      </c>
      <c r="V24" s="294">
        <f t="shared" si="28"/>
        <v>0</v>
      </c>
      <c r="W24" s="455"/>
      <c r="X24" s="568">
        <f t="shared" si="18"/>
        <v>0</v>
      </c>
      <c r="Y24" s="294">
        <f t="shared" si="11"/>
        <v>0</v>
      </c>
      <c r="Z24" s="455"/>
      <c r="AA24" s="568">
        <f t="shared" si="19"/>
        <v>0</v>
      </c>
      <c r="AB24" s="294">
        <f t="shared" si="12"/>
        <v>0</v>
      </c>
      <c r="AC24" s="295"/>
      <c r="AD24" s="568">
        <f t="shared" si="20"/>
        <v>0</v>
      </c>
      <c r="AE24" s="294">
        <f t="shared" si="13"/>
        <v>0</v>
      </c>
      <c r="AF24" s="456"/>
      <c r="AG24" s="568">
        <f t="shared" si="21"/>
        <v>0</v>
      </c>
      <c r="AH24" s="294">
        <f t="shared" si="14"/>
        <v>0</v>
      </c>
      <c r="AI24" s="456"/>
      <c r="AJ24" s="568">
        <f t="shared" si="23"/>
        <v>0</v>
      </c>
      <c r="AK24" s="375">
        <f t="shared" si="15"/>
        <v>0</v>
      </c>
      <c r="AL24" s="455"/>
      <c r="AM24" s="568">
        <f t="shared" si="27"/>
        <v>0</v>
      </c>
      <c r="AN24" s="460">
        <f t="shared" si="24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6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si="5"/>
        <v>0</v>
      </c>
      <c r="L25" s="98">
        <f t="shared" ref="L25:L37" si="30">M24</f>
        <v>0</v>
      </c>
      <c r="M25" s="1"/>
      <c r="N25" s="567">
        <f t="shared" ref="N25:N37" si="31">IF((M25-M24)&lt;0,"0",(M25-M24))</f>
        <v>0</v>
      </c>
      <c r="O25" s="98">
        <f t="shared" ref="O25:O37" si="32">P24</f>
        <v>0</v>
      </c>
      <c r="P25" s="454"/>
      <c r="Q25" s="567">
        <f t="shared" ref="Q25:Q37" si="33">IF((P25-P24)&lt;0,"0",(P25-P24))</f>
        <v>0</v>
      </c>
      <c r="R25" s="299"/>
      <c r="S25" s="294">
        <f t="shared" ref="S25:S37" si="34">T24</f>
        <v>0</v>
      </c>
      <c r="T25" s="455"/>
      <c r="U25" s="568">
        <f t="shared" ref="U25:U37" si="35">IF((T25-T24)&lt;0,"0",(T25-T24))</f>
        <v>0</v>
      </c>
      <c r="V25" s="294">
        <f t="shared" si="28"/>
        <v>0</v>
      </c>
      <c r="W25" s="455"/>
      <c r="X25" s="568">
        <f t="shared" si="18"/>
        <v>0</v>
      </c>
      <c r="Y25" s="294">
        <f t="shared" si="11"/>
        <v>0</v>
      </c>
      <c r="Z25" s="455"/>
      <c r="AA25" s="568">
        <f t="shared" si="19"/>
        <v>0</v>
      </c>
      <c r="AB25" s="294">
        <f t="shared" si="12"/>
        <v>0</v>
      </c>
      <c r="AC25" s="295"/>
      <c r="AD25" s="568">
        <f t="shared" si="20"/>
        <v>0</v>
      </c>
      <c r="AE25" s="294">
        <f t="shared" si="13"/>
        <v>0</v>
      </c>
      <c r="AF25" s="456"/>
      <c r="AG25" s="568">
        <f t="shared" si="21"/>
        <v>0</v>
      </c>
      <c r="AH25" s="294">
        <f t="shared" si="14"/>
        <v>0</v>
      </c>
      <c r="AI25" s="456"/>
      <c r="AJ25" s="568">
        <f t="shared" si="23"/>
        <v>0</v>
      </c>
      <c r="AK25" s="375">
        <f t="shared" si="15"/>
        <v>0</v>
      </c>
      <c r="AL25" s="455"/>
      <c r="AM25" s="568">
        <f t="shared" si="27"/>
        <v>0</v>
      </c>
      <c r="AN25" s="460">
        <f t="shared" si="24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6"/>
        <v>0</v>
      </c>
      <c r="F26" s="98">
        <f t="shared" si="2"/>
        <v>0</v>
      </c>
      <c r="G26" s="458"/>
      <c r="H26" s="567">
        <f t="shared" ref="H26:H37" si="36">IF((G26-G25)&lt;0,"0",(G26-G25))</f>
        <v>0</v>
      </c>
      <c r="I26" s="98">
        <f t="shared" si="29"/>
        <v>0</v>
      </c>
      <c r="J26" s="1"/>
      <c r="K26" s="567">
        <f t="shared" si="5"/>
        <v>0</v>
      </c>
      <c r="L26" s="98">
        <f t="shared" si="30"/>
        <v>0</v>
      </c>
      <c r="M26" s="1"/>
      <c r="N26" s="567">
        <f t="shared" si="31"/>
        <v>0</v>
      </c>
      <c r="O26" s="98">
        <f t="shared" si="32"/>
        <v>0</v>
      </c>
      <c r="P26" s="454"/>
      <c r="Q26" s="567">
        <f t="shared" si="33"/>
        <v>0</v>
      </c>
      <c r="R26" s="299"/>
      <c r="S26" s="294">
        <f t="shared" si="34"/>
        <v>0</v>
      </c>
      <c r="T26" s="455"/>
      <c r="U26" s="568">
        <f t="shared" si="35"/>
        <v>0</v>
      </c>
      <c r="V26" s="294">
        <f t="shared" si="28"/>
        <v>0</v>
      </c>
      <c r="W26" s="455"/>
      <c r="X26" s="568">
        <f t="shared" si="18"/>
        <v>0</v>
      </c>
      <c r="Y26" s="294">
        <f t="shared" si="11"/>
        <v>0</v>
      </c>
      <c r="Z26" s="455"/>
      <c r="AA26" s="568">
        <f t="shared" si="19"/>
        <v>0</v>
      </c>
      <c r="AB26" s="294">
        <f t="shared" si="12"/>
        <v>0</v>
      </c>
      <c r="AC26" s="295"/>
      <c r="AD26" s="568">
        <f t="shared" si="20"/>
        <v>0</v>
      </c>
      <c r="AE26" s="294">
        <f t="shared" si="13"/>
        <v>0</v>
      </c>
      <c r="AF26" s="456"/>
      <c r="AG26" s="568">
        <f t="shared" si="21"/>
        <v>0</v>
      </c>
      <c r="AH26" s="294">
        <f t="shared" si="14"/>
        <v>0</v>
      </c>
      <c r="AI26" s="456"/>
      <c r="AJ26" s="568">
        <f t="shared" si="23"/>
        <v>0</v>
      </c>
      <c r="AK26" s="375">
        <f t="shared" si="15"/>
        <v>0</v>
      </c>
      <c r="AL26" s="455"/>
      <c r="AM26" s="568">
        <f t="shared" si="27"/>
        <v>0</v>
      </c>
      <c r="AN26" s="460">
        <f t="shared" si="24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6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9"/>
        <v>0</v>
      </c>
      <c r="J27" s="1"/>
      <c r="K27" s="567">
        <f t="shared" si="5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8"/>
        <v>0</v>
      </c>
      <c r="W27" s="455"/>
      <c r="X27" s="568">
        <f t="shared" si="18"/>
        <v>0</v>
      </c>
      <c r="Y27" s="294">
        <f t="shared" si="11"/>
        <v>0</v>
      </c>
      <c r="Z27" s="455"/>
      <c r="AA27" s="568">
        <f t="shared" si="19"/>
        <v>0</v>
      </c>
      <c r="AB27" s="294">
        <f t="shared" si="12"/>
        <v>0</v>
      </c>
      <c r="AC27" s="295"/>
      <c r="AD27" s="568">
        <f t="shared" si="20"/>
        <v>0</v>
      </c>
      <c r="AE27" s="294">
        <f t="shared" si="13"/>
        <v>0</v>
      </c>
      <c r="AF27" s="456"/>
      <c r="AG27" s="568">
        <f t="shared" si="21"/>
        <v>0</v>
      </c>
      <c r="AH27" s="294">
        <f t="shared" si="14"/>
        <v>0</v>
      </c>
      <c r="AI27" s="456"/>
      <c r="AJ27" s="568">
        <f t="shared" si="23"/>
        <v>0</v>
      </c>
      <c r="AK27" s="375">
        <f t="shared" si="15"/>
        <v>0</v>
      </c>
      <c r="AL27" s="455"/>
      <c r="AM27" s="568">
        <f t="shared" si="22"/>
        <v>0</v>
      </c>
      <c r="AN27" s="460">
        <f t="shared" si="24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6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8"/>
        <v>0</v>
      </c>
      <c r="W28" s="455"/>
      <c r="X28" s="568">
        <f t="shared" si="18"/>
        <v>0</v>
      </c>
      <c r="Y28" s="294">
        <f t="shared" si="11"/>
        <v>0</v>
      </c>
      <c r="Z28" s="455"/>
      <c r="AA28" s="568">
        <f t="shared" si="19"/>
        <v>0</v>
      </c>
      <c r="AB28" s="294">
        <f t="shared" si="12"/>
        <v>0</v>
      </c>
      <c r="AC28" s="295"/>
      <c r="AD28" s="568">
        <f t="shared" si="20"/>
        <v>0</v>
      </c>
      <c r="AE28" s="294">
        <f t="shared" si="13"/>
        <v>0</v>
      </c>
      <c r="AF28" s="456"/>
      <c r="AG28" s="568">
        <f t="shared" si="21"/>
        <v>0</v>
      </c>
      <c r="AH28" s="294">
        <f t="shared" si="14"/>
        <v>0</v>
      </c>
      <c r="AI28" s="456"/>
      <c r="AJ28" s="568">
        <f t="shared" si="23"/>
        <v>0</v>
      </c>
      <c r="AK28" s="375">
        <f t="shared" si="15"/>
        <v>0</v>
      </c>
      <c r="AL28" s="455"/>
      <c r="AM28" s="568">
        <f t="shared" si="22"/>
        <v>0</v>
      </c>
      <c r="AN28" s="460">
        <f t="shared" si="24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6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9"/>
        <v>0</v>
      </c>
      <c r="J29" s="1"/>
      <c r="K29" s="567">
        <f t="shared" ref="K29:K37" si="38">IF((J29-J28)&lt;0,"0",(J29-J28))</f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8"/>
        <v>0</v>
      </c>
      <c r="W29" s="455"/>
      <c r="X29" s="568">
        <f t="shared" si="18"/>
        <v>0</v>
      </c>
      <c r="Y29" s="294">
        <f t="shared" si="11"/>
        <v>0</v>
      </c>
      <c r="Z29" s="455"/>
      <c r="AA29" s="568">
        <f t="shared" si="19"/>
        <v>0</v>
      </c>
      <c r="AB29" s="294">
        <f t="shared" si="12"/>
        <v>0</v>
      </c>
      <c r="AC29" s="295"/>
      <c r="AD29" s="568">
        <f t="shared" si="20"/>
        <v>0</v>
      </c>
      <c r="AE29" s="294">
        <f t="shared" si="13"/>
        <v>0</v>
      </c>
      <c r="AF29" s="456"/>
      <c r="AG29" s="568">
        <f t="shared" si="21"/>
        <v>0</v>
      </c>
      <c r="AH29" s="294">
        <f t="shared" si="14"/>
        <v>0</v>
      </c>
      <c r="AI29" s="456"/>
      <c r="AJ29" s="568">
        <f t="shared" si="23"/>
        <v>0</v>
      </c>
      <c r="AK29" s="375">
        <f t="shared" si="15"/>
        <v>0</v>
      </c>
      <c r="AL29" s="455"/>
      <c r="AM29" s="568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385</v>
      </c>
    </row>
    <row r="38" spans="1:41" ht="17.25">
      <c r="A38" s="58"/>
      <c r="B38" s="22"/>
      <c r="C38" s="857" t="s">
        <v>6</v>
      </c>
      <c r="D38" s="857"/>
      <c r="E38" s="23">
        <f>SUM(E6:E36)</f>
        <v>653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9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653</v>
      </c>
      <c r="S38" s="296"/>
      <c r="T38" s="296"/>
      <c r="U38" s="306">
        <f>SUM(U6:U37)</f>
        <v>385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385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83"/>
      <c r="B42" s="331"/>
      <c r="C42" s="880" t="s">
        <v>222</v>
      </c>
      <c r="D42" s="881"/>
      <c r="E42" s="881"/>
      <c r="F42" s="881"/>
      <c r="G42" s="881"/>
      <c r="H42" s="881"/>
      <c r="I42" s="881"/>
      <c r="J42" s="881"/>
      <c r="K42" s="882"/>
      <c r="R42" s="20"/>
    </row>
    <row r="43" spans="1:41" ht="24.75" customHeight="1">
      <c r="A43" s="884"/>
      <c r="B43" s="20"/>
      <c r="C43" s="886" t="s">
        <v>216</v>
      </c>
      <c r="D43" s="887"/>
      <c r="E43" s="888" t="s">
        <v>237</v>
      </c>
      <c r="F43" s="889"/>
      <c r="G43" s="890" t="s">
        <v>217</v>
      </c>
      <c r="H43" s="891"/>
      <c r="I43" s="890" t="s">
        <v>238</v>
      </c>
      <c r="J43" s="891"/>
      <c r="K43" s="878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84"/>
      <c r="B44" s="20"/>
      <c r="C44" s="892" t="s">
        <v>218</v>
      </c>
      <c r="D44" s="893"/>
      <c r="E44" s="892" t="s">
        <v>219</v>
      </c>
      <c r="F44" s="893"/>
      <c r="G44" s="892" t="s">
        <v>220</v>
      </c>
      <c r="H44" s="893"/>
      <c r="I44" s="892" t="s">
        <v>221</v>
      </c>
      <c r="J44" s="893"/>
      <c r="K44" s="879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85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270</v>
      </c>
      <c r="H55" s="386">
        <f t="shared" si="45"/>
        <v>102.9242819843342</v>
      </c>
      <c r="I55" s="6">
        <v>285</v>
      </c>
      <c r="J55" s="386">
        <f t="shared" si="46"/>
        <v>197.09415584415584</v>
      </c>
      <c r="K55" s="392">
        <f t="shared" si="47"/>
        <v>451.94849247329876</v>
      </c>
    </row>
    <row r="56" spans="1:15" ht="13.5">
      <c r="A56" s="349">
        <f>Gen!B21</f>
        <v>43962</v>
      </c>
      <c r="B56" s="20"/>
      <c r="C56" s="63">
        <v>190</v>
      </c>
      <c r="D56" s="386">
        <f t="shared" si="43"/>
        <v>137.43333333333334</v>
      </c>
      <c r="E56" s="6">
        <v>130</v>
      </c>
      <c r="F56" s="386">
        <f t="shared" si="44"/>
        <v>39.213114754098363</v>
      </c>
      <c r="G56" s="570">
        <v>150</v>
      </c>
      <c r="H56" s="386">
        <f t="shared" si="45"/>
        <v>57.180156657963444</v>
      </c>
      <c r="I56" s="6">
        <v>290</v>
      </c>
      <c r="J56" s="386">
        <f t="shared" si="46"/>
        <v>200.55194805194805</v>
      </c>
      <c r="K56" s="392">
        <f t="shared" si="47"/>
        <v>434.37855279734322</v>
      </c>
    </row>
    <row r="57" spans="1:15" ht="13.5">
      <c r="A57" s="349">
        <f>Gen!B22</f>
        <v>43963</v>
      </c>
      <c r="B57" s="20"/>
      <c r="C57" s="63">
        <v>250</v>
      </c>
      <c r="D57" s="386">
        <f t="shared" si="43"/>
        <v>180.83333333333334</v>
      </c>
      <c r="E57" s="6">
        <v>190</v>
      </c>
      <c r="F57" s="386">
        <f t="shared" si="44"/>
        <v>57.311475409836063</v>
      </c>
      <c r="G57" s="570">
        <v>100</v>
      </c>
      <c r="H57" s="386">
        <f t="shared" si="45"/>
        <v>38.120104438642301</v>
      </c>
      <c r="I57" s="6">
        <v>285</v>
      </c>
      <c r="J57" s="386">
        <f t="shared" si="46"/>
        <v>197.09415584415584</v>
      </c>
      <c r="K57" s="392">
        <f t="shared" si="47"/>
        <v>473.35906902596753</v>
      </c>
    </row>
    <row r="58" spans="1:15" ht="13.5">
      <c r="A58" s="349">
        <f>Gen!B23</f>
        <v>43964</v>
      </c>
      <c r="B58" s="20"/>
      <c r="C58" s="63">
        <v>240</v>
      </c>
      <c r="D58" s="386">
        <f t="shared" si="43"/>
        <v>173.6</v>
      </c>
      <c r="E58" s="6">
        <v>210</v>
      </c>
      <c r="F58" s="386">
        <f t="shared" si="44"/>
        <v>63.344262295081968</v>
      </c>
      <c r="G58" s="570">
        <v>220</v>
      </c>
      <c r="H58" s="386">
        <f t="shared" si="45"/>
        <v>83.86422976501305</v>
      </c>
      <c r="I58" s="6">
        <v>290</v>
      </c>
      <c r="J58" s="386">
        <f t="shared" si="46"/>
        <v>200.55194805194805</v>
      </c>
      <c r="K58" s="392">
        <f t="shared" si="47"/>
        <v>521.36044011204308</v>
      </c>
    </row>
    <row r="59" spans="1:15" ht="13.5">
      <c r="A59" s="349">
        <f>Gen!B24</f>
        <v>43965</v>
      </c>
      <c r="B59" s="20"/>
      <c r="C59" s="63">
        <v>220</v>
      </c>
      <c r="D59" s="386">
        <f t="shared" si="43"/>
        <v>159.13333333333333</v>
      </c>
      <c r="E59" s="6">
        <v>180</v>
      </c>
      <c r="F59" s="386">
        <f t="shared" si="44"/>
        <v>54.295081967213115</v>
      </c>
      <c r="G59" s="570">
        <v>200</v>
      </c>
      <c r="H59" s="386">
        <f t="shared" si="45"/>
        <v>76.240208877284601</v>
      </c>
      <c r="I59" s="6">
        <v>285</v>
      </c>
      <c r="J59" s="386">
        <f t="shared" si="46"/>
        <v>197.09415584415584</v>
      </c>
      <c r="K59" s="392">
        <f t="shared" si="47"/>
        <v>486.76278002198683</v>
      </c>
    </row>
    <row r="60" spans="1:15" ht="13.5">
      <c r="A60" s="349">
        <f>Gen!B25</f>
        <v>43966</v>
      </c>
      <c r="B60" s="20"/>
      <c r="C60" s="63">
        <v>290</v>
      </c>
      <c r="D60" s="386">
        <f t="shared" si="43"/>
        <v>209.76666666666668</v>
      </c>
      <c r="E60" s="6">
        <v>250</v>
      </c>
      <c r="F60" s="386">
        <f t="shared" si="44"/>
        <v>75.409836065573771</v>
      </c>
      <c r="G60" s="570">
        <v>200</v>
      </c>
      <c r="H60" s="386">
        <f t="shared" si="45"/>
        <v>76.240208877284601</v>
      </c>
      <c r="I60" s="6">
        <v>235</v>
      </c>
      <c r="J60" s="386">
        <f t="shared" si="46"/>
        <v>162.51623376623377</v>
      </c>
      <c r="K60" s="392">
        <f t="shared" si="47"/>
        <v>523.93294537575889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>
        <v>290</v>
      </c>
      <c r="D61" s="386">
        <f t="shared" si="43"/>
        <v>209.76666666666668</v>
      </c>
      <c r="E61" s="6">
        <v>260</v>
      </c>
      <c r="F61" s="386">
        <f t="shared" si="44"/>
        <v>78.426229508196727</v>
      </c>
      <c r="G61" s="570">
        <v>150</v>
      </c>
      <c r="H61" s="386">
        <f t="shared" si="45"/>
        <v>57.180156657963444</v>
      </c>
      <c r="I61" s="6">
        <v>150</v>
      </c>
      <c r="J61" s="386">
        <f t="shared" si="46"/>
        <v>103.73376623376623</v>
      </c>
      <c r="K61" s="392">
        <f t="shared" si="47"/>
        <v>449.10681906659306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>
        <v>100</v>
      </c>
      <c r="D62" s="386">
        <f t="shared" si="43"/>
        <v>72.333333333333329</v>
      </c>
      <c r="E62" s="6">
        <v>70</v>
      </c>
      <c r="F62" s="386">
        <f t="shared" si="44"/>
        <v>21.114754098360656</v>
      </c>
      <c r="G62" s="570">
        <v>280</v>
      </c>
      <c r="H62" s="386">
        <f t="shared" si="45"/>
        <v>106.73629242819844</v>
      </c>
      <c r="I62" s="6">
        <v>285</v>
      </c>
      <c r="J62" s="386">
        <f t="shared" si="46"/>
        <v>197.09415584415584</v>
      </c>
      <c r="K62" s="392">
        <f t="shared" si="47"/>
        <v>397.27853570404829</v>
      </c>
    </row>
    <row r="63" spans="1:15" ht="13.5">
      <c r="A63" s="349">
        <f>Gen!B28</f>
        <v>43969</v>
      </c>
      <c r="B63" s="20"/>
      <c r="C63" s="63"/>
      <c r="D63" s="386">
        <f t="shared" si="43"/>
        <v>0</v>
      </c>
      <c r="E63" s="6"/>
      <c r="F63" s="386">
        <f t="shared" si="44"/>
        <v>0</v>
      </c>
      <c r="G63" s="570"/>
      <c r="H63" s="386">
        <f t="shared" si="45"/>
        <v>0</v>
      </c>
      <c r="I63" s="6"/>
      <c r="J63" s="386">
        <f t="shared" si="46"/>
        <v>0</v>
      </c>
      <c r="K63" s="392">
        <f t="shared" si="47"/>
        <v>0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4" t="s">
        <v>180</v>
      </c>
      <c r="B1" s="895"/>
      <c r="C1" s="895"/>
      <c r="D1" s="895"/>
      <c r="E1" s="895"/>
      <c r="F1" s="895"/>
      <c r="G1" s="896"/>
    </row>
    <row r="2" spans="1:7" ht="13.5" thickBot="1">
      <c r="A2" s="358"/>
      <c r="B2" s="897" t="s">
        <v>175</v>
      </c>
      <c r="C2" s="898"/>
      <c r="D2" s="899"/>
      <c r="E2" s="897" t="s">
        <v>176</v>
      </c>
      <c r="F2" s="898"/>
      <c r="G2" s="899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4" t="s">
        <v>230</v>
      </c>
      <c r="B1" s="895"/>
      <c r="C1" s="895"/>
      <c r="D1" s="895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G29" sqref="G2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0" t="s">
        <v>255</v>
      </c>
      <c r="B1" s="900"/>
      <c r="C1" s="900"/>
      <c r="D1" s="900"/>
      <c r="E1" s="900"/>
      <c r="F1" s="900"/>
      <c r="G1" s="900"/>
      <c r="H1" s="900"/>
      <c r="I1" s="900"/>
      <c r="J1" s="900"/>
    </row>
    <row r="2" spans="1:10" ht="19.5" thickBot="1">
      <c r="A2" s="909">
        <v>43952</v>
      </c>
      <c r="B2" s="910"/>
      <c r="C2" s="910"/>
      <c r="D2" s="910"/>
      <c r="E2" s="910"/>
      <c r="F2" s="910"/>
      <c r="G2" s="910"/>
      <c r="H2" s="910"/>
      <c r="I2" s="910"/>
      <c r="J2" s="910"/>
    </row>
    <row r="3" spans="1:10" ht="15.75" thickBot="1">
      <c r="A3" s="901" t="s">
        <v>7</v>
      </c>
      <c r="B3" s="903" t="s">
        <v>256</v>
      </c>
      <c r="C3" s="526"/>
      <c r="D3" s="905" t="s">
        <v>257</v>
      </c>
      <c r="E3" s="906"/>
      <c r="F3" s="907" t="s">
        <v>258</v>
      </c>
      <c r="G3" s="908"/>
      <c r="H3" s="906"/>
      <c r="I3" s="907" t="s">
        <v>259</v>
      </c>
      <c r="J3" s="906"/>
    </row>
    <row r="4" spans="1:10" ht="30.75" thickBot="1">
      <c r="A4" s="902"/>
      <c r="B4" s="904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637.52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38768.69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37995.760000000002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652.33000000000004</v>
      </c>
      <c r="E14" s="466">
        <f>Gen!D20</f>
        <v>37333.660000000003</v>
      </c>
      <c r="F14" s="467">
        <f>'Water-Meter'!E15</f>
        <v>51</v>
      </c>
      <c r="G14" s="468">
        <f>'Water-Meter'!AN15</f>
        <v>46</v>
      </c>
      <c r="H14" s="466">
        <f>'Utility report '!AC15</f>
        <v>0</v>
      </c>
      <c r="I14" s="465">
        <f>'Kit report'!F13</f>
        <v>95.999999999912689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675.39</v>
      </c>
      <c r="E15" s="466">
        <f>Gen!D21</f>
        <v>36681.33</v>
      </c>
      <c r="F15" s="467">
        <f>'Water-Meter'!E16</f>
        <v>56</v>
      </c>
      <c r="G15" s="468">
        <f>'Water-Meter'!AN16</f>
        <v>59</v>
      </c>
      <c r="H15" s="466">
        <f>'Utility report '!AC16</f>
        <v>0</v>
      </c>
      <c r="I15" s="465">
        <f>'Kit report'!F14</f>
        <v>107.99999999995634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106.89</v>
      </c>
      <c r="D16" s="531">
        <f>Gen!T22</f>
        <v>719.01</v>
      </c>
      <c r="E16" s="466">
        <f>Gen!D22</f>
        <v>46005.94</v>
      </c>
      <c r="F16" s="467">
        <f>'Water-Meter'!E17</f>
        <v>58</v>
      </c>
      <c r="G16" s="468">
        <f>'Water-Meter'!AN17</f>
        <v>88</v>
      </c>
      <c r="H16" s="466">
        <f>'Utility report '!AC17</f>
        <v>71</v>
      </c>
      <c r="I16" s="465">
        <f>'Kit report'!F15</f>
        <v>96.000000000130967</v>
      </c>
      <c r="J16" s="466">
        <f>'Kit report'!X15</f>
        <v>19.999999999890861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656.19</v>
      </c>
      <c r="E17" s="466">
        <f>Gen!D23</f>
        <v>45180.04</v>
      </c>
      <c r="F17" s="467">
        <f>'Water-Meter'!E18</f>
        <v>41</v>
      </c>
      <c r="G17" s="468">
        <f>'Water-Meter'!AN18</f>
        <v>24</v>
      </c>
      <c r="H17" s="466">
        <f>'Utility report '!AC18</f>
        <v>0</v>
      </c>
      <c r="I17" s="465">
        <f>'Kit report'!F16</f>
        <v>107.99999999995634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633.07999999999993</v>
      </c>
      <c r="E18" s="466">
        <f>Gen!D24</f>
        <v>44523.85</v>
      </c>
      <c r="F18" s="467">
        <f>'Water-Meter'!E19</f>
        <v>33</v>
      </c>
      <c r="G18" s="468">
        <f>'Water-Meter'!AN19</f>
        <v>63</v>
      </c>
      <c r="H18" s="466">
        <f>'Utility report '!AC19</f>
        <v>0</v>
      </c>
      <c r="I18" s="465">
        <f>'Kit report'!F17</f>
        <v>107.99999999995634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3.78</v>
      </c>
      <c r="D19" s="531">
        <f>Gen!T25</f>
        <v>603.86</v>
      </c>
      <c r="E19" s="466">
        <f>Gen!D25</f>
        <v>43890.77</v>
      </c>
      <c r="F19" s="467">
        <f>'Water-Meter'!E20</f>
        <v>38</v>
      </c>
      <c r="G19" s="468">
        <f>'Water-Meter'!AN20</f>
        <v>22</v>
      </c>
      <c r="H19" s="466">
        <f>'Utility report '!AC20</f>
        <v>0</v>
      </c>
      <c r="I19" s="465">
        <f>'Kit report'!F18</f>
        <v>120</v>
      </c>
      <c r="J19" s="466">
        <f>'Kit report'!X18</f>
        <v>20.00000000007276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635.49</v>
      </c>
      <c r="E20" s="466">
        <f>Gen!D26</f>
        <v>43283.13</v>
      </c>
      <c r="F20" s="467">
        <f>'Water-Meter'!E21</f>
        <v>44</v>
      </c>
      <c r="G20" s="468">
        <f>'Water-Meter'!AN21</f>
        <v>82</v>
      </c>
      <c r="H20" s="466">
        <f>'Utility report '!AC21</f>
        <v>69</v>
      </c>
      <c r="I20" s="465">
        <f>'Kit report'!F19</f>
        <v>96.000000000130967</v>
      </c>
      <c r="J20" s="466">
        <f>'Kit report'!X19</f>
        <v>19.999999999890861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42647.64</v>
      </c>
      <c r="F21" s="467" t="str">
        <f>'Water-Meter'!E22</f>
        <v>0</v>
      </c>
      <c r="G21" s="468">
        <f>'Water-Meter'!AN22</f>
        <v>0</v>
      </c>
      <c r="H21" s="466">
        <f>'Utility report '!AC22</f>
        <v>-32087</v>
      </c>
      <c r="I21" s="465">
        <f>'Kit report'!F20</f>
        <v>-1041624.0000000001</v>
      </c>
      <c r="J21" s="466">
        <f>'Kit report'!X20</f>
        <v>-1561080</v>
      </c>
    </row>
    <row r="22" spans="1:10" ht="15" customHeight="1">
      <c r="A22" s="265">
        <v>43969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42647.64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43970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42647.64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42647.64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42647.64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42647.64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42647.64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42647.64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42647.64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42647.64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42647.64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42647.64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42647.64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42647.64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42647.64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42647.64</v>
      </c>
      <c r="F36" s="467">
        <f>'Water-Meter'!E37</f>
        <v>0</v>
      </c>
      <c r="G36" s="468">
        <f>'Water-Meter'!AN37</f>
        <v>385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2020-05-17T05:24:26Z</dcterms:modified>
</cp:coreProperties>
</file>