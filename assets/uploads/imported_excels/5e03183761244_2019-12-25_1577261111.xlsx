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 activeTab="2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AC43" i="4" l="1"/>
  <c r="Z43" i="4"/>
  <c r="W43" i="4"/>
  <c r="T43" i="4"/>
  <c r="Q43" i="4"/>
  <c r="N43" i="4"/>
  <c r="I43" i="4"/>
  <c r="G43" i="4"/>
  <c r="E43" i="4"/>
  <c r="C43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10" i="4"/>
  <c r="P4" i="4"/>
  <c r="G39" i="6"/>
  <c r="E39" i="6"/>
  <c r="C39" i="6"/>
  <c r="G34" i="4"/>
  <c r="E34" i="4"/>
  <c r="C34" i="4"/>
  <c r="G38" i="6" l="1"/>
  <c r="E38" i="6"/>
  <c r="C38" i="6"/>
  <c r="G33" i="4"/>
  <c r="E33" i="4"/>
  <c r="C33" i="4"/>
  <c r="G37" i="6" l="1"/>
  <c r="E37" i="6"/>
  <c r="C37" i="6"/>
  <c r="G36" i="6"/>
  <c r="E36" i="6"/>
  <c r="C36" i="6"/>
  <c r="G35" i="6"/>
  <c r="E35" i="6"/>
  <c r="C35" i="6"/>
  <c r="M32" i="4"/>
  <c r="J32" i="4"/>
  <c r="K32" i="4" s="1"/>
  <c r="M31" i="4"/>
  <c r="K31" i="4"/>
  <c r="J31" i="4"/>
  <c r="M30" i="4"/>
  <c r="J30" i="4"/>
  <c r="K30" i="4" s="1"/>
  <c r="M29" i="4"/>
  <c r="J29" i="4"/>
  <c r="K29" i="4" s="1"/>
  <c r="G34" i="6" l="1"/>
  <c r="E34" i="6"/>
  <c r="C34" i="6"/>
  <c r="G33" i="6" l="1"/>
  <c r="E33" i="6"/>
  <c r="C33" i="6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35" i="1"/>
  <c r="U36" i="1"/>
  <c r="U37" i="1"/>
  <c r="U38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35" i="1" l="1"/>
  <c r="Z36" i="1"/>
  <c r="Z37" i="1"/>
  <c r="Z38" i="1"/>
  <c r="Z39" i="1"/>
  <c r="Z40" i="1"/>
  <c r="G14" i="6" l="1"/>
  <c r="E14" i="6"/>
  <c r="C14" i="6"/>
  <c r="G13" i="6"/>
  <c r="E13" i="6"/>
  <c r="C13" i="6"/>
  <c r="G12" i="6"/>
  <c r="E12" i="6"/>
  <c r="C12" i="6"/>
  <c r="C40" i="6" l="1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6" i="4" l="1"/>
  <c r="J36" i="4"/>
  <c r="K36" i="4" s="1"/>
  <c r="M35" i="4"/>
  <c r="J35" i="4"/>
  <c r="K35" i="4" s="1"/>
  <c r="M34" i="4"/>
  <c r="J34" i="4"/>
  <c r="K34" i="4" s="1"/>
  <c r="M33" i="4"/>
  <c r="J33" i="4"/>
  <c r="K33" i="4" s="1"/>
  <c r="M26" i="4" l="1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I37" i="6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M38" i="4"/>
  <c r="J38" i="4"/>
  <c r="K38" i="4" s="1"/>
  <c r="L37" i="4" s="1"/>
  <c r="Y35" i="1"/>
  <c r="Y36" i="1"/>
  <c r="I28" i="10" s="1"/>
  <c r="K22" i="10"/>
  <c r="F18" i="1"/>
  <c r="K10" i="10"/>
  <c r="F13" i="1"/>
  <c r="K17" i="10"/>
  <c r="M37" i="4"/>
  <c r="J37" i="4"/>
  <c r="K37" i="4" s="1"/>
  <c r="J27" i="4"/>
  <c r="K27" i="4"/>
  <c r="L26" i="4" s="1"/>
  <c r="N26" i="4" s="1"/>
  <c r="O26" i="4" s="1"/>
  <c r="J28" i="4"/>
  <c r="K28" i="4" s="1"/>
  <c r="J42" i="4"/>
  <c r="K42" i="4" s="1"/>
  <c r="L41" i="4" s="1"/>
  <c r="N41" i="4" s="1"/>
  <c r="O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L25" i="1" s="1"/>
  <c r="M25" i="1" s="1"/>
  <c r="E17" i="10" s="1"/>
  <c r="I31" i="6"/>
  <c r="L26" i="1" s="1"/>
  <c r="I32" i="6"/>
  <c r="L27" i="1" s="1"/>
  <c r="I33" i="6"/>
  <c r="L28" i="1" s="1"/>
  <c r="I34" i="6"/>
  <c r="L29" i="1" s="1"/>
  <c r="M28" i="1"/>
  <c r="E20" i="10" s="1"/>
  <c r="I35" i="6"/>
  <c r="L30" i="1" s="1"/>
  <c r="I36" i="6"/>
  <c r="L31" i="1" s="1"/>
  <c r="I38" i="6"/>
  <c r="L33" i="1" s="1"/>
  <c r="I39" i="6"/>
  <c r="L34" i="1" s="1"/>
  <c r="I40" i="6"/>
  <c r="M34" i="1" s="1"/>
  <c r="I41" i="6"/>
  <c r="I42" i="6"/>
  <c r="I43" i="6"/>
  <c r="M37" i="1" s="1"/>
  <c r="I44" i="6"/>
  <c r="M38" i="1" s="1"/>
  <c r="I45" i="6"/>
  <c r="M39" i="1" s="1"/>
  <c r="E31" i="10" s="1"/>
  <c r="I46" i="6"/>
  <c r="I47" i="6"/>
  <c r="M30" i="10"/>
  <c r="M31" i="10"/>
  <c r="Y28" i="1"/>
  <c r="Z28" i="1" s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I30" i="10"/>
  <c r="Y37" i="1"/>
  <c r="I29" i="10" s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41" i="4"/>
  <c r="K2" i="10"/>
  <c r="I27" i="4"/>
  <c r="Q44" i="4"/>
  <c r="I20" i="10"/>
  <c r="K27" i="10"/>
  <c r="I27" i="10"/>
  <c r="F17" i="1"/>
  <c r="K9" i="10"/>
  <c r="I22" i="10"/>
  <c r="AC44" i="4"/>
  <c r="F26" i="1"/>
  <c r="K18" i="10"/>
  <c r="K30" i="10"/>
  <c r="F38" i="1"/>
  <c r="I38" i="4"/>
  <c r="I26" i="10" l="1"/>
  <c r="I25" i="10"/>
  <c r="Z33" i="1"/>
  <c r="M31" i="1"/>
  <c r="L32" i="1"/>
  <c r="M32" i="1" s="1"/>
  <c r="E24" i="10" s="1"/>
  <c r="L32" i="4"/>
  <c r="N32" i="4" s="1"/>
  <c r="O32" i="4" s="1"/>
  <c r="E32" i="4"/>
  <c r="C32" i="4"/>
  <c r="I32" i="4"/>
  <c r="L29" i="4"/>
  <c r="N29" i="4" s="1"/>
  <c r="O29" i="4" s="1"/>
  <c r="G29" i="4"/>
  <c r="E29" i="4"/>
  <c r="C29" i="4"/>
  <c r="I29" i="4"/>
  <c r="I30" i="4"/>
  <c r="L30" i="4"/>
  <c r="N30" i="4" s="1"/>
  <c r="O30" i="4" s="1"/>
  <c r="G30" i="4"/>
  <c r="E30" i="4"/>
  <c r="C30" i="4"/>
  <c r="C31" i="4"/>
  <c r="I31" i="4"/>
  <c r="L31" i="4"/>
  <c r="N31" i="4" s="1"/>
  <c r="O31" i="4" s="1"/>
  <c r="G31" i="4"/>
  <c r="E31" i="4"/>
  <c r="I23" i="10"/>
  <c r="I21" i="10"/>
  <c r="I19" i="10"/>
  <c r="M27" i="1"/>
  <c r="U26" i="1"/>
  <c r="I18" i="10"/>
  <c r="I17" i="10"/>
  <c r="Z25" i="1"/>
  <c r="M22" i="1"/>
  <c r="E14" i="10" s="1"/>
  <c r="L23" i="1"/>
  <c r="M17" i="1"/>
  <c r="E9" i="10" s="1"/>
  <c r="M15" i="1"/>
  <c r="C13" i="4"/>
  <c r="I13" i="4"/>
  <c r="L13" i="4"/>
  <c r="N13" i="4" s="1"/>
  <c r="O13" i="4" s="1"/>
  <c r="G13" i="4"/>
  <c r="E13" i="4"/>
  <c r="E22" i="4"/>
  <c r="C22" i="4"/>
  <c r="I22" i="4"/>
  <c r="L22" i="4"/>
  <c r="N22" i="4" s="1"/>
  <c r="O22" i="4" s="1"/>
  <c r="G22" i="4"/>
  <c r="E18" i="4"/>
  <c r="C18" i="4"/>
  <c r="I18" i="4"/>
  <c r="L18" i="4"/>
  <c r="N18" i="4" s="1"/>
  <c r="O18" i="4" s="1"/>
  <c r="G18" i="4"/>
  <c r="E14" i="4"/>
  <c r="C14" i="4"/>
  <c r="I14" i="4"/>
  <c r="L14" i="4"/>
  <c r="N14" i="4" s="1"/>
  <c r="O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G19" i="4"/>
  <c r="E19" i="4"/>
  <c r="C19" i="4"/>
  <c r="I19" i="4"/>
  <c r="L15" i="4"/>
  <c r="N15" i="4" s="1"/>
  <c r="O15" i="4" s="1"/>
  <c r="G15" i="4"/>
  <c r="E15" i="4"/>
  <c r="C15" i="4"/>
  <c r="I15" i="4"/>
  <c r="L11" i="4"/>
  <c r="N11" i="4" s="1"/>
  <c r="O11" i="4" s="1"/>
  <c r="G11" i="4"/>
  <c r="E11" i="4"/>
  <c r="C11" i="4"/>
  <c r="I11" i="4"/>
  <c r="C21" i="4"/>
  <c r="I21" i="4"/>
  <c r="L21" i="4"/>
  <c r="N21" i="4" s="1"/>
  <c r="O21" i="4" s="1"/>
  <c r="G21" i="4"/>
  <c r="E21" i="4"/>
  <c r="C17" i="4"/>
  <c r="I17" i="4"/>
  <c r="L17" i="4"/>
  <c r="N17" i="4" s="1"/>
  <c r="O17" i="4" s="1"/>
  <c r="G17" i="4"/>
  <c r="E17" i="4"/>
  <c r="I20" i="4"/>
  <c r="L20" i="4"/>
  <c r="N20" i="4" s="1"/>
  <c r="O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5" i="1" s="1"/>
  <c r="J45" i="1" s="1"/>
  <c r="G42" i="4"/>
  <c r="E42" i="4"/>
  <c r="C42" i="4"/>
  <c r="G38" i="4"/>
  <c r="C38" i="4"/>
  <c r="E38" i="4"/>
  <c r="I10" i="4"/>
  <c r="G10" i="4"/>
  <c r="E10" i="4"/>
  <c r="C10" i="4"/>
  <c r="O13" i="1"/>
  <c r="I26" i="4"/>
  <c r="F12" i="1"/>
  <c r="M11" i="1"/>
  <c r="C39" i="4"/>
  <c r="G39" i="4"/>
  <c r="E39" i="4"/>
  <c r="M29" i="1"/>
  <c r="E21" i="10" s="1"/>
  <c r="L27" i="4"/>
  <c r="N27" i="4" s="1"/>
  <c r="O27" i="4" s="1"/>
  <c r="N37" i="4"/>
  <c r="O37" i="4" s="1"/>
  <c r="N40" i="4"/>
  <c r="O40" i="4" s="1"/>
  <c r="F16" i="1"/>
  <c r="F23" i="1"/>
  <c r="I5" i="10"/>
  <c r="C40" i="4"/>
  <c r="E40" i="4"/>
  <c r="G40" i="4"/>
  <c r="C36" i="4"/>
  <c r="E36" i="4"/>
  <c r="G36" i="4"/>
  <c r="C8" i="4"/>
  <c r="G8" i="4"/>
  <c r="E8" i="4"/>
  <c r="M33" i="1"/>
  <c r="O33" i="1" s="1"/>
  <c r="M23" i="1"/>
  <c r="E15" i="10" s="1"/>
  <c r="L42" i="4"/>
  <c r="N42" i="4" s="1"/>
  <c r="O42" i="4" s="1"/>
  <c r="F39" i="1"/>
  <c r="L39" i="4"/>
  <c r="N39" i="4" s="1"/>
  <c r="O39" i="4" s="1"/>
  <c r="I42" i="4"/>
  <c r="I28" i="4"/>
  <c r="I39" i="4"/>
  <c r="I40" i="4"/>
  <c r="I24" i="4"/>
  <c r="G7" i="4"/>
  <c r="E7" i="4"/>
  <c r="C7" i="4"/>
  <c r="E41" i="4"/>
  <c r="G41" i="4"/>
  <c r="C41" i="4"/>
  <c r="E37" i="4"/>
  <c r="G37" i="4"/>
  <c r="C37" i="4"/>
  <c r="E9" i="4"/>
  <c r="C9" i="4"/>
  <c r="G9" i="4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30" i="10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C35" i="4"/>
  <c r="E35" i="4"/>
  <c r="G35" i="4"/>
  <c r="K48" i="4"/>
  <c r="L48" i="4" s="1"/>
  <c r="M48" i="4" s="1"/>
  <c r="W21" i="1"/>
  <c r="L10" i="4"/>
  <c r="N10" i="4" s="1"/>
  <c r="O10" i="4" s="1"/>
  <c r="W22" i="1"/>
  <c r="W38" i="1"/>
  <c r="W40" i="1"/>
  <c r="W13" i="1"/>
  <c r="L28" i="4"/>
  <c r="N28" i="4" s="1"/>
  <c r="O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O37" i="1"/>
  <c r="M36" i="1"/>
  <c r="E28" i="10" s="1"/>
  <c r="D41" i="1"/>
  <c r="G46" i="1" s="1"/>
  <c r="J46" i="1" s="1"/>
  <c r="L46" i="1" s="1"/>
  <c r="W37" i="1"/>
  <c r="M35" i="1"/>
  <c r="O35" i="1" s="1"/>
  <c r="G43" i="1"/>
  <c r="J43" i="1" s="1"/>
  <c r="W36" i="1"/>
  <c r="M30" i="1"/>
  <c r="E26" i="10"/>
  <c r="O34" i="1"/>
  <c r="E23" i="10"/>
  <c r="O31" i="1"/>
  <c r="I48" i="6"/>
  <c r="F31" i="1"/>
  <c r="F33" i="1"/>
  <c r="E48" i="6"/>
  <c r="I34" i="4"/>
  <c r="L34" i="4"/>
  <c r="N34" i="4" s="1"/>
  <c r="O34" i="4" s="1"/>
  <c r="I35" i="4"/>
  <c r="L35" i="4"/>
  <c r="N35" i="4" s="1"/>
  <c r="O35" i="4" s="1"/>
  <c r="L36" i="4"/>
  <c r="N36" i="4" s="1"/>
  <c r="O36" i="4" s="1"/>
  <c r="I36" i="4"/>
  <c r="I33" i="4"/>
  <c r="L33" i="4"/>
  <c r="N33" i="4" s="1"/>
  <c r="O33" i="4" s="1"/>
  <c r="I24" i="10"/>
  <c r="E25" i="10" l="1"/>
  <c r="U34" i="1"/>
  <c r="W34" i="1" s="1"/>
  <c r="U33" i="1"/>
  <c r="W33" i="1" s="1"/>
  <c r="U30" i="1"/>
  <c r="W30" i="1" s="1"/>
  <c r="U31" i="1"/>
  <c r="U32" i="1"/>
  <c r="W32" i="1" s="1"/>
  <c r="U29" i="1"/>
  <c r="W29" i="1" s="1"/>
  <c r="U28" i="1"/>
  <c r="W28" i="1" s="1"/>
  <c r="U27" i="1"/>
  <c r="W27" i="1" s="1"/>
  <c r="U25" i="1"/>
  <c r="W25" i="1" s="1"/>
  <c r="U23" i="1"/>
  <c r="E18" i="10"/>
  <c r="O32" i="1"/>
  <c r="O29" i="1"/>
  <c r="O23" i="1"/>
  <c r="O10" i="1"/>
  <c r="F41" i="1"/>
  <c r="W20" i="1"/>
  <c r="W14" i="1"/>
  <c r="W12" i="1"/>
  <c r="O36" i="1"/>
  <c r="E27" i="10"/>
  <c r="Z41" i="1"/>
  <c r="W26" i="1"/>
  <c r="G11" i="10"/>
  <c r="O11" i="10" s="1"/>
  <c r="M41" i="1"/>
  <c r="W18" i="1"/>
  <c r="G10" i="10"/>
  <c r="O10" i="10" s="1"/>
  <c r="W24" i="1"/>
  <c r="W17" i="1"/>
  <c r="G30" i="10"/>
  <c r="G32" i="10"/>
  <c r="G17" i="10"/>
  <c r="O17" i="10" s="1"/>
  <c r="G13" i="10"/>
  <c r="O13" i="10" s="1"/>
  <c r="G14" i="10"/>
  <c r="O14" i="10" s="1"/>
  <c r="G5" i="10"/>
  <c r="O5" i="10" s="1"/>
  <c r="G18" i="10"/>
  <c r="G4" i="10"/>
  <c r="O4" i="10" s="1"/>
  <c r="W16" i="1"/>
  <c r="L43" i="1"/>
  <c r="G29" i="10"/>
  <c r="O29" i="10" s="1"/>
  <c r="G28" i="10"/>
  <c r="O28" i="10" s="1"/>
  <c r="O30" i="1"/>
  <c r="E22" i="10"/>
  <c r="W35" i="1"/>
  <c r="W31" i="1"/>
  <c r="G22" i="10"/>
  <c r="G21" i="10" l="1"/>
  <c r="O21" i="10" s="1"/>
  <c r="W23" i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<sst xmlns="http://schemas.openxmlformats.org/spreadsheetml/2006/main" count="125" uniqueCount="82">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</sst>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4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500</c:v>
                </c:pt>
                <c:pt idx="14">
                  <c:v>400</c:v>
                </c:pt>
                <c:pt idx="15">
                  <c:v>420</c:v>
                </c:pt>
                <c:pt idx="16">
                  <c:v>540</c:v>
                </c:pt>
                <c:pt idx="17">
                  <c:v>400</c:v>
                </c:pt>
                <c:pt idx="18">
                  <c:v>520</c:v>
                </c:pt>
                <c:pt idx="19">
                  <c:v>430</c:v>
                </c:pt>
                <c:pt idx="20">
                  <c:v>590</c:v>
                </c:pt>
                <c:pt idx="21">
                  <c:v>480</c:v>
                </c:pt>
                <c:pt idx="22">
                  <c:v>450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99808"/>
        <c:axId val="121801344"/>
      </c:lineChart>
      <c:dateAx>
        <c:axId val="1217998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1344"/>
        <c:crosses val="autoZero"/>
        <c:auto val="1"/>
        <c:lblOffset val="100"/>
        <c:baseTimeUnit val="days"/>
      </c:dateAx>
      <c:valAx>
        <c:axId val="12180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998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3903</c:v>
                </c:pt>
                <c:pt idx="14">
                  <c:v>4579</c:v>
                </c:pt>
                <c:pt idx="15">
                  <c:v>3071</c:v>
                </c:pt>
                <c:pt idx="16">
                  <c:v>4123</c:v>
                </c:pt>
                <c:pt idx="17">
                  <c:v>4185</c:v>
                </c:pt>
                <c:pt idx="18">
                  <c:v>3933</c:v>
                </c:pt>
                <c:pt idx="19">
                  <c:v>3982</c:v>
                </c:pt>
                <c:pt idx="20">
                  <c:v>4376</c:v>
                </c:pt>
                <c:pt idx="21">
                  <c:v>4694</c:v>
                </c:pt>
                <c:pt idx="22">
                  <c:v>4573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6043</c:v>
                </c:pt>
                <c:pt idx="14">
                  <c:v>6190</c:v>
                </c:pt>
                <c:pt idx="15">
                  <c:v>6411</c:v>
                </c:pt>
                <c:pt idx="16">
                  <c:v>6230</c:v>
                </c:pt>
                <c:pt idx="17">
                  <c:v>6102</c:v>
                </c:pt>
                <c:pt idx="18">
                  <c:v>6028</c:v>
                </c:pt>
                <c:pt idx="19">
                  <c:v>5833</c:v>
                </c:pt>
                <c:pt idx="20">
                  <c:v>6381</c:v>
                </c:pt>
                <c:pt idx="21">
                  <c:v>6222</c:v>
                </c:pt>
                <c:pt idx="22">
                  <c:v>6887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2713</c:v>
                </c:pt>
                <c:pt idx="14">
                  <c:v>3137</c:v>
                </c:pt>
                <c:pt idx="15">
                  <c:v>3087</c:v>
                </c:pt>
                <c:pt idx="16">
                  <c:v>2788</c:v>
                </c:pt>
                <c:pt idx="17">
                  <c:v>2900</c:v>
                </c:pt>
                <c:pt idx="18">
                  <c:v>2735</c:v>
                </c:pt>
                <c:pt idx="19">
                  <c:v>2784</c:v>
                </c:pt>
                <c:pt idx="20">
                  <c:v>3114</c:v>
                </c:pt>
                <c:pt idx="21">
                  <c:v>3572</c:v>
                </c:pt>
                <c:pt idx="22">
                  <c:v>3613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48672"/>
        <c:axId val="96750208"/>
      </c:lineChart>
      <c:dateAx>
        <c:axId val="967486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0208"/>
        <c:crosses val="autoZero"/>
        <c:auto val="1"/>
        <c:lblOffset val="100"/>
        <c:baseTimeUnit val="days"/>
      </c:dateAx>
      <c:valAx>
        <c:axId val="96750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4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964.6</c:v>
                </c:pt>
                <c:pt idx="15">
                  <c:v>779.1</c:v>
                </c:pt>
                <c:pt idx="16">
                  <c:v>1150.1000000000001</c:v>
                </c:pt>
                <c:pt idx="17">
                  <c:v>1595.3000000000002</c:v>
                </c:pt>
                <c:pt idx="18">
                  <c:v>1075.9000000000001</c:v>
                </c:pt>
                <c:pt idx="19">
                  <c:v>1113</c:v>
                </c:pt>
                <c:pt idx="20">
                  <c:v>667.80000000000007</c:v>
                </c:pt>
                <c:pt idx="21">
                  <c:v>853.30000000000007</c:v>
                </c:pt>
                <c:pt idx="22">
                  <c:v>556.5</c:v>
                </c:pt>
                <c:pt idx="23">
                  <c:v>593.6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91552"/>
        <c:axId val="96797440"/>
      </c:lineChart>
      <c:dateAx>
        <c:axId val="9679155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97440"/>
        <c:crosses val="autoZero"/>
        <c:auto val="1"/>
        <c:lblOffset val="100"/>
        <c:baseTimeUnit val="days"/>
      </c:dateAx>
      <c:valAx>
        <c:axId val="967974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9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workbookViewId="0">
      <selection activeCell="A25" sqref="A25:XFD25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12659</v>
      </c>
      <c r="F16" s="110">
        <v>1.002</v>
      </c>
      <c r="G16" s="110">
        <f>'Consommation du 01.12 au 31.12'!U24</f>
        <v>964.6</v>
      </c>
      <c r="H16" s="110">
        <v>8.3673000000000002</v>
      </c>
      <c r="I16" s="110">
        <f>'Consommation du 01.12 au 31.12'!Y24*1000</f>
        <v>16659.999999999854</v>
      </c>
      <c r="J16" s="110">
        <v>0.53</v>
      </c>
      <c r="K16" s="110">
        <f>'Consommation du 01.12 au 31.12'!D24</f>
        <v>500</v>
      </c>
      <c r="L16" s="110">
        <v>12.67</v>
      </c>
      <c r="M16" s="124">
        <f>'Consommation du 01.12 au 31.12'!AC24</f>
        <v>79</v>
      </c>
      <c r="N16" s="124">
        <v>134</v>
      </c>
      <c r="O16" s="110">
        <f t="shared" si="0"/>
        <v>35920.215579999924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13906</v>
      </c>
      <c r="F17" s="110">
        <v>1.002</v>
      </c>
      <c r="G17" s="110">
        <f>'Consommation du 01.12 au 31.12'!U25</f>
        <v>779.1</v>
      </c>
      <c r="H17" s="110">
        <v>8.3673000000000002</v>
      </c>
      <c r="I17" s="110">
        <f>'Consommation du 01.12 au 31.12'!Y25*1000</f>
        <v>14860.000000000582</v>
      </c>
      <c r="J17" s="110">
        <v>0.53</v>
      </c>
      <c r="K17" s="110">
        <f>'Consommation du 01.12 au 31.12'!D25</f>
        <v>400</v>
      </c>
      <c r="L17" s="110">
        <v>12.67</v>
      </c>
      <c r="M17" s="124">
        <f>'Consommation du 01.12 au 31.12'!AC25</f>
        <v>63</v>
      </c>
      <c r="N17" s="124">
        <v>118</v>
      </c>
      <c r="O17" s="110">
        <f t="shared" si="0"/>
        <v>33396.57543000031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12569</v>
      </c>
      <c r="F18" s="110">
        <v>1.002</v>
      </c>
      <c r="G18" s="110">
        <f>'Consommation du 01.12 au 31.12'!U26</f>
        <v>1150.1000000000001</v>
      </c>
      <c r="H18" s="110">
        <v>8.3673000000000002</v>
      </c>
      <c r="I18" s="110">
        <f>'Consommation du 01.12 au 31.12'!Y26*1000</f>
        <v>8829.9999999999272</v>
      </c>
      <c r="J18" s="110">
        <v>0.53</v>
      </c>
      <c r="K18" s="110">
        <f>'Consommation du 01.12 au 31.12'!D26</f>
        <v>420</v>
      </c>
      <c r="L18" s="110">
        <v>12.67</v>
      </c>
      <c r="M18" s="124">
        <f>'Consommation du 01.12 au 31.12'!AC26</f>
        <v>47</v>
      </c>
      <c r="N18" s="124">
        <v>96</v>
      </c>
      <c r="O18" s="110">
        <f t="shared" si="0"/>
        <v>32218.669729999965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13141</v>
      </c>
      <c r="F19" s="110">
        <v>1.002</v>
      </c>
      <c r="G19" s="110">
        <f>'Consommation du 01.12 au 31.12'!U27</f>
        <v>1595.3000000000002</v>
      </c>
      <c r="H19" s="110">
        <v>8.3673000000000002</v>
      </c>
      <c r="I19" s="110">
        <f>'Consommation du 01.12 au 31.12'!Y27*1000</f>
        <v>11170.000000000073</v>
      </c>
      <c r="J19" s="110">
        <v>0.53</v>
      </c>
      <c r="K19" s="110">
        <f>'Consommation du 01.12 au 31.12'!D27</f>
        <v>540</v>
      </c>
      <c r="L19" s="110">
        <v>12.67</v>
      </c>
      <c r="M19" s="124">
        <f>'Consommation du 01.12 au 31.12'!AC27</f>
        <v>57</v>
      </c>
      <c r="N19" s="124">
        <v>121</v>
      </c>
      <c r="O19" s="110">
        <f t="shared" si="0"/>
        <v>39277.535690000041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13187</v>
      </c>
      <c r="F20" s="110">
        <v>1.002</v>
      </c>
      <c r="G20" s="110">
        <f>'Consommation du 01.12 au 31.12'!U28</f>
        <v>1075.9000000000001</v>
      </c>
      <c r="H20" s="110">
        <v>8.3673000000000002</v>
      </c>
      <c r="I20" s="110">
        <f>'Consommation du 01.12 au 31.12'!Y28*1000</f>
        <v>15340.000000000146</v>
      </c>
      <c r="J20" s="110">
        <v>0.53</v>
      </c>
      <c r="K20" s="110">
        <f>'Consommation du 01.12 au 31.12'!D28</f>
        <v>400</v>
      </c>
      <c r="L20" s="110">
        <v>12.67</v>
      </c>
      <c r="M20" s="124">
        <f>'Consommation du 01.12 au 31.12'!AC28</f>
        <v>62</v>
      </c>
      <c r="N20" s="124">
        <v>132</v>
      </c>
      <c r="O20" s="110">
        <f t="shared" si="0"/>
        <v>35413.952070000079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12696</v>
      </c>
      <c r="F21" s="110">
        <v>1.002</v>
      </c>
      <c r="G21" s="110">
        <f>'Consommation du 01.12 au 31.12'!U29</f>
        <v>1113</v>
      </c>
      <c r="H21" s="110">
        <v>8.3673000000000002</v>
      </c>
      <c r="I21" s="110">
        <f>'Consommation du 01.12 au 31.12'!Y29*1000</f>
        <v>8409.9999999998545</v>
      </c>
      <c r="J21" s="110">
        <v>0.53</v>
      </c>
      <c r="K21" s="110">
        <f>'Consommation du 01.12 au 31.12'!D29</f>
        <v>520</v>
      </c>
      <c r="L21" s="110">
        <v>12.67</v>
      </c>
      <c r="M21" s="124">
        <f>'Consommation du 01.12 au 31.12'!AC29</f>
        <v>75</v>
      </c>
      <c r="N21" s="124">
        <v>154</v>
      </c>
      <c r="O21" s="110">
        <f t="shared" si="0"/>
        <v>33079.896899999927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12599</v>
      </c>
      <c r="F22" s="110">
        <v>1.002</v>
      </c>
      <c r="G22" s="110">
        <f>'Consommation du 01.12 au 31.12'!U30</f>
        <v>667.80000000000007</v>
      </c>
      <c r="H22" s="110">
        <v>8.3673000000000002</v>
      </c>
      <c r="I22" s="110">
        <f>'Consommation du 01.12 au 31.12'!Y30*1000</f>
        <v>18420.000000000073</v>
      </c>
      <c r="J22" s="110">
        <v>0.53</v>
      </c>
      <c r="K22" s="110">
        <f>'Consommation du 01.12 au 31.12'!D30</f>
        <v>430</v>
      </c>
      <c r="L22" s="110">
        <v>12.67</v>
      </c>
      <c r="M22" s="124">
        <f>'Consommation du 01.12 au 31.12'!AC30</f>
        <v>92</v>
      </c>
      <c r="N22" s="124">
        <v>199</v>
      </c>
      <c r="O22" s="110">
        <f t="shared" si="0"/>
        <v>33422.580940000043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13871</v>
      </c>
      <c r="F23" s="110">
        <v>1.002</v>
      </c>
      <c r="G23" s="110">
        <f>'Consommation du 01.12 au 31.12'!U31</f>
        <v>853.30000000000007</v>
      </c>
      <c r="H23" s="110">
        <v>8.3673000000000002</v>
      </c>
      <c r="I23" s="110">
        <f>'Consommation du 01.12 au 31.12'!Y31*1000</f>
        <v>19289.999999999054</v>
      </c>
      <c r="J23" s="110">
        <v>0.53</v>
      </c>
      <c r="K23" s="110">
        <f>'Consommation du 01.12 au 31.12'!D31</f>
        <v>590</v>
      </c>
      <c r="L23" s="110">
        <v>12.67</v>
      </c>
      <c r="M23" s="124">
        <f>'Consommation du 01.12 au 31.12'!AC31</f>
        <v>115</v>
      </c>
      <c r="N23" s="124">
        <v>247</v>
      </c>
      <c r="O23" s="110">
        <f t="shared" si="0"/>
        <v>38737.5590899995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14488</v>
      </c>
      <c r="F24" s="110">
        <v>1.002</v>
      </c>
      <c r="G24" s="110">
        <f>'Consommation du 01.12 au 31.12'!U32</f>
        <v>556.5</v>
      </c>
      <c r="H24" s="110">
        <v>8.3673000000000002</v>
      </c>
      <c r="I24" s="110">
        <f>'Consommation du 01.12 au 31.12'!Y32*1000</f>
        <v>18540.000000000873</v>
      </c>
      <c r="J24" s="110">
        <v>0.53</v>
      </c>
      <c r="K24" s="110">
        <f>'Consommation du 01.12 au 31.12'!D32</f>
        <v>480</v>
      </c>
      <c r="L24" s="110">
        <v>12.67</v>
      </c>
      <c r="M24" s="124">
        <f>'Consommation du 01.12 au 31.12'!AC32</f>
        <v>123</v>
      </c>
      <c r="N24">
        <v>265</v>
      </c>
      <c r="O24" s="110">
        <f t="shared" si="0"/>
        <v>35081.178450000465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15073</v>
      </c>
      <c r="F25" s="110">
        <v>1.002</v>
      </c>
      <c r="G25" s="110">
        <f>'Consommation du 01.12 au 31.12'!U33</f>
        <v>593.6</v>
      </c>
      <c r="H25" s="110">
        <v>8.3673000000000002</v>
      </c>
      <c r="I25" s="110">
        <f>'Consommation du 01.12 au 31.12'!Y33*1000</f>
        <v>18760.000000000218</v>
      </c>
      <c r="J25" s="110">
        <v>0.53</v>
      </c>
      <c r="K25" s="110">
        <f>'Consommation du 01.12 au 31.12'!D33</f>
        <v>450</v>
      </c>
      <c r="L25" s="110">
        <v>12.67</v>
      </c>
      <c r="M25" s="124">
        <f>'Consommation du 01.12 au 31.12'!AC33</f>
        <v>118</v>
      </c>
      <c r="N25" s="124">
        <v>256</v>
      </c>
      <c r="O25" s="110">
        <f t="shared" si="0"/>
        <v>35714.275280000118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0</v>
      </c>
      <c r="F26" s="110">
        <v>1.002</v>
      </c>
      <c r="G26" s="110">
        <f>'Consommation du 01.12 au 31.12'!U34</f>
        <v>0</v>
      </c>
      <c r="H26" s="110">
        <v>8.3673000000000002</v>
      </c>
      <c r="I26" s="110">
        <f>'Consommation du 01.12 au 31.12'!Y34*1000</f>
        <v>0</v>
      </c>
      <c r="J26" s="110">
        <v>0.53</v>
      </c>
      <c r="K26" s="110">
        <f>'Consommation du 01.12 au 31.12'!D34</f>
        <v>0</v>
      </c>
      <c r="L26" s="110">
        <v>12.67</v>
      </c>
      <c r="M26" s="124">
        <f>'Consommation du 01.12 au 31.12'!AC34</f>
        <v>0</v>
      </c>
      <c r="N26" s="124"/>
      <c r="O26" s="110">
        <f t="shared" si="0"/>
        <v>0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0</v>
      </c>
      <c r="F27" s="110">
        <v>1.002</v>
      </c>
      <c r="G27" s="110">
        <f>'Consommation du 01.12 au 31.12'!U35</f>
        <v>0</v>
      </c>
      <c r="H27" s="110">
        <v>8.3673000000000002</v>
      </c>
      <c r="I27" s="110">
        <f>'Consommation du 01.12 au 31.12'!Y35*1000</f>
        <v>0</v>
      </c>
      <c r="J27" s="110">
        <v>0.53</v>
      </c>
      <c r="K27" s="110">
        <f>'Consommation du 01.12 au 31.12'!D35</f>
        <v>0</v>
      </c>
      <c r="L27" s="110">
        <v>12.67</v>
      </c>
      <c r="M27" s="124">
        <f>'Consommation du 01.12 au 31.12'!AC35</f>
        <v>0</v>
      </c>
      <c r="N27" s="124"/>
      <c r="O27" s="110">
        <f t="shared" si="0"/>
        <v>0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0</v>
      </c>
      <c r="F28" s="110">
        <v>1.002</v>
      </c>
      <c r="G28" s="110">
        <f>'Consommation du 01.12 au 31.12'!U36</f>
        <v>0</v>
      </c>
      <c r="H28" s="110">
        <v>8.3673000000000002</v>
      </c>
      <c r="I28" s="110">
        <f>'Consommation du 01.12 au 31.12'!Y36*1000</f>
        <v>0</v>
      </c>
      <c r="J28" s="110">
        <v>0.53</v>
      </c>
      <c r="K28" s="110">
        <f>'Consommation du 01.12 au 31.12'!D36</f>
        <v>0</v>
      </c>
      <c r="L28" s="110">
        <v>12.67</v>
      </c>
      <c r="M28" s="124">
        <f>'Consommation du 01.12 au 31.12'!AC36</f>
        <v>0</v>
      </c>
      <c r="N28" s="124"/>
      <c r="O28" s="110">
        <f t="shared" si="0"/>
        <v>0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0</v>
      </c>
      <c r="F29" s="110">
        <v>1.002</v>
      </c>
      <c r="G29" s="110">
        <f>'Consommation du 01.12 au 31.12'!U37</f>
        <v>0</v>
      </c>
      <c r="H29" s="110">
        <v>8.3673000000000002</v>
      </c>
      <c r="I29" s="110">
        <f>'Consommation du 01.12 au 31.12'!Y37*1000</f>
        <v>0</v>
      </c>
      <c r="J29" s="110">
        <v>0.53</v>
      </c>
      <c r="K29" s="110">
        <f>'Consommation du 01.12 au 31.12'!D37</f>
        <v>0</v>
      </c>
      <c r="L29" s="110">
        <v>12.67</v>
      </c>
      <c r="M29" s="124">
        <f>'Consommation du 01.12 au 31.12'!AC37</f>
        <v>0</v>
      </c>
      <c r="N29" s="124"/>
      <c r="O29" s="110">
        <f t="shared" si="0"/>
        <v>0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2" zoomScale="55" zoomScaleNormal="55" zoomScaleSheetLayoutView="50" workbookViewId="0">
      <selection activeCell="X34" sqref="X34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7"/>
      <c r="B2" s="228"/>
      <c r="C2" s="228"/>
      <c r="D2" s="228"/>
      <c r="E2" s="228"/>
      <c r="F2" s="229"/>
      <c r="G2" s="216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8"/>
      <c r="AD2" s="192"/>
      <c r="AE2" s="192"/>
      <c r="AF2" s="192"/>
      <c r="AJ2" s="64"/>
    </row>
    <row r="3" spans="1:37" ht="1.5" customHeight="1" x14ac:dyDescent="0.2"/>
    <row r="4" spans="1:37" ht="39" hidden="1" customHeight="1" x14ac:dyDescent="0.2">
      <c r="A4" s="230"/>
      <c r="B4" s="230"/>
      <c r="C4" s="230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0"/>
      <c r="B5" s="230"/>
      <c r="C5" s="230"/>
      <c r="D5" s="6"/>
      <c r="E5" s="6"/>
      <c r="F5" s="6"/>
      <c r="G5" s="6"/>
      <c r="H5" s="6"/>
      <c r="I5" s="6"/>
      <c r="J5" s="6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2"/>
      <c r="E7" s="172"/>
      <c r="F7" s="172"/>
      <c r="G7" s="172"/>
      <c r="H7" s="172"/>
      <c r="I7" s="172"/>
      <c r="J7" s="172"/>
      <c r="K7" s="172"/>
      <c r="L7" s="173"/>
      <c r="M7" s="173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4"/>
      <c r="AC7" s="14"/>
      <c r="AI7" s="6"/>
      <c r="AJ7" s="6"/>
      <c r="AK7" s="6"/>
    </row>
    <row r="8" spans="1:37" ht="2.25" customHeight="1" thickBot="1" x14ac:dyDescent="0.25">
      <c r="A8" s="172"/>
      <c r="B8" s="232" t="s">
        <v>1</v>
      </c>
      <c r="C8" s="4"/>
      <c r="D8" s="233" t="s">
        <v>4</v>
      </c>
      <c r="E8" s="5"/>
      <c r="F8" s="219" t="s">
        <v>12</v>
      </c>
      <c r="G8" s="220"/>
      <c r="H8" s="221"/>
      <c r="I8" s="5"/>
      <c r="J8" s="176" t="s">
        <v>3</v>
      </c>
      <c r="K8" s="176"/>
      <c r="L8" s="176"/>
      <c r="M8" s="176" t="s">
        <v>2</v>
      </c>
      <c r="N8" s="5"/>
      <c r="O8" s="225" t="s">
        <v>12</v>
      </c>
      <c r="P8" s="5"/>
      <c r="Q8" s="225" t="s">
        <v>5</v>
      </c>
      <c r="R8" s="5"/>
      <c r="S8" s="225" t="s">
        <v>6</v>
      </c>
      <c r="T8" s="5"/>
      <c r="U8" s="174" t="s">
        <v>39</v>
      </c>
      <c r="V8" s="5"/>
      <c r="W8" s="225" t="s">
        <v>12</v>
      </c>
      <c r="X8" s="72"/>
      <c r="Y8" s="72"/>
      <c r="Z8" s="72"/>
      <c r="AA8" s="237"/>
      <c r="AB8" s="235" t="s">
        <v>80</v>
      </c>
      <c r="AC8" s="225" t="s">
        <v>75</v>
      </c>
      <c r="AD8" s="242" t="s">
        <v>54</v>
      </c>
      <c r="AE8" s="240" t="s">
        <v>59</v>
      </c>
      <c r="AF8" s="240" t="s">
        <v>60</v>
      </c>
      <c r="AG8" s="238" t="s">
        <v>61</v>
      </c>
      <c r="AH8" s="238" t="s">
        <v>62</v>
      </c>
      <c r="AI8" s="76"/>
      <c r="AJ8" s="76"/>
      <c r="AK8" s="76"/>
    </row>
    <row r="9" spans="1:37" ht="116.25" customHeight="1" thickBot="1" x14ac:dyDescent="0.25">
      <c r="A9" s="172"/>
      <c r="B9" s="232"/>
      <c r="C9" s="4"/>
      <c r="D9" s="234"/>
      <c r="E9" s="5"/>
      <c r="F9" s="222"/>
      <c r="G9" s="223"/>
      <c r="H9" s="224"/>
      <c r="I9" s="5"/>
      <c r="J9" s="88" t="s">
        <v>7</v>
      </c>
      <c r="K9" s="88" t="s">
        <v>8</v>
      </c>
      <c r="L9" s="88" t="s">
        <v>9</v>
      </c>
      <c r="M9" s="176"/>
      <c r="N9" s="5"/>
      <c r="O9" s="226"/>
      <c r="P9" s="5"/>
      <c r="Q9" s="226"/>
      <c r="R9" s="5"/>
      <c r="S9" s="226"/>
      <c r="T9" s="5"/>
      <c r="U9" s="175"/>
      <c r="V9" s="5"/>
      <c r="W9" s="226"/>
      <c r="X9" s="138" t="s">
        <v>81</v>
      </c>
      <c r="Y9" s="103" t="s">
        <v>55</v>
      </c>
      <c r="Z9" s="104" t="s">
        <v>56</v>
      </c>
      <c r="AA9" s="237"/>
      <c r="AB9" s="236"/>
      <c r="AC9" s="231"/>
      <c r="AD9" s="243"/>
      <c r="AE9" s="241"/>
      <c r="AF9" s="241"/>
      <c r="AG9" s="239"/>
      <c r="AH9" s="239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166">
        <f>D10*12.67</f>
        <v>6335</v>
      </c>
      <c r="G10" s="166"/>
      <c r="H10" s="167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166">
        <f t="shared" ref="F11:F40" si="0">D11*12.67</f>
        <v>4814.6000000000004</v>
      </c>
      <c r="G11" s="166"/>
      <c r="H11" s="167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166">
        <f t="shared" si="0"/>
        <v>4814.6000000000004</v>
      </c>
      <c r="G12" s="166"/>
      <c r="H12" s="167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166">
        <f t="shared" si="0"/>
        <v>5574.8</v>
      </c>
      <c r="G13" s="166"/>
      <c r="H13" s="167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166">
        <f t="shared" si="0"/>
        <v>5701.5</v>
      </c>
      <c r="G14" s="166"/>
      <c r="H14" s="167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166">
        <f t="shared" si="0"/>
        <v>4687.8999999999996</v>
      </c>
      <c r="G15" s="166"/>
      <c r="H15" s="167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166">
        <f t="shared" si="0"/>
        <v>4814.6000000000004</v>
      </c>
      <c r="G16" s="166"/>
      <c r="H16" s="167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166">
        <f t="shared" si="0"/>
        <v>4814.6000000000004</v>
      </c>
      <c r="G17" s="166"/>
      <c r="H17" s="167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166">
        <f t="shared" si="0"/>
        <v>5701.5</v>
      </c>
      <c r="G18" s="166"/>
      <c r="H18" s="167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166">
        <f t="shared" si="0"/>
        <v>5068</v>
      </c>
      <c r="G19" s="166"/>
      <c r="H19" s="167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166">
        <f t="shared" si="0"/>
        <v>5574.8</v>
      </c>
      <c r="G20" s="166"/>
      <c r="H20" s="167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166">
        <f t="shared" si="0"/>
        <v>5954.9</v>
      </c>
      <c r="G21" s="166"/>
      <c r="H21" s="167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166">
        <f t="shared" si="0"/>
        <v>5194.7</v>
      </c>
      <c r="G22" s="166"/>
      <c r="H22" s="167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166">
        <f t="shared" si="0"/>
        <v>6208.3</v>
      </c>
      <c r="G23" s="166"/>
      <c r="H23" s="167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500</v>
      </c>
      <c r="E24" s="114"/>
      <c r="F24" s="166">
        <f t="shared" si="0"/>
        <v>6335</v>
      </c>
      <c r="G24" s="166"/>
      <c r="H24" s="167"/>
      <c r="I24" s="95"/>
      <c r="J24" s="119">
        <f>'Suivi EAU-ELEC'!E29</f>
        <v>3903</v>
      </c>
      <c r="K24" s="120">
        <f>'Suivi EAU-ELEC'!G29</f>
        <v>6043</v>
      </c>
      <c r="L24" s="120">
        <f>'Suivi EAU-ELEC'!I29</f>
        <v>2713</v>
      </c>
      <c r="M24" s="121">
        <f t="shared" si="1"/>
        <v>12659</v>
      </c>
      <c r="N24" s="94"/>
      <c r="O24" s="97">
        <f t="shared" si="2"/>
        <v>12684.317999999999</v>
      </c>
      <c r="P24" s="93"/>
      <c r="Q24" s="92"/>
      <c r="R24" s="91"/>
      <c r="S24" s="92"/>
      <c r="T24" s="99"/>
      <c r="U24" s="98">
        <f>'Suvi Gaz'!O24</f>
        <v>964.6</v>
      </c>
      <c r="V24" s="95"/>
      <c r="W24" s="97">
        <f t="shared" si="3"/>
        <v>8071.0975800000006</v>
      </c>
      <c r="X24" s="150">
        <v>15749.98</v>
      </c>
      <c r="Y24" s="101">
        <f t="shared" si="4"/>
        <v>16.659999999999854</v>
      </c>
      <c r="Z24" s="102">
        <f t="shared" si="5"/>
        <v>8829.7999999999247</v>
      </c>
      <c r="AA24" s="95"/>
      <c r="AB24" s="117">
        <v>19</v>
      </c>
      <c r="AC24" s="131">
        <v>79</v>
      </c>
      <c r="AD24" s="127">
        <v>0.58520000000000005</v>
      </c>
      <c r="AE24" s="149">
        <v>27.5</v>
      </c>
      <c r="AF24" s="135">
        <v>28</v>
      </c>
      <c r="AG24" s="147">
        <v>27.5</v>
      </c>
      <c r="AH24" s="148">
        <v>28</v>
      </c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400</v>
      </c>
      <c r="E25" s="114"/>
      <c r="F25" s="166">
        <f t="shared" si="0"/>
        <v>5068</v>
      </c>
      <c r="G25" s="166"/>
      <c r="H25" s="167"/>
      <c r="I25" s="95"/>
      <c r="J25" s="119">
        <f>'Suivi EAU-ELEC'!E30</f>
        <v>4579</v>
      </c>
      <c r="K25" s="120">
        <f>'Suivi EAU-ELEC'!G30</f>
        <v>6190</v>
      </c>
      <c r="L25" s="120">
        <f>'Suivi EAU-ELEC'!I30</f>
        <v>3137</v>
      </c>
      <c r="M25" s="121">
        <f t="shared" si="1"/>
        <v>13906</v>
      </c>
      <c r="N25" s="94"/>
      <c r="O25" s="97">
        <f t="shared" si="2"/>
        <v>13933.812</v>
      </c>
      <c r="P25" s="93"/>
      <c r="Q25" s="92"/>
      <c r="R25" s="91"/>
      <c r="S25" s="92"/>
      <c r="T25" s="99"/>
      <c r="U25" s="98">
        <f>'Suvi Gaz'!O25</f>
        <v>779.1</v>
      </c>
      <c r="V25" s="95"/>
      <c r="W25" s="97">
        <f t="shared" si="3"/>
        <v>6518.9634300000007</v>
      </c>
      <c r="X25" s="150">
        <v>15766.64</v>
      </c>
      <c r="Y25" s="101">
        <f t="shared" si="4"/>
        <v>14.860000000000582</v>
      </c>
      <c r="Z25" s="102">
        <f t="shared" si="5"/>
        <v>7875.8000000003094</v>
      </c>
      <c r="AA25" s="95"/>
      <c r="AB25" s="117">
        <v>21</v>
      </c>
      <c r="AC25" s="131">
        <v>63</v>
      </c>
      <c r="AD25" s="127">
        <v>0.48459999999999998</v>
      </c>
      <c r="AE25" s="149">
        <v>27</v>
      </c>
      <c r="AF25" s="135">
        <v>28</v>
      </c>
      <c r="AG25" s="147">
        <v>28</v>
      </c>
      <c r="AH25" s="148">
        <v>29</v>
      </c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420</v>
      </c>
      <c r="E26" s="115"/>
      <c r="F26" s="166">
        <f t="shared" si="0"/>
        <v>5321.4</v>
      </c>
      <c r="G26" s="166"/>
      <c r="H26" s="167"/>
      <c r="I26" s="95"/>
      <c r="J26" s="119">
        <f>'Suivi EAU-ELEC'!E31</f>
        <v>3071</v>
      </c>
      <c r="K26" s="120">
        <f>'Suivi EAU-ELEC'!G31</f>
        <v>6411</v>
      </c>
      <c r="L26" s="120">
        <f>'Suivi EAU-ELEC'!I31</f>
        <v>3087</v>
      </c>
      <c r="M26" s="121">
        <f t="shared" si="1"/>
        <v>12569</v>
      </c>
      <c r="N26" s="94"/>
      <c r="O26" s="97">
        <f t="shared" si="2"/>
        <v>12594.138000000001</v>
      </c>
      <c r="P26" s="93"/>
      <c r="Q26" s="92"/>
      <c r="R26" s="91"/>
      <c r="S26" s="92"/>
      <c r="T26" s="99"/>
      <c r="U26" s="98">
        <f>'Suvi Gaz'!O26</f>
        <v>1150.1000000000001</v>
      </c>
      <c r="V26" s="96"/>
      <c r="W26" s="97">
        <f t="shared" si="3"/>
        <v>9623.2317300000013</v>
      </c>
      <c r="X26" s="150">
        <v>15781.5</v>
      </c>
      <c r="Y26" s="101">
        <f t="shared" si="4"/>
        <v>8.8299999999999272</v>
      </c>
      <c r="Z26" s="102">
        <f t="shared" si="5"/>
        <v>4679.8999999999614</v>
      </c>
      <c r="AA26" s="96"/>
      <c r="AB26" s="117">
        <v>11</v>
      </c>
      <c r="AC26" s="131">
        <v>47</v>
      </c>
      <c r="AD26" s="127">
        <v>0.35339999999999999</v>
      </c>
      <c r="AE26" s="149">
        <v>25.8</v>
      </c>
      <c r="AF26" s="135">
        <v>26</v>
      </c>
      <c r="AG26" s="147">
        <v>25.8</v>
      </c>
      <c r="AH26" s="148">
        <v>29</v>
      </c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540</v>
      </c>
      <c r="E27" s="115"/>
      <c r="F27" s="166">
        <f t="shared" si="0"/>
        <v>6841.8</v>
      </c>
      <c r="G27" s="166"/>
      <c r="H27" s="167"/>
      <c r="I27" s="95"/>
      <c r="J27" s="119">
        <f>'Suivi EAU-ELEC'!E32</f>
        <v>4123</v>
      </c>
      <c r="K27" s="120">
        <f>'Suivi EAU-ELEC'!G32</f>
        <v>6230</v>
      </c>
      <c r="L27" s="120">
        <f>'Suivi EAU-ELEC'!I32</f>
        <v>2788</v>
      </c>
      <c r="M27" s="121">
        <f t="shared" si="1"/>
        <v>13141</v>
      </c>
      <c r="N27" s="94"/>
      <c r="O27" s="97">
        <f>M27*1.002</f>
        <v>13167.281999999999</v>
      </c>
      <c r="P27" s="93"/>
      <c r="Q27" s="92"/>
      <c r="R27" s="91"/>
      <c r="S27" s="92"/>
      <c r="T27" s="99"/>
      <c r="U27" s="98">
        <f>'Suvi Gaz'!O27</f>
        <v>1595.3000000000002</v>
      </c>
      <c r="V27" s="96"/>
      <c r="W27" s="97">
        <f t="shared" si="3"/>
        <v>13348.353690000002</v>
      </c>
      <c r="X27" s="150">
        <v>15790.33</v>
      </c>
      <c r="Y27" s="101">
        <f t="shared" si="4"/>
        <v>11.170000000000073</v>
      </c>
      <c r="Z27" s="102">
        <f t="shared" si="5"/>
        <v>5920.1000000000386</v>
      </c>
      <c r="AA27" s="96"/>
      <c r="AB27" s="117">
        <v>15</v>
      </c>
      <c r="AC27" s="131">
        <v>57</v>
      </c>
      <c r="AD27" s="127">
        <v>0.41610000000000003</v>
      </c>
      <c r="AE27" s="149">
        <v>25.8</v>
      </c>
      <c r="AF27" s="135">
        <v>26</v>
      </c>
      <c r="AG27" s="147">
        <v>26</v>
      </c>
      <c r="AH27" s="148">
        <v>26</v>
      </c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400</v>
      </c>
      <c r="E28" s="115"/>
      <c r="F28" s="166">
        <f t="shared" si="0"/>
        <v>5068</v>
      </c>
      <c r="G28" s="166"/>
      <c r="H28" s="167"/>
      <c r="I28" s="96"/>
      <c r="J28" s="119">
        <f>'Suivi EAU-ELEC'!E33</f>
        <v>4185</v>
      </c>
      <c r="K28" s="120">
        <f>'Suivi EAU-ELEC'!G33</f>
        <v>6102</v>
      </c>
      <c r="L28" s="120">
        <f>'Suivi EAU-ELEC'!I33</f>
        <v>2900</v>
      </c>
      <c r="M28" s="121">
        <f t="shared" si="1"/>
        <v>13187</v>
      </c>
      <c r="N28" s="94"/>
      <c r="O28" s="97">
        <f t="shared" si="2"/>
        <v>13213.374</v>
      </c>
      <c r="P28" s="93"/>
      <c r="Q28" s="92"/>
      <c r="R28" s="91"/>
      <c r="S28" s="92"/>
      <c r="T28" s="99"/>
      <c r="U28" s="98">
        <f>'Suvi Gaz'!O28</f>
        <v>1075.9000000000001</v>
      </c>
      <c r="V28" s="96"/>
      <c r="W28" s="97">
        <f t="shared" si="3"/>
        <v>9002.3780700000007</v>
      </c>
      <c r="X28" s="150">
        <v>15801.5</v>
      </c>
      <c r="Y28" s="101">
        <f t="shared" si="4"/>
        <v>15.340000000000146</v>
      </c>
      <c r="Z28" s="102">
        <f t="shared" si="5"/>
        <v>8130.2000000000771</v>
      </c>
      <c r="AA28" s="96"/>
      <c r="AB28" s="117">
        <v>18</v>
      </c>
      <c r="AC28" s="131">
        <v>62</v>
      </c>
      <c r="AD28" s="127">
        <v>0.45929999999999999</v>
      </c>
      <c r="AE28" s="149">
        <v>26.4</v>
      </c>
      <c r="AF28" s="135">
        <v>27</v>
      </c>
      <c r="AG28" s="147">
        <v>26.5</v>
      </c>
      <c r="AH28" s="148">
        <v>27</v>
      </c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520</v>
      </c>
      <c r="E29" s="115"/>
      <c r="F29" s="166">
        <f t="shared" si="0"/>
        <v>6588.4</v>
      </c>
      <c r="G29" s="166"/>
      <c r="H29" s="167"/>
      <c r="I29" s="96"/>
      <c r="J29" s="119">
        <f>'Suivi EAU-ELEC'!E34</f>
        <v>3933</v>
      </c>
      <c r="K29" s="120">
        <f>'Suivi EAU-ELEC'!G34</f>
        <v>6028</v>
      </c>
      <c r="L29" s="120">
        <f>'Suivi EAU-ELEC'!I34</f>
        <v>2735</v>
      </c>
      <c r="M29" s="121">
        <f t="shared" si="1"/>
        <v>12696</v>
      </c>
      <c r="N29" s="94"/>
      <c r="O29" s="97">
        <f t="shared" si="2"/>
        <v>12721.392</v>
      </c>
      <c r="P29" s="93"/>
      <c r="Q29" s="92"/>
      <c r="R29" s="91"/>
      <c r="S29" s="92"/>
      <c r="T29" s="99"/>
      <c r="U29" s="98">
        <f>'Suvi Gaz'!O29</f>
        <v>1113</v>
      </c>
      <c r="V29" s="96"/>
      <c r="W29" s="97">
        <f t="shared" si="3"/>
        <v>9312.804900000001</v>
      </c>
      <c r="X29" s="150">
        <v>15816.84</v>
      </c>
      <c r="Y29" s="101">
        <f t="shared" si="4"/>
        <v>8.4099999999998545</v>
      </c>
      <c r="Z29" s="102">
        <f t="shared" si="5"/>
        <v>4457.2999999999229</v>
      </c>
      <c r="AA29" s="96"/>
      <c r="AB29" s="117">
        <v>19</v>
      </c>
      <c r="AC29" s="131">
        <v>75</v>
      </c>
      <c r="AD29" s="127">
        <v>0.55149999999999999</v>
      </c>
      <c r="AE29" s="149">
        <v>27</v>
      </c>
      <c r="AF29" s="135">
        <v>28</v>
      </c>
      <c r="AG29" s="147">
        <v>27.5</v>
      </c>
      <c r="AH29" s="148">
        <v>28</v>
      </c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430</v>
      </c>
      <c r="E30" s="115"/>
      <c r="F30" s="166">
        <f t="shared" si="0"/>
        <v>5448.1</v>
      </c>
      <c r="G30" s="166"/>
      <c r="H30" s="167"/>
      <c r="I30" s="96"/>
      <c r="J30" s="119">
        <f>'Suivi EAU-ELEC'!E35</f>
        <v>3982</v>
      </c>
      <c r="K30" s="120">
        <f>'Suivi EAU-ELEC'!G35</f>
        <v>5833</v>
      </c>
      <c r="L30" s="120">
        <f>'Suivi EAU-ELEC'!I35</f>
        <v>2784</v>
      </c>
      <c r="M30" s="121">
        <f t="shared" si="1"/>
        <v>12599</v>
      </c>
      <c r="N30" s="94"/>
      <c r="O30" s="97">
        <f t="shared" si="2"/>
        <v>12624.198</v>
      </c>
      <c r="P30" s="93"/>
      <c r="Q30" s="92"/>
      <c r="R30" s="91"/>
      <c r="S30" s="92"/>
      <c r="T30" s="99"/>
      <c r="U30" s="98">
        <f>'Suvi Gaz'!O30</f>
        <v>667.80000000000007</v>
      </c>
      <c r="V30" s="96"/>
      <c r="W30" s="97">
        <f t="shared" si="3"/>
        <v>5587.6829400000006</v>
      </c>
      <c r="X30" s="150">
        <v>15825.25</v>
      </c>
      <c r="Y30" s="101">
        <f t="shared" si="4"/>
        <v>18.420000000000073</v>
      </c>
      <c r="Z30" s="102">
        <f t="shared" si="5"/>
        <v>9762.6000000000404</v>
      </c>
      <c r="AA30" s="96"/>
      <c r="AB30" s="117">
        <v>17</v>
      </c>
      <c r="AC30" s="131">
        <v>92</v>
      </c>
      <c r="AD30" s="127">
        <v>0.66669999999999996</v>
      </c>
      <c r="AE30" s="149">
        <v>27</v>
      </c>
      <c r="AF30" s="135">
        <v>28</v>
      </c>
      <c r="AG30" s="147">
        <v>27</v>
      </c>
      <c r="AH30" s="148">
        <v>28</v>
      </c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590</v>
      </c>
      <c r="E31" s="91"/>
      <c r="F31" s="166">
        <f t="shared" si="0"/>
        <v>7475.3</v>
      </c>
      <c r="G31" s="166"/>
      <c r="H31" s="167"/>
      <c r="I31" s="94"/>
      <c r="J31" s="119">
        <f>'Suivi EAU-ELEC'!E36</f>
        <v>4376</v>
      </c>
      <c r="K31" s="120">
        <f>'Suivi EAU-ELEC'!G36</f>
        <v>6381</v>
      </c>
      <c r="L31" s="120">
        <f>'Suivi EAU-ELEC'!I36</f>
        <v>3114</v>
      </c>
      <c r="M31" s="121">
        <f t="shared" si="1"/>
        <v>13871</v>
      </c>
      <c r="N31" s="94"/>
      <c r="O31" s="97">
        <f t="shared" si="2"/>
        <v>13898.742</v>
      </c>
      <c r="P31" s="93"/>
      <c r="Q31" s="92"/>
      <c r="R31" s="91"/>
      <c r="S31" s="92"/>
      <c r="T31" s="99"/>
      <c r="U31" s="98">
        <f>'Suvi Gaz'!O31</f>
        <v>853.30000000000007</v>
      </c>
      <c r="V31" s="94"/>
      <c r="W31" s="97">
        <f t="shared" si="3"/>
        <v>7139.8170900000005</v>
      </c>
      <c r="X31" s="150">
        <v>15843.67</v>
      </c>
      <c r="Y31" s="101">
        <f t="shared" si="4"/>
        <v>19.289999999999054</v>
      </c>
      <c r="Z31" s="102">
        <f t="shared" si="5"/>
        <v>10223.699999999501</v>
      </c>
      <c r="AA31" s="94"/>
      <c r="AB31" s="117">
        <v>19</v>
      </c>
      <c r="AC31" s="131">
        <v>115</v>
      </c>
      <c r="AD31" s="127">
        <v>0.85189999999999999</v>
      </c>
      <c r="AE31" s="149">
        <v>27</v>
      </c>
      <c r="AF31" s="135">
        <v>27.5</v>
      </c>
      <c r="AG31" s="147">
        <v>27</v>
      </c>
      <c r="AH31" s="148">
        <v>28</v>
      </c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480</v>
      </c>
      <c r="E32" s="91"/>
      <c r="F32" s="166">
        <f t="shared" si="0"/>
        <v>6081.6</v>
      </c>
      <c r="G32" s="166"/>
      <c r="H32" s="167"/>
      <c r="I32" s="94"/>
      <c r="J32" s="119">
        <f>'Suivi EAU-ELEC'!E37</f>
        <v>4694</v>
      </c>
      <c r="K32" s="120">
        <f>'Suivi EAU-ELEC'!G37</f>
        <v>6222</v>
      </c>
      <c r="L32" s="120">
        <f>'Suivi EAU-ELEC'!I37</f>
        <v>3572</v>
      </c>
      <c r="M32" s="121">
        <f t="shared" si="1"/>
        <v>14488</v>
      </c>
      <c r="N32" s="94"/>
      <c r="O32" s="97">
        <f t="shared" si="2"/>
        <v>14516.976000000001</v>
      </c>
      <c r="P32" s="93"/>
      <c r="Q32" s="92"/>
      <c r="R32" s="91"/>
      <c r="S32" s="92"/>
      <c r="T32" s="99"/>
      <c r="U32" s="98">
        <f>'Suvi Gaz'!O32</f>
        <v>556.5</v>
      </c>
      <c r="V32" s="94"/>
      <c r="W32" s="97">
        <f t="shared" si="3"/>
        <v>4656.4024500000005</v>
      </c>
      <c r="X32" s="150">
        <v>15862.96</v>
      </c>
      <c r="Y32" s="101">
        <f t="shared" si="4"/>
        <v>18.540000000000873</v>
      </c>
      <c r="Z32" s="102">
        <f t="shared" si="5"/>
        <v>9826.2000000004646</v>
      </c>
      <c r="AA32" s="94"/>
      <c r="AB32" s="117">
        <v>21</v>
      </c>
      <c r="AC32" s="131">
        <v>123</v>
      </c>
      <c r="AD32" s="127">
        <v>0.89780000000000004</v>
      </c>
      <c r="AE32" s="164">
        <v>26</v>
      </c>
      <c r="AF32" s="165">
        <v>26.8</v>
      </c>
      <c r="AG32" s="147">
        <v>25.4</v>
      </c>
      <c r="AH32" s="148">
        <v>25.6</v>
      </c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450</v>
      </c>
      <c r="E33" s="91"/>
      <c r="F33" s="166">
        <f t="shared" si="0"/>
        <v>5701.5</v>
      </c>
      <c r="G33" s="166"/>
      <c r="H33" s="167"/>
      <c r="I33" s="94"/>
      <c r="J33" s="119">
        <f>'Suivi EAU-ELEC'!E38</f>
        <v>4573</v>
      </c>
      <c r="K33" s="120">
        <f>'Suivi EAU-ELEC'!G38</f>
        <v>6887</v>
      </c>
      <c r="L33" s="120">
        <f>'Suivi EAU-ELEC'!I38</f>
        <v>3613</v>
      </c>
      <c r="M33" s="121">
        <f t="shared" si="1"/>
        <v>15073</v>
      </c>
      <c r="N33" s="94"/>
      <c r="O33" s="97">
        <f t="shared" si="2"/>
        <v>15103.146000000001</v>
      </c>
      <c r="P33" s="93"/>
      <c r="Q33" s="92"/>
      <c r="R33" s="91"/>
      <c r="S33" s="92"/>
      <c r="T33" s="99"/>
      <c r="U33" s="98">
        <f>'Suvi Gaz'!O33</f>
        <v>593.6</v>
      </c>
      <c r="V33" s="94"/>
      <c r="W33" s="97">
        <f t="shared" si="3"/>
        <v>4966.8292799999999</v>
      </c>
      <c r="X33" s="150">
        <v>15881.5</v>
      </c>
      <c r="Y33" s="101">
        <f t="shared" si="4"/>
        <v>18.760000000000218</v>
      </c>
      <c r="Z33" s="102">
        <f t="shared" si="5"/>
        <v>9942.8000000001157</v>
      </c>
      <c r="AA33" s="94"/>
      <c r="AB33" s="117">
        <v>24</v>
      </c>
      <c r="AC33" s="131">
        <v>118</v>
      </c>
      <c r="AD33" s="127">
        <v>0.88060000000000005</v>
      </c>
      <c r="AE33" s="164">
        <v>26</v>
      </c>
      <c r="AF33" s="165">
        <v>26.6</v>
      </c>
      <c r="AG33" s="147">
        <v>25</v>
      </c>
      <c r="AH33" s="148">
        <v>25</v>
      </c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0</v>
      </c>
      <c r="E34" s="91"/>
      <c r="F34" s="166">
        <f t="shared" si="0"/>
        <v>0</v>
      </c>
      <c r="G34" s="166"/>
      <c r="H34" s="167"/>
      <c r="I34" s="94"/>
      <c r="J34" s="119">
        <f>'Suivi EAU-ELEC'!E39</f>
        <v>0</v>
      </c>
      <c r="K34" s="120">
        <f>'Suivi EAU-ELEC'!G39</f>
        <v>0</v>
      </c>
      <c r="L34" s="120">
        <f>'Suivi EAU-ELEC'!I39</f>
        <v>0</v>
      </c>
      <c r="M34" s="121">
        <f t="shared" si="1"/>
        <v>0</v>
      </c>
      <c r="N34" s="94"/>
      <c r="O34" s="97">
        <f t="shared" si="2"/>
        <v>0</v>
      </c>
      <c r="P34" s="93"/>
      <c r="Q34" s="92"/>
      <c r="R34" s="91"/>
      <c r="S34" s="92"/>
      <c r="T34" s="99"/>
      <c r="U34" s="98">
        <f>'Suvi Gaz'!O34</f>
        <v>0</v>
      </c>
      <c r="V34" s="94"/>
      <c r="W34" s="97">
        <f t="shared" si="3"/>
        <v>0</v>
      </c>
      <c r="X34" s="150">
        <v>15900.26</v>
      </c>
      <c r="Y34" s="101">
        <f t="shared" si="4"/>
        <v>0</v>
      </c>
      <c r="Z34" s="102">
        <f t="shared" si="5"/>
        <v>0</v>
      </c>
      <c r="AA34" s="94"/>
      <c r="AB34" s="117"/>
      <c r="AC34" s="131"/>
      <c r="AD34" s="127"/>
      <c r="AE34" s="149"/>
      <c r="AF34" s="135"/>
      <c r="AG34" s="147"/>
      <c r="AH34" s="148"/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0</v>
      </c>
      <c r="E35" s="91"/>
      <c r="F35" s="166">
        <f t="shared" si="0"/>
        <v>0</v>
      </c>
      <c r="G35" s="166"/>
      <c r="H35" s="167"/>
      <c r="I35" s="94"/>
      <c r="J35" s="119">
        <f>'Suivi EAU-ELEC'!E40</f>
        <v>0</v>
      </c>
      <c r="K35" s="120">
        <f>'Suivi EAU-ELEC'!G40</f>
        <v>0</v>
      </c>
      <c r="L35" s="120">
        <f>'Suivi EAU-ELEC'!I40</f>
        <v>0</v>
      </c>
      <c r="M35" s="121">
        <f t="shared" si="1"/>
        <v>0</v>
      </c>
      <c r="N35" s="94"/>
      <c r="O35" s="97">
        <f t="shared" si="2"/>
        <v>0</v>
      </c>
      <c r="P35" s="93"/>
      <c r="Q35" s="92"/>
      <c r="R35" s="91"/>
      <c r="S35" s="92"/>
      <c r="T35" s="99"/>
      <c r="U35" s="98">
        <f>'Suvi Gaz'!O35</f>
        <v>0</v>
      </c>
      <c r="V35" s="94"/>
      <c r="W35" s="97">
        <f t="shared" si="3"/>
        <v>0</v>
      </c>
      <c r="X35" s="150"/>
      <c r="Y35" s="101">
        <f t="shared" si="4"/>
        <v>0</v>
      </c>
      <c r="Z35" s="102">
        <f t="shared" si="5"/>
        <v>0</v>
      </c>
      <c r="AA35" s="94"/>
      <c r="AB35" s="117"/>
      <c r="AC35" s="131"/>
      <c r="AD35" s="127"/>
      <c r="AE35" s="149"/>
      <c r="AF35" s="135"/>
      <c r="AG35" s="147"/>
      <c r="AH35" s="148"/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0</v>
      </c>
      <c r="E36" s="91"/>
      <c r="F36" s="166">
        <f t="shared" si="0"/>
        <v>0</v>
      </c>
      <c r="G36" s="166"/>
      <c r="H36" s="167"/>
      <c r="I36" s="94"/>
      <c r="J36" s="119">
        <f>'Suivi EAU-ELEC'!E41</f>
        <v>0</v>
      </c>
      <c r="K36" s="120">
        <f>'Suivi EAU-ELEC'!G41</f>
        <v>0</v>
      </c>
      <c r="L36" s="120">
        <f>'Suivi EAU-ELEC'!I41</f>
        <v>0</v>
      </c>
      <c r="M36" s="121">
        <f t="shared" si="1"/>
        <v>0</v>
      </c>
      <c r="N36" s="94"/>
      <c r="O36" s="97">
        <f t="shared" si="2"/>
        <v>0</v>
      </c>
      <c r="P36" s="93"/>
      <c r="Q36" s="92"/>
      <c r="R36" s="91"/>
      <c r="S36" s="92"/>
      <c r="T36" s="99"/>
      <c r="U36" s="98">
        <f>'Suvi Gaz'!O36</f>
        <v>0</v>
      </c>
      <c r="V36" s="94"/>
      <c r="W36" s="97">
        <f t="shared" si="3"/>
        <v>0</v>
      </c>
      <c r="X36" s="150"/>
      <c r="Y36" s="101">
        <f t="shared" si="4"/>
        <v>0</v>
      </c>
      <c r="Z36" s="102">
        <f t="shared" si="5"/>
        <v>0</v>
      </c>
      <c r="AA36" s="94"/>
      <c r="AB36" s="117"/>
      <c r="AC36" s="131"/>
      <c r="AD36" s="127"/>
      <c r="AE36" s="149"/>
      <c r="AF36" s="135"/>
      <c r="AG36" s="147"/>
      <c r="AH36" s="148"/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0</v>
      </c>
      <c r="E37" s="91"/>
      <c r="F37" s="166">
        <f t="shared" si="0"/>
        <v>0</v>
      </c>
      <c r="G37" s="166"/>
      <c r="H37" s="167"/>
      <c r="I37" s="94"/>
      <c r="J37" s="119">
        <f>'Suivi EAU-ELEC'!E42</f>
        <v>0</v>
      </c>
      <c r="K37" s="120">
        <f>'Suivi EAU-ELEC'!G42</f>
        <v>0</v>
      </c>
      <c r="L37" s="120">
        <f>'Suivi EAU-ELEC'!I42</f>
        <v>0</v>
      </c>
      <c r="M37" s="121">
        <f t="shared" si="1"/>
        <v>0</v>
      </c>
      <c r="N37" s="94"/>
      <c r="O37" s="97">
        <f t="shared" si="2"/>
        <v>0</v>
      </c>
      <c r="P37" s="93"/>
      <c r="Q37" s="92"/>
      <c r="R37" s="91"/>
      <c r="S37" s="92"/>
      <c r="T37" s="99"/>
      <c r="U37" s="98">
        <f>'Suvi Gaz'!O37</f>
        <v>0</v>
      </c>
      <c r="V37" s="94"/>
      <c r="W37" s="97">
        <f t="shared" si="3"/>
        <v>0</v>
      </c>
      <c r="X37" s="150"/>
      <c r="Y37" s="101">
        <f t="shared" si="4"/>
        <v>0</v>
      </c>
      <c r="Z37" s="102">
        <f t="shared" si="5"/>
        <v>0</v>
      </c>
      <c r="AA37" s="94"/>
      <c r="AB37" s="117"/>
      <c r="AC37" s="131"/>
      <c r="AD37" s="127"/>
      <c r="AE37" s="134"/>
      <c r="AF37" s="135"/>
      <c r="AG37" s="132"/>
      <c r="AH37" s="133"/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166">
        <f t="shared" si="0"/>
        <v>0</v>
      </c>
      <c r="G38" s="166"/>
      <c r="H38" s="167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36"/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166">
        <f t="shared" si="0"/>
        <v>0</v>
      </c>
      <c r="G39" s="166"/>
      <c r="H39" s="167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166">
        <f t="shared" si="0"/>
        <v>0</v>
      </c>
      <c r="G40" s="166"/>
      <c r="H40" s="167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10670</v>
      </c>
      <c r="E41" s="1"/>
      <c r="F41" s="183">
        <f>SUM(F10:H40)</f>
        <v>135188.90000000002</v>
      </c>
      <c r="G41" s="184"/>
      <c r="H41" s="185"/>
      <c r="I41" s="1"/>
      <c r="J41" s="89">
        <f>SUM(J10:J40)</f>
        <v>100700</v>
      </c>
      <c r="K41" s="89">
        <f t="shared" ref="K41:M41" si="7">SUM(K10:K40)</f>
        <v>151374</v>
      </c>
      <c r="L41" s="89">
        <f t="shared" si="7"/>
        <v>72597</v>
      </c>
      <c r="M41" s="89">
        <f t="shared" si="7"/>
        <v>324671</v>
      </c>
      <c r="N41" s="28"/>
      <c r="O41" s="183">
        <f>SUM(O10:Q40)</f>
        <v>325320.342</v>
      </c>
      <c r="P41" s="184"/>
      <c r="Q41" s="185"/>
      <c r="R41" s="28"/>
      <c r="S41" s="90">
        <f>SUM(S10:S40)</f>
        <v>0</v>
      </c>
      <c r="T41" s="28"/>
      <c r="U41" s="89">
        <f>SUM(U10:U40)</f>
        <v>20776</v>
      </c>
      <c r="V41" s="28"/>
      <c r="W41" s="89">
        <f>SUM(W10:W40)</f>
        <v>173839.02479999998</v>
      </c>
      <c r="X41" s="130"/>
      <c r="Y41" s="89">
        <f>SUM(Y10:Y40)</f>
        <v>359.47999999999956</v>
      </c>
      <c r="Z41" s="89">
        <f>SUM(Z10:Z40)</f>
        <v>190524.39999999976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9"/>
      <c r="G42" s="179"/>
      <c r="H42" s="179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186" t="s">
        <v>10</v>
      </c>
      <c r="B43" s="187"/>
      <c r="C43" s="188"/>
      <c r="D43" s="19" t="s">
        <v>7</v>
      </c>
      <c r="E43" s="53"/>
      <c r="F43" s="20">
        <v>1.002</v>
      </c>
      <c r="G43" s="168">
        <f>J41</f>
        <v>100700</v>
      </c>
      <c r="H43" s="169"/>
      <c r="I43" s="170"/>
      <c r="J43" s="177">
        <f>G43*F43</f>
        <v>100901.4</v>
      </c>
      <c r="K43" s="178"/>
      <c r="L43" s="207">
        <f>J43+J44+J45</f>
        <v>325320.342</v>
      </c>
      <c r="M43" s="208"/>
      <c r="N43" s="208"/>
      <c r="O43" s="208"/>
      <c r="P43" s="208"/>
      <c r="Q43" s="208"/>
      <c r="R43" s="208"/>
      <c r="S43" s="208"/>
      <c r="T43" s="208"/>
      <c r="U43" s="209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189"/>
      <c r="B44" s="190"/>
      <c r="C44" s="191"/>
      <c r="D44" s="17" t="s">
        <v>8</v>
      </c>
      <c r="E44" s="53"/>
      <c r="F44" s="20">
        <v>1.002</v>
      </c>
      <c r="G44" s="168">
        <f>K41</f>
        <v>151374</v>
      </c>
      <c r="H44" s="169"/>
      <c r="I44" s="170"/>
      <c r="J44" s="177">
        <f>G44*F44</f>
        <v>151676.74799999999</v>
      </c>
      <c r="K44" s="178"/>
      <c r="L44" s="210"/>
      <c r="M44" s="211"/>
      <c r="N44" s="211"/>
      <c r="O44" s="211"/>
      <c r="P44" s="211"/>
      <c r="Q44" s="211"/>
      <c r="R44" s="211"/>
      <c r="S44" s="211"/>
      <c r="T44" s="211"/>
      <c r="U44" s="212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189"/>
      <c r="B45" s="190"/>
      <c r="C45" s="191"/>
      <c r="D45" s="23" t="s">
        <v>9</v>
      </c>
      <c r="E45" s="54"/>
      <c r="F45" s="20">
        <v>1.002</v>
      </c>
      <c r="G45" s="168">
        <f>L41</f>
        <v>72597</v>
      </c>
      <c r="H45" s="169"/>
      <c r="I45" s="170"/>
      <c r="J45" s="177">
        <f>G45*F45</f>
        <v>72742.194000000003</v>
      </c>
      <c r="K45" s="178"/>
      <c r="L45" s="213"/>
      <c r="M45" s="214"/>
      <c r="N45" s="214"/>
      <c r="O45" s="214"/>
      <c r="P45" s="214"/>
      <c r="Q45" s="214"/>
      <c r="R45" s="214"/>
      <c r="S45" s="214"/>
      <c r="T45" s="214"/>
      <c r="U45" s="215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80" t="s">
        <v>11</v>
      </c>
      <c r="B46" s="181"/>
      <c r="C46" s="181"/>
      <c r="D46" s="182"/>
      <c r="E46" s="53"/>
      <c r="F46" s="24">
        <v>12.67</v>
      </c>
      <c r="G46" s="180">
        <f>D41</f>
        <v>10670</v>
      </c>
      <c r="H46" s="181"/>
      <c r="I46" s="182"/>
      <c r="J46" s="193">
        <f>G46*F46</f>
        <v>135188.9</v>
      </c>
      <c r="K46" s="194"/>
      <c r="L46" s="201">
        <f>J46</f>
        <v>135188.9</v>
      </c>
      <c r="M46" s="202"/>
      <c r="N46" s="202"/>
      <c r="O46" s="202"/>
      <c r="P46" s="202"/>
      <c r="Q46" s="202"/>
      <c r="R46" s="202"/>
      <c r="S46" s="202"/>
      <c r="T46" s="202"/>
      <c r="U46" s="20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198" t="s">
        <v>13</v>
      </c>
      <c r="B47" s="199"/>
      <c r="C47" s="199"/>
      <c r="D47" s="200"/>
      <c r="E47" s="53"/>
      <c r="F47" s="26">
        <v>8.3673000000000002</v>
      </c>
      <c r="G47" s="195">
        <f>U41</f>
        <v>20776</v>
      </c>
      <c r="H47" s="196"/>
      <c r="I47" s="197"/>
      <c r="J47" s="195">
        <f>G47*F47</f>
        <v>173839.02480000001</v>
      </c>
      <c r="K47" s="197"/>
      <c r="L47" s="204">
        <f>J47</f>
        <v>173839.02480000001</v>
      </c>
      <c r="M47" s="205"/>
      <c r="N47" s="205"/>
      <c r="O47" s="205"/>
      <c r="P47" s="205"/>
      <c r="Q47" s="205"/>
      <c r="R47" s="205"/>
      <c r="S47" s="205"/>
      <c r="T47" s="205"/>
      <c r="U47" s="20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tabSelected="1" view="pageBreakPreview" zoomScale="70" zoomScaleNormal="60" zoomScaleSheetLayoutView="70" workbookViewId="0">
      <pane xSplit="1" ySplit="3" topLeftCell="F41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4" t="s">
        <v>0</v>
      </c>
      <c r="B1" s="244"/>
      <c r="C1" s="245"/>
      <c r="D1" s="246" t="s">
        <v>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8"/>
      <c r="AA1" s="249"/>
      <c r="AB1" s="250"/>
      <c r="AC1" s="250"/>
    </row>
    <row r="2" spans="1:31" ht="41.25" customHeight="1" thickBot="1" x14ac:dyDescent="0.4">
      <c r="A2" s="81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4"/>
      <c r="Q2" s="251">
        <v>803</v>
      </c>
      <c r="R2" s="252"/>
      <c r="S2" s="252"/>
      <c r="T2" s="252">
        <v>519</v>
      </c>
      <c r="U2" s="252"/>
      <c r="V2" s="252"/>
      <c r="W2" s="252">
        <v>800</v>
      </c>
      <c r="X2" s="252"/>
      <c r="Y2" s="252"/>
      <c r="Z2" s="252">
        <v>802</v>
      </c>
      <c r="AA2" s="252"/>
      <c r="AB2" s="255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34" si="0">IF(AC4&gt;0,((B4-R4)+(S4-B5)),IF(B5=0, ,(B4-B5)))</f>
        <v>3</v>
      </c>
      <c r="D4" s="151">
        <v>62</v>
      </c>
      <c r="E4" s="152">
        <f t="shared" ref="E4:E34" si="1">IF(AC4&gt;0,((D4-U4)+(V4-D5)),IF(D5=0, ,(D4-D5)))</f>
        <v>0</v>
      </c>
      <c r="F4" s="151">
        <v>59</v>
      </c>
      <c r="G4" s="152">
        <f t="shared" ref="G4:G31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42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>O10*8.8038</f>
        <v>2939.5888200000004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ref="P11:P42" si="22">O11*8.8038</f>
        <v>7185.6615600000014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22"/>
        <v>8165.5245000000004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22"/>
        <v>3919.4517600000008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22"/>
        <v>11431.7343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22"/>
        <v>11758.355280000002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22"/>
        <v>4899.3147000000008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22"/>
        <v>6532.4196000000002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22"/>
        <v>5225.9356800000005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22"/>
        <v>11105.113320000002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22"/>
        <v>9798.6294000000016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22"/>
        <v>7512.2825400000011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22"/>
        <v>1306.4839200000001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22"/>
        <v>8818.7664600000007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8</v>
      </c>
      <c r="D24" s="151">
        <v>80</v>
      </c>
      <c r="E24" s="152">
        <f t="shared" si="1"/>
        <v>6</v>
      </c>
      <c r="F24" s="151">
        <v>76</v>
      </c>
      <c r="G24" s="152">
        <f t="shared" si="2"/>
        <v>6</v>
      </c>
      <c r="H24" s="151">
        <v>77</v>
      </c>
      <c r="I24" s="152">
        <f t="shared" ref="I24:I42" si="23">IF(AC24&gt;0,((H24-AA24)+(AB24-H25)),IF(H25=0, ,(H24-H25)))</f>
        <v>6</v>
      </c>
      <c r="J24" s="152">
        <f t="shared" ref="J24:J42" si="24">B24+D24+F24+H24</f>
        <v>313</v>
      </c>
      <c r="K24" s="152">
        <f t="shared" ref="K24:K42" si="25">J24/4</f>
        <v>78.25</v>
      </c>
      <c r="L24" s="152">
        <f t="shared" ref="L24:L42" si="26">IF(AC24&gt;0,((K24-AD24)+(AE24-K25)),IF(K25=0, ,(K24-K25)))</f>
        <v>6.5</v>
      </c>
      <c r="M24" s="152">
        <f t="shared" ref="M24:M42" si="27">7000*4</f>
        <v>28000</v>
      </c>
      <c r="N24" s="152">
        <f>L24*M24/100</f>
        <v>1820</v>
      </c>
      <c r="O24" s="152">
        <f>N24*0.53</f>
        <v>964.6</v>
      </c>
      <c r="P24" s="38">
        <f t="shared" si="22"/>
        <v>8492.145480000001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>
        <v>72</v>
      </c>
      <c r="C25" s="152">
        <f t="shared" si="0"/>
        <v>4</v>
      </c>
      <c r="D25" s="151">
        <v>74</v>
      </c>
      <c r="E25" s="152">
        <f t="shared" si="1"/>
        <v>6</v>
      </c>
      <c r="F25" s="151">
        <v>70</v>
      </c>
      <c r="G25" s="152">
        <f t="shared" si="2"/>
        <v>5</v>
      </c>
      <c r="H25" s="151">
        <v>71</v>
      </c>
      <c r="I25" s="152">
        <f t="shared" si="23"/>
        <v>6</v>
      </c>
      <c r="J25" s="152">
        <f t="shared" si="24"/>
        <v>287</v>
      </c>
      <c r="K25" s="152">
        <f t="shared" si="25"/>
        <v>71.75</v>
      </c>
      <c r="L25" s="152">
        <f t="shared" si="26"/>
        <v>5.25</v>
      </c>
      <c r="M25" s="152">
        <f t="shared" si="27"/>
        <v>28000</v>
      </c>
      <c r="N25" s="152">
        <f>L25*M25/100</f>
        <v>1470</v>
      </c>
      <c r="O25" s="152">
        <f>N25*0.53</f>
        <v>779.1</v>
      </c>
      <c r="P25" s="38">
        <f t="shared" si="22"/>
        <v>6859.0405800000008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>
        <v>68</v>
      </c>
      <c r="C26" s="152">
        <f t="shared" si="0"/>
        <v>8</v>
      </c>
      <c r="D26" s="151">
        <v>68</v>
      </c>
      <c r="E26" s="152">
        <f t="shared" si="1"/>
        <v>8</v>
      </c>
      <c r="F26" s="151">
        <v>65</v>
      </c>
      <c r="G26" s="152">
        <f t="shared" si="2"/>
        <v>10</v>
      </c>
      <c r="H26" s="151">
        <v>65</v>
      </c>
      <c r="I26" s="152">
        <f t="shared" si="23"/>
        <v>5</v>
      </c>
      <c r="J26" s="152">
        <f t="shared" si="24"/>
        <v>266</v>
      </c>
      <c r="K26" s="152">
        <f t="shared" si="25"/>
        <v>66.5</v>
      </c>
      <c r="L26" s="152">
        <f t="shared" si="26"/>
        <v>7.75</v>
      </c>
      <c r="M26" s="152">
        <f t="shared" si="27"/>
        <v>28000</v>
      </c>
      <c r="N26" s="152">
        <f>L26*M26/100</f>
        <v>2170</v>
      </c>
      <c r="O26" s="152">
        <f>N26*0.53</f>
        <v>1150.1000000000001</v>
      </c>
      <c r="P26" s="38">
        <f t="shared" si="22"/>
        <v>10125.250380000001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>
        <v>60</v>
      </c>
      <c r="C27" s="152">
        <f t="shared" si="0"/>
        <v>11</v>
      </c>
      <c r="D27" s="151">
        <v>60</v>
      </c>
      <c r="E27" s="152">
        <f t="shared" si="1"/>
        <v>10</v>
      </c>
      <c r="F27" s="151">
        <v>55</v>
      </c>
      <c r="G27" s="152">
        <f t="shared" si="2"/>
        <v>10</v>
      </c>
      <c r="H27" s="151">
        <v>60</v>
      </c>
      <c r="I27" s="35">
        <f t="shared" si="23"/>
        <v>12</v>
      </c>
      <c r="J27" s="35">
        <f t="shared" si="24"/>
        <v>235</v>
      </c>
      <c r="K27" s="35">
        <f t="shared" si="25"/>
        <v>58.75</v>
      </c>
      <c r="L27" s="35">
        <f t="shared" si="26"/>
        <v>10.75</v>
      </c>
      <c r="M27" s="35">
        <v>28000</v>
      </c>
      <c r="N27" s="35">
        <f t="shared" ref="N27:N42" si="28">L27*M27/100</f>
        <v>3010</v>
      </c>
      <c r="O27" s="35">
        <f t="shared" ref="O27:O42" si="29">N27*0.53</f>
        <v>1595.3000000000002</v>
      </c>
      <c r="P27" s="38">
        <f t="shared" si="22"/>
        <v>14044.702140000003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>
        <v>49</v>
      </c>
      <c r="C28" s="152">
        <f t="shared" si="0"/>
        <v>9</v>
      </c>
      <c r="D28" s="151">
        <v>50</v>
      </c>
      <c r="E28" s="152">
        <f t="shared" si="1"/>
        <v>5</v>
      </c>
      <c r="F28" s="151">
        <v>45</v>
      </c>
      <c r="G28" s="152">
        <f t="shared" si="2"/>
        <v>7</v>
      </c>
      <c r="H28" s="151">
        <v>48</v>
      </c>
      <c r="I28" s="35">
        <f t="shared" si="23"/>
        <v>8</v>
      </c>
      <c r="J28" s="35">
        <f t="shared" si="24"/>
        <v>192</v>
      </c>
      <c r="K28" s="35">
        <f t="shared" si="25"/>
        <v>48</v>
      </c>
      <c r="L28" s="35">
        <f t="shared" si="26"/>
        <v>7.25</v>
      </c>
      <c r="M28" s="35">
        <f t="shared" si="27"/>
        <v>28000</v>
      </c>
      <c r="N28" s="35">
        <f t="shared" si="28"/>
        <v>2030</v>
      </c>
      <c r="O28" s="35">
        <f t="shared" si="29"/>
        <v>1075.9000000000001</v>
      </c>
      <c r="P28" s="38">
        <f t="shared" si="22"/>
        <v>9472.0084200000019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>
        <v>40</v>
      </c>
      <c r="C29" s="152">
        <f t="shared" si="0"/>
        <v>5</v>
      </c>
      <c r="D29" s="151">
        <v>45</v>
      </c>
      <c r="E29" s="152">
        <f t="shared" si="1"/>
        <v>10</v>
      </c>
      <c r="F29" s="151">
        <v>38</v>
      </c>
      <c r="G29" s="152">
        <f t="shared" si="2"/>
        <v>7</v>
      </c>
      <c r="H29" s="151">
        <v>40</v>
      </c>
      <c r="I29" s="152">
        <f t="shared" si="23"/>
        <v>8</v>
      </c>
      <c r="J29" s="152">
        <f t="shared" si="24"/>
        <v>163</v>
      </c>
      <c r="K29" s="152">
        <f t="shared" si="25"/>
        <v>40.75</v>
      </c>
      <c r="L29" s="152">
        <f t="shared" si="26"/>
        <v>7.5</v>
      </c>
      <c r="M29" s="152">
        <f t="shared" si="27"/>
        <v>28000</v>
      </c>
      <c r="N29" s="152">
        <f t="shared" si="28"/>
        <v>2100</v>
      </c>
      <c r="O29" s="152">
        <f t="shared" si="29"/>
        <v>1113</v>
      </c>
      <c r="P29" s="38">
        <f t="shared" si="22"/>
        <v>9798.6294000000016</v>
      </c>
      <c r="Q29" s="152">
        <v>3860</v>
      </c>
      <c r="R29" s="152">
        <v>35</v>
      </c>
      <c r="S29" s="152">
        <v>85</v>
      </c>
      <c r="T29" s="152">
        <v>3850</v>
      </c>
      <c r="U29" s="152">
        <v>35</v>
      </c>
      <c r="V29" s="152">
        <v>85</v>
      </c>
      <c r="W29" s="152">
        <v>4000</v>
      </c>
      <c r="X29" s="152">
        <v>35</v>
      </c>
      <c r="Y29" s="152">
        <v>85</v>
      </c>
      <c r="Z29" s="152">
        <v>4000</v>
      </c>
      <c r="AA29" s="152">
        <v>34</v>
      </c>
      <c r="AB29" s="152">
        <v>85</v>
      </c>
      <c r="AC29" s="35">
        <f t="shared" si="12"/>
        <v>15710</v>
      </c>
      <c r="AD29" s="82">
        <f t="shared" si="13"/>
        <v>34.75</v>
      </c>
      <c r="AE29" s="82">
        <f t="shared" si="14"/>
        <v>85</v>
      </c>
    </row>
    <row r="30" spans="1:31" ht="32.25" customHeight="1" x14ac:dyDescent="0.3">
      <c r="A30" s="36">
        <v>43820</v>
      </c>
      <c r="B30" s="151">
        <v>85</v>
      </c>
      <c r="C30" s="152">
        <f t="shared" si="0"/>
        <v>5</v>
      </c>
      <c r="D30" s="151">
        <v>85</v>
      </c>
      <c r="E30" s="152">
        <f t="shared" si="1"/>
        <v>5</v>
      </c>
      <c r="F30" s="151">
        <v>81</v>
      </c>
      <c r="G30" s="152">
        <f t="shared" si="2"/>
        <v>4</v>
      </c>
      <c r="H30" s="151">
        <v>83</v>
      </c>
      <c r="I30" s="152">
        <f t="shared" si="23"/>
        <v>4</v>
      </c>
      <c r="J30" s="152">
        <f t="shared" si="24"/>
        <v>334</v>
      </c>
      <c r="K30" s="152">
        <f t="shared" si="25"/>
        <v>83.5</v>
      </c>
      <c r="L30" s="152">
        <f t="shared" si="26"/>
        <v>4.5</v>
      </c>
      <c r="M30" s="152">
        <f t="shared" si="27"/>
        <v>28000</v>
      </c>
      <c r="N30" s="152">
        <f t="shared" si="28"/>
        <v>1260</v>
      </c>
      <c r="O30" s="152">
        <f t="shared" si="29"/>
        <v>667.80000000000007</v>
      </c>
      <c r="P30" s="38">
        <f t="shared" si="22"/>
        <v>5879.1776400000008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>
        <v>80</v>
      </c>
      <c r="C31" s="152">
        <f t="shared" si="0"/>
        <v>7</v>
      </c>
      <c r="D31" s="151">
        <v>80</v>
      </c>
      <c r="E31" s="152">
        <f t="shared" si="1"/>
        <v>4</v>
      </c>
      <c r="F31" s="151">
        <v>77</v>
      </c>
      <c r="G31" s="152">
        <f t="shared" si="2"/>
        <v>5</v>
      </c>
      <c r="H31" s="151">
        <v>79</v>
      </c>
      <c r="I31" s="152">
        <f t="shared" si="23"/>
        <v>7</v>
      </c>
      <c r="J31" s="152">
        <f t="shared" si="24"/>
        <v>316</v>
      </c>
      <c r="K31" s="152">
        <f t="shared" si="25"/>
        <v>79</v>
      </c>
      <c r="L31" s="152">
        <f t="shared" si="26"/>
        <v>5.75</v>
      </c>
      <c r="M31" s="152">
        <f t="shared" si="27"/>
        <v>28000</v>
      </c>
      <c r="N31" s="152">
        <f t="shared" si="28"/>
        <v>1610</v>
      </c>
      <c r="O31" s="152">
        <f t="shared" si="29"/>
        <v>853.30000000000007</v>
      </c>
      <c r="P31" s="38">
        <f t="shared" si="22"/>
        <v>7512.2825400000011</v>
      </c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>
        <v>73</v>
      </c>
      <c r="C32" s="152">
        <f t="shared" si="0"/>
        <v>3</v>
      </c>
      <c r="D32" s="151">
        <v>76</v>
      </c>
      <c r="E32" s="152">
        <f t="shared" si="1"/>
        <v>5</v>
      </c>
      <c r="F32" s="151">
        <v>72</v>
      </c>
      <c r="G32" s="152"/>
      <c r="H32" s="151">
        <v>72</v>
      </c>
      <c r="I32" s="152">
        <f t="shared" si="23"/>
        <v>3</v>
      </c>
      <c r="J32" s="152">
        <f t="shared" si="24"/>
        <v>293</v>
      </c>
      <c r="K32" s="152">
        <f t="shared" si="25"/>
        <v>73.25</v>
      </c>
      <c r="L32" s="152">
        <f t="shared" si="26"/>
        <v>3.75</v>
      </c>
      <c r="M32" s="152">
        <f t="shared" si="27"/>
        <v>28000</v>
      </c>
      <c r="N32" s="152">
        <f t="shared" si="28"/>
        <v>1050</v>
      </c>
      <c r="O32" s="152">
        <f t="shared" si="29"/>
        <v>556.5</v>
      </c>
      <c r="P32" s="38">
        <f t="shared" si="22"/>
        <v>4899.3147000000008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>
        <v>70</v>
      </c>
      <c r="C33" s="152">
        <f t="shared" si="0"/>
        <v>4</v>
      </c>
      <c r="D33" s="151">
        <v>71</v>
      </c>
      <c r="E33" s="152">
        <f t="shared" si="1"/>
        <v>3</v>
      </c>
      <c r="F33" s="151">
        <v>68</v>
      </c>
      <c r="G33" s="152">
        <f t="shared" ref="G33:G34" si="30">IF(AC33&gt;0,((F33-X33)+(Y33-F34)),IF(F34=0, ,(F33-F34)))</f>
        <v>5</v>
      </c>
      <c r="H33" s="151">
        <v>69</v>
      </c>
      <c r="I33" s="152">
        <f t="shared" si="23"/>
        <v>4</v>
      </c>
      <c r="J33" s="152">
        <f t="shared" si="24"/>
        <v>278</v>
      </c>
      <c r="K33" s="152">
        <f t="shared" si="25"/>
        <v>69.5</v>
      </c>
      <c r="L33" s="152">
        <f t="shared" si="26"/>
        <v>4</v>
      </c>
      <c r="M33" s="152">
        <f t="shared" si="27"/>
        <v>28000</v>
      </c>
      <c r="N33" s="152">
        <f t="shared" si="28"/>
        <v>1120</v>
      </c>
      <c r="O33" s="152">
        <f t="shared" si="29"/>
        <v>593.6</v>
      </c>
      <c r="P33" s="38">
        <f t="shared" si="22"/>
        <v>5225.9356800000005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>
        <v>66</v>
      </c>
      <c r="C34" s="152">
        <f t="shared" si="0"/>
        <v>0</v>
      </c>
      <c r="D34" s="151">
        <v>68</v>
      </c>
      <c r="E34" s="152">
        <f t="shared" si="1"/>
        <v>0</v>
      </c>
      <c r="F34" s="151">
        <v>63</v>
      </c>
      <c r="G34" s="152">
        <f t="shared" si="30"/>
        <v>0</v>
      </c>
      <c r="H34" s="151">
        <v>65</v>
      </c>
      <c r="I34" s="152">
        <f t="shared" si="23"/>
        <v>0</v>
      </c>
      <c r="J34" s="152">
        <f t="shared" si="24"/>
        <v>262</v>
      </c>
      <c r="K34" s="152">
        <f t="shared" si="25"/>
        <v>65.5</v>
      </c>
      <c r="L34" s="152">
        <f t="shared" si="26"/>
        <v>0</v>
      </c>
      <c r="M34" s="152">
        <f t="shared" si="27"/>
        <v>28000</v>
      </c>
      <c r="N34" s="152">
        <f t="shared" si="28"/>
        <v>0</v>
      </c>
      <c r="O34" s="152">
        <f t="shared" si="29"/>
        <v>0</v>
      </c>
      <c r="P34" s="38">
        <f t="shared" si="22"/>
        <v>0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/>
      <c r="C35" s="152">
        <f t="shared" ref="C34:C42" si="31">IF(AC35&gt;0,((B35-R35)+(S35-B36)),IF(B36=0, ,(B35-B36)))</f>
        <v>0</v>
      </c>
      <c r="D35" s="151"/>
      <c r="E35" s="152">
        <f t="shared" ref="E34:E42" si="32">IF(AC35&gt;0,((D35-U35)+(V35-D36)),IF(D36=0, ,(D35-D36)))</f>
        <v>0</v>
      </c>
      <c r="F35" s="151"/>
      <c r="G35" s="152">
        <f t="shared" ref="G34:G42" si="33">IF(AC35&gt;0,((F35-X35)+(Y35-F36)),IF(F36=0, ,(F35-F36)))</f>
        <v>0</v>
      </c>
      <c r="H35" s="151"/>
      <c r="I35" s="152">
        <f t="shared" si="23"/>
        <v>0</v>
      </c>
      <c r="J35" s="152">
        <f t="shared" si="24"/>
        <v>0</v>
      </c>
      <c r="K35" s="152">
        <f t="shared" si="25"/>
        <v>0</v>
      </c>
      <c r="L35" s="152">
        <f t="shared" si="26"/>
        <v>0</v>
      </c>
      <c r="M35" s="152">
        <f t="shared" si="27"/>
        <v>28000</v>
      </c>
      <c r="N35" s="152">
        <f t="shared" si="28"/>
        <v>0</v>
      </c>
      <c r="O35" s="152">
        <f t="shared" si="29"/>
        <v>0</v>
      </c>
      <c r="P35" s="38">
        <f t="shared" si="22"/>
        <v>0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/>
      <c r="C36" s="152">
        <f t="shared" si="31"/>
        <v>0</v>
      </c>
      <c r="D36" s="151"/>
      <c r="E36" s="152">
        <f t="shared" si="32"/>
        <v>0</v>
      </c>
      <c r="F36" s="151"/>
      <c r="G36" s="152">
        <f t="shared" si="33"/>
        <v>0</v>
      </c>
      <c r="H36" s="151"/>
      <c r="I36" s="152">
        <f t="shared" si="23"/>
        <v>0</v>
      </c>
      <c r="J36" s="152">
        <f t="shared" si="24"/>
        <v>0</v>
      </c>
      <c r="K36" s="152">
        <f t="shared" si="25"/>
        <v>0</v>
      </c>
      <c r="L36" s="152">
        <f t="shared" si="26"/>
        <v>0</v>
      </c>
      <c r="M36" s="152">
        <f t="shared" si="27"/>
        <v>28000</v>
      </c>
      <c r="N36" s="152">
        <f t="shared" si="28"/>
        <v>0</v>
      </c>
      <c r="O36" s="152">
        <f t="shared" si="29"/>
        <v>0</v>
      </c>
      <c r="P36" s="38">
        <f t="shared" si="22"/>
        <v>0</v>
      </c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35">
        <f t="shared" si="12"/>
        <v>0</v>
      </c>
      <c r="AD36" s="82">
        <f t="shared" si="13"/>
        <v>0</v>
      </c>
      <c r="AE36" s="82">
        <f t="shared" si="14"/>
        <v>0</v>
      </c>
    </row>
    <row r="37" spans="1:31" ht="32.25" customHeight="1" x14ac:dyDescent="0.3">
      <c r="A37" s="36">
        <v>43827</v>
      </c>
      <c r="B37" s="151"/>
      <c r="C37" s="152">
        <f t="shared" si="31"/>
        <v>0</v>
      </c>
      <c r="D37" s="151"/>
      <c r="E37" s="152">
        <f t="shared" si="32"/>
        <v>0</v>
      </c>
      <c r="F37" s="151"/>
      <c r="G37" s="152">
        <f t="shared" si="33"/>
        <v>0</v>
      </c>
      <c r="H37" s="151"/>
      <c r="I37" s="35">
        <f t="shared" si="23"/>
        <v>0</v>
      </c>
      <c r="J37" s="35">
        <f t="shared" si="24"/>
        <v>0</v>
      </c>
      <c r="K37" s="35">
        <f t="shared" si="25"/>
        <v>0</v>
      </c>
      <c r="L37" s="35">
        <f t="shared" si="26"/>
        <v>0</v>
      </c>
      <c r="M37" s="35">
        <f t="shared" si="27"/>
        <v>28000</v>
      </c>
      <c r="N37" s="35">
        <f t="shared" si="28"/>
        <v>0</v>
      </c>
      <c r="O37" s="35">
        <f t="shared" si="29"/>
        <v>0</v>
      </c>
      <c r="P37" s="38">
        <f t="shared" si="2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/>
      <c r="C38" s="152">
        <f t="shared" si="31"/>
        <v>0</v>
      </c>
      <c r="D38" s="151"/>
      <c r="E38" s="152">
        <f t="shared" si="32"/>
        <v>0</v>
      </c>
      <c r="F38" s="151"/>
      <c r="G38" s="152">
        <f t="shared" si="33"/>
        <v>0</v>
      </c>
      <c r="H38" s="151"/>
      <c r="I38" s="35">
        <f t="shared" si="23"/>
        <v>0</v>
      </c>
      <c r="J38" s="35">
        <f t="shared" si="24"/>
        <v>0</v>
      </c>
      <c r="K38" s="35">
        <f t="shared" si="25"/>
        <v>0</v>
      </c>
      <c r="L38" s="35">
        <f t="shared" si="26"/>
        <v>0</v>
      </c>
      <c r="M38" s="35">
        <f t="shared" si="27"/>
        <v>28000</v>
      </c>
      <c r="N38" s="35">
        <f t="shared" si="28"/>
        <v>0</v>
      </c>
      <c r="O38" s="35">
        <f t="shared" si="29"/>
        <v>0</v>
      </c>
      <c r="P38" s="38">
        <f t="shared" si="2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si="31"/>
        <v>0</v>
      </c>
      <c r="D39" s="151"/>
      <c r="E39" s="152">
        <f t="shared" si="32"/>
        <v>0</v>
      </c>
      <c r="F39" s="151"/>
      <c r="G39" s="152">
        <f t="shared" si="33"/>
        <v>0</v>
      </c>
      <c r="H39" s="151"/>
      <c r="I39" s="35">
        <f t="shared" si="23"/>
        <v>0</v>
      </c>
      <c r="J39" s="35">
        <f t="shared" si="24"/>
        <v>0</v>
      </c>
      <c r="K39" s="35">
        <f t="shared" si="25"/>
        <v>0</v>
      </c>
      <c r="L39" s="35">
        <f t="shared" si="26"/>
        <v>0</v>
      </c>
      <c r="M39" s="35">
        <f t="shared" si="27"/>
        <v>28000</v>
      </c>
      <c r="N39" s="35">
        <f t="shared" si="28"/>
        <v>0</v>
      </c>
      <c r="O39" s="35">
        <f t="shared" si="29"/>
        <v>0</v>
      </c>
      <c r="P39" s="38">
        <f t="shared" si="2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31"/>
        <v>0</v>
      </c>
      <c r="D40" s="151"/>
      <c r="E40" s="152">
        <f t="shared" si="32"/>
        <v>0</v>
      </c>
      <c r="F40" s="151"/>
      <c r="G40" s="152">
        <f t="shared" si="33"/>
        <v>0</v>
      </c>
      <c r="H40" s="151"/>
      <c r="I40" s="35">
        <f t="shared" si="23"/>
        <v>0</v>
      </c>
      <c r="J40" s="35">
        <f t="shared" si="24"/>
        <v>0</v>
      </c>
      <c r="K40" s="35">
        <f t="shared" si="25"/>
        <v>0</v>
      </c>
      <c r="L40" s="35">
        <f t="shared" si="26"/>
        <v>0</v>
      </c>
      <c r="M40" s="35">
        <f t="shared" si="27"/>
        <v>28000</v>
      </c>
      <c r="N40" s="35">
        <f t="shared" si="28"/>
        <v>0</v>
      </c>
      <c r="O40" s="35">
        <f t="shared" si="29"/>
        <v>0</v>
      </c>
      <c r="P40" s="38">
        <f t="shared" si="2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31"/>
        <v>0</v>
      </c>
      <c r="D41" s="151"/>
      <c r="E41" s="152">
        <f t="shared" si="32"/>
        <v>0</v>
      </c>
      <c r="F41" s="151"/>
      <c r="G41" s="152">
        <f t="shared" si="33"/>
        <v>0</v>
      </c>
      <c r="H41" s="151"/>
      <c r="I41" s="35">
        <f t="shared" si="23"/>
        <v>0</v>
      </c>
      <c r="J41" s="35">
        <f t="shared" si="24"/>
        <v>0</v>
      </c>
      <c r="K41" s="35">
        <f t="shared" si="25"/>
        <v>0</v>
      </c>
      <c r="L41" s="35">
        <f t="shared" si="26"/>
        <v>0</v>
      </c>
      <c r="M41" s="35">
        <f t="shared" si="27"/>
        <v>28000</v>
      </c>
      <c r="N41" s="35">
        <f t="shared" si="28"/>
        <v>0</v>
      </c>
      <c r="O41" s="35">
        <f t="shared" si="29"/>
        <v>0</v>
      </c>
      <c r="P41" s="38">
        <f t="shared" si="2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31"/>
        <v>0</v>
      </c>
      <c r="D42" s="151"/>
      <c r="E42" s="152">
        <f t="shared" si="32"/>
        <v>0</v>
      </c>
      <c r="F42" s="151"/>
      <c r="G42" s="152">
        <f t="shared" si="33"/>
        <v>0</v>
      </c>
      <c r="H42" s="151"/>
      <c r="I42" s="35">
        <f t="shared" si="23"/>
        <v>0</v>
      </c>
      <c r="J42" s="35">
        <f t="shared" si="24"/>
        <v>0</v>
      </c>
      <c r="K42" s="35">
        <f t="shared" si="25"/>
        <v>0</v>
      </c>
      <c r="L42" s="35">
        <f t="shared" si="26"/>
        <v>0</v>
      </c>
      <c r="M42" s="35">
        <f t="shared" si="27"/>
        <v>28000</v>
      </c>
      <c r="N42" s="35">
        <f t="shared" si="28"/>
        <v>0</v>
      </c>
      <c r="O42" s="35">
        <f t="shared" si="29"/>
        <v>0</v>
      </c>
      <c r="P42" s="38">
        <f t="shared" si="2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SUM(C10:C40)</f>
        <v>136</v>
      </c>
      <c r="D43" s="37"/>
      <c r="E43" s="35">
        <f>SUM(E10:E40)</f>
        <v>134</v>
      </c>
      <c r="F43" s="37"/>
      <c r="G43" s="35">
        <f>SUM(G10:G40)</f>
        <v>144</v>
      </c>
      <c r="H43" s="37"/>
      <c r="I43" s="35">
        <f>SUM(I10:I40)</f>
        <v>142</v>
      </c>
      <c r="J43" s="33"/>
      <c r="K43" s="33"/>
      <c r="L43" s="33"/>
      <c r="M43" s="33"/>
      <c r="N43" s="35">
        <f>SUM(N10:N40)</f>
        <v>39200</v>
      </c>
      <c r="O43" s="35">
        <f>N43*0.53</f>
        <v>20776</v>
      </c>
      <c r="P43" s="38">
        <f>O43*8.8038</f>
        <v>182907.7488</v>
      </c>
      <c r="Q43" s="259">
        <f>SUM(Q10:Q40)</f>
        <v>11419</v>
      </c>
      <c r="R43" s="259"/>
      <c r="S43" s="260"/>
      <c r="T43" s="259">
        <f>SUM(T10:T40)</f>
        <v>11746</v>
      </c>
      <c r="U43" s="259"/>
      <c r="V43" s="260"/>
      <c r="W43" s="259">
        <f>SUM(W10:W40)</f>
        <v>11751</v>
      </c>
      <c r="X43" s="259"/>
      <c r="Y43" s="260"/>
      <c r="Z43" s="259">
        <f>SUM(Z10:Z40)</f>
        <v>11721</v>
      </c>
      <c r="AA43" s="259"/>
      <c r="AB43" s="260"/>
      <c r="AC43" s="35">
        <f>SUM(AC10:AC40)</f>
        <v>46637</v>
      </c>
      <c r="AD43" s="33"/>
      <c r="AE43" s="33"/>
    </row>
    <row r="44" spans="1:31" ht="35.25" customHeight="1" thickBot="1" x14ac:dyDescent="0.35">
      <c r="B44" s="261"/>
      <c r="C44" s="262"/>
      <c r="D44" s="262"/>
      <c r="E44" s="262"/>
      <c r="F44" s="262"/>
      <c r="G44" s="262"/>
      <c r="H44" s="262"/>
      <c r="I44" s="263"/>
      <c r="J44" s="33"/>
      <c r="K44" s="33"/>
      <c r="L44" s="33"/>
      <c r="M44" s="33"/>
      <c r="N44" s="33"/>
      <c r="O44" s="33"/>
      <c r="P44" s="33"/>
      <c r="Q44" s="264">
        <f>Q43+T43+W43+Z43</f>
        <v>46637</v>
      </c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6"/>
      <c r="AC44" s="35">
        <f>Q43+T43+W43+Z43</f>
        <v>46637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7" t="s">
        <v>37</v>
      </c>
      <c r="I47" s="268"/>
      <c r="J47" s="269"/>
      <c r="K47" s="45">
        <f>N43</f>
        <v>39200</v>
      </c>
      <c r="L47" s="46">
        <f>O43</f>
        <v>20776</v>
      </c>
      <c r="M47" s="46">
        <f>P43</f>
        <v>182907.7488</v>
      </c>
    </row>
    <row r="48" spans="1:31" ht="54.75" customHeight="1" thickBot="1" x14ac:dyDescent="0.35">
      <c r="H48" s="256" t="s">
        <v>38</v>
      </c>
      <c r="I48" s="257"/>
      <c r="J48" s="258"/>
      <c r="K48" s="43">
        <f>AC43</f>
        <v>46637</v>
      </c>
      <c r="L48" s="44">
        <f>K48*0.53</f>
        <v>24717.61</v>
      </c>
      <c r="M48" s="44">
        <f>L48*8.8038</f>
        <v>217608.89491800003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40" sqref="B40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8"/>
      <c r="B1" s="289"/>
      <c r="C1" s="271" t="s">
        <v>58</v>
      </c>
      <c r="D1" s="272"/>
      <c r="E1" s="272"/>
      <c r="F1" s="272"/>
      <c r="G1" s="273"/>
      <c r="H1" s="280"/>
      <c r="I1" s="281"/>
      <c r="J1" s="50"/>
      <c r="K1" s="48"/>
      <c r="L1" s="48"/>
    </row>
    <row r="2" spans="1:20" ht="16.5" customHeight="1" x14ac:dyDescent="0.2">
      <c r="A2" s="290"/>
      <c r="B2" s="291"/>
      <c r="C2" s="274"/>
      <c r="D2" s="275"/>
      <c r="E2" s="275"/>
      <c r="F2" s="275"/>
      <c r="G2" s="276"/>
      <c r="H2" s="282"/>
      <c r="I2" s="283"/>
      <c r="J2" s="50"/>
      <c r="K2" s="48"/>
      <c r="L2" s="48"/>
    </row>
    <row r="3" spans="1:20" ht="48" customHeight="1" thickBot="1" x14ac:dyDescent="0.25">
      <c r="A3" s="292"/>
      <c r="B3" s="293"/>
      <c r="C3" s="277"/>
      <c r="D3" s="278"/>
      <c r="E3" s="278"/>
      <c r="F3" s="278"/>
      <c r="G3" s="279"/>
      <c r="H3" s="284"/>
      <c r="I3" s="285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0" t="s">
        <v>1</v>
      </c>
      <c r="B7" s="286" t="s">
        <v>42</v>
      </c>
      <c r="C7" s="286"/>
      <c r="D7" s="287" t="s">
        <v>43</v>
      </c>
      <c r="E7" s="287"/>
      <c r="F7" s="287"/>
      <c r="G7" s="287"/>
      <c r="H7" s="287"/>
      <c r="I7" s="287"/>
    </row>
    <row r="8" spans="1:20" s="27" customFormat="1" ht="28.5" customHeight="1" thickTop="1" thickBot="1" x14ac:dyDescent="0.25">
      <c r="A8" s="270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39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39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39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500</v>
      </c>
      <c r="D29" s="155">
        <v>17928787</v>
      </c>
      <c r="E29" s="154">
        <f t="shared" si="5"/>
        <v>3903</v>
      </c>
      <c r="F29" s="155">
        <v>32376918</v>
      </c>
      <c r="G29" s="154">
        <f t="shared" si="2"/>
        <v>6043</v>
      </c>
      <c r="H29" s="155">
        <v>14312118</v>
      </c>
      <c r="I29" s="60">
        <f t="shared" si="3"/>
        <v>2713</v>
      </c>
    </row>
    <row r="30" spans="1:9" ht="21" thickTop="1" thickBot="1" x14ac:dyDescent="0.35">
      <c r="A30" s="59">
        <f t="shared" si="4"/>
        <v>43815</v>
      </c>
      <c r="B30" s="153">
        <v>117389</v>
      </c>
      <c r="C30" s="154">
        <f t="shared" si="0"/>
        <v>400</v>
      </c>
      <c r="D30" s="155">
        <v>17932690</v>
      </c>
      <c r="E30" s="154">
        <f t="shared" si="5"/>
        <v>4579</v>
      </c>
      <c r="F30" s="155">
        <v>32382961</v>
      </c>
      <c r="G30" s="154">
        <f t="shared" si="2"/>
        <v>6190</v>
      </c>
      <c r="H30" s="155">
        <v>14314831</v>
      </c>
      <c r="I30" s="60">
        <f t="shared" si="3"/>
        <v>3137</v>
      </c>
    </row>
    <row r="31" spans="1:9" ht="21" thickTop="1" thickBot="1" x14ac:dyDescent="0.35">
      <c r="A31" s="59">
        <f>A30+1</f>
        <v>43816</v>
      </c>
      <c r="B31" s="153">
        <v>117429</v>
      </c>
      <c r="C31" s="154">
        <f t="shared" si="0"/>
        <v>420</v>
      </c>
      <c r="D31" s="155">
        <v>17937269</v>
      </c>
      <c r="E31" s="154">
        <f t="shared" si="5"/>
        <v>3071</v>
      </c>
      <c r="F31" s="155">
        <v>32389151</v>
      </c>
      <c r="G31" s="154">
        <f t="shared" si="2"/>
        <v>6411</v>
      </c>
      <c r="H31" s="155">
        <v>14317968</v>
      </c>
      <c r="I31" s="60">
        <f t="shared" si="3"/>
        <v>3087</v>
      </c>
    </row>
    <row r="32" spans="1:9" ht="21" thickTop="1" thickBot="1" x14ac:dyDescent="0.35">
      <c r="A32" s="59">
        <f t="shared" si="4"/>
        <v>43817</v>
      </c>
      <c r="B32" s="153">
        <v>117471</v>
      </c>
      <c r="C32" s="154">
        <f t="shared" si="0"/>
        <v>540</v>
      </c>
      <c r="D32" s="155">
        <v>17940340</v>
      </c>
      <c r="E32" s="154">
        <f t="shared" si="5"/>
        <v>4123</v>
      </c>
      <c r="F32" s="155">
        <v>32395562</v>
      </c>
      <c r="G32" s="154">
        <f t="shared" si="2"/>
        <v>6230</v>
      </c>
      <c r="H32" s="155">
        <v>14321055</v>
      </c>
      <c r="I32" s="60">
        <f t="shared" si="3"/>
        <v>2788</v>
      </c>
    </row>
    <row r="33" spans="1:9" ht="21" thickTop="1" thickBot="1" x14ac:dyDescent="0.35">
      <c r="A33" s="59">
        <f t="shared" si="4"/>
        <v>43818</v>
      </c>
      <c r="B33" s="153">
        <v>117525</v>
      </c>
      <c r="C33" s="154">
        <f t="shared" si="0"/>
        <v>400</v>
      </c>
      <c r="D33" s="155">
        <v>17944463</v>
      </c>
      <c r="E33" s="154">
        <f t="shared" si="5"/>
        <v>4185</v>
      </c>
      <c r="F33" s="155">
        <v>32401792</v>
      </c>
      <c r="G33" s="154">
        <f t="shared" si="2"/>
        <v>6102</v>
      </c>
      <c r="H33" s="155">
        <v>14323843</v>
      </c>
      <c r="I33" s="60">
        <f t="shared" si="3"/>
        <v>2900</v>
      </c>
    </row>
    <row r="34" spans="1:9" ht="21" thickTop="1" thickBot="1" x14ac:dyDescent="0.35">
      <c r="A34" s="59">
        <f t="shared" si="4"/>
        <v>43819</v>
      </c>
      <c r="B34" s="153">
        <v>117565</v>
      </c>
      <c r="C34" s="154">
        <f t="shared" si="0"/>
        <v>520</v>
      </c>
      <c r="D34" s="155">
        <v>17948648</v>
      </c>
      <c r="E34" s="154">
        <f t="shared" si="5"/>
        <v>3933</v>
      </c>
      <c r="F34" s="155">
        <v>32407894</v>
      </c>
      <c r="G34" s="154">
        <f t="shared" si="2"/>
        <v>6028</v>
      </c>
      <c r="H34" s="155">
        <v>14326743</v>
      </c>
      <c r="I34" s="60">
        <f t="shared" si="3"/>
        <v>2735</v>
      </c>
    </row>
    <row r="35" spans="1:9" ht="21" thickTop="1" thickBot="1" x14ac:dyDescent="0.35">
      <c r="A35" s="59">
        <f t="shared" si="4"/>
        <v>43820</v>
      </c>
      <c r="B35" s="153">
        <v>117617</v>
      </c>
      <c r="C35" s="154">
        <f t="shared" si="0"/>
        <v>430</v>
      </c>
      <c r="D35" s="155">
        <v>17952581</v>
      </c>
      <c r="E35" s="154">
        <f t="shared" si="5"/>
        <v>3982</v>
      </c>
      <c r="F35" s="155">
        <v>32413922</v>
      </c>
      <c r="G35" s="154">
        <f t="shared" si="2"/>
        <v>5833</v>
      </c>
      <c r="H35" s="155">
        <v>14329478</v>
      </c>
      <c r="I35" s="60">
        <f t="shared" si="3"/>
        <v>2784</v>
      </c>
    </row>
    <row r="36" spans="1:9" ht="21" thickTop="1" thickBot="1" x14ac:dyDescent="0.35">
      <c r="A36" s="59">
        <f t="shared" si="4"/>
        <v>43821</v>
      </c>
      <c r="B36" s="153">
        <v>117660</v>
      </c>
      <c r="C36" s="154">
        <f t="shared" si="0"/>
        <v>590</v>
      </c>
      <c r="D36" s="155">
        <v>17956563</v>
      </c>
      <c r="E36" s="154">
        <f t="shared" si="5"/>
        <v>4376</v>
      </c>
      <c r="F36" s="155">
        <v>32419755</v>
      </c>
      <c r="G36" s="154">
        <f t="shared" si="2"/>
        <v>6381</v>
      </c>
      <c r="H36" s="155">
        <v>14332262</v>
      </c>
      <c r="I36" s="60">
        <f t="shared" si="3"/>
        <v>3114</v>
      </c>
    </row>
    <row r="37" spans="1:9" ht="21" thickTop="1" thickBot="1" x14ac:dyDescent="0.35">
      <c r="A37" s="59">
        <f t="shared" si="4"/>
        <v>43822</v>
      </c>
      <c r="B37" s="153">
        <v>117719</v>
      </c>
      <c r="C37" s="154">
        <f t="shared" si="0"/>
        <v>480</v>
      </c>
      <c r="D37" s="155">
        <v>17960939</v>
      </c>
      <c r="E37" s="154">
        <f t="shared" si="5"/>
        <v>4694</v>
      </c>
      <c r="F37" s="155">
        <v>32426136</v>
      </c>
      <c r="G37" s="154">
        <f t="shared" si="2"/>
        <v>6222</v>
      </c>
      <c r="H37" s="155">
        <v>14335376</v>
      </c>
      <c r="I37" s="60">
        <f t="shared" si="3"/>
        <v>3572</v>
      </c>
    </row>
    <row r="38" spans="1:9" ht="21" thickTop="1" thickBot="1" x14ac:dyDescent="0.35">
      <c r="A38" s="59">
        <f t="shared" si="4"/>
        <v>43823</v>
      </c>
      <c r="B38" s="153">
        <v>117767</v>
      </c>
      <c r="C38" s="154">
        <f t="shared" si="0"/>
        <v>450</v>
      </c>
      <c r="D38" s="155">
        <v>17965633</v>
      </c>
      <c r="E38" s="154">
        <f t="shared" si="5"/>
        <v>4573</v>
      </c>
      <c r="F38" s="155">
        <v>32432358</v>
      </c>
      <c r="G38" s="154">
        <f t="shared" si="2"/>
        <v>6887</v>
      </c>
      <c r="H38" s="155">
        <v>14338948</v>
      </c>
      <c r="I38" s="60">
        <f t="shared" si="3"/>
        <v>3613</v>
      </c>
    </row>
    <row r="39" spans="1:9" ht="21" thickTop="1" thickBot="1" x14ac:dyDescent="0.35">
      <c r="A39" s="59">
        <f t="shared" si="4"/>
        <v>43824</v>
      </c>
      <c r="B39" s="153">
        <v>117812</v>
      </c>
      <c r="C39" s="154">
        <f t="shared" si="0"/>
        <v>0</v>
      </c>
      <c r="D39" s="155">
        <v>17970206</v>
      </c>
      <c r="E39" s="154">
        <f t="shared" si="5"/>
        <v>0</v>
      </c>
      <c r="F39" s="155">
        <v>32439245</v>
      </c>
      <c r="G39" s="154">
        <f t="shared" si="2"/>
        <v>0</v>
      </c>
      <c r="H39" s="155">
        <v>14342561</v>
      </c>
      <c r="I39" s="60">
        <f t="shared" si="3"/>
        <v>0</v>
      </c>
    </row>
    <row r="40" spans="1:9" ht="21" thickTop="1" thickBot="1" x14ac:dyDescent="0.35">
      <c r="A40" s="59">
        <f t="shared" si="4"/>
        <v>43825</v>
      </c>
      <c r="B40" s="153"/>
      <c r="C40" s="154">
        <f t="shared" ref="C39:C47" si="6">IF(B41&lt;B40,0,B41-B40)*10</f>
        <v>0</v>
      </c>
      <c r="D40" s="155"/>
      <c r="E40" s="154">
        <f t="shared" ref="E39:E47" si="7">IF(D41&lt;D40,0,D41-D40)</f>
        <v>0</v>
      </c>
      <c r="F40" s="155"/>
      <c r="G40" s="154">
        <f t="shared" ref="G39:G47" si="8">IF(F41&lt;F40,0,F41-F40)</f>
        <v>0</v>
      </c>
      <c r="H40" s="155"/>
      <c r="I40" s="60">
        <f t="shared" si="3"/>
        <v>0</v>
      </c>
    </row>
    <row r="41" spans="1:9" ht="21" thickTop="1" thickBot="1" x14ac:dyDescent="0.35">
      <c r="A41" s="59">
        <f t="shared" si="4"/>
        <v>43826</v>
      </c>
      <c r="B41" s="153"/>
      <c r="C41" s="154">
        <f t="shared" si="6"/>
        <v>0</v>
      </c>
      <c r="D41" s="155"/>
      <c r="E41" s="154">
        <f t="shared" si="7"/>
        <v>0</v>
      </c>
      <c r="F41" s="155"/>
      <c r="G41" s="154">
        <f t="shared" si="8"/>
        <v>0</v>
      </c>
      <c r="H41" s="155"/>
      <c r="I41" s="60">
        <f t="shared" si="3"/>
        <v>0</v>
      </c>
    </row>
    <row r="42" spans="1:9" ht="21" thickTop="1" thickBot="1" x14ac:dyDescent="0.35">
      <c r="A42" s="59">
        <f t="shared" si="4"/>
        <v>43827</v>
      </c>
      <c r="B42" s="153"/>
      <c r="C42" s="154">
        <f t="shared" si="6"/>
        <v>0</v>
      </c>
      <c r="D42" s="155"/>
      <c r="E42" s="154">
        <f t="shared" si="7"/>
        <v>0</v>
      </c>
      <c r="F42" s="155"/>
      <c r="G42" s="154">
        <f t="shared" si="8"/>
        <v>0</v>
      </c>
      <c r="H42" s="155"/>
      <c r="I42" s="60">
        <f t="shared" si="3"/>
        <v>0</v>
      </c>
    </row>
    <row r="43" spans="1:9" ht="21" thickTop="1" thickBot="1" x14ac:dyDescent="0.35">
      <c r="A43" s="59">
        <f t="shared" si="4"/>
        <v>43828</v>
      </c>
      <c r="B43" s="153"/>
      <c r="C43" s="154">
        <f t="shared" si="6"/>
        <v>0</v>
      </c>
      <c r="D43" s="155"/>
      <c r="E43" s="154">
        <f t="shared" si="7"/>
        <v>0</v>
      </c>
      <c r="F43" s="155"/>
      <c r="G43" s="154">
        <f t="shared" si="8"/>
        <v>0</v>
      </c>
      <c r="H43" s="155"/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si="6"/>
        <v>0</v>
      </c>
      <c r="D44" s="155"/>
      <c r="E44" s="154">
        <f t="shared" si="7"/>
        <v>0</v>
      </c>
      <c r="F44" s="155"/>
      <c r="G44" s="154">
        <f t="shared" si="8"/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10170</v>
      </c>
      <c r="E48" s="70">
        <f>SUM(E16:E45)</f>
        <v>96227</v>
      </c>
      <c r="F48" s="86"/>
      <c r="G48" s="70">
        <f>SUM(G16:G45)</f>
        <v>144851</v>
      </c>
      <c r="H48" s="86"/>
      <c r="I48" s="70">
        <f>SUM(I16:I45)</f>
        <v>69551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63" priority="2838" stopIfTrue="1" operator="lessThanOrEqual">
      <formula>0</formula>
    </cfRule>
  </conditionalFormatting>
  <conditionalFormatting sqref="C48 E48 G48 I48">
    <cfRule type="cellIs" dxfId="62" priority="2833" stopIfTrue="1" operator="lessThanOrEqual">
      <formula>0</formula>
    </cfRule>
  </conditionalFormatting>
  <conditionalFormatting sqref="C48 E48 G48 I48">
    <cfRule type="cellIs" dxfId="61" priority="2828" stopIfTrue="1" operator="lessThanOrEqual">
      <formula>0</formula>
    </cfRule>
  </conditionalFormatting>
  <conditionalFormatting sqref="C48 E48 G48 I48">
    <cfRule type="cellIs" dxfId="60" priority="2825" stopIfTrue="1" operator="lessThanOrEqual">
      <formula>0</formula>
    </cfRule>
  </conditionalFormatting>
  <conditionalFormatting sqref="C40:C47">
    <cfRule type="cellIs" dxfId="59" priority="68" stopIfTrue="1" operator="lessThanOrEqual">
      <formula>0</formula>
    </cfRule>
  </conditionalFormatting>
  <conditionalFormatting sqref="C40:C47">
    <cfRule type="cellIs" dxfId="58" priority="67" stopIfTrue="1" operator="lessThanOrEqual">
      <formula>0</formula>
    </cfRule>
  </conditionalFormatting>
  <conditionalFormatting sqref="C40:C47">
    <cfRule type="cellIs" dxfId="57" priority="66" stopIfTrue="1" operator="lessThanOrEqual">
      <formula>0</formula>
    </cfRule>
  </conditionalFormatting>
  <conditionalFormatting sqref="C40:C47">
    <cfRule type="cellIs" dxfId="56" priority="65" stopIfTrue="1" operator="lessThanOrEqual">
      <formula>0</formula>
    </cfRule>
  </conditionalFormatting>
  <conditionalFormatting sqref="C9:C10">
    <cfRule type="cellIs" dxfId="55" priority="64" stopIfTrue="1" operator="lessThanOrEqual">
      <formula>0</formula>
    </cfRule>
  </conditionalFormatting>
  <conditionalFormatting sqref="C9:C10">
    <cfRule type="cellIs" dxfId="54" priority="63" stopIfTrue="1" operator="lessThanOrEqual">
      <formula>0</formula>
    </cfRule>
  </conditionalFormatting>
  <conditionalFormatting sqref="C9:C10">
    <cfRule type="cellIs" dxfId="53" priority="62" stopIfTrue="1" operator="lessThanOrEqual">
      <formula>0</formula>
    </cfRule>
  </conditionalFormatting>
  <conditionalFormatting sqref="C9:C10">
    <cfRule type="cellIs" dxfId="52" priority="61" stopIfTrue="1" operator="lessThanOrEqual">
      <formula>0</formula>
    </cfRule>
  </conditionalFormatting>
  <conditionalFormatting sqref="C11">
    <cfRule type="cellIs" dxfId="51" priority="60" stopIfTrue="1" operator="lessThanOrEqual">
      <formula>0</formula>
    </cfRule>
  </conditionalFormatting>
  <conditionalFormatting sqref="C11">
    <cfRule type="cellIs" dxfId="50" priority="59" stopIfTrue="1" operator="lessThanOrEqual">
      <formula>0</formula>
    </cfRule>
  </conditionalFormatting>
  <conditionalFormatting sqref="C11">
    <cfRule type="cellIs" dxfId="49" priority="58" stopIfTrue="1" operator="lessThanOrEqual">
      <formula>0</formula>
    </cfRule>
  </conditionalFormatting>
  <conditionalFormatting sqref="C11">
    <cfRule type="cellIs" dxfId="48" priority="57" stopIfTrue="1" operator="lessThanOrEqual">
      <formula>0</formula>
    </cfRule>
  </conditionalFormatting>
  <conditionalFormatting sqref="C12">
    <cfRule type="cellIs" dxfId="47" priority="52" stopIfTrue="1" operator="lessThanOrEqual">
      <formula>0</formula>
    </cfRule>
  </conditionalFormatting>
  <conditionalFormatting sqref="C12">
    <cfRule type="cellIs" dxfId="46" priority="51" stopIfTrue="1" operator="lessThanOrEqual">
      <formula>0</formula>
    </cfRule>
  </conditionalFormatting>
  <conditionalFormatting sqref="C12">
    <cfRule type="cellIs" dxfId="45" priority="50" stopIfTrue="1" operator="lessThanOrEqual">
      <formula>0</formula>
    </cfRule>
  </conditionalFormatting>
  <conditionalFormatting sqref="C12">
    <cfRule type="cellIs" dxfId="44" priority="49" stopIfTrue="1" operator="lessThanOrEqual">
      <formula>0</formula>
    </cfRule>
  </conditionalFormatting>
  <conditionalFormatting sqref="C13:C14">
    <cfRule type="cellIs" dxfId="43" priority="48" stopIfTrue="1" operator="lessThanOrEqual">
      <formula>0</formula>
    </cfRule>
  </conditionalFormatting>
  <conditionalFormatting sqref="C13:C14">
    <cfRule type="cellIs" dxfId="42" priority="47" stopIfTrue="1" operator="lessThanOrEqual">
      <formula>0</formula>
    </cfRule>
  </conditionalFormatting>
  <conditionalFormatting sqref="C13:C14">
    <cfRule type="cellIs" dxfId="41" priority="46" stopIfTrue="1" operator="lessThanOrEqual">
      <formula>0</formula>
    </cfRule>
  </conditionalFormatting>
  <conditionalFormatting sqref="C13:C14">
    <cfRule type="cellIs" dxfId="40" priority="45" stopIfTrue="1" operator="lessThanOrEqual">
      <formula>0</formula>
    </cfRule>
  </conditionalFormatting>
  <conditionalFormatting sqref="C15:C28">
    <cfRule type="cellIs" dxfId="39" priority="40" stopIfTrue="1" operator="lessThanOrEqual">
      <formula>0</formula>
    </cfRule>
  </conditionalFormatting>
  <conditionalFormatting sqref="C15:C28">
    <cfRule type="cellIs" dxfId="38" priority="39" stopIfTrue="1" operator="lessThanOrEqual">
      <formula>0</formula>
    </cfRule>
  </conditionalFormatting>
  <conditionalFormatting sqref="C15:C28">
    <cfRule type="cellIs" dxfId="37" priority="38" stopIfTrue="1" operator="lessThanOrEqual">
      <formula>0</formula>
    </cfRule>
  </conditionalFormatting>
  <conditionalFormatting sqref="C15:C28">
    <cfRule type="cellIs" dxfId="36" priority="37" stopIfTrue="1" operator="lessThanOrEqual">
      <formula>0</formula>
    </cfRule>
  </conditionalFormatting>
  <conditionalFormatting sqref="C29">
    <cfRule type="cellIs" dxfId="35" priority="36" stopIfTrue="1" operator="lessThanOrEqual">
      <formula>0</formula>
    </cfRule>
  </conditionalFormatting>
  <conditionalFormatting sqref="C29">
    <cfRule type="cellIs" dxfId="34" priority="35" stopIfTrue="1" operator="lessThanOrEqual">
      <formula>0</formula>
    </cfRule>
  </conditionalFormatting>
  <conditionalFormatting sqref="C29">
    <cfRule type="cellIs" dxfId="33" priority="34" stopIfTrue="1" operator="lessThanOrEqual">
      <formula>0</formula>
    </cfRule>
  </conditionalFormatting>
  <conditionalFormatting sqref="C29">
    <cfRule type="cellIs" dxfId="32" priority="33" stopIfTrue="1" operator="lessThanOrEqual">
      <formula>0</formula>
    </cfRule>
  </conditionalFormatting>
  <conditionalFormatting sqref="C30">
    <cfRule type="cellIs" dxfId="31" priority="32" stopIfTrue="1" operator="lessThanOrEqual">
      <formula>0</formula>
    </cfRule>
  </conditionalFormatting>
  <conditionalFormatting sqref="C30">
    <cfRule type="cellIs" dxfId="30" priority="31" stopIfTrue="1" operator="lessThanOrEqual">
      <formula>0</formula>
    </cfRule>
  </conditionalFormatting>
  <conditionalFormatting sqref="C30">
    <cfRule type="cellIs" dxfId="29" priority="30" stopIfTrue="1" operator="lessThanOrEqual">
      <formula>0</formula>
    </cfRule>
  </conditionalFormatting>
  <conditionalFormatting sqref="C30">
    <cfRule type="cellIs" dxfId="28" priority="29" stopIfTrue="1" operator="lessThanOrEqual">
      <formula>0</formula>
    </cfRule>
  </conditionalFormatting>
  <conditionalFormatting sqref="C31">
    <cfRule type="cellIs" dxfId="27" priority="28" stopIfTrue="1" operator="lessThanOrEqual">
      <formula>0</formula>
    </cfRule>
  </conditionalFormatting>
  <conditionalFormatting sqref="C31">
    <cfRule type="cellIs" dxfId="26" priority="27" stopIfTrue="1" operator="lessThanOrEqual">
      <formula>0</formula>
    </cfRule>
  </conditionalFormatting>
  <conditionalFormatting sqref="C31">
    <cfRule type="cellIs" dxfId="25" priority="26" stopIfTrue="1" operator="lessThanOrEqual">
      <formula>0</formula>
    </cfRule>
  </conditionalFormatting>
  <conditionalFormatting sqref="C31">
    <cfRule type="cellIs" dxfId="24" priority="25" stopIfTrue="1" operator="lessThanOrEqual">
      <formula>0</formula>
    </cfRule>
  </conditionalFormatting>
  <conditionalFormatting sqref="C32">
    <cfRule type="cellIs" dxfId="23" priority="24" stopIfTrue="1" operator="lessThanOrEqual">
      <formula>0</formula>
    </cfRule>
  </conditionalFormatting>
  <conditionalFormatting sqref="C32">
    <cfRule type="cellIs" dxfId="22" priority="23" stopIfTrue="1" operator="lessThanOrEqual">
      <formula>0</formula>
    </cfRule>
  </conditionalFormatting>
  <conditionalFormatting sqref="C32">
    <cfRule type="cellIs" dxfId="21" priority="22" stopIfTrue="1" operator="lessThanOrEqual">
      <formula>0</formula>
    </cfRule>
  </conditionalFormatting>
  <conditionalFormatting sqref="C32">
    <cfRule type="cellIs" dxfId="20" priority="21" stopIfTrue="1" operator="lessThanOrEqual">
      <formula>0</formula>
    </cfRule>
  </conditionalFormatting>
  <conditionalFormatting sqref="C33">
    <cfRule type="cellIs" dxfId="19" priority="20" stopIfTrue="1" operator="lessThanOrEqual">
      <formula>0</formula>
    </cfRule>
  </conditionalFormatting>
  <conditionalFormatting sqref="C33">
    <cfRule type="cellIs" dxfId="18" priority="19" stopIfTrue="1" operator="lessThanOrEqual">
      <formula>0</formula>
    </cfRule>
  </conditionalFormatting>
  <conditionalFormatting sqref="C33">
    <cfRule type="cellIs" dxfId="17" priority="18" stopIfTrue="1" operator="lessThanOrEqual">
      <formula>0</formula>
    </cfRule>
  </conditionalFormatting>
  <conditionalFormatting sqref="C33">
    <cfRule type="cellIs" dxfId="16" priority="17" stopIfTrue="1" operator="lessThanOrEqual">
      <formula>0</formula>
    </cfRule>
  </conditionalFormatting>
  <conditionalFormatting sqref="C34">
    <cfRule type="cellIs" dxfId="15" priority="16" stopIfTrue="1" operator="lessThanOrEqual">
      <formula>0</formula>
    </cfRule>
  </conditionalFormatting>
  <conditionalFormatting sqref="C34">
    <cfRule type="cellIs" dxfId="14" priority="15" stopIfTrue="1" operator="lessThanOrEqual">
      <formula>0</formula>
    </cfRule>
  </conditionalFormatting>
  <conditionalFormatting sqref="C34">
    <cfRule type="cellIs" dxfId="13" priority="14" stopIfTrue="1" operator="lessThanOrEqual">
      <formula>0</formula>
    </cfRule>
  </conditionalFormatting>
  <conditionalFormatting sqref="C34">
    <cfRule type="cellIs" dxfId="12" priority="13" stopIfTrue="1" operator="lessThanOrEqual">
      <formula>0</formula>
    </cfRule>
  </conditionalFormatting>
  <conditionalFormatting sqref="C35:C37">
    <cfRule type="cellIs" dxfId="11" priority="12" stopIfTrue="1" operator="lessThanOrEqual">
      <formula>0</formula>
    </cfRule>
  </conditionalFormatting>
  <conditionalFormatting sqref="C35:C37">
    <cfRule type="cellIs" dxfId="10" priority="11" stopIfTrue="1" operator="lessThanOrEqual">
      <formula>0</formula>
    </cfRule>
  </conditionalFormatting>
  <conditionalFormatting sqref="C35:C37">
    <cfRule type="cellIs" dxfId="9" priority="10" stopIfTrue="1" operator="lessThanOrEqual">
      <formula>0</formula>
    </cfRule>
  </conditionalFormatting>
  <conditionalFormatting sqref="C35:C37">
    <cfRule type="cellIs" dxfId="8" priority="9" stopIfTrue="1" operator="lessThanOrEqual">
      <formula>0</formula>
    </cfRule>
  </conditionalFormatting>
  <conditionalFormatting sqref="C38">
    <cfRule type="cellIs" dxfId="7" priority="8" stopIfTrue="1" operator="lessThanOrEqual">
      <formula>0</formula>
    </cfRule>
  </conditionalFormatting>
  <conditionalFormatting sqref="C38">
    <cfRule type="cellIs" dxfId="6" priority="7" stopIfTrue="1" operator="lessThanOrEqual">
      <formula>0</formula>
    </cfRule>
  </conditionalFormatting>
  <conditionalFormatting sqref="C38">
    <cfRule type="cellIs" dxfId="5" priority="6" stopIfTrue="1" operator="lessThanOrEqual">
      <formula>0</formula>
    </cfRule>
  </conditionalFormatting>
  <conditionalFormatting sqref="C38">
    <cfRule type="cellIs" dxfId="4" priority="5" stopIfTrue="1" operator="lessThanOrEqual">
      <formula>0</formula>
    </cfRule>
  </conditionalFormatting>
  <conditionalFormatting sqref="C39">
    <cfRule type="cellIs" dxfId="3" priority="4" stopIfTrue="1" operator="lessThanOrEqual">
      <formula>0</formula>
    </cfRule>
  </conditionalFormatting>
  <conditionalFormatting sqref="C39">
    <cfRule type="cellIs" dxfId="2" priority="3" stopIfTrue="1" operator="lessThanOrEqual">
      <formula>0</formula>
    </cfRule>
  </conditionalFormatting>
  <conditionalFormatting sqref="C39">
    <cfRule type="cellIs" dxfId="1" priority="2" stopIfTrue="1" operator="lessThanOrEqual">
      <formula>0</formula>
    </cfRule>
  </conditionalFormatting>
  <conditionalFormatting sqref="C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2019-12-25T08:04:45Z</dcterms:modified>
</cp:coreProperties>
</file>