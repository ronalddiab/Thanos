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CAE9E5AB-A802-4A10-A995-3E2433F5BDBF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TOTAL" sheetId="3" r:id="rId1"/>
    <sheet name="Submetering " sheetId="4" r:id="rId2"/>
    <sheet name="FS Seychelles" sheetId="1" r:id="rId3"/>
    <sheet name="RO Plant" sheetId="7" r:id="rId4"/>
    <sheet name="Generator" sheetId="6" r:id="rId5"/>
    <sheet name="EMS Gridvis" sheetId="10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7" l="1"/>
  <c r="D34" i="7"/>
  <c r="E34" i="7"/>
  <c r="F34" i="7"/>
  <c r="G34" i="7"/>
  <c r="H34" i="7"/>
  <c r="B34" i="7"/>
  <c r="D4" i="1"/>
  <c r="E4" i="1"/>
  <c r="F4" i="1"/>
  <c r="G4" i="1"/>
  <c r="H4" i="1"/>
  <c r="I4" i="1"/>
  <c r="J4" i="1"/>
  <c r="K4" i="1"/>
  <c r="L4" i="1"/>
  <c r="M4" i="1"/>
  <c r="D5" i="1"/>
  <c r="E5" i="1"/>
  <c r="F5" i="1"/>
  <c r="G5" i="1"/>
  <c r="H5" i="1"/>
  <c r="I5" i="1"/>
  <c r="J5" i="1"/>
  <c r="K5" i="1"/>
  <c r="L5" i="1"/>
  <c r="M5" i="1"/>
  <c r="D6" i="1"/>
  <c r="E6" i="1"/>
  <c r="F6" i="1"/>
  <c r="G6" i="1"/>
  <c r="H6" i="1"/>
  <c r="I6" i="1"/>
  <c r="J6" i="1"/>
  <c r="K6" i="1"/>
  <c r="L6" i="1"/>
  <c r="M6" i="1"/>
  <c r="D7" i="1"/>
  <c r="E7" i="1"/>
  <c r="F7" i="1"/>
  <c r="G7" i="1"/>
  <c r="H7" i="1"/>
  <c r="I7" i="1"/>
  <c r="J7" i="1"/>
  <c r="K7" i="1"/>
  <c r="L7" i="1"/>
  <c r="M7" i="1"/>
  <c r="D8" i="1"/>
  <c r="E8" i="1"/>
  <c r="F8" i="1"/>
  <c r="G8" i="1"/>
  <c r="H8" i="1"/>
  <c r="I8" i="1"/>
  <c r="J8" i="1"/>
  <c r="K8" i="1"/>
  <c r="L8" i="1"/>
  <c r="M8" i="1"/>
  <c r="D9" i="1"/>
  <c r="E9" i="1"/>
  <c r="F9" i="1"/>
  <c r="G9" i="1"/>
  <c r="H9" i="1"/>
  <c r="I9" i="1"/>
  <c r="J9" i="1"/>
  <c r="K9" i="1"/>
  <c r="L9" i="1"/>
  <c r="M9" i="1"/>
  <c r="D10" i="1"/>
  <c r="E10" i="1"/>
  <c r="F10" i="1"/>
  <c r="G10" i="1"/>
  <c r="H10" i="1"/>
  <c r="I10" i="1"/>
  <c r="J10" i="1"/>
  <c r="K10" i="1"/>
  <c r="L10" i="1"/>
  <c r="M10" i="1"/>
  <c r="D11" i="1"/>
  <c r="E11" i="1"/>
  <c r="F11" i="1"/>
  <c r="G11" i="1"/>
  <c r="H11" i="1"/>
  <c r="I11" i="1"/>
  <c r="J11" i="1"/>
  <c r="K11" i="1"/>
  <c r="L11" i="1"/>
  <c r="M11" i="1"/>
  <c r="D12" i="1"/>
  <c r="E12" i="1"/>
  <c r="F12" i="1"/>
  <c r="G12" i="1"/>
  <c r="H12" i="1"/>
  <c r="I12" i="1"/>
  <c r="J12" i="1"/>
  <c r="K12" i="1"/>
  <c r="L12" i="1"/>
  <c r="M12" i="1"/>
  <c r="D13" i="1"/>
  <c r="E13" i="1"/>
  <c r="F13" i="1"/>
  <c r="G13" i="1"/>
  <c r="H13" i="1"/>
  <c r="I13" i="1"/>
  <c r="J13" i="1"/>
  <c r="K13" i="1"/>
  <c r="L13" i="1"/>
  <c r="M13" i="1"/>
  <c r="D14" i="1"/>
  <c r="E14" i="1"/>
  <c r="F14" i="1"/>
  <c r="G14" i="1"/>
  <c r="H14" i="1"/>
  <c r="I14" i="1"/>
  <c r="J14" i="1"/>
  <c r="K14" i="1"/>
  <c r="L14" i="1"/>
  <c r="M14" i="1"/>
  <c r="D15" i="1"/>
  <c r="E15" i="1"/>
  <c r="F15" i="1"/>
  <c r="G15" i="1"/>
  <c r="H15" i="1"/>
  <c r="I15" i="1"/>
  <c r="J15" i="1"/>
  <c r="K15" i="1"/>
  <c r="L15" i="1"/>
  <c r="M15" i="1"/>
  <c r="D16" i="1"/>
  <c r="E16" i="1"/>
  <c r="F16" i="1"/>
  <c r="G16" i="1"/>
  <c r="H16" i="1"/>
  <c r="I16" i="1"/>
  <c r="J16" i="1"/>
  <c r="K16" i="1"/>
  <c r="L16" i="1"/>
  <c r="M16" i="1"/>
  <c r="D17" i="1"/>
  <c r="E17" i="1"/>
  <c r="F17" i="1"/>
  <c r="G17" i="1"/>
  <c r="H17" i="1"/>
  <c r="I17" i="1"/>
  <c r="J17" i="1"/>
  <c r="K17" i="1"/>
  <c r="L17" i="1"/>
  <c r="M17" i="1"/>
  <c r="D18" i="1"/>
  <c r="E18" i="1"/>
  <c r="F18" i="1"/>
  <c r="G18" i="1"/>
  <c r="H18" i="1"/>
  <c r="I18" i="1"/>
  <c r="J18" i="1"/>
  <c r="K18" i="1"/>
  <c r="L18" i="1"/>
  <c r="M18" i="1"/>
  <c r="D19" i="1"/>
  <c r="E19" i="1"/>
  <c r="F19" i="1"/>
  <c r="G19" i="1"/>
  <c r="H19" i="1"/>
  <c r="I19" i="1"/>
  <c r="J19" i="1"/>
  <c r="K19" i="1"/>
  <c r="L19" i="1"/>
  <c r="M19" i="1"/>
  <c r="D20" i="1"/>
  <c r="E20" i="1"/>
  <c r="F20" i="1"/>
  <c r="G20" i="1"/>
  <c r="H20" i="1"/>
  <c r="I20" i="1"/>
  <c r="J20" i="1"/>
  <c r="K20" i="1"/>
  <c r="L20" i="1"/>
  <c r="M20" i="1"/>
  <c r="D21" i="1"/>
  <c r="E21" i="1"/>
  <c r="F21" i="1"/>
  <c r="G21" i="1"/>
  <c r="H21" i="1"/>
  <c r="I21" i="1"/>
  <c r="J21" i="1"/>
  <c r="K21" i="1"/>
  <c r="L21" i="1"/>
  <c r="M21" i="1"/>
  <c r="D22" i="1"/>
  <c r="E22" i="1"/>
  <c r="F22" i="1"/>
  <c r="G22" i="1"/>
  <c r="H22" i="1"/>
  <c r="I22" i="1"/>
  <c r="J22" i="1"/>
  <c r="K22" i="1"/>
  <c r="L22" i="1"/>
  <c r="M22" i="1"/>
  <c r="D23" i="1"/>
  <c r="E23" i="1"/>
  <c r="F23" i="1"/>
  <c r="G23" i="1"/>
  <c r="H23" i="1"/>
  <c r="I23" i="1"/>
  <c r="J23" i="1"/>
  <c r="K23" i="1"/>
  <c r="L23" i="1"/>
  <c r="M23" i="1"/>
  <c r="D24" i="1"/>
  <c r="E24" i="1"/>
  <c r="F24" i="1"/>
  <c r="G24" i="1"/>
  <c r="H24" i="1"/>
  <c r="I24" i="1"/>
  <c r="J24" i="1"/>
  <c r="K24" i="1"/>
  <c r="L24" i="1"/>
  <c r="M24" i="1"/>
  <c r="D25" i="1"/>
  <c r="E25" i="1"/>
  <c r="F25" i="1"/>
  <c r="G25" i="1"/>
  <c r="H25" i="1"/>
  <c r="I25" i="1"/>
  <c r="J25" i="1"/>
  <c r="K25" i="1"/>
  <c r="L25" i="1"/>
  <c r="M25" i="1"/>
  <c r="D26" i="1"/>
  <c r="E26" i="1"/>
  <c r="F26" i="1"/>
  <c r="G26" i="1"/>
  <c r="H26" i="1"/>
  <c r="I26" i="1"/>
  <c r="J26" i="1"/>
  <c r="K26" i="1"/>
  <c r="L26" i="1"/>
  <c r="M26" i="1"/>
  <c r="D27" i="1"/>
  <c r="E27" i="1"/>
  <c r="F27" i="1"/>
  <c r="G27" i="1"/>
  <c r="H27" i="1"/>
  <c r="I27" i="1"/>
  <c r="J27" i="1"/>
  <c r="K27" i="1"/>
  <c r="L27" i="1"/>
  <c r="M27" i="1"/>
  <c r="D28" i="1"/>
  <c r="E28" i="1"/>
  <c r="F28" i="1"/>
  <c r="G28" i="1"/>
  <c r="H28" i="1"/>
  <c r="I28" i="1"/>
  <c r="J28" i="1"/>
  <c r="K28" i="1"/>
  <c r="L28" i="1"/>
  <c r="M28" i="1"/>
  <c r="D29" i="1"/>
  <c r="E29" i="1"/>
  <c r="F29" i="1"/>
  <c r="G29" i="1"/>
  <c r="H29" i="1"/>
  <c r="I29" i="1"/>
  <c r="J29" i="1"/>
  <c r="K29" i="1"/>
  <c r="L29" i="1"/>
  <c r="M29" i="1"/>
  <c r="D30" i="1"/>
  <c r="E30" i="1"/>
  <c r="F30" i="1"/>
  <c r="G30" i="1"/>
  <c r="H30" i="1"/>
  <c r="I30" i="1"/>
  <c r="J30" i="1"/>
  <c r="K30" i="1"/>
  <c r="L30" i="1"/>
  <c r="M30" i="1"/>
  <c r="D31" i="1"/>
  <c r="E31" i="1"/>
  <c r="F31" i="1"/>
  <c r="G31" i="1"/>
  <c r="H31" i="1"/>
  <c r="I31" i="1"/>
  <c r="J31" i="1"/>
  <c r="K31" i="1"/>
  <c r="L31" i="1"/>
  <c r="M31" i="1"/>
  <c r="D32" i="1"/>
  <c r="E32" i="1"/>
  <c r="F32" i="1"/>
  <c r="G32" i="1"/>
  <c r="H32" i="1"/>
  <c r="I32" i="1"/>
  <c r="J32" i="1"/>
  <c r="K32" i="1"/>
  <c r="L32" i="1"/>
  <c r="M32" i="1"/>
  <c r="D33" i="1"/>
  <c r="E33" i="1"/>
  <c r="F33" i="1"/>
  <c r="G33" i="1"/>
  <c r="H33" i="1"/>
  <c r="I33" i="1"/>
  <c r="J33" i="1"/>
  <c r="K33" i="1"/>
  <c r="L33" i="1"/>
  <c r="M33" i="1"/>
  <c r="C34" i="10"/>
  <c r="D34" i="10"/>
  <c r="E34" i="10"/>
  <c r="F34" i="10"/>
  <c r="G34" i="10"/>
  <c r="H34" i="10"/>
  <c r="I34" i="10"/>
  <c r="J34" i="10"/>
  <c r="K34" i="10"/>
  <c r="B34" i="10"/>
  <c r="AG32" i="1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AG21" i="1"/>
  <c r="AG20" i="1"/>
  <c r="B31" i="7"/>
  <c r="AA4" i="1"/>
  <c r="AA3" i="4" s="1"/>
  <c r="AB4" i="1"/>
  <c r="AB3" i="4" s="1"/>
  <c r="AA5" i="1"/>
  <c r="AA4" i="4" s="1"/>
  <c r="AB5" i="1"/>
  <c r="AB4" i="4" s="1"/>
  <c r="AA6" i="1"/>
  <c r="AA5" i="4" s="1"/>
  <c r="AB6" i="1"/>
  <c r="AB5" i="4" s="1"/>
  <c r="AA7" i="1"/>
  <c r="AA6" i="4" s="1"/>
  <c r="AB7" i="1"/>
  <c r="AB6" i="4" s="1"/>
  <c r="AA8" i="1"/>
  <c r="AA7" i="4" s="1"/>
  <c r="AB8" i="1"/>
  <c r="AB7" i="4" s="1"/>
  <c r="AA9" i="1"/>
  <c r="AA8" i="4" s="1"/>
  <c r="AB9" i="1"/>
  <c r="AB8" i="4" s="1"/>
  <c r="AA10" i="1"/>
  <c r="AA9" i="4" s="1"/>
  <c r="AB10" i="1"/>
  <c r="AB9" i="4" s="1"/>
  <c r="AA11" i="1"/>
  <c r="AA10" i="4" s="1"/>
  <c r="AB11" i="1"/>
  <c r="AB10" i="4" s="1"/>
  <c r="AA12" i="1"/>
  <c r="AA11" i="4" s="1"/>
  <c r="AB12" i="1"/>
  <c r="AB11" i="4" s="1"/>
  <c r="AA13" i="1"/>
  <c r="AA12" i="4" s="1"/>
  <c r="AB13" i="1"/>
  <c r="AB12" i="4" s="1"/>
  <c r="AA14" i="1"/>
  <c r="AA13" i="4" s="1"/>
  <c r="AB14" i="1"/>
  <c r="AB13" i="4" s="1"/>
  <c r="AA15" i="1"/>
  <c r="AA14" i="4" s="1"/>
  <c r="AB15" i="1"/>
  <c r="AB14" i="4" s="1"/>
  <c r="AA16" i="1"/>
  <c r="AA15" i="4" s="1"/>
  <c r="AB16" i="1"/>
  <c r="AB15" i="4" s="1"/>
  <c r="AA17" i="1"/>
  <c r="AA16" i="4" s="1"/>
  <c r="AB17" i="1"/>
  <c r="AB16" i="4" s="1"/>
  <c r="AA18" i="1"/>
  <c r="AA17" i="4" s="1"/>
  <c r="AB18" i="1"/>
  <c r="AB17" i="4" s="1"/>
  <c r="AA19" i="1"/>
  <c r="AA18" i="4" s="1"/>
  <c r="AB19" i="1"/>
  <c r="AB18" i="4" s="1"/>
  <c r="AA20" i="1"/>
  <c r="AA19" i="4" s="1"/>
  <c r="AB20" i="1"/>
  <c r="AB19" i="4" s="1"/>
  <c r="AA21" i="1"/>
  <c r="AA20" i="4" s="1"/>
  <c r="AB21" i="1"/>
  <c r="AB20" i="4" s="1"/>
  <c r="AA22" i="1"/>
  <c r="AA21" i="4" s="1"/>
  <c r="AB22" i="1"/>
  <c r="AB21" i="4" s="1"/>
  <c r="AA23" i="1"/>
  <c r="AA22" i="4" s="1"/>
  <c r="AB23" i="1"/>
  <c r="AB22" i="4" s="1"/>
  <c r="AA24" i="1"/>
  <c r="AA23" i="4" s="1"/>
  <c r="AB24" i="1"/>
  <c r="AB23" i="4" s="1"/>
  <c r="AA25" i="1"/>
  <c r="AA24" i="4" s="1"/>
  <c r="AB25" i="1"/>
  <c r="AB24" i="4" s="1"/>
  <c r="AA26" i="1"/>
  <c r="AA25" i="4" s="1"/>
  <c r="AB26" i="1"/>
  <c r="AB25" i="4" s="1"/>
  <c r="AA27" i="1"/>
  <c r="AA26" i="4" s="1"/>
  <c r="AB27" i="1"/>
  <c r="AB26" i="4" s="1"/>
  <c r="AA28" i="1"/>
  <c r="AA27" i="4" s="1"/>
  <c r="AB28" i="1"/>
  <c r="AB27" i="4" s="1"/>
  <c r="AA29" i="1"/>
  <c r="AA28" i="4" s="1"/>
  <c r="AB29" i="1"/>
  <c r="AB28" i="4" s="1"/>
  <c r="AA30" i="1"/>
  <c r="AA29" i="4" s="1"/>
  <c r="AB30" i="1"/>
  <c r="AB29" i="4" s="1"/>
  <c r="AA31" i="1"/>
  <c r="AA30" i="4" s="1"/>
  <c r="AB31" i="1"/>
  <c r="AB30" i="4" s="1"/>
  <c r="AA32" i="1"/>
  <c r="AA31" i="4" s="1"/>
  <c r="AB32" i="1"/>
  <c r="AB31" i="4" s="1"/>
  <c r="AA33" i="1"/>
  <c r="AA32" i="4" s="1"/>
  <c r="AB33" i="1"/>
  <c r="AB32" i="4" s="1"/>
  <c r="AB3" i="1"/>
  <c r="AB2" i="4" s="1"/>
  <c r="X4" i="1"/>
  <c r="X3" i="4" s="1"/>
  <c r="Y4" i="1"/>
  <c r="Y3" i="4" s="1"/>
  <c r="Z4" i="1"/>
  <c r="Z3" i="4" s="1"/>
  <c r="X5" i="1"/>
  <c r="X4" i="4" s="1"/>
  <c r="Y5" i="1"/>
  <c r="Y4" i="4" s="1"/>
  <c r="Z5" i="1"/>
  <c r="Z4" i="4" s="1"/>
  <c r="X6" i="1"/>
  <c r="X5" i="4" s="1"/>
  <c r="Y6" i="1"/>
  <c r="Y5" i="4" s="1"/>
  <c r="Z6" i="1"/>
  <c r="Z5" i="4" s="1"/>
  <c r="X7" i="1"/>
  <c r="X6" i="4" s="1"/>
  <c r="Y7" i="1"/>
  <c r="Y6" i="4" s="1"/>
  <c r="Z7" i="1"/>
  <c r="Z6" i="4" s="1"/>
  <c r="X8" i="1"/>
  <c r="X7" i="4" s="1"/>
  <c r="Y8" i="1"/>
  <c r="Y7" i="4" s="1"/>
  <c r="Z8" i="1"/>
  <c r="Z7" i="4" s="1"/>
  <c r="X9" i="1"/>
  <c r="X8" i="4" s="1"/>
  <c r="Y9" i="1"/>
  <c r="Y8" i="4" s="1"/>
  <c r="Z9" i="1"/>
  <c r="Z8" i="4" s="1"/>
  <c r="X10" i="1"/>
  <c r="X9" i="4" s="1"/>
  <c r="Y10" i="1"/>
  <c r="Y9" i="4" s="1"/>
  <c r="Z10" i="1"/>
  <c r="Z9" i="4" s="1"/>
  <c r="X11" i="1"/>
  <c r="X10" i="4" s="1"/>
  <c r="Y11" i="1"/>
  <c r="Y10" i="4" s="1"/>
  <c r="Z11" i="1"/>
  <c r="Z10" i="4" s="1"/>
  <c r="X12" i="1"/>
  <c r="X11" i="4" s="1"/>
  <c r="Y12" i="1"/>
  <c r="Y11" i="4" s="1"/>
  <c r="Z12" i="1"/>
  <c r="Z11" i="4" s="1"/>
  <c r="X13" i="1"/>
  <c r="X12" i="4" s="1"/>
  <c r="Y13" i="1"/>
  <c r="Y12" i="4" s="1"/>
  <c r="Z13" i="1"/>
  <c r="Z12" i="4" s="1"/>
  <c r="X14" i="1"/>
  <c r="X13" i="4" s="1"/>
  <c r="Y14" i="1"/>
  <c r="Y13" i="4" s="1"/>
  <c r="Z14" i="1"/>
  <c r="Z13" i="4" s="1"/>
  <c r="X15" i="1"/>
  <c r="X14" i="4" s="1"/>
  <c r="Y15" i="1"/>
  <c r="Y14" i="4" s="1"/>
  <c r="Z15" i="1"/>
  <c r="Z14" i="4" s="1"/>
  <c r="X16" i="1"/>
  <c r="X15" i="4" s="1"/>
  <c r="Y16" i="1"/>
  <c r="Y15" i="4" s="1"/>
  <c r="Z16" i="1"/>
  <c r="Z15" i="4" s="1"/>
  <c r="X17" i="1"/>
  <c r="X16" i="4" s="1"/>
  <c r="Y17" i="1"/>
  <c r="Y16" i="4" s="1"/>
  <c r="Z17" i="1"/>
  <c r="Z16" i="4" s="1"/>
  <c r="X18" i="1"/>
  <c r="X17" i="4" s="1"/>
  <c r="Y18" i="1"/>
  <c r="Y17" i="4" s="1"/>
  <c r="X20" i="1"/>
  <c r="X19" i="4" s="1"/>
  <c r="Y20" i="1"/>
  <c r="Y19" i="4" s="1"/>
  <c r="Z20" i="1"/>
  <c r="Z19" i="4" s="1"/>
  <c r="X21" i="1"/>
  <c r="X20" i="4" s="1"/>
  <c r="Y21" i="1"/>
  <c r="Y20" i="4" s="1"/>
  <c r="Z21" i="1"/>
  <c r="Z20" i="4" s="1"/>
  <c r="X22" i="1"/>
  <c r="X21" i="4" s="1"/>
  <c r="Y22" i="1"/>
  <c r="Y21" i="4" s="1"/>
  <c r="Z22" i="1"/>
  <c r="Z21" i="4" s="1"/>
  <c r="X23" i="1"/>
  <c r="X22" i="4" s="1"/>
  <c r="Y23" i="1"/>
  <c r="Y22" i="4" s="1"/>
  <c r="Z23" i="1"/>
  <c r="Z22" i="4" s="1"/>
  <c r="X24" i="1"/>
  <c r="X23" i="4" s="1"/>
  <c r="Y24" i="1"/>
  <c r="Y23" i="4" s="1"/>
  <c r="Z24" i="1"/>
  <c r="Z23" i="4" s="1"/>
  <c r="X25" i="1"/>
  <c r="X24" i="4" s="1"/>
  <c r="Y25" i="1"/>
  <c r="Y24" i="4" s="1"/>
  <c r="Z25" i="1"/>
  <c r="Z24" i="4" s="1"/>
  <c r="X26" i="1"/>
  <c r="X25" i="4" s="1"/>
  <c r="Y26" i="1"/>
  <c r="Y25" i="4" s="1"/>
  <c r="Z26" i="1"/>
  <c r="Z25" i="4" s="1"/>
  <c r="X27" i="1"/>
  <c r="X26" i="4" s="1"/>
  <c r="Y27" i="1"/>
  <c r="Y26" i="4" s="1"/>
  <c r="Z27" i="1"/>
  <c r="Z26" i="4" s="1"/>
  <c r="X28" i="1"/>
  <c r="X27" i="4" s="1"/>
  <c r="Y28" i="1"/>
  <c r="Y27" i="4" s="1"/>
  <c r="Z28" i="1"/>
  <c r="Z27" i="4" s="1"/>
  <c r="X29" i="1"/>
  <c r="X28" i="4" s="1"/>
  <c r="Y29" i="1"/>
  <c r="Y28" i="4" s="1"/>
  <c r="Z29" i="1"/>
  <c r="Z28" i="4" s="1"/>
  <c r="X30" i="1"/>
  <c r="X29" i="4" s="1"/>
  <c r="Y30" i="1"/>
  <c r="Y29" i="4" s="1"/>
  <c r="Z30" i="1"/>
  <c r="Z29" i="4" s="1"/>
  <c r="X31" i="1"/>
  <c r="X30" i="4" s="1"/>
  <c r="Y31" i="1"/>
  <c r="Y30" i="4" s="1"/>
  <c r="Z31" i="1"/>
  <c r="Z30" i="4" s="1"/>
  <c r="X32" i="1"/>
  <c r="X31" i="4" s="1"/>
  <c r="Y32" i="1"/>
  <c r="Y31" i="4" s="1"/>
  <c r="Z32" i="1"/>
  <c r="Z31" i="4" s="1"/>
  <c r="X33" i="1"/>
  <c r="X32" i="4" s="1"/>
  <c r="Y33" i="1"/>
  <c r="Y32" i="4" s="1"/>
  <c r="Z33" i="1"/>
  <c r="Z32" i="4" s="1"/>
  <c r="Z3" i="1"/>
  <c r="Z2" i="4" s="1"/>
  <c r="AA3" i="1"/>
  <c r="AA2" i="4" s="1"/>
  <c r="X3" i="1"/>
  <c r="X2" i="4" s="1"/>
  <c r="Y3" i="1"/>
  <c r="Y2" i="4" s="1"/>
  <c r="K22" i="4"/>
  <c r="K23" i="4"/>
  <c r="K25" i="4"/>
  <c r="K26" i="4"/>
  <c r="J22" i="4"/>
  <c r="J23" i="4"/>
  <c r="J25" i="4"/>
  <c r="J26" i="4"/>
  <c r="I22" i="4"/>
  <c r="I23" i="4"/>
  <c r="I25" i="4"/>
  <c r="I26" i="4"/>
  <c r="N19" i="1"/>
  <c r="K20" i="7"/>
  <c r="J20" i="7"/>
  <c r="I20" i="7"/>
  <c r="H20" i="7"/>
  <c r="F20" i="7"/>
  <c r="D20" i="7"/>
  <c r="Y19" i="1" s="1"/>
  <c r="Y18" i="4" s="1"/>
  <c r="C20" i="7"/>
  <c r="X19" i="1" s="1"/>
  <c r="X18" i="4" s="1"/>
  <c r="B20" i="7"/>
  <c r="W19" i="1" s="1"/>
  <c r="M24" i="7"/>
  <c r="N24" i="7" s="1"/>
  <c r="E19" i="7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3" i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4" i="4"/>
  <c r="O27" i="4"/>
  <c r="O28" i="4"/>
  <c r="O29" i="4"/>
  <c r="O30" i="4"/>
  <c r="O32" i="4"/>
  <c r="M3" i="1"/>
  <c r="O2" i="4" s="1"/>
  <c r="D3" i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4" i="4"/>
  <c r="I27" i="4"/>
  <c r="I28" i="4"/>
  <c r="I29" i="4"/>
  <c r="I30" i="4"/>
  <c r="I3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4" i="4"/>
  <c r="J27" i="4"/>
  <c r="J28" i="4"/>
  <c r="J29" i="4"/>
  <c r="J30" i="4"/>
  <c r="J3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4" i="4"/>
  <c r="K27" i="4"/>
  <c r="K28" i="4"/>
  <c r="K29" i="4"/>
  <c r="K30" i="4"/>
  <c r="K32" i="4"/>
  <c r="I3" i="1"/>
  <c r="K2" i="4" s="1"/>
  <c r="H3" i="1"/>
  <c r="J2" i="4" s="1"/>
  <c r="G3" i="1"/>
  <c r="I2" i="4" s="1"/>
  <c r="AG16" i="1"/>
  <c r="AG17" i="1"/>
  <c r="M7" i="7"/>
  <c r="M4" i="7"/>
  <c r="N4" i="7"/>
  <c r="N7" i="7"/>
  <c r="N27" i="7"/>
  <c r="M5" i="7"/>
  <c r="N5" i="7" s="1"/>
  <c r="M6" i="7"/>
  <c r="N6" i="7" s="1"/>
  <c r="M8" i="7"/>
  <c r="N8" i="7" s="1"/>
  <c r="M9" i="7"/>
  <c r="N9" i="7" s="1"/>
  <c r="M10" i="7"/>
  <c r="N10" i="7" s="1"/>
  <c r="M11" i="7"/>
  <c r="N11" i="7" s="1"/>
  <c r="M12" i="7"/>
  <c r="N12" i="7" s="1"/>
  <c r="M13" i="7"/>
  <c r="N13" i="7" s="1"/>
  <c r="M14" i="7"/>
  <c r="N14" i="7" s="1"/>
  <c r="M15" i="7"/>
  <c r="N15" i="7" s="1"/>
  <c r="M16" i="7"/>
  <c r="N16" i="7" s="1"/>
  <c r="M17" i="7"/>
  <c r="N17" i="7" s="1"/>
  <c r="M18" i="7"/>
  <c r="N18" i="7" s="1"/>
  <c r="M19" i="7"/>
  <c r="N19" i="7" s="1"/>
  <c r="M20" i="7"/>
  <c r="N20" i="7" s="1"/>
  <c r="M21" i="7"/>
  <c r="N21" i="7" s="1"/>
  <c r="M22" i="7"/>
  <c r="N22" i="7" s="1"/>
  <c r="M23" i="7"/>
  <c r="N23" i="7" s="1"/>
  <c r="M25" i="7"/>
  <c r="N25" i="7" s="1"/>
  <c r="M26" i="7"/>
  <c r="N26" i="7" s="1"/>
  <c r="M28" i="7"/>
  <c r="N28" i="7" s="1"/>
  <c r="M29" i="7"/>
  <c r="N29" i="7" s="1"/>
  <c r="M30" i="7"/>
  <c r="N30" i="7" s="1"/>
  <c r="M31" i="7"/>
  <c r="N31" i="7" s="1"/>
  <c r="M32" i="7"/>
  <c r="N32" i="7" s="1"/>
  <c r="M33" i="7"/>
  <c r="N33" i="7" s="1"/>
  <c r="M34" i="7"/>
  <c r="N34" i="7" s="1"/>
  <c r="T3" i="1"/>
  <c r="AC10" i="1"/>
  <c r="AC9" i="4" s="1"/>
  <c r="AC11" i="1"/>
  <c r="AC10" i="4" s="1"/>
  <c r="W10" i="1"/>
  <c r="W11" i="1"/>
  <c r="AG12" i="1"/>
  <c r="AG11" i="1"/>
  <c r="AG13" i="1"/>
  <c r="AG14" i="1"/>
  <c r="AG15" i="1"/>
  <c r="AG18" i="1"/>
  <c r="AG19" i="1"/>
  <c r="AG22" i="1"/>
  <c r="AG23" i="1"/>
  <c r="AG24" i="1"/>
  <c r="AG25" i="1"/>
  <c r="AG26" i="1"/>
  <c r="AG27" i="1"/>
  <c r="AG28" i="1"/>
  <c r="AG29" i="1"/>
  <c r="AG30" i="1"/>
  <c r="AG31" i="1"/>
  <c r="AG10" i="1"/>
  <c r="AG9" i="1"/>
  <c r="T6" i="1"/>
  <c r="T4" i="1"/>
  <c r="T5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I40" i="6"/>
  <c r="I39" i="6"/>
  <c r="AC7" i="1"/>
  <c r="AC6" i="4" s="1"/>
  <c r="AG8" i="1"/>
  <c r="AG7" i="1"/>
  <c r="Q7" i="1"/>
  <c r="E2" i="4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" i="1"/>
  <c r="Q4" i="1"/>
  <c r="Q5" i="1"/>
  <c r="Q6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" i="1"/>
  <c r="N3" i="1"/>
  <c r="AG6" i="1"/>
  <c r="AG5" i="1"/>
  <c r="M32" i="3"/>
  <c r="C32" i="3"/>
  <c r="B32" i="3"/>
  <c r="AG3" i="1"/>
  <c r="AF15" i="1"/>
  <c r="AF6" i="1"/>
  <c r="AF5" i="1"/>
  <c r="AC4" i="1"/>
  <c r="AC3" i="4" s="1"/>
  <c r="AC5" i="1"/>
  <c r="AC4" i="4" s="1"/>
  <c r="AC6" i="1"/>
  <c r="AC5" i="4" s="1"/>
  <c r="AC8" i="1"/>
  <c r="AC7" i="4" s="1"/>
  <c r="AC9" i="1"/>
  <c r="AC8" i="4" s="1"/>
  <c r="AC12" i="1"/>
  <c r="AC11" i="4" s="1"/>
  <c r="AC13" i="1"/>
  <c r="AC12" i="4" s="1"/>
  <c r="AC14" i="1"/>
  <c r="AC13" i="4" s="1"/>
  <c r="AC15" i="1"/>
  <c r="AC14" i="4" s="1"/>
  <c r="AC16" i="1"/>
  <c r="AC15" i="4" s="1"/>
  <c r="AC17" i="1"/>
  <c r="AC16" i="4" s="1"/>
  <c r="AC18" i="1"/>
  <c r="AC17" i="4" s="1"/>
  <c r="AC19" i="1"/>
  <c r="AC18" i="4" s="1"/>
  <c r="AC20" i="1"/>
  <c r="AC19" i="4" s="1"/>
  <c r="AC21" i="1"/>
  <c r="AC20" i="4" s="1"/>
  <c r="AC22" i="1"/>
  <c r="AC21" i="4" s="1"/>
  <c r="AC23" i="1"/>
  <c r="AC22" i="4" s="1"/>
  <c r="AC24" i="1"/>
  <c r="AC23" i="4" s="1"/>
  <c r="AC25" i="1"/>
  <c r="AC24" i="4" s="1"/>
  <c r="AC26" i="1"/>
  <c r="AC25" i="4" s="1"/>
  <c r="AC27" i="1"/>
  <c r="AC26" i="4" s="1"/>
  <c r="AC28" i="1"/>
  <c r="AC27" i="4" s="1"/>
  <c r="AC29" i="1"/>
  <c r="AC28" i="4" s="1"/>
  <c r="AC30" i="1"/>
  <c r="AC29" i="4" s="1"/>
  <c r="AC31" i="1"/>
  <c r="AC30" i="4" s="1"/>
  <c r="AC32" i="1"/>
  <c r="AC31" i="4" s="1"/>
  <c r="AC33" i="1"/>
  <c r="AC32" i="4" s="1"/>
  <c r="AC3" i="1"/>
  <c r="AC2" i="4" s="1"/>
  <c r="W4" i="1"/>
  <c r="W5" i="1"/>
  <c r="W6" i="1"/>
  <c r="W7" i="1"/>
  <c r="W8" i="1"/>
  <c r="W9" i="1"/>
  <c r="W12" i="1"/>
  <c r="W13" i="1"/>
  <c r="W14" i="1"/>
  <c r="W15" i="1"/>
  <c r="W16" i="1"/>
  <c r="W17" i="1"/>
  <c r="W18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" i="1"/>
  <c r="I2" i="3" s="1"/>
  <c r="K3" i="1"/>
  <c r="L3" i="1"/>
  <c r="J3" i="1"/>
  <c r="E3" i="1"/>
  <c r="F3" i="1"/>
  <c r="E3" i="3"/>
  <c r="D35" i="1"/>
  <c r="E35" i="1"/>
  <c r="E36" i="1" s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AG4" i="1"/>
  <c r="AF9" i="1"/>
  <c r="X11" i="6"/>
  <c r="AA17" i="6"/>
  <c r="AA18" i="6"/>
  <c r="AA19" i="6"/>
  <c r="Z19" i="6" s="1"/>
  <c r="AA20" i="6"/>
  <c r="Z20" i="6" s="1"/>
  <c r="AA21" i="6"/>
  <c r="Z21" i="6" s="1"/>
  <c r="AA22" i="6"/>
  <c r="Z22" i="6" s="1"/>
  <c r="AA23" i="6"/>
  <c r="Z23" i="6" s="1"/>
  <c r="AA24" i="6"/>
  <c r="Z24" i="6" s="1"/>
  <c r="AA25" i="6"/>
  <c r="Z25" i="6" s="1"/>
  <c r="AA26" i="6"/>
  <c r="Z26" i="6" s="1"/>
  <c r="AA27" i="6"/>
  <c r="Z27" i="6" s="1"/>
  <c r="AA28" i="6"/>
  <c r="Z28" i="6" s="1"/>
  <c r="AA29" i="6"/>
  <c r="Z29" i="6" s="1"/>
  <c r="AA30" i="6"/>
  <c r="Z30" i="6" s="1"/>
  <c r="AA31" i="6"/>
  <c r="Z31" i="6" s="1"/>
  <c r="AA32" i="6"/>
  <c r="Z32" i="6" s="1"/>
  <c r="AA33" i="6"/>
  <c r="Z33" i="6" s="1"/>
  <c r="AA34" i="6"/>
  <c r="Z34" i="6" s="1"/>
  <c r="Y4" i="6"/>
  <c r="X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X5" i="6"/>
  <c r="X6" i="6"/>
  <c r="X7" i="6"/>
  <c r="X8" i="6"/>
  <c r="X9" i="6"/>
  <c r="X10" i="6"/>
  <c r="X12" i="6"/>
  <c r="X13" i="6"/>
  <c r="X14" i="6"/>
  <c r="X15" i="6"/>
  <c r="X16" i="6"/>
  <c r="X17" i="6"/>
  <c r="X18" i="6"/>
  <c r="X19" i="6"/>
  <c r="X20" i="6"/>
  <c r="X21" i="6"/>
  <c r="X22" i="6"/>
  <c r="X23" i="6"/>
  <c r="S22" i="1" s="1"/>
  <c r="X24" i="6"/>
  <c r="S23" i="1" s="1"/>
  <c r="X25" i="6"/>
  <c r="S24" i="1" s="1"/>
  <c r="X26" i="6"/>
  <c r="S25" i="1" s="1"/>
  <c r="X27" i="6"/>
  <c r="S26" i="1" s="1"/>
  <c r="X28" i="6"/>
  <c r="S27" i="1" s="1"/>
  <c r="X29" i="6"/>
  <c r="S28" i="1" s="1"/>
  <c r="X30" i="6"/>
  <c r="S29" i="1" s="1"/>
  <c r="X31" i="6"/>
  <c r="S30" i="1" s="1"/>
  <c r="X32" i="6"/>
  <c r="S31" i="1" s="1"/>
  <c r="X33" i="6"/>
  <c r="S32" i="1" s="1"/>
  <c r="X34" i="6"/>
  <c r="S33" i="1" s="1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5" i="6"/>
  <c r="W4" i="6"/>
  <c r="W35" i="6" s="1"/>
  <c r="D83" i="6"/>
  <c r="AD4" i="4"/>
  <c r="AD5" i="4"/>
  <c r="AD6" i="4"/>
  <c r="AD7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D36" i="1"/>
  <c r="AF7" i="1"/>
  <c r="AF8" i="1"/>
  <c r="N8" i="4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36" i="6"/>
  <c r="L36" i="6"/>
  <c r="J36" i="6"/>
  <c r="C35" i="7"/>
  <c r="D35" i="7"/>
  <c r="F35" i="7"/>
  <c r="G35" i="7"/>
  <c r="H35" i="7"/>
  <c r="I35" i="7"/>
  <c r="K35" i="7"/>
  <c r="B35" i="7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72" i="6"/>
  <c r="B103" i="6" s="1"/>
  <c r="D102" i="6"/>
  <c r="D73" i="6"/>
  <c r="D74" i="6"/>
  <c r="D75" i="6"/>
  <c r="D76" i="6"/>
  <c r="D77" i="6"/>
  <c r="D78" i="6"/>
  <c r="D79" i="6"/>
  <c r="D80" i="6"/>
  <c r="D81" i="6"/>
  <c r="D82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D72" i="6"/>
  <c r="E72" i="6" s="1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72" i="6"/>
  <c r="F36" i="6"/>
  <c r="D36" i="6"/>
  <c r="C36" i="6"/>
  <c r="B36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39" i="6"/>
  <c r="J56" i="6"/>
  <c r="B54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F39" i="6"/>
  <c r="C39" i="6"/>
  <c r="E39" i="6" s="1"/>
  <c r="B39" i="6"/>
  <c r="P5" i="4"/>
  <c r="P7" i="4"/>
  <c r="P8" i="4"/>
  <c r="K3" i="3"/>
  <c r="K4" i="3"/>
  <c r="K5" i="3"/>
  <c r="K6" i="3"/>
  <c r="K7" i="3"/>
  <c r="K8" i="3"/>
  <c r="K10" i="3"/>
  <c r="K13" i="3"/>
  <c r="K18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J65" i="6"/>
  <c r="N66" i="6"/>
  <c r="R58" i="6"/>
  <c r="F57" i="6"/>
  <c r="R56" i="6"/>
  <c r="G36" i="6"/>
  <c r="H36" i="6"/>
  <c r="N36" i="6"/>
  <c r="O36" i="6"/>
  <c r="P36" i="6"/>
  <c r="R36" i="6"/>
  <c r="S36" i="6"/>
  <c r="T36" i="6"/>
  <c r="U8" i="4"/>
  <c r="R7" i="4"/>
  <c r="R8" i="4"/>
  <c r="Q5" i="4"/>
  <c r="Q7" i="4"/>
  <c r="Q8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N68" i="6"/>
  <c r="J68" i="6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5" i="6"/>
  <c r="U65" i="6" s="1"/>
  <c r="S66" i="6"/>
  <c r="U66" i="6" s="1"/>
  <c r="S67" i="6"/>
  <c r="U67" i="6" s="1"/>
  <c r="S68" i="6"/>
  <c r="U68" i="6" s="1"/>
  <c r="S69" i="6"/>
  <c r="U69" i="6" s="1"/>
  <c r="O65" i="6"/>
  <c r="Q65" i="6" s="1"/>
  <c r="O66" i="6"/>
  <c r="Q66" i="6" s="1"/>
  <c r="O67" i="6"/>
  <c r="Q67" i="6" s="1"/>
  <c r="O68" i="6"/>
  <c r="Q68" i="6" s="1"/>
  <c r="O69" i="6"/>
  <c r="Q69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K65" i="6"/>
  <c r="M65" i="6" s="1"/>
  <c r="K66" i="6"/>
  <c r="M66" i="6" s="1"/>
  <c r="K67" i="6"/>
  <c r="M67" i="6" s="1"/>
  <c r="K68" i="6"/>
  <c r="M68" i="6" s="1"/>
  <c r="K69" i="6"/>
  <c r="M69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N59" i="6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65" i="6"/>
  <c r="E65" i="6" s="1"/>
  <c r="C66" i="6"/>
  <c r="E66" i="6" s="1"/>
  <c r="C67" i="6"/>
  <c r="E67" i="6" s="1"/>
  <c r="C68" i="6"/>
  <c r="E68" i="6" s="1"/>
  <c r="C69" i="6"/>
  <c r="E69" i="6" s="1"/>
  <c r="C64" i="6"/>
  <c r="E64" i="6" s="1"/>
  <c r="J59" i="6"/>
  <c r="K64" i="6"/>
  <c r="M64" i="6" s="1"/>
  <c r="J64" i="6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5" i="6"/>
  <c r="I65" i="6" s="1"/>
  <c r="G66" i="6"/>
  <c r="I66" i="6" s="1"/>
  <c r="G67" i="6"/>
  <c r="I67" i="6" s="1"/>
  <c r="G68" i="6"/>
  <c r="I68" i="6" s="1"/>
  <c r="G69" i="6"/>
  <c r="I69" i="6" s="1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5" i="6"/>
  <c r="F66" i="6"/>
  <c r="F67" i="6"/>
  <c r="F68" i="6"/>
  <c r="F69" i="6"/>
  <c r="R69" i="6"/>
  <c r="T69" i="6" s="1"/>
  <c r="R68" i="6"/>
  <c r="T68" i="6" s="1"/>
  <c r="R67" i="6"/>
  <c r="T67" i="6" s="1"/>
  <c r="R66" i="6"/>
  <c r="T66" i="6" s="1"/>
  <c r="R65" i="6"/>
  <c r="T65" i="6" s="1"/>
  <c r="S64" i="6"/>
  <c r="U64" i="6" s="1"/>
  <c r="R64" i="6"/>
  <c r="R63" i="6"/>
  <c r="T63" i="6" s="1"/>
  <c r="R62" i="6"/>
  <c r="T62" i="6" s="1"/>
  <c r="R61" i="6"/>
  <c r="T61" i="6" s="1"/>
  <c r="R60" i="6"/>
  <c r="T60" i="6" s="1"/>
  <c r="R59" i="6"/>
  <c r="T59" i="6" s="1"/>
  <c r="T58" i="6"/>
  <c r="R57" i="6"/>
  <c r="T57" i="6" s="1"/>
  <c r="T56" i="6"/>
  <c r="R55" i="6"/>
  <c r="T55" i="6" s="1"/>
  <c r="R54" i="6"/>
  <c r="T54" i="6" s="1"/>
  <c r="R53" i="6"/>
  <c r="T53" i="6" s="1"/>
  <c r="R52" i="6"/>
  <c r="T52" i="6" s="1"/>
  <c r="R51" i="6"/>
  <c r="T51" i="6" s="1"/>
  <c r="R50" i="6"/>
  <c r="R49" i="6"/>
  <c r="T49" i="6" s="1"/>
  <c r="R48" i="6"/>
  <c r="T48" i="6" s="1"/>
  <c r="N69" i="6"/>
  <c r="P69" i="6" s="1"/>
  <c r="P68" i="6"/>
  <c r="N67" i="6"/>
  <c r="P67" i="6" s="1"/>
  <c r="P66" i="6"/>
  <c r="N65" i="6"/>
  <c r="P65" i="6" s="1"/>
  <c r="O64" i="6"/>
  <c r="Q64" i="6" s="1"/>
  <c r="N64" i="6"/>
  <c r="N63" i="6"/>
  <c r="P63" i="6" s="1"/>
  <c r="N62" i="6"/>
  <c r="P62" i="6" s="1"/>
  <c r="N61" i="6"/>
  <c r="P61" i="6" s="1"/>
  <c r="N60" i="6"/>
  <c r="P60" i="6" s="1"/>
  <c r="P59" i="6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N49" i="6"/>
  <c r="P49" i="6" s="1"/>
  <c r="N48" i="6"/>
  <c r="P48" i="6" s="1"/>
  <c r="J69" i="6"/>
  <c r="L69" i="6" s="1"/>
  <c r="L68" i="6"/>
  <c r="J67" i="6"/>
  <c r="L67" i="6" s="1"/>
  <c r="J66" i="6"/>
  <c r="L66" i="6" s="1"/>
  <c r="L65" i="6"/>
  <c r="J63" i="6"/>
  <c r="L63" i="6" s="1"/>
  <c r="J62" i="6"/>
  <c r="L62" i="6" s="1"/>
  <c r="J61" i="6"/>
  <c r="L61" i="6" s="1"/>
  <c r="J60" i="6"/>
  <c r="L60" i="6" s="1"/>
  <c r="L59" i="6"/>
  <c r="J58" i="6"/>
  <c r="L58" i="6" s="1"/>
  <c r="J57" i="6"/>
  <c r="L57" i="6" s="1"/>
  <c r="L56" i="6"/>
  <c r="J55" i="6"/>
  <c r="L55" i="6" s="1"/>
  <c r="J54" i="6"/>
  <c r="L54" i="6" s="1"/>
  <c r="J53" i="6"/>
  <c r="L53" i="6" s="1"/>
  <c r="J52" i="6"/>
  <c r="L52" i="6" s="1"/>
  <c r="J51" i="6"/>
  <c r="L51" i="6" s="1"/>
  <c r="J50" i="6"/>
  <c r="J49" i="6"/>
  <c r="L49" i="6" s="1"/>
  <c r="J48" i="6"/>
  <c r="L48" i="6" s="1"/>
  <c r="H69" i="6"/>
  <c r="H68" i="6"/>
  <c r="H67" i="6"/>
  <c r="H66" i="6"/>
  <c r="G64" i="6"/>
  <c r="I64" i="6" s="1"/>
  <c r="F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B48" i="6"/>
  <c r="B49" i="6"/>
  <c r="B50" i="6"/>
  <c r="B51" i="6"/>
  <c r="B52" i="6"/>
  <c r="B53" i="6"/>
  <c r="B55" i="6"/>
  <c r="B56" i="6"/>
  <c r="B57" i="6"/>
  <c r="B58" i="6"/>
  <c r="B59" i="6"/>
  <c r="D59" i="6" s="1"/>
  <c r="B60" i="6"/>
  <c r="B61" i="6"/>
  <c r="B62" i="6"/>
  <c r="B63" i="6"/>
  <c r="B65" i="6"/>
  <c r="B66" i="6"/>
  <c r="B67" i="6"/>
  <c r="B68" i="6"/>
  <c r="B69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5" i="6"/>
  <c r="D66" i="6"/>
  <c r="D67" i="6"/>
  <c r="D68" i="6"/>
  <c r="D69" i="6"/>
  <c r="B64" i="6"/>
  <c r="D64" i="6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2" i="4"/>
  <c r="U27" i="4"/>
  <c r="U28" i="4"/>
  <c r="U25" i="4"/>
  <c r="U13" i="4"/>
  <c r="U14" i="4"/>
  <c r="U22" i="4"/>
  <c r="U21" i="4"/>
  <c r="U20" i="4"/>
  <c r="U19" i="4"/>
  <c r="U9" i="4"/>
  <c r="U12" i="4"/>
  <c r="U11" i="4"/>
  <c r="U5" i="4"/>
  <c r="U4" i="4"/>
  <c r="U2" i="4"/>
  <c r="U3" i="4"/>
  <c r="U15" i="4"/>
  <c r="U16" i="4"/>
  <c r="U17" i="4"/>
  <c r="U18" i="4"/>
  <c r="U23" i="4"/>
  <c r="U24" i="4"/>
  <c r="U26" i="4"/>
  <c r="U29" i="4"/>
  <c r="U30" i="4"/>
  <c r="AG33" i="1" l="1"/>
  <c r="K32" i="3" s="1"/>
  <c r="F35" i="1"/>
  <c r="F36" i="1" s="1"/>
  <c r="L35" i="1"/>
  <c r="L36" i="1" s="1"/>
  <c r="K35" i="1"/>
  <c r="K36" i="1" s="1"/>
  <c r="J35" i="1"/>
  <c r="J36" i="1" s="1"/>
  <c r="K31" i="4"/>
  <c r="I35" i="1"/>
  <c r="I36" i="1" s="1"/>
  <c r="J31" i="4"/>
  <c r="H35" i="1"/>
  <c r="H36" i="1" s="1"/>
  <c r="I31" i="4"/>
  <c r="G35" i="1"/>
  <c r="G36" i="1" s="1"/>
  <c r="D37" i="1" s="1"/>
  <c r="O31" i="4"/>
  <c r="M35" i="1"/>
  <c r="M36" i="1" s="1"/>
  <c r="I32" i="3"/>
  <c r="W35" i="1"/>
  <c r="Z18" i="1"/>
  <c r="E20" i="7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4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2" i="3"/>
  <c r="E26" i="3"/>
  <c r="O26" i="4"/>
  <c r="E25" i="3"/>
  <c r="O25" i="4"/>
  <c r="E23" i="3"/>
  <c r="O23" i="4"/>
  <c r="E22" i="3"/>
  <c r="O22" i="4"/>
  <c r="AF10" i="1"/>
  <c r="AD8" i="4"/>
  <c r="AE35" i="1"/>
  <c r="X35" i="6"/>
  <c r="Y35" i="6"/>
  <c r="U7" i="4"/>
  <c r="U6" i="4"/>
  <c r="E103" i="6"/>
  <c r="D103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T50" i="6"/>
  <c r="P50" i="6"/>
  <c r="L50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64" i="6"/>
  <c r="H65" i="6"/>
  <c r="L64" i="6"/>
  <c r="T64" i="6"/>
  <c r="P64" i="6"/>
  <c r="U10" i="4"/>
  <c r="AD2" i="4"/>
  <c r="P3" i="4"/>
  <c r="Q3" i="4"/>
  <c r="R3" i="4"/>
  <c r="S3" i="4"/>
  <c r="T3" i="4"/>
  <c r="I17" i="3" l="1"/>
  <c r="Z17" i="4"/>
  <c r="Z19" i="1"/>
  <c r="E35" i="7"/>
  <c r="G32" i="3"/>
  <c r="AD3" i="4"/>
  <c r="F3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E31" i="4"/>
  <c r="F31" i="4"/>
  <c r="G31" i="4"/>
  <c r="H31" i="4"/>
  <c r="L31" i="4"/>
  <c r="N31" i="4"/>
  <c r="P31" i="4"/>
  <c r="Q31" i="4"/>
  <c r="R31" i="4"/>
  <c r="S31" i="4"/>
  <c r="T31" i="4"/>
  <c r="W31" i="4"/>
  <c r="F2" i="4"/>
  <c r="G2" i="4"/>
  <c r="H2" i="4"/>
  <c r="L2" i="4"/>
  <c r="N2" i="4"/>
  <c r="P2" i="4"/>
  <c r="Q2" i="4"/>
  <c r="R2" i="4"/>
  <c r="S2" i="4"/>
  <c r="T2" i="4"/>
  <c r="W2" i="4"/>
  <c r="B3" i="4"/>
  <c r="E3" i="4"/>
  <c r="F3" i="4"/>
  <c r="G3" i="4"/>
  <c r="H3" i="4"/>
  <c r="L3" i="4"/>
  <c r="N3" i="4"/>
  <c r="W3" i="4"/>
  <c r="B4" i="4"/>
  <c r="E4" i="4"/>
  <c r="F4" i="4"/>
  <c r="G4" i="4"/>
  <c r="H4" i="4"/>
  <c r="L4" i="4"/>
  <c r="N4" i="4"/>
  <c r="P4" i="4"/>
  <c r="Q4" i="4"/>
  <c r="R4" i="4"/>
  <c r="S4" i="4"/>
  <c r="T4" i="4"/>
  <c r="W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L5" i="4"/>
  <c r="N5" i="4"/>
  <c r="R5" i="4"/>
  <c r="S5" i="4"/>
  <c r="T5" i="4"/>
  <c r="W5" i="4"/>
  <c r="E6" i="4"/>
  <c r="F6" i="4"/>
  <c r="G6" i="4"/>
  <c r="H6" i="4"/>
  <c r="L6" i="4"/>
  <c r="N6" i="4"/>
  <c r="P6" i="4"/>
  <c r="Q6" i="4"/>
  <c r="R6" i="4"/>
  <c r="S6" i="4"/>
  <c r="T6" i="4"/>
  <c r="W6" i="4"/>
  <c r="E7" i="4"/>
  <c r="F7" i="4"/>
  <c r="G7" i="4"/>
  <c r="H7" i="4"/>
  <c r="L7" i="4"/>
  <c r="N7" i="4"/>
  <c r="S7" i="4"/>
  <c r="T7" i="4"/>
  <c r="W7" i="4"/>
  <c r="E8" i="4"/>
  <c r="F8" i="4"/>
  <c r="G8" i="4"/>
  <c r="H8" i="4"/>
  <c r="L8" i="4"/>
  <c r="S8" i="4"/>
  <c r="T8" i="4"/>
  <c r="W8" i="4"/>
  <c r="E9" i="4"/>
  <c r="F9" i="4"/>
  <c r="G9" i="4"/>
  <c r="H9" i="4"/>
  <c r="L9" i="4"/>
  <c r="N9" i="4"/>
  <c r="P9" i="4"/>
  <c r="Q9" i="4"/>
  <c r="R9" i="4"/>
  <c r="S9" i="4"/>
  <c r="T9" i="4"/>
  <c r="W9" i="4"/>
  <c r="E10" i="4"/>
  <c r="F10" i="4"/>
  <c r="G10" i="4"/>
  <c r="H10" i="4"/>
  <c r="L10" i="4"/>
  <c r="N10" i="4"/>
  <c r="P10" i="4"/>
  <c r="Q10" i="4"/>
  <c r="R10" i="4"/>
  <c r="S10" i="4"/>
  <c r="T10" i="4"/>
  <c r="W10" i="4"/>
  <c r="E11" i="4"/>
  <c r="F11" i="4"/>
  <c r="G11" i="4"/>
  <c r="H11" i="4"/>
  <c r="L11" i="4"/>
  <c r="N11" i="4"/>
  <c r="P11" i="4"/>
  <c r="Q11" i="4"/>
  <c r="R11" i="4"/>
  <c r="S11" i="4"/>
  <c r="T11" i="4"/>
  <c r="W11" i="4"/>
  <c r="E12" i="4"/>
  <c r="F12" i="4"/>
  <c r="G12" i="4"/>
  <c r="H12" i="4"/>
  <c r="L12" i="4"/>
  <c r="N12" i="4"/>
  <c r="P12" i="4"/>
  <c r="Q12" i="4"/>
  <c r="R12" i="4"/>
  <c r="S12" i="4"/>
  <c r="T12" i="4"/>
  <c r="W12" i="4"/>
  <c r="E13" i="4"/>
  <c r="F13" i="4"/>
  <c r="G13" i="4"/>
  <c r="H13" i="4"/>
  <c r="L13" i="4"/>
  <c r="N13" i="4"/>
  <c r="P13" i="4"/>
  <c r="Q13" i="4"/>
  <c r="R13" i="4"/>
  <c r="S13" i="4"/>
  <c r="T13" i="4"/>
  <c r="W13" i="4"/>
  <c r="E14" i="4"/>
  <c r="F14" i="4"/>
  <c r="G14" i="4"/>
  <c r="H14" i="4"/>
  <c r="L14" i="4"/>
  <c r="N14" i="4"/>
  <c r="P14" i="4"/>
  <c r="Q14" i="4"/>
  <c r="R14" i="4"/>
  <c r="S14" i="4"/>
  <c r="T14" i="4"/>
  <c r="W14" i="4"/>
  <c r="E15" i="4"/>
  <c r="F15" i="4"/>
  <c r="G15" i="4"/>
  <c r="H15" i="4"/>
  <c r="L15" i="4"/>
  <c r="N15" i="4"/>
  <c r="P15" i="4"/>
  <c r="Q15" i="4"/>
  <c r="R15" i="4"/>
  <c r="S15" i="4"/>
  <c r="T15" i="4"/>
  <c r="W15" i="4"/>
  <c r="E16" i="4"/>
  <c r="F16" i="4"/>
  <c r="G16" i="4"/>
  <c r="H16" i="4"/>
  <c r="L16" i="4"/>
  <c r="N16" i="4"/>
  <c r="P16" i="4"/>
  <c r="Q16" i="4"/>
  <c r="R16" i="4"/>
  <c r="S16" i="4"/>
  <c r="T16" i="4"/>
  <c r="W16" i="4"/>
  <c r="E17" i="4"/>
  <c r="F17" i="4"/>
  <c r="G17" i="4"/>
  <c r="H17" i="4"/>
  <c r="L17" i="4"/>
  <c r="N17" i="4"/>
  <c r="P17" i="4"/>
  <c r="Q17" i="4"/>
  <c r="R17" i="4"/>
  <c r="S17" i="4"/>
  <c r="T17" i="4"/>
  <c r="E18" i="4"/>
  <c r="F18" i="4"/>
  <c r="G18" i="4"/>
  <c r="H18" i="4"/>
  <c r="L18" i="4"/>
  <c r="N18" i="4"/>
  <c r="P18" i="4"/>
  <c r="Q18" i="4"/>
  <c r="R18" i="4"/>
  <c r="S18" i="4"/>
  <c r="T18" i="4"/>
  <c r="E19" i="4"/>
  <c r="F19" i="4"/>
  <c r="G19" i="4"/>
  <c r="H19" i="4"/>
  <c r="L19" i="4"/>
  <c r="N19" i="4"/>
  <c r="P19" i="4"/>
  <c r="Q19" i="4"/>
  <c r="R19" i="4"/>
  <c r="S19" i="4"/>
  <c r="T19" i="4"/>
  <c r="E20" i="4"/>
  <c r="F20" i="4"/>
  <c r="G20" i="4"/>
  <c r="H20" i="4"/>
  <c r="L20" i="4"/>
  <c r="N20" i="4"/>
  <c r="P20" i="4"/>
  <c r="Q20" i="4"/>
  <c r="R20" i="4"/>
  <c r="S20" i="4"/>
  <c r="T20" i="4"/>
  <c r="E21" i="4"/>
  <c r="F21" i="4"/>
  <c r="G21" i="4"/>
  <c r="H21" i="4"/>
  <c r="L21" i="4"/>
  <c r="N21" i="4"/>
  <c r="P21" i="4"/>
  <c r="Q21" i="4"/>
  <c r="R21" i="4"/>
  <c r="S21" i="4"/>
  <c r="T21" i="4"/>
  <c r="E22" i="4"/>
  <c r="F22" i="4"/>
  <c r="G22" i="4"/>
  <c r="H22" i="4"/>
  <c r="L22" i="4"/>
  <c r="N22" i="4"/>
  <c r="P22" i="4"/>
  <c r="Q22" i="4"/>
  <c r="R22" i="4"/>
  <c r="S22" i="4"/>
  <c r="T22" i="4"/>
  <c r="E23" i="4"/>
  <c r="F23" i="4"/>
  <c r="G23" i="4"/>
  <c r="H23" i="4"/>
  <c r="L23" i="4"/>
  <c r="N23" i="4"/>
  <c r="P23" i="4"/>
  <c r="Q23" i="4"/>
  <c r="R23" i="4"/>
  <c r="S23" i="4"/>
  <c r="T23" i="4"/>
  <c r="E24" i="4"/>
  <c r="F24" i="4"/>
  <c r="G24" i="4"/>
  <c r="H24" i="4"/>
  <c r="L24" i="4"/>
  <c r="N24" i="4"/>
  <c r="P24" i="4"/>
  <c r="Q24" i="4"/>
  <c r="R24" i="4"/>
  <c r="S24" i="4"/>
  <c r="T24" i="4"/>
  <c r="E25" i="4"/>
  <c r="F25" i="4"/>
  <c r="G25" i="4"/>
  <c r="H25" i="4"/>
  <c r="L25" i="4"/>
  <c r="N25" i="4"/>
  <c r="P25" i="4"/>
  <c r="Q25" i="4"/>
  <c r="R25" i="4"/>
  <c r="S25" i="4"/>
  <c r="T25" i="4"/>
  <c r="E26" i="4"/>
  <c r="F26" i="4"/>
  <c r="G26" i="4"/>
  <c r="H26" i="4"/>
  <c r="L26" i="4"/>
  <c r="N26" i="4"/>
  <c r="P26" i="4"/>
  <c r="Q26" i="4"/>
  <c r="R26" i="4"/>
  <c r="S26" i="4"/>
  <c r="T26" i="4"/>
  <c r="E27" i="4"/>
  <c r="F27" i="4"/>
  <c r="G27" i="4"/>
  <c r="H27" i="4"/>
  <c r="L27" i="4"/>
  <c r="N27" i="4"/>
  <c r="P27" i="4"/>
  <c r="Q27" i="4"/>
  <c r="R27" i="4"/>
  <c r="S27" i="4"/>
  <c r="T27" i="4"/>
  <c r="E28" i="4"/>
  <c r="F28" i="4"/>
  <c r="G28" i="4"/>
  <c r="H28" i="4"/>
  <c r="L28" i="4"/>
  <c r="N28" i="4"/>
  <c r="P28" i="4"/>
  <c r="Q28" i="4"/>
  <c r="R28" i="4"/>
  <c r="S28" i="4"/>
  <c r="T28" i="4"/>
  <c r="E29" i="4"/>
  <c r="F29" i="4"/>
  <c r="G29" i="4"/>
  <c r="H29" i="4"/>
  <c r="L29" i="4"/>
  <c r="N29" i="4"/>
  <c r="P29" i="4"/>
  <c r="Q29" i="4"/>
  <c r="R29" i="4"/>
  <c r="S29" i="4"/>
  <c r="T29" i="4"/>
  <c r="E30" i="4"/>
  <c r="F30" i="4"/>
  <c r="G30" i="4"/>
  <c r="H30" i="4"/>
  <c r="L30" i="4"/>
  <c r="N30" i="4"/>
  <c r="P30" i="4"/>
  <c r="Q30" i="4"/>
  <c r="R30" i="4"/>
  <c r="S30" i="4"/>
  <c r="T30" i="4"/>
  <c r="W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M35" i="7" l="1"/>
  <c r="O35" i="7"/>
  <c r="I18" i="3"/>
  <c r="Z18" i="4"/>
  <c r="F26" i="3"/>
  <c r="F13" i="3"/>
  <c r="F10" i="3"/>
  <c r="F17" i="3"/>
  <c r="F7" i="3"/>
  <c r="F6" i="3"/>
  <c r="F21" i="3"/>
  <c r="F14" i="3"/>
  <c r="F11" i="3"/>
  <c r="F18" i="3"/>
  <c r="F8" i="3"/>
  <c r="F4" i="3"/>
  <c r="F24" i="3"/>
  <c r="F2" i="3"/>
  <c r="F15" i="3"/>
  <c r="F12" i="3"/>
  <c r="F5" i="3"/>
  <c r="F22" i="3"/>
  <c r="F9" i="3"/>
  <c r="F25" i="3"/>
  <c r="F19" i="3"/>
  <c r="F16" i="3"/>
  <c r="F23" i="3"/>
  <c r="F20" i="3"/>
  <c r="U31" i="4" l="1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tc={C92BD015-2C58-442E-BC39-7B2FB6842191}</author>
    <author>tc={E6C983F8-3A75-4C10-A3C8-E5E749166015}</author>
  </authors>
  <commentList>
    <comment ref="M2" authorId="0" shapeId="0" xr:uid="{C92BD015-2C58-442E-BC39-7B2FB6842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SRV1 to minus SRV3</t>
      </text>
    </comment>
    <comment ref="B31" authorId="1" shapeId="0" xr:uid="{E6C983F8-3A75-4C10-A3C8-E5E749166015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average</t>
      </text>
    </comment>
  </commentList>
</comments>
</file>

<file path=xl/sharedStrings.xml><?xml version="1.0" encoding="utf-8"?>
<sst xmlns="http://schemas.openxmlformats.org/spreadsheetml/2006/main" count="274" uniqueCount="132">
  <si>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</si>
  <si>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</si>
  <si>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</si>
  <si>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</si>
  <si>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</si>
  <si>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</si>
  <si>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</si>
  <si>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</si>
  <si>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</si>
  <si>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</si>
  <si>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</si>
  <si>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</si>
  <si>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</si>
  <si>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</si>
  <si>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</si>
  <si>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</si>
  <si>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</si>
  <si>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</si>
  <si>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</si>
  <si>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</si>
  <si>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</si>
  <si>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</si>
  <si>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</si>
  <si>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</si>
  <si>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PUC-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</si>
  <si>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</si>
  <si>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</si>
  <si>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</si>
  <si>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</si>
  <si>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</si>
  <si>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</si>
  <si>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</si>
  <si>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</si>
  <si>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 m3</t>
  </si>
  <si>
    <t>North RV m3</t>
  </si>
  <si>
    <t>WT59- m3</t>
  </si>
  <si>
    <t>WT08- m3</t>
  </si>
  <si>
    <t>PUC (E-Resort)- m3</t>
  </si>
  <si>
    <t>PUC (HOH)- m3</t>
  </si>
  <si>
    <t>DATE</t>
  </si>
  <si>
    <t>Room Night %</t>
  </si>
  <si>
    <t>Food Covers (Customers)</t>
  </si>
  <si>
    <t>SS-A (MWH)</t>
  </si>
  <si>
    <t>SS-B (MWH)</t>
  </si>
  <si>
    <t>SS-C (MWH)</t>
  </si>
  <si>
    <t>SS-D1 (MWH)</t>
  </si>
  <si>
    <t>SS-D2 (MWH)</t>
  </si>
  <si>
    <t>SS-E (MWH)</t>
  </si>
  <si>
    <t>FIRE PUMP (MWH)</t>
  </si>
  <si>
    <t>CASINO (MWH)</t>
  </si>
  <si>
    <t>BOH     (MWH)</t>
  </si>
  <si>
    <t>PUC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</si>
  <si>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</si>
  <si>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</si>
  <si>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</si>
  <si>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</si>
  <si>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</si>
  <si>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</si>
  <si>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</si>
  <si>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</si>
  <si>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</si>
  <si>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</si>
  <si>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</si>
  <si>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 (m3)</t>
  </si>
  <si>
    <t>WT59 (m3)</t>
  </si>
  <si>
    <t>WT08 (m3)</t>
  </si>
  <si>
    <t>PUC E-resort(m3)</t>
  </si>
  <si>
    <t>PUC HOH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</si>
  <si>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</si>
  <si>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</si>
  <si>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</si>
  <si>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</si>
  <si>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</si>
  <si>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</si>
  <si>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</si>
  <si>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</si>
  <si>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</si>
  <si>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</si>
  <si>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</si>
  <si>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</si>
  <si>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Sum per SS MWH</t>
  </si>
  <si>
    <t>Sum per SS KWH</t>
  </si>
  <si>
    <t>Sum total SS KWH</t>
  </si>
  <si>
    <t>Location</t>
  </si>
  <si>
    <t>BOH</t>
  </si>
  <si>
    <t>E-Resort</t>
  </si>
  <si>
    <t>North RVs</t>
  </si>
  <si>
    <t>Kannel,300,400,500,600,SRV,300,400</t>
  </si>
  <si>
    <t>Zez,SPA,MV,100,200</t>
  </si>
  <si>
    <t>From E-Resort</t>
  </si>
  <si>
    <t>SRV</t>
  </si>
  <si>
    <t>Formula</t>
  </si>
  <si>
    <t>North RVs (m3)</t>
  </si>
  <si>
    <t>PUC  (E- Resort) (m3)</t>
  </si>
  <si>
    <t>Remarks</t>
  </si>
  <si>
    <t>Average reading</t>
  </si>
  <si>
    <t>No meter reading found. Data calculated average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</si>
  <si>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</si>
  <si>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</si>
  <si>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</si>
  <si>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</si>
  <si>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</si>
  <si>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</si>
  <si>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Taken 8AM</t>
  </si>
  <si>
    <t>Running Hours</t>
  </si>
  <si>
    <t>Daily Fuel Burned</t>
  </si>
  <si>
    <t>Daily Energy Consumed</t>
  </si>
  <si>
    <t>Occupancy</t>
  </si>
  <si>
    <t>Total hours per day</t>
  </si>
  <si>
    <t>Total fuel burned (liters)</t>
  </si>
  <si>
    <t>Total consumed energy (KWH)</t>
  </si>
  <si>
    <t xml:space="preserve"> </t>
  </si>
  <si>
    <t>Fuel burned Per Hour</t>
  </si>
  <si>
    <t>Energy Consumed Per Hour</t>
  </si>
  <si>
    <t>Engine Efficiency</t>
  </si>
  <si>
    <t>Load %</t>
  </si>
  <si>
    <t>Total consumed energy (MWH)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</si>
  <si>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</si>
  <si>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</si>
  <si>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</si>
  <si>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</si>
  <si>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</si>
  <si>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</si>
  <si>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</si>
  <si>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</si>
  <si>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</si>
  <si>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</si>
  <si>
    <t>REMARKS</t>
  </si>
  <si>
    <t>SS-E Ethernet gateway faulty</t>
  </si>
  <si>
    <t>EMS system not working</t>
  </si>
  <si>
    <t>Calculated average do not delete</t>
  </si>
  <si>
    <t>Due to system faulty, data calculated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</si>
</sst>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"/>
    <numFmt numFmtId="167" formatCode="#,##0;[Red]#,##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6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2" fontId="12" fillId="0" borderId="10" xfId="0" applyNumberFormat="1" applyFont="1" applyBorder="1"/>
    <xf numFmtId="2" fontId="13" fillId="4" borderId="6" xfId="0" applyNumberFormat="1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4" fontId="12" fillId="0" borderId="8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6" xfId="0" applyFont="1" applyBorder="1"/>
    <xf numFmtId="0" fontId="0" fillId="0" borderId="6" xfId="0" applyBorder="1"/>
    <xf numFmtId="0" fontId="13" fillId="0" borderId="6" xfId="0" applyFont="1" applyBorder="1" applyAlignment="1">
      <alignment horizontal="center" wrapText="1"/>
    </xf>
    <xf numFmtId="3" fontId="12" fillId="0" borderId="6" xfId="0" applyNumberFormat="1" applyFont="1" applyBorder="1"/>
    <xf numFmtId="0" fontId="12" fillId="0" borderId="5" xfId="0" applyFont="1" applyBorder="1"/>
    <xf numFmtId="0" fontId="13" fillId="0" borderId="10" xfId="0" applyFont="1" applyBorder="1" applyAlignment="1">
      <alignment horizontal="center"/>
    </xf>
    <xf numFmtId="14" fontId="12" fillId="0" borderId="10" xfId="0" applyNumberFormat="1" applyFont="1" applyBorder="1"/>
    <xf numFmtId="0" fontId="4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/>
    </xf>
    <xf numFmtId="3" fontId="16" fillId="0" borderId="6" xfId="0" applyNumberFormat="1" applyFont="1" applyBorder="1"/>
    <xf numFmtId="0" fontId="0" fillId="0" borderId="12" xfId="0" applyBorder="1"/>
    <xf numFmtId="0" fontId="4" fillId="0" borderId="6" xfId="0" applyFont="1" applyBorder="1"/>
    <xf numFmtId="0" fontId="13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/>
    <xf numFmtId="0" fontId="12" fillId="0" borderId="24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2" fillId="0" borderId="10" xfId="0" applyFont="1" applyBorder="1"/>
    <xf numFmtId="165" fontId="16" fillId="0" borderId="6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5" xfId="0" applyFont="1" applyBorder="1"/>
    <xf numFmtId="0" fontId="12" fillId="0" borderId="17" xfId="0" applyFont="1" applyBorder="1"/>
    <xf numFmtId="0" fontId="12" fillId="0" borderId="25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wrapText="1"/>
    </xf>
    <xf numFmtId="165" fontId="16" fillId="0" borderId="12" xfId="0" applyNumberFormat="1" applyFont="1" applyBorder="1"/>
    <xf numFmtId="0" fontId="13" fillId="10" borderId="15" xfId="0" applyFont="1" applyFill="1" applyBorder="1" applyAlignment="1">
      <alignment horizontal="center" vertical="center" wrapText="1"/>
    </xf>
    <xf numFmtId="0" fontId="12" fillId="0" borderId="12" xfId="0" applyFont="1" applyBorder="1"/>
    <xf numFmtId="3" fontId="12" fillId="0" borderId="10" xfId="0" applyNumberFormat="1" applyFont="1" applyBorder="1"/>
    <xf numFmtId="14" fontId="0" fillId="0" borderId="0" xfId="0" applyNumberFormat="1"/>
    <xf numFmtId="0" fontId="13" fillId="0" borderId="12" xfId="0" applyFont="1" applyBorder="1" applyAlignment="1">
      <alignment horizontal="center" wrapText="1"/>
    </xf>
    <xf numFmtId="0" fontId="13" fillId="0" borderId="17" xfId="0" applyFont="1" applyBorder="1" applyAlignment="1">
      <alignment horizontal="center" wrapText="1"/>
    </xf>
    <xf numFmtId="3" fontId="13" fillId="0" borderId="6" xfId="0" applyNumberFormat="1" applyFont="1" applyBorder="1"/>
    <xf numFmtId="3" fontId="12" fillId="0" borderId="15" xfId="0" applyNumberFormat="1" applyFont="1" applyBorder="1"/>
    <xf numFmtId="14" fontId="13" fillId="0" borderId="6" xfId="0" applyNumberFormat="1" applyFont="1" applyBorder="1" applyAlignment="1">
      <alignment horizontal="right"/>
    </xf>
    <xf numFmtId="14" fontId="12" fillId="0" borderId="6" xfId="0" applyNumberFormat="1" applyFont="1" applyBorder="1"/>
    <xf numFmtId="3" fontId="16" fillId="0" borderId="8" xfId="0" applyNumberFormat="1" applyFont="1" applyBorder="1"/>
    <xf numFmtId="0" fontId="13" fillId="0" borderId="15" xfId="0" applyFont="1" applyBorder="1" applyAlignment="1">
      <alignment horizontal="center"/>
    </xf>
    <xf numFmtId="3" fontId="16" fillId="0" borderId="14" xfId="0" applyNumberFormat="1" applyFont="1" applyBorder="1"/>
    <xf numFmtId="165" fontId="16" fillId="0" borderId="32" xfId="0" applyNumberFormat="1" applyFont="1" applyBorder="1"/>
    <xf numFmtId="3" fontId="16" fillId="0" borderId="31" xfId="0" applyNumberFormat="1" applyFont="1" applyBorder="1"/>
    <xf numFmtId="0" fontId="13" fillId="9" borderId="10" xfId="0" applyFont="1" applyFill="1" applyBorder="1" applyAlignment="1">
      <alignment vertical="center"/>
    </xf>
    <xf numFmtId="0" fontId="0" fillId="9" borderId="12" xfId="0" applyFill="1" applyBorder="1"/>
    <xf numFmtId="0" fontId="0" fillId="9" borderId="6" xfId="0" applyFill="1" applyBorder="1"/>
    <xf numFmtId="0" fontId="13" fillId="9" borderId="6" xfId="0" applyFont="1" applyFill="1" applyBorder="1" applyAlignment="1">
      <alignment horizontal="center" wrapText="1"/>
    </xf>
    <xf numFmtId="3" fontId="12" fillId="9" borderId="6" xfId="0" applyNumberFormat="1" applyFont="1" applyFill="1" applyBorder="1"/>
    <xf numFmtId="3" fontId="12" fillId="9" borderId="14" xfId="0" applyNumberFormat="1" applyFont="1" applyFill="1" applyBorder="1"/>
    <xf numFmtId="3" fontId="13" fillId="9" borderId="6" xfId="0" applyNumberFormat="1" applyFont="1" applyFill="1" applyBorder="1"/>
    <xf numFmtId="0" fontId="0" fillId="9" borderId="15" xfId="0" applyFill="1" applyBorder="1"/>
    <xf numFmtId="14" fontId="12" fillId="0" borderId="14" xfId="0" applyNumberFormat="1" applyFont="1" applyBorder="1"/>
    <xf numFmtId="0" fontId="4" fillId="0" borderId="12" xfId="0" applyFont="1" applyBorder="1" applyAlignment="1">
      <alignment wrapText="1"/>
    </xf>
    <xf numFmtId="165" fontId="16" fillId="0" borderId="14" xfId="0" applyNumberFormat="1" applyFont="1" applyBorder="1"/>
    <xf numFmtId="165" fontId="16" fillId="0" borderId="10" xfId="0" applyNumberFormat="1" applyFont="1" applyBorder="1"/>
    <xf numFmtId="3" fontId="12" fillId="0" borderId="12" xfId="0" applyNumberFormat="1" applyFont="1" applyBorder="1"/>
    <xf numFmtId="3" fontId="13" fillId="11" borderId="6" xfId="0" applyNumberFormat="1" applyFont="1" applyFill="1" applyBorder="1"/>
    <xf numFmtId="14" fontId="13" fillId="11" borderId="10" xfId="0" applyNumberFormat="1" applyFont="1" applyFill="1" applyBorder="1" applyAlignment="1">
      <alignment horizontal="right"/>
    </xf>
    <xf numFmtId="0" fontId="4" fillId="0" borderId="6" xfId="0" applyFont="1" applyBorder="1" applyAlignment="1">
      <alignment wrapText="1"/>
    </xf>
    <xf numFmtId="3" fontId="12" fillId="0" borderId="17" xfId="0" applyNumberFormat="1" applyFont="1" applyBorder="1"/>
    <xf numFmtId="3" fontId="13" fillId="11" borderId="10" xfId="0" applyNumberFormat="1" applyFont="1" applyFill="1" applyBorder="1"/>
    <xf numFmtId="2" fontId="12" fillId="0" borderId="14" xfId="0" applyNumberFormat="1" applyFont="1" applyBorder="1"/>
    <xf numFmtId="0" fontId="12" fillId="0" borderId="14" xfId="0" applyFont="1" applyBorder="1"/>
    <xf numFmtId="4" fontId="12" fillId="0" borderId="6" xfId="0" applyNumberFormat="1" applyFont="1" applyBorder="1"/>
    <xf numFmtId="2" fontId="12" fillId="0" borderId="15" xfId="0" applyNumberFormat="1" applyFont="1" applyBorder="1"/>
    <xf numFmtId="3" fontId="12" fillId="0" borderId="14" xfId="0" applyNumberFormat="1" applyFont="1" applyBorder="1"/>
    <xf numFmtId="0" fontId="18" fillId="10" borderId="10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7" fillId="13" borderId="6" xfId="0" applyFont="1" applyFill="1" applyBorder="1"/>
    <xf numFmtId="0" fontId="13" fillId="0" borderId="0" xfId="0" applyFont="1" applyAlignment="1">
      <alignment horizontal="right"/>
    </xf>
    <xf numFmtId="0" fontId="13" fillId="9" borderId="6" xfId="0" applyFont="1" applyFill="1" applyBorder="1" applyAlignment="1">
      <alignment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14" fontId="12" fillId="0" borderId="27" xfId="0" applyNumberFormat="1" applyFont="1" applyBorder="1"/>
    <xf numFmtId="2" fontId="12" fillId="0" borderId="17" xfId="0" applyNumberFormat="1" applyFont="1" applyBorder="1"/>
    <xf numFmtId="0" fontId="4" fillId="0" borderId="17" xfId="0" applyFont="1" applyBorder="1" applyAlignment="1">
      <alignment wrapText="1"/>
    </xf>
    <xf numFmtId="0" fontId="0" fillId="9" borderId="10" xfId="0" applyFill="1" applyBorder="1"/>
    <xf numFmtId="0" fontId="0" fillId="9" borderId="13" xfId="0" applyFill="1" applyBorder="1"/>
    <xf numFmtId="0" fontId="0" fillId="9" borderId="8" xfId="0" applyFill="1" applyBorder="1"/>
    <xf numFmtId="0" fontId="12" fillId="0" borderId="8" xfId="0" applyFont="1" applyBorder="1"/>
    <xf numFmtId="0" fontId="4" fillId="11" borderId="6" xfId="0" applyFont="1" applyFill="1" applyBorder="1" applyAlignment="1">
      <alignment wrapText="1"/>
    </xf>
    <xf numFmtId="3" fontId="12" fillId="11" borderId="17" xfId="0" applyNumberFormat="1" applyFont="1" applyFill="1" applyBorder="1"/>
    <xf numFmtId="3" fontId="12" fillId="11" borderId="10" xfId="0" applyNumberFormat="1" applyFont="1" applyFill="1" applyBorder="1"/>
    <xf numFmtId="15" fontId="12" fillId="0" borderId="0" xfId="0" applyNumberFormat="1" applyFont="1"/>
    <xf numFmtId="0" fontId="12" fillId="9" borderId="6" xfId="0" applyFont="1" applyFill="1" applyBorder="1"/>
    <xf numFmtId="0" fontId="0" fillId="9" borderId="14" xfId="0" applyFill="1" applyBorder="1"/>
    <xf numFmtId="0" fontId="13" fillId="0" borderId="17" xfId="0" applyFont="1" applyBorder="1" applyAlignment="1">
      <alignment horizontal="center"/>
    </xf>
    <xf numFmtId="0" fontId="13" fillId="9" borderId="12" xfId="0" applyFont="1" applyFill="1" applyBorder="1" applyAlignment="1">
      <alignment horizontal="center" wrapText="1"/>
    </xf>
    <xf numFmtId="0" fontId="12" fillId="0" borderId="34" xfId="0" applyFont="1" applyBorder="1"/>
    <xf numFmtId="0" fontId="12" fillId="0" borderId="13" xfId="0" applyFont="1" applyBorder="1"/>
    <xf numFmtId="0" fontId="12" fillId="0" borderId="16" xfId="0" applyFont="1" applyBorder="1"/>
    <xf numFmtId="0" fontId="19" fillId="0" borderId="33" xfId="0" applyFont="1" applyBorder="1"/>
    <xf numFmtId="0" fontId="20" fillId="0" borderId="33" xfId="0" applyFont="1" applyBorder="1"/>
    <xf numFmtId="0" fontId="20" fillId="0" borderId="5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0" fillId="9" borderId="17" xfId="0" applyFill="1" applyBorder="1"/>
    <xf numFmtId="0" fontId="13" fillId="14" borderId="6" xfId="0" applyFont="1" applyFill="1" applyBorder="1" applyAlignment="1">
      <alignment vertical="center" wrapText="1"/>
    </xf>
    <xf numFmtId="0" fontId="13" fillId="14" borderId="6" xfId="0" applyFont="1" applyFill="1" applyBorder="1" applyAlignment="1">
      <alignment horizontal="center" vertical="center" wrapText="1"/>
    </xf>
    <xf numFmtId="0" fontId="0" fillId="14" borderId="6" xfId="0" applyFill="1" applyBorder="1"/>
    <xf numFmtId="0" fontId="0" fillId="14" borderId="10" xfId="0" applyFill="1" applyBorder="1"/>
    <xf numFmtId="0" fontId="19" fillId="0" borderId="2" xfId="0" applyFont="1" applyBorder="1" applyAlignment="1">
      <alignment wrapText="1"/>
    </xf>
    <xf numFmtId="0" fontId="19" fillId="0" borderId="4" xfId="0" applyFont="1" applyBorder="1"/>
    <xf numFmtId="0" fontId="19" fillId="0" borderId="5" xfId="0" applyFont="1" applyBorder="1" applyAlignment="1">
      <alignment wrapText="1"/>
    </xf>
    <xf numFmtId="0" fontId="13" fillId="3" borderId="6" xfId="0" applyFont="1" applyFill="1" applyBorder="1" applyAlignment="1">
      <alignment horizontal="center"/>
    </xf>
    <xf numFmtId="0" fontId="13" fillId="11" borderId="14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14" fontId="12" fillId="0" borderId="17" xfId="0" applyNumberFormat="1" applyFont="1" applyBorder="1"/>
    <xf numFmtId="3" fontId="13" fillId="3" borderId="6" xfId="0" applyNumberFormat="1" applyFont="1" applyFill="1" applyBorder="1" applyAlignment="1">
      <alignment horizontal="right" wrapText="1"/>
    </xf>
    <xf numFmtId="0" fontId="4" fillId="3" borderId="6" xfId="0" applyFont="1" applyFill="1" applyBorder="1" applyAlignment="1">
      <alignment horizontal="right" wrapText="1"/>
    </xf>
    <xf numFmtId="0" fontId="12" fillId="0" borderId="6" xfId="0" applyFont="1" applyBorder="1" applyAlignment="1">
      <alignment horizontal="center"/>
    </xf>
    <xf numFmtId="3" fontId="12" fillId="0" borderId="0" xfId="0" applyNumberFormat="1" applyFont="1"/>
    <xf numFmtId="3" fontId="12" fillId="15" borderId="6" xfId="0" applyNumberFormat="1" applyFont="1" applyFill="1" applyBorder="1"/>
    <xf numFmtId="2" fontId="19" fillId="0" borderId="33" xfId="0" applyNumberFormat="1" applyFont="1" applyBorder="1"/>
    <xf numFmtId="167" fontId="4" fillId="3" borderId="10" xfId="0" applyNumberFormat="1" applyFont="1" applyFill="1" applyBorder="1" applyAlignment="1">
      <alignment vertical="center" wrapText="1"/>
    </xf>
    <xf numFmtId="167" fontId="12" fillId="0" borderId="17" xfId="0" applyNumberFormat="1" applyFont="1" applyBorder="1"/>
    <xf numFmtId="167" fontId="12" fillId="0" borderId="6" xfId="0" applyNumberFormat="1" applyFont="1" applyBorder="1"/>
    <xf numFmtId="2" fontId="13" fillId="4" borderId="10" xfId="0" applyNumberFormat="1" applyFont="1" applyFill="1" applyBorder="1" applyAlignment="1">
      <alignment horizontal="center" vertical="center" wrapText="1"/>
    </xf>
    <xf numFmtId="1" fontId="12" fillId="15" borderId="5" xfId="0" applyNumberFormat="1" applyFont="1" applyFill="1" applyBorder="1"/>
    <xf numFmtId="1" fontId="12" fillId="0" borderId="2" xfId="0" applyNumberFormat="1" applyFont="1" applyBorder="1"/>
    <xf numFmtId="1" fontId="12" fillId="0" borderId="6" xfId="0" applyNumberFormat="1" applyFont="1" applyBorder="1"/>
    <xf numFmtId="1" fontId="12" fillId="0" borderId="10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5" xfId="0" applyFont="1" applyBorder="1" applyAlignment="1">
      <alignment horizontal="center"/>
    </xf>
    <xf numFmtId="0" fontId="4" fillId="7" borderId="18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13" fillId="7" borderId="20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7" xfId="0" applyFont="1" applyFill="1" applyBorder="1" applyAlignment="1">
      <alignment horizontal="center"/>
    </xf>
    <xf numFmtId="0" fontId="13" fillId="7" borderId="21" xfId="0" applyFont="1" applyFill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0" fillId="14" borderId="10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4" fontId="12" fillId="0" borderId="6" xfId="0" applyNumberFormat="1" applyFont="1" applyBorder="1" applyAlignment="1">
      <alignment horizontal="right"/>
    </xf>
    <xf numFmtId="0" fontId="13" fillId="9" borderId="10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wrapText="1"/>
    </xf>
    <xf numFmtId="0" fontId="17" fillId="13" borderId="10" xfId="0" applyFont="1" applyFill="1" applyBorder="1"/>
    <xf numFmtId="0" fontId="19" fillId="0" borderId="29" xfId="0" applyFont="1" applyBorder="1"/>
    <xf numFmtId="0" fontId="19" fillId="0" borderId="1" xfId="0" applyFont="1" applyBorder="1"/>
    <xf numFmtId="0" fontId="6" fillId="3" borderId="6" xfId="0" applyFont="1" applyFill="1" applyBorder="1" applyAlignment="1">
      <alignment wrapText="1"/>
    </xf>
    <xf numFmtId="0" fontId="17" fillId="13" borderId="14" xfId="0" applyFont="1" applyFill="1" applyBorder="1"/>
    <xf numFmtId="0" fontId="19" fillId="0" borderId="11" xfId="0" applyFont="1" applyBorder="1"/>
    <xf numFmtId="0" fontId="19" fillId="0" borderId="35" xfId="0" applyFont="1" applyBorder="1"/>
    <xf numFmtId="2" fontId="19" fillId="16" borderId="33" xfId="0" applyNumberFormat="1" applyFont="1" applyFill="1" applyBorder="1"/>
    <xf numFmtId="2" fontId="20" fillId="16" borderId="5" xfId="0" applyNumberFormat="1" applyFont="1" applyFill="1" applyBorder="1" applyAlignment="1">
      <alignment wrapText="1"/>
    </xf>
    <xf numFmtId="2" fontId="20" fillId="16" borderId="33" xfId="0" applyNumberFormat="1" applyFont="1" applyFill="1" applyBorder="1"/>
    <xf numFmtId="2" fontId="14" fillId="0" borderId="2" xfId="0" applyNumberFormat="1" applyFont="1" applyBorder="1" applyAlignment="1">
      <alignment wrapText="1"/>
    </xf>
    <xf numFmtId="2" fontId="14" fillId="0" borderId="3" xfId="0" applyNumberFormat="1" applyFont="1" applyBorder="1" applyAlignment="1">
      <alignment wrapText="1"/>
    </xf>
    <xf numFmtId="2" fontId="14" fillId="0" borderId="6" xfId="0" applyNumberFormat="1" applyFont="1" applyBorder="1" applyAlignment="1">
      <alignment wrapText="1"/>
    </xf>
    <xf numFmtId="0" fontId="12" fillId="0" borderId="0" xfId="0" applyFont="1" applyAlignment="1">
      <alignment horizontal="right"/>
    </xf>
    <xf numFmtId="1" fontId="12" fillId="0" borderId="17" xfId="0" applyNumberFormat="1" applyFont="1" applyBorder="1"/>
    <xf numFmtId="1" fontId="12" fillId="0" borderId="15" xfId="0" applyNumberFormat="1" applyFont="1" applyBorder="1"/>
    <xf numFmtId="1" fontId="12" fillId="0" borderId="14" xfId="0" applyNumberFormat="1" applyFont="1" applyBorder="1"/>
    <xf numFmtId="3" fontId="0" fillId="0" borderId="6" xfId="0" applyNumberFormat="1" applyBorder="1"/>
    <xf numFmtId="0" fontId="4" fillId="2" borderId="15" xfId="0" applyFont="1" applyFill="1" applyBorder="1" applyAlignment="1">
      <alignment horizontal="center" vertical="center" wrapText="1"/>
    </xf>
    <xf numFmtId="37" fontId="12" fillId="0" borderId="17" xfId="0" applyNumberFormat="1" applyFont="1" applyBorder="1"/>
    <xf numFmtId="167" fontId="12" fillId="0" borderId="10" xfId="0" applyNumberFormat="1" applyFont="1" applyBorder="1"/>
    <xf numFmtId="0" fontId="4" fillId="2" borderId="12" xfId="0" applyFont="1" applyFill="1" applyBorder="1" applyAlignment="1">
      <alignment horizontal="center" vertical="center" wrapText="1"/>
    </xf>
    <xf numFmtId="166" fontId="12" fillId="0" borderId="6" xfId="0" applyNumberFormat="1" applyFont="1" applyBorder="1" applyAlignment="1"/>
    <xf numFmtId="166" fontId="12" fillId="0" borderId="14" xfId="0" applyNumberFormat="1" applyFont="1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nny Bristol" id="{FFC7FB33-63C5-43CA-B18A-9E3A98344D02}" userId="S::kenny.bristol@fourseasons.com::4b56cd2b-1e87-4977-917c-8d683318d3f5" providerId="AD"/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2-10-04T10:23:28.40" personId="{906BCDB9-8CBC-4ACF-8C89-1BA6B6D4221B}" id="{C92BD015-2C58-442E-BC39-7B2FB6842191}">
    <text>SRV1 to minus SRV3</text>
  </threadedComment>
  <threadedComment ref="B31" dT="2022-12-29T09:15:19.63" personId="{FFC7FB33-63C5-43CA-B18A-9E3A98344D02}" id="{E6C983F8-3A75-4C10-A3C8-E5E749166015}">
    <text>calculated average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G30" sqref="G30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12</v>
      </c>
      <c r="D2" s="1">
        <v>2022</v>
      </c>
      <c r="E2" s="12">
        <f>SUM('FS Seychelles'!D3:M3)*1000</f>
        <v>27930</v>
      </c>
      <c r="F2" s="11">
        <f>(('FS Seychelles'!S3*'FS Seychelles'!T3)+('FS Seychelles'!U3*'FS Seychelles'!V3))/TOTAL!E2</f>
        <v>0.53069138624385814</v>
      </c>
      <c r="G2" s="12">
        <f>('FS Seychelles'!$AF$10+'FS Seychelles'!$AF$15)/30</f>
        <v>168.7</v>
      </c>
      <c r="H2" s="11">
        <v>1.05</v>
      </c>
      <c r="I2" s="12">
        <f>SUM('FS Seychelles'!W3:AC3)</f>
        <v>621</v>
      </c>
      <c r="J2" s="11">
        <v>5.36</v>
      </c>
      <c r="K2" s="28">
        <f>'FS Seychelles'!AG3</f>
        <v>103</v>
      </c>
      <c r="L2" s="11">
        <v>0</v>
      </c>
      <c r="M2" s="40">
        <f>'FS Seychelles'!B3</f>
        <v>55.8</v>
      </c>
    </row>
    <row r="3" spans="1:13" s="15" customFormat="1">
      <c r="A3" s="1" t="s">
        <v>13</v>
      </c>
      <c r="B3" s="14">
        <f>B2+1</f>
        <v>2</v>
      </c>
      <c r="C3" s="11">
        <f>C2</f>
        <v>12</v>
      </c>
      <c r="D3" s="1">
        <v>2022</v>
      </c>
      <c r="E3" s="12">
        <f>SUM('FS Seychelles'!D4:M4)*1000</f>
        <v>24660</v>
      </c>
      <c r="F3" s="11">
        <f>(('FS Seychelles'!S4*'FS Seychelles'!T4)+('FS Seychelles'!U4*'FS Seychelles'!V4))/TOTAL!E3</f>
        <v>0.54365998344272315</v>
      </c>
      <c r="G3" s="12">
        <f>('FS Seychelles'!$AF$10+'FS Seychelles'!$AF$15)/30</f>
        <v>168.7</v>
      </c>
      <c r="H3" s="11">
        <f>H2</f>
        <v>1.05</v>
      </c>
      <c r="I3" s="12">
        <f>SUM('FS Seychelles'!W4:AC4)</f>
        <v>479</v>
      </c>
      <c r="J3" s="11">
        <f>J2</f>
        <v>5.36</v>
      </c>
      <c r="K3" s="28">
        <f>'FS Seychelles'!AG4</f>
        <v>136</v>
      </c>
      <c r="L3" s="11">
        <f>L2</f>
        <v>0</v>
      </c>
      <c r="M3" s="40">
        <f>'FS Seychelles'!B4</f>
        <v>59.7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C32" si="1">C3</f>
        <v>12</v>
      </c>
      <c r="D4" s="1">
        <v>2022</v>
      </c>
      <c r="E4" s="12">
        <f>SUM('FS Seychelles'!D5:M5)*1000</f>
        <v>26540.000000000004</v>
      </c>
      <c r="F4" s="11">
        <f>(('FS Seychelles'!S5*'FS Seychelles'!T5)+('FS Seychelles'!U5*'FS Seychelles'!V5))/TOTAL!E4</f>
        <v>0.49908955567857621</v>
      </c>
      <c r="G4" s="12">
        <f>('FS Seychelles'!$AF$10+'FS Seychelles'!$AF$15)/30</f>
        <v>168.7</v>
      </c>
      <c r="H4" s="11">
        <f t="shared" ref="H4:H32" si="2">H3</f>
        <v>1.05</v>
      </c>
      <c r="I4" s="12">
        <f>SUM('FS Seychelles'!W5:AC5)</f>
        <v>469</v>
      </c>
      <c r="J4" s="11">
        <f t="shared" ref="J4:L32" si="3">J3</f>
        <v>5.36</v>
      </c>
      <c r="K4" s="28">
        <f>'FS Seychelles'!AG5</f>
        <v>109</v>
      </c>
      <c r="L4" s="11">
        <f t="shared" si="3"/>
        <v>0</v>
      </c>
      <c r="M4" s="40">
        <f>'FS Seychelles'!B5</f>
        <v>57.1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12</v>
      </c>
      <c r="D5" s="1">
        <v>2022</v>
      </c>
      <c r="E5" s="12">
        <f>SUM('FS Seychelles'!D6:M6)*1000</f>
        <v>26320</v>
      </c>
      <c r="F5" s="11">
        <f>(('FS Seychelles'!S6*'FS Seychelles'!T6)+('FS Seychelles'!U6*'FS Seychelles'!V6))/TOTAL!E5</f>
        <v>0.55610375167015536</v>
      </c>
      <c r="G5" s="12">
        <f>('FS Seychelles'!$AF$10+'FS Seychelles'!$AF$15)/30</f>
        <v>168.7</v>
      </c>
      <c r="H5" s="11">
        <f t="shared" si="2"/>
        <v>1.05</v>
      </c>
      <c r="I5" s="12">
        <f>SUM('FS Seychelles'!W6:AC6)</f>
        <v>538</v>
      </c>
      <c r="J5" s="11">
        <f t="shared" si="3"/>
        <v>5.36</v>
      </c>
      <c r="K5" s="28">
        <f>'FS Seychelles'!AG6</f>
        <v>97</v>
      </c>
      <c r="L5" s="11">
        <f t="shared" si="3"/>
        <v>0</v>
      </c>
      <c r="M5" s="40">
        <f>'FS Seychelles'!B6</f>
        <v>40.299999999999997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12</v>
      </c>
      <c r="D6" s="1">
        <v>2022</v>
      </c>
      <c r="E6" s="12">
        <f>SUM('FS Seychelles'!D7:M7)*1000</f>
        <v>26770</v>
      </c>
      <c r="F6" s="11">
        <f>(('FS Seychelles'!S7*'FS Seychelles'!T7)+('FS Seychelles'!U7*'FS Seychelles'!V7))/TOTAL!E6</f>
        <v>0.50153510558742032</v>
      </c>
      <c r="G6" s="12">
        <f>('FS Seychelles'!$AF$10+'FS Seychelles'!$AF$15)/30</f>
        <v>168.7</v>
      </c>
      <c r="H6" s="11">
        <f t="shared" si="2"/>
        <v>1.05</v>
      </c>
      <c r="I6" s="12">
        <f>SUM('FS Seychelles'!W7:AC7)</f>
        <v>556</v>
      </c>
      <c r="J6" s="11">
        <f t="shared" si="3"/>
        <v>5.36</v>
      </c>
      <c r="K6" s="28">
        <f>'FS Seychelles'!AG7</f>
        <v>58</v>
      </c>
      <c r="L6" s="11">
        <f t="shared" si="3"/>
        <v>0</v>
      </c>
      <c r="M6" s="40">
        <f>'FS Seychelles'!B7</f>
        <v>39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12</v>
      </c>
      <c r="D7" s="1">
        <v>2022</v>
      </c>
      <c r="E7" s="12">
        <f>SUM('FS Seychelles'!D8:M8)*1000</f>
        <v>26479.999999999996</v>
      </c>
      <c r="F7" s="11">
        <f>(('FS Seychelles'!S8*'FS Seychelles'!T8)+('FS Seychelles'!U8*'FS Seychelles'!V8))/TOTAL!E7</f>
        <v>0.56308807278077755</v>
      </c>
      <c r="G7" s="12">
        <f>('FS Seychelles'!$AF$10+'FS Seychelles'!$AF$15)/30</f>
        <v>168.7</v>
      </c>
      <c r="H7" s="11">
        <f t="shared" si="2"/>
        <v>1.05</v>
      </c>
      <c r="I7" s="12">
        <f>SUM('FS Seychelles'!W8:AC8)</f>
        <v>533</v>
      </c>
      <c r="J7" s="11">
        <f t="shared" si="3"/>
        <v>5.36</v>
      </c>
      <c r="K7" s="28">
        <f>'FS Seychelles'!AG8</f>
        <v>110</v>
      </c>
      <c r="L7" s="11">
        <f t="shared" si="3"/>
        <v>0</v>
      </c>
      <c r="M7" s="40">
        <f>'FS Seychelles'!B8</f>
        <v>48.1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12</v>
      </c>
      <c r="D8" s="1">
        <v>2022</v>
      </c>
      <c r="E8" s="12">
        <f>SUM('FS Seychelles'!D9:M9)*1000</f>
        <v>26910</v>
      </c>
      <c r="F8" s="11">
        <f>(('FS Seychelles'!S9*'FS Seychelles'!T9)+('FS Seychelles'!U9*'FS Seychelles'!V9))/TOTAL!E8</f>
        <v>0.53786938405728235</v>
      </c>
      <c r="G8" s="12">
        <f>('FS Seychelles'!$AF$10+'FS Seychelles'!$AF$15)/30</f>
        <v>168.7</v>
      </c>
      <c r="H8" s="11">
        <f t="shared" si="2"/>
        <v>1.05</v>
      </c>
      <c r="I8" s="12">
        <f>SUM('FS Seychelles'!W9:AC9)</f>
        <v>519</v>
      </c>
      <c r="J8" s="11">
        <f t="shared" si="3"/>
        <v>5.36</v>
      </c>
      <c r="K8" s="28">
        <f>'FS Seychelles'!AG9</f>
        <v>121</v>
      </c>
      <c r="L8" s="11">
        <f t="shared" si="3"/>
        <v>0</v>
      </c>
      <c r="M8" s="40">
        <f>'FS Seychelles'!B9</f>
        <v>48.1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12</v>
      </c>
      <c r="D9" s="1">
        <v>2022</v>
      </c>
      <c r="E9" s="12">
        <f>SUM('FS Seychelles'!D10:M10)*1000</f>
        <v>26540</v>
      </c>
      <c r="F9" s="11">
        <f>(('FS Seychelles'!S10*'FS Seychelles'!T10)+('FS Seychelles'!U10*'FS Seychelles'!V10))/TOTAL!E9</f>
        <v>0.63119936042383673</v>
      </c>
      <c r="G9" s="12">
        <f>('FS Seychelles'!$AF$10+'FS Seychelles'!$AF$15)/30</f>
        <v>168.7</v>
      </c>
      <c r="H9" s="11">
        <f t="shared" si="2"/>
        <v>1.05</v>
      </c>
      <c r="I9" s="12">
        <f>SUM('FS Seychelles'!W10:AC10)</f>
        <v>608</v>
      </c>
      <c r="J9" s="11">
        <f t="shared" si="3"/>
        <v>5.36</v>
      </c>
      <c r="K9" s="28">
        <f>'FS Seychelles'!AG10</f>
        <v>113</v>
      </c>
      <c r="L9" s="11">
        <f t="shared" si="3"/>
        <v>0</v>
      </c>
      <c r="M9" s="40">
        <f>'FS Seychelles'!B10</f>
        <v>49.4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12</v>
      </c>
      <c r="D10" s="1">
        <v>2022</v>
      </c>
      <c r="E10" s="12">
        <f>SUM('FS Seychelles'!D11:M11)*1000</f>
        <v>26860.000000000004</v>
      </c>
      <c r="F10" s="11">
        <f>(('FS Seychelles'!S11*'FS Seychelles'!T11)+('FS Seychelles'!U11*'FS Seychelles'!V11))/TOTAL!E10</f>
        <v>0.39978147276573972</v>
      </c>
      <c r="G10" s="12">
        <f>('FS Seychelles'!$AF$10+'FS Seychelles'!$AF$15)/30</f>
        <v>168.7</v>
      </c>
      <c r="H10" s="11">
        <f t="shared" si="2"/>
        <v>1.05</v>
      </c>
      <c r="I10" s="12">
        <f>SUM('FS Seychelles'!W11:AC11)</f>
        <v>509</v>
      </c>
      <c r="J10" s="11">
        <f t="shared" si="3"/>
        <v>5.36</v>
      </c>
      <c r="K10" s="28">
        <f>'FS Seychelles'!AG11</f>
        <v>138</v>
      </c>
      <c r="L10" s="11">
        <f t="shared" si="3"/>
        <v>0</v>
      </c>
      <c r="M10" s="40">
        <f>'FS Seychelles'!B11</f>
        <v>49.4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12</v>
      </c>
      <c r="D11" s="1">
        <v>2022</v>
      </c>
      <c r="E11" s="12">
        <f>SUM('FS Seychelles'!D12:M12)*1000</f>
        <v>27770</v>
      </c>
      <c r="F11" s="11">
        <f>(('FS Seychelles'!S12*'FS Seychelles'!T12)+('FS Seychelles'!U12*'FS Seychelles'!V12))/TOTAL!E11</f>
        <v>0.52242141122687069</v>
      </c>
      <c r="G11" s="12">
        <f>('FS Seychelles'!$AF$10+'FS Seychelles'!$AF$15)/30</f>
        <v>168.7</v>
      </c>
      <c r="H11" s="11">
        <f t="shared" si="2"/>
        <v>1.05</v>
      </c>
      <c r="I11" s="12">
        <f>SUM('FS Seychelles'!W12:AC12)</f>
        <v>539</v>
      </c>
      <c r="J11" s="11">
        <f t="shared" si="3"/>
        <v>5.36</v>
      </c>
      <c r="K11" s="28">
        <f>'FS Seychelles'!AG12</f>
        <v>111</v>
      </c>
      <c r="L11" s="11">
        <f t="shared" si="3"/>
        <v>0</v>
      </c>
      <c r="M11" s="40">
        <f>'FS Seychelles'!B12</f>
        <v>53.2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12</v>
      </c>
      <c r="D12" s="1">
        <v>2022</v>
      </c>
      <c r="E12" s="12">
        <f>SUM('FS Seychelles'!D13:M13)*1000</f>
        <v>27649.999999999996</v>
      </c>
      <c r="F12" s="11">
        <f>(('FS Seychelles'!S13*'FS Seychelles'!T13)+('FS Seychelles'!U13*'FS Seychelles'!V13))/TOTAL!E12</f>
        <v>0.51497370240362905</v>
      </c>
      <c r="G12" s="12">
        <f>('FS Seychelles'!$AF$10+'FS Seychelles'!$AF$15)/30</f>
        <v>168.7</v>
      </c>
      <c r="H12" s="11">
        <f t="shared" si="2"/>
        <v>1.05</v>
      </c>
      <c r="I12" s="12">
        <f>SUM('FS Seychelles'!W13:AC13)</f>
        <v>561</v>
      </c>
      <c r="J12" s="11">
        <f t="shared" si="3"/>
        <v>5.36</v>
      </c>
      <c r="K12" s="28">
        <f>'FS Seychelles'!AG13</f>
        <v>73</v>
      </c>
      <c r="L12" s="11">
        <f t="shared" si="3"/>
        <v>0</v>
      </c>
      <c r="M12" s="40">
        <f>'FS Seychelles'!B13</f>
        <v>49.4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12</v>
      </c>
      <c r="D13" s="1">
        <v>2022</v>
      </c>
      <c r="E13" s="12">
        <f>SUM('FS Seychelles'!D14:M14)*1000</f>
        <v>29349.999999999993</v>
      </c>
      <c r="F13" s="11">
        <f>(('FS Seychelles'!S14*'FS Seychelles'!T14)+('FS Seychelles'!U14*'FS Seychelles'!V14))/TOTAL!E13</f>
        <v>0.51784093595988212</v>
      </c>
      <c r="G13" s="12">
        <f>('FS Seychelles'!$AF$10+'FS Seychelles'!$AF$15)/30</f>
        <v>168.7</v>
      </c>
      <c r="H13" s="11">
        <f t="shared" si="2"/>
        <v>1.05</v>
      </c>
      <c r="I13" s="12">
        <f>SUM('FS Seychelles'!W14:AC14)</f>
        <v>605</v>
      </c>
      <c r="J13" s="11">
        <f t="shared" si="3"/>
        <v>5.36</v>
      </c>
      <c r="K13" s="28">
        <f>'FS Seychelles'!AG14</f>
        <v>113</v>
      </c>
      <c r="L13" s="11">
        <f t="shared" si="3"/>
        <v>0</v>
      </c>
      <c r="M13" s="40">
        <f>'FS Seychelles'!B14</f>
        <v>51.9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12</v>
      </c>
      <c r="D14" s="1">
        <v>2022</v>
      </c>
      <c r="E14" s="12">
        <f>SUM('FS Seychelles'!D15:M15)*1000</f>
        <v>27040.000000000004</v>
      </c>
      <c r="F14" s="11">
        <f>(('FS Seychelles'!S15*'FS Seychelles'!T15)+('FS Seychelles'!U15*'FS Seychelles'!V15))/TOTAL!E14</f>
        <v>0.50842202457660934</v>
      </c>
      <c r="G14" s="12">
        <f>('FS Seychelles'!$AF$10+'FS Seychelles'!$AF$15)/30</f>
        <v>168.7</v>
      </c>
      <c r="H14" s="11">
        <f t="shared" si="2"/>
        <v>1.05</v>
      </c>
      <c r="I14" s="12">
        <f>SUM('FS Seychelles'!W15:AC15)</f>
        <v>570</v>
      </c>
      <c r="J14" s="11">
        <f t="shared" si="3"/>
        <v>5.36</v>
      </c>
      <c r="K14" s="28">
        <f>'FS Seychelles'!AG15</f>
        <v>96</v>
      </c>
      <c r="L14" s="11">
        <f t="shared" si="3"/>
        <v>0</v>
      </c>
      <c r="M14" s="40">
        <f>'FS Seychelles'!B15</f>
        <v>51.9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12</v>
      </c>
      <c r="D15" s="1">
        <v>2022</v>
      </c>
      <c r="E15" s="12">
        <f>SUM('FS Seychelles'!D16:M16)*1000</f>
        <v>28300</v>
      </c>
      <c r="F15" s="11">
        <f>(('FS Seychelles'!S16*'FS Seychelles'!T16)+('FS Seychelles'!U16*'FS Seychelles'!V16))/TOTAL!E15</f>
        <v>0.55703698469485319</v>
      </c>
      <c r="G15" s="12">
        <f>('FS Seychelles'!$AF$10+'FS Seychelles'!$AF$15)/30</f>
        <v>168.7</v>
      </c>
      <c r="H15" s="11">
        <f t="shared" si="2"/>
        <v>1.05</v>
      </c>
      <c r="I15" s="12">
        <f>SUM('FS Seychelles'!W16:AC16)</f>
        <v>565</v>
      </c>
      <c r="J15" s="11">
        <f t="shared" si="3"/>
        <v>5.36</v>
      </c>
      <c r="K15" s="28">
        <f>'FS Seychelles'!AG16</f>
        <v>107</v>
      </c>
      <c r="L15" s="11">
        <f t="shared" si="3"/>
        <v>0</v>
      </c>
      <c r="M15" s="40">
        <f>'FS Seychelles'!B16</f>
        <v>57.1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12</v>
      </c>
      <c r="D16" s="1">
        <v>2022</v>
      </c>
      <c r="E16" s="12">
        <f>SUM('FS Seychelles'!D17:M17)*1000</f>
        <v>28070</v>
      </c>
      <c r="F16" s="11">
        <f>(('FS Seychelles'!S17*'FS Seychelles'!T17)+('FS Seychelles'!U17*'FS Seychelles'!V17))/TOTAL!E16</f>
        <v>0.47446716930008986</v>
      </c>
      <c r="G16" s="12">
        <f>('FS Seychelles'!$AF$10+'FS Seychelles'!$AF$15)/30</f>
        <v>168.7</v>
      </c>
      <c r="H16" s="11">
        <f t="shared" si="2"/>
        <v>1.05</v>
      </c>
      <c r="I16" s="12">
        <f>SUM('FS Seychelles'!W17:AC17)</f>
        <v>643</v>
      </c>
      <c r="J16" s="11">
        <f t="shared" si="3"/>
        <v>5.36</v>
      </c>
      <c r="K16" s="28">
        <f>'FS Seychelles'!AG17</f>
        <v>164</v>
      </c>
      <c r="L16" s="11">
        <f t="shared" si="3"/>
        <v>0</v>
      </c>
      <c r="M16" s="40">
        <f>'FS Seychelles'!B17</f>
        <v>61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12</v>
      </c>
      <c r="D17" s="1">
        <v>2022</v>
      </c>
      <c r="E17" s="12">
        <f>SUM('FS Seychelles'!D18:M18)*1000</f>
        <v>23939.999999999996</v>
      </c>
      <c r="F17" s="11">
        <f>(('FS Seychelles'!S18*'FS Seychelles'!T18)+('FS Seychelles'!U18*'FS Seychelles'!V18))/TOTAL!E17</f>
        <v>0.53963652192007083</v>
      </c>
      <c r="G17" s="12">
        <f>('FS Seychelles'!$AF$10+'FS Seychelles'!$AF$15)/30</f>
        <v>168.7</v>
      </c>
      <c r="H17" s="11">
        <f t="shared" si="2"/>
        <v>1.05</v>
      </c>
      <c r="I17" s="12">
        <f>SUM('FS Seychelles'!W18:AC18)</f>
        <v>561.73333333333335</v>
      </c>
      <c r="J17" s="11">
        <f t="shared" si="3"/>
        <v>5.36</v>
      </c>
      <c r="K17" s="28">
        <f>'FS Seychelles'!AG18</f>
        <v>181</v>
      </c>
      <c r="L17" s="11">
        <f t="shared" si="3"/>
        <v>0</v>
      </c>
      <c r="M17" s="40">
        <f>'FS Seychelles'!B18</f>
        <v>61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12</v>
      </c>
      <c r="D18" s="1">
        <v>2022</v>
      </c>
      <c r="E18" s="12">
        <f>SUM('FS Seychelles'!D19:M19)*1000</f>
        <v>24650</v>
      </c>
      <c r="F18" s="11">
        <f>(('FS Seychelles'!S19*'FS Seychelles'!T19)+('FS Seychelles'!U19*'FS Seychelles'!V19))/TOTAL!E18</f>
        <v>0.53018715248768156</v>
      </c>
      <c r="G18" s="12">
        <f>('FS Seychelles'!$AF$10+'FS Seychelles'!$AF$15)/30</f>
        <v>168.7</v>
      </c>
      <c r="H18" s="11">
        <f t="shared" si="2"/>
        <v>1.05</v>
      </c>
      <c r="I18" s="12">
        <f>SUM('FS Seychelles'!W19:AC19)</f>
        <v>550.17083333333335</v>
      </c>
      <c r="J18" s="11">
        <f t="shared" si="3"/>
        <v>5.36</v>
      </c>
      <c r="K18" s="28">
        <f>'FS Seychelles'!AG19</f>
        <v>266</v>
      </c>
      <c r="L18" s="11">
        <f t="shared" si="3"/>
        <v>0</v>
      </c>
      <c r="M18" s="40">
        <f>'FS Seychelles'!B19</f>
        <v>50.6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12</v>
      </c>
      <c r="D19" s="1">
        <v>2022</v>
      </c>
      <c r="E19" s="12">
        <f>SUM('FS Seychelles'!D20:M20)*1000</f>
        <v>24340</v>
      </c>
      <c r="F19" s="11">
        <f>(('FS Seychelles'!S20*'FS Seychelles'!T20)+('FS Seychelles'!U20*'FS Seychelles'!V20))/TOTAL!E19</f>
        <v>0.55966548316930953</v>
      </c>
      <c r="G19" s="12">
        <f>('FS Seychelles'!$AF$10+'FS Seychelles'!$AF$15)/30</f>
        <v>168.7</v>
      </c>
      <c r="H19" s="11">
        <f t="shared" si="2"/>
        <v>1.05</v>
      </c>
      <c r="I19" s="12">
        <f>SUM('FS Seychelles'!W20:AC20)</f>
        <v>546</v>
      </c>
      <c r="J19" s="11">
        <f t="shared" si="3"/>
        <v>5.36</v>
      </c>
      <c r="K19" s="28">
        <f>'FS Seychelles'!AG20</f>
        <v>187</v>
      </c>
      <c r="L19" s="11">
        <f t="shared" si="3"/>
        <v>0</v>
      </c>
      <c r="M19" s="40">
        <f>'FS Seychelles'!B20</f>
        <v>67.5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12</v>
      </c>
      <c r="D20" s="1">
        <v>2022</v>
      </c>
      <c r="E20" s="12">
        <f>SUM('FS Seychelles'!D21:M21)*1000</f>
        <v>25640</v>
      </c>
      <c r="F20" s="11">
        <f>(('FS Seychelles'!S21*'FS Seychelles'!T21)+('FS Seychelles'!U21*'FS Seychelles'!V21))/TOTAL!E20</f>
        <v>0.51874497240111994</v>
      </c>
      <c r="G20" s="12">
        <f>('FS Seychelles'!$AF$10+'FS Seychelles'!$AF$15)/30</f>
        <v>168.7</v>
      </c>
      <c r="H20" s="11">
        <f t="shared" si="2"/>
        <v>1.05</v>
      </c>
      <c r="I20" s="12">
        <f>SUM('FS Seychelles'!W21:AC21)</f>
        <v>529</v>
      </c>
      <c r="J20" s="11">
        <f t="shared" si="3"/>
        <v>5.36</v>
      </c>
      <c r="K20" s="28">
        <f>'FS Seychelles'!AG21</f>
        <v>91</v>
      </c>
      <c r="L20" s="11">
        <f t="shared" si="3"/>
        <v>0</v>
      </c>
      <c r="M20" s="40">
        <f>'FS Seychelles'!B21</f>
        <v>79.2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12</v>
      </c>
      <c r="D21" s="1">
        <v>2022</v>
      </c>
      <c r="E21" s="12">
        <f>SUM('FS Seychelles'!D22:M22)*1000</f>
        <v>25709.999999999996</v>
      </c>
      <c r="F21" s="11">
        <f>(('FS Seychelles'!S22*'FS Seychelles'!T22)+('FS Seychelles'!U22*'FS Seychelles'!V22))/TOTAL!E21</f>
        <v>0.50887791476983257</v>
      </c>
      <c r="G21" s="12">
        <f>('FS Seychelles'!$AF$10+'FS Seychelles'!$AF$15)/30</f>
        <v>168.7</v>
      </c>
      <c r="H21" s="11">
        <f t="shared" si="2"/>
        <v>1.05</v>
      </c>
      <c r="I21" s="12">
        <f>SUM('FS Seychelles'!W22:AC22)</f>
        <v>655</v>
      </c>
      <c r="J21" s="11">
        <f t="shared" si="3"/>
        <v>5.36</v>
      </c>
      <c r="K21" s="28">
        <f>'FS Seychelles'!AG22</f>
        <v>154</v>
      </c>
      <c r="L21" s="11">
        <f t="shared" si="3"/>
        <v>0</v>
      </c>
      <c r="M21" s="40">
        <f>'FS Seychelles'!B22</f>
        <v>76.599999999999994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12</v>
      </c>
      <c r="D22" s="1">
        <v>2022</v>
      </c>
      <c r="E22" s="12">
        <f>SUM('FS Seychelles'!D23:M23)*1000</f>
        <v>27680</v>
      </c>
      <c r="F22" s="11">
        <f>(('FS Seychelles'!S23*'FS Seychelles'!T23)+('FS Seychelles'!U23*'FS Seychelles'!V23))/TOTAL!E22</f>
        <v>0.55399958687017137</v>
      </c>
      <c r="G22" s="12">
        <f>('FS Seychelles'!$AF$10+'FS Seychelles'!$AF$15)/30</f>
        <v>168.7</v>
      </c>
      <c r="H22" s="11">
        <f t="shared" si="2"/>
        <v>1.05</v>
      </c>
      <c r="I22" s="12">
        <f>SUM('FS Seychelles'!W23:AC23)</f>
        <v>666</v>
      </c>
      <c r="J22" s="11">
        <f t="shared" si="3"/>
        <v>5.36</v>
      </c>
      <c r="K22" s="28">
        <f>'FS Seychelles'!AG23</f>
        <v>197</v>
      </c>
      <c r="L22" s="11">
        <f t="shared" si="3"/>
        <v>0</v>
      </c>
      <c r="M22" s="40">
        <f>'FS Seychelles'!B23</f>
        <v>66.2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12</v>
      </c>
      <c r="D23" s="1">
        <v>2022</v>
      </c>
      <c r="E23" s="12">
        <f>SUM('FS Seychelles'!D24:M24)*1000</f>
        <v>28229.999999999996</v>
      </c>
      <c r="F23" s="11">
        <f>(('FS Seychelles'!S24*'FS Seychelles'!T24)+('FS Seychelles'!U24*'FS Seychelles'!V24))/TOTAL!E23</f>
        <v>0.54076466170740356</v>
      </c>
      <c r="G23" s="12">
        <f>('FS Seychelles'!$AF$10+'FS Seychelles'!$AF$15)/30</f>
        <v>168.7</v>
      </c>
      <c r="H23" s="11">
        <f t="shared" si="2"/>
        <v>1.05</v>
      </c>
      <c r="I23" s="12">
        <f>SUM('FS Seychelles'!W24:AC24)</f>
        <v>526</v>
      </c>
      <c r="J23" s="11">
        <f t="shared" si="3"/>
        <v>5.36</v>
      </c>
      <c r="K23" s="28">
        <f>'FS Seychelles'!AG24</f>
        <v>181</v>
      </c>
      <c r="L23" s="11">
        <f t="shared" si="3"/>
        <v>0</v>
      </c>
      <c r="M23" s="40">
        <f>'FS Seychelles'!B24</f>
        <v>58.4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12</v>
      </c>
      <c r="D24" s="1">
        <v>2022</v>
      </c>
      <c r="E24" s="12">
        <f>SUM('FS Seychelles'!D25:M25)*1000</f>
        <v>28670.000000000004</v>
      </c>
      <c r="F24" s="11">
        <f>(('FS Seychelles'!S25*'FS Seychelles'!T25)+('FS Seychelles'!U25*'FS Seychelles'!V25))/TOTAL!E24</f>
        <v>0.52537685302681281</v>
      </c>
      <c r="G24" s="12">
        <f>('FS Seychelles'!$AF$10+'FS Seychelles'!$AF$15)/30</f>
        <v>168.7</v>
      </c>
      <c r="H24" s="11">
        <f t="shared" si="2"/>
        <v>1.05</v>
      </c>
      <c r="I24" s="12">
        <f>SUM('FS Seychelles'!W25:AC25)</f>
        <v>524</v>
      </c>
      <c r="J24" s="11">
        <f t="shared" si="3"/>
        <v>5.36</v>
      </c>
      <c r="K24" s="28">
        <f>'FS Seychelles'!AG25</f>
        <v>190</v>
      </c>
      <c r="L24" s="11">
        <f t="shared" si="3"/>
        <v>0</v>
      </c>
      <c r="M24" s="40">
        <f>'FS Seychelles'!B25</f>
        <v>57.1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12</v>
      </c>
      <c r="D25" s="1">
        <v>2022</v>
      </c>
      <c r="E25" s="12">
        <f>SUM('FS Seychelles'!D26:M26)*1000</f>
        <v>28840</v>
      </c>
      <c r="F25" s="11">
        <f>(('FS Seychelles'!S26*'FS Seychelles'!T26)+('FS Seychelles'!U26*'FS Seychelles'!V26))/TOTAL!E25</f>
        <v>0.56425486628508914</v>
      </c>
      <c r="G25" s="12">
        <f>('FS Seychelles'!$AF$10+'FS Seychelles'!$AF$15)/30</f>
        <v>168.7</v>
      </c>
      <c r="H25" s="11">
        <f t="shared" si="2"/>
        <v>1.05</v>
      </c>
      <c r="I25" s="12">
        <f>SUM('FS Seychelles'!W26:AC26)</f>
        <v>617</v>
      </c>
      <c r="J25" s="11">
        <f t="shared" si="3"/>
        <v>5.36</v>
      </c>
      <c r="K25" s="28">
        <f>'FS Seychelles'!AG26</f>
        <v>149</v>
      </c>
      <c r="L25" s="11">
        <f t="shared" si="3"/>
        <v>0</v>
      </c>
      <c r="M25" s="40">
        <f>'FS Seychelles'!B26</f>
        <v>61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12</v>
      </c>
      <c r="D26" s="1">
        <v>2022</v>
      </c>
      <c r="E26" s="12">
        <f>SUM('FS Seychelles'!D27:M27)*1000</f>
        <v>28686.071428571431</v>
      </c>
      <c r="F26" s="11">
        <f>(('FS Seychelles'!S27*'FS Seychelles'!T27)+('FS Seychelles'!U27*'FS Seychelles'!V27))/TOTAL!E26</f>
        <v>0.56173809769618899</v>
      </c>
      <c r="G26" s="12">
        <f>('FS Seychelles'!$AF$10+'FS Seychelles'!$AF$15)/30</f>
        <v>168.7</v>
      </c>
      <c r="H26" s="11">
        <f t="shared" si="2"/>
        <v>1.05</v>
      </c>
      <c r="I26" s="12">
        <f>SUM('FS Seychelles'!W27:AC27)</f>
        <v>616</v>
      </c>
      <c r="J26" s="11">
        <f t="shared" si="3"/>
        <v>5.36</v>
      </c>
      <c r="K26" s="28">
        <f>'FS Seychelles'!AG27</f>
        <v>141</v>
      </c>
      <c r="L26" s="11">
        <f t="shared" si="3"/>
        <v>0</v>
      </c>
      <c r="M26" s="40">
        <f>'FS Seychelles'!B27</f>
        <v>64.900000000000006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12</v>
      </c>
      <c r="D27" s="1">
        <v>2022</v>
      </c>
      <c r="E27" s="12">
        <f>SUM('FS Seychelles'!D28:M28)*1000</f>
        <v>30056.071428571431</v>
      </c>
      <c r="F27" s="11">
        <f>(('FS Seychelles'!S28*'FS Seychelles'!T28)+('FS Seychelles'!U28*'FS Seychelles'!V28))/TOTAL!E27</f>
        <v>0.53678002522325075</v>
      </c>
      <c r="G27" s="12">
        <f>('FS Seychelles'!$AF$10+'FS Seychelles'!$AF$15)/30</f>
        <v>168.7</v>
      </c>
      <c r="H27" s="11">
        <f t="shared" si="2"/>
        <v>1.05</v>
      </c>
      <c r="I27" s="12">
        <f>SUM('FS Seychelles'!W28:AC28)</f>
        <v>662</v>
      </c>
      <c r="J27" s="11">
        <f t="shared" si="3"/>
        <v>5.36</v>
      </c>
      <c r="K27" s="28">
        <f>'FS Seychelles'!AG28</f>
        <v>117</v>
      </c>
      <c r="L27" s="11">
        <f t="shared" si="3"/>
        <v>0</v>
      </c>
      <c r="M27" s="40">
        <f>'FS Seychelles'!B28</f>
        <v>74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12</v>
      </c>
      <c r="D28" s="1">
        <v>2022</v>
      </c>
      <c r="E28" s="12">
        <f>SUM('FS Seychelles'!D29:M29)*1000</f>
        <v>28916.071428571431</v>
      </c>
      <c r="F28" s="11">
        <f>(('FS Seychelles'!S29*'FS Seychelles'!T29)+('FS Seychelles'!U29*'FS Seychelles'!V29))/TOTAL!E28</f>
        <v>0.56570401216277499</v>
      </c>
      <c r="G28" s="12">
        <f>('FS Seychelles'!$AF$10+'FS Seychelles'!$AF$15)/30</f>
        <v>168.7</v>
      </c>
      <c r="H28" s="11">
        <f t="shared" si="2"/>
        <v>1.05</v>
      </c>
      <c r="I28" s="12">
        <f>SUM('FS Seychelles'!W29:AC29)</f>
        <v>615</v>
      </c>
      <c r="J28" s="11">
        <f t="shared" si="3"/>
        <v>5.36</v>
      </c>
      <c r="K28" s="28">
        <f>'FS Seychelles'!AG29</f>
        <v>165</v>
      </c>
      <c r="L28" s="11">
        <f t="shared" si="3"/>
        <v>0</v>
      </c>
      <c r="M28" s="40">
        <f>'FS Seychelles'!B29</f>
        <v>87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12</v>
      </c>
      <c r="D29" s="1">
        <v>2022</v>
      </c>
      <c r="E29" s="12">
        <f>SUM('FS Seychelles'!D30:M30)*1000</f>
        <v>30546.071428571431</v>
      </c>
      <c r="F29" s="11">
        <f>(('FS Seychelles'!S30*'FS Seychelles'!T30)+('FS Seychelles'!U30*'FS Seychelles'!V30))/TOTAL!E29</f>
        <v>0.56375001734576102</v>
      </c>
      <c r="G29" s="12">
        <f>('FS Seychelles'!$AF$10+'FS Seychelles'!$AF$15)/30</f>
        <v>168.7</v>
      </c>
      <c r="H29" s="11">
        <f t="shared" si="2"/>
        <v>1.05</v>
      </c>
      <c r="I29" s="12">
        <f>SUM('FS Seychelles'!W30:AC30)</f>
        <v>684.89814814814815</v>
      </c>
      <c r="J29" s="11">
        <f t="shared" si="3"/>
        <v>5.36</v>
      </c>
      <c r="K29" s="28">
        <f>'FS Seychelles'!AG30</f>
        <v>147</v>
      </c>
      <c r="L29" s="11">
        <f t="shared" si="3"/>
        <v>0</v>
      </c>
      <c r="M29" s="40">
        <f>'FS Seychelles'!B30</f>
        <v>83.1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12</v>
      </c>
      <c r="D30" s="1">
        <v>2022</v>
      </c>
      <c r="E30" s="12">
        <f>SUM('FS Seychelles'!D31:M31)*1000</f>
        <v>23153.071428571428</v>
      </c>
      <c r="F30" s="11">
        <f>(('FS Seychelles'!S31*'FS Seychelles'!T31)+('FS Seychelles'!U31*'FS Seychelles'!V31))/TOTAL!E30</f>
        <v>0.78299361438566684</v>
      </c>
      <c r="G30" s="12">
        <f>('FS Seychelles'!$AF$10+'FS Seychelles'!$AF$15)/30</f>
        <v>168.7</v>
      </c>
      <c r="H30" s="11">
        <f t="shared" si="2"/>
        <v>1.05</v>
      </c>
      <c r="I30" s="12">
        <f>SUM('FS Seychelles'!W31:AC31)</f>
        <v>648</v>
      </c>
      <c r="J30" s="11">
        <f t="shared" si="3"/>
        <v>5.36</v>
      </c>
      <c r="K30" s="28">
        <f>'FS Seychelles'!AG31</f>
        <v>173</v>
      </c>
      <c r="L30" s="11">
        <f t="shared" si="3"/>
        <v>0</v>
      </c>
      <c r="M30" s="40">
        <f>'FS Seychelles'!B31</f>
        <v>84.4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12</v>
      </c>
      <c r="D31" s="1">
        <v>2022</v>
      </c>
      <c r="E31" s="12">
        <f>SUM('FS Seychelles'!D32:M32)*1000</f>
        <v>26814.588669950735</v>
      </c>
      <c r="F31" s="11">
        <f>(('FS Seychelles'!S32*'FS Seychelles'!T32)+('FS Seychelles'!U32*'FS Seychelles'!V32))/TOTAL!E31</f>
        <v>0.76267639638618434</v>
      </c>
      <c r="G31" s="12">
        <f>('FS Seychelles'!$AF$10+'FS Seychelles'!$AF$15)/30</f>
        <v>168.7</v>
      </c>
      <c r="H31" s="11">
        <f t="shared" si="2"/>
        <v>1.05</v>
      </c>
      <c r="I31" s="12">
        <f>SUM('FS Seychelles'!W32:AC32)</f>
        <v>647</v>
      </c>
      <c r="J31" s="11">
        <f t="shared" si="3"/>
        <v>5.36</v>
      </c>
      <c r="K31" s="28">
        <f>'FS Seychelles'!AG32</f>
        <v>105</v>
      </c>
      <c r="L31" s="11">
        <f t="shared" si="3"/>
        <v>0</v>
      </c>
      <c r="M31" s="40">
        <f>'FS Seychelles'!B32</f>
        <v>75.3</v>
      </c>
    </row>
    <row r="32" spans="1:13">
      <c r="A32" s="1" t="s">
        <v>13</v>
      </c>
      <c r="B32" s="14">
        <f t="shared" si="0"/>
        <v>31</v>
      </c>
      <c r="C32" s="11">
        <f t="shared" si="1"/>
        <v>12</v>
      </c>
      <c r="D32" s="1">
        <v>2022</v>
      </c>
      <c r="E32" s="12">
        <f>SUM('FS Seychelles'!D33:M33)*1000</f>
        <v>26814.588669950735</v>
      </c>
      <c r="F32" s="11">
        <f>(('FS Seychelles'!S33*'FS Seychelles'!T33)+('FS Seychelles'!U33*'FS Seychelles'!V33))/TOTAL!E32</f>
        <v>0.61880419203461356</v>
      </c>
      <c r="G32" s="12">
        <f>('FS Seychelles'!$AF$10+'FS Seychelles'!$AF$15)/30</f>
        <v>168.7</v>
      </c>
      <c r="H32" s="11">
        <f t="shared" si="2"/>
        <v>1.05</v>
      </c>
      <c r="I32" s="12">
        <f>SUM('FS Seychelles'!W33:AC33)</f>
        <v>578.76007716049389</v>
      </c>
      <c r="J32" s="11">
        <f t="shared" si="3"/>
        <v>5.36</v>
      </c>
      <c r="K32" s="28">
        <f>'FS Seychelles'!AG33</f>
        <v>136.43333333333334</v>
      </c>
      <c r="L32" s="11">
        <f t="shared" si="3"/>
        <v>0</v>
      </c>
      <c r="M32" s="40">
        <f>'FS Seychelles'!B33</f>
        <v>79.2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5"/>
  <sheetViews>
    <sheetView workbookViewId="0">
      <selection activeCell="AC20" sqref="AC20"/>
    </sheetView>
  </sheetViews>
  <sheetFormatPr defaultColWidth="11.5703125" defaultRowHeight="15" customHeight="1"/>
  <cols>
    <col min="1" max="1" width="22.28515625" style="25" bestFit="1" customWidth="1"/>
    <col min="2" max="3" width="11.5703125" style="11"/>
    <col min="4" max="4" width="13.42578125" style="11" customWidth="1"/>
    <col min="5" max="20" width="12.5703125" style="18" customWidth="1"/>
    <col min="21" max="21" width="12.28515625" style="18" bestFit="1" customWidth="1"/>
    <col min="22" max="22" width="12.28515625" style="18" customWidth="1"/>
    <col min="23" max="25" width="12.5703125" style="18" customWidth="1"/>
    <col min="26" max="30" width="16.5703125" style="18" customWidth="1"/>
  </cols>
  <sheetData>
    <row r="1" spans="1:30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33</v>
      </c>
      <c r="Y1" s="24" t="s">
        <v>34</v>
      </c>
      <c r="Z1" s="24" t="s">
        <v>35</v>
      </c>
      <c r="AA1" s="24" t="s">
        <v>36</v>
      </c>
      <c r="AB1" s="24" t="s">
        <v>37</v>
      </c>
      <c r="AC1" s="24" t="s">
        <v>38</v>
      </c>
      <c r="AD1" s="24" t="s">
        <v>6</v>
      </c>
    </row>
    <row r="2" spans="1:30">
      <c r="A2" s="1" t="s">
        <v>13</v>
      </c>
      <c r="B2" s="11">
        <v>1</v>
      </c>
      <c r="C2" s="11">
        <v>12</v>
      </c>
      <c r="D2" s="11">
        <v>2022</v>
      </c>
      <c r="E2" s="18">
        <f>'FS Seychelles'!B3</f>
        <v>55.8</v>
      </c>
      <c r="F2" s="18">
        <f>'FS Seychelles'!D3*1000</f>
        <v>3070</v>
      </c>
      <c r="G2" s="18">
        <f>'FS Seychelles'!E3*1000</f>
        <v>4400</v>
      </c>
      <c r="H2" s="18">
        <f>'FS Seychelles'!F3*1000</f>
        <v>5880</v>
      </c>
      <c r="I2" s="18">
        <f>'FS Seychelles'!G3*1000</f>
        <v>1750</v>
      </c>
      <c r="J2" s="18">
        <f>'FS Seychelles'!H3*1000</f>
        <v>2480</v>
      </c>
      <c r="K2" s="18">
        <f>'FS Seychelles'!I3*1000</f>
        <v>2930</v>
      </c>
      <c r="L2" s="18">
        <f>'FS Seychelles'!J3*1000</f>
        <v>1530</v>
      </c>
      <c r="M2" s="18">
        <f>'FS Seychelles'!K3*1000</f>
        <v>1880</v>
      </c>
      <c r="N2" s="18">
        <f>'FS Seychelles'!L3*1000</f>
        <v>4010</v>
      </c>
      <c r="O2" s="18">
        <f>'FS Seychelles'!M3*1000</f>
        <v>0</v>
      </c>
      <c r="P2" s="18">
        <f>'FS Seychelles'!N3</f>
        <v>12787</v>
      </c>
      <c r="Q2" s="18">
        <f>'FS Seychelles'!O3</f>
        <v>10907</v>
      </c>
      <c r="R2" s="18">
        <f>'FS Seychelles'!P3</f>
        <v>5248</v>
      </c>
      <c r="S2" s="18">
        <f>'FS Seychelles'!Q3</f>
        <v>0</v>
      </c>
      <c r="T2" s="18">
        <f>'FS Seychelles'!R3</f>
        <v>7520</v>
      </c>
      <c r="U2" s="18">
        <f>'FS Seychelles'!S3</f>
        <v>7843</v>
      </c>
      <c r="V2" s="18">
        <f>'FS Seychelles'!U3</f>
        <v>522.71</v>
      </c>
      <c r="W2" s="18">
        <f>'FS Seychelles'!W3</f>
        <v>60</v>
      </c>
      <c r="X2" s="18">
        <f>'FS Seychelles'!X3</f>
        <v>24</v>
      </c>
      <c r="Y2" s="18">
        <f>'FS Seychelles'!Y3</f>
        <v>214</v>
      </c>
      <c r="Z2" s="18">
        <f>'FS Seychelles'!Z3</f>
        <v>152</v>
      </c>
      <c r="AA2" s="18">
        <f>'FS Seychelles'!AA3</f>
        <v>71</v>
      </c>
      <c r="AB2" s="18">
        <f>'FS Seychelles'!AB3</f>
        <v>0</v>
      </c>
      <c r="AC2" s="18">
        <f>'FS Seychelles'!AC3</f>
        <v>100</v>
      </c>
      <c r="AD2" s="18">
        <f>('FS Seychelles'!AF9+'FS Seychelles'!AF15)/30</f>
        <v>104.7</v>
      </c>
    </row>
    <row r="3" spans="1:30">
      <c r="A3" s="1" t="s">
        <v>13</v>
      </c>
      <c r="B3" s="11">
        <f>B2+1</f>
        <v>2</v>
      </c>
      <c r="C3" s="11">
        <f>C2</f>
        <v>12</v>
      </c>
      <c r="D3" s="11">
        <v>2022</v>
      </c>
      <c r="E3" s="18">
        <f>'FS Seychelles'!B4</f>
        <v>59.7</v>
      </c>
      <c r="F3" s="18">
        <f>'FS Seychelles'!D4*1000</f>
        <v>2480</v>
      </c>
      <c r="G3" s="18">
        <f>'FS Seychelles'!E4*1000</f>
        <v>3870</v>
      </c>
      <c r="H3" s="18">
        <f>'FS Seychelles'!F4*1000</f>
        <v>5370</v>
      </c>
      <c r="I3" s="18">
        <f>'FS Seychelles'!G4*1000</f>
        <v>1420</v>
      </c>
      <c r="J3" s="18">
        <f>'FS Seychelles'!H4*1000</f>
        <v>2090</v>
      </c>
      <c r="K3" s="18">
        <f>'FS Seychelles'!I4*1000</f>
        <v>2450</v>
      </c>
      <c r="L3" s="18">
        <f>'FS Seychelles'!J4*1000</f>
        <v>1450</v>
      </c>
      <c r="M3" s="18">
        <f>'FS Seychelles'!K4*1000</f>
        <v>1710</v>
      </c>
      <c r="N3" s="18">
        <f>'FS Seychelles'!L4*1000</f>
        <v>3820</v>
      </c>
      <c r="O3" s="18">
        <f>'FS Seychelles'!M4*1000</f>
        <v>0</v>
      </c>
      <c r="P3" s="18">
        <f>'FS Seychelles'!N4</f>
        <v>5363</v>
      </c>
      <c r="Q3" s="18">
        <f>'FS Seychelles'!O4</f>
        <v>10782</v>
      </c>
      <c r="R3" s="18">
        <f>'FS Seychelles'!P4</f>
        <v>5378</v>
      </c>
      <c r="S3" s="18">
        <f>'FS Seychelles'!Q4</f>
        <v>0</v>
      </c>
      <c r="T3" s="18">
        <f>'FS Seychelles'!R4</f>
        <v>10802</v>
      </c>
      <c r="U3" s="18">
        <f>'FS Seychelles'!S4</f>
        <v>7042</v>
      </c>
      <c r="V3" s="18">
        <f>'FS Seychelles'!U4</f>
        <v>522.71</v>
      </c>
      <c r="W3" s="18">
        <f>'FS Seychelles'!W4</f>
        <v>58</v>
      </c>
      <c r="X3" s="18">
        <f>'FS Seychelles'!X4</f>
        <v>14</v>
      </c>
      <c r="Y3" s="18">
        <f>'FS Seychelles'!Y4</f>
        <v>135</v>
      </c>
      <c r="Z3" s="18">
        <f>'FS Seychelles'!Z4</f>
        <v>97</v>
      </c>
      <c r="AA3" s="18">
        <f>'FS Seychelles'!AA4</f>
        <v>75</v>
      </c>
      <c r="AB3" s="18">
        <f>'FS Seychelles'!AB4</f>
        <v>0</v>
      </c>
      <c r="AC3" s="18">
        <f>'FS Seychelles'!AC4</f>
        <v>100</v>
      </c>
      <c r="AD3" s="18">
        <f>('FS Seychelles'!AF10+'FS Seychelles'!AF16)/30</f>
        <v>64</v>
      </c>
    </row>
    <row r="4" spans="1:30">
      <c r="A4" s="1" t="s">
        <v>13</v>
      </c>
      <c r="B4" s="11">
        <f t="shared" ref="B4:B32" si="0">B3+1</f>
        <v>3</v>
      </c>
      <c r="C4" s="11">
        <f t="shared" ref="C4:C32" si="1">C3</f>
        <v>12</v>
      </c>
      <c r="D4" s="11">
        <v>2022</v>
      </c>
      <c r="E4" s="18">
        <f>'FS Seychelles'!B5</f>
        <v>57.1</v>
      </c>
      <c r="F4" s="18">
        <f>'FS Seychelles'!D5*1000</f>
        <v>2940</v>
      </c>
      <c r="G4" s="18">
        <f>'FS Seychelles'!E5*1000</f>
        <v>4320</v>
      </c>
      <c r="H4" s="18">
        <f>'FS Seychelles'!F5*1000</f>
        <v>5750</v>
      </c>
      <c r="I4" s="18">
        <f>'FS Seychelles'!G5*1000</f>
        <v>1540</v>
      </c>
      <c r="J4" s="18">
        <f>'FS Seychelles'!H5*1000</f>
        <v>2260</v>
      </c>
      <c r="K4" s="18">
        <f>'FS Seychelles'!I5*1000</f>
        <v>2680</v>
      </c>
      <c r="L4" s="18">
        <f>'FS Seychelles'!J5*1000</f>
        <v>1440</v>
      </c>
      <c r="M4" s="18">
        <f>'FS Seychelles'!K5*1000</f>
        <v>1770</v>
      </c>
      <c r="N4" s="18">
        <f>'FS Seychelles'!L5*1000</f>
        <v>3840</v>
      </c>
      <c r="O4" s="18">
        <f>'FS Seychelles'!M5*1000</f>
        <v>0</v>
      </c>
      <c r="P4" s="18">
        <f>'FS Seychelles'!N5</f>
        <v>8388</v>
      </c>
      <c r="Q4" s="18">
        <f>'FS Seychelles'!O5</f>
        <v>6931</v>
      </c>
      <c r="R4" s="18">
        <f>'FS Seychelles'!P5</f>
        <v>11861</v>
      </c>
      <c r="S4" s="18">
        <f>'FS Seychelles'!Q5</f>
        <v>0</v>
      </c>
      <c r="T4" s="18">
        <f>'FS Seychelles'!R5</f>
        <v>5766</v>
      </c>
      <c r="U4" s="18">
        <f>'FS Seychelles'!S5</f>
        <v>6951</v>
      </c>
      <c r="V4" s="18">
        <f>'FS Seychelles'!U5</f>
        <v>522.71</v>
      </c>
      <c r="W4" s="18">
        <f>'FS Seychelles'!W5</f>
        <v>57</v>
      </c>
      <c r="X4" s="18">
        <f>'FS Seychelles'!X5</f>
        <v>31</v>
      </c>
      <c r="Y4" s="18">
        <f>'FS Seychelles'!Y5</f>
        <v>125</v>
      </c>
      <c r="Z4" s="18">
        <f>'FS Seychelles'!Z5</f>
        <v>67</v>
      </c>
      <c r="AA4" s="18">
        <f>'FS Seychelles'!AA5</f>
        <v>87</v>
      </c>
      <c r="AB4" s="18">
        <f>'FS Seychelles'!AB5</f>
        <v>0</v>
      </c>
      <c r="AC4" s="18">
        <f>'FS Seychelles'!AC5</f>
        <v>102</v>
      </c>
      <c r="AD4" s="18">
        <f>('FS Seychelles'!AF11+'FS Seychelles'!AF17)/30</f>
        <v>0</v>
      </c>
    </row>
    <row r="5" spans="1:30">
      <c r="A5" s="1" t="s">
        <v>13</v>
      </c>
      <c r="B5" s="11">
        <f t="shared" si="0"/>
        <v>4</v>
      </c>
      <c r="C5" s="11">
        <f t="shared" si="1"/>
        <v>12</v>
      </c>
      <c r="D5" s="11">
        <v>2022</v>
      </c>
      <c r="E5" s="18">
        <f>'FS Seychelles'!B6</f>
        <v>40.299999999999997</v>
      </c>
      <c r="F5" s="18">
        <f>'FS Seychelles'!D6*1000</f>
        <v>3080</v>
      </c>
      <c r="G5" s="18">
        <f>'FS Seychelles'!E6*1000</f>
        <v>4450</v>
      </c>
      <c r="H5" s="18">
        <f>'FS Seychelles'!F6*1000</f>
        <v>5480</v>
      </c>
      <c r="I5" s="18">
        <f>'FS Seychelles'!G6*1000</f>
        <v>1660</v>
      </c>
      <c r="J5" s="18">
        <f>'FS Seychelles'!H6*1000</f>
        <v>2330</v>
      </c>
      <c r="K5" s="18">
        <f>'FS Seychelles'!I6*1000</f>
        <v>2770</v>
      </c>
      <c r="L5" s="18">
        <f>'FS Seychelles'!J6*1000</f>
        <v>1230</v>
      </c>
      <c r="M5" s="18">
        <f>'FS Seychelles'!K6*1000</f>
        <v>1690</v>
      </c>
      <c r="N5" s="18">
        <f>'FS Seychelles'!L6*1000</f>
        <v>3630</v>
      </c>
      <c r="O5" s="18">
        <f>'FS Seychelles'!M6*1000</f>
        <v>0</v>
      </c>
      <c r="P5" s="18">
        <f>'FS Seychelles'!N6</f>
        <v>10905</v>
      </c>
      <c r="Q5" s="18">
        <f>'FS Seychelles'!O6</f>
        <v>8754</v>
      </c>
      <c r="R5" s="18">
        <f>'FS Seychelles'!P6</f>
        <v>7905</v>
      </c>
      <c r="S5" s="18">
        <f>'FS Seychelles'!Q6</f>
        <v>0</v>
      </c>
      <c r="T5" s="18">
        <f>'FS Seychelles'!R6</f>
        <v>8073</v>
      </c>
      <c r="U5" s="18">
        <f>'FS Seychelles'!S6</f>
        <v>7738</v>
      </c>
      <c r="V5" s="18">
        <f>'FS Seychelles'!U6</f>
        <v>522.71</v>
      </c>
      <c r="W5" s="18">
        <f>'FS Seychelles'!W6</f>
        <v>71</v>
      </c>
      <c r="X5" s="18">
        <f>'FS Seychelles'!X6</f>
        <v>22</v>
      </c>
      <c r="Y5" s="18">
        <f>'FS Seychelles'!Y6</f>
        <v>139</v>
      </c>
      <c r="Z5" s="18">
        <f>'FS Seychelles'!Z6</f>
        <v>145</v>
      </c>
      <c r="AA5" s="18">
        <f>'FS Seychelles'!AA6</f>
        <v>63</v>
      </c>
      <c r="AB5" s="18">
        <f>'FS Seychelles'!AB6</f>
        <v>0</v>
      </c>
      <c r="AC5" s="18">
        <f>'FS Seychelles'!AC6</f>
        <v>98</v>
      </c>
      <c r="AD5" s="18">
        <f>('FS Seychelles'!AF12+'FS Seychelles'!AF18)/30</f>
        <v>0</v>
      </c>
    </row>
    <row r="6" spans="1:30">
      <c r="A6" s="1" t="s">
        <v>13</v>
      </c>
      <c r="B6" s="11">
        <f t="shared" si="0"/>
        <v>5</v>
      </c>
      <c r="C6" s="11">
        <f t="shared" si="1"/>
        <v>12</v>
      </c>
      <c r="D6" s="11">
        <v>2022</v>
      </c>
      <c r="E6" s="18">
        <f>'FS Seychelles'!B7</f>
        <v>39</v>
      </c>
      <c r="F6" s="18">
        <f>'FS Seychelles'!D7*1000</f>
        <v>3240</v>
      </c>
      <c r="G6" s="18">
        <f>'FS Seychelles'!E7*1000</f>
        <v>4320</v>
      </c>
      <c r="H6" s="18">
        <f>'FS Seychelles'!F7*1000</f>
        <v>5480</v>
      </c>
      <c r="I6" s="18">
        <f>'FS Seychelles'!G7*1000</f>
        <v>1900</v>
      </c>
      <c r="J6" s="18">
        <f>'FS Seychelles'!H7*1000</f>
        <v>2560</v>
      </c>
      <c r="K6" s="18">
        <f>'FS Seychelles'!I7*1000</f>
        <v>2620</v>
      </c>
      <c r="L6" s="18">
        <f>'FS Seychelles'!J7*1000</f>
        <v>1140</v>
      </c>
      <c r="M6" s="18">
        <f>'FS Seychelles'!K7*1000</f>
        <v>1740</v>
      </c>
      <c r="N6" s="18">
        <f>'FS Seychelles'!L7*1000</f>
        <v>3770</v>
      </c>
      <c r="O6" s="18">
        <f>'FS Seychelles'!M7*1000</f>
        <v>0</v>
      </c>
      <c r="P6" s="18">
        <f>'FS Seychelles'!N7</f>
        <v>5104</v>
      </c>
      <c r="Q6" s="18">
        <f>'FS Seychelles'!O7</f>
        <v>15185</v>
      </c>
      <c r="R6" s="18">
        <f>'FS Seychelles'!P7</f>
        <v>8249</v>
      </c>
      <c r="S6" s="18">
        <f>'FS Seychelles'!Q7</f>
        <v>0</v>
      </c>
      <c r="T6" s="18">
        <f>'FS Seychelles'!R7</f>
        <v>4060</v>
      </c>
      <c r="U6" s="18">
        <f>'FS Seychelles'!S7</f>
        <v>7053</v>
      </c>
      <c r="V6" s="18">
        <f>'FS Seychelles'!U7</f>
        <v>522.71</v>
      </c>
      <c r="W6" s="18">
        <f>'FS Seychelles'!W7</f>
        <v>60</v>
      </c>
      <c r="X6" s="18">
        <f>'FS Seychelles'!X7</f>
        <v>28</v>
      </c>
      <c r="Y6" s="18">
        <f>'FS Seychelles'!Y7</f>
        <v>141</v>
      </c>
      <c r="Z6" s="18">
        <f>'FS Seychelles'!Z7</f>
        <v>155</v>
      </c>
      <c r="AA6" s="18">
        <f>'FS Seychelles'!AA7</f>
        <v>71</v>
      </c>
      <c r="AB6" s="18">
        <f>'FS Seychelles'!AB7</f>
        <v>0</v>
      </c>
      <c r="AC6" s="18">
        <f>'FS Seychelles'!AC7</f>
        <v>101</v>
      </c>
      <c r="AD6" s="18">
        <f>('FS Seychelles'!AF13+'FS Seychelles'!AF19)/30</f>
        <v>0</v>
      </c>
    </row>
    <row r="7" spans="1:30">
      <c r="A7" s="1" t="s">
        <v>13</v>
      </c>
      <c r="B7" s="11">
        <f t="shared" si="0"/>
        <v>6</v>
      </c>
      <c r="C7" s="11">
        <f t="shared" si="1"/>
        <v>12</v>
      </c>
      <c r="D7" s="11">
        <v>2022</v>
      </c>
      <c r="E7" s="18">
        <f>'FS Seychelles'!B8</f>
        <v>48.1</v>
      </c>
      <c r="F7" s="18">
        <f>'FS Seychelles'!D8*1000</f>
        <v>3230</v>
      </c>
      <c r="G7" s="18">
        <f>'FS Seychelles'!E8*1000</f>
        <v>4059.9999999999995</v>
      </c>
      <c r="H7" s="18">
        <f>'FS Seychelles'!F8*1000</f>
        <v>5610</v>
      </c>
      <c r="I7" s="18">
        <f>'FS Seychelles'!G8*1000</f>
        <v>2009.9999999999998</v>
      </c>
      <c r="J7" s="18">
        <f>'FS Seychelles'!H8*1000</f>
        <v>2480</v>
      </c>
      <c r="K7" s="18">
        <f>'FS Seychelles'!I8*1000</f>
        <v>2370</v>
      </c>
      <c r="L7" s="18">
        <f>'FS Seychelles'!J8*1000</f>
        <v>1200</v>
      </c>
      <c r="M7" s="18">
        <f>'FS Seychelles'!K8*1000</f>
        <v>1710</v>
      </c>
      <c r="N7" s="18">
        <f>'FS Seychelles'!L8*1000</f>
        <v>3810</v>
      </c>
      <c r="O7" s="18">
        <f>'FS Seychelles'!M8*1000</f>
        <v>0</v>
      </c>
      <c r="P7" s="18">
        <f>'FS Seychelles'!N8</f>
        <v>5958</v>
      </c>
      <c r="Q7" s="18">
        <f>'FS Seychelles'!O8</f>
        <v>7287</v>
      </c>
      <c r="R7" s="18">
        <f>'FS Seychelles'!P8</f>
        <v>13165</v>
      </c>
      <c r="S7" s="18">
        <f>'FS Seychelles'!Q8</f>
        <v>0</v>
      </c>
      <c r="T7" s="18">
        <f>'FS Seychelles'!R8</f>
        <v>10663</v>
      </c>
      <c r="U7" s="18">
        <f>'FS Seychelles'!S8</f>
        <v>7893</v>
      </c>
      <c r="V7" s="18">
        <f>'FS Seychelles'!U8</f>
        <v>522.71</v>
      </c>
      <c r="W7" s="18">
        <f>'FS Seychelles'!W8</f>
        <v>62</v>
      </c>
      <c r="X7" s="18">
        <f>'FS Seychelles'!X8</f>
        <v>34</v>
      </c>
      <c r="Y7" s="18">
        <f>'FS Seychelles'!Y8</f>
        <v>164</v>
      </c>
      <c r="Z7" s="18">
        <f>'FS Seychelles'!Z8</f>
        <v>101</v>
      </c>
      <c r="AA7" s="18">
        <f>'FS Seychelles'!AA8</f>
        <v>69</v>
      </c>
      <c r="AB7" s="18">
        <f>'FS Seychelles'!AB8</f>
        <v>0</v>
      </c>
      <c r="AC7" s="18">
        <f>'FS Seychelles'!AC8</f>
        <v>103</v>
      </c>
      <c r="AD7" s="18">
        <f>('FS Seychelles'!AF14+'FS Seychelles'!AF20)/30</f>
        <v>0</v>
      </c>
    </row>
    <row r="8" spans="1:30">
      <c r="A8" s="1" t="s">
        <v>13</v>
      </c>
      <c r="B8" s="11">
        <f t="shared" si="0"/>
        <v>7</v>
      </c>
      <c r="C8" s="11">
        <f t="shared" si="1"/>
        <v>12</v>
      </c>
      <c r="D8" s="11">
        <v>2022</v>
      </c>
      <c r="E8" s="18">
        <f>'FS Seychelles'!B9</f>
        <v>48.1</v>
      </c>
      <c r="F8" s="18">
        <f>'FS Seychelles'!D9*1000</f>
        <v>3200</v>
      </c>
      <c r="G8" s="18">
        <f>'FS Seychelles'!E9*1000</f>
        <v>4420</v>
      </c>
      <c r="H8" s="18">
        <f>'FS Seychelles'!F9*1000</f>
        <v>5680</v>
      </c>
      <c r="I8" s="18">
        <f>'FS Seychelles'!G9*1000</f>
        <v>2300</v>
      </c>
      <c r="J8" s="18">
        <f>'FS Seychelles'!H9*1000</f>
        <v>2460</v>
      </c>
      <c r="K8" s="18">
        <f>'FS Seychelles'!I9*1000</f>
        <v>2290</v>
      </c>
      <c r="L8" s="18">
        <f>'FS Seychelles'!J9*1000</f>
        <v>1120</v>
      </c>
      <c r="M8" s="18">
        <f>'FS Seychelles'!K9*1000</f>
        <v>1740</v>
      </c>
      <c r="N8" s="18">
        <f>'FS Seychelles'!L9*1000</f>
        <v>3700</v>
      </c>
      <c r="O8" s="18">
        <f>'FS Seychelles'!M9*1000</f>
        <v>0</v>
      </c>
      <c r="P8" s="18">
        <f>'FS Seychelles'!N9</f>
        <v>6875</v>
      </c>
      <c r="Q8" s="18">
        <f>'FS Seychelles'!O9</f>
        <v>8665</v>
      </c>
      <c r="R8" s="18">
        <f>'FS Seychelles'!P9</f>
        <v>15453</v>
      </c>
      <c r="S8" s="18">
        <f>'FS Seychelles'!Q9</f>
        <v>0</v>
      </c>
      <c r="T8" s="18">
        <f>'FS Seychelles'!R9</f>
        <v>4705</v>
      </c>
      <c r="U8" s="18">
        <f>'FS Seychelles'!S9</f>
        <v>7646</v>
      </c>
      <c r="V8" s="18">
        <f>'FS Seychelles'!U9</f>
        <v>522.71</v>
      </c>
      <c r="W8" s="18">
        <f>'FS Seychelles'!W9</f>
        <v>63</v>
      </c>
      <c r="X8" s="18">
        <f>'FS Seychelles'!X9</f>
        <v>21</v>
      </c>
      <c r="Y8" s="18">
        <f>'FS Seychelles'!Y9</f>
        <v>166</v>
      </c>
      <c r="Z8" s="18">
        <f>'FS Seychelles'!Z9</f>
        <v>93</v>
      </c>
      <c r="AA8" s="18">
        <f>'FS Seychelles'!AA9</f>
        <v>73</v>
      </c>
      <c r="AB8" s="18">
        <f>'FS Seychelles'!AB9</f>
        <v>0</v>
      </c>
      <c r="AC8" s="18">
        <f>'FS Seychelles'!AC9</f>
        <v>103</v>
      </c>
      <c r="AD8" s="18">
        <f>('FS Seychelles'!AF15+'FS Seychelles'!AF21)/30</f>
        <v>104.7</v>
      </c>
    </row>
    <row r="9" spans="1:30">
      <c r="A9" s="1" t="s">
        <v>13</v>
      </c>
      <c r="B9" s="11">
        <f t="shared" si="0"/>
        <v>8</v>
      </c>
      <c r="C9" s="11">
        <f t="shared" si="1"/>
        <v>12</v>
      </c>
      <c r="D9" s="11">
        <v>2022</v>
      </c>
      <c r="E9" s="18">
        <f>'FS Seychelles'!B10</f>
        <v>49.4</v>
      </c>
      <c r="F9" s="18">
        <f>'FS Seychelles'!D10*1000</f>
        <v>2870</v>
      </c>
      <c r="G9" s="18">
        <f>'FS Seychelles'!E10*1000</f>
        <v>4400</v>
      </c>
      <c r="H9" s="18">
        <f>'FS Seychelles'!F10*1000</f>
        <v>5640</v>
      </c>
      <c r="I9" s="18">
        <f>'FS Seychelles'!G10*1000</f>
        <v>2000</v>
      </c>
      <c r="J9" s="18">
        <f>'FS Seychelles'!H10*1000</f>
        <v>2250</v>
      </c>
      <c r="K9" s="18">
        <f>'FS Seychelles'!I10*1000</f>
        <v>2260</v>
      </c>
      <c r="L9" s="18">
        <f>'FS Seychelles'!J10*1000</f>
        <v>1360</v>
      </c>
      <c r="M9" s="18">
        <f>'FS Seychelles'!K10*1000</f>
        <v>1790</v>
      </c>
      <c r="N9" s="18">
        <f>'FS Seychelles'!L10*1000</f>
        <v>3970</v>
      </c>
      <c r="O9" s="18">
        <f>'FS Seychelles'!M10*1000</f>
        <v>0</v>
      </c>
      <c r="P9" s="18">
        <f>'FS Seychelles'!N10</f>
        <v>12242</v>
      </c>
      <c r="Q9" s="18">
        <f>'FS Seychelles'!O10</f>
        <v>9846</v>
      </c>
      <c r="R9" s="18">
        <f>'FS Seychelles'!P10</f>
        <v>11840</v>
      </c>
      <c r="S9" s="18">
        <f>'FS Seychelles'!Q10</f>
        <v>0</v>
      </c>
      <c r="T9" s="18">
        <f>'FS Seychelles'!R10</f>
        <v>9202</v>
      </c>
      <c r="U9" s="18">
        <f>'FS Seychelles'!S10</f>
        <v>8935</v>
      </c>
      <c r="V9" s="18">
        <f>'FS Seychelles'!U10</f>
        <v>522.71</v>
      </c>
      <c r="W9" s="18">
        <f>'FS Seychelles'!W10</f>
        <v>61</v>
      </c>
      <c r="X9" s="18">
        <f>'FS Seychelles'!X10</f>
        <v>23</v>
      </c>
      <c r="Y9" s="18">
        <f>'FS Seychelles'!Y10</f>
        <v>166</v>
      </c>
      <c r="Z9" s="18">
        <f>'FS Seychelles'!Z10</f>
        <v>167</v>
      </c>
      <c r="AA9" s="18">
        <f>'FS Seychelles'!AA10</f>
        <v>84</v>
      </c>
      <c r="AB9" s="18">
        <f>'FS Seychelles'!AB10</f>
        <v>0</v>
      </c>
      <c r="AC9" s="18">
        <f>'FS Seychelles'!AC10</f>
        <v>107</v>
      </c>
      <c r="AD9" s="18">
        <f>('FS Seychelles'!AF16+'FS Seychelles'!AF22)/30</f>
        <v>0</v>
      </c>
    </row>
    <row r="10" spans="1:30">
      <c r="A10" s="1" t="s">
        <v>13</v>
      </c>
      <c r="B10" s="11">
        <f t="shared" si="0"/>
        <v>9</v>
      </c>
      <c r="C10" s="11">
        <f t="shared" si="1"/>
        <v>12</v>
      </c>
      <c r="D10" s="11">
        <v>2022</v>
      </c>
      <c r="E10" s="18">
        <f>'FS Seychelles'!B11</f>
        <v>49.4</v>
      </c>
      <c r="F10" s="18">
        <f>'FS Seychelles'!D11*1000</f>
        <v>2950</v>
      </c>
      <c r="G10" s="18">
        <f>'FS Seychelles'!E11*1000</f>
        <v>4190</v>
      </c>
      <c r="H10" s="18">
        <f>'FS Seychelles'!F11*1000</f>
        <v>5860</v>
      </c>
      <c r="I10" s="18">
        <f>'FS Seychelles'!G11*1000</f>
        <v>2190</v>
      </c>
      <c r="J10" s="18">
        <f>'FS Seychelles'!H11*1000</f>
        <v>2310</v>
      </c>
      <c r="K10" s="18">
        <f>'FS Seychelles'!I11*1000</f>
        <v>2440</v>
      </c>
      <c r="L10" s="18">
        <f>'FS Seychelles'!J11*1000</f>
        <v>1370</v>
      </c>
      <c r="M10" s="18">
        <f>'FS Seychelles'!K11*1000</f>
        <v>1680</v>
      </c>
      <c r="N10" s="18">
        <f>'FS Seychelles'!L11*1000</f>
        <v>3870</v>
      </c>
      <c r="O10" s="18">
        <f>'FS Seychelles'!M11*1000</f>
        <v>0</v>
      </c>
      <c r="P10" s="18">
        <f>'FS Seychelles'!N11</f>
        <v>12070</v>
      </c>
      <c r="Q10" s="18">
        <f>'FS Seychelles'!O11</f>
        <v>7118</v>
      </c>
      <c r="R10" s="18">
        <f>'FS Seychelles'!P11</f>
        <v>7111</v>
      </c>
      <c r="S10" s="18">
        <f>'FS Seychelles'!Q11</f>
        <v>0</v>
      </c>
      <c r="T10" s="18">
        <f>'FS Seychelles'!R11</f>
        <v>0</v>
      </c>
      <c r="U10" s="18">
        <f>'FS Seychelles'!S11</f>
        <v>5532</v>
      </c>
      <c r="V10" s="18">
        <f>'FS Seychelles'!U11</f>
        <v>522.71</v>
      </c>
      <c r="W10" s="18">
        <f>'FS Seychelles'!W11</f>
        <v>65</v>
      </c>
      <c r="X10" s="18">
        <f>'FS Seychelles'!X11</f>
        <v>37</v>
      </c>
      <c r="Y10" s="18">
        <f>'FS Seychelles'!Y11</f>
        <v>130</v>
      </c>
      <c r="Z10" s="18">
        <f>'FS Seychelles'!Z11</f>
        <v>143</v>
      </c>
      <c r="AA10" s="18">
        <f>'FS Seychelles'!AA11</f>
        <v>61</v>
      </c>
      <c r="AB10" s="18">
        <f>'FS Seychelles'!AB11</f>
        <v>0</v>
      </c>
      <c r="AC10" s="18">
        <f>'FS Seychelles'!AC11</f>
        <v>73</v>
      </c>
      <c r="AD10" s="18">
        <f>('FS Seychelles'!AF17+'FS Seychelles'!AF23)/30</f>
        <v>0</v>
      </c>
    </row>
    <row r="11" spans="1:30">
      <c r="A11" s="1" t="s">
        <v>13</v>
      </c>
      <c r="B11" s="11">
        <f t="shared" si="0"/>
        <v>10</v>
      </c>
      <c r="C11" s="11">
        <f t="shared" si="1"/>
        <v>12</v>
      </c>
      <c r="D11" s="11">
        <v>2022</v>
      </c>
      <c r="E11" s="18">
        <f>'FS Seychelles'!B12</f>
        <v>53.2</v>
      </c>
      <c r="F11" s="18">
        <f>'FS Seychelles'!D12*1000</f>
        <v>3020</v>
      </c>
      <c r="G11" s="18">
        <f>'FS Seychelles'!E12*1000</f>
        <v>4260</v>
      </c>
      <c r="H11" s="18">
        <f>'FS Seychelles'!F12*1000</f>
        <v>5970</v>
      </c>
      <c r="I11" s="18">
        <f>'FS Seychelles'!G12*1000</f>
        <v>2170</v>
      </c>
      <c r="J11" s="18">
        <f>'FS Seychelles'!H12*1000</f>
        <v>2440</v>
      </c>
      <c r="K11" s="18">
        <f>'FS Seychelles'!I12*1000</f>
        <v>2740</v>
      </c>
      <c r="L11" s="18">
        <f>'FS Seychelles'!J12*1000</f>
        <v>1410</v>
      </c>
      <c r="M11" s="18">
        <f>'FS Seychelles'!K12*1000</f>
        <v>1700</v>
      </c>
      <c r="N11" s="18">
        <f>'FS Seychelles'!L12*1000</f>
        <v>4059.9999999999995</v>
      </c>
      <c r="O11" s="18">
        <f>'FS Seychelles'!M12*1000</f>
        <v>0</v>
      </c>
      <c r="P11" s="18">
        <f>'FS Seychelles'!N12</f>
        <v>7052</v>
      </c>
      <c r="Q11" s="18">
        <f>'FS Seychelles'!O12</f>
        <v>6371</v>
      </c>
      <c r="R11" s="18">
        <f>'FS Seychelles'!P12</f>
        <v>7160</v>
      </c>
      <c r="S11" s="18">
        <f>'FS Seychelles'!Q12</f>
        <v>0</v>
      </c>
      <c r="T11" s="18">
        <f>'FS Seychelles'!R12</f>
        <v>16007</v>
      </c>
      <c r="U11" s="18">
        <f>'FS Seychelles'!S12</f>
        <v>7665</v>
      </c>
      <c r="V11" s="18">
        <f>'FS Seychelles'!U12</f>
        <v>522.71</v>
      </c>
      <c r="W11" s="18">
        <f>'FS Seychelles'!W12</f>
        <v>60</v>
      </c>
      <c r="X11" s="18">
        <f>'FS Seychelles'!X12</f>
        <v>38</v>
      </c>
      <c r="Y11" s="18">
        <f>'FS Seychelles'!Y12</f>
        <v>159</v>
      </c>
      <c r="Z11" s="18">
        <f>'FS Seychelles'!Z12</f>
        <v>118</v>
      </c>
      <c r="AA11" s="18">
        <f>'FS Seychelles'!AA12</f>
        <v>67</v>
      </c>
      <c r="AB11" s="18">
        <f>'FS Seychelles'!AB12</f>
        <v>0</v>
      </c>
      <c r="AC11" s="18">
        <f>'FS Seychelles'!AC12</f>
        <v>97</v>
      </c>
      <c r="AD11" s="18">
        <f>('FS Seychelles'!AF18+'FS Seychelles'!AF24)/30</f>
        <v>0</v>
      </c>
    </row>
    <row r="12" spans="1:30">
      <c r="A12" s="1" t="s">
        <v>13</v>
      </c>
      <c r="B12" s="11">
        <f t="shared" si="0"/>
        <v>11</v>
      </c>
      <c r="C12" s="11">
        <f t="shared" si="1"/>
        <v>12</v>
      </c>
      <c r="D12" s="11">
        <v>2022</v>
      </c>
      <c r="E12" s="18">
        <f>'FS Seychelles'!B13</f>
        <v>49.4</v>
      </c>
      <c r="F12" s="18">
        <f>'FS Seychelles'!D13*1000</f>
        <v>3370</v>
      </c>
      <c r="G12" s="18">
        <f>'FS Seychelles'!E13*1000</f>
        <v>4560</v>
      </c>
      <c r="H12" s="18">
        <f>'FS Seychelles'!F13*1000</f>
        <v>5750</v>
      </c>
      <c r="I12" s="18">
        <f>'FS Seychelles'!G13*1000</f>
        <v>2040</v>
      </c>
      <c r="J12" s="18">
        <f>'FS Seychelles'!H13*1000</f>
        <v>2310</v>
      </c>
      <c r="K12" s="18">
        <f>'FS Seychelles'!I13*1000</f>
        <v>2700</v>
      </c>
      <c r="L12" s="18">
        <f>'FS Seychelles'!J13*1000</f>
        <v>1380</v>
      </c>
      <c r="M12" s="18">
        <f>'FS Seychelles'!K13*1000</f>
        <v>1640</v>
      </c>
      <c r="N12" s="18">
        <f>'FS Seychelles'!L13*1000</f>
        <v>3900</v>
      </c>
      <c r="O12" s="18">
        <f>'FS Seychelles'!M13*1000</f>
        <v>0</v>
      </c>
      <c r="P12" s="18">
        <f>'FS Seychelles'!N13</f>
        <v>9494</v>
      </c>
      <c r="Q12" s="18">
        <f>'FS Seychelles'!O13</f>
        <v>6503</v>
      </c>
      <c r="R12" s="18">
        <f>'FS Seychelles'!P13</f>
        <v>13349</v>
      </c>
      <c r="S12" s="18">
        <f>'FS Seychelles'!Q13</f>
        <v>0</v>
      </c>
      <c r="T12" s="18">
        <f>'FS Seychelles'!R13</f>
        <v>7081</v>
      </c>
      <c r="U12" s="18">
        <f>'FS Seychelles'!S13</f>
        <v>7513</v>
      </c>
      <c r="V12" s="18">
        <f>'FS Seychelles'!U13</f>
        <v>522.71</v>
      </c>
      <c r="W12" s="18">
        <f>'FS Seychelles'!W13</f>
        <v>59</v>
      </c>
      <c r="X12" s="18">
        <f>'FS Seychelles'!X13</f>
        <v>22</v>
      </c>
      <c r="Y12" s="18">
        <f>'FS Seychelles'!Y13</f>
        <v>160</v>
      </c>
      <c r="Z12" s="18">
        <f>'FS Seychelles'!Z13</f>
        <v>138</v>
      </c>
      <c r="AA12" s="18">
        <f>'FS Seychelles'!AA13</f>
        <v>78</v>
      </c>
      <c r="AB12" s="18">
        <f>'FS Seychelles'!AB13</f>
        <v>0</v>
      </c>
      <c r="AC12" s="18">
        <f>'FS Seychelles'!AC13</f>
        <v>104</v>
      </c>
      <c r="AD12" s="18">
        <f>('FS Seychelles'!AF19+'FS Seychelles'!AF25)/30</f>
        <v>0</v>
      </c>
    </row>
    <row r="13" spans="1:30">
      <c r="A13" s="1" t="s">
        <v>13</v>
      </c>
      <c r="B13" s="11">
        <f t="shared" si="0"/>
        <v>12</v>
      </c>
      <c r="C13" s="11">
        <f t="shared" si="1"/>
        <v>12</v>
      </c>
      <c r="D13" s="11">
        <v>2022</v>
      </c>
      <c r="E13" s="18">
        <f>'FS Seychelles'!B14</f>
        <v>51.9</v>
      </c>
      <c r="F13" s="18">
        <f>'FS Seychelles'!D14*1000</f>
        <v>3280</v>
      </c>
      <c r="G13" s="18">
        <f>'FS Seychelles'!E14*1000</f>
        <v>4470</v>
      </c>
      <c r="H13" s="18">
        <f>'FS Seychelles'!F14*1000</f>
        <v>6020</v>
      </c>
      <c r="I13" s="18">
        <f>'FS Seychelles'!G14*1000</f>
        <v>2420</v>
      </c>
      <c r="J13" s="18">
        <f>'FS Seychelles'!H14*1000</f>
        <v>3110</v>
      </c>
      <c r="K13" s="18">
        <f>'FS Seychelles'!I14*1000</f>
        <v>2760</v>
      </c>
      <c r="L13" s="18">
        <f>'FS Seychelles'!J14*1000</f>
        <v>1470</v>
      </c>
      <c r="M13" s="18">
        <f>'FS Seychelles'!K14*1000</f>
        <v>1690</v>
      </c>
      <c r="N13" s="18">
        <f>'FS Seychelles'!L14*1000</f>
        <v>4130</v>
      </c>
      <c r="O13" s="18">
        <f>'FS Seychelles'!M14*1000</f>
        <v>0</v>
      </c>
      <c r="P13" s="18">
        <f>'FS Seychelles'!N14</f>
        <v>10521</v>
      </c>
      <c r="Q13" s="18">
        <f>'FS Seychelles'!O14</f>
        <v>9206</v>
      </c>
      <c r="R13" s="18">
        <f>'FS Seychelles'!P14</f>
        <v>5706</v>
      </c>
      <c r="S13" s="18">
        <f>'FS Seychelles'!Q14</f>
        <v>2875</v>
      </c>
      <c r="T13" s="18">
        <f>'FS Seychelles'!R14</f>
        <v>9377</v>
      </c>
      <c r="U13" s="18">
        <f>'FS Seychelles'!S14</f>
        <v>8056</v>
      </c>
      <c r="V13" s="18">
        <f>'FS Seychelles'!U14</f>
        <v>522.71</v>
      </c>
      <c r="W13" s="18">
        <f>'FS Seychelles'!W14</f>
        <v>68</v>
      </c>
      <c r="X13" s="18">
        <f>'FS Seychelles'!X14</f>
        <v>34</v>
      </c>
      <c r="Y13" s="18">
        <f>'FS Seychelles'!Y14</f>
        <v>170</v>
      </c>
      <c r="Z13" s="18">
        <f>'FS Seychelles'!Z14</f>
        <v>142</v>
      </c>
      <c r="AA13" s="18">
        <f>'FS Seychelles'!AA14</f>
        <v>99</v>
      </c>
      <c r="AB13" s="18">
        <f>'FS Seychelles'!AB14</f>
        <v>0</v>
      </c>
      <c r="AC13" s="18">
        <f>'FS Seychelles'!AC14</f>
        <v>92</v>
      </c>
      <c r="AD13" s="18">
        <f>('FS Seychelles'!AF20+'FS Seychelles'!AF26)/30</f>
        <v>0</v>
      </c>
    </row>
    <row r="14" spans="1:30">
      <c r="A14" s="1" t="s">
        <v>13</v>
      </c>
      <c r="B14" s="11">
        <f t="shared" si="0"/>
        <v>13</v>
      </c>
      <c r="C14" s="11">
        <f t="shared" si="1"/>
        <v>12</v>
      </c>
      <c r="D14" s="11">
        <v>2022</v>
      </c>
      <c r="E14" s="18">
        <f>'FS Seychelles'!B15</f>
        <v>51.9</v>
      </c>
      <c r="F14" s="18">
        <f>'FS Seychelles'!D15*1000</f>
        <v>3030</v>
      </c>
      <c r="G14" s="18">
        <f>'FS Seychelles'!E15*1000</f>
        <v>4390</v>
      </c>
      <c r="H14" s="18">
        <f>'FS Seychelles'!F15*1000</f>
        <v>5700</v>
      </c>
      <c r="I14" s="18">
        <f>'FS Seychelles'!G15*1000</f>
        <v>2009.9999999999998</v>
      </c>
      <c r="J14" s="18">
        <f>'FS Seychelles'!H15*1000</f>
        <v>2700</v>
      </c>
      <c r="K14" s="18">
        <f>'FS Seychelles'!I15*1000</f>
        <v>2540</v>
      </c>
      <c r="L14" s="18">
        <f>'FS Seychelles'!J15*1000</f>
        <v>1180</v>
      </c>
      <c r="M14" s="18">
        <f>'FS Seychelles'!K15*1000</f>
        <v>1690</v>
      </c>
      <c r="N14" s="18">
        <f>'FS Seychelles'!L15*1000</f>
        <v>3800</v>
      </c>
      <c r="O14" s="18">
        <f>'FS Seychelles'!M15*1000</f>
        <v>0</v>
      </c>
      <c r="P14" s="18">
        <f>'FS Seychelles'!N15</f>
        <v>6254</v>
      </c>
      <c r="Q14" s="18">
        <f>'FS Seychelles'!O15</f>
        <v>10085</v>
      </c>
      <c r="R14" s="18">
        <f>'FS Seychelles'!P15</f>
        <v>5890</v>
      </c>
      <c r="S14" s="18">
        <f>'FS Seychelles'!Q15</f>
        <v>2723</v>
      </c>
      <c r="T14" s="18">
        <f>'FS Seychelles'!R15</f>
        <v>10069</v>
      </c>
      <c r="U14" s="18">
        <f>'FS Seychelles'!S15</f>
        <v>7235</v>
      </c>
      <c r="V14" s="18">
        <f>'FS Seychelles'!U15</f>
        <v>522.71</v>
      </c>
      <c r="W14" s="18">
        <f>'FS Seychelles'!W15</f>
        <v>63</v>
      </c>
      <c r="X14" s="18">
        <f>'FS Seychelles'!X15</f>
        <v>19</v>
      </c>
      <c r="Y14" s="18">
        <f>'FS Seychelles'!Y15</f>
        <v>162</v>
      </c>
      <c r="Z14" s="18">
        <f>'FS Seychelles'!Z15</f>
        <v>136</v>
      </c>
      <c r="AA14" s="18">
        <f>'FS Seychelles'!AA15</f>
        <v>91</v>
      </c>
      <c r="AB14" s="18">
        <f>'FS Seychelles'!AB15</f>
        <v>0</v>
      </c>
      <c r="AC14" s="18">
        <f>'FS Seychelles'!AC15</f>
        <v>99</v>
      </c>
      <c r="AD14" s="18">
        <f>('FS Seychelles'!AF21+'FS Seychelles'!AF27)/30</f>
        <v>0</v>
      </c>
    </row>
    <row r="15" spans="1:30">
      <c r="A15" s="1" t="s">
        <v>13</v>
      </c>
      <c r="B15" s="11">
        <f t="shared" si="0"/>
        <v>14</v>
      </c>
      <c r="C15" s="11">
        <f t="shared" si="1"/>
        <v>12</v>
      </c>
      <c r="D15" s="11">
        <v>2022</v>
      </c>
      <c r="E15" s="18">
        <f>'FS Seychelles'!B16</f>
        <v>57.1</v>
      </c>
      <c r="F15" s="18">
        <f>'FS Seychelles'!D16*1000</f>
        <v>3250</v>
      </c>
      <c r="G15" s="18">
        <f>'FS Seychelles'!E16*1000</f>
        <v>4770</v>
      </c>
      <c r="H15" s="18">
        <f>'FS Seychelles'!F16*1000</f>
        <v>5860</v>
      </c>
      <c r="I15" s="18">
        <f>'FS Seychelles'!G16*1000</f>
        <v>2350</v>
      </c>
      <c r="J15" s="18">
        <f>'FS Seychelles'!H16*1000</f>
        <v>2400</v>
      </c>
      <c r="K15" s="18">
        <f>'FS Seychelles'!I16*1000</f>
        <v>2500</v>
      </c>
      <c r="L15" s="18">
        <f>'FS Seychelles'!J16*1000</f>
        <v>1460</v>
      </c>
      <c r="M15" s="18">
        <f>'FS Seychelles'!K16*1000</f>
        <v>1710</v>
      </c>
      <c r="N15" s="18">
        <f>'FS Seychelles'!L16*1000</f>
        <v>4000</v>
      </c>
      <c r="O15" s="18">
        <f>'FS Seychelles'!M16*1000</f>
        <v>0</v>
      </c>
      <c r="P15" s="18">
        <f>'FS Seychelles'!N16</f>
        <v>5717</v>
      </c>
      <c r="Q15" s="18">
        <f>'FS Seychelles'!O16</f>
        <v>9917</v>
      </c>
      <c r="R15" s="18">
        <f>'FS Seychelles'!P16</f>
        <v>5774</v>
      </c>
      <c r="S15" s="18">
        <f>'FS Seychelles'!Q16</f>
        <v>4975</v>
      </c>
      <c r="T15" s="18">
        <f>'FS Seychelles'!R16</f>
        <v>9974</v>
      </c>
      <c r="U15" s="18">
        <f>'FS Seychelles'!S16</f>
        <v>8376</v>
      </c>
      <c r="V15" s="18">
        <f>'FS Seychelles'!U16</f>
        <v>522.71</v>
      </c>
      <c r="W15" s="18">
        <f>'FS Seychelles'!W16</f>
        <v>74</v>
      </c>
      <c r="X15" s="18">
        <f>'FS Seychelles'!X16</f>
        <v>27</v>
      </c>
      <c r="Y15" s="18">
        <f>'FS Seychelles'!Y16</f>
        <v>162</v>
      </c>
      <c r="Z15" s="18">
        <f>'FS Seychelles'!Z16</f>
        <v>124</v>
      </c>
      <c r="AA15" s="18">
        <f>'FS Seychelles'!AA16</f>
        <v>73</v>
      </c>
      <c r="AB15" s="18">
        <f>'FS Seychelles'!AB16</f>
        <v>0</v>
      </c>
      <c r="AC15" s="18">
        <f>'FS Seychelles'!AC16</f>
        <v>105</v>
      </c>
      <c r="AD15" s="18">
        <f>('FS Seychelles'!AF22+'FS Seychelles'!AF28)/30</f>
        <v>0</v>
      </c>
    </row>
    <row r="16" spans="1:30">
      <c r="A16" s="1" t="s">
        <v>13</v>
      </c>
      <c r="B16" s="11">
        <f t="shared" si="0"/>
        <v>15</v>
      </c>
      <c r="C16" s="11">
        <f t="shared" si="1"/>
        <v>12</v>
      </c>
      <c r="D16" s="11">
        <v>2022</v>
      </c>
      <c r="E16" s="18">
        <f>'FS Seychelles'!B17</f>
        <v>61</v>
      </c>
      <c r="F16" s="18">
        <f>'FS Seychelles'!D17*1000</f>
        <v>3060</v>
      </c>
      <c r="G16" s="18">
        <f>'FS Seychelles'!E17*1000</f>
        <v>4570</v>
      </c>
      <c r="H16" s="18">
        <f>'FS Seychelles'!F17*1000</f>
        <v>5950</v>
      </c>
      <c r="I16" s="18">
        <f>'FS Seychelles'!G17*1000</f>
        <v>2190</v>
      </c>
      <c r="J16" s="18">
        <f>'FS Seychelles'!H17*1000</f>
        <v>2520</v>
      </c>
      <c r="K16" s="18">
        <f>'FS Seychelles'!I17*1000</f>
        <v>2720</v>
      </c>
      <c r="L16" s="18">
        <f>'FS Seychelles'!J17*1000</f>
        <v>1420</v>
      </c>
      <c r="M16" s="18">
        <f>'FS Seychelles'!K17*1000</f>
        <v>1770</v>
      </c>
      <c r="N16" s="18">
        <f>'FS Seychelles'!L17*1000</f>
        <v>3870</v>
      </c>
      <c r="O16" s="18">
        <f>'FS Seychelles'!M17*1000</f>
        <v>0</v>
      </c>
      <c r="P16" s="18">
        <f>'FS Seychelles'!N17</f>
        <v>5827</v>
      </c>
      <c r="Q16" s="18">
        <f>'FS Seychelles'!O17</f>
        <v>10009</v>
      </c>
      <c r="R16" s="18">
        <f>'FS Seychelles'!P17</f>
        <v>5887</v>
      </c>
      <c r="S16" s="18">
        <f>'FS Seychelles'!Q17</f>
        <v>4048</v>
      </c>
      <c r="T16" s="18">
        <f>'FS Seychelles'!R17</f>
        <v>10164</v>
      </c>
      <c r="U16" s="18">
        <f>'FS Seychelles'!S17</f>
        <v>6992</v>
      </c>
      <c r="V16" s="18">
        <f>'FS Seychelles'!U17</f>
        <v>522.71</v>
      </c>
      <c r="W16" s="18">
        <f>'FS Seychelles'!W17</f>
        <v>68</v>
      </c>
      <c r="X16" s="18">
        <f>'FS Seychelles'!X17</f>
        <v>27</v>
      </c>
      <c r="Y16" s="18">
        <f>'FS Seychelles'!Y17</f>
        <v>161</v>
      </c>
      <c r="Z16" s="18">
        <f>'FS Seychelles'!Z17</f>
        <v>123</v>
      </c>
      <c r="AA16" s="18">
        <f>'FS Seychelles'!AA17</f>
        <v>86</v>
      </c>
      <c r="AB16" s="18">
        <f>'FS Seychelles'!AB17</f>
        <v>74</v>
      </c>
      <c r="AC16" s="18">
        <f>'FS Seychelles'!AC17</f>
        <v>104</v>
      </c>
      <c r="AD16" s="18">
        <f>('FS Seychelles'!AF23+'FS Seychelles'!AF29)/30</f>
        <v>0</v>
      </c>
    </row>
    <row r="17" spans="1:30">
      <c r="A17" s="1" t="s">
        <v>13</v>
      </c>
      <c r="B17" s="11">
        <f t="shared" si="0"/>
        <v>16</v>
      </c>
      <c r="C17" s="11">
        <f t="shared" si="1"/>
        <v>12</v>
      </c>
      <c r="D17" s="11">
        <v>2022</v>
      </c>
      <c r="E17" s="18">
        <f>'FS Seychelles'!B18</f>
        <v>61</v>
      </c>
      <c r="F17" s="18">
        <f>'FS Seychelles'!D18*1000</f>
        <v>2250</v>
      </c>
      <c r="G17" s="18">
        <f>'FS Seychelles'!E18*1000</f>
        <v>3410</v>
      </c>
      <c r="H17" s="18">
        <f>'FS Seychelles'!F18*1000</f>
        <v>5340</v>
      </c>
      <c r="I17" s="18">
        <f>'FS Seychelles'!G18*1000</f>
        <v>1820</v>
      </c>
      <c r="J17" s="18">
        <f>'FS Seychelles'!H18*1000</f>
        <v>2060</v>
      </c>
      <c r="K17" s="18">
        <f>'FS Seychelles'!I18*1000</f>
        <v>2240</v>
      </c>
      <c r="L17" s="18">
        <f>'FS Seychelles'!J18*1000</f>
        <v>1480</v>
      </c>
      <c r="M17" s="18">
        <f>'FS Seychelles'!K18*1000</f>
        <v>1580</v>
      </c>
      <c r="N17" s="18">
        <f>'FS Seychelles'!L18*1000</f>
        <v>3760</v>
      </c>
      <c r="O17" s="18">
        <f>'FS Seychelles'!M18*1000</f>
        <v>0</v>
      </c>
      <c r="P17" s="18">
        <f>'FS Seychelles'!N18</f>
        <v>5417</v>
      </c>
      <c r="Q17" s="18">
        <f>'FS Seychelles'!O18</f>
        <v>10261</v>
      </c>
      <c r="R17" s="18">
        <f>'FS Seychelles'!P18</f>
        <v>5358</v>
      </c>
      <c r="S17" s="18">
        <f>'FS Seychelles'!Q18</f>
        <v>0</v>
      </c>
      <c r="T17" s="18">
        <f>'FS Seychelles'!R18</f>
        <v>10339</v>
      </c>
      <c r="U17" s="18">
        <f>'FS Seychelles'!S18</f>
        <v>6766</v>
      </c>
      <c r="V17" s="18">
        <f>'FS Seychelles'!U18</f>
        <v>522.71</v>
      </c>
      <c r="W17" s="18">
        <f>'FS Seychelles'!W18</f>
        <v>63</v>
      </c>
      <c r="X17" s="18">
        <f>'FS Seychelles'!X18</f>
        <v>51</v>
      </c>
      <c r="Y17" s="18">
        <f>'FS Seychelles'!Y18</f>
        <v>139</v>
      </c>
      <c r="Z17" s="18">
        <f>'FS Seychelles'!Z18</f>
        <v>126.73333333333333</v>
      </c>
      <c r="AA17" s="18">
        <f>'FS Seychelles'!AA18</f>
        <v>79</v>
      </c>
      <c r="AB17" s="18">
        <f>'FS Seychelles'!AB18</f>
        <v>0</v>
      </c>
      <c r="AC17" s="18">
        <f>'FS Seychelles'!AC18</f>
        <v>103</v>
      </c>
      <c r="AD17" s="18">
        <f>('FS Seychelles'!AF24+'FS Seychelles'!AF30)/30</f>
        <v>0</v>
      </c>
    </row>
    <row r="18" spans="1:30">
      <c r="A18" s="1" t="s">
        <v>13</v>
      </c>
      <c r="B18" s="11">
        <f t="shared" si="0"/>
        <v>17</v>
      </c>
      <c r="C18" s="11">
        <f t="shared" si="1"/>
        <v>12</v>
      </c>
      <c r="D18" s="11">
        <v>2022</v>
      </c>
      <c r="E18" s="18">
        <f>'FS Seychelles'!B19</f>
        <v>50.6</v>
      </c>
      <c r="F18" s="18">
        <f>'FS Seychelles'!D19*1000</f>
        <v>2630</v>
      </c>
      <c r="G18" s="18">
        <f>'FS Seychelles'!E19*1000</f>
        <v>3980</v>
      </c>
      <c r="H18" s="18">
        <f>'FS Seychelles'!F19*1000</f>
        <v>5590</v>
      </c>
      <c r="I18" s="18">
        <f>'FS Seychelles'!G19*1000</f>
        <v>1640</v>
      </c>
      <c r="J18" s="18">
        <f>'FS Seychelles'!H19*1000</f>
        <v>2240</v>
      </c>
      <c r="K18" s="18">
        <f>'FS Seychelles'!I19*1000</f>
        <v>2100</v>
      </c>
      <c r="L18" s="18">
        <f>'FS Seychelles'!J19*1000</f>
        <v>1310</v>
      </c>
      <c r="M18" s="18">
        <f>'FS Seychelles'!K19*1000</f>
        <v>1740</v>
      </c>
      <c r="N18" s="18">
        <f>'FS Seychelles'!L19*1000</f>
        <v>3420</v>
      </c>
      <c r="O18" s="18">
        <f>'FS Seychelles'!M19*1000</f>
        <v>0</v>
      </c>
      <c r="P18" s="18">
        <f>'FS Seychelles'!N19</f>
        <v>10478</v>
      </c>
      <c r="Q18" s="18">
        <f>'FS Seychelles'!O19</f>
        <v>9639</v>
      </c>
      <c r="R18" s="18">
        <f>'FS Seychelles'!P19</f>
        <v>4990</v>
      </c>
      <c r="S18" s="18">
        <f>'FS Seychelles'!Q19</f>
        <v>2567</v>
      </c>
      <c r="T18" s="18">
        <f>'FS Seychelles'!R19</f>
        <v>4030</v>
      </c>
      <c r="U18" s="18">
        <f>'FS Seychelles'!S19</f>
        <v>6851</v>
      </c>
      <c r="V18" s="18">
        <f>'FS Seychelles'!U19</f>
        <v>522.71</v>
      </c>
      <c r="W18" s="18">
        <f>'FS Seychelles'!W19</f>
        <v>63.25</v>
      </c>
      <c r="X18" s="18">
        <f>'FS Seychelles'!X19</f>
        <v>28.25</v>
      </c>
      <c r="Y18" s="18">
        <f>'FS Seychelles'!Y19</f>
        <v>155.8125</v>
      </c>
      <c r="Z18" s="18">
        <f>'FS Seychelles'!Z19</f>
        <v>126.73333333333333</v>
      </c>
      <c r="AA18" s="18">
        <f>'FS Seychelles'!AA19</f>
        <v>76.6875</v>
      </c>
      <c r="AB18" s="18">
        <f>'FS Seychelles'!AB19</f>
        <v>0</v>
      </c>
      <c r="AC18" s="18">
        <f>'FS Seychelles'!AC19</f>
        <v>99.4375</v>
      </c>
      <c r="AD18" s="18">
        <f>('FS Seychelles'!AF25+'FS Seychelles'!AF31)/30</f>
        <v>0</v>
      </c>
    </row>
    <row r="19" spans="1:30">
      <c r="A19" s="1" t="s">
        <v>13</v>
      </c>
      <c r="B19" s="11">
        <f t="shared" si="0"/>
        <v>18</v>
      </c>
      <c r="C19" s="11">
        <f t="shared" si="1"/>
        <v>12</v>
      </c>
      <c r="D19" s="11">
        <v>2022</v>
      </c>
      <c r="E19" s="18">
        <f>'FS Seychelles'!B20</f>
        <v>67.5</v>
      </c>
      <c r="F19" s="18">
        <f>'FS Seychelles'!D20*1000</f>
        <v>2420</v>
      </c>
      <c r="G19" s="18">
        <f>'FS Seychelles'!E20*1000</f>
        <v>4240</v>
      </c>
      <c r="H19" s="18">
        <f>'FS Seychelles'!F20*1000</f>
        <v>5570</v>
      </c>
      <c r="I19" s="18">
        <f>'FS Seychelles'!G20*1000</f>
        <v>1710</v>
      </c>
      <c r="J19" s="18">
        <f>'FS Seychelles'!H20*1000</f>
        <v>2210</v>
      </c>
      <c r="K19" s="18">
        <f>'FS Seychelles'!I20*1000</f>
        <v>2130</v>
      </c>
      <c r="L19" s="18">
        <f>'FS Seychelles'!J20*1000</f>
        <v>1130</v>
      </c>
      <c r="M19" s="18">
        <f>'FS Seychelles'!K20*1000</f>
        <v>1630</v>
      </c>
      <c r="N19" s="18">
        <f>'FS Seychelles'!L20*1000</f>
        <v>3300</v>
      </c>
      <c r="O19" s="18">
        <f>'FS Seychelles'!M20*1000</f>
        <v>0</v>
      </c>
      <c r="P19" s="18">
        <f>'FS Seychelles'!N20</f>
        <v>6082</v>
      </c>
      <c r="Q19" s="18">
        <f>'FS Seychelles'!O20</f>
        <v>8841</v>
      </c>
      <c r="R19" s="18">
        <f>'FS Seychelles'!P20</f>
        <v>6085</v>
      </c>
      <c r="S19" s="18">
        <f>'FS Seychelles'!Q20</f>
        <v>3177</v>
      </c>
      <c r="T19" s="18">
        <f>'FS Seychelles'!R20</f>
        <v>8994</v>
      </c>
      <c r="U19" s="18">
        <f>'FS Seychelles'!S20</f>
        <v>7164</v>
      </c>
      <c r="V19" s="18">
        <f>'FS Seychelles'!U20</f>
        <v>522.71</v>
      </c>
      <c r="W19" s="18">
        <f>'FS Seychelles'!W20</f>
        <v>68</v>
      </c>
      <c r="X19" s="18">
        <f>'FS Seychelles'!X20</f>
        <v>32</v>
      </c>
      <c r="Y19" s="18">
        <f>'FS Seychelles'!Y20</f>
        <v>125</v>
      </c>
      <c r="Z19" s="18">
        <f>'FS Seychelles'!Z20</f>
        <v>123</v>
      </c>
      <c r="AA19" s="18">
        <f>'FS Seychelles'!AA20</f>
        <v>94</v>
      </c>
      <c r="AB19" s="18">
        <f>'FS Seychelles'!AB20</f>
        <v>0</v>
      </c>
      <c r="AC19" s="18">
        <f>'FS Seychelles'!AC20</f>
        <v>104</v>
      </c>
      <c r="AD19" s="18">
        <f>('FS Seychelles'!AF26+'FS Seychelles'!AF32)/30</f>
        <v>0</v>
      </c>
    </row>
    <row r="20" spans="1:30">
      <c r="A20" s="1" t="s">
        <v>13</v>
      </c>
      <c r="B20" s="11">
        <f t="shared" si="0"/>
        <v>19</v>
      </c>
      <c r="C20" s="11">
        <f t="shared" si="1"/>
        <v>12</v>
      </c>
      <c r="D20" s="11">
        <v>2022</v>
      </c>
      <c r="E20" s="18">
        <f>'FS Seychelles'!B21</f>
        <v>79.2</v>
      </c>
      <c r="F20" s="18">
        <f>'FS Seychelles'!D21*1000</f>
        <v>2520</v>
      </c>
      <c r="G20" s="18">
        <f>'FS Seychelles'!E21*1000</f>
        <v>4220</v>
      </c>
      <c r="H20" s="18">
        <f>'FS Seychelles'!F21*1000</f>
        <v>5650</v>
      </c>
      <c r="I20" s="18">
        <f>'FS Seychelles'!G21*1000</f>
        <v>1740</v>
      </c>
      <c r="J20" s="18">
        <f>'FS Seychelles'!H21*1000</f>
        <v>2390</v>
      </c>
      <c r="K20" s="18">
        <f>'FS Seychelles'!I21*1000</f>
        <v>2160</v>
      </c>
      <c r="L20" s="18">
        <f>'FS Seychelles'!J21*1000</f>
        <v>1440</v>
      </c>
      <c r="M20" s="18">
        <f>'FS Seychelles'!K21*1000</f>
        <v>1620</v>
      </c>
      <c r="N20" s="18">
        <f>'FS Seychelles'!L21*1000</f>
        <v>3900</v>
      </c>
      <c r="O20" s="18">
        <f>'FS Seychelles'!M21*1000</f>
        <v>0</v>
      </c>
      <c r="P20" s="18">
        <f>'FS Seychelles'!N21</f>
        <v>9964</v>
      </c>
      <c r="Q20" s="18">
        <f>'FS Seychelles'!O21</f>
        <v>9953</v>
      </c>
      <c r="R20" s="18">
        <f>'FS Seychelles'!P21</f>
        <v>5813</v>
      </c>
      <c r="S20" s="18">
        <f>'FS Seychelles'!Q21</f>
        <v>1298</v>
      </c>
      <c r="T20" s="18">
        <f>'FS Seychelles'!R21</f>
        <v>5712</v>
      </c>
      <c r="U20" s="18">
        <f>'FS Seychelles'!S21</f>
        <v>6982</v>
      </c>
      <c r="V20" s="18">
        <f>'FS Seychelles'!U21</f>
        <v>522.71</v>
      </c>
      <c r="W20" s="18">
        <f>'FS Seychelles'!W21</f>
        <v>77</v>
      </c>
      <c r="X20" s="18">
        <f>'FS Seychelles'!X21</f>
        <v>29</v>
      </c>
      <c r="Y20" s="18">
        <f>'FS Seychelles'!Y21</f>
        <v>120</v>
      </c>
      <c r="Z20" s="18">
        <f>'FS Seychelles'!Z21</f>
        <v>123</v>
      </c>
      <c r="AA20" s="18">
        <f>'FS Seychelles'!AA21</f>
        <v>77</v>
      </c>
      <c r="AB20" s="18">
        <f>'FS Seychelles'!AB21</f>
        <v>0</v>
      </c>
      <c r="AC20" s="18">
        <f>'FS Seychelles'!AC21</f>
        <v>103</v>
      </c>
      <c r="AD20" s="18">
        <f>('FS Seychelles'!AF27+'FS Seychelles'!AF33)/30</f>
        <v>0</v>
      </c>
    </row>
    <row r="21" spans="1:30">
      <c r="A21" s="1" t="s">
        <v>13</v>
      </c>
      <c r="B21" s="11">
        <f t="shared" si="0"/>
        <v>20</v>
      </c>
      <c r="C21" s="11">
        <f t="shared" si="1"/>
        <v>12</v>
      </c>
      <c r="D21" s="11">
        <v>2022</v>
      </c>
      <c r="E21" s="18">
        <f>'FS Seychelles'!B22</f>
        <v>76.599999999999994</v>
      </c>
      <c r="F21" s="18">
        <f>'FS Seychelles'!D22*1000</f>
        <v>2870</v>
      </c>
      <c r="G21" s="18">
        <f>'FS Seychelles'!E22*1000</f>
        <v>4140</v>
      </c>
      <c r="H21" s="18">
        <f>'FS Seychelles'!F22*1000</f>
        <v>5600</v>
      </c>
      <c r="I21" s="18">
        <f>'FS Seychelles'!G22*1000</f>
        <v>1650</v>
      </c>
      <c r="J21" s="18">
        <f>'FS Seychelles'!H22*1000</f>
        <v>2300</v>
      </c>
      <c r="K21" s="18">
        <f>'FS Seychelles'!I22*1000</f>
        <v>2240</v>
      </c>
      <c r="L21" s="18">
        <f>'FS Seychelles'!J22*1000</f>
        <v>1360</v>
      </c>
      <c r="M21" s="18">
        <f>'FS Seychelles'!K22*1000</f>
        <v>1570</v>
      </c>
      <c r="N21" s="18">
        <f>'FS Seychelles'!L22*1000</f>
        <v>3980</v>
      </c>
      <c r="O21" s="18">
        <f>'FS Seychelles'!M22*1000</f>
        <v>0</v>
      </c>
      <c r="P21" s="18">
        <f>'FS Seychelles'!N22</f>
        <v>16199</v>
      </c>
      <c r="Q21" s="18">
        <f>'FS Seychelles'!O22</f>
        <v>10584</v>
      </c>
      <c r="R21" s="18">
        <f>'FS Seychelles'!P22</f>
        <v>5628</v>
      </c>
      <c r="S21" s="18">
        <f>'FS Seychelles'!Q22</f>
        <v>0</v>
      </c>
      <c r="T21" s="18">
        <f>'FS Seychelles'!R23</f>
        <v>11265</v>
      </c>
      <c r="U21" s="18">
        <f>'FS Seychelles'!S22</f>
        <v>6859</v>
      </c>
      <c r="V21" s="18">
        <f>'FS Seychelles'!U22</f>
        <v>522.71</v>
      </c>
      <c r="W21" s="18">
        <f>'FS Seychelles'!W22</f>
        <v>86</v>
      </c>
      <c r="X21" s="18">
        <f>'FS Seychelles'!X22</f>
        <v>30</v>
      </c>
      <c r="Y21" s="18">
        <f>'FS Seychelles'!Y22</f>
        <v>153</v>
      </c>
      <c r="Z21" s="18">
        <f>'FS Seychelles'!Z22</f>
        <v>174</v>
      </c>
      <c r="AA21" s="18">
        <f>'FS Seychelles'!AA22</f>
        <v>108</v>
      </c>
      <c r="AB21" s="18">
        <f>'FS Seychelles'!AB22</f>
        <v>0</v>
      </c>
      <c r="AC21" s="18">
        <f>'FS Seychelles'!AC22</f>
        <v>104</v>
      </c>
      <c r="AD21" s="18">
        <f>('FS Seychelles'!AF28+'FS Seychelles'!AF34)/30</f>
        <v>0</v>
      </c>
    </row>
    <row r="22" spans="1:30">
      <c r="A22" s="1" t="s">
        <v>13</v>
      </c>
      <c r="B22" s="11">
        <f t="shared" si="0"/>
        <v>21</v>
      </c>
      <c r="C22" s="11">
        <f t="shared" si="1"/>
        <v>12</v>
      </c>
      <c r="D22" s="11">
        <v>2022</v>
      </c>
      <c r="E22" s="18">
        <f>'FS Seychelles'!B23</f>
        <v>66.2</v>
      </c>
      <c r="F22" s="18">
        <f>'FS Seychelles'!D23*1000</f>
        <v>3150</v>
      </c>
      <c r="G22" s="18">
        <f>'FS Seychelles'!E23*1000</f>
        <v>4480</v>
      </c>
      <c r="H22" s="18">
        <f>'FS Seychelles'!F23*1000</f>
        <v>6030</v>
      </c>
      <c r="I22" s="18">
        <f>'FS Seychelles'!G23*1000</f>
        <v>1960</v>
      </c>
      <c r="J22" s="18">
        <f>'FS Seychelles'!H23*1000</f>
        <v>2560</v>
      </c>
      <c r="K22" s="18">
        <f>'FS Seychelles'!I23*1000</f>
        <v>2370</v>
      </c>
      <c r="L22" s="18">
        <f>'FS Seychelles'!J23*1000</f>
        <v>1380</v>
      </c>
      <c r="M22" s="18">
        <f>'FS Seychelles'!K23*1000</f>
        <v>1710</v>
      </c>
      <c r="N22" s="18">
        <f>'FS Seychelles'!L23*1000</f>
        <v>4040</v>
      </c>
      <c r="O22" s="18">
        <f>'FS Seychelles'!M23*1000</f>
        <v>0</v>
      </c>
      <c r="P22" s="18">
        <f>'FS Seychelles'!N23</f>
        <v>5965</v>
      </c>
      <c r="Q22" s="18">
        <f>'FS Seychelles'!O23</f>
        <v>10543</v>
      </c>
      <c r="R22" s="18">
        <f>'FS Seychelles'!P23</f>
        <v>5900</v>
      </c>
      <c r="S22" s="18">
        <f>'FS Seychelles'!Q23</f>
        <v>4117</v>
      </c>
      <c r="T22" s="18">
        <f>'FS Seychelles'!R24</f>
        <v>9915</v>
      </c>
      <c r="U22" s="18">
        <f>'FS Seychelles'!S23</f>
        <v>8133</v>
      </c>
      <c r="V22" s="18">
        <f>'FS Seychelles'!U23</f>
        <v>522.71</v>
      </c>
      <c r="W22" s="18">
        <f>'FS Seychelles'!W23</f>
        <v>83</v>
      </c>
      <c r="X22" s="18">
        <f>'FS Seychelles'!X23</f>
        <v>68</v>
      </c>
      <c r="Y22" s="18">
        <f>'FS Seychelles'!Y23</f>
        <v>143</v>
      </c>
      <c r="Z22" s="18">
        <f>'FS Seychelles'!Z23</f>
        <v>190</v>
      </c>
      <c r="AA22" s="18">
        <f>'FS Seychelles'!AA23</f>
        <v>90</v>
      </c>
      <c r="AB22" s="18">
        <f>'FS Seychelles'!AB23</f>
        <v>0</v>
      </c>
      <c r="AC22" s="18">
        <f>'FS Seychelles'!AC23</f>
        <v>92</v>
      </c>
      <c r="AD22" s="18">
        <f>('FS Seychelles'!AF29+'FS Seychelles'!AF35)/30</f>
        <v>0</v>
      </c>
    </row>
    <row r="23" spans="1:30">
      <c r="A23" s="1" t="s">
        <v>13</v>
      </c>
      <c r="B23" s="11">
        <f t="shared" si="0"/>
        <v>22</v>
      </c>
      <c r="C23" s="11">
        <f t="shared" si="1"/>
        <v>12</v>
      </c>
      <c r="D23" s="11">
        <v>2022</v>
      </c>
      <c r="E23" s="18">
        <f>'FS Seychelles'!B24</f>
        <v>58.4</v>
      </c>
      <c r="F23" s="18">
        <f>'FS Seychelles'!D24*1000</f>
        <v>2840</v>
      </c>
      <c r="G23" s="18">
        <f>'FS Seychelles'!E24*1000</f>
        <v>4620</v>
      </c>
      <c r="H23" s="18">
        <f>'FS Seychelles'!F24*1000</f>
        <v>6080</v>
      </c>
      <c r="I23" s="18">
        <f>'FS Seychelles'!G24*1000</f>
        <v>2000</v>
      </c>
      <c r="J23" s="18">
        <f>'FS Seychelles'!H24*1000</f>
        <v>2650</v>
      </c>
      <c r="K23" s="18">
        <f>'FS Seychelles'!I24*1000</f>
        <v>2840</v>
      </c>
      <c r="L23" s="18">
        <f>'FS Seychelles'!J24*1000</f>
        <v>1380</v>
      </c>
      <c r="M23" s="18">
        <f>'FS Seychelles'!K24*1000</f>
        <v>1700</v>
      </c>
      <c r="N23" s="18">
        <f>'FS Seychelles'!L24*1000</f>
        <v>4120</v>
      </c>
      <c r="O23" s="18">
        <f>'FS Seychelles'!M24*1000</f>
        <v>0</v>
      </c>
      <c r="P23" s="18">
        <f>'FS Seychelles'!N24</f>
        <v>6137</v>
      </c>
      <c r="Q23" s="18">
        <f>'FS Seychelles'!O24</f>
        <v>9708</v>
      </c>
      <c r="R23" s="18">
        <f>'FS Seychelles'!P24</f>
        <v>6227</v>
      </c>
      <c r="S23" s="18">
        <f>'FS Seychelles'!Q24</f>
        <v>5251</v>
      </c>
      <c r="T23" s="18">
        <f>'FS Seychelles'!R25</f>
        <v>10554</v>
      </c>
      <c r="U23" s="18">
        <f>'FS Seychelles'!S24</f>
        <v>8094</v>
      </c>
      <c r="V23" s="18">
        <f>'FS Seychelles'!U24</f>
        <v>522.71</v>
      </c>
      <c r="W23" s="18">
        <f>'FS Seychelles'!W24</f>
        <v>83</v>
      </c>
      <c r="X23" s="18">
        <f>'FS Seychelles'!X24</f>
        <v>18</v>
      </c>
      <c r="Y23" s="18">
        <f>'FS Seychelles'!Y24</f>
        <v>125</v>
      </c>
      <c r="Z23" s="18">
        <f>'FS Seychelles'!Z24</f>
        <v>134</v>
      </c>
      <c r="AA23" s="18">
        <f>'FS Seychelles'!AA24</f>
        <v>83</v>
      </c>
      <c r="AB23" s="18">
        <f>'FS Seychelles'!AB24</f>
        <v>0</v>
      </c>
      <c r="AC23" s="18">
        <f>'FS Seychelles'!AC24</f>
        <v>83</v>
      </c>
      <c r="AD23" s="18">
        <f>('FS Seychelles'!AF30+'FS Seychelles'!AF36)/30</f>
        <v>0</v>
      </c>
    </row>
    <row r="24" spans="1:30">
      <c r="A24" s="1" t="s">
        <v>13</v>
      </c>
      <c r="B24" s="11">
        <f t="shared" si="0"/>
        <v>23</v>
      </c>
      <c r="C24" s="11">
        <f t="shared" si="1"/>
        <v>12</v>
      </c>
      <c r="D24" s="11">
        <v>2022</v>
      </c>
      <c r="E24" s="18">
        <f>'FS Seychelles'!B25</f>
        <v>57.1</v>
      </c>
      <c r="F24" s="18">
        <f>'FS Seychelles'!D25*1000</f>
        <v>2780</v>
      </c>
      <c r="G24" s="18">
        <f>'FS Seychelles'!E25*1000</f>
        <v>4550</v>
      </c>
      <c r="H24" s="18">
        <f>'FS Seychelles'!F25*1000</f>
        <v>6110</v>
      </c>
      <c r="I24" s="18">
        <f>'FS Seychelles'!G25*1000</f>
        <v>2410</v>
      </c>
      <c r="J24" s="18">
        <f>'FS Seychelles'!H25*1000</f>
        <v>2770</v>
      </c>
      <c r="K24" s="18">
        <f>'FS Seychelles'!I25*1000</f>
        <v>2760</v>
      </c>
      <c r="L24" s="18">
        <f>'FS Seychelles'!J25*1000</f>
        <v>1420</v>
      </c>
      <c r="M24" s="18">
        <f>'FS Seychelles'!K25*1000</f>
        <v>1730</v>
      </c>
      <c r="N24" s="18">
        <f>'FS Seychelles'!L25*1000</f>
        <v>4140</v>
      </c>
      <c r="O24" s="18">
        <f>'FS Seychelles'!M25*1000</f>
        <v>0</v>
      </c>
      <c r="P24" s="18">
        <f>'FS Seychelles'!N25</f>
        <v>5399</v>
      </c>
      <c r="Q24" s="18">
        <f>'FS Seychelles'!O25</f>
        <v>10535</v>
      </c>
      <c r="R24" s="18">
        <f>'FS Seychelles'!P25</f>
        <v>5412</v>
      </c>
      <c r="S24" s="18">
        <f>'FS Seychelles'!Q25</f>
        <v>5207</v>
      </c>
      <c r="T24" s="18">
        <f>'FS Seychelles'!R25</f>
        <v>10554</v>
      </c>
      <c r="U24" s="18">
        <f>'FS Seychelles'!S25</f>
        <v>7979</v>
      </c>
      <c r="V24" s="18">
        <f>'FS Seychelles'!U25</f>
        <v>522.71</v>
      </c>
      <c r="W24" s="18">
        <f>'FS Seychelles'!W25</f>
        <v>78</v>
      </c>
      <c r="X24" s="18">
        <f>'FS Seychelles'!X25</f>
        <v>20</v>
      </c>
      <c r="Y24" s="18">
        <f>'FS Seychelles'!Y25</f>
        <v>141</v>
      </c>
      <c r="Z24" s="18">
        <f>'FS Seychelles'!Z25</f>
        <v>108</v>
      </c>
      <c r="AA24" s="18">
        <f>'FS Seychelles'!AA25</f>
        <v>90</v>
      </c>
      <c r="AB24" s="18">
        <f>'FS Seychelles'!AB25</f>
        <v>0</v>
      </c>
      <c r="AC24" s="18">
        <f>'FS Seychelles'!AC25</f>
        <v>87</v>
      </c>
      <c r="AD24" s="18">
        <f>('FS Seychelles'!AF31+'FS Seychelles'!AF37)/30</f>
        <v>0</v>
      </c>
    </row>
    <row r="25" spans="1:30">
      <c r="A25" s="1" t="s">
        <v>13</v>
      </c>
      <c r="B25" s="11">
        <f t="shared" si="0"/>
        <v>24</v>
      </c>
      <c r="C25" s="11">
        <f t="shared" si="1"/>
        <v>12</v>
      </c>
      <c r="D25" s="11">
        <v>2022</v>
      </c>
      <c r="E25" s="18">
        <f>'FS Seychelles'!B26</f>
        <v>61</v>
      </c>
      <c r="F25" s="18">
        <f>'FS Seychelles'!D26*1000</f>
        <v>2750</v>
      </c>
      <c r="G25" s="18">
        <f>'FS Seychelles'!E26*1000</f>
        <v>4600</v>
      </c>
      <c r="H25" s="18">
        <f>'FS Seychelles'!F26*1000</f>
        <v>6260</v>
      </c>
      <c r="I25" s="18">
        <f>'FS Seychelles'!G26*1000</f>
        <v>2610</v>
      </c>
      <c r="J25" s="18">
        <f>'FS Seychelles'!H26*1000</f>
        <v>2710</v>
      </c>
      <c r="K25" s="18">
        <f>'FS Seychelles'!I26*1000</f>
        <v>2760</v>
      </c>
      <c r="L25" s="18">
        <f>'FS Seychelles'!J26*1000</f>
        <v>1350</v>
      </c>
      <c r="M25" s="18">
        <f>'FS Seychelles'!K26*1000</f>
        <v>1730</v>
      </c>
      <c r="N25" s="18">
        <f>'FS Seychelles'!L26*1000</f>
        <v>4070.0000000000005</v>
      </c>
      <c r="O25" s="18">
        <f>'FS Seychelles'!M26*1000</f>
        <v>0</v>
      </c>
      <c r="P25" s="18">
        <f>'FS Seychelles'!N26</f>
        <v>0</v>
      </c>
      <c r="Q25" s="18">
        <f>'FS Seychelles'!O26</f>
        <v>10539</v>
      </c>
      <c r="R25" s="18">
        <f>'FS Seychelles'!P26</f>
        <v>5642</v>
      </c>
      <c r="S25" s="18">
        <f>'FS Seychelles'!Q26</f>
        <v>11449</v>
      </c>
      <c r="T25" s="18">
        <f>'FS Seychelles'!R26</f>
        <v>10664</v>
      </c>
      <c r="U25" s="18">
        <f>'FS Seychelles'!S26</f>
        <v>8664</v>
      </c>
      <c r="V25" s="18">
        <f>'FS Seychelles'!U26</f>
        <v>522.71</v>
      </c>
      <c r="W25" s="18">
        <f>'FS Seychelles'!W26</f>
        <v>80</v>
      </c>
      <c r="X25" s="18">
        <f>'FS Seychelles'!X26</f>
        <v>31</v>
      </c>
      <c r="Y25" s="18">
        <f>'FS Seychelles'!Y26</f>
        <v>138</v>
      </c>
      <c r="Z25" s="18">
        <f>'FS Seychelles'!Z26</f>
        <v>117</v>
      </c>
      <c r="AA25" s="18">
        <f>'FS Seychelles'!AA26</f>
        <v>92</v>
      </c>
      <c r="AB25" s="18">
        <f>'FS Seychelles'!AB26</f>
        <v>73</v>
      </c>
      <c r="AC25" s="18">
        <f>'FS Seychelles'!AC26</f>
        <v>86</v>
      </c>
      <c r="AD25" s="18">
        <f>('FS Seychelles'!AF32+'FS Seychelles'!AF38)/30</f>
        <v>0</v>
      </c>
    </row>
    <row r="26" spans="1:30">
      <c r="A26" s="1" t="s">
        <v>13</v>
      </c>
      <c r="B26" s="11">
        <f>B25+1</f>
        <v>25</v>
      </c>
      <c r="C26" s="11">
        <f t="shared" si="1"/>
        <v>12</v>
      </c>
      <c r="D26" s="11">
        <v>2022</v>
      </c>
      <c r="E26" s="18">
        <f>'FS Seychelles'!B27</f>
        <v>64.900000000000006</v>
      </c>
      <c r="F26" s="18">
        <f>'FS Seychelles'!D27*1000</f>
        <v>2910</v>
      </c>
      <c r="G26" s="18">
        <f>'FS Seychelles'!E27*1000</f>
        <v>4790</v>
      </c>
      <c r="H26" s="18">
        <f>'FS Seychelles'!F27*1000</f>
        <v>6140</v>
      </c>
      <c r="I26" s="18">
        <f>'FS Seychelles'!G27*1000</f>
        <v>2740</v>
      </c>
      <c r="J26" s="18">
        <f>'FS Seychelles'!H27*1000</f>
        <v>2740</v>
      </c>
      <c r="K26" s="18">
        <f>'FS Seychelles'!I27*1000</f>
        <v>2156.0714285714289</v>
      </c>
      <c r="L26" s="18">
        <f>'FS Seychelles'!J27*1000</f>
        <v>1370</v>
      </c>
      <c r="M26" s="18">
        <f>'FS Seychelles'!K27*1000</f>
        <v>1880</v>
      </c>
      <c r="N26" s="18">
        <f>'FS Seychelles'!L27*1000</f>
        <v>3960</v>
      </c>
      <c r="O26" s="18">
        <f>'FS Seychelles'!M27*1000</f>
        <v>0</v>
      </c>
      <c r="P26" s="18">
        <f>'FS Seychelles'!N27</f>
        <v>7304</v>
      </c>
      <c r="Q26" s="18">
        <f>'FS Seychelles'!O27</f>
        <v>8995</v>
      </c>
      <c r="R26" s="18">
        <f>'FS Seychelles'!P27</f>
        <v>7202</v>
      </c>
      <c r="S26" s="18">
        <f>'FS Seychelles'!Q27</f>
        <v>6271</v>
      </c>
      <c r="T26" s="18">
        <f>'FS Seychelles'!R27</f>
        <v>9418</v>
      </c>
      <c r="U26" s="18">
        <f>'FS Seychelles'!S27</f>
        <v>8574</v>
      </c>
      <c r="V26" s="18">
        <f>'FS Seychelles'!U27</f>
        <v>522.71</v>
      </c>
      <c r="W26" s="18">
        <f>'FS Seychelles'!W27</f>
        <v>84</v>
      </c>
      <c r="X26" s="18">
        <f>'FS Seychelles'!X27</f>
        <v>23</v>
      </c>
      <c r="Y26" s="18">
        <f>'FS Seychelles'!Y27</f>
        <v>164</v>
      </c>
      <c r="Z26" s="18">
        <f>'FS Seychelles'!Z27</f>
        <v>106</v>
      </c>
      <c r="AA26" s="18">
        <f>'FS Seychelles'!AA27</f>
        <v>87</v>
      </c>
      <c r="AB26" s="18">
        <f>'FS Seychelles'!AB27</f>
        <v>65</v>
      </c>
      <c r="AC26" s="18">
        <f>'FS Seychelles'!AC27</f>
        <v>87</v>
      </c>
      <c r="AD26" s="18">
        <f>('FS Seychelles'!AF33+'FS Seychelles'!AF39)/30</f>
        <v>0</v>
      </c>
    </row>
    <row r="27" spans="1:30">
      <c r="A27" s="1" t="s">
        <v>13</v>
      </c>
      <c r="B27" s="11">
        <f t="shared" si="0"/>
        <v>26</v>
      </c>
      <c r="C27" s="11">
        <f t="shared" si="1"/>
        <v>12</v>
      </c>
      <c r="D27" s="11">
        <v>2022</v>
      </c>
      <c r="E27" s="18">
        <f>'FS Seychelles'!B28</f>
        <v>74</v>
      </c>
      <c r="F27" s="18">
        <f>'FS Seychelles'!D28*1000</f>
        <v>3070</v>
      </c>
      <c r="G27" s="18">
        <f>'FS Seychelles'!E28*1000</f>
        <v>5060</v>
      </c>
      <c r="H27" s="18">
        <f>'FS Seychelles'!F28*1000</f>
        <v>6350</v>
      </c>
      <c r="I27" s="18">
        <f>'FS Seychelles'!G28*1000</f>
        <v>2910</v>
      </c>
      <c r="J27" s="18">
        <f>'FS Seychelles'!H28*1000</f>
        <v>3160</v>
      </c>
      <c r="K27" s="18">
        <f>'FS Seychelles'!I28*1000</f>
        <v>2156.0714285714289</v>
      </c>
      <c r="L27" s="18">
        <f>'FS Seychelles'!J28*1000</f>
        <v>1360</v>
      </c>
      <c r="M27" s="18">
        <f>'FS Seychelles'!K28*1000</f>
        <v>1830</v>
      </c>
      <c r="N27" s="18">
        <f>'FS Seychelles'!L28*1000</f>
        <v>4160</v>
      </c>
      <c r="O27" s="18">
        <f>'FS Seychelles'!M28*1000</f>
        <v>0</v>
      </c>
      <c r="P27" s="18">
        <f>'FS Seychelles'!N28</f>
        <v>6653</v>
      </c>
      <c r="Q27" s="18">
        <f>'FS Seychelles'!O28</f>
        <v>9810</v>
      </c>
      <c r="R27" s="18">
        <f>'FS Seychelles'!P28</f>
        <v>6461</v>
      </c>
      <c r="S27" s="18">
        <f>'FS Seychelles'!Q28</f>
        <v>7497</v>
      </c>
      <c r="T27" s="18">
        <f>'FS Seychelles'!R28</f>
        <v>9788</v>
      </c>
      <c r="U27" s="18">
        <f>'FS Seychelles'!S28</f>
        <v>8585</v>
      </c>
      <c r="V27" s="18">
        <f>'FS Seychelles'!U28</f>
        <v>522.71</v>
      </c>
      <c r="W27" s="18">
        <f>'FS Seychelles'!W28</f>
        <v>93</v>
      </c>
      <c r="X27" s="18">
        <f>'FS Seychelles'!X28</f>
        <v>20</v>
      </c>
      <c r="Y27" s="18">
        <f>'FS Seychelles'!Y28</f>
        <v>159</v>
      </c>
      <c r="Z27" s="18">
        <f>'FS Seychelles'!Z28</f>
        <v>111</v>
      </c>
      <c r="AA27" s="18">
        <f>'FS Seychelles'!AA28</f>
        <v>100</v>
      </c>
      <c r="AB27" s="18">
        <f>'FS Seychelles'!AB28</f>
        <v>92</v>
      </c>
      <c r="AC27" s="18">
        <f>'FS Seychelles'!AC28</f>
        <v>87</v>
      </c>
      <c r="AD27" s="18">
        <f>('FS Seychelles'!AF34+'FS Seychelles'!AF40)/30</f>
        <v>0</v>
      </c>
    </row>
    <row r="28" spans="1:30">
      <c r="A28" s="1" t="s">
        <v>13</v>
      </c>
      <c r="B28" s="11">
        <f t="shared" si="0"/>
        <v>27</v>
      </c>
      <c r="C28" s="11">
        <f t="shared" si="1"/>
        <v>12</v>
      </c>
      <c r="D28" s="11">
        <v>2022</v>
      </c>
      <c r="E28" s="18">
        <f>'FS Seychelles'!B29</f>
        <v>87</v>
      </c>
      <c r="F28" s="18">
        <f>'FS Seychelles'!D29*1000</f>
        <v>2820</v>
      </c>
      <c r="G28" s="18">
        <f>'FS Seychelles'!E29*1000</f>
        <v>4850</v>
      </c>
      <c r="H28" s="18">
        <f>'FS Seychelles'!F29*1000</f>
        <v>6400</v>
      </c>
      <c r="I28" s="18">
        <f>'FS Seychelles'!G29*1000</f>
        <v>2760</v>
      </c>
      <c r="J28" s="18">
        <f>'FS Seychelles'!H29*1000</f>
        <v>3120</v>
      </c>
      <c r="K28" s="18">
        <f>'FS Seychelles'!I29*1000</f>
        <v>2156.0714285714289</v>
      </c>
      <c r="L28" s="18">
        <f>'FS Seychelles'!J29*1000</f>
        <v>1190</v>
      </c>
      <c r="M28" s="18">
        <f>'FS Seychelles'!K29*1000</f>
        <v>1660</v>
      </c>
      <c r="N28" s="18">
        <f>'FS Seychelles'!L29*1000</f>
        <v>3960</v>
      </c>
      <c r="O28" s="18">
        <f>'FS Seychelles'!M29*1000</f>
        <v>0</v>
      </c>
      <c r="P28" s="18">
        <f>'FS Seychelles'!N29</f>
        <v>6788</v>
      </c>
      <c r="Q28" s="18">
        <f>'FS Seychelles'!O29</f>
        <v>9198</v>
      </c>
      <c r="R28" s="18">
        <f>'FS Seychelles'!P29</f>
        <v>6707</v>
      </c>
      <c r="S28" s="18">
        <f>'FS Seychelles'!Q29</f>
        <v>8054</v>
      </c>
      <c r="T28" s="18">
        <f>'FS Seychelles'!R29</f>
        <v>9389</v>
      </c>
      <c r="U28" s="18">
        <f>'FS Seychelles'!S29</f>
        <v>8712</v>
      </c>
      <c r="V28" s="18">
        <f>'FS Seychelles'!U29</f>
        <v>522.71</v>
      </c>
      <c r="W28" s="18">
        <f>'FS Seychelles'!W29</f>
        <v>26</v>
      </c>
      <c r="X28" s="18">
        <f>'FS Seychelles'!X29</f>
        <v>22</v>
      </c>
      <c r="Y28" s="18">
        <f>'FS Seychelles'!Y29</f>
        <v>183</v>
      </c>
      <c r="Z28" s="18">
        <f>'FS Seychelles'!Z29</f>
        <v>119</v>
      </c>
      <c r="AA28" s="18">
        <f>'FS Seychelles'!AA29</f>
        <v>108</v>
      </c>
      <c r="AB28" s="18">
        <f>'FS Seychelles'!AB29</f>
        <v>70</v>
      </c>
      <c r="AC28" s="18">
        <f>'FS Seychelles'!AC29</f>
        <v>87</v>
      </c>
      <c r="AD28" s="18">
        <f>('FS Seychelles'!AF35+'FS Seychelles'!AF41)/30</f>
        <v>0</v>
      </c>
    </row>
    <row r="29" spans="1:30">
      <c r="A29" s="1" t="s">
        <v>13</v>
      </c>
      <c r="B29" s="11">
        <f t="shared" si="0"/>
        <v>28</v>
      </c>
      <c r="C29" s="11">
        <f t="shared" si="1"/>
        <v>12</v>
      </c>
      <c r="D29" s="11">
        <v>2022</v>
      </c>
      <c r="E29" s="18">
        <f>'FS Seychelles'!B30</f>
        <v>83.1</v>
      </c>
      <c r="F29" s="18">
        <f>'FS Seychelles'!D30*1000</f>
        <v>3370</v>
      </c>
      <c r="G29" s="18">
        <f>'FS Seychelles'!E30*1000</f>
        <v>5080</v>
      </c>
      <c r="H29" s="18">
        <f>'FS Seychelles'!F30*1000</f>
        <v>6540</v>
      </c>
      <c r="I29" s="18">
        <f>'FS Seychelles'!G30*1000</f>
        <v>2850</v>
      </c>
      <c r="J29" s="18">
        <f>'FS Seychelles'!H30*1000</f>
        <v>3100</v>
      </c>
      <c r="K29" s="18">
        <f>'FS Seychelles'!I30*1000</f>
        <v>2156.0714285714289</v>
      </c>
      <c r="L29" s="18">
        <f>'FS Seychelles'!J30*1000</f>
        <v>1390</v>
      </c>
      <c r="M29" s="18">
        <f>'FS Seychelles'!K30*1000</f>
        <v>1840</v>
      </c>
      <c r="N29" s="18">
        <f>'FS Seychelles'!L30*1000</f>
        <v>4220</v>
      </c>
      <c r="O29" s="18">
        <f>'FS Seychelles'!M30*1000</f>
        <v>0</v>
      </c>
      <c r="P29" s="18">
        <f>'FS Seychelles'!N30</f>
        <v>5573</v>
      </c>
      <c r="Q29" s="18">
        <f>'FS Seychelles'!O30</f>
        <v>10046</v>
      </c>
      <c r="R29" s="18">
        <f>'FS Seychelles'!P30</f>
        <v>14718</v>
      </c>
      <c r="S29" s="18">
        <f>'FS Seychelles'!Q30</f>
        <v>1003</v>
      </c>
      <c r="T29" s="18">
        <f>'FS Seychelles'!R30</f>
        <v>11674</v>
      </c>
      <c r="U29" s="18">
        <f>'FS Seychelles'!S30</f>
        <v>9200</v>
      </c>
      <c r="V29" s="18">
        <f>'FS Seychelles'!U30</f>
        <v>522.71</v>
      </c>
      <c r="W29" s="18">
        <f>'FS Seychelles'!W30</f>
        <v>67.898148148148152</v>
      </c>
      <c r="X29" s="18">
        <f>'FS Seychelles'!X30</f>
        <v>31</v>
      </c>
      <c r="Y29" s="18">
        <f>'FS Seychelles'!Y30</f>
        <v>140</v>
      </c>
      <c r="Z29" s="18">
        <f>'FS Seychelles'!Z30</f>
        <v>171</v>
      </c>
      <c r="AA29" s="18">
        <f>'FS Seychelles'!AA30</f>
        <v>105</v>
      </c>
      <c r="AB29" s="18">
        <f>'FS Seychelles'!AB30</f>
        <v>85</v>
      </c>
      <c r="AC29" s="18">
        <f>'FS Seychelles'!AC30</f>
        <v>85</v>
      </c>
      <c r="AD29" s="18">
        <f>('FS Seychelles'!AF36+'FS Seychelles'!AF42)/30</f>
        <v>0</v>
      </c>
    </row>
    <row r="30" spans="1:30">
      <c r="A30" s="1" t="s">
        <v>13</v>
      </c>
      <c r="B30" s="11">
        <f t="shared" si="0"/>
        <v>29</v>
      </c>
      <c r="C30" s="11">
        <f t="shared" si="1"/>
        <v>12</v>
      </c>
      <c r="D30" s="11">
        <v>2022</v>
      </c>
      <c r="E30" s="18">
        <f>'FS Seychelles'!B31</f>
        <v>84.4</v>
      </c>
      <c r="F30" s="18">
        <f>'FS Seychelles'!D31*1000</f>
        <v>2640</v>
      </c>
      <c r="G30" s="18">
        <f>'FS Seychelles'!E31*1000</f>
        <v>3700</v>
      </c>
      <c r="H30" s="18">
        <f>'FS Seychelles'!F31*1000</f>
        <v>4650</v>
      </c>
      <c r="I30" s="18">
        <f>'FS Seychelles'!G31*1000</f>
        <v>2029.9999999999998</v>
      </c>
      <c r="J30" s="18">
        <f>'FS Seychelles'!H31*1000</f>
        <v>2560</v>
      </c>
      <c r="K30" s="18">
        <f>'FS Seychelles'!I31*1000</f>
        <v>2156.0714285714289</v>
      </c>
      <c r="L30" s="18">
        <f>'FS Seychelles'!J31*1000</f>
        <v>987</v>
      </c>
      <c r="M30" s="18">
        <f>'FS Seychelles'!K31*1000</f>
        <v>1280</v>
      </c>
      <c r="N30" s="18">
        <f>'FS Seychelles'!L31*1000</f>
        <v>3150</v>
      </c>
      <c r="O30" s="18">
        <f>'FS Seychelles'!M31*1000</f>
        <v>0</v>
      </c>
      <c r="P30" s="18">
        <f>'FS Seychelles'!N31</f>
        <v>10680</v>
      </c>
      <c r="Q30" s="18">
        <f>'FS Seychelles'!O31</f>
        <v>10497</v>
      </c>
      <c r="R30" s="18">
        <f>'FS Seychelles'!P31</f>
        <v>7315</v>
      </c>
      <c r="S30" s="18">
        <f>'FS Seychelles'!Q31</f>
        <v>9088</v>
      </c>
      <c r="T30" s="18">
        <f>'FS Seychelles'!R31</f>
        <v>7159</v>
      </c>
      <c r="U30" s="18">
        <f>'FS Seychelles'!S31</f>
        <v>9714</v>
      </c>
      <c r="V30" s="18">
        <f>'FS Seychelles'!U31</f>
        <v>522.71</v>
      </c>
      <c r="W30" s="18">
        <f>'FS Seychelles'!W31</f>
        <v>43</v>
      </c>
      <c r="X30" s="18">
        <f>'FS Seychelles'!X31</f>
        <v>22</v>
      </c>
      <c r="Y30" s="18">
        <f>'FS Seychelles'!Y31</f>
        <v>166</v>
      </c>
      <c r="Z30" s="18">
        <f>'FS Seychelles'!Z31</f>
        <v>168</v>
      </c>
      <c r="AA30" s="18">
        <f>'FS Seychelles'!AA31</f>
        <v>88</v>
      </c>
      <c r="AB30" s="18">
        <f>'FS Seychelles'!AB31</f>
        <v>73</v>
      </c>
      <c r="AC30" s="18">
        <f>'FS Seychelles'!AC31</f>
        <v>88</v>
      </c>
      <c r="AD30" s="18">
        <f>('FS Seychelles'!AF37+'FS Seychelles'!AF43)/30</f>
        <v>0</v>
      </c>
    </row>
    <row r="31" spans="1:30">
      <c r="A31" s="1" t="s">
        <v>13</v>
      </c>
      <c r="B31" s="11">
        <f t="shared" si="0"/>
        <v>30</v>
      </c>
      <c r="C31" s="11">
        <f t="shared" si="1"/>
        <v>12</v>
      </c>
      <c r="D31" s="11">
        <v>2022</v>
      </c>
      <c r="E31" s="18">
        <f>'FS Seychelles'!B32</f>
        <v>75.3</v>
      </c>
      <c r="F31" s="18">
        <f>'FS Seychelles'!D32*1000</f>
        <v>2934.1379310344823</v>
      </c>
      <c r="G31" s="18">
        <f>'FS Seychelles'!E32*1000</f>
        <v>4385.1724137931024</v>
      </c>
      <c r="H31" s="18">
        <f>'FS Seychelles'!F32*1000</f>
        <v>5803.7931034482745</v>
      </c>
      <c r="I31" s="18">
        <f>'FS Seychelles'!G32*1000</f>
        <v>2095.8620689655172</v>
      </c>
      <c r="J31" s="18">
        <f>'FS Seychelles'!H32*1000</f>
        <v>2526.5517241379312</v>
      </c>
      <c r="K31" s="18">
        <f>'FS Seychelles'!I32*1000</f>
        <v>2156.0714285714289</v>
      </c>
      <c r="L31" s="18">
        <f>'FS Seychelles'!J32*1000</f>
        <v>1334.7241379310342</v>
      </c>
      <c r="M31" s="18">
        <f>'FS Seychelles'!K32*1000</f>
        <v>1703.7931034482758</v>
      </c>
      <c r="N31" s="18">
        <f>'FS Seychelles'!L32*1000</f>
        <v>3874.4827586206893</v>
      </c>
      <c r="O31" s="18">
        <f>'FS Seychelles'!M32*1000</f>
        <v>0</v>
      </c>
      <c r="P31" s="18">
        <f>'FS Seychelles'!N32</f>
        <v>10163</v>
      </c>
      <c r="Q31" s="18">
        <f>'FS Seychelles'!O32</f>
        <v>10091</v>
      </c>
      <c r="R31" s="18">
        <f>'FS Seychelles'!P32</f>
        <v>6643</v>
      </c>
      <c r="S31" s="18">
        <f>'FS Seychelles'!Q32</f>
        <v>8684</v>
      </c>
      <c r="T31" s="18">
        <f>'FS Seychelles'!R32</f>
        <v>6541</v>
      </c>
      <c r="U31" s="18">
        <f>'FS Seychelles'!S32</f>
        <v>11028</v>
      </c>
      <c r="V31" s="18">
        <f>'FS Seychelles'!U32</f>
        <v>522.71</v>
      </c>
      <c r="W31" s="18">
        <f>'FS Seychelles'!W32</f>
        <v>21</v>
      </c>
      <c r="X31" s="18">
        <f>'FS Seychelles'!X32</f>
        <v>35</v>
      </c>
      <c r="Y31" s="18">
        <f>'FS Seychelles'!Y32</f>
        <v>164</v>
      </c>
      <c r="Z31" s="18">
        <f>'FS Seychelles'!Z32</f>
        <v>149</v>
      </c>
      <c r="AA31" s="18">
        <f>'FS Seychelles'!AA32</f>
        <v>106</v>
      </c>
      <c r="AB31" s="18">
        <f>'FS Seychelles'!AB32</f>
        <v>87</v>
      </c>
      <c r="AC31" s="18">
        <f>'FS Seychelles'!AC32</f>
        <v>85</v>
      </c>
      <c r="AD31" s="18">
        <f>('FS Seychelles'!AF38+'FS Seychelles'!AF44)/30</f>
        <v>0</v>
      </c>
    </row>
    <row r="32" spans="1:30">
      <c r="A32" s="1" t="s">
        <v>13</v>
      </c>
      <c r="B32" s="11">
        <v>31</v>
      </c>
      <c r="C32" s="11">
        <v>12</v>
      </c>
      <c r="D32" s="11">
        <v>2022</v>
      </c>
      <c r="E32" s="18">
        <v>0</v>
      </c>
      <c r="F32" s="18">
        <v>0</v>
      </c>
      <c r="G32" s="18">
        <v>0</v>
      </c>
      <c r="H32" s="18">
        <v>0</v>
      </c>
      <c r="I32" s="18">
        <f>'FS Seychelles'!G33*1000</f>
        <v>2095.8620689655172</v>
      </c>
      <c r="J32" s="18">
        <f>'FS Seychelles'!H33*1000</f>
        <v>2526.5517241379312</v>
      </c>
      <c r="K32" s="18">
        <f>'FS Seychelles'!I33*1000</f>
        <v>2156.0714285714289</v>
      </c>
      <c r="L32" s="18">
        <v>0</v>
      </c>
      <c r="M32" s="18">
        <v>0</v>
      </c>
      <c r="N32" s="18">
        <v>0</v>
      </c>
      <c r="O32" s="18">
        <f>'FS Seychelles'!M33*1000</f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f>'FS Seychelles'!X33</f>
        <v>28.708333333333332</v>
      </c>
      <c r="Y32" s="18">
        <f>'FS Seychelles'!Y33</f>
        <v>152.32708333333332</v>
      </c>
      <c r="Z32" s="18">
        <f>'FS Seychelles'!Z33</f>
        <v>131.58222222222221</v>
      </c>
      <c r="AA32" s="18">
        <f>'FS Seychelles'!AA33</f>
        <v>84.389583333333334</v>
      </c>
      <c r="AB32" s="18">
        <f>'FS Seychelles'!AB33</f>
        <v>20.633333333333333</v>
      </c>
      <c r="AC32" s="18">
        <f>'FS Seychelles'!AC33</f>
        <v>95.614583333333329</v>
      </c>
      <c r="AD32" s="18">
        <v>0</v>
      </c>
    </row>
    <row r="33"/>
    <row r="3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7"/>
  <sheetViews>
    <sheetView showGridLines="0" zoomScaleNormal="100" workbookViewId="0">
      <pane xSplit="1" topLeftCell="J5" activePane="topRight" state="frozen"/>
      <selection pane="topRight" activeCell="U4" sqref="U4"/>
    </sheetView>
  </sheetViews>
  <sheetFormatPr defaultColWidth="9.140625" defaultRowHeight="12.75" customHeight="1"/>
  <cols>
    <col min="1" max="1" width="10.5703125" style="19" bestFit="1" customWidth="1"/>
    <col min="2" max="3" width="12.7109375" style="19" customWidth="1"/>
    <col min="4" max="4" width="9.140625" style="19" bestFit="1" customWidth="1"/>
    <col min="5" max="9" width="9.140625" style="33" bestFit="1" customWidth="1"/>
    <col min="10" max="10" width="10.28515625" style="33" customWidth="1"/>
    <col min="11" max="11" width="9.140625" style="33" bestFit="1" customWidth="1"/>
    <col min="12" max="13" width="10.7109375" style="33" customWidth="1"/>
    <col min="14" max="14" width="13.42578125" style="19" customWidth="1"/>
    <col min="15" max="15" width="11.42578125" style="19" customWidth="1"/>
    <col min="16" max="16" width="11.7109375" style="19" customWidth="1"/>
    <col min="17" max="17" width="11.5703125" style="19" customWidth="1"/>
    <col min="18" max="18" width="11.7109375" style="19" customWidth="1"/>
    <col min="19" max="22" width="12" style="19" customWidth="1"/>
    <col min="23" max="27" width="11.28515625" style="19" customWidth="1"/>
    <col min="28" max="28" width="12.7109375" style="19" customWidth="1"/>
    <col min="29" max="29" width="11.28515625" style="19" customWidth="1"/>
    <col min="30" max="30" width="13.5703125" style="31" customWidth="1"/>
    <col min="31" max="32" width="9.140625" style="31"/>
    <col min="33" max="34" width="12.85546875" style="19" customWidth="1"/>
    <col min="35" max="35" width="29.85546875" style="19" customWidth="1"/>
    <col min="36" max="16384" width="9.140625" style="19"/>
  </cols>
  <sheetData>
    <row r="1" spans="1:36">
      <c r="B1" s="118"/>
      <c r="D1" s="177"/>
      <c r="E1" s="177"/>
      <c r="F1" s="177"/>
      <c r="G1" s="177"/>
      <c r="H1" s="177"/>
      <c r="I1" s="177"/>
      <c r="J1" s="177"/>
      <c r="K1" s="177"/>
      <c r="L1" s="177"/>
      <c r="M1" s="31"/>
      <c r="Z1" s="31"/>
    </row>
    <row r="2" spans="1:36" s="22" customFormat="1" ht="31.5" customHeight="1">
      <c r="A2" s="119" t="s">
        <v>39</v>
      </c>
      <c r="B2" s="120" t="s">
        <v>40</v>
      </c>
      <c r="C2" s="121" t="s">
        <v>41</v>
      </c>
      <c r="D2" s="122" t="s">
        <v>42</v>
      </c>
      <c r="E2" s="42" t="s">
        <v>43</v>
      </c>
      <c r="F2" s="42" t="s">
        <v>44</v>
      </c>
      <c r="G2" s="42" t="s">
        <v>45</v>
      </c>
      <c r="H2" s="42" t="s">
        <v>46</v>
      </c>
      <c r="I2" s="42" t="s">
        <v>47</v>
      </c>
      <c r="J2" s="42" t="s">
        <v>48</v>
      </c>
      <c r="K2" s="42" t="s">
        <v>49</v>
      </c>
      <c r="L2" s="166" t="s">
        <v>50</v>
      </c>
      <c r="M2" s="166" t="s">
        <v>51</v>
      </c>
      <c r="N2" s="43" t="s">
        <v>52</v>
      </c>
      <c r="O2" s="35" t="s">
        <v>53</v>
      </c>
      <c r="P2" s="35" t="s">
        <v>54</v>
      </c>
      <c r="Q2" s="35" t="s">
        <v>55</v>
      </c>
      <c r="R2" s="35" t="s">
        <v>56</v>
      </c>
      <c r="S2" s="36" t="s">
        <v>57</v>
      </c>
      <c r="T2" s="36" t="s">
        <v>58</v>
      </c>
      <c r="U2" s="36" t="s">
        <v>59</v>
      </c>
      <c r="V2" s="36" t="s">
        <v>60</v>
      </c>
      <c r="W2" s="34" t="s">
        <v>61</v>
      </c>
      <c r="X2" s="34" t="s">
        <v>62</v>
      </c>
      <c r="Y2" s="34" t="s">
        <v>63</v>
      </c>
      <c r="Z2" s="34" t="s">
        <v>64</v>
      </c>
      <c r="AA2" s="34" t="s">
        <v>65</v>
      </c>
      <c r="AB2" s="34" t="s">
        <v>66</v>
      </c>
      <c r="AC2" s="34" t="s">
        <v>67</v>
      </c>
      <c r="AD2" s="179" t="s">
        <v>6</v>
      </c>
      <c r="AE2" s="180"/>
      <c r="AF2" s="181"/>
      <c r="AG2" s="76" t="s">
        <v>68</v>
      </c>
      <c r="AH2" s="114" t="s">
        <v>69</v>
      </c>
      <c r="AI2" s="115" t="s">
        <v>70</v>
      </c>
    </row>
    <row r="3" spans="1:36" ht="15" customHeight="1">
      <c r="A3" s="123">
        <v>44896</v>
      </c>
      <c r="B3" s="124">
        <v>55.8</v>
      </c>
      <c r="C3" s="217">
        <v>345</v>
      </c>
      <c r="D3" s="213">
        <f>'EMS Gridvis'!B2</f>
        <v>3.07</v>
      </c>
      <c r="E3" s="213">
        <f>'EMS Gridvis'!C2</f>
        <v>4.4000000000000004</v>
      </c>
      <c r="F3" s="213">
        <f>'EMS Gridvis'!D2</f>
        <v>5.88</v>
      </c>
      <c r="G3" s="213">
        <f>'EMS Gridvis'!E2</f>
        <v>1.75</v>
      </c>
      <c r="H3" s="213">
        <f>'EMS Gridvis'!F2</f>
        <v>2.48</v>
      </c>
      <c r="I3" s="213">
        <f>'EMS Gridvis'!G2</f>
        <v>2.93</v>
      </c>
      <c r="J3" s="213">
        <f>'EMS Gridvis'!H2</f>
        <v>1.53</v>
      </c>
      <c r="K3" s="213">
        <f>'EMS Gridvis'!I2</f>
        <v>1.88</v>
      </c>
      <c r="L3" s="214">
        <f>'EMS Gridvis'!J2</f>
        <v>4.01</v>
      </c>
      <c r="M3" s="215">
        <f>'EMS Gridvis'!K2</f>
        <v>0</v>
      </c>
      <c r="N3" s="44">
        <f>Generator!D4</f>
        <v>12787</v>
      </c>
      <c r="O3" s="44">
        <f>Generator!H4</f>
        <v>10907</v>
      </c>
      <c r="P3" s="44">
        <f>Generator!L4</f>
        <v>5248</v>
      </c>
      <c r="Q3" s="44">
        <f>Generator!P4</f>
        <v>0</v>
      </c>
      <c r="R3" s="44">
        <f>Generator!T4</f>
        <v>7520</v>
      </c>
      <c r="S3" s="21">
        <f>Generator!X4</f>
        <v>7843</v>
      </c>
      <c r="T3" s="21">
        <f>23.84/13.49</f>
        <v>1.7672349888806522</v>
      </c>
      <c r="U3" s="21">
        <v>522.71</v>
      </c>
      <c r="V3" s="21">
        <v>1.84</v>
      </c>
      <c r="W3" s="30">
        <f>'RO Plant'!B4</f>
        <v>60</v>
      </c>
      <c r="X3" s="30">
        <f>'RO Plant'!C4</f>
        <v>24</v>
      </c>
      <c r="Y3" s="30">
        <f>'RO Plant'!D4</f>
        <v>214</v>
      </c>
      <c r="Z3" s="30">
        <f>'RO Plant'!E4</f>
        <v>152</v>
      </c>
      <c r="AA3" s="30">
        <f>'RO Plant'!F4</f>
        <v>71</v>
      </c>
      <c r="AB3" s="30">
        <f>'RO Plant'!G4</f>
        <v>0</v>
      </c>
      <c r="AC3" s="30">
        <f>'RO Plant'!H4</f>
        <v>100</v>
      </c>
      <c r="AD3" s="182" t="s">
        <v>71</v>
      </c>
      <c r="AE3" s="183"/>
      <c r="AF3" s="184"/>
      <c r="AG3" s="46">
        <f>AH3-AI3</f>
        <v>103</v>
      </c>
      <c r="AH3" s="138">
        <v>54476</v>
      </c>
      <c r="AI3" s="46">
        <v>54373</v>
      </c>
      <c r="AJ3" s="133">
        <v>44895</v>
      </c>
    </row>
    <row r="4" spans="1:36" ht="12.75" customHeight="1">
      <c r="A4" s="123">
        <v>44897</v>
      </c>
      <c r="B4" s="41">
        <v>59.7</v>
      </c>
      <c r="C4" s="170">
        <v>402</v>
      </c>
      <c r="D4" s="213">
        <f>'EMS Gridvis'!B3</f>
        <v>2.48</v>
      </c>
      <c r="E4" s="213">
        <f>'EMS Gridvis'!C3</f>
        <v>3.87</v>
      </c>
      <c r="F4" s="213">
        <f>'EMS Gridvis'!D3</f>
        <v>5.37</v>
      </c>
      <c r="G4" s="213">
        <f>'EMS Gridvis'!E3</f>
        <v>1.42</v>
      </c>
      <c r="H4" s="213">
        <f>'EMS Gridvis'!F3</f>
        <v>2.09</v>
      </c>
      <c r="I4" s="213">
        <f>'EMS Gridvis'!G3</f>
        <v>2.4500000000000002</v>
      </c>
      <c r="J4" s="213">
        <f>'EMS Gridvis'!H3</f>
        <v>1.45</v>
      </c>
      <c r="K4" s="213">
        <f>'EMS Gridvis'!I3</f>
        <v>1.71</v>
      </c>
      <c r="L4" s="214">
        <f>'EMS Gridvis'!J3</f>
        <v>3.82</v>
      </c>
      <c r="M4" s="215">
        <f>'EMS Gridvis'!K3</f>
        <v>0</v>
      </c>
      <c r="N4" s="44">
        <f>Generator!D5</f>
        <v>5363</v>
      </c>
      <c r="O4" s="44">
        <f>Generator!H5</f>
        <v>10782</v>
      </c>
      <c r="P4" s="44">
        <f>Generator!L5</f>
        <v>5378</v>
      </c>
      <c r="Q4" s="44">
        <f>Generator!P5</f>
        <v>0</v>
      </c>
      <c r="R4" s="44">
        <f>Generator!T5</f>
        <v>10802</v>
      </c>
      <c r="S4" s="21">
        <f>Generator!X5</f>
        <v>7042</v>
      </c>
      <c r="T4" s="21">
        <f>23.84/13.49</f>
        <v>1.7672349888806522</v>
      </c>
      <c r="U4" s="21">
        <v>522.71</v>
      </c>
      <c r="V4" s="21">
        <v>1.84</v>
      </c>
      <c r="W4" s="30">
        <f>'RO Plant'!B5</f>
        <v>58</v>
      </c>
      <c r="X4" s="30">
        <f>'RO Plant'!C5</f>
        <v>14</v>
      </c>
      <c r="Y4" s="30">
        <f>'RO Plant'!D5</f>
        <v>135</v>
      </c>
      <c r="Z4" s="30">
        <f>'RO Plant'!E5</f>
        <v>97</v>
      </c>
      <c r="AA4" s="30">
        <f>'RO Plant'!F5</f>
        <v>75</v>
      </c>
      <c r="AB4" s="30">
        <f>'RO Plant'!G5</f>
        <v>0</v>
      </c>
      <c r="AC4" s="30">
        <f>'RO Plant'!H5</f>
        <v>100</v>
      </c>
      <c r="AD4" s="58" t="s">
        <v>72</v>
      </c>
      <c r="AE4" s="32" t="s">
        <v>73</v>
      </c>
      <c r="AF4" s="71" t="s">
        <v>74</v>
      </c>
      <c r="AG4" s="46">
        <f>AH4-AH3</f>
        <v>136</v>
      </c>
      <c r="AH4" s="139">
        <v>54612</v>
      </c>
      <c r="AI4" s="46"/>
    </row>
    <row r="5" spans="1:36">
      <c r="A5" s="123">
        <v>44898</v>
      </c>
      <c r="B5" s="41">
        <v>57.1</v>
      </c>
      <c r="C5" s="170">
        <v>402</v>
      </c>
      <c r="D5" s="213">
        <f>'EMS Gridvis'!B4</f>
        <v>2.94</v>
      </c>
      <c r="E5" s="213">
        <f>'EMS Gridvis'!C4</f>
        <v>4.32</v>
      </c>
      <c r="F5" s="213">
        <f>'EMS Gridvis'!D4</f>
        <v>5.75</v>
      </c>
      <c r="G5" s="213">
        <f>'EMS Gridvis'!E4</f>
        <v>1.54</v>
      </c>
      <c r="H5" s="213">
        <f>'EMS Gridvis'!F4</f>
        <v>2.2599999999999998</v>
      </c>
      <c r="I5" s="213">
        <f>'EMS Gridvis'!G4</f>
        <v>2.68</v>
      </c>
      <c r="J5" s="213">
        <f>'EMS Gridvis'!H4</f>
        <v>1.44</v>
      </c>
      <c r="K5" s="213">
        <f>'EMS Gridvis'!I4</f>
        <v>1.77</v>
      </c>
      <c r="L5" s="214">
        <f>'EMS Gridvis'!J4</f>
        <v>3.84</v>
      </c>
      <c r="M5" s="215">
        <f>'EMS Gridvis'!K4</f>
        <v>0</v>
      </c>
      <c r="N5" s="44">
        <f>Generator!D6</f>
        <v>8388</v>
      </c>
      <c r="O5" s="44">
        <f>Generator!H6</f>
        <v>6931</v>
      </c>
      <c r="P5" s="44">
        <f>Generator!L6</f>
        <v>11861</v>
      </c>
      <c r="Q5" s="44">
        <f>Generator!P6</f>
        <v>0</v>
      </c>
      <c r="R5" s="44">
        <f>Generator!T6</f>
        <v>5766</v>
      </c>
      <c r="S5" s="21">
        <f>Generator!X6</f>
        <v>6951</v>
      </c>
      <c r="T5" s="21">
        <f t="shared" ref="T4:T33" si="0">23.84/13.49</f>
        <v>1.7672349888806522</v>
      </c>
      <c r="U5" s="21">
        <v>522.71</v>
      </c>
      <c r="V5" s="21">
        <v>1.84</v>
      </c>
      <c r="W5" s="30">
        <f>'RO Plant'!B6</f>
        <v>57</v>
      </c>
      <c r="X5" s="30">
        <f>'RO Plant'!C6</f>
        <v>31</v>
      </c>
      <c r="Y5" s="30">
        <f>'RO Plant'!D6</f>
        <v>125</v>
      </c>
      <c r="Z5" s="30">
        <f>'RO Plant'!E6</f>
        <v>67</v>
      </c>
      <c r="AA5" s="30">
        <f>'RO Plant'!F6</f>
        <v>87</v>
      </c>
      <c r="AB5" s="30">
        <f>'RO Plant'!G6</f>
        <v>0</v>
      </c>
      <c r="AC5" s="30">
        <f>'RO Plant'!H6</f>
        <v>102</v>
      </c>
      <c r="AD5" s="59">
        <v>9</v>
      </c>
      <c r="AE5" s="72">
        <v>0</v>
      </c>
      <c r="AF5" s="66">
        <f>AD5*AE5</f>
        <v>0</v>
      </c>
      <c r="AG5" s="46">
        <f>AH5-AH4</f>
        <v>109</v>
      </c>
      <c r="AH5" s="139">
        <v>54721</v>
      </c>
      <c r="AI5" s="46"/>
    </row>
    <row r="6" spans="1:36">
      <c r="A6" s="123">
        <v>44899</v>
      </c>
      <c r="B6" s="41">
        <v>40.299999999999997</v>
      </c>
      <c r="C6" s="170">
        <v>315</v>
      </c>
      <c r="D6" s="213">
        <f>'EMS Gridvis'!B5</f>
        <v>3.08</v>
      </c>
      <c r="E6" s="213">
        <f>'EMS Gridvis'!C5</f>
        <v>4.45</v>
      </c>
      <c r="F6" s="213">
        <f>'EMS Gridvis'!D5</f>
        <v>5.48</v>
      </c>
      <c r="G6" s="213">
        <f>'EMS Gridvis'!E5</f>
        <v>1.66</v>
      </c>
      <c r="H6" s="213">
        <f>'EMS Gridvis'!F5</f>
        <v>2.33</v>
      </c>
      <c r="I6" s="213">
        <f>'EMS Gridvis'!G5</f>
        <v>2.77</v>
      </c>
      <c r="J6" s="213">
        <f>'EMS Gridvis'!H5</f>
        <v>1.23</v>
      </c>
      <c r="K6" s="213">
        <f>'EMS Gridvis'!I5</f>
        <v>1.69</v>
      </c>
      <c r="L6" s="214">
        <f>'EMS Gridvis'!J5</f>
        <v>3.63</v>
      </c>
      <c r="M6" s="215">
        <f>'EMS Gridvis'!K5</f>
        <v>0</v>
      </c>
      <c r="N6" s="44">
        <f>Generator!D7</f>
        <v>10905</v>
      </c>
      <c r="O6" s="44">
        <f>Generator!H7</f>
        <v>8754</v>
      </c>
      <c r="P6" s="44">
        <f>Generator!L7</f>
        <v>7905</v>
      </c>
      <c r="Q6" s="44">
        <f>Generator!P7</f>
        <v>0</v>
      </c>
      <c r="R6" s="44">
        <f>Generator!T7</f>
        <v>8073</v>
      </c>
      <c r="S6" s="21">
        <f>Generator!X7</f>
        <v>7738</v>
      </c>
      <c r="T6" s="21">
        <f>23.84/13.49</f>
        <v>1.7672349888806522</v>
      </c>
      <c r="U6" s="21">
        <v>522.71</v>
      </c>
      <c r="V6" s="21">
        <v>1.84</v>
      </c>
      <c r="W6" s="30">
        <f>'RO Plant'!B7</f>
        <v>71</v>
      </c>
      <c r="X6" s="30">
        <f>'RO Plant'!C7</f>
        <v>22</v>
      </c>
      <c r="Y6" s="30">
        <f>'RO Plant'!D7</f>
        <v>139</v>
      </c>
      <c r="Z6" s="30">
        <f>'RO Plant'!E7</f>
        <v>145</v>
      </c>
      <c r="AA6" s="30">
        <f>'RO Plant'!F7</f>
        <v>63</v>
      </c>
      <c r="AB6" s="30">
        <f>'RO Plant'!G7</f>
        <v>0</v>
      </c>
      <c r="AC6" s="30">
        <f>'RO Plant'!H7</f>
        <v>98</v>
      </c>
      <c r="AD6" s="59">
        <v>10</v>
      </c>
      <c r="AE6" s="72">
        <v>0</v>
      </c>
      <c r="AF6" s="66">
        <f>AD6*AE6</f>
        <v>0</v>
      </c>
      <c r="AG6" s="46">
        <f>AH6-AH5</f>
        <v>97</v>
      </c>
      <c r="AH6" s="139">
        <v>54818</v>
      </c>
      <c r="AI6" s="46"/>
    </row>
    <row r="7" spans="1:36">
      <c r="A7" s="123">
        <v>44900</v>
      </c>
      <c r="B7" s="41">
        <v>39</v>
      </c>
      <c r="C7" s="170">
        <v>206</v>
      </c>
      <c r="D7" s="213">
        <f>'EMS Gridvis'!B6</f>
        <v>3.24</v>
      </c>
      <c r="E7" s="213">
        <f>'EMS Gridvis'!C6</f>
        <v>4.32</v>
      </c>
      <c r="F7" s="213">
        <f>'EMS Gridvis'!D6</f>
        <v>5.48</v>
      </c>
      <c r="G7" s="213">
        <f>'EMS Gridvis'!E6</f>
        <v>1.9</v>
      </c>
      <c r="H7" s="213">
        <f>'EMS Gridvis'!F6</f>
        <v>2.56</v>
      </c>
      <c r="I7" s="213">
        <f>'EMS Gridvis'!G6</f>
        <v>2.62</v>
      </c>
      <c r="J7" s="213">
        <f>'EMS Gridvis'!H6</f>
        <v>1.1399999999999999</v>
      </c>
      <c r="K7" s="213">
        <f>'EMS Gridvis'!I6</f>
        <v>1.74</v>
      </c>
      <c r="L7" s="214">
        <f>'EMS Gridvis'!J6</f>
        <v>3.77</v>
      </c>
      <c r="M7" s="215">
        <f>'EMS Gridvis'!K6</f>
        <v>0</v>
      </c>
      <c r="N7" s="44">
        <f>Generator!D8</f>
        <v>5104</v>
      </c>
      <c r="O7" s="44">
        <f>Generator!H8</f>
        <v>15185</v>
      </c>
      <c r="P7" s="44">
        <f>Generator!L8</f>
        <v>8249</v>
      </c>
      <c r="Q7" s="44">
        <f>Generator!P8</f>
        <v>0</v>
      </c>
      <c r="R7" s="44">
        <f>Generator!T8</f>
        <v>4060</v>
      </c>
      <c r="S7" s="21">
        <f>Generator!X8</f>
        <v>7053</v>
      </c>
      <c r="T7" s="21">
        <f t="shared" si="0"/>
        <v>1.7672349888806522</v>
      </c>
      <c r="U7" s="21">
        <v>522.71</v>
      </c>
      <c r="V7" s="21">
        <v>1.84</v>
      </c>
      <c r="W7" s="30">
        <f>'RO Plant'!B8</f>
        <v>60</v>
      </c>
      <c r="X7" s="30">
        <f>'RO Plant'!C8</f>
        <v>28</v>
      </c>
      <c r="Y7" s="30">
        <f>'RO Plant'!D8</f>
        <v>141</v>
      </c>
      <c r="Z7" s="30">
        <f>'RO Plant'!E8</f>
        <v>155</v>
      </c>
      <c r="AA7" s="30">
        <f>'RO Plant'!F8</f>
        <v>71</v>
      </c>
      <c r="AB7" s="30">
        <f>'RO Plant'!G8</f>
        <v>0</v>
      </c>
      <c r="AC7" s="30">
        <f>'RO Plant'!H8</f>
        <v>101</v>
      </c>
      <c r="AD7" s="60">
        <v>12</v>
      </c>
      <c r="AE7" s="73">
        <v>0</v>
      </c>
      <c r="AF7" s="116">
        <f t="shared" ref="AF6:AF9" si="1">AD7*AE7</f>
        <v>0</v>
      </c>
      <c r="AG7" s="46">
        <f>AH7-AH6</f>
        <v>58</v>
      </c>
      <c r="AH7" s="139">
        <v>54876</v>
      </c>
      <c r="AI7" s="46"/>
    </row>
    <row r="8" spans="1:36">
      <c r="A8" s="123">
        <v>44901</v>
      </c>
      <c r="B8" s="41">
        <v>48.1</v>
      </c>
      <c r="C8" s="170">
        <v>235</v>
      </c>
      <c r="D8" s="213">
        <f>'EMS Gridvis'!B7</f>
        <v>3.23</v>
      </c>
      <c r="E8" s="213">
        <f>'EMS Gridvis'!C7</f>
        <v>4.0599999999999996</v>
      </c>
      <c r="F8" s="213">
        <f>'EMS Gridvis'!D7</f>
        <v>5.61</v>
      </c>
      <c r="G8" s="213">
        <f>'EMS Gridvis'!E7</f>
        <v>2.0099999999999998</v>
      </c>
      <c r="H8" s="213">
        <f>'EMS Gridvis'!F7</f>
        <v>2.48</v>
      </c>
      <c r="I8" s="213">
        <f>'EMS Gridvis'!G7</f>
        <v>2.37</v>
      </c>
      <c r="J8" s="213">
        <f>'EMS Gridvis'!H7</f>
        <v>1.2</v>
      </c>
      <c r="K8" s="213">
        <f>'EMS Gridvis'!I7</f>
        <v>1.71</v>
      </c>
      <c r="L8" s="214">
        <f>'EMS Gridvis'!J7</f>
        <v>3.81</v>
      </c>
      <c r="M8" s="215">
        <f>'EMS Gridvis'!K7</f>
        <v>0</v>
      </c>
      <c r="N8" s="44">
        <f>Generator!D9</f>
        <v>5958</v>
      </c>
      <c r="O8" s="44">
        <f>Generator!H9</f>
        <v>7287</v>
      </c>
      <c r="P8" s="44">
        <f>Generator!L9</f>
        <v>13165</v>
      </c>
      <c r="Q8" s="44">
        <f>Generator!P9</f>
        <v>0</v>
      </c>
      <c r="R8" s="44">
        <f>Generator!T9</f>
        <v>10663</v>
      </c>
      <c r="S8" s="21">
        <f>Generator!X9</f>
        <v>7893</v>
      </c>
      <c r="T8" s="21">
        <f t="shared" si="0"/>
        <v>1.7672349888806522</v>
      </c>
      <c r="U8" s="21">
        <v>522.71</v>
      </c>
      <c r="V8" s="21">
        <v>1.84</v>
      </c>
      <c r="W8" s="30">
        <f>'RO Plant'!B9</f>
        <v>62</v>
      </c>
      <c r="X8" s="30">
        <f>'RO Plant'!C9</f>
        <v>34</v>
      </c>
      <c r="Y8" s="30">
        <f>'RO Plant'!D9</f>
        <v>164</v>
      </c>
      <c r="Z8" s="30">
        <f>'RO Plant'!E9</f>
        <v>101</v>
      </c>
      <c r="AA8" s="30">
        <f>'RO Plant'!F9</f>
        <v>69</v>
      </c>
      <c r="AB8" s="30">
        <f>'RO Plant'!G9</f>
        <v>0</v>
      </c>
      <c r="AC8" s="30">
        <f>'RO Plant'!H9</f>
        <v>103</v>
      </c>
      <c r="AD8" s="54">
        <v>20</v>
      </c>
      <c r="AE8" s="73">
        <v>96</v>
      </c>
      <c r="AF8" s="66">
        <f t="shared" si="1"/>
        <v>1920</v>
      </c>
      <c r="AG8" s="46">
        <f>AH8-AH7</f>
        <v>110</v>
      </c>
      <c r="AH8" s="139">
        <v>54986</v>
      </c>
      <c r="AI8" s="46"/>
    </row>
    <row r="9" spans="1:36" ht="15" customHeight="1">
      <c r="A9" s="123">
        <v>44902</v>
      </c>
      <c r="B9" s="41">
        <v>48.1</v>
      </c>
      <c r="C9" s="170">
        <v>304</v>
      </c>
      <c r="D9" s="213">
        <f>'EMS Gridvis'!B8</f>
        <v>3.2</v>
      </c>
      <c r="E9" s="213">
        <f>'EMS Gridvis'!C8</f>
        <v>4.42</v>
      </c>
      <c r="F9" s="213">
        <f>'EMS Gridvis'!D8</f>
        <v>5.68</v>
      </c>
      <c r="G9" s="213">
        <f>'EMS Gridvis'!E8</f>
        <v>2.2999999999999998</v>
      </c>
      <c r="H9" s="213">
        <f>'EMS Gridvis'!F8</f>
        <v>2.46</v>
      </c>
      <c r="I9" s="213">
        <f>'EMS Gridvis'!G8</f>
        <v>2.29</v>
      </c>
      <c r="J9" s="213">
        <f>'EMS Gridvis'!H8</f>
        <v>1.1200000000000001</v>
      </c>
      <c r="K9" s="213">
        <f>'EMS Gridvis'!I8</f>
        <v>1.74</v>
      </c>
      <c r="L9" s="214">
        <f>'EMS Gridvis'!J8</f>
        <v>3.7</v>
      </c>
      <c r="M9" s="215">
        <f>'EMS Gridvis'!K8</f>
        <v>0</v>
      </c>
      <c r="N9" s="44">
        <f>Generator!D10</f>
        <v>6875</v>
      </c>
      <c r="O9" s="44">
        <f>Generator!H10</f>
        <v>8665</v>
      </c>
      <c r="P9" s="44">
        <f>Generator!L10</f>
        <v>15453</v>
      </c>
      <c r="Q9" s="44">
        <f>Generator!P10</f>
        <v>0</v>
      </c>
      <c r="R9" s="44">
        <f>Generator!T10</f>
        <v>4705</v>
      </c>
      <c r="S9" s="21">
        <f>Generator!X10</f>
        <v>7646</v>
      </c>
      <c r="T9" s="21">
        <f t="shared" si="0"/>
        <v>1.7672349888806522</v>
      </c>
      <c r="U9" s="21">
        <v>522.71</v>
      </c>
      <c r="V9" s="21">
        <v>1.84</v>
      </c>
      <c r="W9" s="30">
        <f>'RO Plant'!B10</f>
        <v>63</v>
      </c>
      <c r="X9" s="30">
        <f>'RO Plant'!C10</f>
        <v>21</v>
      </c>
      <c r="Y9" s="30">
        <f>'RO Plant'!D10</f>
        <v>166</v>
      </c>
      <c r="Z9" s="30">
        <f>'RO Plant'!E10</f>
        <v>93</v>
      </c>
      <c r="AA9" s="30">
        <f>'RO Plant'!F10</f>
        <v>73</v>
      </c>
      <c r="AB9" s="30">
        <f>'RO Plant'!G10</f>
        <v>0</v>
      </c>
      <c r="AC9" s="30">
        <f>'RO Plant'!H10</f>
        <v>103</v>
      </c>
      <c r="AD9" s="54">
        <v>24</v>
      </c>
      <c r="AE9" s="73">
        <v>0</v>
      </c>
      <c r="AF9" s="66">
        <f t="shared" si="1"/>
        <v>0</v>
      </c>
      <c r="AG9" s="46">
        <f>AH9-AH8</f>
        <v>121</v>
      </c>
      <c r="AH9" s="139">
        <v>55107</v>
      </c>
      <c r="AI9" s="46"/>
    </row>
    <row r="10" spans="1:36" ht="15.75" customHeight="1">
      <c r="A10" s="123">
        <v>44903</v>
      </c>
      <c r="B10" s="41">
        <v>49.4</v>
      </c>
      <c r="C10" s="170">
        <v>335</v>
      </c>
      <c r="D10" s="213">
        <f>'EMS Gridvis'!B9</f>
        <v>2.87</v>
      </c>
      <c r="E10" s="213">
        <f>'EMS Gridvis'!C9</f>
        <v>4.4000000000000004</v>
      </c>
      <c r="F10" s="213">
        <f>'EMS Gridvis'!D9</f>
        <v>5.64</v>
      </c>
      <c r="G10" s="213">
        <f>'EMS Gridvis'!E9</f>
        <v>2</v>
      </c>
      <c r="H10" s="213">
        <f>'EMS Gridvis'!F9</f>
        <v>2.25</v>
      </c>
      <c r="I10" s="213">
        <f>'EMS Gridvis'!G9</f>
        <v>2.2599999999999998</v>
      </c>
      <c r="J10" s="213">
        <f>'EMS Gridvis'!H9</f>
        <v>1.36</v>
      </c>
      <c r="K10" s="213">
        <f>'EMS Gridvis'!I9</f>
        <v>1.79</v>
      </c>
      <c r="L10" s="214">
        <f>'EMS Gridvis'!J9</f>
        <v>3.97</v>
      </c>
      <c r="M10" s="215">
        <f>'EMS Gridvis'!K9</f>
        <v>0</v>
      </c>
      <c r="N10" s="44">
        <f>Generator!D11</f>
        <v>12242</v>
      </c>
      <c r="O10" s="44">
        <f>Generator!H11</f>
        <v>9846</v>
      </c>
      <c r="P10" s="44">
        <f>Generator!L11</f>
        <v>11840</v>
      </c>
      <c r="Q10" s="44">
        <f>Generator!P11</f>
        <v>0</v>
      </c>
      <c r="R10" s="44">
        <f>Generator!T11</f>
        <v>9202</v>
      </c>
      <c r="S10" s="21">
        <f>Generator!X11</f>
        <v>8935</v>
      </c>
      <c r="T10" s="21">
        <f t="shared" si="0"/>
        <v>1.7672349888806522</v>
      </c>
      <c r="U10" s="21">
        <v>522.71</v>
      </c>
      <c r="V10" s="21">
        <v>1.84</v>
      </c>
      <c r="W10" s="30">
        <f>'RO Plant'!B11</f>
        <v>61</v>
      </c>
      <c r="X10" s="30">
        <f>'RO Plant'!C11</f>
        <v>23</v>
      </c>
      <c r="Y10" s="30">
        <f>'RO Plant'!D11</f>
        <v>166</v>
      </c>
      <c r="Z10" s="30">
        <f>'RO Plant'!E11</f>
        <v>167</v>
      </c>
      <c r="AA10" s="30">
        <f>'RO Plant'!F11</f>
        <v>84</v>
      </c>
      <c r="AB10" s="30">
        <f>'RO Plant'!G11</f>
        <v>0</v>
      </c>
      <c r="AC10" s="30">
        <f>'RO Plant'!H11</f>
        <v>107</v>
      </c>
      <c r="AD10" s="61"/>
      <c r="AE10" s="53" t="s">
        <v>75</v>
      </c>
      <c r="AF10" s="54">
        <f>SUM(AF5:AF9)</f>
        <v>1920</v>
      </c>
      <c r="AG10" s="46">
        <f>AH10-AH9</f>
        <v>113</v>
      </c>
      <c r="AH10" s="139">
        <v>55220</v>
      </c>
      <c r="AI10" s="46"/>
    </row>
    <row r="11" spans="1:36" ht="15" customHeight="1">
      <c r="A11" s="123">
        <v>44904</v>
      </c>
      <c r="B11" s="41">
        <v>49.4</v>
      </c>
      <c r="C11" s="170">
        <v>336</v>
      </c>
      <c r="D11" s="213">
        <f>'EMS Gridvis'!B10</f>
        <v>2.95</v>
      </c>
      <c r="E11" s="213">
        <f>'EMS Gridvis'!C10</f>
        <v>4.1900000000000004</v>
      </c>
      <c r="F11" s="213">
        <f>'EMS Gridvis'!D10</f>
        <v>5.86</v>
      </c>
      <c r="G11" s="213">
        <f>'EMS Gridvis'!E10</f>
        <v>2.19</v>
      </c>
      <c r="H11" s="213">
        <f>'EMS Gridvis'!F10</f>
        <v>2.31</v>
      </c>
      <c r="I11" s="213">
        <f>'EMS Gridvis'!G10</f>
        <v>2.44</v>
      </c>
      <c r="J11" s="213">
        <f>'EMS Gridvis'!H10</f>
        <v>1.37</v>
      </c>
      <c r="K11" s="213">
        <f>'EMS Gridvis'!I10</f>
        <v>1.68</v>
      </c>
      <c r="L11" s="214">
        <f>'EMS Gridvis'!J10</f>
        <v>3.87</v>
      </c>
      <c r="M11" s="215">
        <f>'EMS Gridvis'!K10</f>
        <v>0</v>
      </c>
      <c r="N11" s="44">
        <f>Generator!D12</f>
        <v>12070</v>
      </c>
      <c r="O11" s="44">
        <f>Generator!H12</f>
        <v>7118</v>
      </c>
      <c r="P11" s="44">
        <f>Generator!L12</f>
        <v>7111</v>
      </c>
      <c r="Q11" s="44">
        <f>Generator!P12</f>
        <v>0</v>
      </c>
      <c r="R11" s="44">
        <f>Generator!T12</f>
        <v>0</v>
      </c>
      <c r="S11" s="21">
        <f>Generator!X12</f>
        <v>5532</v>
      </c>
      <c r="T11" s="21">
        <f t="shared" si="0"/>
        <v>1.7672349888806522</v>
      </c>
      <c r="U11" s="21">
        <v>522.71</v>
      </c>
      <c r="V11" s="21">
        <v>1.84</v>
      </c>
      <c r="W11" s="30">
        <f>'RO Plant'!B12</f>
        <v>65</v>
      </c>
      <c r="X11" s="30">
        <f>'RO Plant'!C12</f>
        <v>37</v>
      </c>
      <c r="Y11" s="30">
        <f>'RO Plant'!D12</f>
        <v>130</v>
      </c>
      <c r="Z11" s="30">
        <f>'RO Plant'!E12</f>
        <v>143</v>
      </c>
      <c r="AA11" s="30">
        <f>'RO Plant'!F12</f>
        <v>61</v>
      </c>
      <c r="AB11" s="30">
        <f>'RO Plant'!G12</f>
        <v>0</v>
      </c>
      <c r="AC11" s="30">
        <f>'RO Plant'!H12</f>
        <v>73</v>
      </c>
      <c r="AD11" s="185" t="s">
        <v>76</v>
      </c>
      <c r="AE11" s="186"/>
      <c r="AF11" s="187"/>
      <c r="AG11" s="46">
        <f>AH11-AH10</f>
        <v>138</v>
      </c>
      <c r="AH11" s="139">
        <v>55358</v>
      </c>
      <c r="AI11" s="46"/>
    </row>
    <row r="12" spans="1:36" ht="15" customHeight="1">
      <c r="A12" s="123">
        <v>44905</v>
      </c>
      <c r="B12" s="41">
        <v>53.2</v>
      </c>
      <c r="C12" s="170">
        <v>344</v>
      </c>
      <c r="D12" s="213">
        <f>'EMS Gridvis'!B11</f>
        <v>3.02</v>
      </c>
      <c r="E12" s="213">
        <f>'EMS Gridvis'!C11</f>
        <v>4.26</v>
      </c>
      <c r="F12" s="213">
        <f>'EMS Gridvis'!D11</f>
        <v>5.97</v>
      </c>
      <c r="G12" s="213">
        <f>'EMS Gridvis'!E11</f>
        <v>2.17</v>
      </c>
      <c r="H12" s="213">
        <f>'EMS Gridvis'!F11</f>
        <v>2.44</v>
      </c>
      <c r="I12" s="213">
        <f>'EMS Gridvis'!G11</f>
        <v>2.74</v>
      </c>
      <c r="J12" s="213">
        <f>'EMS Gridvis'!H11</f>
        <v>1.41</v>
      </c>
      <c r="K12" s="213">
        <f>'EMS Gridvis'!I11</f>
        <v>1.7</v>
      </c>
      <c r="L12" s="214">
        <f>'EMS Gridvis'!J11</f>
        <v>4.0599999999999996</v>
      </c>
      <c r="M12" s="215">
        <f>'EMS Gridvis'!K11</f>
        <v>0</v>
      </c>
      <c r="N12" s="44">
        <f>Generator!D13</f>
        <v>7052</v>
      </c>
      <c r="O12" s="44">
        <f>Generator!H13</f>
        <v>6371</v>
      </c>
      <c r="P12" s="44">
        <f>Generator!L13</f>
        <v>7160</v>
      </c>
      <c r="Q12" s="44">
        <f>Generator!P13</f>
        <v>0</v>
      </c>
      <c r="R12" s="44">
        <f>Generator!T13</f>
        <v>16007</v>
      </c>
      <c r="S12" s="21">
        <f>Generator!X13</f>
        <v>7665</v>
      </c>
      <c r="T12" s="21">
        <f t="shared" si="0"/>
        <v>1.7672349888806522</v>
      </c>
      <c r="U12" s="21">
        <v>522.71</v>
      </c>
      <c r="V12" s="21">
        <v>1.84</v>
      </c>
      <c r="W12" s="30">
        <f>'RO Plant'!B13</f>
        <v>60</v>
      </c>
      <c r="X12" s="30">
        <f>'RO Plant'!C13</f>
        <v>38</v>
      </c>
      <c r="Y12" s="30">
        <f>'RO Plant'!D13</f>
        <v>159</v>
      </c>
      <c r="Z12" s="30">
        <f>'RO Plant'!E13</f>
        <v>118</v>
      </c>
      <c r="AA12" s="30">
        <f>'RO Plant'!F13</f>
        <v>67</v>
      </c>
      <c r="AB12" s="30">
        <f>'RO Plant'!G13</f>
        <v>0</v>
      </c>
      <c r="AC12" s="30">
        <f>'RO Plant'!H13</f>
        <v>97</v>
      </c>
      <c r="AD12" s="62"/>
      <c r="AE12" s="188" t="s">
        <v>77</v>
      </c>
      <c r="AF12" s="189"/>
      <c r="AG12" s="46">
        <f>AH12-AH11</f>
        <v>111</v>
      </c>
      <c r="AH12" s="139">
        <v>55469</v>
      </c>
      <c r="AI12" s="46"/>
    </row>
    <row r="13" spans="1:36" ht="15" customHeight="1">
      <c r="A13" s="123">
        <v>44906</v>
      </c>
      <c r="B13" s="41">
        <v>49.4</v>
      </c>
      <c r="C13" s="170">
        <v>329</v>
      </c>
      <c r="D13" s="213">
        <f>'EMS Gridvis'!B12</f>
        <v>3.37</v>
      </c>
      <c r="E13" s="213">
        <f>'EMS Gridvis'!C12</f>
        <v>4.5599999999999996</v>
      </c>
      <c r="F13" s="213">
        <f>'EMS Gridvis'!D12</f>
        <v>5.75</v>
      </c>
      <c r="G13" s="213">
        <f>'EMS Gridvis'!E12</f>
        <v>2.04</v>
      </c>
      <c r="H13" s="213">
        <f>'EMS Gridvis'!F12</f>
        <v>2.31</v>
      </c>
      <c r="I13" s="213">
        <f>'EMS Gridvis'!G12</f>
        <v>2.7</v>
      </c>
      <c r="J13" s="213">
        <f>'EMS Gridvis'!H12</f>
        <v>1.38</v>
      </c>
      <c r="K13" s="213">
        <f>'EMS Gridvis'!I12</f>
        <v>1.64</v>
      </c>
      <c r="L13" s="214">
        <f>'EMS Gridvis'!J12</f>
        <v>3.9</v>
      </c>
      <c r="M13" s="215">
        <f>'EMS Gridvis'!K12</f>
        <v>0</v>
      </c>
      <c r="N13" s="44">
        <f>Generator!D14</f>
        <v>9494</v>
      </c>
      <c r="O13" s="44">
        <f>Generator!H14</f>
        <v>6503</v>
      </c>
      <c r="P13" s="44">
        <f>Generator!L14</f>
        <v>13349</v>
      </c>
      <c r="Q13" s="44">
        <f>Generator!P14</f>
        <v>0</v>
      </c>
      <c r="R13" s="44">
        <f>Generator!T14</f>
        <v>7081</v>
      </c>
      <c r="S13" s="21">
        <f>Generator!X14</f>
        <v>7513</v>
      </c>
      <c r="T13" s="21">
        <f t="shared" si="0"/>
        <v>1.7672349888806522</v>
      </c>
      <c r="U13" s="21">
        <v>522.71</v>
      </c>
      <c r="V13" s="21">
        <v>1.84</v>
      </c>
      <c r="W13" s="30">
        <f>'RO Plant'!B14</f>
        <v>59</v>
      </c>
      <c r="X13" s="30">
        <f>'RO Plant'!C14</f>
        <v>22</v>
      </c>
      <c r="Y13" s="30">
        <f>'RO Plant'!D14</f>
        <v>160</v>
      </c>
      <c r="Z13" s="30">
        <f>'RO Plant'!E14</f>
        <v>138</v>
      </c>
      <c r="AA13" s="30">
        <f>'RO Plant'!F14</f>
        <v>78</v>
      </c>
      <c r="AB13" s="30">
        <f>'RO Plant'!G14</f>
        <v>0</v>
      </c>
      <c r="AC13" s="30">
        <f>'RO Plant'!H14</f>
        <v>104</v>
      </c>
      <c r="AD13" s="63" t="s">
        <v>78</v>
      </c>
      <c r="AE13" s="171">
        <v>1746</v>
      </c>
      <c r="AF13" s="172"/>
      <c r="AG13" s="46">
        <f t="shared" ref="AG11:AG33" si="2">AH13-AH12</f>
        <v>73</v>
      </c>
      <c r="AH13" s="139">
        <v>55542</v>
      </c>
      <c r="AI13" s="46"/>
    </row>
    <row r="14" spans="1:36" ht="15" customHeight="1">
      <c r="A14" s="123">
        <v>44907</v>
      </c>
      <c r="B14" s="41">
        <v>51.9</v>
      </c>
      <c r="C14" s="170">
        <v>309</v>
      </c>
      <c r="D14" s="213">
        <f>'EMS Gridvis'!B13</f>
        <v>3.28</v>
      </c>
      <c r="E14" s="213">
        <f>'EMS Gridvis'!C13</f>
        <v>4.47</v>
      </c>
      <c r="F14" s="213">
        <f>'EMS Gridvis'!D13</f>
        <v>6.02</v>
      </c>
      <c r="G14" s="213">
        <f>'EMS Gridvis'!E13</f>
        <v>2.42</v>
      </c>
      <c r="H14" s="213">
        <f>'EMS Gridvis'!F13</f>
        <v>3.11</v>
      </c>
      <c r="I14" s="213">
        <f>'EMS Gridvis'!G13</f>
        <v>2.76</v>
      </c>
      <c r="J14" s="213">
        <f>'EMS Gridvis'!H13</f>
        <v>1.47</v>
      </c>
      <c r="K14" s="213">
        <f>'EMS Gridvis'!I13</f>
        <v>1.69</v>
      </c>
      <c r="L14" s="214">
        <f>'EMS Gridvis'!J13</f>
        <v>4.13</v>
      </c>
      <c r="M14" s="215">
        <f>'EMS Gridvis'!K13</f>
        <v>0</v>
      </c>
      <c r="N14" s="44">
        <f>Generator!D15</f>
        <v>10521</v>
      </c>
      <c r="O14" s="44">
        <f>Generator!H15</f>
        <v>9206</v>
      </c>
      <c r="P14" s="44">
        <f>Generator!L15</f>
        <v>5706</v>
      </c>
      <c r="Q14" s="44">
        <f>Generator!P15</f>
        <v>2875</v>
      </c>
      <c r="R14" s="44">
        <f>Generator!T15</f>
        <v>9377</v>
      </c>
      <c r="S14" s="21">
        <f>Generator!X15</f>
        <v>8056</v>
      </c>
      <c r="T14" s="21">
        <f t="shared" si="0"/>
        <v>1.7672349888806522</v>
      </c>
      <c r="U14" s="21">
        <v>522.71</v>
      </c>
      <c r="V14" s="21">
        <v>1.84</v>
      </c>
      <c r="W14" s="30">
        <f>'RO Plant'!B15</f>
        <v>68</v>
      </c>
      <c r="X14" s="30">
        <f>'RO Plant'!C15</f>
        <v>34</v>
      </c>
      <c r="Y14" s="30">
        <f>'RO Plant'!D15</f>
        <v>170</v>
      </c>
      <c r="Z14" s="30">
        <f>'RO Plant'!E15</f>
        <v>142</v>
      </c>
      <c r="AA14" s="30">
        <f>'RO Plant'!F15</f>
        <v>99</v>
      </c>
      <c r="AB14" s="30">
        <f>'RO Plant'!G15</f>
        <v>0</v>
      </c>
      <c r="AC14" s="30">
        <f>'RO Plant'!H15</f>
        <v>92</v>
      </c>
      <c r="AD14" s="63" t="s">
        <v>79</v>
      </c>
      <c r="AE14" s="173">
        <v>1395</v>
      </c>
      <c r="AF14" s="174"/>
      <c r="AG14" s="46">
        <f t="shared" si="2"/>
        <v>113</v>
      </c>
      <c r="AH14" s="46">
        <v>55655</v>
      </c>
      <c r="AI14" s="46"/>
    </row>
    <row r="15" spans="1:36" ht="15">
      <c r="A15" s="123">
        <v>44908</v>
      </c>
      <c r="B15" s="112">
        <v>51.9</v>
      </c>
      <c r="C15" s="218">
        <v>312</v>
      </c>
      <c r="D15" s="213">
        <f>'EMS Gridvis'!B14</f>
        <v>3.03</v>
      </c>
      <c r="E15" s="213">
        <f>'EMS Gridvis'!C14</f>
        <v>4.3899999999999997</v>
      </c>
      <c r="F15" s="213">
        <f>'EMS Gridvis'!D14</f>
        <v>5.7</v>
      </c>
      <c r="G15" s="213">
        <f>'EMS Gridvis'!E14</f>
        <v>2.0099999999999998</v>
      </c>
      <c r="H15" s="213">
        <f>'EMS Gridvis'!F14</f>
        <v>2.7</v>
      </c>
      <c r="I15" s="213">
        <f>'EMS Gridvis'!G14</f>
        <v>2.54</v>
      </c>
      <c r="J15" s="213">
        <f>'EMS Gridvis'!H14</f>
        <v>1.18</v>
      </c>
      <c r="K15" s="213">
        <f>'EMS Gridvis'!I14</f>
        <v>1.69</v>
      </c>
      <c r="L15" s="214">
        <f>'EMS Gridvis'!J14</f>
        <v>3.8</v>
      </c>
      <c r="M15" s="215">
        <f>'EMS Gridvis'!K14</f>
        <v>0</v>
      </c>
      <c r="N15" s="44">
        <f>Generator!D16</f>
        <v>6254</v>
      </c>
      <c r="O15" s="44">
        <f>Generator!H16</f>
        <v>10085</v>
      </c>
      <c r="P15" s="44">
        <f>Generator!L16</f>
        <v>5890</v>
      </c>
      <c r="Q15" s="44">
        <f>Generator!P16</f>
        <v>2723</v>
      </c>
      <c r="R15" s="44">
        <f>Generator!T16</f>
        <v>10069</v>
      </c>
      <c r="S15" s="21">
        <f>Generator!X16</f>
        <v>7235</v>
      </c>
      <c r="T15" s="21">
        <f t="shared" si="0"/>
        <v>1.7672349888806522</v>
      </c>
      <c r="U15" s="21">
        <v>522.71</v>
      </c>
      <c r="V15" s="21">
        <v>1.84</v>
      </c>
      <c r="W15" s="30">
        <f>'RO Plant'!B16</f>
        <v>63</v>
      </c>
      <c r="X15" s="30">
        <f>'RO Plant'!C16</f>
        <v>19</v>
      </c>
      <c r="Y15" s="30">
        <f>'RO Plant'!D16</f>
        <v>162</v>
      </c>
      <c r="Z15" s="30">
        <f>'RO Plant'!E16</f>
        <v>136</v>
      </c>
      <c r="AA15" s="30">
        <f>'RO Plant'!F16</f>
        <v>91</v>
      </c>
      <c r="AB15" s="30">
        <f>'RO Plant'!G16</f>
        <v>0</v>
      </c>
      <c r="AC15" s="30">
        <f>'RO Plant'!H16</f>
        <v>99</v>
      </c>
      <c r="AD15" s="69"/>
      <c r="AE15" s="70" t="s">
        <v>75</v>
      </c>
      <c r="AF15" s="159">
        <f>SUM(AE13:AF14)</f>
        <v>3141</v>
      </c>
      <c r="AG15" s="129">
        <f t="shared" si="2"/>
        <v>96</v>
      </c>
      <c r="AH15" s="140">
        <v>55751</v>
      </c>
      <c r="AI15" s="46"/>
    </row>
    <row r="16" spans="1:36" ht="15" customHeight="1">
      <c r="A16" s="123">
        <v>44909</v>
      </c>
      <c r="B16" s="38">
        <v>57.1</v>
      </c>
      <c r="C16" s="169">
        <v>393</v>
      </c>
      <c r="D16" s="213">
        <f>'EMS Gridvis'!B15</f>
        <v>3.25</v>
      </c>
      <c r="E16" s="213">
        <f>'EMS Gridvis'!C15</f>
        <v>4.7699999999999996</v>
      </c>
      <c r="F16" s="213">
        <f>'EMS Gridvis'!D15</f>
        <v>5.86</v>
      </c>
      <c r="G16" s="213">
        <f>'EMS Gridvis'!E15</f>
        <v>2.35</v>
      </c>
      <c r="H16" s="213">
        <f>'EMS Gridvis'!F15</f>
        <v>2.4</v>
      </c>
      <c r="I16" s="213">
        <f>'EMS Gridvis'!G15</f>
        <v>2.5</v>
      </c>
      <c r="J16" s="213">
        <f>'EMS Gridvis'!H15</f>
        <v>1.46</v>
      </c>
      <c r="K16" s="213">
        <f>'EMS Gridvis'!I15</f>
        <v>1.71</v>
      </c>
      <c r="L16" s="214">
        <f>'EMS Gridvis'!J15</f>
        <v>4</v>
      </c>
      <c r="M16" s="215">
        <f>'EMS Gridvis'!K15</f>
        <v>0</v>
      </c>
      <c r="N16" s="44">
        <f>Generator!D17</f>
        <v>5717</v>
      </c>
      <c r="O16" s="44">
        <f>Generator!H17</f>
        <v>9917</v>
      </c>
      <c r="P16" s="44">
        <f>Generator!L17</f>
        <v>5774</v>
      </c>
      <c r="Q16" s="44">
        <f>Generator!P17</f>
        <v>4975</v>
      </c>
      <c r="R16" s="44">
        <f>Generator!T17</f>
        <v>9974</v>
      </c>
      <c r="S16" s="21">
        <f>Generator!X17</f>
        <v>8376</v>
      </c>
      <c r="T16" s="21">
        <f t="shared" si="0"/>
        <v>1.7672349888806522</v>
      </c>
      <c r="U16" s="21">
        <v>522.71</v>
      </c>
      <c r="V16" s="21">
        <v>1.84</v>
      </c>
      <c r="W16" s="30">
        <f>'RO Plant'!B17</f>
        <v>74</v>
      </c>
      <c r="X16" s="30">
        <f>'RO Plant'!C17</f>
        <v>27</v>
      </c>
      <c r="Y16" s="30">
        <f>'RO Plant'!D17</f>
        <v>162</v>
      </c>
      <c r="Z16" s="30">
        <f>'RO Plant'!E17</f>
        <v>124</v>
      </c>
      <c r="AA16" s="30">
        <f>'RO Plant'!F17</f>
        <v>73</v>
      </c>
      <c r="AB16" s="30">
        <f>'RO Plant'!G17</f>
        <v>0</v>
      </c>
      <c r="AC16" s="30">
        <f>'RO Plant'!H17</f>
        <v>105</v>
      </c>
      <c r="AD16" s="175"/>
      <c r="AE16" s="176"/>
      <c r="AF16" s="177"/>
      <c r="AG16" s="46">
        <f>AH16-AH15</f>
        <v>107</v>
      </c>
      <c r="AH16" s="139">
        <v>55858</v>
      </c>
      <c r="AI16" s="46"/>
    </row>
    <row r="17" spans="1:35" ht="15" customHeight="1">
      <c r="A17" s="123">
        <v>44910</v>
      </c>
      <c r="B17" s="38">
        <v>61</v>
      </c>
      <c r="C17" s="169">
        <v>360</v>
      </c>
      <c r="D17" s="213">
        <f>'EMS Gridvis'!B16</f>
        <v>3.06</v>
      </c>
      <c r="E17" s="213">
        <f>'EMS Gridvis'!C16</f>
        <v>4.57</v>
      </c>
      <c r="F17" s="213">
        <f>'EMS Gridvis'!D16</f>
        <v>5.95</v>
      </c>
      <c r="G17" s="213">
        <f>'EMS Gridvis'!E16</f>
        <v>2.19</v>
      </c>
      <c r="H17" s="213">
        <f>'EMS Gridvis'!F16</f>
        <v>2.52</v>
      </c>
      <c r="I17" s="213">
        <f>'EMS Gridvis'!G16</f>
        <v>2.72</v>
      </c>
      <c r="J17" s="213">
        <f>'EMS Gridvis'!H16</f>
        <v>1.42</v>
      </c>
      <c r="K17" s="213">
        <f>'EMS Gridvis'!I16</f>
        <v>1.77</v>
      </c>
      <c r="L17" s="214">
        <f>'EMS Gridvis'!J16</f>
        <v>3.87</v>
      </c>
      <c r="M17" s="215">
        <f>'EMS Gridvis'!K16</f>
        <v>0</v>
      </c>
      <c r="N17" s="44">
        <f>Generator!D18</f>
        <v>5827</v>
      </c>
      <c r="O17" s="44">
        <f>Generator!H18</f>
        <v>10009</v>
      </c>
      <c r="P17" s="44">
        <f>Generator!L18</f>
        <v>5887</v>
      </c>
      <c r="Q17" s="44">
        <f>Generator!P18</f>
        <v>4048</v>
      </c>
      <c r="R17" s="44">
        <f>Generator!T18</f>
        <v>10164</v>
      </c>
      <c r="S17" s="21">
        <f>Generator!X18</f>
        <v>6992</v>
      </c>
      <c r="T17" s="21">
        <f t="shared" si="0"/>
        <v>1.7672349888806522</v>
      </c>
      <c r="U17" s="21">
        <v>522.71</v>
      </c>
      <c r="V17" s="21">
        <v>1.84</v>
      </c>
      <c r="W17" s="30">
        <f>'RO Plant'!B18</f>
        <v>68</v>
      </c>
      <c r="X17" s="30">
        <f>'RO Plant'!C18</f>
        <v>27</v>
      </c>
      <c r="Y17" s="30">
        <f>'RO Plant'!D18</f>
        <v>161</v>
      </c>
      <c r="Z17" s="30">
        <f>'RO Plant'!E18</f>
        <v>123</v>
      </c>
      <c r="AA17" s="30">
        <f>'RO Plant'!F18</f>
        <v>86</v>
      </c>
      <c r="AB17" s="30">
        <f>'RO Plant'!G18</f>
        <v>74</v>
      </c>
      <c r="AC17" s="30">
        <f>'RO Plant'!H18</f>
        <v>104</v>
      </c>
      <c r="AD17" s="178"/>
      <c r="AE17" s="177"/>
      <c r="AF17" s="177"/>
      <c r="AG17" s="46">
        <f>AH17-AH16</f>
        <v>164</v>
      </c>
      <c r="AH17" s="139">
        <v>56022</v>
      </c>
      <c r="AI17" s="46"/>
    </row>
    <row r="18" spans="1:35" ht="15" customHeight="1">
      <c r="A18" s="123">
        <v>44911</v>
      </c>
      <c r="B18" s="38">
        <v>61</v>
      </c>
      <c r="C18" s="169">
        <v>344</v>
      </c>
      <c r="D18" s="213">
        <f>'EMS Gridvis'!B17</f>
        <v>2.25</v>
      </c>
      <c r="E18" s="213">
        <f>'EMS Gridvis'!C17</f>
        <v>3.41</v>
      </c>
      <c r="F18" s="213">
        <f>'EMS Gridvis'!D17</f>
        <v>5.34</v>
      </c>
      <c r="G18" s="213">
        <f>'EMS Gridvis'!E17</f>
        <v>1.82</v>
      </c>
      <c r="H18" s="213">
        <f>'EMS Gridvis'!F17</f>
        <v>2.06</v>
      </c>
      <c r="I18" s="213">
        <f>'EMS Gridvis'!G17</f>
        <v>2.2400000000000002</v>
      </c>
      <c r="J18" s="213">
        <f>'EMS Gridvis'!H17</f>
        <v>1.48</v>
      </c>
      <c r="K18" s="213">
        <f>'EMS Gridvis'!I17</f>
        <v>1.58</v>
      </c>
      <c r="L18" s="214">
        <f>'EMS Gridvis'!J17</f>
        <v>3.76</v>
      </c>
      <c r="M18" s="215">
        <f>'EMS Gridvis'!K17</f>
        <v>0</v>
      </c>
      <c r="N18" s="44">
        <f>Generator!D19</f>
        <v>5417</v>
      </c>
      <c r="O18" s="44">
        <f>Generator!H19</f>
        <v>10261</v>
      </c>
      <c r="P18" s="44">
        <f>Generator!L19</f>
        <v>5358</v>
      </c>
      <c r="Q18" s="44">
        <f>Generator!P19</f>
        <v>0</v>
      </c>
      <c r="R18" s="44">
        <f>Generator!T19</f>
        <v>10339</v>
      </c>
      <c r="S18" s="21">
        <f>Generator!X19</f>
        <v>6766</v>
      </c>
      <c r="T18" s="21">
        <f t="shared" si="0"/>
        <v>1.7672349888806522</v>
      </c>
      <c r="U18" s="21">
        <v>522.71</v>
      </c>
      <c r="V18" s="21">
        <v>1.84</v>
      </c>
      <c r="W18" s="30">
        <f>'RO Plant'!B19</f>
        <v>63</v>
      </c>
      <c r="X18" s="30">
        <f>'RO Plant'!C19</f>
        <v>51</v>
      </c>
      <c r="Y18" s="30">
        <f>'RO Plant'!D19</f>
        <v>139</v>
      </c>
      <c r="Z18" s="30">
        <f>'RO Plant'!E19</f>
        <v>126.73333333333333</v>
      </c>
      <c r="AA18" s="30">
        <f>'RO Plant'!F19</f>
        <v>79</v>
      </c>
      <c r="AB18" s="30">
        <f>'RO Plant'!G19</f>
        <v>0</v>
      </c>
      <c r="AC18" s="30">
        <f>'RO Plant'!H19</f>
        <v>103</v>
      </c>
      <c r="AD18" s="178"/>
      <c r="AE18" s="177"/>
      <c r="AF18" s="177"/>
      <c r="AG18" s="46">
        <f t="shared" si="2"/>
        <v>181</v>
      </c>
      <c r="AH18" s="139">
        <v>56203</v>
      </c>
      <c r="AI18" s="46"/>
    </row>
    <row r="19" spans="1:35" ht="15" customHeight="1">
      <c r="A19" s="123">
        <v>44912</v>
      </c>
      <c r="B19" s="38">
        <v>50.6</v>
      </c>
      <c r="C19" s="169">
        <v>309</v>
      </c>
      <c r="D19" s="213">
        <f>'EMS Gridvis'!B18</f>
        <v>2.63</v>
      </c>
      <c r="E19" s="213">
        <f>'EMS Gridvis'!C18</f>
        <v>3.98</v>
      </c>
      <c r="F19" s="213">
        <f>'EMS Gridvis'!D18</f>
        <v>5.59</v>
      </c>
      <c r="G19" s="213">
        <f>'EMS Gridvis'!E18</f>
        <v>1.64</v>
      </c>
      <c r="H19" s="213">
        <f>'EMS Gridvis'!F18</f>
        <v>2.2400000000000002</v>
      </c>
      <c r="I19" s="213">
        <f>'EMS Gridvis'!G18</f>
        <v>2.1</v>
      </c>
      <c r="J19" s="213">
        <f>'EMS Gridvis'!H18</f>
        <v>1.31</v>
      </c>
      <c r="K19" s="213">
        <f>'EMS Gridvis'!I18</f>
        <v>1.74</v>
      </c>
      <c r="L19" s="214">
        <f>'EMS Gridvis'!J18</f>
        <v>3.42</v>
      </c>
      <c r="M19" s="215">
        <f>'EMS Gridvis'!K18</f>
        <v>0</v>
      </c>
      <c r="N19" s="44">
        <f>Generator!D20</f>
        <v>10478</v>
      </c>
      <c r="O19" s="44">
        <f>Generator!H20</f>
        <v>9639</v>
      </c>
      <c r="P19" s="44">
        <f>Generator!L20</f>
        <v>4990</v>
      </c>
      <c r="Q19" s="44">
        <f>Generator!P20</f>
        <v>2567</v>
      </c>
      <c r="R19" s="44">
        <f>Generator!T20</f>
        <v>4030</v>
      </c>
      <c r="S19" s="21">
        <f>Generator!X20</f>
        <v>6851</v>
      </c>
      <c r="T19" s="21">
        <f t="shared" si="0"/>
        <v>1.7672349888806522</v>
      </c>
      <c r="U19" s="21">
        <v>522.71</v>
      </c>
      <c r="V19" s="21">
        <v>1.84</v>
      </c>
      <c r="W19" s="30">
        <f>'RO Plant'!B20</f>
        <v>63.25</v>
      </c>
      <c r="X19" s="30">
        <f>'RO Plant'!C20</f>
        <v>28.25</v>
      </c>
      <c r="Y19" s="30">
        <f>'RO Plant'!D20</f>
        <v>155.8125</v>
      </c>
      <c r="Z19" s="30">
        <f>'RO Plant'!E20</f>
        <v>126.73333333333333</v>
      </c>
      <c r="AA19" s="30">
        <f>'RO Plant'!F20</f>
        <v>76.6875</v>
      </c>
      <c r="AB19" s="30">
        <f>'RO Plant'!G20</f>
        <v>0</v>
      </c>
      <c r="AC19" s="30">
        <f>'RO Plant'!H20</f>
        <v>99.4375</v>
      </c>
      <c r="AD19" s="178"/>
      <c r="AE19" s="177"/>
      <c r="AF19" s="177"/>
      <c r="AG19" s="46">
        <f t="shared" si="2"/>
        <v>266</v>
      </c>
      <c r="AH19" s="139">
        <v>56469</v>
      </c>
      <c r="AI19" s="46"/>
    </row>
    <row r="20" spans="1:35" ht="15" customHeight="1">
      <c r="A20" s="123">
        <v>44913</v>
      </c>
      <c r="B20" s="38">
        <v>67.5</v>
      </c>
      <c r="C20" s="169">
        <v>510</v>
      </c>
      <c r="D20" s="213">
        <f>'EMS Gridvis'!B19</f>
        <v>2.42</v>
      </c>
      <c r="E20" s="213">
        <f>'EMS Gridvis'!C19</f>
        <v>4.24</v>
      </c>
      <c r="F20" s="213">
        <f>'EMS Gridvis'!D19</f>
        <v>5.57</v>
      </c>
      <c r="G20" s="213">
        <f>'EMS Gridvis'!E19</f>
        <v>1.71</v>
      </c>
      <c r="H20" s="213">
        <f>'EMS Gridvis'!F19</f>
        <v>2.21</v>
      </c>
      <c r="I20" s="213">
        <f>'EMS Gridvis'!G19</f>
        <v>2.13</v>
      </c>
      <c r="J20" s="213">
        <f>'EMS Gridvis'!H19</f>
        <v>1.1299999999999999</v>
      </c>
      <c r="K20" s="213">
        <f>'EMS Gridvis'!I19</f>
        <v>1.63</v>
      </c>
      <c r="L20" s="214">
        <f>'EMS Gridvis'!J19</f>
        <v>3.3</v>
      </c>
      <c r="M20" s="215">
        <f>'EMS Gridvis'!K19</f>
        <v>0</v>
      </c>
      <c r="N20" s="44">
        <f>Generator!D21</f>
        <v>6082</v>
      </c>
      <c r="O20" s="44">
        <f>Generator!H21</f>
        <v>8841</v>
      </c>
      <c r="P20" s="44">
        <f>Generator!L21</f>
        <v>6085</v>
      </c>
      <c r="Q20" s="44">
        <f>Generator!P21</f>
        <v>3177</v>
      </c>
      <c r="R20" s="44">
        <f>Generator!T21</f>
        <v>8994</v>
      </c>
      <c r="S20" s="21">
        <f>Generator!X21</f>
        <v>7164</v>
      </c>
      <c r="T20" s="21">
        <f t="shared" si="0"/>
        <v>1.7672349888806522</v>
      </c>
      <c r="U20" s="21">
        <v>522.71</v>
      </c>
      <c r="V20" s="21">
        <v>1.84</v>
      </c>
      <c r="W20" s="30">
        <f>'RO Plant'!B21</f>
        <v>68</v>
      </c>
      <c r="X20" s="30">
        <f>'RO Plant'!C21</f>
        <v>32</v>
      </c>
      <c r="Y20" s="30">
        <f>'RO Plant'!D21</f>
        <v>125</v>
      </c>
      <c r="Z20" s="30">
        <f>'RO Plant'!E21</f>
        <v>123</v>
      </c>
      <c r="AA20" s="30">
        <f>'RO Plant'!F21</f>
        <v>94</v>
      </c>
      <c r="AB20" s="30">
        <f>'RO Plant'!G21</f>
        <v>0</v>
      </c>
      <c r="AC20" s="30">
        <f>'RO Plant'!H21</f>
        <v>104</v>
      </c>
      <c r="AD20" s="178"/>
      <c r="AE20" s="177"/>
      <c r="AF20" s="177"/>
      <c r="AG20" s="46">
        <f>AH20-AH19</f>
        <v>187</v>
      </c>
      <c r="AH20" s="139">
        <v>56656</v>
      </c>
      <c r="AI20" s="46"/>
    </row>
    <row r="21" spans="1:35" ht="15" customHeight="1">
      <c r="A21" s="123">
        <v>44914</v>
      </c>
      <c r="B21" s="38">
        <v>79.2</v>
      </c>
      <c r="C21" s="169">
        <v>577</v>
      </c>
      <c r="D21" s="213">
        <f>'EMS Gridvis'!B20</f>
        <v>2.52</v>
      </c>
      <c r="E21" s="213">
        <f>'EMS Gridvis'!C20</f>
        <v>4.22</v>
      </c>
      <c r="F21" s="213">
        <f>'EMS Gridvis'!D20</f>
        <v>5.65</v>
      </c>
      <c r="G21" s="213">
        <f>'EMS Gridvis'!E20</f>
        <v>1.74</v>
      </c>
      <c r="H21" s="213">
        <f>'EMS Gridvis'!F20</f>
        <v>2.39</v>
      </c>
      <c r="I21" s="213">
        <f>'EMS Gridvis'!G20</f>
        <v>2.16</v>
      </c>
      <c r="J21" s="213">
        <f>'EMS Gridvis'!H20</f>
        <v>1.44</v>
      </c>
      <c r="K21" s="213">
        <f>'EMS Gridvis'!I20</f>
        <v>1.62</v>
      </c>
      <c r="L21" s="214">
        <f>'EMS Gridvis'!J20</f>
        <v>3.9</v>
      </c>
      <c r="M21" s="215">
        <f>'EMS Gridvis'!K20</f>
        <v>0</v>
      </c>
      <c r="N21" s="44">
        <f>Generator!D22</f>
        <v>9964</v>
      </c>
      <c r="O21" s="44">
        <f>Generator!H22</f>
        <v>9953</v>
      </c>
      <c r="P21" s="44">
        <f>Generator!L22</f>
        <v>5813</v>
      </c>
      <c r="Q21" s="44">
        <f>Generator!P22</f>
        <v>1298</v>
      </c>
      <c r="R21" s="44">
        <f>Generator!T22</f>
        <v>5712</v>
      </c>
      <c r="S21" s="21">
        <f>Generator!X22</f>
        <v>6982</v>
      </c>
      <c r="T21" s="21">
        <f t="shared" si="0"/>
        <v>1.7672349888806522</v>
      </c>
      <c r="U21" s="21">
        <v>522.71</v>
      </c>
      <c r="V21" s="21">
        <v>1.84</v>
      </c>
      <c r="W21" s="30">
        <f>'RO Plant'!B22</f>
        <v>77</v>
      </c>
      <c r="X21" s="30">
        <f>'RO Plant'!C22</f>
        <v>29</v>
      </c>
      <c r="Y21" s="30">
        <f>'RO Plant'!D22</f>
        <v>120</v>
      </c>
      <c r="Z21" s="30">
        <f>'RO Plant'!E22</f>
        <v>123</v>
      </c>
      <c r="AA21" s="30">
        <f>'RO Plant'!F22</f>
        <v>77</v>
      </c>
      <c r="AB21" s="30">
        <f>'RO Plant'!G22</f>
        <v>0</v>
      </c>
      <c r="AC21" s="30">
        <f>'RO Plant'!H22</f>
        <v>103</v>
      </c>
      <c r="AD21" s="178"/>
      <c r="AE21" s="177"/>
      <c r="AF21" s="177"/>
      <c r="AG21" s="46">
        <f>AH21-AH20</f>
        <v>91</v>
      </c>
      <c r="AH21" s="139">
        <v>56747</v>
      </c>
      <c r="AI21" s="46"/>
    </row>
    <row r="22" spans="1:35" ht="15" customHeight="1">
      <c r="A22" s="123">
        <v>44915</v>
      </c>
      <c r="B22" s="38">
        <v>76.599999999999994</v>
      </c>
      <c r="C22" s="169">
        <v>618</v>
      </c>
      <c r="D22" s="213">
        <f>'EMS Gridvis'!B21</f>
        <v>2.87</v>
      </c>
      <c r="E22" s="213">
        <f>'EMS Gridvis'!C21</f>
        <v>4.1399999999999997</v>
      </c>
      <c r="F22" s="213">
        <f>'EMS Gridvis'!D21</f>
        <v>5.6</v>
      </c>
      <c r="G22" s="213">
        <f>'EMS Gridvis'!E21</f>
        <v>1.65</v>
      </c>
      <c r="H22" s="213">
        <f>'EMS Gridvis'!F21</f>
        <v>2.2999999999999998</v>
      </c>
      <c r="I22" s="213">
        <f>'EMS Gridvis'!G21</f>
        <v>2.2400000000000002</v>
      </c>
      <c r="J22" s="213">
        <f>'EMS Gridvis'!H21</f>
        <v>1.36</v>
      </c>
      <c r="K22" s="213">
        <f>'EMS Gridvis'!I21</f>
        <v>1.57</v>
      </c>
      <c r="L22" s="214">
        <f>'EMS Gridvis'!J21</f>
        <v>3.98</v>
      </c>
      <c r="M22" s="215">
        <f>'EMS Gridvis'!K21</f>
        <v>0</v>
      </c>
      <c r="N22" s="44">
        <f>Generator!D23</f>
        <v>16199</v>
      </c>
      <c r="O22" s="44">
        <f>Generator!H23</f>
        <v>10584</v>
      </c>
      <c r="P22" s="44">
        <f>Generator!L23</f>
        <v>5628</v>
      </c>
      <c r="Q22" s="44">
        <f>Generator!P23</f>
        <v>0</v>
      </c>
      <c r="R22" s="44">
        <f>Generator!T23</f>
        <v>0</v>
      </c>
      <c r="S22" s="21">
        <f>Generator!X23</f>
        <v>6859</v>
      </c>
      <c r="T22" s="21">
        <f t="shared" si="0"/>
        <v>1.7672349888806522</v>
      </c>
      <c r="U22" s="21">
        <v>522.71</v>
      </c>
      <c r="V22" s="21">
        <v>1.84</v>
      </c>
      <c r="W22" s="30">
        <f>'RO Plant'!B23</f>
        <v>86</v>
      </c>
      <c r="X22" s="30">
        <f>'RO Plant'!C23</f>
        <v>30</v>
      </c>
      <c r="Y22" s="30">
        <f>'RO Plant'!D23</f>
        <v>153</v>
      </c>
      <c r="Z22" s="30">
        <f>'RO Plant'!E23</f>
        <v>174</v>
      </c>
      <c r="AA22" s="30">
        <f>'RO Plant'!F23</f>
        <v>108</v>
      </c>
      <c r="AB22" s="30">
        <f>'RO Plant'!G23</f>
        <v>0</v>
      </c>
      <c r="AC22" s="30">
        <f>'RO Plant'!H23</f>
        <v>104</v>
      </c>
      <c r="AD22" s="178"/>
      <c r="AE22" s="177"/>
      <c r="AF22" s="177"/>
      <c r="AG22" s="46">
        <f t="shared" si="2"/>
        <v>154</v>
      </c>
      <c r="AH22" s="139">
        <v>56901</v>
      </c>
      <c r="AI22" s="110"/>
    </row>
    <row r="23" spans="1:35" ht="15" customHeight="1">
      <c r="A23" s="123">
        <v>44916</v>
      </c>
      <c r="B23" s="38">
        <v>66.2</v>
      </c>
      <c r="C23" s="169">
        <v>504</v>
      </c>
      <c r="D23" s="213">
        <f>'EMS Gridvis'!B22</f>
        <v>3.15</v>
      </c>
      <c r="E23" s="213">
        <f>'EMS Gridvis'!C22</f>
        <v>4.4800000000000004</v>
      </c>
      <c r="F23" s="213">
        <f>'EMS Gridvis'!D22</f>
        <v>6.03</v>
      </c>
      <c r="G23" s="213">
        <f>'EMS Gridvis'!E22</f>
        <v>1.96</v>
      </c>
      <c r="H23" s="213">
        <f>'EMS Gridvis'!F22</f>
        <v>2.56</v>
      </c>
      <c r="I23" s="213">
        <f>'EMS Gridvis'!G22</f>
        <v>2.37</v>
      </c>
      <c r="J23" s="213">
        <f>'EMS Gridvis'!H22</f>
        <v>1.38</v>
      </c>
      <c r="K23" s="213">
        <f>'EMS Gridvis'!I22</f>
        <v>1.71</v>
      </c>
      <c r="L23" s="214">
        <f>'EMS Gridvis'!J22</f>
        <v>4.04</v>
      </c>
      <c r="M23" s="215">
        <f>'EMS Gridvis'!K22</f>
        <v>0</v>
      </c>
      <c r="N23" s="44">
        <f>Generator!D24</f>
        <v>5965</v>
      </c>
      <c r="O23" s="44">
        <f>Generator!H24</f>
        <v>10543</v>
      </c>
      <c r="P23" s="44">
        <f>Generator!L24</f>
        <v>5900</v>
      </c>
      <c r="Q23" s="44">
        <f>Generator!P24</f>
        <v>4117</v>
      </c>
      <c r="R23" s="44">
        <f>Generator!T24</f>
        <v>11265</v>
      </c>
      <c r="S23" s="21">
        <f>Generator!X24</f>
        <v>8133</v>
      </c>
      <c r="T23" s="21">
        <f t="shared" si="0"/>
        <v>1.7672349888806522</v>
      </c>
      <c r="U23" s="21">
        <v>522.71</v>
      </c>
      <c r="V23" s="21">
        <v>1.84</v>
      </c>
      <c r="W23" s="30">
        <f>'RO Plant'!B24</f>
        <v>83</v>
      </c>
      <c r="X23" s="30">
        <f>'RO Plant'!C24</f>
        <v>68</v>
      </c>
      <c r="Y23" s="30">
        <f>'RO Plant'!D24</f>
        <v>143</v>
      </c>
      <c r="Z23" s="30">
        <f>'RO Plant'!E24</f>
        <v>190</v>
      </c>
      <c r="AA23" s="30">
        <f>'RO Plant'!F24</f>
        <v>90</v>
      </c>
      <c r="AB23" s="30">
        <f>'RO Plant'!G24</f>
        <v>0</v>
      </c>
      <c r="AC23" s="30">
        <f>'RO Plant'!H24</f>
        <v>92</v>
      </c>
      <c r="AD23" s="178"/>
      <c r="AE23" s="177"/>
      <c r="AF23" s="177"/>
      <c r="AG23" s="46">
        <f t="shared" si="2"/>
        <v>197</v>
      </c>
      <c r="AH23" s="139">
        <v>57098</v>
      </c>
      <c r="AI23" s="159"/>
    </row>
    <row r="24" spans="1:35" ht="15" customHeight="1">
      <c r="A24" s="123">
        <v>44917</v>
      </c>
      <c r="B24" s="38">
        <v>58.4</v>
      </c>
      <c r="C24" s="169">
        <v>616</v>
      </c>
      <c r="D24" s="213">
        <f>'EMS Gridvis'!B23</f>
        <v>2.84</v>
      </c>
      <c r="E24" s="213">
        <f>'EMS Gridvis'!C23</f>
        <v>4.62</v>
      </c>
      <c r="F24" s="213">
        <f>'EMS Gridvis'!D23</f>
        <v>6.08</v>
      </c>
      <c r="G24" s="213">
        <f>'EMS Gridvis'!E23</f>
        <v>2</v>
      </c>
      <c r="H24" s="213">
        <f>'EMS Gridvis'!F23</f>
        <v>2.65</v>
      </c>
      <c r="I24" s="213">
        <f>'EMS Gridvis'!G23</f>
        <v>2.84</v>
      </c>
      <c r="J24" s="213">
        <f>'EMS Gridvis'!H23</f>
        <v>1.38</v>
      </c>
      <c r="K24" s="213">
        <f>'EMS Gridvis'!I23</f>
        <v>1.7</v>
      </c>
      <c r="L24" s="214">
        <f>'EMS Gridvis'!J23</f>
        <v>4.12</v>
      </c>
      <c r="M24" s="215">
        <f>'EMS Gridvis'!K23</f>
        <v>0</v>
      </c>
      <c r="N24" s="44">
        <f>Generator!D25</f>
        <v>6137</v>
      </c>
      <c r="O24" s="44">
        <f>Generator!H25</f>
        <v>9708</v>
      </c>
      <c r="P24" s="44">
        <f>Generator!L25</f>
        <v>6227</v>
      </c>
      <c r="Q24" s="44">
        <f>Generator!P25</f>
        <v>5251</v>
      </c>
      <c r="R24" s="44">
        <f>Generator!T25</f>
        <v>9915</v>
      </c>
      <c r="S24" s="21">
        <f>Generator!X25</f>
        <v>8094</v>
      </c>
      <c r="T24" s="21">
        <f t="shared" si="0"/>
        <v>1.7672349888806522</v>
      </c>
      <c r="U24" s="21">
        <v>522.71</v>
      </c>
      <c r="V24" s="21">
        <v>1.84</v>
      </c>
      <c r="W24" s="30">
        <f>'RO Plant'!B25</f>
        <v>83</v>
      </c>
      <c r="X24" s="30">
        <f>'RO Plant'!C25</f>
        <v>18</v>
      </c>
      <c r="Y24" s="30">
        <f>'RO Plant'!D25</f>
        <v>125</v>
      </c>
      <c r="Z24" s="30">
        <f>'RO Plant'!E25</f>
        <v>134</v>
      </c>
      <c r="AA24" s="30">
        <f>'RO Plant'!F25</f>
        <v>83</v>
      </c>
      <c r="AB24" s="30">
        <f>'RO Plant'!G25</f>
        <v>0</v>
      </c>
      <c r="AC24" s="30">
        <f>'RO Plant'!H25</f>
        <v>83</v>
      </c>
      <c r="AD24" s="178"/>
      <c r="AE24" s="177"/>
      <c r="AF24" s="177"/>
      <c r="AG24" s="46">
        <f t="shared" si="2"/>
        <v>181</v>
      </c>
      <c r="AH24" s="139">
        <v>57279</v>
      </c>
      <c r="AI24" s="77"/>
    </row>
    <row r="25" spans="1:35" ht="15" customHeight="1">
      <c r="A25" s="123">
        <v>44918</v>
      </c>
      <c r="B25" s="38">
        <v>57.1</v>
      </c>
      <c r="C25" s="169">
        <v>441</v>
      </c>
      <c r="D25" s="213">
        <f>'EMS Gridvis'!B24</f>
        <v>2.78</v>
      </c>
      <c r="E25" s="213">
        <f>'EMS Gridvis'!C24</f>
        <v>4.55</v>
      </c>
      <c r="F25" s="213">
        <f>'EMS Gridvis'!D24</f>
        <v>6.11</v>
      </c>
      <c r="G25" s="213">
        <f>'EMS Gridvis'!E24</f>
        <v>2.41</v>
      </c>
      <c r="H25" s="213">
        <f>'EMS Gridvis'!F24</f>
        <v>2.77</v>
      </c>
      <c r="I25" s="213">
        <f>'EMS Gridvis'!G24</f>
        <v>2.76</v>
      </c>
      <c r="J25" s="213">
        <f>'EMS Gridvis'!H24</f>
        <v>1.42</v>
      </c>
      <c r="K25" s="213">
        <f>'EMS Gridvis'!I24</f>
        <v>1.73</v>
      </c>
      <c r="L25" s="214">
        <f>'EMS Gridvis'!J24</f>
        <v>4.1399999999999997</v>
      </c>
      <c r="M25" s="215">
        <f>'EMS Gridvis'!K24</f>
        <v>0</v>
      </c>
      <c r="N25" s="44">
        <f>Generator!D26</f>
        <v>5399</v>
      </c>
      <c r="O25" s="44">
        <f>Generator!H26</f>
        <v>10535</v>
      </c>
      <c r="P25" s="44">
        <f>Generator!L26</f>
        <v>5412</v>
      </c>
      <c r="Q25" s="44">
        <f>Generator!P26</f>
        <v>5207</v>
      </c>
      <c r="R25" s="44">
        <f>Generator!T26</f>
        <v>10554</v>
      </c>
      <c r="S25" s="21">
        <f>Generator!X26</f>
        <v>7979</v>
      </c>
      <c r="T25" s="21">
        <f t="shared" si="0"/>
        <v>1.7672349888806522</v>
      </c>
      <c r="U25" s="21">
        <v>522.71</v>
      </c>
      <c r="V25" s="21">
        <v>1.84</v>
      </c>
      <c r="W25" s="30">
        <f>'RO Plant'!B26</f>
        <v>78</v>
      </c>
      <c r="X25" s="30">
        <f>'RO Plant'!C26</f>
        <v>20</v>
      </c>
      <c r="Y25" s="30">
        <f>'RO Plant'!D26</f>
        <v>141</v>
      </c>
      <c r="Z25" s="30">
        <f>'RO Plant'!E26</f>
        <v>108</v>
      </c>
      <c r="AA25" s="30">
        <f>'RO Plant'!F26</f>
        <v>90</v>
      </c>
      <c r="AB25" s="30">
        <f>'RO Plant'!G26</f>
        <v>0</v>
      </c>
      <c r="AC25" s="30">
        <f>'RO Plant'!H26</f>
        <v>87</v>
      </c>
      <c r="AD25" s="178"/>
      <c r="AE25" s="177"/>
      <c r="AF25" s="177"/>
      <c r="AG25" s="46">
        <f t="shared" si="2"/>
        <v>190</v>
      </c>
      <c r="AH25" s="139">
        <v>57469</v>
      </c>
      <c r="AI25" s="46"/>
    </row>
    <row r="26" spans="1:35" ht="15" customHeight="1">
      <c r="A26" s="123">
        <v>44919</v>
      </c>
      <c r="B26" s="38">
        <v>61</v>
      </c>
      <c r="C26" s="169">
        <v>380</v>
      </c>
      <c r="D26" s="213">
        <f>'EMS Gridvis'!B25</f>
        <v>2.75</v>
      </c>
      <c r="E26" s="213">
        <f>'EMS Gridvis'!C25</f>
        <v>4.5999999999999996</v>
      </c>
      <c r="F26" s="213">
        <f>'EMS Gridvis'!D25</f>
        <v>6.26</v>
      </c>
      <c r="G26" s="213">
        <f>'EMS Gridvis'!E25</f>
        <v>2.61</v>
      </c>
      <c r="H26" s="213">
        <f>'EMS Gridvis'!F25</f>
        <v>2.71</v>
      </c>
      <c r="I26" s="213">
        <f>'EMS Gridvis'!G25</f>
        <v>2.76</v>
      </c>
      <c r="J26" s="213">
        <f>'EMS Gridvis'!H25</f>
        <v>1.35</v>
      </c>
      <c r="K26" s="213">
        <f>'EMS Gridvis'!I25</f>
        <v>1.73</v>
      </c>
      <c r="L26" s="214">
        <f>'EMS Gridvis'!J25</f>
        <v>4.07</v>
      </c>
      <c r="M26" s="215">
        <f>'EMS Gridvis'!K25</f>
        <v>0</v>
      </c>
      <c r="N26" s="44">
        <f>Generator!D27</f>
        <v>0</v>
      </c>
      <c r="O26" s="44">
        <f>Generator!H27</f>
        <v>10539</v>
      </c>
      <c r="P26" s="44">
        <f>Generator!L27</f>
        <v>5642</v>
      </c>
      <c r="Q26" s="44">
        <f>Generator!P27</f>
        <v>11449</v>
      </c>
      <c r="R26" s="44">
        <f>Generator!T27</f>
        <v>10664</v>
      </c>
      <c r="S26" s="21">
        <f>Generator!X27</f>
        <v>8664</v>
      </c>
      <c r="T26" s="21">
        <f t="shared" si="0"/>
        <v>1.7672349888806522</v>
      </c>
      <c r="U26" s="21">
        <v>522.71</v>
      </c>
      <c r="V26" s="21">
        <v>1.84</v>
      </c>
      <c r="W26" s="30">
        <f>'RO Plant'!B27</f>
        <v>80</v>
      </c>
      <c r="X26" s="30">
        <f>'RO Plant'!C27</f>
        <v>31</v>
      </c>
      <c r="Y26" s="30">
        <f>'RO Plant'!D27</f>
        <v>138</v>
      </c>
      <c r="Z26" s="30">
        <f>'RO Plant'!E27</f>
        <v>117</v>
      </c>
      <c r="AA26" s="30">
        <f>'RO Plant'!F27</f>
        <v>92</v>
      </c>
      <c r="AB26" s="30">
        <f>'RO Plant'!G27</f>
        <v>73</v>
      </c>
      <c r="AC26" s="30">
        <f>'RO Plant'!H27</f>
        <v>86</v>
      </c>
      <c r="AD26" s="178"/>
      <c r="AE26" s="177"/>
      <c r="AF26" s="177"/>
      <c r="AG26" s="46">
        <f t="shared" si="2"/>
        <v>149</v>
      </c>
      <c r="AH26" s="139">
        <v>57618</v>
      </c>
      <c r="AI26" s="46"/>
    </row>
    <row r="27" spans="1:35" ht="15" customHeight="1">
      <c r="A27" s="123">
        <v>44920</v>
      </c>
      <c r="B27" s="38">
        <v>64.900000000000006</v>
      </c>
      <c r="C27" s="169">
        <v>565</v>
      </c>
      <c r="D27" s="213">
        <f>'EMS Gridvis'!B26</f>
        <v>2.91</v>
      </c>
      <c r="E27" s="213">
        <f>'EMS Gridvis'!C26</f>
        <v>4.79</v>
      </c>
      <c r="F27" s="213">
        <f>'EMS Gridvis'!D26</f>
        <v>6.14</v>
      </c>
      <c r="G27" s="213">
        <f>'EMS Gridvis'!E26</f>
        <v>2.74</v>
      </c>
      <c r="H27" s="213">
        <f>'EMS Gridvis'!F26</f>
        <v>2.74</v>
      </c>
      <c r="I27" s="213">
        <f>'EMS Gridvis'!G26</f>
        <v>2.1560714285714289</v>
      </c>
      <c r="J27" s="213">
        <f>'EMS Gridvis'!H26</f>
        <v>1.37</v>
      </c>
      <c r="K27" s="213">
        <f>'EMS Gridvis'!I26</f>
        <v>1.88</v>
      </c>
      <c r="L27" s="214">
        <f>'EMS Gridvis'!J26</f>
        <v>3.96</v>
      </c>
      <c r="M27" s="215">
        <f>'EMS Gridvis'!K26</f>
        <v>0</v>
      </c>
      <c r="N27" s="44">
        <f>Generator!D28</f>
        <v>7304</v>
      </c>
      <c r="O27" s="44">
        <f>Generator!H28</f>
        <v>8995</v>
      </c>
      <c r="P27" s="44">
        <f>Generator!L28</f>
        <v>7202</v>
      </c>
      <c r="Q27" s="44">
        <f>Generator!P28</f>
        <v>6271</v>
      </c>
      <c r="R27" s="44">
        <f>Generator!T28</f>
        <v>9418</v>
      </c>
      <c r="S27" s="21">
        <f>Generator!X28</f>
        <v>8574</v>
      </c>
      <c r="T27" s="21">
        <f t="shared" si="0"/>
        <v>1.7672349888806522</v>
      </c>
      <c r="U27" s="21">
        <v>522.71</v>
      </c>
      <c r="V27" s="21">
        <v>1.84</v>
      </c>
      <c r="W27" s="30">
        <f>'RO Plant'!B28</f>
        <v>84</v>
      </c>
      <c r="X27" s="30">
        <f>'RO Plant'!C28</f>
        <v>23</v>
      </c>
      <c r="Y27" s="30">
        <f>'RO Plant'!D28</f>
        <v>164</v>
      </c>
      <c r="Z27" s="30">
        <f>'RO Plant'!E28</f>
        <v>106</v>
      </c>
      <c r="AA27" s="30">
        <f>'RO Plant'!F28</f>
        <v>87</v>
      </c>
      <c r="AB27" s="30">
        <f>'RO Plant'!G28</f>
        <v>65</v>
      </c>
      <c r="AC27" s="30">
        <f>'RO Plant'!H28</f>
        <v>87</v>
      </c>
      <c r="AD27" s="178"/>
      <c r="AE27" s="177"/>
      <c r="AF27" s="177"/>
      <c r="AG27" s="46">
        <f t="shared" si="2"/>
        <v>141</v>
      </c>
      <c r="AH27" s="139">
        <v>57759</v>
      </c>
      <c r="AI27" s="46"/>
    </row>
    <row r="28" spans="1:35" ht="15" customHeight="1">
      <c r="A28" s="123">
        <v>44921</v>
      </c>
      <c r="B28" s="38">
        <v>74</v>
      </c>
      <c r="C28" s="169">
        <v>606</v>
      </c>
      <c r="D28" s="213">
        <f>'EMS Gridvis'!B27</f>
        <v>3.07</v>
      </c>
      <c r="E28" s="213">
        <f>'EMS Gridvis'!C27</f>
        <v>5.0599999999999996</v>
      </c>
      <c r="F28" s="213">
        <f>'EMS Gridvis'!D27</f>
        <v>6.35</v>
      </c>
      <c r="G28" s="213">
        <f>'EMS Gridvis'!E27</f>
        <v>2.91</v>
      </c>
      <c r="H28" s="213">
        <f>'EMS Gridvis'!F27</f>
        <v>3.16</v>
      </c>
      <c r="I28" s="213">
        <f>'EMS Gridvis'!G27</f>
        <v>2.1560714285714289</v>
      </c>
      <c r="J28" s="213">
        <f>'EMS Gridvis'!H27</f>
        <v>1.36</v>
      </c>
      <c r="K28" s="213">
        <f>'EMS Gridvis'!I27</f>
        <v>1.83</v>
      </c>
      <c r="L28" s="214">
        <f>'EMS Gridvis'!J27</f>
        <v>4.16</v>
      </c>
      <c r="M28" s="215">
        <f>'EMS Gridvis'!K27</f>
        <v>0</v>
      </c>
      <c r="N28" s="44">
        <f>Generator!D29</f>
        <v>6653</v>
      </c>
      <c r="O28" s="44">
        <f>Generator!H29</f>
        <v>9810</v>
      </c>
      <c r="P28" s="44">
        <f>Generator!L29</f>
        <v>6461</v>
      </c>
      <c r="Q28" s="44">
        <f>Generator!P29</f>
        <v>7497</v>
      </c>
      <c r="R28" s="44">
        <f>Generator!T29</f>
        <v>9788</v>
      </c>
      <c r="S28" s="21">
        <f>Generator!X29</f>
        <v>8585</v>
      </c>
      <c r="T28" s="21">
        <f t="shared" si="0"/>
        <v>1.7672349888806522</v>
      </c>
      <c r="U28" s="21">
        <v>522.71</v>
      </c>
      <c r="V28" s="21">
        <v>1.84</v>
      </c>
      <c r="W28" s="30">
        <f>'RO Plant'!B29</f>
        <v>93</v>
      </c>
      <c r="X28" s="30">
        <f>'RO Plant'!C29</f>
        <v>20</v>
      </c>
      <c r="Y28" s="30">
        <f>'RO Plant'!D29</f>
        <v>159</v>
      </c>
      <c r="Z28" s="30">
        <f>'RO Plant'!E29</f>
        <v>111</v>
      </c>
      <c r="AA28" s="30">
        <f>'RO Plant'!F29</f>
        <v>100</v>
      </c>
      <c r="AB28" s="30">
        <f>'RO Plant'!G29</f>
        <v>92</v>
      </c>
      <c r="AC28" s="30">
        <f>'RO Plant'!H29</f>
        <v>87</v>
      </c>
      <c r="AD28" s="178"/>
      <c r="AE28" s="177"/>
      <c r="AF28" s="177"/>
      <c r="AG28" s="46">
        <f t="shared" si="2"/>
        <v>117</v>
      </c>
      <c r="AH28" s="139">
        <v>57876</v>
      </c>
      <c r="AI28" s="46"/>
    </row>
    <row r="29" spans="1:35" ht="15" customHeight="1">
      <c r="A29" s="123">
        <v>44922</v>
      </c>
      <c r="B29" s="38">
        <v>87</v>
      </c>
      <c r="C29" s="169">
        <v>706</v>
      </c>
      <c r="D29" s="213">
        <f>'EMS Gridvis'!B28</f>
        <v>2.82</v>
      </c>
      <c r="E29" s="213">
        <f>'EMS Gridvis'!C28</f>
        <v>4.8499999999999996</v>
      </c>
      <c r="F29" s="213">
        <f>'EMS Gridvis'!D28</f>
        <v>6.4</v>
      </c>
      <c r="G29" s="213">
        <f>'EMS Gridvis'!E28</f>
        <v>2.76</v>
      </c>
      <c r="H29" s="213">
        <f>'EMS Gridvis'!F28</f>
        <v>3.12</v>
      </c>
      <c r="I29" s="213">
        <f>'EMS Gridvis'!G28</f>
        <v>2.1560714285714289</v>
      </c>
      <c r="J29" s="213">
        <f>'EMS Gridvis'!H28</f>
        <v>1.19</v>
      </c>
      <c r="K29" s="213">
        <f>'EMS Gridvis'!I28</f>
        <v>1.66</v>
      </c>
      <c r="L29" s="214">
        <f>'EMS Gridvis'!J28</f>
        <v>3.96</v>
      </c>
      <c r="M29" s="215">
        <f>'EMS Gridvis'!K28</f>
        <v>0</v>
      </c>
      <c r="N29" s="44">
        <f>Generator!D30</f>
        <v>6788</v>
      </c>
      <c r="O29" s="44">
        <f>Generator!H30</f>
        <v>9198</v>
      </c>
      <c r="P29" s="44">
        <f>Generator!L30</f>
        <v>6707</v>
      </c>
      <c r="Q29" s="44">
        <f>Generator!P30</f>
        <v>8054</v>
      </c>
      <c r="R29" s="44">
        <f>Generator!T30</f>
        <v>9389</v>
      </c>
      <c r="S29" s="21">
        <f>Generator!X30</f>
        <v>8712</v>
      </c>
      <c r="T29" s="21">
        <f t="shared" si="0"/>
        <v>1.7672349888806522</v>
      </c>
      <c r="U29" s="21">
        <v>522.71</v>
      </c>
      <c r="V29" s="21">
        <v>1.84</v>
      </c>
      <c r="W29" s="30">
        <f>'RO Plant'!B30</f>
        <v>26</v>
      </c>
      <c r="X29" s="30">
        <f>'RO Plant'!C30</f>
        <v>22</v>
      </c>
      <c r="Y29" s="30">
        <f>'RO Plant'!D30</f>
        <v>183</v>
      </c>
      <c r="Z29" s="30">
        <f>'RO Plant'!E30</f>
        <v>119</v>
      </c>
      <c r="AA29" s="30">
        <f>'RO Plant'!F30</f>
        <v>108</v>
      </c>
      <c r="AB29" s="30">
        <f>'RO Plant'!G30</f>
        <v>70</v>
      </c>
      <c r="AC29" s="30">
        <f>'RO Plant'!H30</f>
        <v>87</v>
      </c>
      <c r="AD29" s="178"/>
      <c r="AE29" s="177"/>
      <c r="AF29" s="177"/>
      <c r="AG29" s="46">
        <f t="shared" si="2"/>
        <v>165</v>
      </c>
      <c r="AH29" s="139">
        <v>58041</v>
      </c>
      <c r="AI29" s="46"/>
    </row>
    <row r="30" spans="1:35" ht="15" customHeight="1">
      <c r="A30" s="123">
        <v>44923</v>
      </c>
      <c r="B30" s="38">
        <v>83.1</v>
      </c>
      <c r="C30" s="169">
        <v>615</v>
      </c>
      <c r="D30" s="213">
        <f>'EMS Gridvis'!B29</f>
        <v>3.37</v>
      </c>
      <c r="E30" s="213">
        <f>'EMS Gridvis'!C29</f>
        <v>5.08</v>
      </c>
      <c r="F30" s="213">
        <f>'EMS Gridvis'!D29</f>
        <v>6.54</v>
      </c>
      <c r="G30" s="213">
        <f>'EMS Gridvis'!E29</f>
        <v>2.85</v>
      </c>
      <c r="H30" s="213">
        <f>'EMS Gridvis'!F29</f>
        <v>3.1</v>
      </c>
      <c r="I30" s="213">
        <f>'EMS Gridvis'!G29</f>
        <v>2.1560714285714289</v>
      </c>
      <c r="J30" s="213">
        <f>'EMS Gridvis'!H29</f>
        <v>1.39</v>
      </c>
      <c r="K30" s="213">
        <f>'EMS Gridvis'!I29</f>
        <v>1.84</v>
      </c>
      <c r="L30" s="214">
        <f>'EMS Gridvis'!J29</f>
        <v>4.22</v>
      </c>
      <c r="M30" s="215">
        <f>'EMS Gridvis'!K29</f>
        <v>0</v>
      </c>
      <c r="N30" s="44">
        <f>Generator!D31</f>
        <v>5573</v>
      </c>
      <c r="O30" s="44">
        <f>Generator!H31</f>
        <v>10046</v>
      </c>
      <c r="P30" s="44">
        <f>Generator!L31</f>
        <v>14718</v>
      </c>
      <c r="Q30" s="44">
        <f>Generator!P31</f>
        <v>1003</v>
      </c>
      <c r="R30" s="44">
        <f>Generator!T31</f>
        <v>11674</v>
      </c>
      <c r="S30" s="21">
        <f>Generator!X31</f>
        <v>9200</v>
      </c>
      <c r="T30" s="21">
        <f t="shared" si="0"/>
        <v>1.7672349888806522</v>
      </c>
      <c r="U30" s="21">
        <v>522.71</v>
      </c>
      <c r="V30" s="21">
        <v>1.84</v>
      </c>
      <c r="W30" s="30">
        <f>'RO Plant'!B31</f>
        <v>67.898148148148152</v>
      </c>
      <c r="X30" s="30">
        <f>'RO Plant'!C31</f>
        <v>31</v>
      </c>
      <c r="Y30" s="30">
        <f>'RO Plant'!D31</f>
        <v>140</v>
      </c>
      <c r="Z30" s="30">
        <f>'RO Plant'!E31</f>
        <v>171</v>
      </c>
      <c r="AA30" s="30">
        <f>'RO Plant'!F31</f>
        <v>105</v>
      </c>
      <c r="AB30" s="30">
        <f>'RO Plant'!G31</f>
        <v>85</v>
      </c>
      <c r="AC30" s="30">
        <f>'RO Plant'!H31</f>
        <v>85</v>
      </c>
      <c r="AD30" s="178"/>
      <c r="AE30" s="177"/>
      <c r="AF30" s="177"/>
      <c r="AG30" s="46">
        <f t="shared" si="2"/>
        <v>147</v>
      </c>
      <c r="AH30" s="139">
        <v>58188</v>
      </c>
      <c r="AI30" s="46"/>
    </row>
    <row r="31" spans="1:35" ht="15" customHeight="1">
      <c r="A31" s="123">
        <v>44924</v>
      </c>
      <c r="B31" s="38">
        <v>84.4</v>
      </c>
      <c r="C31" s="169">
        <v>567</v>
      </c>
      <c r="D31" s="213">
        <f>'EMS Gridvis'!B30</f>
        <v>2.64</v>
      </c>
      <c r="E31" s="213">
        <f>'EMS Gridvis'!C30</f>
        <v>3.7</v>
      </c>
      <c r="F31" s="213">
        <f>'EMS Gridvis'!D30</f>
        <v>4.6500000000000004</v>
      </c>
      <c r="G31" s="213">
        <f>'EMS Gridvis'!E30</f>
        <v>2.0299999999999998</v>
      </c>
      <c r="H31" s="213">
        <f>'EMS Gridvis'!F30</f>
        <v>2.56</v>
      </c>
      <c r="I31" s="213">
        <f>'EMS Gridvis'!G30</f>
        <v>2.1560714285714289</v>
      </c>
      <c r="J31" s="213">
        <f>'EMS Gridvis'!H30</f>
        <v>0.98699999999999999</v>
      </c>
      <c r="K31" s="213">
        <f>'EMS Gridvis'!I30</f>
        <v>1.28</v>
      </c>
      <c r="L31" s="214">
        <f>'EMS Gridvis'!J30</f>
        <v>3.15</v>
      </c>
      <c r="M31" s="215">
        <f>'EMS Gridvis'!K30</f>
        <v>0</v>
      </c>
      <c r="N31" s="44">
        <f>Generator!D32</f>
        <v>10680</v>
      </c>
      <c r="O31" s="44">
        <f>Generator!H32</f>
        <v>10497</v>
      </c>
      <c r="P31" s="44">
        <f>Generator!L32</f>
        <v>7315</v>
      </c>
      <c r="Q31" s="44">
        <f>Generator!P32</f>
        <v>9088</v>
      </c>
      <c r="R31" s="44">
        <f>Generator!T32</f>
        <v>7159</v>
      </c>
      <c r="S31" s="21">
        <f>Generator!X32</f>
        <v>9714</v>
      </c>
      <c r="T31" s="21">
        <f t="shared" si="0"/>
        <v>1.7672349888806522</v>
      </c>
      <c r="U31" s="21">
        <v>522.71</v>
      </c>
      <c r="V31" s="21">
        <v>1.84</v>
      </c>
      <c r="W31" s="30">
        <f>'RO Plant'!B32</f>
        <v>43</v>
      </c>
      <c r="X31" s="30">
        <f>'RO Plant'!C32</f>
        <v>22</v>
      </c>
      <c r="Y31" s="30">
        <f>'RO Plant'!D32</f>
        <v>166</v>
      </c>
      <c r="Z31" s="30">
        <f>'RO Plant'!E32</f>
        <v>168</v>
      </c>
      <c r="AA31" s="30">
        <f>'RO Plant'!F32</f>
        <v>88</v>
      </c>
      <c r="AB31" s="30">
        <f>'RO Plant'!G32</f>
        <v>73</v>
      </c>
      <c r="AC31" s="30">
        <f>'RO Plant'!H32</f>
        <v>88</v>
      </c>
      <c r="AD31" s="178"/>
      <c r="AE31" s="177"/>
      <c r="AF31" s="177"/>
      <c r="AG31" s="46">
        <f t="shared" si="2"/>
        <v>173</v>
      </c>
      <c r="AH31" s="139">
        <v>58361</v>
      </c>
      <c r="AI31" s="46"/>
    </row>
    <row r="32" spans="1:35" ht="15" customHeight="1">
      <c r="A32" s="123">
        <v>44925</v>
      </c>
      <c r="B32" s="144">
        <v>75.3</v>
      </c>
      <c r="C32" s="219">
        <v>569</v>
      </c>
      <c r="D32" s="213">
        <f>'EMS Gridvis'!B31</f>
        <v>2.9341379310344822</v>
      </c>
      <c r="E32" s="213">
        <f>'EMS Gridvis'!C31</f>
        <v>4.3851724137931027</v>
      </c>
      <c r="F32" s="213">
        <f>'EMS Gridvis'!D31</f>
        <v>5.8037931034482746</v>
      </c>
      <c r="G32" s="213">
        <f>'EMS Gridvis'!E31</f>
        <v>2.0958620689655172</v>
      </c>
      <c r="H32" s="213">
        <f>'EMS Gridvis'!F31</f>
        <v>2.5265517241379314</v>
      </c>
      <c r="I32" s="213">
        <f>'EMS Gridvis'!G31</f>
        <v>2.1560714285714289</v>
      </c>
      <c r="J32" s="213">
        <f>'EMS Gridvis'!H31</f>
        <v>1.3347241379310342</v>
      </c>
      <c r="K32" s="213">
        <f>'EMS Gridvis'!I31</f>
        <v>1.7037931034482758</v>
      </c>
      <c r="L32" s="214">
        <f>'EMS Gridvis'!J31</f>
        <v>3.8744827586206894</v>
      </c>
      <c r="M32" s="215">
        <f>'EMS Gridvis'!K31</f>
        <v>0</v>
      </c>
      <c r="N32" s="44">
        <f>Generator!D33</f>
        <v>10163</v>
      </c>
      <c r="O32" s="44">
        <f>Generator!H33</f>
        <v>10091</v>
      </c>
      <c r="P32" s="44">
        <f>Generator!L33</f>
        <v>6643</v>
      </c>
      <c r="Q32" s="44">
        <f>Generator!P33</f>
        <v>8684</v>
      </c>
      <c r="R32" s="44">
        <f>Generator!T33</f>
        <v>6541</v>
      </c>
      <c r="S32" s="21">
        <f>Generator!X33</f>
        <v>11028</v>
      </c>
      <c r="T32" s="21">
        <f t="shared" si="0"/>
        <v>1.7672349888806522</v>
      </c>
      <c r="U32" s="21">
        <v>522.71</v>
      </c>
      <c r="V32" s="21">
        <v>1.84</v>
      </c>
      <c r="W32" s="30">
        <f>'RO Plant'!B33</f>
        <v>21</v>
      </c>
      <c r="X32" s="30">
        <f>'RO Plant'!C33</f>
        <v>35</v>
      </c>
      <c r="Y32" s="30">
        <f>'RO Plant'!D33</f>
        <v>164</v>
      </c>
      <c r="Z32" s="30">
        <f>'RO Plant'!E33</f>
        <v>149</v>
      </c>
      <c r="AA32" s="30">
        <f>'RO Plant'!F33</f>
        <v>106</v>
      </c>
      <c r="AB32" s="30">
        <f>'RO Plant'!G33</f>
        <v>87</v>
      </c>
      <c r="AC32" s="30">
        <f>'RO Plant'!H33</f>
        <v>85</v>
      </c>
      <c r="AD32" s="178"/>
      <c r="AE32" s="177"/>
      <c r="AF32" s="177"/>
      <c r="AG32" s="46">
        <f>AH32-AH31</f>
        <v>105</v>
      </c>
      <c r="AH32" s="140">
        <v>58466</v>
      </c>
      <c r="AI32" s="110"/>
    </row>
    <row r="33" spans="1:35">
      <c r="A33" s="123">
        <v>44926</v>
      </c>
      <c r="B33" s="46">
        <v>79.2</v>
      </c>
      <c r="C33" s="169">
        <v>741</v>
      </c>
      <c r="D33" s="213">
        <f>'EMS Gridvis'!B32</f>
        <v>2.9341379310344822</v>
      </c>
      <c r="E33" s="213">
        <f>'EMS Gridvis'!C32</f>
        <v>4.3851724137931027</v>
      </c>
      <c r="F33" s="213">
        <f>'EMS Gridvis'!D32</f>
        <v>5.8037931034482746</v>
      </c>
      <c r="G33" s="213">
        <f>'EMS Gridvis'!E32</f>
        <v>2.0958620689655172</v>
      </c>
      <c r="H33" s="213">
        <f>'EMS Gridvis'!F32</f>
        <v>2.5265517241379314</v>
      </c>
      <c r="I33" s="213">
        <f>'EMS Gridvis'!G32</f>
        <v>2.1560714285714289</v>
      </c>
      <c r="J33" s="213">
        <f>'EMS Gridvis'!H32</f>
        <v>1.3347241379310342</v>
      </c>
      <c r="K33" s="213">
        <f>'EMS Gridvis'!I32</f>
        <v>1.7037931034482758</v>
      </c>
      <c r="L33" s="214">
        <f>'EMS Gridvis'!J32</f>
        <v>3.8744827586206894</v>
      </c>
      <c r="M33" s="215">
        <f>'EMS Gridvis'!K32</f>
        <v>0</v>
      </c>
      <c r="N33" s="44">
        <f>Generator!D34</f>
        <v>9930</v>
      </c>
      <c r="O33" s="44">
        <f>Generator!H34</f>
        <v>9817</v>
      </c>
      <c r="P33" s="44">
        <f>Generator!L34</f>
        <v>6672</v>
      </c>
      <c r="Q33" s="44">
        <f>Generator!P34</f>
        <v>7190</v>
      </c>
      <c r="R33" s="44">
        <f>Generator!T34</f>
        <v>6575</v>
      </c>
      <c r="S33" s="21">
        <f>Generator!X34</f>
        <v>8845</v>
      </c>
      <c r="T33" s="21">
        <f t="shared" si="0"/>
        <v>1.7672349888806522</v>
      </c>
      <c r="U33" s="21">
        <v>522.71</v>
      </c>
      <c r="V33" s="21">
        <v>1.84</v>
      </c>
      <c r="W33" s="30">
        <f>'RO Plant'!B34</f>
        <v>65.504938271604942</v>
      </c>
      <c r="X33" s="30">
        <f>'RO Plant'!C34</f>
        <v>28.708333333333332</v>
      </c>
      <c r="Y33" s="30">
        <f>'RO Plant'!D34</f>
        <v>152.32708333333332</v>
      </c>
      <c r="Z33" s="30">
        <f>'RO Plant'!E34</f>
        <v>131.58222222222221</v>
      </c>
      <c r="AA33" s="30">
        <f>'RO Plant'!F34</f>
        <v>84.389583333333334</v>
      </c>
      <c r="AB33" s="30">
        <f>'RO Plant'!G34</f>
        <v>20.633333333333333</v>
      </c>
      <c r="AC33" s="30">
        <f>'RO Plant'!H34</f>
        <v>95.614583333333329</v>
      </c>
      <c r="AG33" s="169">
        <f>AVERAGE(AG3:AG32)</f>
        <v>136.43333333333334</v>
      </c>
      <c r="AH33" s="129">
        <v>58602</v>
      </c>
      <c r="AI33" s="46"/>
    </row>
    <row r="34" spans="1:35" ht="15">
      <c r="Q34" s="45"/>
    </row>
    <row r="35" spans="1:35">
      <c r="B35" s="216" t="s">
        <v>80</v>
      </c>
      <c r="C35" s="216"/>
      <c r="D35" s="33">
        <f>SUM(D3:D33)</f>
        <v>90.958275862068959</v>
      </c>
      <c r="E35" s="33">
        <f>SUM(E3:E33)</f>
        <v>135.94034482758619</v>
      </c>
      <c r="F35" s="33">
        <f t="shared" ref="E35:M35" si="3">SUM(F3:F33)</f>
        <v>179.91758620689652</v>
      </c>
      <c r="G35" s="33">
        <f t="shared" si="3"/>
        <v>64.971724137931034</v>
      </c>
      <c r="H35" s="33">
        <f t="shared" si="3"/>
        <v>78.323103448275873</v>
      </c>
      <c r="I35" s="33">
        <f t="shared" si="3"/>
        <v>75.462499999999977</v>
      </c>
      <c r="J35" s="33">
        <f t="shared" si="3"/>
        <v>41.37644827586206</v>
      </c>
      <c r="K35" s="33">
        <f t="shared" si="3"/>
        <v>52.81758620689655</v>
      </c>
      <c r="L35" s="33">
        <f t="shared" si="3"/>
        <v>120.10896551724136</v>
      </c>
      <c r="M35" s="33">
        <f t="shared" si="3"/>
        <v>0</v>
      </c>
      <c r="W35" s="160">
        <f>SUM(W33:AC33)</f>
        <v>578.76007716049389</v>
      </c>
      <c r="X35" s="160"/>
      <c r="Y35" s="160"/>
      <c r="AE35" s="31">
        <f>SUM(AF15,AF10)</f>
        <v>5061</v>
      </c>
    </row>
    <row r="36" spans="1:35" ht="15" customHeight="1">
      <c r="B36" s="216" t="s">
        <v>81</v>
      </c>
      <c r="C36" s="216"/>
      <c r="D36" s="33">
        <f>D35*1000</f>
        <v>90958.275862068956</v>
      </c>
      <c r="E36" s="33">
        <f t="shared" ref="E36:M36" si="4">E35*1000</f>
        <v>135940.34482758617</v>
      </c>
      <c r="F36" s="33">
        <f t="shared" si="4"/>
        <v>179917.58620689652</v>
      </c>
      <c r="G36" s="33">
        <f t="shared" si="4"/>
        <v>64971.724137931036</v>
      </c>
      <c r="H36" s="33">
        <f t="shared" si="4"/>
        <v>78323.10344827587</v>
      </c>
      <c r="I36" s="33">
        <f t="shared" si="4"/>
        <v>75462.499999999971</v>
      </c>
      <c r="J36" s="33">
        <f t="shared" si="4"/>
        <v>41376.448275862058</v>
      </c>
      <c r="K36" s="33">
        <f t="shared" si="4"/>
        <v>52817.586206896551</v>
      </c>
      <c r="L36" s="33">
        <f t="shared" si="4"/>
        <v>120108.96551724136</v>
      </c>
      <c r="M36" s="33">
        <f t="shared" si="4"/>
        <v>0</v>
      </c>
    </row>
    <row r="37" spans="1:35" ht="12.75" customHeight="1">
      <c r="B37" s="216" t="s">
        <v>82</v>
      </c>
      <c r="C37" s="216"/>
      <c r="D37" s="33">
        <f>SUM(D36:L36)</f>
        <v>839876.53448275849</v>
      </c>
    </row>
  </sheetData>
  <mergeCells count="11">
    <mergeCell ref="B35:C35"/>
    <mergeCell ref="B36:C36"/>
    <mergeCell ref="B37:C37"/>
    <mergeCell ref="AE13:AF13"/>
    <mergeCell ref="AE14:AF14"/>
    <mergeCell ref="AD16:AF32"/>
    <mergeCell ref="D1:L1"/>
    <mergeCell ref="AD2:AF2"/>
    <mergeCell ref="AD3:AF3"/>
    <mergeCell ref="AD11:AF11"/>
    <mergeCell ref="AE12:AF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2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O44"/>
  <sheetViews>
    <sheetView tabSelected="1" workbookViewId="0">
      <pane ySplit="2" topLeftCell="A3" activePane="bottomLeft" state="frozen"/>
      <selection pane="bottomLeft" activeCell="O1" sqref="O1"/>
    </sheetView>
  </sheetViews>
  <sheetFormatPr defaultRowHeight="15"/>
  <cols>
    <col min="1" max="1" width="12.85546875" customWidth="1"/>
    <col min="2" max="4" width="11.140625" customWidth="1"/>
    <col min="5" max="5" width="21.7109375" customWidth="1"/>
    <col min="6" max="6" width="11.140625" customWidth="1"/>
    <col min="7" max="7" width="10.5703125" customWidth="1"/>
    <col min="8" max="8" width="11.140625" customWidth="1"/>
    <col min="9" max="9" width="9.7109375" hidden="1" customWidth="1"/>
    <col min="10" max="10" width="18.7109375" hidden="1" customWidth="1"/>
    <col min="11" max="11" width="9.7109375" hidden="1" customWidth="1"/>
    <col min="12" max="12" width="6" hidden="1" customWidth="1"/>
    <col min="13" max="13" width="16.42578125" hidden="1" customWidth="1"/>
    <col min="14" max="14" width="10.28515625" hidden="1" customWidth="1"/>
    <col min="15" max="15" width="72.85546875" customWidth="1"/>
  </cols>
  <sheetData>
    <row r="1" spans="1:15" ht="33.75" customHeight="1">
      <c r="A1" s="106" t="s">
        <v>83</v>
      </c>
      <c r="B1" s="106" t="s">
        <v>84</v>
      </c>
      <c r="C1" s="106" t="s">
        <v>85</v>
      </c>
      <c r="D1" s="106" t="s">
        <v>86</v>
      </c>
      <c r="E1" s="106" t="s">
        <v>87</v>
      </c>
      <c r="F1" s="106" t="s">
        <v>88</v>
      </c>
      <c r="G1" s="106" t="s">
        <v>89</v>
      </c>
      <c r="H1" s="106" t="s">
        <v>84</v>
      </c>
      <c r="I1" s="190" t="s">
        <v>90</v>
      </c>
      <c r="J1" s="191"/>
      <c r="K1" s="192"/>
      <c r="L1" s="130"/>
      <c r="M1" s="57" t="s">
        <v>91</v>
      </c>
      <c r="O1" s="47"/>
    </row>
    <row r="2" spans="1:15" ht="51.75" customHeight="1">
      <c r="A2" s="154" t="s">
        <v>39</v>
      </c>
      <c r="B2" s="155" t="s">
        <v>61</v>
      </c>
      <c r="C2" s="155" t="s">
        <v>62</v>
      </c>
      <c r="D2" s="155" t="s">
        <v>92</v>
      </c>
      <c r="E2" s="155" t="s">
        <v>64</v>
      </c>
      <c r="F2" s="155" t="s">
        <v>65</v>
      </c>
      <c r="G2" s="155" t="s">
        <v>93</v>
      </c>
      <c r="H2" s="155" t="s">
        <v>67</v>
      </c>
      <c r="I2" s="155" t="s">
        <v>67</v>
      </c>
      <c r="J2" s="155" t="s">
        <v>67</v>
      </c>
      <c r="K2" s="155" t="s">
        <v>67</v>
      </c>
      <c r="L2" s="155" t="s">
        <v>67</v>
      </c>
      <c r="M2" s="155" t="s">
        <v>67</v>
      </c>
      <c r="N2" s="221" t="s">
        <v>67</v>
      </c>
      <c r="O2" s="224" t="s">
        <v>94</v>
      </c>
    </row>
    <row r="3" spans="1:15" ht="21.75" customHeight="1">
      <c r="A3" s="153" t="s">
        <v>95</v>
      </c>
      <c r="B3" s="157">
        <v>60.633333333333333</v>
      </c>
      <c r="C3" s="157">
        <v>32.3333333333333</v>
      </c>
      <c r="D3" s="157">
        <v>133.03333333333333</v>
      </c>
      <c r="E3" s="157">
        <v>168.23333333333332</v>
      </c>
      <c r="F3" s="157">
        <v>76.666666666666671</v>
      </c>
      <c r="G3" s="157">
        <v>13.166666666666666</v>
      </c>
      <c r="H3" s="157">
        <v>93.233333333333334</v>
      </c>
      <c r="I3" s="157">
        <v>12.566666666666666</v>
      </c>
      <c r="J3" s="157">
        <v>35.666666666666664</v>
      </c>
      <c r="K3" s="157">
        <v>24.733333333333334</v>
      </c>
      <c r="L3" s="158"/>
      <c r="M3" s="163"/>
      <c r="N3" s="163"/>
      <c r="O3" s="46"/>
    </row>
    <row r="4" spans="1:15">
      <c r="A4" s="156">
        <v>44896</v>
      </c>
      <c r="B4" s="39">
        <v>60</v>
      </c>
      <c r="C4" s="103">
        <v>24</v>
      </c>
      <c r="D4" s="103">
        <v>214</v>
      </c>
      <c r="E4" s="50">
        <v>152</v>
      </c>
      <c r="F4" s="50">
        <v>71</v>
      </c>
      <c r="G4" s="103">
        <v>0</v>
      </c>
      <c r="H4" s="39">
        <v>100</v>
      </c>
      <c r="I4" s="77">
        <v>13</v>
      </c>
      <c r="J4" s="68">
        <v>32</v>
      </c>
      <c r="K4" s="107">
        <v>29</v>
      </c>
      <c r="L4" s="131"/>
      <c r="M4" s="107">
        <f>J4-(I4+K4)</f>
        <v>-10</v>
      </c>
      <c r="N4" s="222">
        <f>M4</f>
        <v>-10</v>
      </c>
      <c r="O4" s="165"/>
    </row>
    <row r="5" spans="1:15">
      <c r="A5" s="156">
        <v>44897</v>
      </c>
      <c r="B5" s="30">
        <v>58</v>
      </c>
      <c r="C5" s="49">
        <v>14</v>
      </c>
      <c r="D5" s="49">
        <v>135</v>
      </c>
      <c r="E5" s="20">
        <v>97</v>
      </c>
      <c r="F5" s="20">
        <v>75</v>
      </c>
      <c r="G5" s="49">
        <v>0</v>
      </c>
      <c r="H5" s="30">
        <v>100</v>
      </c>
      <c r="I5" s="46">
        <v>0</v>
      </c>
      <c r="J5" s="64">
        <v>28</v>
      </c>
      <c r="K5" s="78">
        <v>27</v>
      </c>
      <c r="L5" s="132"/>
      <c r="M5" s="107">
        <f>J5-(I5+K5)</f>
        <v>1</v>
      </c>
      <c r="N5" s="223">
        <f t="shared" ref="N5:N34" si="0">M5</f>
        <v>1</v>
      </c>
      <c r="O5" s="165"/>
    </row>
    <row r="6" spans="1:15">
      <c r="A6" s="156">
        <v>44898</v>
      </c>
      <c r="B6" s="30">
        <v>57</v>
      </c>
      <c r="C6" s="49">
        <v>31</v>
      </c>
      <c r="D6" s="49">
        <v>125</v>
      </c>
      <c r="E6" s="30">
        <v>67</v>
      </c>
      <c r="F6" s="30">
        <v>87</v>
      </c>
      <c r="G6" s="49">
        <v>0</v>
      </c>
      <c r="H6" s="30">
        <v>102</v>
      </c>
      <c r="I6" s="46">
        <v>10</v>
      </c>
      <c r="J6" s="64">
        <v>38</v>
      </c>
      <c r="K6" s="78">
        <v>22</v>
      </c>
      <c r="L6" s="132"/>
      <c r="M6" s="107">
        <f>J6-(I6+K6)</f>
        <v>6</v>
      </c>
      <c r="N6" s="223">
        <f t="shared" si="0"/>
        <v>6</v>
      </c>
      <c r="O6" s="165"/>
    </row>
    <row r="7" spans="1:15">
      <c r="A7" s="156">
        <v>44899</v>
      </c>
      <c r="B7" s="30">
        <v>71</v>
      </c>
      <c r="C7" s="49">
        <v>22</v>
      </c>
      <c r="D7" s="49">
        <v>139</v>
      </c>
      <c r="E7" s="30">
        <v>145</v>
      </c>
      <c r="F7" s="30">
        <v>63</v>
      </c>
      <c r="G7" s="49">
        <v>0</v>
      </c>
      <c r="H7" s="30">
        <v>98</v>
      </c>
      <c r="I7" s="46">
        <v>14</v>
      </c>
      <c r="J7" s="64">
        <v>34</v>
      </c>
      <c r="K7" s="78">
        <v>27</v>
      </c>
      <c r="L7" s="132"/>
      <c r="M7" s="107">
        <f>J7-(I7+K7)</f>
        <v>-7</v>
      </c>
      <c r="N7" s="223">
        <f t="shared" si="0"/>
        <v>-7</v>
      </c>
      <c r="O7" s="165"/>
    </row>
    <row r="8" spans="1:15">
      <c r="A8" s="156">
        <v>44900</v>
      </c>
      <c r="B8" s="30">
        <v>60</v>
      </c>
      <c r="C8" s="49">
        <v>28</v>
      </c>
      <c r="D8" s="49">
        <v>141</v>
      </c>
      <c r="E8" s="30">
        <v>155</v>
      </c>
      <c r="F8" s="30">
        <v>71</v>
      </c>
      <c r="G8" s="49">
        <v>0</v>
      </c>
      <c r="H8" s="30">
        <v>101</v>
      </c>
      <c r="I8" s="46">
        <v>19</v>
      </c>
      <c r="J8" s="64">
        <v>46</v>
      </c>
      <c r="K8" s="78">
        <v>51</v>
      </c>
      <c r="L8" s="132"/>
      <c r="M8" s="107">
        <f>J8-(I8+K8)</f>
        <v>-24</v>
      </c>
      <c r="N8" s="223">
        <f t="shared" si="0"/>
        <v>-24</v>
      </c>
      <c r="O8" s="165"/>
    </row>
    <row r="9" spans="1:15">
      <c r="A9" s="156">
        <v>44901</v>
      </c>
      <c r="B9" s="37">
        <v>62</v>
      </c>
      <c r="C9" s="49">
        <v>34</v>
      </c>
      <c r="D9" s="49">
        <v>164</v>
      </c>
      <c r="E9" s="37">
        <v>101</v>
      </c>
      <c r="F9" s="37">
        <v>69</v>
      </c>
      <c r="G9" s="49">
        <v>0</v>
      </c>
      <c r="H9" s="37">
        <v>103</v>
      </c>
      <c r="I9" s="46">
        <v>11</v>
      </c>
      <c r="J9" s="64">
        <v>48</v>
      </c>
      <c r="K9" s="78">
        <v>27</v>
      </c>
      <c r="L9" s="132"/>
      <c r="M9" s="107">
        <f>J9-(I9+K9)</f>
        <v>10</v>
      </c>
      <c r="N9" s="223">
        <f t="shared" si="0"/>
        <v>10</v>
      </c>
      <c r="O9" s="165"/>
    </row>
    <row r="10" spans="1:15">
      <c r="A10" s="156">
        <v>44902</v>
      </c>
      <c r="B10" s="30">
        <v>63</v>
      </c>
      <c r="C10" s="49">
        <v>21</v>
      </c>
      <c r="D10" s="49">
        <v>166</v>
      </c>
      <c r="E10" s="20">
        <v>93</v>
      </c>
      <c r="F10" s="20">
        <v>73</v>
      </c>
      <c r="G10" s="49">
        <v>0</v>
      </c>
      <c r="H10" s="30">
        <v>103</v>
      </c>
      <c r="I10" s="46">
        <v>12</v>
      </c>
      <c r="J10" s="64">
        <v>39</v>
      </c>
      <c r="K10" s="78">
        <v>28</v>
      </c>
      <c r="L10" s="132"/>
      <c r="M10" s="107">
        <f>J10-(I10+K10)</f>
        <v>-1</v>
      </c>
      <c r="N10" s="223">
        <f t="shared" si="0"/>
        <v>-1</v>
      </c>
      <c r="O10" s="165"/>
    </row>
    <row r="11" spans="1:15">
      <c r="A11" s="156">
        <v>44903</v>
      </c>
      <c r="B11" s="30">
        <v>61</v>
      </c>
      <c r="C11" s="49">
        <v>23</v>
      </c>
      <c r="D11" s="49">
        <v>166</v>
      </c>
      <c r="E11" s="30">
        <v>167</v>
      </c>
      <c r="F11" s="30">
        <v>84</v>
      </c>
      <c r="G11" s="49">
        <v>0</v>
      </c>
      <c r="H11" s="30">
        <v>107</v>
      </c>
      <c r="I11" s="46">
        <v>16</v>
      </c>
      <c r="J11" s="64">
        <v>64</v>
      </c>
      <c r="K11" s="78">
        <v>38</v>
      </c>
      <c r="L11" s="132"/>
      <c r="M11" s="107">
        <f t="shared" ref="M11:M34" si="1">J11-(I11+K11)</f>
        <v>10</v>
      </c>
      <c r="N11" s="223">
        <f t="shared" si="0"/>
        <v>10</v>
      </c>
      <c r="O11" s="165"/>
    </row>
    <row r="12" spans="1:15">
      <c r="A12" s="156">
        <v>44904</v>
      </c>
      <c r="B12" s="30">
        <v>65</v>
      </c>
      <c r="C12" s="49">
        <v>37</v>
      </c>
      <c r="D12" s="49">
        <v>130</v>
      </c>
      <c r="E12" s="20">
        <v>143</v>
      </c>
      <c r="F12" s="20">
        <v>61</v>
      </c>
      <c r="G12" s="49">
        <v>0</v>
      </c>
      <c r="H12" s="30">
        <v>73</v>
      </c>
      <c r="I12" s="46">
        <v>14</v>
      </c>
      <c r="J12" s="64">
        <v>34</v>
      </c>
      <c r="K12" s="78">
        <v>19</v>
      </c>
      <c r="L12" s="132"/>
      <c r="M12" s="107">
        <f t="shared" si="1"/>
        <v>1</v>
      </c>
      <c r="N12" s="223">
        <f t="shared" si="0"/>
        <v>1</v>
      </c>
      <c r="O12" s="165"/>
    </row>
    <row r="13" spans="1:15">
      <c r="A13" s="156">
        <v>44905</v>
      </c>
      <c r="B13" s="30">
        <v>60</v>
      </c>
      <c r="C13" s="49">
        <v>38</v>
      </c>
      <c r="D13" s="49">
        <v>159</v>
      </c>
      <c r="E13" s="30">
        <v>118</v>
      </c>
      <c r="F13" s="30">
        <v>67</v>
      </c>
      <c r="G13" s="49">
        <v>0</v>
      </c>
      <c r="H13" s="30">
        <v>97</v>
      </c>
      <c r="I13" s="46">
        <v>9</v>
      </c>
      <c r="J13" s="64">
        <v>37</v>
      </c>
      <c r="K13" s="78">
        <v>21</v>
      </c>
      <c r="L13" s="132"/>
      <c r="M13" s="107">
        <f>J13-(I13+K13)</f>
        <v>7</v>
      </c>
      <c r="N13" s="223">
        <f t="shared" si="0"/>
        <v>7</v>
      </c>
      <c r="O13" s="165"/>
    </row>
    <row r="14" spans="1:15">
      <c r="A14" s="156">
        <v>44906</v>
      </c>
      <c r="B14" s="30">
        <v>59</v>
      </c>
      <c r="C14" s="49">
        <v>22</v>
      </c>
      <c r="D14" s="161">
        <v>160</v>
      </c>
      <c r="E14" s="30">
        <v>138</v>
      </c>
      <c r="F14" s="30">
        <v>78</v>
      </c>
      <c r="G14" s="49">
        <v>0</v>
      </c>
      <c r="H14" s="30">
        <v>104</v>
      </c>
      <c r="I14" s="46">
        <v>7</v>
      </c>
      <c r="J14" s="64">
        <v>46</v>
      </c>
      <c r="K14" s="78">
        <v>21</v>
      </c>
      <c r="L14" s="132"/>
      <c r="M14" s="107">
        <f t="shared" si="1"/>
        <v>18</v>
      </c>
      <c r="N14" s="223">
        <f t="shared" si="0"/>
        <v>18</v>
      </c>
      <c r="O14" s="165"/>
    </row>
    <row r="15" spans="1:15">
      <c r="A15" s="156">
        <v>44907</v>
      </c>
      <c r="B15" s="30">
        <v>68</v>
      </c>
      <c r="C15" s="49">
        <v>34</v>
      </c>
      <c r="D15" s="49">
        <v>170</v>
      </c>
      <c r="E15" s="30">
        <v>142</v>
      </c>
      <c r="F15" s="30">
        <v>99</v>
      </c>
      <c r="G15" s="49">
        <v>0</v>
      </c>
      <c r="H15" s="30">
        <v>92</v>
      </c>
      <c r="I15" s="46">
        <v>14</v>
      </c>
      <c r="J15" s="64">
        <v>42</v>
      </c>
      <c r="K15" s="78">
        <v>31</v>
      </c>
      <c r="L15" s="132"/>
      <c r="M15" s="107">
        <f t="shared" si="1"/>
        <v>-3</v>
      </c>
      <c r="N15" s="223">
        <f t="shared" si="0"/>
        <v>-3</v>
      </c>
      <c r="O15" s="165"/>
    </row>
    <row r="16" spans="1:15">
      <c r="A16" s="156">
        <v>44908</v>
      </c>
      <c r="B16" s="30">
        <v>63</v>
      </c>
      <c r="C16" s="49">
        <v>19</v>
      </c>
      <c r="D16" s="49">
        <v>162</v>
      </c>
      <c r="E16" s="20">
        <v>136</v>
      </c>
      <c r="F16" s="20">
        <v>91</v>
      </c>
      <c r="G16" s="49">
        <v>0</v>
      </c>
      <c r="H16" s="20">
        <v>99</v>
      </c>
      <c r="I16" s="46">
        <v>14</v>
      </c>
      <c r="J16" s="64">
        <v>33</v>
      </c>
      <c r="K16" s="78">
        <v>26</v>
      </c>
      <c r="L16" s="132"/>
      <c r="M16" s="107">
        <f t="shared" si="1"/>
        <v>-7</v>
      </c>
      <c r="N16" s="223">
        <f t="shared" si="0"/>
        <v>-7</v>
      </c>
      <c r="O16" s="165"/>
    </row>
    <row r="17" spans="1:15">
      <c r="A17" s="156">
        <v>44909</v>
      </c>
      <c r="B17" s="30">
        <v>74</v>
      </c>
      <c r="C17" s="49">
        <v>27</v>
      </c>
      <c r="D17" s="49">
        <v>162</v>
      </c>
      <c r="E17" s="30">
        <v>124</v>
      </c>
      <c r="F17" s="30">
        <v>73</v>
      </c>
      <c r="G17" s="49">
        <v>0</v>
      </c>
      <c r="H17" s="30">
        <v>105</v>
      </c>
      <c r="I17" s="46">
        <v>0</v>
      </c>
      <c r="J17" s="64">
        <v>39</v>
      </c>
      <c r="K17" s="78">
        <v>25</v>
      </c>
      <c r="L17" s="132"/>
      <c r="M17" s="107">
        <f t="shared" si="1"/>
        <v>14</v>
      </c>
      <c r="N17" s="223">
        <f t="shared" si="0"/>
        <v>14</v>
      </c>
      <c r="O17" s="165"/>
    </row>
    <row r="18" spans="1:15">
      <c r="A18" s="156">
        <v>44910</v>
      </c>
      <c r="B18" s="30">
        <v>68</v>
      </c>
      <c r="C18" s="49">
        <v>27</v>
      </c>
      <c r="D18" s="49">
        <v>161</v>
      </c>
      <c r="E18" s="30">
        <v>123</v>
      </c>
      <c r="F18" s="30">
        <v>86</v>
      </c>
      <c r="G18" s="49">
        <v>74</v>
      </c>
      <c r="H18" s="30">
        <v>104</v>
      </c>
      <c r="I18" s="46">
        <v>1</v>
      </c>
      <c r="J18" s="64">
        <v>48</v>
      </c>
      <c r="K18" s="78">
        <v>27</v>
      </c>
      <c r="L18" s="132"/>
      <c r="M18" s="164">
        <f t="shared" si="1"/>
        <v>20</v>
      </c>
      <c r="N18" s="223">
        <f t="shared" si="0"/>
        <v>20</v>
      </c>
      <c r="O18" s="46"/>
    </row>
    <row r="19" spans="1:15">
      <c r="A19" s="156">
        <v>44911</v>
      </c>
      <c r="B19" s="39">
        <v>63</v>
      </c>
      <c r="C19" s="103">
        <v>51</v>
      </c>
      <c r="D19" s="103">
        <v>139</v>
      </c>
      <c r="E19" s="167">
        <f>AVERAGE(E4:E18)</f>
        <v>126.73333333333333</v>
      </c>
      <c r="F19" s="50">
        <v>79</v>
      </c>
      <c r="G19" s="103">
        <v>0</v>
      </c>
      <c r="H19" s="39">
        <v>103</v>
      </c>
      <c r="I19" s="77">
        <v>1</v>
      </c>
      <c r="J19" s="68">
        <v>38</v>
      </c>
      <c r="K19" s="107">
        <v>29</v>
      </c>
      <c r="L19" s="132"/>
      <c r="M19" s="164">
        <f t="shared" si="1"/>
        <v>8</v>
      </c>
      <c r="N19" s="223">
        <f t="shared" si="0"/>
        <v>8</v>
      </c>
      <c r="O19" s="46"/>
    </row>
    <row r="20" spans="1:15">
      <c r="A20" s="156">
        <v>44912</v>
      </c>
      <c r="B20" s="30">
        <f>AVERAGE(B4:B19)</f>
        <v>63.25</v>
      </c>
      <c r="C20" s="49">
        <f>AVERAGE(C4:C19)</f>
        <v>28.25</v>
      </c>
      <c r="D20" s="49">
        <f>AVERAGE(D4:D19)</f>
        <v>155.8125</v>
      </c>
      <c r="E20" s="168">
        <f>AVERAGE(E4:E19)</f>
        <v>126.73333333333333</v>
      </c>
      <c r="F20" s="168">
        <f>AVERAGE(F4:F19)</f>
        <v>76.6875</v>
      </c>
      <c r="G20" s="49">
        <v>0</v>
      </c>
      <c r="H20" s="30">
        <f>AVERAGE(H4:H19)</f>
        <v>99.4375</v>
      </c>
      <c r="I20" s="169">
        <f>AVERAGE(I4:I19)</f>
        <v>9.6875</v>
      </c>
      <c r="J20" s="170">
        <f>AVERAGE(J4:J19)</f>
        <v>40.375</v>
      </c>
      <c r="K20" s="78">
        <f>AVERAGE(K4:K19)</f>
        <v>28</v>
      </c>
      <c r="L20" s="132"/>
      <c r="M20" s="164">
        <f t="shared" si="1"/>
        <v>2.6875</v>
      </c>
      <c r="N20" s="223">
        <f t="shared" si="0"/>
        <v>2.6875</v>
      </c>
      <c r="O20" s="46"/>
    </row>
    <row r="21" spans="1:15">
      <c r="A21" s="156">
        <v>44913</v>
      </c>
      <c r="B21" s="30">
        <v>68</v>
      </c>
      <c r="C21" s="49">
        <v>32</v>
      </c>
      <c r="D21" s="49">
        <v>125</v>
      </c>
      <c r="E21" s="30">
        <v>123</v>
      </c>
      <c r="F21" s="30">
        <v>94</v>
      </c>
      <c r="G21" s="49">
        <v>0</v>
      </c>
      <c r="H21" s="30">
        <v>104</v>
      </c>
      <c r="I21" s="46">
        <v>2</v>
      </c>
      <c r="J21" s="64">
        <v>34</v>
      </c>
      <c r="K21" s="78">
        <v>26</v>
      </c>
      <c r="L21" s="132"/>
      <c r="M21" s="164">
        <f t="shared" si="1"/>
        <v>6</v>
      </c>
      <c r="N21" s="223">
        <f t="shared" si="0"/>
        <v>6</v>
      </c>
      <c r="O21" s="46"/>
    </row>
    <row r="22" spans="1:15">
      <c r="A22" s="156">
        <v>44914</v>
      </c>
      <c r="B22" s="30">
        <v>77</v>
      </c>
      <c r="C22" s="49">
        <v>29</v>
      </c>
      <c r="D22" s="49">
        <v>120</v>
      </c>
      <c r="E22" s="30">
        <v>123</v>
      </c>
      <c r="F22" s="30">
        <v>77</v>
      </c>
      <c r="G22" s="49">
        <v>0</v>
      </c>
      <c r="H22" s="30">
        <v>103</v>
      </c>
      <c r="I22" s="46">
        <v>4</v>
      </c>
      <c r="J22" s="64">
        <v>38</v>
      </c>
      <c r="K22" s="78">
        <v>29</v>
      </c>
      <c r="L22" s="132"/>
      <c r="M22" s="164">
        <f>J22-(I22+K22)</f>
        <v>5</v>
      </c>
      <c r="N22" s="223">
        <f t="shared" si="0"/>
        <v>5</v>
      </c>
      <c r="O22" s="46"/>
    </row>
    <row r="23" spans="1:15">
      <c r="A23" s="156">
        <v>44915</v>
      </c>
      <c r="B23" s="30">
        <v>86</v>
      </c>
      <c r="C23" s="49">
        <v>30</v>
      </c>
      <c r="D23" s="49">
        <v>153</v>
      </c>
      <c r="E23" s="30">
        <v>174</v>
      </c>
      <c r="F23" s="30">
        <v>108</v>
      </c>
      <c r="G23" s="49">
        <v>0</v>
      </c>
      <c r="H23" s="30">
        <v>104</v>
      </c>
      <c r="I23" s="46">
        <v>4</v>
      </c>
      <c r="J23" s="64">
        <v>46</v>
      </c>
      <c r="K23" s="78">
        <v>39</v>
      </c>
      <c r="L23" s="132"/>
      <c r="M23" s="164">
        <f t="shared" si="1"/>
        <v>3</v>
      </c>
      <c r="N23" s="223">
        <f t="shared" si="0"/>
        <v>3</v>
      </c>
      <c r="O23" s="46"/>
    </row>
    <row r="24" spans="1:15">
      <c r="A24" s="156">
        <v>44916</v>
      </c>
      <c r="B24" s="37">
        <v>83</v>
      </c>
      <c r="C24" s="49">
        <v>68</v>
      </c>
      <c r="D24" s="49">
        <v>143</v>
      </c>
      <c r="E24" s="37">
        <v>190</v>
      </c>
      <c r="F24" s="37">
        <v>90</v>
      </c>
      <c r="G24" s="49">
        <v>0</v>
      </c>
      <c r="H24" s="37">
        <v>92</v>
      </c>
      <c r="I24" s="46">
        <v>6</v>
      </c>
      <c r="J24" s="64">
        <v>36</v>
      </c>
      <c r="K24" s="78">
        <v>37</v>
      </c>
      <c r="L24" s="132"/>
      <c r="M24" s="164">
        <f>J24-(I24+K24)</f>
        <v>-7</v>
      </c>
      <c r="N24" s="223">
        <f>M24</f>
        <v>-7</v>
      </c>
      <c r="O24" s="46"/>
    </row>
    <row r="25" spans="1:15">
      <c r="A25" s="156">
        <v>44917</v>
      </c>
      <c r="B25" s="30">
        <v>83</v>
      </c>
      <c r="C25" s="49">
        <v>18</v>
      </c>
      <c r="D25" s="49">
        <v>125</v>
      </c>
      <c r="E25" s="20">
        <v>134</v>
      </c>
      <c r="F25" s="20">
        <v>83</v>
      </c>
      <c r="G25" s="49">
        <v>0</v>
      </c>
      <c r="H25" s="30">
        <v>83</v>
      </c>
      <c r="I25" s="46">
        <v>14</v>
      </c>
      <c r="J25" s="64">
        <v>28</v>
      </c>
      <c r="K25" s="78">
        <v>13</v>
      </c>
      <c r="L25" s="132"/>
      <c r="M25" s="164">
        <f t="shared" si="1"/>
        <v>1</v>
      </c>
      <c r="N25" s="223">
        <f t="shared" si="0"/>
        <v>1</v>
      </c>
      <c r="O25" s="47"/>
    </row>
    <row r="26" spans="1:15">
      <c r="A26" s="156">
        <v>44918</v>
      </c>
      <c r="B26" s="30">
        <v>78</v>
      </c>
      <c r="C26" s="49">
        <v>20</v>
      </c>
      <c r="D26" s="49">
        <v>141</v>
      </c>
      <c r="E26" s="30">
        <v>108</v>
      </c>
      <c r="F26" s="30">
        <v>90</v>
      </c>
      <c r="G26" s="49">
        <v>0</v>
      </c>
      <c r="H26" s="30">
        <v>87</v>
      </c>
      <c r="I26" s="46">
        <v>7</v>
      </c>
      <c r="J26" s="64">
        <v>20</v>
      </c>
      <c r="K26" s="78">
        <v>6</v>
      </c>
      <c r="L26" s="132"/>
      <c r="M26" s="164">
        <f t="shared" si="1"/>
        <v>7</v>
      </c>
      <c r="N26" s="223">
        <f t="shared" si="0"/>
        <v>7</v>
      </c>
      <c r="O26" s="47"/>
    </row>
    <row r="27" spans="1:15">
      <c r="A27" s="156">
        <v>44919</v>
      </c>
      <c r="B27" s="30">
        <v>80</v>
      </c>
      <c r="C27" s="49">
        <v>31</v>
      </c>
      <c r="D27" s="49">
        <v>138</v>
      </c>
      <c r="E27" s="20">
        <v>117</v>
      </c>
      <c r="F27" s="20">
        <v>92</v>
      </c>
      <c r="G27" s="49">
        <v>73</v>
      </c>
      <c r="H27" s="30">
        <v>86</v>
      </c>
      <c r="I27" s="46">
        <v>8</v>
      </c>
      <c r="J27" s="64">
        <v>39</v>
      </c>
      <c r="K27" s="78">
        <v>28</v>
      </c>
      <c r="L27" s="132"/>
      <c r="M27" s="164">
        <v>0</v>
      </c>
      <c r="N27" s="223">
        <f t="shared" si="0"/>
        <v>0</v>
      </c>
      <c r="O27" s="47"/>
    </row>
    <row r="28" spans="1:15">
      <c r="A28" s="156">
        <v>44920</v>
      </c>
      <c r="B28" s="30">
        <v>84</v>
      </c>
      <c r="C28" s="49">
        <v>23</v>
      </c>
      <c r="D28" s="49">
        <v>164</v>
      </c>
      <c r="E28" s="30">
        <v>106</v>
      </c>
      <c r="F28" s="30">
        <v>87</v>
      </c>
      <c r="G28" s="49">
        <v>65</v>
      </c>
      <c r="H28" s="30">
        <v>87</v>
      </c>
      <c r="I28" s="46">
        <v>9</v>
      </c>
      <c r="J28" s="64">
        <v>27</v>
      </c>
      <c r="K28" s="78">
        <v>11</v>
      </c>
      <c r="L28" s="132"/>
      <c r="M28" s="164">
        <f t="shared" si="1"/>
        <v>7</v>
      </c>
      <c r="N28" s="223">
        <f t="shared" si="0"/>
        <v>7</v>
      </c>
      <c r="O28" s="47"/>
    </row>
    <row r="29" spans="1:15">
      <c r="A29" s="156">
        <v>44921</v>
      </c>
      <c r="B29" s="30">
        <v>93</v>
      </c>
      <c r="C29" s="49">
        <v>20</v>
      </c>
      <c r="D29" s="49">
        <v>159</v>
      </c>
      <c r="E29" s="30">
        <v>111</v>
      </c>
      <c r="F29" s="30">
        <v>100</v>
      </c>
      <c r="G29" s="49">
        <v>92</v>
      </c>
      <c r="H29" s="30">
        <v>87</v>
      </c>
      <c r="I29" s="46"/>
      <c r="J29" s="64"/>
      <c r="K29" s="78"/>
      <c r="L29" s="132"/>
      <c r="M29" s="164">
        <f t="shared" si="1"/>
        <v>0</v>
      </c>
      <c r="N29" s="223">
        <f t="shared" si="0"/>
        <v>0</v>
      </c>
      <c r="O29" s="47"/>
    </row>
    <row r="30" spans="1:15">
      <c r="A30" s="156">
        <v>44922</v>
      </c>
      <c r="B30" s="30">
        <v>26</v>
      </c>
      <c r="C30" s="49">
        <v>22</v>
      </c>
      <c r="D30" s="49">
        <v>183</v>
      </c>
      <c r="E30" s="30">
        <v>119</v>
      </c>
      <c r="F30" s="30">
        <v>108</v>
      </c>
      <c r="G30" s="49">
        <v>70</v>
      </c>
      <c r="H30" s="30">
        <v>87</v>
      </c>
      <c r="I30" s="46"/>
      <c r="J30" s="64"/>
      <c r="K30" s="78"/>
      <c r="L30" s="132"/>
      <c r="M30" s="164">
        <f t="shared" si="1"/>
        <v>0</v>
      </c>
      <c r="N30" s="223">
        <f t="shared" si="0"/>
        <v>0</v>
      </c>
      <c r="O30" s="47"/>
    </row>
    <row r="31" spans="1:15">
      <c r="A31" s="156">
        <v>44923</v>
      </c>
      <c r="B31" s="30">
        <f>AVERAGE(B4:B30)</f>
        <v>67.898148148148152</v>
      </c>
      <c r="C31" s="49">
        <v>31</v>
      </c>
      <c r="D31" s="49">
        <v>140</v>
      </c>
      <c r="E31" s="20">
        <v>171</v>
      </c>
      <c r="F31" s="20">
        <v>105</v>
      </c>
      <c r="G31" s="49">
        <v>85</v>
      </c>
      <c r="H31" s="20">
        <v>85</v>
      </c>
      <c r="I31" s="46"/>
      <c r="J31" s="64"/>
      <c r="K31" s="78"/>
      <c r="L31" s="132"/>
      <c r="M31" s="164">
        <f t="shared" si="1"/>
        <v>0</v>
      </c>
      <c r="N31" s="223">
        <f t="shared" si="0"/>
        <v>0</v>
      </c>
      <c r="O31" s="47"/>
    </row>
    <row r="32" spans="1:15">
      <c r="A32" s="156">
        <v>44924</v>
      </c>
      <c r="B32" s="30">
        <v>43</v>
      </c>
      <c r="C32" s="49">
        <v>22</v>
      </c>
      <c r="D32" s="49">
        <v>166</v>
      </c>
      <c r="E32" s="30">
        <v>168</v>
      </c>
      <c r="F32" s="30">
        <v>88</v>
      </c>
      <c r="G32" s="49">
        <v>73</v>
      </c>
      <c r="H32" s="30">
        <v>88</v>
      </c>
      <c r="I32" s="46"/>
      <c r="J32" s="64"/>
      <c r="K32" s="78"/>
      <c r="L32" s="132"/>
      <c r="M32" s="164">
        <f t="shared" si="1"/>
        <v>0</v>
      </c>
      <c r="N32" s="223">
        <f t="shared" si="0"/>
        <v>0</v>
      </c>
      <c r="O32" s="47"/>
    </row>
    <row r="33" spans="1:15">
      <c r="A33" s="156">
        <v>44925</v>
      </c>
      <c r="B33" s="30">
        <v>21</v>
      </c>
      <c r="C33" s="49">
        <v>35</v>
      </c>
      <c r="D33" s="49">
        <v>164</v>
      </c>
      <c r="E33" s="30">
        <v>149</v>
      </c>
      <c r="F33" s="30">
        <v>106</v>
      </c>
      <c r="G33" s="49">
        <v>87</v>
      </c>
      <c r="H33" s="30">
        <v>85</v>
      </c>
      <c r="I33" s="46"/>
      <c r="J33" s="64"/>
      <c r="K33" s="78"/>
      <c r="L33" s="132"/>
      <c r="M33" s="164">
        <f t="shared" si="1"/>
        <v>0</v>
      </c>
      <c r="N33" s="223">
        <f t="shared" si="0"/>
        <v>0</v>
      </c>
      <c r="O33" s="47"/>
    </row>
    <row r="34" spans="1:15">
      <c r="A34" s="156">
        <v>44926</v>
      </c>
      <c r="B34" s="49">
        <f>AVERAGE(B4:B33)</f>
        <v>65.504938271604942</v>
      </c>
      <c r="C34" s="49">
        <f t="shared" ref="C34:H34" si="2">AVERAGE(C4:C33)</f>
        <v>28.708333333333332</v>
      </c>
      <c r="D34" s="49">
        <f t="shared" si="2"/>
        <v>152.32708333333332</v>
      </c>
      <c r="E34" s="49">
        <f t="shared" si="2"/>
        <v>131.58222222222221</v>
      </c>
      <c r="F34" s="49">
        <f t="shared" si="2"/>
        <v>84.389583333333334</v>
      </c>
      <c r="G34" s="49">
        <f t="shared" si="2"/>
        <v>20.633333333333333</v>
      </c>
      <c r="H34" s="49">
        <f t="shared" si="2"/>
        <v>95.614583333333329</v>
      </c>
      <c r="I34" s="46"/>
      <c r="J34" s="64"/>
      <c r="K34" s="78"/>
      <c r="L34" s="132"/>
      <c r="M34" s="164">
        <f t="shared" si="1"/>
        <v>0</v>
      </c>
      <c r="N34" s="223">
        <f t="shared" si="0"/>
        <v>0</v>
      </c>
      <c r="O34" s="47" t="s">
        <v>96</v>
      </c>
    </row>
    <row r="35" spans="1:15" ht="45" customHeight="1">
      <c r="A35" s="105" t="s">
        <v>97</v>
      </c>
      <c r="B35" s="104">
        <f>SUM(B4:B34)</f>
        <v>2030.6530864197532</v>
      </c>
      <c r="C35" s="104">
        <f t="shared" ref="C35:K35" si="3">SUM(C4:C34)</f>
        <v>889.95833333333337</v>
      </c>
      <c r="D35" s="104">
        <f t="shared" si="3"/>
        <v>4722.1395833333336</v>
      </c>
      <c r="E35" s="104">
        <f t="shared" si="3"/>
        <v>4079.048888888889</v>
      </c>
      <c r="F35" s="104">
        <f t="shared" si="3"/>
        <v>2616.0770833333331</v>
      </c>
      <c r="G35" s="104">
        <f t="shared" si="3"/>
        <v>639.63333333333333</v>
      </c>
      <c r="H35" s="104">
        <f t="shared" si="3"/>
        <v>2964.0520833333335</v>
      </c>
      <c r="I35" s="104">
        <f t="shared" si="3"/>
        <v>218.6875</v>
      </c>
      <c r="J35" s="108"/>
      <c r="K35" s="108">
        <f t="shared" si="3"/>
        <v>665</v>
      </c>
      <c r="L35" s="108"/>
      <c r="M35" s="108">
        <f>E35-I35-(K35+3)</f>
        <v>3192.361388888889</v>
      </c>
      <c r="N35" s="64"/>
      <c r="O35" s="220">
        <f>SUM(B35:H35)</f>
        <v>17941.562391975309</v>
      </c>
    </row>
    <row r="44" spans="1:15" hidden="1"/>
  </sheetData>
  <mergeCells count="1">
    <mergeCell ref="I1:K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C105"/>
  <sheetViews>
    <sheetView workbookViewId="0">
      <pane xSplit="1" topLeftCell="Z3" activePane="topRight" state="frozen"/>
      <selection pane="topRight" activeCell="Z3" sqref="Z3"/>
    </sheetView>
  </sheetViews>
  <sheetFormatPr defaultRowHeight="15" customHeight="1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  <col min="25" max="25" width="11.28515625" hidden="1" customWidth="1"/>
  </cols>
  <sheetData>
    <row r="1" spans="1:29"/>
    <row r="2" spans="1:29" ht="17.25" customHeight="1">
      <c r="A2" s="91"/>
      <c r="B2" s="196" t="s">
        <v>98</v>
      </c>
      <c r="C2" s="197"/>
      <c r="D2" s="197"/>
      <c r="E2" s="198"/>
      <c r="F2" s="196" t="s">
        <v>99</v>
      </c>
      <c r="G2" s="197"/>
      <c r="H2" s="197"/>
      <c r="I2" s="198"/>
      <c r="J2" s="199" t="s">
        <v>100</v>
      </c>
      <c r="K2" s="200"/>
      <c r="L2" s="200"/>
      <c r="M2" s="201"/>
      <c r="N2" s="199" t="s">
        <v>101</v>
      </c>
      <c r="O2" s="200"/>
      <c r="P2" s="200"/>
      <c r="Q2" s="201"/>
      <c r="R2" s="199" t="s">
        <v>102</v>
      </c>
      <c r="S2" s="200"/>
      <c r="T2" s="200"/>
      <c r="U2" s="200"/>
      <c r="V2" s="146"/>
      <c r="W2" s="146"/>
      <c r="X2" s="147"/>
      <c r="Y2" s="148"/>
      <c r="Z2" s="149"/>
      <c r="AA2" s="149"/>
      <c r="AB2" s="193" t="s">
        <v>103</v>
      </c>
      <c r="AC2" s="194"/>
    </row>
    <row r="3" spans="1:29" ht="70.5" customHeight="1">
      <c r="A3" s="51" t="s">
        <v>39</v>
      </c>
      <c r="B3" s="80" t="s">
        <v>104</v>
      </c>
      <c r="C3" s="80" t="s">
        <v>105</v>
      </c>
      <c r="D3" s="81" t="s">
        <v>106</v>
      </c>
      <c r="E3" s="92"/>
      <c r="F3" s="48" t="s">
        <v>104</v>
      </c>
      <c r="G3" s="48" t="s">
        <v>105</v>
      </c>
      <c r="H3" s="74" t="s">
        <v>106</v>
      </c>
      <c r="I3" s="94"/>
      <c r="J3" s="48" t="s">
        <v>104</v>
      </c>
      <c r="K3" s="48" t="s">
        <v>105</v>
      </c>
      <c r="L3" s="74" t="s">
        <v>106</v>
      </c>
      <c r="M3" s="93"/>
      <c r="N3" s="48" t="s">
        <v>104</v>
      </c>
      <c r="O3" s="48" t="s">
        <v>105</v>
      </c>
      <c r="P3" s="74" t="s">
        <v>106</v>
      </c>
      <c r="Q3" s="93"/>
      <c r="R3" s="48" t="s">
        <v>104</v>
      </c>
      <c r="S3" s="48" t="s">
        <v>105</v>
      </c>
      <c r="T3" s="74" t="s">
        <v>106</v>
      </c>
      <c r="U3" s="126"/>
      <c r="V3" s="106" t="s">
        <v>107</v>
      </c>
      <c r="W3" s="106" t="s">
        <v>108</v>
      </c>
      <c r="X3" s="100" t="s">
        <v>109</v>
      </c>
      <c r="Y3" s="125" t="s">
        <v>110</v>
      </c>
      <c r="Z3" s="125"/>
      <c r="AA3" s="125"/>
      <c r="AB3" s="106"/>
      <c r="AC3" s="106"/>
    </row>
    <row r="4" spans="1:29">
      <c r="A4" s="52">
        <v>44896</v>
      </c>
      <c r="B4" s="49">
        <v>21</v>
      </c>
      <c r="C4" s="49">
        <v>2761</v>
      </c>
      <c r="D4" s="64">
        <v>12787</v>
      </c>
      <c r="E4" s="93"/>
      <c r="F4" s="49">
        <v>15</v>
      </c>
      <c r="G4" s="49">
        <v>2359</v>
      </c>
      <c r="H4" s="78">
        <v>10907</v>
      </c>
      <c r="I4" s="95"/>
      <c r="J4" s="49">
        <v>10</v>
      </c>
      <c r="K4" s="49">
        <v>1135</v>
      </c>
      <c r="L4" s="78">
        <v>5248</v>
      </c>
      <c r="M4" s="93"/>
      <c r="N4" s="49">
        <v>0</v>
      </c>
      <c r="O4" s="49">
        <v>0</v>
      </c>
      <c r="P4" s="78">
        <v>0</v>
      </c>
      <c r="Q4" s="93"/>
      <c r="R4" s="49">
        <v>10</v>
      </c>
      <c r="S4" s="49">
        <v>1588</v>
      </c>
      <c r="T4" s="49">
        <v>7520</v>
      </c>
      <c r="U4" s="145"/>
      <c r="V4" s="38"/>
      <c r="W4" s="49">
        <f>SUM(B4,F4,J4,N4,R4)</f>
        <v>56</v>
      </c>
      <c r="X4" s="49">
        <f>SUM(C4,G4,K4,O4,S4)</f>
        <v>7843</v>
      </c>
      <c r="Y4" s="49">
        <f>SUM(D4,H4,L4,P4,T4)</f>
        <v>36462</v>
      </c>
      <c r="Z4" s="78">
        <f t="shared" ref="Z4:Z18" si="0">AA4-AA3</f>
        <v>0</v>
      </c>
      <c r="AA4" s="64"/>
      <c r="AB4" s="46"/>
      <c r="AC4" s="46"/>
    </row>
    <row r="5" spans="1:29">
      <c r="A5" s="52">
        <v>44897</v>
      </c>
      <c r="B5" s="49">
        <v>9</v>
      </c>
      <c r="C5" s="49">
        <v>1191</v>
      </c>
      <c r="D5" s="64">
        <v>5363</v>
      </c>
      <c r="E5" s="93"/>
      <c r="F5" s="49">
        <v>15</v>
      </c>
      <c r="G5" s="49">
        <v>2333</v>
      </c>
      <c r="H5" s="78">
        <v>10782</v>
      </c>
      <c r="I5" s="95"/>
      <c r="J5" s="49">
        <v>9</v>
      </c>
      <c r="K5" s="49">
        <v>1082</v>
      </c>
      <c r="L5" s="78">
        <v>5378</v>
      </c>
      <c r="M5" s="93"/>
      <c r="N5" s="49">
        <v>0</v>
      </c>
      <c r="O5" s="49">
        <v>0</v>
      </c>
      <c r="P5" s="78">
        <v>0</v>
      </c>
      <c r="Q5" s="93"/>
      <c r="R5" s="49">
        <v>15</v>
      </c>
      <c r="S5" s="49">
        <v>2436</v>
      </c>
      <c r="T5" s="49">
        <v>10802</v>
      </c>
      <c r="U5" s="126" t="s">
        <v>111</v>
      </c>
      <c r="V5" s="38"/>
      <c r="W5" s="49">
        <f>SUM(B5,F5,J5,N5,R5)</f>
        <v>48</v>
      </c>
      <c r="X5" s="49">
        <f t="shared" ref="X5:X34" si="1">SUM(C5,G5,K5,O5,S5)</f>
        <v>7042</v>
      </c>
      <c r="Y5" s="49">
        <f t="shared" ref="Y5:Y34" si="2">SUM(D5,H5,L5,P5,T5)</f>
        <v>32325</v>
      </c>
      <c r="Z5" s="78">
        <f t="shared" si="0"/>
        <v>0</v>
      </c>
      <c r="AA5" s="64"/>
      <c r="AB5" s="46"/>
      <c r="AC5" s="46"/>
    </row>
    <row r="6" spans="1:29">
      <c r="A6" s="52">
        <v>44898</v>
      </c>
      <c r="B6" s="49">
        <v>14</v>
      </c>
      <c r="C6" s="49">
        <v>1752</v>
      </c>
      <c r="D6" s="64">
        <v>8388</v>
      </c>
      <c r="E6" s="93"/>
      <c r="F6" s="49">
        <v>11</v>
      </c>
      <c r="G6" s="49">
        <v>1517</v>
      </c>
      <c r="H6" s="78">
        <v>6931</v>
      </c>
      <c r="I6" s="95"/>
      <c r="J6" s="49">
        <v>20</v>
      </c>
      <c r="K6" s="49">
        <v>2421</v>
      </c>
      <c r="L6" s="78">
        <v>11861</v>
      </c>
      <c r="M6" s="93"/>
      <c r="N6" s="49">
        <v>0</v>
      </c>
      <c r="O6" s="49">
        <v>0</v>
      </c>
      <c r="P6" s="78">
        <v>0</v>
      </c>
      <c r="Q6" s="93"/>
      <c r="R6" s="49">
        <v>9</v>
      </c>
      <c r="S6" s="49">
        <v>1261</v>
      </c>
      <c r="T6" s="49">
        <v>5766</v>
      </c>
      <c r="U6" s="126"/>
      <c r="V6" s="38"/>
      <c r="W6" s="49">
        <f t="shared" ref="W6:W34" si="3">SUM(B6,F6,J6,N6,R6)</f>
        <v>54</v>
      </c>
      <c r="X6" s="49">
        <f t="shared" si="1"/>
        <v>6951</v>
      </c>
      <c r="Y6" s="49">
        <f t="shared" si="2"/>
        <v>32946</v>
      </c>
      <c r="Z6" s="78">
        <f t="shared" si="0"/>
        <v>0</v>
      </c>
      <c r="AA6" s="64"/>
      <c r="AB6" s="46"/>
      <c r="AC6" s="46"/>
    </row>
    <row r="7" spans="1:29">
      <c r="A7" s="52">
        <v>44899</v>
      </c>
      <c r="B7" s="49">
        <v>18</v>
      </c>
      <c r="C7" s="49">
        <v>2262</v>
      </c>
      <c r="D7" s="64">
        <v>10905</v>
      </c>
      <c r="E7" s="93"/>
      <c r="F7" s="49">
        <v>14</v>
      </c>
      <c r="G7" s="49">
        <v>1963</v>
      </c>
      <c r="H7" s="78">
        <v>8754</v>
      </c>
      <c r="I7" s="95"/>
      <c r="J7" s="49">
        <v>13</v>
      </c>
      <c r="K7" s="49">
        <v>1619</v>
      </c>
      <c r="L7" s="78">
        <v>7905</v>
      </c>
      <c r="M7" s="93"/>
      <c r="N7" s="49">
        <v>0</v>
      </c>
      <c r="O7" s="49">
        <v>0</v>
      </c>
      <c r="P7" s="78">
        <v>0</v>
      </c>
      <c r="Q7" s="93"/>
      <c r="R7" s="49">
        <v>13</v>
      </c>
      <c r="S7" s="49">
        <v>1894</v>
      </c>
      <c r="T7" s="49">
        <v>8073</v>
      </c>
      <c r="U7" s="126"/>
      <c r="V7" s="38"/>
      <c r="W7" s="49">
        <f t="shared" si="3"/>
        <v>58</v>
      </c>
      <c r="X7" s="49">
        <f t="shared" si="1"/>
        <v>7738</v>
      </c>
      <c r="Y7" s="49">
        <f t="shared" si="2"/>
        <v>35637</v>
      </c>
      <c r="Z7" s="78">
        <f t="shared" si="0"/>
        <v>0</v>
      </c>
      <c r="AA7" s="64"/>
      <c r="AB7" s="46"/>
      <c r="AC7" s="46"/>
    </row>
    <row r="8" spans="1:29">
      <c r="A8" s="52">
        <v>44900</v>
      </c>
      <c r="B8" s="49">
        <v>9</v>
      </c>
      <c r="C8" s="49">
        <v>1132</v>
      </c>
      <c r="D8" s="64">
        <v>5104</v>
      </c>
      <c r="E8" s="93"/>
      <c r="F8" s="49">
        <v>24</v>
      </c>
      <c r="G8" s="49">
        <v>3332</v>
      </c>
      <c r="H8" s="78">
        <v>15185</v>
      </c>
      <c r="I8" s="95"/>
      <c r="J8" s="49">
        <v>13</v>
      </c>
      <c r="K8" s="49">
        <v>1667</v>
      </c>
      <c r="L8" s="78">
        <v>8249</v>
      </c>
      <c r="M8" s="93"/>
      <c r="N8" s="49">
        <v>0</v>
      </c>
      <c r="O8" s="49">
        <v>0</v>
      </c>
      <c r="P8" s="78">
        <v>0</v>
      </c>
      <c r="Q8" s="93"/>
      <c r="R8" s="49">
        <v>7</v>
      </c>
      <c r="S8" s="49">
        <v>922</v>
      </c>
      <c r="T8" s="49">
        <v>4060</v>
      </c>
      <c r="U8" s="126"/>
      <c r="V8" s="38"/>
      <c r="W8" s="49">
        <f t="shared" si="3"/>
        <v>53</v>
      </c>
      <c r="X8" s="49">
        <f t="shared" si="1"/>
        <v>7053</v>
      </c>
      <c r="Y8" s="49">
        <f t="shared" si="2"/>
        <v>32598</v>
      </c>
      <c r="Z8" s="78">
        <f t="shared" si="0"/>
        <v>0</v>
      </c>
      <c r="AA8" s="64"/>
      <c r="AB8" s="46"/>
      <c r="AC8" s="46"/>
    </row>
    <row r="9" spans="1:29">
      <c r="A9" s="52">
        <v>44901</v>
      </c>
      <c r="B9" s="49">
        <v>10</v>
      </c>
      <c r="C9" s="49">
        <v>1269</v>
      </c>
      <c r="D9" s="64">
        <v>5958</v>
      </c>
      <c r="E9" s="93"/>
      <c r="F9" s="49">
        <v>11</v>
      </c>
      <c r="G9" s="49">
        <v>1598</v>
      </c>
      <c r="H9" s="78">
        <v>7287</v>
      </c>
      <c r="I9" s="95"/>
      <c r="J9" s="49">
        <v>18</v>
      </c>
      <c r="K9" s="49">
        <v>2716</v>
      </c>
      <c r="L9" s="78">
        <v>13165</v>
      </c>
      <c r="M9" s="93"/>
      <c r="N9" s="49">
        <v>0</v>
      </c>
      <c r="O9" s="49">
        <v>0</v>
      </c>
      <c r="P9" s="78">
        <v>0</v>
      </c>
      <c r="Q9" s="93"/>
      <c r="R9" s="49">
        <v>5</v>
      </c>
      <c r="S9" s="49">
        <v>2310</v>
      </c>
      <c r="T9" s="49">
        <v>10663</v>
      </c>
      <c r="U9" s="126"/>
      <c r="V9" s="38"/>
      <c r="W9" s="49">
        <f t="shared" si="3"/>
        <v>44</v>
      </c>
      <c r="X9" s="49">
        <f t="shared" si="1"/>
        <v>7893</v>
      </c>
      <c r="Y9" s="49">
        <f t="shared" si="2"/>
        <v>37073</v>
      </c>
      <c r="Z9" s="78">
        <f t="shared" si="0"/>
        <v>0</v>
      </c>
      <c r="AA9" s="64"/>
      <c r="AB9" s="46"/>
      <c r="AC9" s="46"/>
    </row>
    <row r="10" spans="1:29">
      <c r="A10" s="52">
        <v>44902</v>
      </c>
      <c r="B10" s="49">
        <v>12</v>
      </c>
      <c r="C10" s="49">
        <v>1444</v>
      </c>
      <c r="D10" s="64">
        <v>6875</v>
      </c>
      <c r="E10" s="93"/>
      <c r="F10" s="49">
        <v>13</v>
      </c>
      <c r="G10" s="49">
        <v>1972</v>
      </c>
      <c r="H10" s="78">
        <v>8665</v>
      </c>
      <c r="I10" s="95"/>
      <c r="J10" s="49">
        <v>25</v>
      </c>
      <c r="K10" s="49">
        <v>3099</v>
      </c>
      <c r="L10" s="78">
        <v>15453</v>
      </c>
      <c r="M10" s="93"/>
      <c r="N10" s="49">
        <v>0</v>
      </c>
      <c r="O10" s="49">
        <v>0</v>
      </c>
      <c r="P10" s="78">
        <v>0</v>
      </c>
      <c r="Q10" s="93"/>
      <c r="R10" s="49">
        <v>7</v>
      </c>
      <c r="S10" s="49">
        <v>1131</v>
      </c>
      <c r="T10" s="49">
        <v>4705</v>
      </c>
      <c r="U10" s="126"/>
      <c r="V10" s="38"/>
      <c r="W10" s="49">
        <f t="shared" si="3"/>
        <v>57</v>
      </c>
      <c r="X10" s="49">
        <f t="shared" si="1"/>
        <v>7646</v>
      </c>
      <c r="Y10" s="49">
        <f t="shared" si="2"/>
        <v>35698</v>
      </c>
      <c r="Z10" s="78">
        <f t="shared" si="0"/>
        <v>0</v>
      </c>
      <c r="AA10" s="64"/>
      <c r="AB10" s="46"/>
      <c r="AC10" s="46"/>
    </row>
    <row r="11" spans="1:29">
      <c r="A11" s="52">
        <v>44903</v>
      </c>
      <c r="B11" s="49">
        <v>20</v>
      </c>
      <c r="C11" s="49">
        <v>2541</v>
      </c>
      <c r="D11" s="64">
        <v>12242</v>
      </c>
      <c r="E11" s="93"/>
      <c r="F11" s="49">
        <v>15</v>
      </c>
      <c r="G11" s="49">
        <v>2097</v>
      </c>
      <c r="H11" s="78">
        <v>9846</v>
      </c>
      <c r="I11" s="95"/>
      <c r="J11" s="49">
        <v>19</v>
      </c>
      <c r="K11" s="49">
        <v>2408</v>
      </c>
      <c r="L11" s="78">
        <v>11840</v>
      </c>
      <c r="M11" s="93"/>
      <c r="N11" s="49">
        <v>0</v>
      </c>
      <c r="O11" s="49">
        <v>0</v>
      </c>
      <c r="P11" s="78">
        <v>0</v>
      </c>
      <c r="Q11" s="93"/>
      <c r="R11" s="49">
        <v>13</v>
      </c>
      <c r="S11" s="49">
        <v>1889</v>
      </c>
      <c r="T11" s="49">
        <v>9202</v>
      </c>
      <c r="U11" s="126"/>
      <c r="V11" s="38"/>
      <c r="W11" s="49">
        <f t="shared" si="3"/>
        <v>67</v>
      </c>
      <c r="X11" s="49">
        <f>SUM(C11,G11,K11,O11,S11)</f>
        <v>8935</v>
      </c>
      <c r="Y11" s="49">
        <f t="shared" si="2"/>
        <v>43130</v>
      </c>
      <c r="Z11" s="78">
        <f t="shared" si="0"/>
        <v>0</v>
      </c>
      <c r="AA11" s="64"/>
      <c r="AB11" s="46"/>
      <c r="AC11" s="46"/>
    </row>
    <row r="12" spans="1:29">
      <c r="A12" s="52">
        <v>44904</v>
      </c>
      <c r="B12" s="49">
        <v>19</v>
      </c>
      <c r="C12" s="49">
        <v>2468</v>
      </c>
      <c r="D12" s="64">
        <v>12070</v>
      </c>
      <c r="E12" s="93"/>
      <c r="F12" s="49">
        <v>12</v>
      </c>
      <c r="G12" s="49">
        <v>1574</v>
      </c>
      <c r="H12" s="78">
        <v>7118</v>
      </c>
      <c r="I12" s="95"/>
      <c r="J12" s="49">
        <v>10</v>
      </c>
      <c r="K12" s="49">
        <v>1490</v>
      </c>
      <c r="L12" s="78">
        <v>7111</v>
      </c>
      <c r="M12" s="93"/>
      <c r="N12" s="49">
        <v>0</v>
      </c>
      <c r="O12" s="49">
        <v>0</v>
      </c>
      <c r="P12" s="78">
        <v>0</v>
      </c>
      <c r="Q12" s="93"/>
      <c r="R12" s="49">
        <v>0</v>
      </c>
      <c r="S12" s="49">
        <v>0</v>
      </c>
      <c r="T12" s="49">
        <v>0</v>
      </c>
      <c r="U12" s="126"/>
      <c r="V12" s="38"/>
      <c r="W12" s="49">
        <f t="shared" si="3"/>
        <v>41</v>
      </c>
      <c r="X12" s="49">
        <f t="shared" si="1"/>
        <v>5532</v>
      </c>
      <c r="Y12" s="49">
        <f t="shared" si="2"/>
        <v>26299</v>
      </c>
      <c r="Z12" s="78">
        <f t="shared" si="0"/>
        <v>0</v>
      </c>
      <c r="AA12" s="64"/>
      <c r="AB12" s="46"/>
      <c r="AC12" s="46"/>
    </row>
    <row r="13" spans="1:29">
      <c r="A13" s="52">
        <v>44905</v>
      </c>
      <c r="B13" s="49">
        <v>10</v>
      </c>
      <c r="C13" s="49">
        <v>1495</v>
      </c>
      <c r="D13" s="64">
        <v>7052</v>
      </c>
      <c r="E13" s="93"/>
      <c r="F13" s="49">
        <v>10</v>
      </c>
      <c r="G13" s="49">
        <v>1451</v>
      </c>
      <c r="H13" s="78">
        <v>6371</v>
      </c>
      <c r="I13" s="95"/>
      <c r="J13" s="49">
        <v>11</v>
      </c>
      <c r="K13" s="49">
        <v>1460</v>
      </c>
      <c r="L13" s="78">
        <v>7160</v>
      </c>
      <c r="M13" s="93"/>
      <c r="N13" s="49">
        <v>0</v>
      </c>
      <c r="O13" s="49">
        <v>0</v>
      </c>
      <c r="P13" s="78">
        <v>0</v>
      </c>
      <c r="Q13" s="93"/>
      <c r="R13" s="49">
        <v>24</v>
      </c>
      <c r="S13" s="49">
        <v>3259</v>
      </c>
      <c r="T13" s="49">
        <v>16007</v>
      </c>
      <c r="U13" s="126"/>
      <c r="V13" s="38"/>
      <c r="W13" s="49">
        <f t="shared" si="3"/>
        <v>55</v>
      </c>
      <c r="X13" s="49">
        <f t="shared" si="1"/>
        <v>7665</v>
      </c>
      <c r="Y13" s="49">
        <f t="shared" si="2"/>
        <v>36590</v>
      </c>
      <c r="Z13" s="78">
        <f t="shared" si="0"/>
        <v>0</v>
      </c>
      <c r="AA13" s="64"/>
      <c r="AB13" s="46"/>
      <c r="AC13" s="46"/>
    </row>
    <row r="14" spans="1:29">
      <c r="A14" s="52">
        <v>44906</v>
      </c>
      <c r="B14" s="49">
        <v>14</v>
      </c>
      <c r="C14" s="49">
        <v>1930</v>
      </c>
      <c r="D14" s="64">
        <v>9494</v>
      </c>
      <c r="E14" s="93"/>
      <c r="F14" s="49">
        <v>10</v>
      </c>
      <c r="G14" s="49">
        <v>1478</v>
      </c>
      <c r="H14" s="78">
        <v>6503</v>
      </c>
      <c r="I14" s="95"/>
      <c r="J14" s="49">
        <v>21</v>
      </c>
      <c r="K14" s="49">
        <v>2710</v>
      </c>
      <c r="L14" s="78">
        <v>13349</v>
      </c>
      <c r="M14" s="93"/>
      <c r="N14" s="49">
        <v>0</v>
      </c>
      <c r="O14" s="49">
        <v>0</v>
      </c>
      <c r="P14" s="78">
        <v>0</v>
      </c>
      <c r="Q14" s="93"/>
      <c r="R14" s="49">
        <v>11</v>
      </c>
      <c r="S14" s="49">
        <v>1395</v>
      </c>
      <c r="T14" s="49">
        <v>7081</v>
      </c>
      <c r="U14" s="126"/>
      <c r="V14" s="38"/>
      <c r="W14" s="49">
        <f t="shared" si="3"/>
        <v>56</v>
      </c>
      <c r="X14" s="49">
        <f t="shared" si="1"/>
        <v>7513</v>
      </c>
      <c r="Y14" s="49">
        <f t="shared" si="2"/>
        <v>36427</v>
      </c>
      <c r="Z14" s="78">
        <f t="shared" si="0"/>
        <v>0</v>
      </c>
      <c r="AA14" s="64"/>
      <c r="AB14" s="46"/>
      <c r="AC14" s="46"/>
    </row>
    <row r="15" spans="1:29">
      <c r="A15" s="52">
        <v>44907</v>
      </c>
      <c r="B15" s="49">
        <v>18</v>
      </c>
      <c r="C15" s="49">
        <v>2226</v>
      </c>
      <c r="D15" s="64">
        <v>10521</v>
      </c>
      <c r="E15" s="93"/>
      <c r="F15" s="49">
        <v>14</v>
      </c>
      <c r="G15" s="49">
        <v>1935</v>
      </c>
      <c r="H15" s="78">
        <v>9206</v>
      </c>
      <c r="I15" s="95"/>
      <c r="J15" s="49">
        <v>10</v>
      </c>
      <c r="K15" s="49">
        <v>1225</v>
      </c>
      <c r="L15" s="78">
        <v>5706</v>
      </c>
      <c r="M15" s="93"/>
      <c r="N15" s="49">
        <v>5</v>
      </c>
      <c r="O15" s="49">
        <v>672</v>
      </c>
      <c r="P15" s="78">
        <v>2875</v>
      </c>
      <c r="Q15" s="93"/>
      <c r="R15" s="49">
        <v>14</v>
      </c>
      <c r="S15" s="49">
        <v>1998</v>
      </c>
      <c r="T15" s="49">
        <v>9377</v>
      </c>
      <c r="U15" s="126"/>
      <c r="V15" s="38"/>
      <c r="W15" s="49">
        <f t="shared" si="3"/>
        <v>61</v>
      </c>
      <c r="X15" s="49">
        <f t="shared" si="1"/>
        <v>8056</v>
      </c>
      <c r="Y15" s="49">
        <f t="shared" si="2"/>
        <v>37685</v>
      </c>
      <c r="Z15" s="78">
        <f t="shared" si="0"/>
        <v>0</v>
      </c>
      <c r="AA15" s="64"/>
      <c r="AB15" s="46"/>
      <c r="AC15" s="46"/>
    </row>
    <row r="16" spans="1:29">
      <c r="A16" s="52">
        <v>44908</v>
      </c>
      <c r="B16" s="49">
        <v>11</v>
      </c>
      <c r="C16" s="49">
        <v>1313</v>
      </c>
      <c r="D16" s="64">
        <v>6254</v>
      </c>
      <c r="E16" s="93"/>
      <c r="F16" s="49">
        <v>14</v>
      </c>
      <c r="G16" s="49">
        <v>2175</v>
      </c>
      <c r="H16" s="78">
        <v>10085</v>
      </c>
      <c r="I16" s="95"/>
      <c r="J16" s="49">
        <v>10</v>
      </c>
      <c r="K16" s="49">
        <v>1148</v>
      </c>
      <c r="L16" s="78">
        <v>5890</v>
      </c>
      <c r="M16" s="93"/>
      <c r="N16" s="49">
        <v>5</v>
      </c>
      <c r="O16" s="49">
        <v>641</v>
      </c>
      <c r="P16" s="78">
        <v>2723</v>
      </c>
      <c r="Q16" s="93"/>
      <c r="R16" s="49">
        <v>14</v>
      </c>
      <c r="S16" s="49">
        <v>1958</v>
      </c>
      <c r="T16" s="49">
        <v>10069</v>
      </c>
      <c r="U16" s="126"/>
      <c r="V16" s="38"/>
      <c r="W16" s="49">
        <f t="shared" si="3"/>
        <v>54</v>
      </c>
      <c r="X16" s="49">
        <f t="shared" si="1"/>
        <v>7235</v>
      </c>
      <c r="Y16" s="49">
        <f t="shared" si="2"/>
        <v>35021</v>
      </c>
      <c r="Z16" s="78">
        <f t="shared" si="0"/>
        <v>0</v>
      </c>
      <c r="AA16" s="64"/>
      <c r="AB16" s="46"/>
      <c r="AC16" s="46"/>
    </row>
    <row r="17" spans="1:29">
      <c r="A17" s="52">
        <v>44909</v>
      </c>
      <c r="B17" s="49">
        <v>9</v>
      </c>
      <c r="C17" s="49">
        <v>1230</v>
      </c>
      <c r="D17" s="64">
        <v>5717</v>
      </c>
      <c r="E17" s="93"/>
      <c r="F17" s="49">
        <v>14</v>
      </c>
      <c r="G17" s="49">
        <v>2730</v>
      </c>
      <c r="H17" s="78">
        <v>9917</v>
      </c>
      <c r="I17" s="95"/>
      <c r="J17" s="49">
        <v>10</v>
      </c>
      <c r="K17" s="49">
        <v>1222</v>
      </c>
      <c r="L17" s="78">
        <v>5774</v>
      </c>
      <c r="M17" s="93"/>
      <c r="N17" s="49">
        <v>8</v>
      </c>
      <c r="O17" s="49">
        <v>1158</v>
      </c>
      <c r="P17" s="78">
        <v>4975</v>
      </c>
      <c r="Q17" s="93"/>
      <c r="R17" s="49">
        <v>15</v>
      </c>
      <c r="S17" s="49">
        <v>2036</v>
      </c>
      <c r="T17" s="49">
        <v>9974</v>
      </c>
      <c r="U17" s="126"/>
      <c r="V17" s="38"/>
      <c r="W17" s="49">
        <f t="shared" si="3"/>
        <v>56</v>
      </c>
      <c r="X17" s="49">
        <f t="shared" si="1"/>
        <v>8376</v>
      </c>
      <c r="Y17" s="49">
        <f t="shared" si="2"/>
        <v>36357</v>
      </c>
      <c r="Z17" s="78">
        <f t="shared" si="0"/>
        <v>0</v>
      </c>
      <c r="AA17" s="64">
        <f t="shared" ref="AA5:AA34" si="4">SUM(AB17,AC17)</f>
        <v>0</v>
      </c>
      <c r="AB17" s="46"/>
      <c r="AC17" s="46"/>
    </row>
    <row r="18" spans="1:29">
      <c r="A18" s="52">
        <v>44910</v>
      </c>
      <c r="B18" s="49">
        <v>10</v>
      </c>
      <c r="C18" s="49">
        <v>1211</v>
      </c>
      <c r="D18" s="64">
        <v>5827</v>
      </c>
      <c r="E18" s="93"/>
      <c r="F18" s="49">
        <v>15</v>
      </c>
      <c r="G18" s="49">
        <v>1575</v>
      </c>
      <c r="H18" s="78">
        <v>10009</v>
      </c>
      <c r="I18" s="95"/>
      <c r="J18" s="49">
        <v>10</v>
      </c>
      <c r="K18" s="49">
        <v>1190</v>
      </c>
      <c r="L18" s="78">
        <v>5887</v>
      </c>
      <c r="M18" s="93"/>
      <c r="N18" s="49">
        <v>7</v>
      </c>
      <c r="O18" s="49">
        <v>959</v>
      </c>
      <c r="P18" s="78">
        <v>4048</v>
      </c>
      <c r="Q18" s="93"/>
      <c r="R18" s="49">
        <v>15</v>
      </c>
      <c r="S18" s="49">
        <v>2057</v>
      </c>
      <c r="T18" s="49">
        <v>10164</v>
      </c>
      <c r="U18" s="126"/>
      <c r="V18" s="38"/>
      <c r="W18" s="49">
        <f t="shared" si="3"/>
        <v>57</v>
      </c>
      <c r="X18" s="49">
        <f t="shared" si="1"/>
        <v>6992</v>
      </c>
      <c r="Y18" s="49">
        <f t="shared" si="2"/>
        <v>35935</v>
      </c>
      <c r="Z18" s="78">
        <f t="shared" si="0"/>
        <v>0</v>
      </c>
      <c r="AA18" s="64">
        <f t="shared" si="4"/>
        <v>0</v>
      </c>
      <c r="AB18" s="46"/>
      <c r="AC18" s="46"/>
    </row>
    <row r="19" spans="1:29">
      <c r="A19" s="52">
        <v>44911</v>
      </c>
      <c r="B19" s="49">
        <v>10</v>
      </c>
      <c r="C19" s="49">
        <v>1155</v>
      </c>
      <c r="D19" s="64">
        <v>5417</v>
      </c>
      <c r="E19" s="93"/>
      <c r="F19" s="49">
        <v>15</v>
      </c>
      <c r="G19" s="49">
        <v>2401</v>
      </c>
      <c r="H19" s="78">
        <v>10261</v>
      </c>
      <c r="I19" s="95"/>
      <c r="J19" s="49">
        <v>9</v>
      </c>
      <c r="K19" s="49">
        <v>1124</v>
      </c>
      <c r="L19" s="78">
        <v>5358</v>
      </c>
      <c r="M19" s="93"/>
      <c r="N19" s="49">
        <v>0</v>
      </c>
      <c r="O19" s="49">
        <v>0</v>
      </c>
      <c r="P19" s="78">
        <v>0</v>
      </c>
      <c r="Q19" s="93"/>
      <c r="R19" s="49">
        <v>15</v>
      </c>
      <c r="S19" s="49">
        <v>2086</v>
      </c>
      <c r="T19" s="49">
        <v>10339</v>
      </c>
      <c r="U19" s="126"/>
      <c r="V19" s="38"/>
      <c r="W19" s="49">
        <f t="shared" si="3"/>
        <v>49</v>
      </c>
      <c r="X19" s="49">
        <f t="shared" si="1"/>
        <v>6766</v>
      </c>
      <c r="Y19" s="49">
        <f t="shared" si="2"/>
        <v>31375</v>
      </c>
      <c r="Z19" s="78">
        <f t="shared" ref="Z7:Z34" si="5">AA19-AA18</f>
        <v>0</v>
      </c>
      <c r="AA19" s="64">
        <f t="shared" si="4"/>
        <v>0</v>
      </c>
      <c r="AB19" s="46"/>
      <c r="AC19" s="46"/>
    </row>
    <row r="20" spans="1:29">
      <c r="A20" s="52">
        <v>44912</v>
      </c>
      <c r="B20" s="49">
        <v>18</v>
      </c>
      <c r="C20" s="49">
        <v>2246</v>
      </c>
      <c r="D20" s="64">
        <v>10478</v>
      </c>
      <c r="E20" s="93"/>
      <c r="F20" s="49">
        <v>15</v>
      </c>
      <c r="G20" s="49">
        <v>1986</v>
      </c>
      <c r="H20" s="78">
        <v>9639</v>
      </c>
      <c r="I20" s="95"/>
      <c r="J20" s="49">
        <v>10</v>
      </c>
      <c r="K20" s="49">
        <v>1044</v>
      </c>
      <c r="L20" s="78">
        <v>4990</v>
      </c>
      <c r="M20" s="93"/>
      <c r="N20" s="49">
        <v>4</v>
      </c>
      <c r="O20" s="49">
        <v>728</v>
      </c>
      <c r="P20" s="78">
        <v>2567</v>
      </c>
      <c r="Q20" s="93"/>
      <c r="R20" s="49">
        <v>5</v>
      </c>
      <c r="S20" s="49">
        <v>847</v>
      </c>
      <c r="T20" s="49">
        <v>4030</v>
      </c>
      <c r="U20" s="126"/>
      <c r="V20" s="38"/>
      <c r="W20" s="49">
        <f t="shared" si="3"/>
        <v>52</v>
      </c>
      <c r="X20" s="49">
        <f t="shared" si="1"/>
        <v>6851</v>
      </c>
      <c r="Y20" s="49">
        <f t="shared" si="2"/>
        <v>31704</v>
      </c>
      <c r="Z20" s="78">
        <f t="shared" si="5"/>
        <v>0</v>
      </c>
      <c r="AA20" s="64">
        <f t="shared" si="4"/>
        <v>0</v>
      </c>
      <c r="AB20" s="46"/>
      <c r="AC20" s="46"/>
    </row>
    <row r="21" spans="1:29">
      <c r="A21" s="52">
        <v>44913</v>
      </c>
      <c r="B21" s="49">
        <v>10</v>
      </c>
      <c r="C21" s="49">
        <v>1272</v>
      </c>
      <c r="D21" s="64">
        <v>6082</v>
      </c>
      <c r="E21" s="93"/>
      <c r="F21" s="49">
        <v>14</v>
      </c>
      <c r="G21" s="49">
        <v>1938</v>
      </c>
      <c r="H21" s="78">
        <v>8841</v>
      </c>
      <c r="I21" s="95"/>
      <c r="J21" s="49">
        <v>10</v>
      </c>
      <c r="K21" s="49">
        <v>1258</v>
      </c>
      <c r="L21" s="78">
        <v>6085</v>
      </c>
      <c r="M21" s="93"/>
      <c r="N21" s="49">
        <v>6</v>
      </c>
      <c r="O21" s="49">
        <v>849</v>
      </c>
      <c r="P21" s="78">
        <v>3177</v>
      </c>
      <c r="Q21" s="93"/>
      <c r="R21" s="49">
        <v>15</v>
      </c>
      <c r="S21" s="49">
        <v>1847</v>
      </c>
      <c r="T21" s="49">
        <v>8994</v>
      </c>
      <c r="U21" s="126"/>
      <c r="V21" s="38"/>
      <c r="W21" s="49">
        <f t="shared" si="3"/>
        <v>55</v>
      </c>
      <c r="X21" s="49">
        <f t="shared" si="1"/>
        <v>7164</v>
      </c>
      <c r="Y21" s="49">
        <f t="shared" si="2"/>
        <v>33179</v>
      </c>
      <c r="Z21" s="78">
        <f t="shared" si="5"/>
        <v>0</v>
      </c>
      <c r="AA21" s="64">
        <f t="shared" si="4"/>
        <v>0</v>
      </c>
      <c r="AB21" s="46"/>
      <c r="AC21" s="46"/>
    </row>
    <row r="22" spans="1:29">
      <c r="A22" s="52">
        <v>44914</v>
      </c>
      <c r="B22" s="49">
        <v>14</v>
      </c>
      <c r="C22" s="49">
        <v>2086</v>
      </c>
      <c r="D22" s="64">
        <v>9964</v>
      </c>
      <c r="E22" s="93"/>
      <c r="F22" s="49">
        <v>14</v>
      </c>
      <c r="G22" s="49">
        <v>2189</v>
      </c>
      <c r="H22" s="78">
        <v>9953</v>
      </c>
      <c r="I22" s="95"/>
      <c r="J22" s="49">
        <v>11</v>
      </c>
      <c r="K22" s="49">
        <v>1215</v>
      </c>
      <c r="L22" s="78">
        <v>5813</v>
      </c>
      <c r="M22" s="93"/>
      <c r="N22" s="49">
        <v>3</v>
      </c>
      <c r="O22" s="49">
        <v>338</v>
      </c>
      <c r="P22" s="78">
        <v>1298</v>
      </c>
      <c r="Q22" s="93"/>
      <c r="R22" s="49">
        <v>10</v>
      </c>
      <c r="S22" s="49">
        <v>1154</v>
      </c>
      <c r="T22" s="49">
        <v>5712</v>
      </c>
      <c r="U22" s="126"/>
      <c r="V22" s="38"/>
      <c r="W22" s="49">
        <f t="shared" si="3"/>
        <v>52</v>
      </c>
      <c r="X22" s="49">
        <f t="shared" si="1"/>
        <v>6982</v>
      </c>
      <c r="Y22" s="49">
        <f t="shared" si="2"/>
        <v>32740</v>
      </c>
      <c r="Z22" s="78">
        <f t="shared" si="5"/>
        <v>0</v>
      </c>
      <c r="AA22" s="64">
        <f t="shared" si="4"/>
        <v>0</v>
      </c>
      <c r="AB22" s="46"/>
      <c r="AC22" s="46"/>
    </row>
    <row r="23" spans="1:29">
      <c r="A23" s="52">
        <v>44915</v>
      </c>
      <c r="B23" s="49">
        <v>24</v>
      </c>
      <c r="C23" s="49">
        <v>3340</v>
      </c>
      <c r="D23" s="64">
        <v>16199</v>
      </c>
      <c r="E23" s="93"/>
      <c r="F23" s="49">
        <v>14</v>
      </c>
      <c r="G23" s="49">
        <v>2330</v>
      </c>
      <c r="H23" s="78">
        <v>10584</v>
      </c>
      <c r="I23" s="95"/>
      <c r="J23" s="49">
        <v>9</v>
      </c>
      <c r="K23" s="49">
        <v>1189</v>
      </c>
      <c r="L23" s="78">
        <v>5628</v>
      </c>
      <c r="M23" s="93"/>
      <c r="N23" s="49">
        <v>0</v>
      </c>
      <c r="O23" s="49">
        <v>0</v>
      </c>
      <c r="P23" s="78">
        <v>0</v>
      </c>
      <c r="Q23" s="93"/>
      <c r="R23" s="49">
        <v>0</v>
      </c>
      <c r="S23" s="49">
        <v>0</v>
      </c>
      <c r="T23" s="49">
        <v>0</v>
      </c>
      <c r="U23" s="126"/>
      <c r="V23" s="38"/>
      <c r="W23" s="49">
        <f t="shared" si="3"/>
        <v>47</v>
      </c>
      <c r="X23" s="49">
        <f t="shared" si="1"/>
        <v>6859</v>
      </c>
      <c r="Y23" s="49">
        <f t="shared" si="2"/>
        <v>32411</v>
      </c>
      <c r="Z23" s="78">
        <f t="shared" si="5"/>
        <v>0</v>
      </c>
      <c r="AA23" s="64">
        <f t="shared" si="4"/>
        <v>0</v>
      </c>
      <c r="AB23" s="46"/>
      <c r="AC23" s="46"/>
    </row>
    <row r="24" spans="1:29">
      <c r="A24" s="52">
        <v>44916</v>
      </c>
      <c r="B24" s="49">
        <v>10</v>
      </c>
      <c r="C24" s="49">
        <v>1245</v>
      </c>
      <c r="D24" s="64">
        <v>5965</v>
      </c>
      <c r="E24" s="93"/>
      <c r="F24" s="49">
        <v>15</v>
      </c>
      <c r="G24" s="49">
        <v>2272</v>
      </c>
      <c r="H24" s="78">
        <v>10543</v>
      </c>
      <c r="I24" s="95"/>
      <c r="J24" s="49">
        <v>10</v>
      </c>
      <c r="K24" s="49">
        <v>1187</v>
      </c>
      <c r="L24" s="78">
        <v>5900</v>
      </c>
      <c r="M24" s="93"/>
      <c r="N24" s="49">
        <v>6</v>
      </c>
      <c r="O24" s="49">
        <v>1088</v>
      </c>
      <c r="P24" s="78">
        <v>4117</v>
      </c>
      <c r="Q24" s="93"/>
      <c r="R24" s="49">
        <v>17</v>
      </c>
      <c r="S24" s="49">
        <v>2341</v>
      </c>
      <c r="T24" s="49">
        <v>11265</v>
      </c>
      <c r="U24" s="126"/>
      <c r="V24" s="38"/>
      <c r="W24" s="49">
        <f t="shared" si="3"/>
        <v>58</v>
      </c>
      <c r="X24" s="49">
        <f t="shared" si="1"/>
        <v>8133</v>
      </c>
      <c r="Y24" s="49">
        <f t="shared" si="2"/>
        <v>37790</v>
      </c>
      <c r="Z24" s="78">
        <f t="shared" si="5"/>
        <v>0</v>
      </c>
      <c r="AA24" s="64">
        <f t="shared" si="4"/>
        <v>0</v>
      </c>
      <c r="AB24" s="46"/>
      <c r="AC24" s="46"/>
    </row>
    <row r="25" spans="1:29">
      <c r="A25" s="52">
        <v>44917</v>
      </c>
      <c r="B25" s="49">
        <v>10</v>
      </c>
      <c r="C25" s="49">
        <v>1307</v>
      </c>
      <c r="D25" s="64">
        <v>6137</v>
      </c>
      <c r="E25" s="93"/>
      <c r="F25" s="49">
        <v>15</v>
      </c>
      <c r="G25" s="49">
        <v>2175</v>
      </c>
      <c r="H25" s="78">
        <v>9708</v>
      </c>
      <c r="I25" s="95"/>
      <c r="J25" s="49">
        <v>10</v>
      </c>
      <c r="K25" s="49">
        <v>1256</v>
      </c>
      <c r="L25" s="78">
        <v>6227</v>
      </c>
      <c r="M25" s="93"/>
      <c r="N25" s="49">
        <v>9</v>
      </c>
      <c r="O25" s="49">
        <v>1353</v>
      </c>
      <c r="P25" s="78">
        <v>5251</v>
      </c>
      <c r="Q25" s="93"/>
      <c r="R25" s="49">
        <v>14</v>
      </c>
      <c r="S25" s="49">
        <v>2003</v>
      </c>
      <c r="T25" s="49">
        <v>9915</v>
      </c>
      <c r="U25" s="126"/>
      <c r="V25" s="38"/>
      <c r="W25" s="49">
        <f t="shared" si="3"/>
        <v>58</v>
      </c>
      <c r="X25" s="49">
        <f t="shared" si="1"/>
        <v>8094</v>
      </c>
      <c r="Y25" s="49">
        <f t="shared" si="2"/>
        <v>37238</v>
      </c>
      <c r="Z25" s="78">
        <f t="shared" si="5"/>
        <v>0</v>
      </c>
      <c r="AA25" s="64">
        <f t="shared" si="4"/>
        <v>0</v>
      </c>
      <c r="AB25" s="46"/>
      <c r="AC25" s="46"/>
    </row>
    <row r="26" spans="1:29">
      <c r="A26" s="52">
        <v>44918</v>
      </c>
      <c r="B26" s="49">
        <v>9</v>
      </c>
      <c r="C26" s="49">
        <v>1153</v>
      </c>
      <c r="D26" s="64">
        <v>5399</v>
      </c>
      <c r="E26" s="93"/>
      <c r="F26" s="49">
        <v>15</v>
      </c>
      <c r="G26" s="49">
        <v>2214</v>
      </c>
      <c r="H26" s="78">
        <v>10535</v>
      </c>
      <c r="I26" s="95"/>
      <c r="J26" s="49">
        <v>9</v>
      </c>
      <c r="K26" s="49">
        <v>1113</v>
      </c>
      <c r="L26" s="78">
        <v>5412</v>
      </c>
      <c r="M26" s="93"/>
      <c r="N26" s="49">
        <v>8</v>
      </c>
      <c r="O26" s="49">
        <v>1368</v>
      </c>
      <c r="P26" s="78">
        <v>5207</v>
      </c>
      <c r="Q26" s="93"/>
      <c r="R26" s="49">
        <v>15</v>
      </c>
      <c r="S26" s="49">
        <v>2131</v>
      </c>
      <c r="T26" s="49">
        <v>10554</v>
      </c>
      <c r="U26" s="126"/>
      <c r="V26" s="38"/>
      <c r="W26" s="49">
        <f t="shared" si="3"/>
        <v>56</v>
      </c>
      <c r="X26" s="49">
        <f t="shared" si="1"/>
        <v>7979</v>
      </c>
      <c r="Y26" s="49">
        <f t="shared" si="2"/>
        <v>37107</v>
      </c>
      <c r="Z26" s="78">
        <f t="shared" si="5"/>
        <v>0</v>
      </c>
      <c r="AA26" s="64">
        <f t="shared" si="4"/>
        <v>0</v>
      </c>
      <c r="AB26" s="46"/>
      <c r="AC26" s="46"/>
    </row>
    <row r="27" spans="1:29">
      <c r="A27" s="52">
        <v>44919</v>
      </c>
      <c r="B27" s="49">
        <v>0</v>
      </c>
      <c r="C27" s="49">
        <v>0</v>
      </c>
      <c r="D27" s="64">
        <v>0</v>
      </c>
      <c r="E27" s="93"/>
      <c r="F27" s="49">
        <v>15</v>
      </c>
      <c r="G27" s="49">
        <v>2295</v>
      </c>
      <c r="H27" s="78">
        <v>10539</v>
      </c>
      <c r="I27" s="95"/>
      <c r="J27" s="49">
        <v>9</v>
      </c>
      <c r="K27" s="49">
        <v>1183</v>
      </c>
      <c r="L27" s="78">
        <v>5642</v>
      </c>
      <c r="M27" s="93"/>
      <c r="N27" s="49">
        <v>18</v>
      </c>
      <c r="O27" s="49">
        <v>2981</v>
      </c>
      <c r="P27" s="78">
        <v>11449</v>
      </c>
      <c r="Q27" s="93"/>
      <c r="R27" s="49">
        <v>16</v>
      </c>
      <c r="S27" s="49">
        <v>2205</v>
      </c>
      <c r="T27" s="49">
        <v>10664</v>
      </c>
      <c r="U27" s="126"/>
      <c r="V27" s="38"/>
      <c r="W27" s="49">
        <f t="shared" si="3"/>
        <v>58</v>
      </c>
      <c r="X27" s="49">
        <f t="shared" si="1"/>
        <v>8664</v>
      </c>
      <c r="Y27" s="49">
        <f t="shared" si="2"/>
        <v>38294</v>
      </c>
      <c r="Z27" s="78">
        <f t="shared" si="5"/>
        <v>0</v>
      </c>
      <c r="AA27" s="64">
        <f t="shared" si="4"/>
        <v>0</v>
      </c>
      <c r="AB27" s="46"/>
      <c r="AC27" s="46"/>
    </row>
    <row r="28" spans="1:29">
      <c r="A28" s="52">
        <v>44920</v>
      </c>
      <c r="B28" s="49">
        <v>11</v>
      </c>
      <c r="C28" s="49">
        <v>1504</v>
      </c>
      <c r="D28" s="64">
        <v>7304</v>
      </c>
      <c r="E28" s="93"/>
      <c r="F28" s="49">
        <v>13</v>
      </c>
      <c r="G28" s="49">
        <v>2050</v>
      </c>
      <c r="H28" s="78">
        <v>8995</v>
      </c>
      <c r="I28" s="95"/>
      <c r="J28" s="49">
        <v>11</v>
      </c>
      <c r="K28" s="49">
        <v>1453</v>
      </c>
      <c r="L28" s="78">
        <v>7202</v>
      </c>
      <c r="M28" s="93"/>
      <c r="N28" s="49">
        <v>10</v>
      </c>
      <c r="O28" s="49">
        <v>1675</v>
      </c>
      <c r="P28" s="78">
        <v>6271</v>
      </c>
      <c r="Q28" s="93"/>
      <c r="R28" s="49">
        <v>14</v>
      </c>
      <c r="S28" s="49">
        <v>1892</v>
      </c>
      <c r="T28" s="49">
        <v>9418</v>
      </c>
      <c r="U28" s="126"/>
      <c r="V28" s="38"/>
      <c r="W28" s="49">
        <f t="shared" si="3"/>
        <v>59</v>
      </c>
      <c r="X28" s="49">
        <f t="shared" si="1"/>
        <v>8574</v>
      </c>
      <c r="Y28" s="49">
        <f t="shared" si="2"/>
        <v>39190</v>
      </c>
      <c r="Z28" s="78">
        <f t="shared" si="5"/>
        <v>0</v>
      </c>
      <c r="AA28" s="64">
        <f t="shared" si="4"/>
        <v>0</v>
      </c>
      <c r="AB28" s="46"/>
      <c r="AC28" s="46"/>
    </row>
    <row r="29" spans="1:29">
      <c r="A29" s="52">
        <v>44921</v>
      </c>
      <c r="B29" s="49">
        <v>9</v>
      </c>
      <c r="C29" s="49">
        <v>1339</v>
      </c>
      <c r="D29" s="64">
        <v>6653</v>
      </c>
      <c r="E29" s="93"/>
      <c r="F29" s="49">
        <v>15</v>
      </c>
      <c r="G29" s="49">
        <v>2043</v>
      </c>
      <c r="H29" s="78">
        <v>9810</v>
      </c>
      <c r="I29" s="95"/>
      <c r="J29" s="49">
        <v>10</v>
      </c>
      <c r="K29" s="49">
        <v>1264</v>
      </c>
      <c r="L29" s="78">
        <v>6461</v>
      </c>
      <c r="M29" s="93"/>
      <c r="N29" s="49">
        <v>11</v>
      </c>
      <c r="O29" s="49">
        <v>1938</v>
      </c>
      <c r="P29" s="78">
        <v>7497</v>
      </c>
      <c r="Q29" s="93"/>
      <c r="R29" s="49">
        <v>14</v>
      </c>
      <c r="S29" s="49">
        <v>2001</v>
      </c>
      <c r="T29" s="49">
        <v>9788</v>
      </c>
      <c r="U29" s="126"/>
      <c r="V29" s="38"/>
      <c r="W29" s="49">
        <f t="shared" si="3"/>
        <v>59</v>
      </c>
      <c r="X29" s="49">
        <f t="shared" si="1"/>
        <v>8585</v>
      </c>
      <c r="Y29" s="49">
        <f t="shared" si="2"/>
        <v>40209</v>
      </c>
      <c r="Z29" s="78">
        <f t="shared" si="5"/>
        <v>0</v>
      </c>
      <c r="AA29" s="64">
        <f t="shared" si="4"/>
        <v>0</v>
      </c>
      <c r="AB29" s="46"/>
      <c r="AC29" s="46"/>
    </row>
    <row r="30" spans="1:29">
      <c r="A30" s="52">
        <v>44922</v>
      </c>
      <c r="B30" s="49">
        <v>11</v>
      </c>
      <c r="C30" s="49">
        <v>1495</v>
      </c>
      <c r="D30" s="64">
        <v>6788</v>
      </c>
      <c r="E30" s="93"/>
      <c r="F30" s="49">
        <v>13</v>
      </c>
      <c r="G30" s="49">
        <v>1813</v>
      </c>
      <c r="H30" s="78">
        <v>9198</v>
      </c>
      <c r="I30" s="95"/>
      <c r="J30" s="49">
        <v>10</v>
      </c>
      <c r="K30" s="49">
        <v>1423</v>
      </c>
      <c r="L30" s="78">
        <v>6707</v>
      </c>
      <c r="M30" s="93"/>
      <c r="N30" s="49">
        <v>12</v>
      </c>
      <c r="O30" s="49">
        <v>2076</v>
      </c>
      <c r="P30" s="78">
        <v>8054</v>
      </c>
      <c r="Q30" s="93"/>
      <c r="R30" s="49">
        <v>14</v>
      </c>
      <c r="S30" s="49">
        <v>1905</v>
      </c>
      <c r="T30" s="49">
        <v>9389</v>
      </c>
      <c r="U30" s="126"/>
      <c r="V30" s="38"/>
      <c r="W30" s="49">
        <f t="shared" si="3"/>
        <v>60</v>
      </c>
      <c r="X30" s="49">
        <f t="shared" si="1"/>
        <v>8712</v>
      </c>
      <c r="Y30" s="49">
        <f t="shared" si="2"/>
        <v>40136</v>
      </c>
      <c r="Z30" s="78">
        <f t="shared" si="5"/>
        <v>0</v>
      </c>
      <c r="AA30" s="64">
        <f t="shared" si="4"/>
        <v>0</v>
      </c>
      <c r="AB30" s="46"/>
      <c r="AC30" s="46"/>
    </row>
    <row r="31" spans="1:29">
      <c r="A31" s="52">
        <v>44923</v>
      </c>
      <c r="B31" s="113">
        <v>9</v>
      </c>
      <c r="C31" s="113">
        <v>1155</v>
      </c>
      <c r="D31" s="67">
        <v>5573</v>
      </c>
      <c r="E31" s="135"/>
      <c r="F31" s="113">
        <v>15</v>
      </c>
      <c r="G31" s="113">
        <v>2189</v>
      </c>
      <c r="H31" s="83">
        <v>10046</v>
      </c>
      <c r="I31" s="96"/>
      <c r="J31" s="113">
        <v>21</v>
      </c>
      <c r="K31" s="113">
        <v>2952</v>
      </c>
      <c r="L31" s="83">
        <v>14718</v>
      </c>
      <c r="M31" s="135"/>
      <c r="N31" s="113">
        <v>4</v>
      </c>
      <c r="O31" s="113">
        <v>498</v>
      </c>
      <c r="P31" s="83">
        <v>1003</v>
      </c>
      <c r="Q31" s="135"/>
      <c r="R31" s="113">
        <v>17</v>
      </c>
      <c r="S31" s="113">
        <v>2406</v>
      </c>
      <c r="T31" s="113">
        <v>11674</v>
      </c>
      <c r="U31" s="126"/>
      <c r="V31" s="38"/>
      <c r="W31" s="49">
        <f t="shared" si="3"/>
        <v>66</v>
      </c>
      <c r="X31" s="49">
        <f t="shared" si="1"/>
        <v>9200</v>
      </c>
      <c r="Y31" s="49">
        <f t="shared" si="2"/>
        <v>43014</v>
      </c>
      <c r="Z31" s="78">
        <f t="shared" si="5"/>
        <v>0</v>
      </c>
      <c r="AA31" s="64">
        <f t="shared" si="4"/>
        <v>0</v>
      </c>
      <c r="AB31" s="46"/>
      <c r="AC31" s="46"/>
    </row>
    <row r="32" spans="1:29">
      <c r="A32" s="52">
        <v>44924</v>
      </c>
      <c r="B32" s="49">
        <v>14</v>
      </c>
      <c r="C32" s="49">
        <v>2169</v>
      </c>
      <c r="D32" s="46">
        <v>10680</v>
      </c>
      <c r="E32" s="93"/>
      <c r="F32" s="49">
        <v>14</v>
      </c>
      <c r="G32" s="49">
        <v>2222</v>
      </c>
      <c r="H32" s="49">
        <v>10497</v>
      </c>
      <c r="I32" s="95"/>
      <c r="J32" s="49">
        <v>11</v>
      </c>
      <c r="K32" s="49">
        <v>1487</v>
      </c>
      <c r="L32" s="49">
        <v>7315</v>
      </c>
      <c r="M32" s="93"/>
      <c r="N32" s="49">
        <v>12</v>
      </c>
      <c r="O32" s="49">
        <v>2402</v>
      </c>
      <c r="P32" s="49">
        <v>9088</v>
      </c>
      <c r="Q32" s="93"/>
      <c r="R32" s="49">
        <v>10</v>
      </c>
      <c r="S32" s="49">
        <v>1434</v>
      </c>
      <c r="T32" s="49">
        <v>7159</v>
      </c>
      <c r="U32" s="127"/>
      <c r="V32" s="38"/>
      <c r="W32" s="49">
        <f t="shared" si="3"/>
        <v>61</v>
      </c>
      <c r="X32" s="49">
        <f t="shared" si="1"/>
        <v>9714</v>
      </c>
      <c r="Y32" s="49">
        <f t="shared" si="2"/>
        <v>44739</v>
      </c>
      <c r="Z32" s="78">
        <f t="shared" si="5"/>
        <v>0</v>
      </c>
      <c r="AA32" s="64">
        <f t="shared" si="4"/>
        <v>0</v>
      </c>
      <c r="AB32" s="46"/>
      <c r="AC32" s="46"/>
    </row>
    <row r="33" spans="1:29">
      <c r="A33" s="52">
        <v>44925</v>
      </c>
      <c r="B33" s="49">
        <v>15</v>
      </c>
      <c r="C33" s="49">
        <v>2056</v>
      </c>
      <c r="D33" s="46">
        <v>10163</v>
      </c>
      <c r="E33" s="93"/>
      <c r="F33" s="49">
        <v>14</v>
      </c>
      <c r="G33" s="49">
        <v>2160</v>
      </c>
      <c r="H33" s="49">
        <v>10091</v>
      </c>
      <c r="I33" s="95"/>
      <c r="J33" s="49">
        <v>10</v>
      </c>
      <c r="K33" s="49">
        <v>3318</v>
      </c>
      <c r="L33" s="49">
        <v>6643</v>
      </c>
      <c r="M33" s="93"/>
      <c r="N33" s="49">
        <v>13</v>
      </c>
      <c r="O33" s="49">
        <v>2230</v>
      </c>
      <c r="P33" s="49">
        <v>8684</v>
      </c>
      <c r="Q33" s="93"/>
      <c r="R33" s="49">
        <v>10</v>
      </c>
      <c r="S33" s="49">
        <v>1264</v>
      </c>
      <c r="T33" s="49">
        <v>6541</v>
      </c>
      <c r="U33" s="127"/>
      <c r="V33" s="38"/>
      <c r="W33" s="49">
        <f t="shared" si="3"/>
        <v>62</v>
      </c>
      <c r="X33" s="49">
        <f t="shared" si="1"/>
        <v>11028</v>
      </c>
      <c r="Y33" s="49">
        <f t="shared" si="2"/>
        <v>42122</v>
      </c>
      <c r="Z33" s="78">
        <f t="shared" si="5"/>
        <v>0</v>
      </c>
      <c r="AA33" s="64">
        <f t="shared" si="4"/>
        <v>0</v>
      </c>
      <c r="AB33" s="46"/>
      <c r="AC33" s="46"/>
    </row>
    <row r="34" spans="1:29">
      <c r="A34" s="52">
        <v>44926</v>
      </c>
      <c r="B34" s="49">
        <v>15</v>
      </c>
      <c r="C34" s="49">
        <v>2080</v>
      </c>
      <c r="D34" s="46">
        <v>9930</v>
      </c>
      <c r="E34" s="134"/>
      <c r="F34" s="49">
        <v>15</v>
      </c>
      <c r="G34" s="49">
        <v>2193</v>
      </c>
      <c r="H34" s="49">
        <v>9817</v>
      </c>
      <c r="I34" s="95"/>
      <c r="J34" s="49">
        <v>10</v>
      </c>
      <c r="K34" s="49">
        <v>1347</v>
      </c>
      <c r="L34" s="49">
        <v>6672</v>
      </c>
      <c r="M34" s="134"/>
      <c r="N34" s="49">
        <v>11</v>
      </c>
      <c r="O34" s="49">
        <v>1881</v>
      </c>
      <c r="P34" s="49">
        <v>7190</v>
      </c>
      <c r="Q34" s="134"/>
      <c r="R34" s="49">
        <v>10</v>
      </c>
      <c r="S34" s="49">
        <v>1344</v>
      </c>
      <c r="T34" s="49">
        <v>6575</v>
      </c>
      <c r="U34" s="127"/>
      <c r="V34" s="38"/>
      <c r="W34" s="49">
        <f t="shared" si="3"/>
        <v>61</v>
      </c>
      <c r="X34" s="49">
        <f t="shared" si="1"/>
        <v>8845</v>
      </c>
      <c r="Y34" s="49">
        <f t="shared" si="2"/>
        <v>40184</v>
      </c>
      <c r="Z34" s="78">
        <f t="shared" si="5"/>
        <v>0</v>
      </c>
      <c r="AA34" s="64">
        <f t="shared" si="4"/>
        <v>0</v>
      </c>
      <c r="AB34" s="46"/>
      <c r="AC34" s="46"/>
    </row>
    <row r="35" spans="1:29" ht="27">
      <c r="A35" s="136" t="s">
        <v>39</v>
      </c>
      <c r="B35" s="80" t="s">
        <v>104</v>
      </c>
      <c r="C35" s="80" t="s">
        <v>105</v>
      </c>
      <c r="D35" s="81" t="s">
        <v>106</v>
      </c>
      <c r="E35" s="92"/>
      <c r="F35" s="80" t="s">
        <v>104</v>
      </c>
      <c r="G35" s="80" t="s">
        <v>105</v>
      </c>
      <c r="H35" s="81" t="s">
        <v>106</v>
      </c>
      <c r="I35" s="137"/>
      <c r="J35" s="80" t="s">
        <v>104</v>
      </c>
      <c r="K35" s="80" t="s">
        <v>105</v>
      </c>
      <c r="L35" s="81" t="s">
        <v>106</v>
      </c>
      <c r="M35" s="92"/>
      <c r="N35" s="80" t="s">
        <v>104</v>
      </c>
      <c r="O35" s="80" t="s">
        <v>105</v>
      </c>
      <c r="P35" s="81" t="s">
        <v>106</v>
      </c>
      <c r="Q35" s="92"/>
      <c r="R35" s="80" t="s">
        <v>104</v>
      </c>
      <c r="S35" s="80" t="s">
        <v>105</v>
      </c>
      <c r="T35" s="81" t="s">
        <v>106</v>
      </c>
      <c r="U35" s="126"/>
      <c r="V35" s="47"/>
      <c r="W35" s="111">
        <f>SUM(W4:W34)</f>
        <v>1730</v>
      </c>
      <c r="X35" s="111">
        <f>SUM(X4:X34)</f>
        <v>244620</v>
      </c>
      <c r="Y35" s="111">
        <f>SUM(Y4:Y34)</f>
        <v>1131615</v>
      </c>
      <c r="Z35" s="64"/>
      <c r="AA35" s="64"/>
      <c r="AB35" s="46"/>
      <c r="AC35" s="46"/>
    </row>
    <row r="36" spans="1:29" ht="27" customHeight="1">
      <c r="A36" s="84" t="s">
        <v>97</v>
      </c>
      <c r="B36" s="82">
        <f>SUM(B4:B34)</f>
        <v>393</v>
      </c>
      <c r="C36" s="82">
        <f>SUM(C4:C34)</f>
        <v>51827</v>
      </c>
      <c r="D36" s="82">
        <f>SUM(D4:D34)</f>
        <v>247289</v>
      </c>
      <c r="E36" s="93"/>
      <c r="F36" s="82">
        <f>SUM(F4:F34)</f>
        <v>438</v>
      </c>
      <c r="G36" s="82">
        <f>SUM(G4:G34)</f>
        <v>64559</v>
      </c>
      <c r="H36" s="82">
        <f>SUM(H4:H34)</f>
        <v>296623</v>
      </c>
      <c r="I36" s="97"/>
      <c r="J36" s="82">
        <f>SUM(J4:J34)</f>
        <v>379</v>
      </c>
      <c r="K36" s="82">
        <f t="shared" ref="K36:L36" si="6">SUM(K4:K34)</f>
        <v>50405</v>
      </c>
      <c r="L36" s="82">
        <f t="shared" si="6"/>
        <v>236749</v>
      </c>
      <c r="M36" s="93"/>
      <c r="N36" s="82">
        <f>SUM(N4:N34)</f>
        <v>152</v>
      </c>
      <c r="O36" s="82">
        <f>SUM(O4:O34)</f>
        <v>24835</v>
      </c>
      <c r="P36" s="82">
        <f>SUM(P4:P34)</f>
        <v>95474</v>
      </c>
      <c r="Q36" s="93"/>
      <c r="R36" s="82">
        <f>SUM(R4:R34)</f>
        <v>368</v>
      </c>
      <c r="S36" s="82">
        <f>SUM(S4:S34)</f>
        <v>52994</v>
      </c>
      <c r="T36" s="82">
        <f>SUM(T4:T34)</f>
        <v>255480</v>
      </c>
      <c r="U36" s="93"/>
    </row>
    <row r="37" spans="1:29">
      <c r="A37" s="98"/>
      <c r="B37" s="196" t="s">
        <v>98</v>
      </c>
      <c r="C37" s="197"/>
      <c r="D37" s="197"/>
      <c r="E37" s="198"/>
      <c r="F37" s="196" t="s">
        <v>99</v>
      </c>
      <c r="G37" s="197"/>
      <c r="H37" s="197"/>
      <c r="I37" s="198"/>
      <c r="J37" s="199" t="s">
        <v>100</v>
      </c>
      <c r="K37" s="200"/>
      <c r="L37" s="200"/>
      <c r="M37" s="201"/>
      <c r="N37" s="199" t="s">
        <v>101</v>
      </c>
      <c r="O37" s="200"/>
      <c r="P37" s="200"/>
      <c r="Q37" s="201"/>
      <c r="R37" s="199" t="s">
        <v>102</v>
      </c>
      <c r="S37" s="200"/>
      <c r="T37" s="200"/>
      <c r="U37" s="201"/>
    </row>
    <row r="38" spans="1:29" ht="40.5">
      <c r="A38" s="87" t="s">
        <v>39</v>
      </c>
      <c r="B38" s="48" t="s">
        <v>112</v>
      </c>
      <c r="C38" s="48" t="s">
        <v>113</v>
      </c>
      <c r="D38" s="48" t="s">
        <v>114</v>
      </c>
      <c r="E38" s="48" t="s">
        <v>115</v>
      </c>
      <c r="F38" s="48" t="s">
        <v>112</v>
      </c>
      <c r="G38" s="48" t="s">
        <v>113</v>
      </c>
      <c r="H38" s="74" t="s">
        <v>114</v>
      </c>
      <c r="I38" s="48" t="s">
        <v>115</v>
      </c>
      <c r="J38" s="48" t="s">
        <v>112</v>
      </c>
      <c r="K38" s="48" t="s">
        <v>113</v>
      </c>
      <c r="L38" s="48" t="s">
        <v>114</v>
      </c>
      <c r="M38" s="48" t="s">
        <v>115</v>
      </c>
      <c r="N38" s="48" t="s">
        <v>112</v>
      </c>
      <c r="O38" s="48" t="s">
        <v>113</v>
      </c>
      <c r="P38" s="48" t="s">
        <v>114</v>
      </c>
      <c r="Q38" s="48" t="s">
        <v>115</v>
      </c>
      <c r="R38" s="48" t="s">
        <v>112</v>
      </c>
      <c r="S38" s="48" t="s">
        <v>113</v>
      </c>
      <c r="T38" s="48" t="s">
        <v>114</v>
      </c>
      <c r="U38" s="48" t="s">
        <v>115</v>
      </c>
    </row>
    <row r="39" spans="1:29">
      <c r="A39" s="85">
        <f>A4</f>
        <v>44896</v>
      </c>
      <c r="B39" s="86">
        <f>C4/B4</f>
        <v>131.47619047619048</v>
      </c>
      <c r="C39" s="55">
        <f>D4/B4</f>
        <v>608.90476190476193</v>
      </c>
      <c r="D39" s="65">
        <f>C39/B39</f>
        <v>4.6312930097790659</v>
      </c>
      <c r="E39" s="75">
        <f>(C39/1120)*100</f>
        <v>54.366496598639458</v>
      </c>
      <c r="F39" s="55">
        <f>G4/F4</f>
        <v>157.26666666666668</v>
      </c>
      <c r="G39" s="55">
        <f>H4/F4</f>
        <v>727.13333333333333</v>
      </c>
      <c r="H39" s="102">
        <f>G39/F39</f>
        <v>4.6235693090292491</v>
      </c>
      <c r="I39" s="65">
        <f>(G39/1120)*100</f>
        <v>64.922619047619051</v>
      </c>
      <c r="J39" s="55">
        <f>K4/J4</f>
        <v>113.5</v>
      </c>
      <c r="K39" s="55">
        <f>L4/J4</f>
        <v>524.79999999999995</v>
      </c>
      <c r="L39" s="65">
        <f>K39/J39</f>
        <v>4.6237885462555059</v>
      </c>
      <c r="M39" s="75">
        <f>(K39/1120)*100</f>
        <v>46.857142857142854</v>
      </c>
      <c r="N39" s="55" t="e">
        <f>O4/N4</f>
        <v>#DIV/0!</v>
      </c>
      <c r="O39" s="55" t="e">
        <f>P4/N4</f>
        <v>#DIV/0!</v>
      </c>
      <c r="P39" s="65" t="e">
        <f>O39/N39</f>
        <v>#DIV/0!</v>
      </c>
      <c r="Q39" s="75" t="e">
        <f>(O39/1120)*100</f>
        <v>#DIV/0!</v>
      </c>
      <c r="R39" s="55">
        <f>S4/R4</f>
        <v>158.80000000000001</v>
      </c>
      <c r="S39" s="55">
        <f>T4/R4</f>
        <v>752</v>
      </c>
      <c r="T39" s="65">
        <f>S39/R39</f>
        <v>4.7355163727959697</v>
      </c>
      <c r="U39" s="75">
        <f>(S39/1120)*100</f>
        <v>67.142857142857139</v>
      </c>
    </row>
    <row r="40" spans="1:29">
      <c r="A40" s="85">
        <f t="shared" ref="A40:A69" si="7">A5</f>
        <v>44897</v>
      </c>
      <c r="B40" s="86">
        <f>C5/B5</f>
        <v>132.33333333333334</v>
      </c>
      <c r="C40" s="55">
        <f>D5/B5</f>
        <v>595.88888888888891</v>
      </c>
      <c r="D40" s="65">
        <f>C40/B40</f>
        <v>4.5029387069689335</v>
      </c>
      <c r="E40" s="75">
        <f>(C40/1120)*100</f>
        <v>53.204365079365076</v>
      </c>
      <c r="F40" s="55">
        <f>G5/F5</f>
        <v>155.53333333333333</v>
      </c>
      <c r="G40" s="55">
        <f>H5/F5</f>
        <v>718.8</v>
      </c>
      <c r="H40" s="102">
        <f>G40/F40</f>
        <v>4.6215173596228034</v>
      </c>
      <c r="I40" s="65">
        <f>(G40/1120)*100</f>
        <v>64.178571428571431</v>
      </c>
      <c r="J40" s="55">
        <f>K5/J5</f>
        <v>120.22222222222223</v>
      </c>
      <c r="K40" s="55">
        <f>L5/J5</f>
        <v>597.55555555555554</v>
      </c>
      <c r="L40" s="65">
        <f>K40/J40</f>
        <v>4.9704251386321623</v>
      </c>
      <c r="M40" s="75">
        <f t="shared" ref="M40:M69" si="8">(K40/1120)*100</f>
        <v>53.353174603174601</v>
      </c>
      <c r="N40" s="55" t="e">
        <f>O5/N5</f>
        <v>#DIV/0!</v>
      </c>
      <c r="O40" s="55" t="e">
        <f>P5/N5</f>
        <v>#DIV/0!</v>
      </c>
      <c r="P40" s="65" t="e">
        <f>O40/N40</f>
        <v>#DIV/0!</v>
      </c>
      <c r="Q40" s="75" t="e">
        <f t="shared" ref="Q40:Q69" si="9">(O40/1120)*100</f>
        <v>#DIV/0!</v>
      </c>
      <c r="R40" s="55">
        <f>S5/R5</f>
        <v>162.4</v>
      </c>
      <c r="S40" s="55">
        <f>T5/R5</f>
        <v>720.13333333333333</v>
      </c>
      <c r="T40" s="65">
        <f>S40/R40</f>
        <v>4.4343185550082103</v>
      </c>
      <c r="U40" s="75">
        <f t="shared" ref="U40:U69" si="10">(S40/1120)*100</f>
        <v>64.297619047619051</v>
      </c>
    </row>
    <row r="41" spans="1:29">
      <c r="A41" s="85">
        <f t="shared" si="7"/>
        <v>44898</v>
      </c>
      <c r="B41" s="86">
        <f>C6/B6</f>
        <v>125.14285714285714</v>
      </c>
      <c r="C41" s="55">
        <f>D6/B6</f>
        <v>599.14285714285711</v>
      </c>
      <c r="D41" s="65">
        <f>C41/B41</f>
        <v>4.7876712328767121</v>
      </c>
      <c r="E41" s="75">
        <f>(C41/1120)*100</f>
        <v>53.494897959183675</v>
      </c>
      <c r="F41" s="55">
        <f>G6/F6</f>
        <v>137.90909090909091</v>
      </c>
      <c r="G41" s="55">
        <f>H6/F6</f>
        <v>630.09090909090912</v>
      </c>
      <c r="H41" s="102">
        <f>G41/F41</f>
        <v>4.5688859591298616</v>
      </c>
      <c r="I41" s="65">
        <f t="shared" ref="I40:I69" si="11">(G41/1120)*100</f>
        <v>56.258116883116884</v>
      </c>
      <c r="J41" s="55">
        <f>K6/J6</f>
        <v>121.05</v>
      </c>
      <c r="K41" s="55">
        <f>L6/J6</f>
        <v>593.04999999999995</v>
      </c>
      <c r="L41" s="65">
        <f>K41/J41</f>
        <v>4.8992152003304419</v>
      </c>
      <c r="M41" s="75">
        <f t="shared" si="8"/>
        <v>52.950892857142847</v>
      </c>
      <c r="N41" s="55" t="e">
        <f>O6/N6</f>
        <v>#DIV/0!</v>
      </c>
      <c r="O41" s="55" t="e">
        <f>P6/N6</f>
        <v>#DIV/0!</v>
      </c>
      <c r="P41" s="65" t="e">
        <f>O41/N41</f>
        <v>#DIV/0!</v>
      </c>
      <c r="Q41" s="75" t="e">
        <f t="shared" si="9"/>
        <v>#DIV/0!</v>
      </c>
      <c r="R41" s="55">
        <f>S6/R6</f>
        <v>140.11111111111111</v>
      </c>
      <c r="S41" s="55">
        <f>T6/R6</f>
        <v>640.66666666666663</v>
      </c>
      <c r="T41" s="65">
        <f>S41/R41</f>
        <v>4.572561459159397</v>
      </c>
      <c r="U41" s="75">
        <f t="shared" si="10"/>
        <v>57.202380952380949</v>
      </c>
    </row>
    <row r="42" spans="1:29">
      <c r="A42" s="85">
        <f t="shared" si="7"/>
        <v>44899</v>
      </c>
      <c r="B42" s="86">
        <f>C7/B7</f>
        <v>125.66666666666667</v>
      </c>
      <c r="C42" s="55">
        <f>D7/B7</f>
        <v>605.83333333333337</v>
      </c>
      <c r="D42" s="65">
        <f>C42/B42</f>
        <v>4.8209549071618039</v>
      </c>
      <c r="E42" s="75">
        <f>(C42/1120)*100</f>
        <v>54.092261904761905</v>
      </c>
      <c r="F42" s="55">
        <f>G7/F7</f>
        <v>140.21428571428572</v>
      </c>
      <c r="G42" s="55">
        <f>H7/F7</f>
        <v>625.28571428571433</v>
      </c>
      <c r="H42" s="102">
        <f>G42/F42</f>
        <v>4.4595007641365259</v>
      </c>
      <c r="I42" s="65">
        <f t="shared" si="11"/>
        <v>55.829081632653065</v>
      </c>
      <c r="J42" s="55">
        <f>K7/J7</f>
        <v>124.53846153846153</v>
      </c>
      <c r="K42" s="55">
        <f>L7/J7</f>
        <v>608.07692307692309</v>
      </c>
      <c r="L42" s="65">
        <f>K42/J42</f>
        <v>4.8826436071649173</v>
      </c>
      <c r="M42" s="75">
        <f t="shared" si="8"/>
        <v>54.292582417582423</v>
      </c>
      <c r="N42" s="55" t="e">
        <f>O7/N7</f>
        <v>#DIV/0!</v>
      </c>
      <c r="O42" s="55" t="e">
        <f>P7/N7</f>
        <v>#DIV/0!</v>
      </c>
      <c r="P42" s="65" t="e">
        <f>O42/N42</f>
        <v>#DIV/0!</v>
      </c>
      <c r="Q42" s="75" t="e">
        <f t="shared" si="9"/>
        <v>#DIV/0!</v>
      </c>
      <c r="R42" s="55">
        <f>S7/R7</f>
        <v>145.69230769230768</v>
      </c>
      <c r="S42" s="55">
        <f>T7/R7</f>
        <v>621</v>
      </c>
      <c r="T42" s="65">
        <f>S42/R42</f>
        <v>4.2624076029567055</v>
      </c>
      <c r="U42" s="75">
        <f t="shared" si="10"/>
        <v>55.446428571428577</v>
      </c>
    </row>
    <row r="43" spans="1:29">
      <c r="A43" s="85">
        <f t="shared" si="7"/>
        <v>44900</v>
      </c>
      <c r="B43" s="86">
        <f>C8/B8</f>
        <v>125.77777777777777</v>
      </c>
      <c r="C43" s="55">
        <f>D8/B8</f>
        <v>567.11111111111109</v>
      </c>
      <c r="D43" s="65">
        <f>C43/B43</f>
        <v>4.5088339222614842</v>
      </c>
      <c r="E43" s="75">
        <f>(C43/1120)*100</f>
        <v>50.634920634920633</v>
      </c>
      <c r="F43" s="55">
        <f>G8/F8</f>
        <v>138.83333333333334</v>
      </c>
      <c r="G43" s="55">
        <f>H8/F8</f>
        <v>632.70833333333337</v>
      </c>
      <c r="H43" s="102">
        <f>G43/F43</f>
        <v>4.5573229291716686</v>
      </c>
      <c r="I43" s="65">
        <f t="shared" si="11"/>
        <v>56.491815476190474</v>
      </c>
      <c r="J43" s="55">
        <f>K8/J8</f>
        <v>128.23076923076923</v>
      </c>
      <c r="K43" s="55">
        <f>L8/J8</f>
        <v>634.53846153846155</v>
      </c>
      <c r="L43" s="65">
        <f>K43/J43</f>
        <v>4.9484103179364132</v>
      </c>
      <c r="M43" s="75">
        <f t="shared" si="8"/>
        <v>56.655219780219781</v>
      </c>
      <c r="N43" s="55" t="e">
        <f>O8/N8</f>
        <v>#DIV/0!</v>
      </c>
      <c r="O43" s="55" t="e">
        <f>P8/N8</f>
        <v>#DIV/0!</v>
      </c>
      <c r="P43" s="65" t="e">
        <f>O43/N43</f>
        <v>#DIV/0!</v>
      </c>
      <c r="Q43" s="75" t="e">
        <f t="shared" si="9"/>
        <v>#DIV/0!</v>
      </c>
      <c r="R43" s="55">
        <f>S8/R8</f>
        <v>131.71428571428572</v>
      </c>
      <c r="S43" s="55">
        <f>T8/R8</f>
        <v>580</v>
      </c>
      <c r="T43" s="65">
        <f>S43/R43</f>
        <v>4.4034707158351409</v>
      </c>
      <c r="U43" s="75">
        <f t="shared" si="10"/>
        <v>51.785714285714292</v>
      </c>
    </row>
    <row r="44" spans="1:29">
      <c r="A44" s="85">
        <f t="shared" si="7"/>
        <v>44901</v>
      </c>
      <c r="B44" s="86">
        <f>C9/B9</f>
        <v>126.9</v>
      </c>
      <c r="C44" s="55">
        <f>D9/B9</f>
        <v>595.79999999999995</v>
      </c>
      <c r="D44" s="65">
        <f>C44/B44</f>
        <v>4.6950354609929068</v>
      </c>
      <c r="E44" s="75">
        <f>(C44/1120)*100</f>
        <v>53.196428571428569</v>
      </c>
      <c r="F44" s="55">
        <f>G9/F9</f>
        <v>145.27272727272728</v>
      </c>
      <c r="G44" s="55">
        <f>H9/F9</f>
        <v>662.4545454545455</v>
      </c>
      <c r="H44" s="102">
        <f>G44/F44</f>
        <v>4.5600750938673338</v>
      </c>
      <c r="I44" s="65">
        <f t="shared" si="11"/>
        <v>59.14772727272728</v>
      </c>
      <c r="J44" s="55">
        <f>K9/J9</f>
        <v>150.88888888888889</v>
      </c>
      <c r="K44" s="55">
        <f>L9/J9</f>
        <v>731.38888888888891</v>
      </c>
      <c r="L44" s="65">
        <f>K44/J44</f>
        <v>4.8472017673048606</v>
      </c>
      <c r="M44" s="75">
        <f t="shared" si="8"/>
        <v>65.302579365079367</v>
      </c>
      <c r="N44" s="55" t="e">
        <f>O9/N9</f>
        <v>#DIV/0!</v>
      </c>
      <c r="O44" s="55" t="e">
        <f>P9/N9</f>
        <v>#DIV/0!</v>
      </c>
      <c r="P44" s="65" t="e">
        <f>O44/N44</f>
        <v>#DIV/0!</v>
      </c>
      <c r="Q44" s="75" t="e">
        <f t="shared" si="9"/>
        <v>#DIV/0!</v>
      </c>
      <c r="R44" s="55">
        <f>S9/R9</f>
        <v>462</v>
      </c>
      <c r="S44" s="55">
        <f>T9/R9</f>
        <v>2132.6</v>
      </c>
      <c r="T44" s="65">
        <f>S44/R44</f>
        <v>4.6160173160173157</v>
      </c>
      <c r="U44" s="75">
        <f t="shared" si="10"/>
        <v>190.41071428571428</v>
      </c>
    </row>
    <row r="45" spans="1:29">
      <c r="A45" s="85">
        <f t="shared" si="7"/>
        <v>44902</v>
      </c>
      <c r="B45" s="86">
        <f>C10/B10</f>
        <v>120.33333333333333</v>
      </c>
      <c r="C45" s="55">
        <f>D10/B10</f>
        <v>572.91666666666663</v>
      </c>
      <c r="D45" s="65">
        <f>C45/B45</f>
        <v>4.7610803324099722</v>
      </c>
      <c r="E45" s="75">
        <f>(C45/1120)*100</f>
        <v>51.153273809523803</v>
      </c>
      <c r="F45" s="55">
        <f>G10/F10</f>
        <v>151.69230769230768</v>
      </c>
      <c r="G45" s="55">
        <f>H10/F10</f>
        <v>666.53846153846155</v>
      </c>
      <c r="H45" s="102">
        <f>G45/F45</f>
        <v>4.3940162271805274</v>
      </c>
      <c r="I45" s="65">
        <f t="shared" si="11"/>
        <v>59.512362637362635</v>
      </c>
      <c r="J45" s="55">
        <f>K10/J10</f>
        <v>123.96</v>
      </c>
      <c r="K45" s="55">
        <f>L10/J10</f>
        <v>618.12</v>
      </c>
      <c r="L45" s="65">
        <f>K45/J45</f>
        <v>4.9864472410454992</v>
      </c>
      <c r="M45" s="75">
        <f t="shared" si="8"/>
        <v>55.189285714285717</v>
      </c>
      <c r="N45" s="55" t="e">
        <f>O10/N10</f>
        <v>#DIV/0!</v>
      </c>
      <c r="O45" s="55" t="e">
        <f>P10/N10</f>
        <v>#DIV/0!</v>
      </c>
      <c r="P45" s="65" t="e">
        <f>O45/N45</f>
        <v>#DIV/0!</v>
      </c>
      <c r="Q45" s="75" t="e">
        <f t="shared" si="9"/>
        <v>#DIV/0!</v>
      </c>
      <c r="R45" s="55">
        <f>S10/R10</f>
        <v>161.57142857142858</v>
      </c>
      <c r="S45" s="55">
        <f>T10/R10</f>
        <v>672.14285714285711</v>
      </c>
      <c r="T45" s="65">
        <f>S45/R45</f>
        <v>4.1600353669319183</v>
      </c>
      <c r="U45" s="75">
        <f t="shared" si="10"/>
        <v>60.012755102040813</v>
      </c>
    </row>
    <row r="46" spans="1:29">
      <c r="A46" s="85">
        <f t="shared" si="7"/>
        <v>44903</v>
      </c>
      <c r="B46" s="86">
        <f>C11/B11</f>
        <v>127.05</v>
      </c>
      <c r="C46" s="55">
        <f>D11/B11</f>
        <v>612.1</v>
      </c>
      <c r="D46" s="65">
        <f>C46/B46</f>
        <v>4.8177882723337273</v>
      </c>
      <c r="E46" s="75">
        <f>(C46/1120)*100</f>
        <v>54.651785714285715</v>
      </c>
      <c r="F46" s="55">
        <f>G11/F11</f>
        <v>139.80000000000001</v>
      </c>
      <c r="G46" s="55">
        <f>H11/F11</f>
        <v>656.4</v>
      </c>
      <c r="H46" s="102">
        <f>G46/F46</f>
        <v>4.6952789699570809</v>
      </c>
      <c r="I46" s="65">
        <f t="shared" si="11"/>
        <v>58.607142857142861</v>
      </c>
      <c r="J46" s="55">
        <f>K11/J11</f>
        <v>126.73684210526316</v>
      </c>
      <c r="K46" s="55">
        <f>L11/J11</f>
        <v>623.15789473684208</v>
      </c>
      <c r="L46" s="65">
        <f>K46/J46</f>
        <v>4.9169435215946837</v>
      </c>
      <c r="M46" s="75">
        <f t="shared" si="8"/>
        <v>55.639097744360896</v>
      </c>
      <c r="N46" s="55" t="e">
        <f>O11/N11</f>
        <v>#DIV/0!</v>
      </c>
      <c r="O46" s="55" t="e">
        <f>P11/N11</f>
        <v>#DIV/0!</v>
      </c>
      <c r="P46" s="65" t="e">
        <f>O46/N46</f>
        <v>#DIV/0!</v>
      </c>
      <c r="Q46" s="75" t="e">
        <f t="shared" si="9"/>
        <v>#DIV/0!</v>
      </c>
      <c r="R46" s="55">
        <f>S11/R11</f>
        <v>145.30769230769232</v>
      </c>
      <c r="S46" s="55">
        <f>T11/R11</f>
        <v>707.84615384615381</v>
      </c>
      <c r="T46" s="65">
        <f>S46/R46</f>
        <v>4.8713605082053988</v>
      </c>
      <c r="U46" s="75">
        <f t="shared" si="10"/>
        <v>63.200549450549445</v>
      </c>
    </row>
    <row r="47" spans="1:29">
      <c r="A47" s="85">
        <f t="shared" si="7"/>
        <v>44904</v>
      </c>
      <c r="B47" s="86">
        <f>C12/B12</f>
        <v>129.89473684210526</v>
      </c>
      <c r="C47" s="55">
        <f>D12/B12</f>
        <v>635.26315789473688</v>
      </c>
      <c r="D47" s="65">
        <f>C47/B47</f>
        <v>4.8905996758508916</v>
      </c>
      <c r="E47" s="75">
        <f>(C47/1120)*100</f>
        <v>56.719924812030072</v>
      </c>
      <c r="F47" s="55">
        <f>G12/F12</f>
        <v>131.16666666666666</v>
      </c>
      <c r="G47" s="55">
        <f>H12/F12</f>
        <v>593.16666666666663</v>
      </c>
      <c r="H47" s="102">
        <f>G47/F47</f>
        <v>4.5222363405336719</v>
      </c>
      <c r="I47" s="65">
        <f t="shared" si="11"/>
        <v>52.961309523809518</v>
      </c>
      <c r="J47" s="55">
        <f>K12/J12</f>
        <v>149</v>
      </c>
      <c r="K47" s="55">
        <f>L12/J12</f>
        <v>711.1</v>
      </c>
      <c r="L47" s="65">
        <f>K47/J47</f>
        <v>4.7724832214765103</v>
      </c>
      <c r="M47" s="75">
        <f t="shared" si="8"/>
        <v>63.491071428571431</v>
      </c>
      <c r="N47" s="55" t="e">
        <f>O12/N12</f>
        <v>#DIV/0!</v>
      </c>
      <c r="O47" s="55" t="e">
        <f>P12/N12</f>
        <v>#DIV/0!</v>
      </c>
      <c r="P47" s="65" t="e">
        <f>O47/N47</f>
        <v>#DIV/0!</v>
      </c>
      <c r="Q47" s="75" t="e">
        <f t="shared" si="9"/>
        <v>#DIV/0!</v>
      </c>
      <c r="R47" s="55" t="e">
        <f>S12/R12</f>
        <v>#DIV/0!</v>
      </c>
      <c r="S47" s="55" t="e">
        <f>T12/R12</f>
        <v>#DIV/0!</v>
      </c>
      <c r="T47" s="65" t="e">
        <f>S47/R47</f>
        <v>#DIV/0!</v>
      </c>
      <c r="U47" s="75" t="e">
        <f t="shared" si="10"/>
        <v>#DIV/0!</v>
      </c>
    </row>
    <row r="48" spans="1:29">
      <c r="A48" s="85">
        <f t="shared" si="7"/>
        <v>44905</v>
      </c>
      <c r="B48" s="86">
        <f>C13/B13</f>
        <v>149.5</v>
      </c>
      <c r="C48" s="55">
        <f>D13/B13</f>
        <v>705.2</v>
      </c>
      <c r="D48" s="65">
        <f>C48/B48</f>
        <v>4.7170568561872912</v>
      </c>
      <c r="E48" s="75">
        <f>(C48/1120)*100</f>
        <v>62.964285714285715</v>
      </c>
      <c r="F48" s="55">
        <f>G13/F13</f>
        <v>145.1</v>
      </c>
      <c r="G48" s="55">
        <f>H13/F13</f>
        <v>637.1</v>
      </c>
      <c r="H48" s="102">
        <f>G48/F48</f>
        <v>4.3907649896623022</v>
      </c>
      <c r="I48" s="65">
        <f t="shared" si="11"/>
        <v>56.883928571428577</v>
      </c>
      <c r="J48" s="55">
        <f>K13/J13</f>
        <v>132.72727272727272</v>
      </c>
      <c r="K48" s="55">
        <f>L13/J13</f>
        <v>650.90909090909088</v>
      </c>
      <c r="L48" s="65">
        <f>K48/J48</f>
        <v>4.904109589041096</v>
      </c>
      <c r="M48" s="75">
        <f t="shared" si="8"/>
        <v>58.116883116883109</v>
      </c>
      <c r="N48" s="55" t="e">
        <f>O13/N13</f>
        <v>#DIV/0!</v>
      </c>
      <c r="O48" s="55" t="e">
        <f>P13/N13</f>
        <v>#DIV/0!</v>
      </c>
      <c r="P48" s="65" t="e">
        <f>O48/N48</f>
        <v>#DIV/0!</v>
      </c>
      <c r="Q48" s="75" t="e">
        <f t="shared" si="9"/>
        <v>#DIV/0!</v>
      </c>
      <c r="R48" s="55">
        <f>S13/R13</f>
        <v>135.79166666666666</v>
      </c>
      <c r="S48" s="55">
        <f>T13/R13</f>
        <v>666.95833333333337</v>
      </c>
      <c r="T48" s="65">
        <f>S48/R48</f>
        <v>4.9116293341515807</v>
      </c>
      <c r="U48" s="75">
        <f t="shared" si="10"/>
        <v>59.54985119047619</v>
      </c>
    </row>
    <row r="49" spans="1:21">
      <c r="A49" s="85">
        <f t="shared" si="7"/>
        <v>44906</v>
      </c>
      <c r="B49" s="86">
        <f>C14/B14</f>
        <v>137.85714285714286</v>
      </c>
      <c r="C49" s="55">
        <f>D14/B14</f>
        <v>678.14285714285711</v>
      </c>
      <c r="D49" s="65">
        <f>C49/B49</f>
        <v>4.9191709844559579</v>
      </c>
      <c r="E49" s="75">
        <f>(C49/1120)*100</f>
        <v>60.548469387755098</v>
      </c>
      <c r="F49" s="55">
        <f>G14/F14</f>
        <v>147.80000000000001</v>
      </c>
      <c r="G49" s="55">
        <f>H14/F14</f>
        <v>650.29999999999995</v>
      </c>
      <c r="H49" s="102">
        <f>G49/F49</f>
        <v>4.3998646820027059</v>
      </c>
      <c r="I49" s="65">
        <f t="shared" si="11"/>
        <v>58.062499999999993</v>
      </c>
      <c r="J49" s="55">
        <f>K14/J14</f>
        <v>129.04761904761904</v>
      </c>
      <c r="K49" s="55">
        <f>L14/J14</f>
        <v>635.66666666666663</v>
      </c>
      <c r="L49" s="65">
        <f>K49/J49</f>
        <v>4.9258302583025833</v>
      </c>
      <c r="M49" s="75">
        <f t="shared" si="8"/>
        <v>56.75595238095238</v>
      </c>
      <c r="N49" s="55" t="e">
        <f>O14/N14</f>
        <v>#DIV/0!</v>
      </c>
      <c r="O49" s="55" t="e">
        <f>P14/N14</f>
        <v>#DIV/0!</v>
      </c>
      <c r="P49" s="65" t="e">
        <f>O49/N49</f>
        <v>#DIV/0!</v>
      </c>
      <c r="Q49" s="75" t="e">
        <f t="shared" si="9"/>
        <v>#DIV/0!</v>
      </c>
      <c r="R49" s="55">
        <f>S14/R14</f>
        <v>126.81818181818181</v>
      </c>
      <c r="S49" s="55">
        <f>T14/R14</f>
        <v>643.72727272727275</v>
      </c>
      <c r="T49" s="65">
        <f>S49/R49</f>
        <v>5.075985663082438</v>
      </c>
      <c r="U49" s="75">
        <f t="shared" si="10"/>
        <v>57.475649350649348</v>
      </c>
    </row>
    <row r="50" spans="1:21">
      <c r="A50" s="85">
        <f t="shared" si="7"/>
        <v>44907</v>
      </c>
      <c r="B50" s="86">
        <f>C15/B15</f>
        <v>123.66666666666667</v>
      </c>
      <c r="C50" s="55">
        <f>D15/B15</f>
        <v>584.5</v>
      </c>
      <c r="D50" s="65">
        <f>C50/B50</f>
        <v>4.7264150943396226</v>
      </c>
      <c r="E50" s="75">
        <f>(C50/1120)*100</f>
        <v>52.1875</v>
      </c>
      <c r="F50" s="55">
        <f>G15/F15</f>
        <v>138.21428571428572</v>
      </c>
      <c r="G50" s="55">
        <f>H15/F15</f>
        <v>657.57142857142856</v>
      </c>
      <c r="H50" s="102">
        <f>G50/F50</f>
        <v>4.7576227390180872</v>
      </c>
      <c r="I50" s="65">
        <f t="shared" si="11"/>
        <v>58.711734693877546</v>
      </c>
      <c r="J50" s="55">
        <f>K15/J15</f>
        <v>122.5</v>
      </c>
      <c r="K50" s="55">
        <f>L15/J15</f>
        <v>570.6</v>
      </c>
      <c r="L50" s="65">
        <f>K50/J50</f>
        <v>4.6579591836734693</v>
      </c>
      <c r="M50" s="75">
        <f t="shared" si="8"/>
        <v>50.946428571428569</v>
      </c>
      <c r="N50" s="55">
        <f>O15/N15</f>
        <v>134.4</v>
      </c>
      <c r="O50" s="55">
        <f>P15/N15</f>
        <v>575</v>
      </c>
      <c r="P50" s="65">
        <f>O50/N50</f>
        <v>4.2782738095238093</v>
      </c>
      <c r="Q50" s="75">
        <f t="shared" si="9"/>
        <v>51.339285714285708</v>
      </c>
      <c r="R50" s="55">
        <f>S15/R15</f>
        <v>142.71428571428572</v>
      </c>
      <c r="S50" s="55">
        <f>T15/R15</f>
        <v>669.78571428571433</v>
      </c>
      <c r="T50" s="65">
        <f>S50/R50</f>
        <v>4.6931931931931929</v>
      </c>
      <c r="U50" s="75">
        <f t="shared" si="10"/>
        <v>59.802295918367356</v>
      </c>
    </row>
    <row r="51" spans="1:21">
      <c r="A51" s="85">
        <f t="shared" si="7"/>
        <v>44908</v>
      </c>
      <c r="B51" s="86">
        <f>C16/B16</f>
        <v>119.36363636363636</v>
      </c>
      <c r="C51" s="55">
        <f>D16/B16</f>
        <v>568.5454545454545</v>
      </c>
      <c r="D51" s="65">
        <f>C51/B51</f>
        <v>4.7631378522467633</v>
      </c>
      <c r="E51" s="75">
        <f>(C51/1120)*100</f>
        <v>50.762987012987004</v>
      </c>
      <c r="F51" s="55">
        <f>G16/F16</f>
        <v>155.35714285714286</v>
      </c>
      <c r="G51" s="55">
        <f>H16/F16</f>
        <v>720.35714285714289</v>
      </c>
      <c r="H51" s="102">
        <f>G51/F51</f>
        <v>4.6367816091954026</v>
      </c>
      <c r="I51" s="65">
        <f t="shared" si="11"/>
        <v>64.317602040816325</v>
      </c>
      <c r="J51" s="55">
        <f>K16/J16</f>
        <v>114.8</v>
      </c>
      <c r="K51" s="55">
        <f>L16/J16</f>
        <v>589</v>
      </c>
      <c r="L51" s="65">
        <f>K51/J51</f>
        <v>5.1306620209059233</v>
      </c>
      <c r="M51" s="75">
        <f t="shared" si="8"/>
        <v>52.589285714285715</v>
      </c>
      <c r="N51" s="55">
        <f>O16/N16</f>
        <v>128.19999999999999</v>
      </c>
      <c r="O51" s="55">
        <f>P16/N16</f>
        <v>544.6</v>
      </c>
      <c r="P51" s="65">
        <f>O51/N51</f>
        <v>4.2480499219968806</v>
      </c>
      <c r="Q51" s="75">
        <f t="shared" si="9"/>
        <v>48.625</v>
      </c>
      <c r="R51" s="55">
        <f>S16/R16</f>
        <v>139.85714285714286</v>
      </c>
      <c r="S51" s="55">
        <f>T16/R16</f>
        <v>719.21428571428567</v>
      </c>
      <c r="T51" s="65">
        <f>S51/R51</f>
        <v>5.142492339121552</v>
      </c>
      <c r="U51" s="75">
        <f t="shared" si="10"/>
        <v>64.21556122448979</v>
      </c>
    </row>
    <row r="52" spans="1:21">
      <c r="A52" s="85">
        <f t="shared" si="7"/>
        <v>44909</v>
      </c>
      <c r="B52" s="86">
        <f>C17/B17</f>
        <v>136.66666666666666</v>
      </c>
      <c r="C52" s="55">
        <f>D17/B17</f>
        <v>635.22222222222217</v>
      </c>
      <c r="D52" s="65">
        <f>C52/B52</f>
        <v>4.6479674796747963</v>
      </c>
      <c r="E52" s="75">
        <f>(C52/1120)*100</f>
        <v>56.716269841269842</v>
      </c>
      <c r="F52" s="55">
        <f>G17/F17</f>
        <v>195</v>
      </c>
      <c r="G52" s="55">
        <f>H17/F17</f>
        <v>708.35714285714289</v>
      </c>
      <c r="H52" s="102">
        <f>G52/F52</f>
        <v>3.6326007326007326</v>
      </c>
      <c r="I52" s="65">
        <f t="shared" si="11"/>
        <v>63.246173469387756</v>
      </c>
      <c r="J52" s="55">
        <f>K17/J17</f>
        <v>122.2</v>
      </c>
      <c r="K52" s="55">
        <f>L17/J17</f>
        <v>577.4</v>
      </c>
      <c r="L52" s="65">
        <f>K52/J52</f>
        <v>4.7250409165302782</v>
      </c>
      <c r="M52" s="75">
        <f t="shared" si="8"/>
        <v>51.553571428571431</v>
      </c>
      <c r="N52" s="55">
        <f>O17/N17</f>
        <v>144.75</v>
      </c>
      <c r="O52" s="55">
        <f>P17/N17</f>
        <v>621.875</v>
      </c>
      <c r="P52" s="65">
        <f>O52/N52</f>
        <v>4.2962003454231432</v>
      </c>
      <c r="Q52" s="75">
        <f t="shared" si="9"/>
        <v>55.524553571428569</v>
      </c>
      <c r="R52" s="55">
        <f>S17/R17</f>
        <v>135.73333333333332</v>
      </c>
      <c r="S52" s="55">
        <f>T17/R17</f>
        <v>664.93333333333328</v>
      </c>
      <c r="T52" s="65">
        <f>S52/R52</f>
        <v>4.898821218074656</v>
      </c>
      <c r="U52" s="75">
        <f t="shared" si="10"/>
        <v>59.369047619047613</v>
      </c>
    </row>
    <row r="53" spans="1:21">
      <c r="A53" s="85">
        <f t="shared" si="7"/>
        <v>44910</v>
      </c>
      <c r="B53" s="86">
        <f>C18/B18</f>
        <v>121.1</v>
      </c>
      <c r="C53" s="55">
        <f>D18/B18</f>
        <v>582.70000000000005</v>
      </c>
      <c r="D53" s="65">
        <f>C53/B53</f>
        <v>4.8117258464079278</v>
      </c>
      <c r="E53" s="75">
        <f>(C53/1120)*100</f>
        <v>52.026785714285715</v>
      </c>
      <c r="F53" s="55">
        <f>G18/F18</f>
        <v>105</v>
      </c>
      <c r="G53" s="55">
        <f>H18/F18</f>
        <v>667.26666666666665</v>
      </c>
      <c r="H53" s="102">
        <f>G53/F53</f>
        <v>6.3549206349206351</v>
      </c>
      <c r="I53" s="65">
        <f t="shared" si="11"/>
        <v>59.577380952380956</v>
      </c>
      <c r="J53" s="55">
        <f>K18/J18</f>
        <v>119</v>
      </c>
      <c r="K53" s="55">
        <f>L18/J18</f>
        <v>588.70000000000005</v>
      </c>
      <c r="L53" s="65">
        <f>K53/J53</f>
        <v>4.947058823529412</v>
      </c>
      <c r="M53" s="75">
        <f t="shared" si="8"/>
        <v>52.5625</v>
      </c>
      <c r="N53" s="55">
        <f>O18/N18</f>
        <v>137</v>
      </c>
      <c r="O53" s="55">
        <f>P18/N18</f>
        <v>578.28571428571433</v>
      </c>
      <c r="P53" s="65">
        <f>O53/N53</f>
        <v>4.221063607924922</v>
      </c>
      <c r="Q53" s="75">
        <f t="shared" si="9"/>
        <v>51.632653061224495</v>
      </c>
      <c r="R53" s="55">
        <f>S18/R18</f>
        <v>137.13333333333333</v>
      </c>
      <c r="S53" s="55">
        <f>T18/R18</f>
        <v>677.6</v>
      </c>
      <c r="T53" s="65">
        <f>S53/R53</f>
        <v>4.9411764705882355</v>
      </c>
      <c r="U53" s="75">
        <f t="shared" si="10"/>
        <v>60.5</v>
      </c>
    </row>
    <row r="54" spans="1:21">
      <c r="A54" s="85">
        <f t="shared" si="7"/>
        <v>44911</v>
      </c>
      <c r="B54" s="86">
        <f>C19/B19</f>
        <v>115.5</v>
      </c>
      <c r="C54" s="55">
        <f>D19/B19</f>
        <v>541.70000000000005</v>
      </c>
      <c r="D54" s="65">
        <f>C54/B54</f>
        <v>4.69004329004329</v>
      </c>
      <c r="E54" s="75">
        <f>(C54/1120)*100</f>
        <v>48.366071428571431</v>
      </c>
      <c r="F54" s="55">
        <f>G19/F19</f>
        <v>160.06666666666666</v>
      </c>
      <c r="G54" s="55">
        <f>H19/F19</f>
        <v>684.06666666666672</v>
      </c>
      <c r="H54" s="102">
        <f>G54/F54</f>
        <v>4.2736359850062478</v>
      </c>
      <c r="I54" s="65">
        <f t="shared" si="11"/>
        <v>61.077380952380956</v>
      </c>
      <c r="J54" s="55">
        <f>K19/J19</f>
        <v>124.88888888888889</v>
      </c>
      <c r="K54" s="55">
        <f>L19/J19</f>
        <v>595.33333333333337</v>
      </c>
      <c r="L54" s="65">
        <f>K54/J54</f>
        <v>4.7669039145907481</v>
      </c>
      <c r="M54" s="75">
        <f t="shared" si="8"/>
        <v>53.154761904761905</v>
      </c>
      <c r="N54" s="55" t="e">
        <f>O19/N19</f>
        <v>#DIV/0!</v>
      </c>
      <c r="O54" s="55" t="e">
        <f>P19/N19</f>
        <v>#DIV/0!</v>
      </c>
      <c r="P54" s="65" t="e">
        <f>O54/N54</f>
        <v>#DIV/0!</v>
      </c>
      <c r="Q54" s="75" t="e">
        <f t="shared" si="9"/>
        <v>#DIV/0!</v>
      </c>
      <c r="R54" s="55">
        <f>S19/R19</f>
        <v>139.06666666666666</v>
      </c>
      <c r="S54" s="55">
        <f>T19/R19</f>
        <v>689.26666666666665</v>
      </c>
      <c r="T54" s="65">
        <f>S54/R54</f>
        <v>4.9563758389261743</v>
      </c>
      <c r="U54" s="75">
        <f t="shared" si="10"/>
        <v>61.541666666666664</v>
      </c>
    </row>
    <row r="55" spans="1:21">
      <c r="A55" s="85">
        <f t="shared" si="7"/>
        <v>44912</v>
      </c>
      <c r="B55" s="86">
        <f>C20/B20</f>
        <v>124.77777777777777</v>
      </c>
      <c r="C55" s="55">
        <f>D20/B20</f>
        <v>582.11111111111109</v>
      </c>
      <c r="D55" s="65">
        <f>C55/B55</f>
        <v>4.6651825467497776</v>
      </c>
      <c r="E55" s="75">
        <f>(C55/1120)*100</f>
        <v>51.974206349206341</v>
      </c>
      <c r="F55" s="55">
        <f>G20/F20</f>
        <v>132.4</v>
      </c>
      <c r="G55" s="55">
        <f>H20/F20</f>
        <v>642.6</v>
      </c>
      <c r="H55" s="102">
        <f>G55/F55</f>
        <v>4.8534743202416921</v>
      </c>
      <c r="I55" s="65">
        <f t="shared" si="11"/>
        <v>57.375</v>
      </c>
      <c r="J55" s="55">
        <f>K20/J20</f>
        <v>104.4</v>
      </c>
      <c r="K55" s="55">
        <f>L20/J20</f>
        <v>499</v>
      </c>
      <c r="L55" s="65">
        <f>K55/J55</f>
        <v>4.7796934865900385</v>
      </c>
      <c r="M55" s="75">
        <f t="shared" si="8"/>
        <v>44.553571428571431</v>
      </c>
      <c r="N55" s="55">
        <f>O20/N20</f>
        <v>182</v>
      </c>
      <c r="O55" s="55">
        <f>P20/N20</f>
        <v>641.75</v>
      </c>
      <c r="P55" s="65">
        <f>O55/N55</f>
        <v>3.526098901098901</v>
      </c>
      <c r="Q55" s="75">
        <f t="shared" si="9"/>
        <v>57.299107142857139</v>
      </c>
      <c r="R55" s="55">
        <f>S20/R20</f>
        <v>169.4</v>
      </c>
      <c r="S55" s="55">
        <f>T20/R20</f>
        <v>806</v>
      </c>
      <c r="T55" s="65">
        <f>S55/R55</f>
        <v>4.7579693034238488</v>
      </c>
      <c r="U55" s="75">
        <f t="shared" si="10"/>
        <v>71.964285714285708</v>
      </c>
    </row>
    <row r="56" spans="1:21">
      <c r="A56" s="85">
        <f t="shared" si="7"/>
        <v>44913</v>
      </c>
      <c r="B56" s="86">
        <f>C21/B21</f>
        <v>127.2</v>
      </c>
      <c r="C56" s="55">
        <f>D21/B21</f>
        <v>608.20000000000005</v>
      </c>
      <c r="D56" s="65">
        <f>C56/B56</f>
        <v>4.7814465408805038</v>
      </c>
      <c r="E56" s="75">
        <f>(C56/1120)*100</f>
        <v>54.303571428571431</v>
      </c>
      <c r="F56" s="55">
        <f>G21/F21</f>
        <v>138.42857142857142</v>
      </c>
      <c r="G56" s="55">
        <f>H21/F21</f>
        <v>631.5</v>
      </c>
      <c r="H56" s="102">
        <f>G56/F56</f>
        <v>4.5619195046439636</v>
      </c>
      <c r="I56" s="65">
        <f t="shared" si="11"/>
        <v>56.383928571428577</v>
      </c>
      <c r="J56" s="55">
        <f>K21/J21</f>
        <v>125.8</v>
      </c>
      <c r="K56" s="55">
        <f>L21/J21</f>
        <v>608.5</v>
      </c>
      <c r="L56" s="65">
        <f>K56/J56</f>
        <v>4.8370429252782197</v>
      </c>
      <c r="M56" s="75">
        <f t="shared" si="8"/>
        <v>54.330357142857146</v>
      </c>
      <c r="N56" s="55">
        <f>O21/N21</f>
        <v>141.5</v>
      </c>
      <c r="O56" s="55">
        <f>P21/N21</f>
        <v>529.5</v>
      </c>
      <c r="P56" s="65">
        <f>O56/N56</f>
        <v>3.7420494699646643</v>
      </c>
      <c r="Q56" s="75">
        <f t="shared" si="9"/>
        <v>47.276785714285715</v>
      </c>
      <c r="R56" s="55">
        <f>S21/R21</f>
        <v>123.13333333333334</v>
      </c>
      <c r="S56" s="55">
        <f>T21/R21</f>
        <v>599.6</v>
      </c>
      <c r="T56" s="65">
        <f>S56/R56</f>
        <v>4.8695181375203029</v>
      </c>
      <c r="U56" s="75">
        <f t="shared" si="10"/>
        <v>53.535714285714285</v>
      </c>
    </row>
    <row r="57" spans="1:21">
      <c r="A57" s="85">
        <f t="shared" si="7"/>
        <v>44914</v>
      </c>
      <c r="B57" s="86">
        <f>C22/B22</f>
        <v>149</v>
      </c>
      <c r="C57" s="55">
        <f>D22/B22</f>
        <v>711.71428571428567</v>
      </c>
      <c r="D57" s="65">
        <f>C57/B57</f>
        <v>4.7766059443911786</v>
      </c>
      <c r="E57" s="75">
        <f>(C57/1120)*100</f>
        <v>63.545918367346928</v>
      </c>
      <c r="F57" s="55">
        <f>G22/F22</f>
        <v>156.35714285714286</v>
      </c>
      <c r="G57" s="55">
        <f>H22/F22</f>
        <v>710.92857142857144</v>
      </c>
      <c r="H57" s="102">
        <f>G57/F57</f>
        <v>4.5468250342622198</v>
      </c>
      <c r="I57" s="65">
        <f t="shared" si="11"/>
        <v>63.475765306122454</v>
      </c>
      <c r="J57" s="55">
        <f>K22/J22</f>
        <v>110.45454545454545</v>
      </c>
      <c r="K57" s="55">
        <f>L22/J22</f>
        <v>528.4545454545455</v>
      </c>
      <c r="L57" s="65">
        <f>K57/J57</f>
        <v>4.7843621399176959</v>
      </c>
      <c r="M57" s="75">
        <f t="shared" si="8"/>
        <v>47.183441558441565</v>
      </c>
      <c r="N57" s="55">
        <f>O22/N22</f>
        <v>112.66666666666667</v>
      </c>
      <c r="O57" s="55">
        <f>P22/N22</f>
        <v>432.66666666666669</v>
      </c>
      <c r="P57" s="65">
        <f>O57/N57</f>
        <v>3.8402366863905324</v>
      </c>
      <c r="Q57" s="75">
        <f t="shared" si="9"/>
        <v>38.63095238095238</v>
      </c>
      <c r="R57" s="55">
        <f>S22/R22</f>
        <v>115.4</v>
      </c>
      <c r="S57" s="55">
        <f>T22/R22</f>
        <v>571.20000000000005</v>
      </c>
      <c r="T57" s="65">
        <f>S57/R57</f>
        <v>4.949740034662045</v>
      </c>
      <c r="U57" s="75">
        <f t="shared" si="10"/>
        <v>51</v>
      </c>
    </row>
    <row r="58" spans="1:21">
      <c r="A58" s="85">
        <f t="shared" si="7"/>
        <v>44915</v>
      </c>
      <c r="B58" s="86">
        <f>C23/B23</f>
        <v>139.16666666666666</v>
      </c>
      <c r="C58" s="55">
        <f>D23/B23</f>
        <v>674.95833333333337</v>
      </c>
      <c r="D58" s="65">
        <f>C58/B58</f>
        <v>4.8500000000000005</v>
      </c>
      <c r="E58" s="75">
        <f>(C58/1120)*100</f>
        <v>60.264136904761912</v>
      </c>
      <c r="F58" s="55">
        <f>G23/F23</f>
        <v>166.42857142857142</v>
      </c>
      <c r="G58" s="55">
        <f>H23/F23</f>
        <v>756</v>
      </c>
      <c r="H58" s="102">
        <f>G58/F58</f>
        <v>4.542489270386266</v>
      </c>
      <c r="I58" s="65">
        <f t="shared" si="11"/>
        <v>67.5</v>
      </c>
      <c r="J58" s="55">
        <f>K23/J23</f>
        <v>132.11111111111111</v>
      </c>
      <c r="K58" s="55">
        <f>L23/J23</f>
        <v>625.33333333333337</v>
      </c>
      <c r="L58" s="65">
        <f>K58/J58</f>
        <v>4.7333894028595456</v>
      </c>
      <c r="M58" s="75">
        <f t="shared" si="8"/>
        <v>55.833333333333336</v>
      </c>
      <c r="N58" s="55" t="e">
        <f>O23/N23</f>
        <v>#DIV/0!</v>
      </c>
      <c r="O58" s="55" t="e">
        <f>P23/N23</f>
        <v>#DIV/0!</v>
      </c>
      <c r="P58" s="65" t="e">
        <f>O58/N58</f>
        <v>#DIV/0!</v>
      </c>
      <c r="Q58" s="75" t="e">
        <f t="shared" si="9"/>
        <v>#DIV/0!</v>
      </c>
      <c r="R58" s="55" t="e">
        <f>S23/R23</f>
        <v>#DIV/0!</v>
      </c>
      <c r="S58" s="55" t="e">
        <f>T23/R23</f>
        <v>#DIV/0!</v>
      </c>
      <c r="T58" s="65" t="e">
        <f>S58/R58</f>
        <v>#DIV/0!</v>
      </c>
      <c r="U58" s="75" t="e">
        <f t="shared" si="10"/>
        <v>#DIV/0!</v>
      </c>
    </row>
    <row r="59" spans="1:21">
      <c r="A59" s="85">
        <f t="shared" si="7"/>
        <v>44916</v>
      </c>
      <c r="B59" s="86">
        <f>C24/B24</f>
        <v>124.5</v>
      </c>
      <c r="C59" s="55">
        <f>D24/B24</f>
        <v>596.5</v>
      </c>
      <c r="D59" s="65">
        <f>C59/B59</f>
        <v>4.7911646586345382</v>
      </c>
      <c r="E59" s="75">
        <f>(C59/1120)*100</f>
        <v>53.258928571428577</v>
      </c>
      <c r="F59" s="55">
        <f>G24/F24</f>
        <v>151.46666666666667</v>
      </c>
      <c r="G59" s="55">
        <f>H24/F24</f>
        <v>702.86666666666667</v>
      </c>
      <c r="H59" s="102">
        <f>G59/F59</f>
        <v>4.640404929577465</v>
      </c>
      <c r="I59" s="65">
        <f t="shared" si="11"/>
        <v>62.755952380952387</v>
      </c>
      <c r="J59" s="55">
        <f>K24/J24</f>
        <v>118.7</v>
      </c>
      <c r="K59" s="55">
        <f>L24/J24</f>
        <v>590</v>
      </c>
      <c r="L59" s="65">
        <f>K59/J59</f>
        <v>4.9705139005897223</v>
      </c>
      <c r="M59" s="75">
        <f t="shared" si="8"/>
        <v>52.678571428571431</v>
      </c>
      <c r="N59" s="55">
        <f>O24/N24</f>
        <v>181.33333333333334</v>
      </c>
      <c r="O59" s="55">
        <f>P24/N24</f>
        <v>686.16666666666663</v>
      </c>
      <c r="P59" s="65">
        <f>O59/N59</f>
        <v>3.7840073529411762</v>
      </c>
      <c r="Q59" s="75">
        <f t="shared" si="9"/>
        <v>61.264880952380949</v>
      </c>
      <c r="R59" s="55">
        <f>S24/R24</f>
        <v>137.70588235294119</v>
      </c>
      <c r="S59" s="55">
        <f>T24/R24</f>
        <v>662.64705882352939</v>
      </c>
      <c r="T59" s="65">
        <f>S59/R59</f>
        <v>4.8120461341307132</v>
      </c>
      <c r="U59" s="75">
        <f t="shared" si="10"/>
        <v>59.164915966386559</v>
      </c>
    </row>
    <row r="60" spans="1:21">
      <c r="A60" s="85">
        <f t="shared" si="7"/>
        <v>44917</v>
      </c>
      <c r="B60" s="86">
        <f>C25/B25</f>
        <v>130.69999999999999</v>
      </c>
      <c r="C60" s="55">
        <f>D25/B25</f>
        <v>613.70000000000005</v>
      </c>
      <c r="D60" s="65">
        <f>C60/B60</f>
        <v>4.6954858454475907</v>
      </c>
      <c r="E60" s="75">
        <f>(C60/1120)*100</f>
        <v>54.794642857142861</v>
      </c>
      <c r="F60" s="55">
        <f>G25/F25</f>
        <v>145</v>
      </c>
      <c r="G60" s="55">
        <f>H25/F25</f>
        <v>647.20000000000005</v>
      </c>
      <c r="H60" s="102">
        <f>G60/F60</f>
        <v>4.4634482758620697</v>
      </c>
      <c r="I60" s="65">
        <f t="shared" si="11"/>
        <v>57.785714285714285</v>
      </c>
      <c r="J60" s="55">
        <f>K25/J25</f>
        <v>125.6</v>
      </c>
      <c r="K60" s="55">
        <f>L25/J25</f>
        <v>622.70000000000005</v>
      </c>
      <c r="L60" s="65">
        <f>K60/J60</f>
        <v>4.9578025477707008</v>
      </c>
      <c r="M60" s="75">
        <f t="shared" si="8"/>
        <v>55.598214285714285</v>
      </c>
      <c r="N60" s="55">
        <f>O25/N25</f>
        <v>150.33333333333334</v>
      </c>
      <c r="O60" s="55">
        <f>P25/N25</f>
        <v>583.44444444444446</v>
      </c>
      <c r="P60" s="65">
        <f>O60/N60</f>
        <v>3.8810051736881004</v>
      </c>
      <c r="Q60" s="75">
        <f t="shared" si="9"/>
        <v>52.093253968253975</v>
      </c>
      <c r="R60" s="55">
        <f>S25/R25</f>
        <v>143.07142857142858</v>
      </c>
      <c r="S60" s="55">
        <f>T25/R25</f>
        <v>708.21428571428567</v>
      </c>
      <c r="T60" s="65">
        <f>S60/R60</f>
        <v>4.9500748876684968</v>
      </c>
      <c r="U60" s="75">
        <f t="shared" si="10"/>
        <v>63.233418367346935</v>
      </c>
    </row>
    <row r="61" spans="1:21">
      <c r="A61" s="85">
        <f t="shared" si="7"/>
        <v>44918</v>
      </c>
      <c r="B61" s="86">
        <f>C26/B26</f>
        <v>128.11111111111111</v>
      </c>
      <c r="C61" s="55">
        <f>D26/B26</f>
        <v>599.88888888888891</v>
      </c>
      <c r="D61" s="65">
        <f>C61/B61</f>
        <v>4.6825672159583691</v>
      </c>
      <c r="E61" s="75">
        <f>(C61/1120)*100</f>
        <v>53.561507936507937</v>
      </c>
      <c r="F61" s="55">
        <f>G26/F26</f>
        <v>147.6</v>
      </c>
      <c r="G61" s="55">
        <f>H26/F26</f>
        <v>702.33333333333337</v>
      </c>
      <c r="H61" s="102">
        <f>G61/F61</f>
        <v>4.7583559168925023</v>
      </c>
      <c r="I61" s="65">
        <f t="shared" si="11"/>
        <v>62.708333333333336</v>
      </c>
      <c r="J61" s="55">
        <f>K26/J26</f>
        <v>123.66666666666667</v>
      </c>
      <c r="K61" s="55">
        <f>L26/J26</f>
        <v>601.33333333333337</v>
      </c>
      <c r="L61" s="65">
        <f>K61/J61</f>
        <v>4.8625336927223719</v>
      </c>
      <c r="M61" s="75">
        <f t="shared" si="8"/>
        <v>53.69047619047619</v>
      </c>
      <c r="N61" s="55">
        <f>O26/N26</f>
        <v>171</v>
      </c>
      <c r="O61" s="55">
        <f>P26/N26</f>
        <v>650.875</v>
      </c>
      <c r="P61" s="65">
        <f>O61/N61</f>
        <v>3.8062865497076022</v>
      </c>
      <c r="Q61" s="75">
        <f t="shared" si="9"/>
        <v>58.113839285714285</v>
      </c>
      <c r="R61" s="55">
        <f>S26/R26</f>
        <v>142.06666666666666</v>
      </c>
      <c r="S61" s="55">
        <f>T26/R26</f>
        <v>703.6</v>
      </c>
      <c r="T61" s="65">
        <f>S61/R61</f>
        <v>4.9526044110746135</v>
      </c>
      <c r="U61" s="75">
        <f t="shared" si="10"/>
        <v>62.821428571428569</v>
      </c>
    </row>
    <row r="62" spans="1:21">
      <c r="A62" s="85">
        <f t="shared" si="7"/>
        <v>44919</v>
      </c>
      <c r="B62" s="86" t="e">
        <f>C27/B27</f>
        <v>#DIV/0!</v>
      </c>
      <c r="C62" s="55" t="e">
        <f>D27/B27</f>
        <v>#DIV/0!</v>
      </c>
      <c r="D62" s="65" t="e">
        <f>C62/B62</f>
        <v>#DIV/0!</v>
      </c>
      <c r="E62" s="75" t="e">
        <f>(C62/1120)*100</f>
        <v>#DIV/0!</v>
      </c>
      <c r="F62" s="55">
        <f>G27/F27</f>
        <v>153</v>
      </c>
      <c r="G62" s="55">
        <f>H27/F27</f>
        <v>702.6</v>
      </c>
      <c r="H62" s="102">
        <f>G62/F62</f>
        <v>4.5921568627450986</v>
      </c>
      <c r="I62" s="65">
        <f t="shared" si="11"/>
        <v>62.732142857142861</v>
      </c>
      <c r="J62" s="55">
        <f>K27/J27</f>
        <v>131.44444444444446</v>
      </c>
      <c r="K62" s="55">
        <f>L27/J27</f>
        <v>626.88888888888891</v>
      </c>
      <c r="L62" s="65">
        <f>K62/J62</f>
        <v>4.7692307692307692</v>
      </c>
      <c r="M62" s="75">
        <f t="shared" si="8"/>
        <v>55.972222222222221</v>
      </c>
      <c r="N62" s="55">
        <f>O27/N27</f>
        <v>165.61111111111111</v>
      </c>
      <c r="O62" s="55">
        <f>P27/N27</f>
        <v>636.05555555555554</v>
      </c>
      <c r="P62" s="65">
        <f>O62/N62</f>
        <v>3.8406574974840657</v>
      </c>
      <c r="Q62" s="75">
        <f t="shared" si="9"/>
        <v>56.790674603174608</v>
      </c>
      <c r="R62" s="55">
        <f>S27/R27</f>
        <v>137.8125</v>
      </c>
      <c r="S62" s="55">
        <f>T27/R27</f>
        <v>666.5</v>
      </c>
      <c r="T62" s="65">
        <f>S62/R62</f>
        <v>4.8362811791383216</v>
      </c>
      <c r="U62" s="75">
        <f t="shared" si="10"/>
        <v>59.508928571428577</v>
      </c>
    </row>
    <row r="63" spans="1:21">
      <c r="A63" s="85">
        <f t="shared" si="7"/>
        <v>44920</v>
      </c>
      <c r="B63" s="86">
        <f>C28/B28</f>
        <v>136.72727272727272</v>
      </c>
      <c r="C63" s="55">
        <f>D28/B28</f>
        <v>664</v>
      </c>
      <c r="D63" s="65">
        <f>C63/B63</f>
        <v>4.8563829787234045</v>
      </c>
      <c r="E63" s="75">
        <f>(C63/1120)*100</f>
        <v>59.285714285714285</v>
      </c>
      <c r="F63" s="55">
        <f>G28/F28</f>
        <v>157.69230769230768</v>
      </c>
      <c r="G63" s="55">
        <f>H28/F28</f>
        <v>691.92307692307691</v>
      </c>
      <c r="H63" s="102">
        <f>G63/F63</f>
        <v>4.3878048780487804</v>
      </c>
      <c r="I63" s="65">
        <f t="shared" si="11"/>
        <v>61.778846153846153</v>
      </c>
      <c r="J63" s="55">
        <f>K28/J28</f>
        <v>132.09090909090909</v>
      </c>
      <c r="K63" s="55">
        <f>L28/J28</f>
        <v>654.72727272727275</v>
      </c>
      <c r="L63" s="65">
        <f>K63/J63</f>
        <v>4.9566414315209908</v>
      </c>
      <c r="M63" s="75">
        <f t="shared" si="8"/>
        <v>58.457792207792217</v>
      </c>
      <c r="N63" s="55">
        <f>O28/N28</f>
        <v>167.5</v>
      </c>
      <c r="O63" s="55">
        <f>P28/N28</f>
        <v>627.1</v>
      </c>
      <c r="P63" s="65">
        <f>O63/N63</f>
        <v>3.7438805970149254</v>
      </c>
      <c r="Q63" s="75">
        <f t="shared" si="9"/>
        <v>55.991071428571423</v>
      </c>
      <c r="R63" s="55">
        <f>S28/R28</f>
        <v>135.14285714285714</v>
      </c>
      <c r="S63" s="55">
        <f>T28/R28</f>
        <v>672.71428571428567</v>
      </c>
      <c r="T63" s="65">
        <f>S63/R63</f>
        <v>4.9778012684989426</v>
      </c>
      <c r="U63" s="75">
        <f t="shared" si="10"/>
        <v>60.063775510204074</v>
      </c>
    </row>
    <row r="64" spans="1:21">
      <c r="A64" s="85">
        <f t="shared" si="7"/>
        <v>44921</v>
      </c>
      <c r="B64" s="86">
        <f>C29/B29</f>
        <v>148.77777777777777</v>
      </c>
      <c r="C64" s="55">
        <f>D29/B29</f>
        <v>739.22222222222217</v>
      </c>
      <c r="D64" s="65">
        <f>C64/B64</f>
        <v>4.9686333084391334</v>
      </c>
      <c r="E64" s="75">
        <f>(C64/1120)*100</f>
        <v>66.001984126984127</v>
      </c>
      <c r="F64" s="55">
        <f>G29/F29</f>
        <v>136.19999999999999</v>
      </c>
      <c r="G64" s="55">
        <f>H29/F29</f>
        <v>654</v>
      </c>
      <c r="H64" s="102">
        <f>G64/F64</f>
        <v>4.8017621145374454</v>
      </c>
      <c r="I64" s="65">
        <f t="shared" si="11"/>
        <v>58.392857142857146</v>
      </c>
      <c r="J64" s="55">
        <f>K29/J29</f>
        <v>126.4</v>
      </c>
      <c r="K64" s="55">
        <f>L29/J29</f>
        <v>646.1</v>
      </c>
      <c r="L64" s="65">
        <f>K64/J64</f>
        <v>5.111550632911392</v>
      </c>
      <c r="M64" s="75">
        <f t="shared" si="8"/>
        <v>57.6875</v>
      </c>
      <c r="N64" s="55">
        <f>O29/N29</f>
        <v>176.18181818181819</v>
      </c>
      <c r="O64" s="55">
        <f>P29/N29</f>
        <v>681.5454545454545</v>
      </c>
      <c r="P64" s="65">
        <f>O64/N64</f>
        <v>3.8684210526315788</v>
      </c>
      <c r="Q64" s="75">
        <f t="shared" si="9"/>
        <v>60.852272727272727</v>
      </c>
      <c r="R64" s="55">
        <f>S29/R29</f>
        <v>142.92857142857142</v>
      </c>
      <c r="S64" s="55">
        <f>T29/R29</f>
        <v>699.14285714285711</v>
      </c>
      <c r="T64" s="65">
        <f>S64/R64</f>
        <v>4.8915542228885558</v>
      </c>
      <c r="U64" s="75">
        <f t="shared" si="10"/>
        <v>62.423469387755105</v>
      </c>
    </row>
    <row r="65" spans="1:21">
      <c r="A65" s="85">
        <f t="shared" si="7"/>
        <v>44922</v>
      </c>
      <c r="B65" s="86">
        <f>C30/B30</f>
        <v>135.90909090909091</v>
      </c>
      <c r="C65" s="55">
        <f>D30/B30</f>
        <v>617.09090909090912</v>
      </c>
      <c r="D65" s="65">
        <f>C65/B65</f>
        <v>4.5404682274247499</v>
      </c>
      <c r="E65" s="75">
        <f>(C65/1120)*100</f>
        <v>55.097402597402599</v>
      </c>
      <c r="F65" s="55">
        <f>G30/F30</f>
        <v>139.46153846153845</v>
      </c>
      <c r="G65" s="55">
        <f>H30/F30</f>
        <v>707.53846153846155</v>
      </c>
      <c r="H65" s="102">
        <f>G65/F65</f>
        <v>5.0733590733590734</v>
      </c>
      <c r="I65" s="65">
        <f t="shared" si="11"/>
        <v>63.17307692307692</v>
      </c>
      <c r="J65" s="55">
        <f>K30/J30</f>
        <v>142.30000000000001</v>
      </c>
      <c r="K65" s="55">
        <f>L30/J30</f>
        <v>670.7</v>
      </c>
      <c r="L65" s="65">
        <f>K65/J65</f>
        <v>4.7132817990161628</v>
      </c>
      <c r="M65" s="75">
        <f t="shared" si="8"/>
        <v>59.883928571428577</v>
      </c>
      <c r="N65" s="55">
        <f>O30/N30</f>
        <v>173</v>
      </c>
      <c r="O65" s="55">
        <f>P30/N30</f>
        <v>671.16666666666663</v>
      </c>
      <c r="P65" s="65">
        <f>O65/N65</f>
        <v>3.879576107899807</v>
      </c>
      <c r="Q65" s="75">
        <f t="shared" si="9"/>
        <v>59.925595238095234</v>
      </c>
      <c r="R65" s="55">
        <f>S30/R30</f>
        <v>136.07142857142858</v>
      </c>
      <c r="S65" s="55">
        <f>T30/R30</f>
        <v>670.64285714285711</v>
      </c>
      <c r="T65" s="65">
        <f>S65/R65</f>
        <v>4.9286089238845134</v>
      </c>
      <c r="U65" s="75">
        <f t="shared" si="10"/>
        <v>59.878826530612237</v>
      </c>
    </row>
    <row r="66" spans="1:21">
      <c r="A66" s="85">
        <f t="shared" si="7"/>
        <v>44923</v>
      </c>
      <c r="B66" s="86">
        <f>C31/B31</f>
        <v>128.33333333333334</v>
      </c>
      <c r="C66" s="55">
        <f>D31/B31</f>
        <v>619.22222222222217</v>
      </c>
      <c r="D66" s="65">
        <f>C66/B66</f>
        <v>4.8251082251082247</v>
      </c>
      <c r="E66" s="75">
        <f>(C66/1120)*100</f>
        <v>55.287698412698404</v>
      </c>
      <c r="F66" s="55">
        <f>G31/F31</f>
        <v>145.93333333333334</v>
      </c>
      <c r="G66" s="55">
        <f>H31/F31</f>
        <v>669.73333333333335</v>
      </c>
      <c r="H66" s="102">
        <f>G66/F66</f>
        <v>4.5893101873001374</v>
      </c>
      <c r="I66" s="65">
        <f t="shared" si="11"/>
        <v>59.797619047619044</v>
      </c>
      <c r="J66" s="55">
        <f>K31/J31</f>
        <v>140.57142857142858</v>
      </c>
      <c r="K66" s="55">
        <f>L31/J31</f>
        <v>700.85714285714289</v>
      </c>
      <c r="L66" s="65">
        <f>K66/J66</f>
        <v>4.9857723577235769</v>
      </c>
      <c r="M66" s="75">
        <f t="shared" si="8"/>
        <v>62.576530612244895</v>
      </c>
      <c r="N66" s="55">
        <f>O31/N31</f>
        <v>124.5</v>
      </c>
      <c r="O66" s="55">
        <f>P31/N31</f>
        <v>250.75</v>
      </c>
      <c r="P66" s="65">
        <f>O66/N66</f>
        <v>2.0140562248995986</v>
      </c>
      <c r="Q66" s="75">
        <f t="shared" si="9"/>
        <v>22.388392857142858</v>
      </c>
      <c r="R66" s="55">
        <f>S31/R31</f>
        <v>141.52941176470588</v>
      </c>
      <c r="S66" s="55">
        <f>T31/R31</f>
        <v>686.70588235294122</v>
      </c>
      <c r="T66" s="65">
        <f>S66/R66</f>
        <v>4.8520365752285954</v>
      </c>
      <c r="U66" s="75">
        <f t="shared" si="10"/>
        <v>61.313025210084035</v>
      </c>
    </row>
    <row r="67" spans="1:21">
      <c r="A67" s="85">
        <f t="shared" si="7"/>
        <v>44924</v>
      </c>
      <c r="B67" s="86">
        <f>C32/B32</f>
        <v>154.92857142857142</v>
      </c>
      <c r="C67" s="55">
        <f>D32/B32</f>
        <v>762.85714285714289</v>
      </c>
      <c r="D67" s="65">
        <f>C67/B67</f>
        <v>4.9239280774550487</v>
      </c>
      <c r="E67" s="75">
        <f>(C67/1120)*100</f>
        <v>68.112244897959187</v>
      </c>
      <c r="F67" s="55">
        <f>G32/F32</f>
        <v>158.71428571428572</v>
      </c>
      <c r="G67" s="55">
        <f>H32/F32</f>
        <v>749.78571428571433</v>
      </c>
      <c r="H67" s="102">
        <f>G67/F67</f>
        <v>4.7241224122412238</v>
      </c>
      <c r="I67" s="65">
        <f t="shared" si="11"/>
        <v>66.945153061224488</v>
      </c>
      <c r="J67" s="55">
        <f>K32/J32</f>
        <v>135.18181818181819</v>
      </c>
      <c r="K67" s="55">
        <f>L32/J32</f>
        <v>665</v>
      </c>
      <c r="L67" s="65">
        <f>K67/J67</f>
        <v>4.9193006052454606</v>
      </c>
      <c r="M67" s="75">
        <f t="shared" si="8"/>
        <v>59.375</v>
      </c>
      <c r="N67" s="55">
        <f>O32/N32</f>
        <v>200.16666666666666</v>
      </c>
      <c r="O67" s="55">
        <f>P32/N32</f>
        <v>757.33333333333337</v>
      </c>
      <c r="P67" s="65">
        <f>O67/N67</f>
        <v>3.7835137385512079</v>
      </c>
      <c r="Q67" s="75">
        <f t="shared" si="9"/>
        <v>67.61904761904762</v>
      </c>
      <c r="R67" s="55">
        <f>S32/R32</f>
        <v>143.4</v>
      </c>
      <c r="S67" s="55">
        <f>T32/R32</f>
        <v>715.9</v>
      </c>
      <c r="T67" s="65">
        <f>S67/R67</f>
        <v>4.9923291492329147</v>
      </c>
      <c r="U67" s="75">
        <f t="shared" si="10"/>
        <v>63.919642857142854</v>
      </c>
    </row>
    <row r="68" spans="1:21">
      <c r="A68" s="85">
        <f t="shared" si="7"/>
        <v>44925</v>
      </c>
      <c r="B68" s="86">
        <f>C33/B33</f>
        <v>137.06666666666666</v>
      </c>
      <c r="C68" s="55">
        <f>D33/B33</f>
        <v>677.5333333333333</v>
      </c>
      <c r="D68" s="65">
        <f>C68/B68</f>
        <v>4.9430933852140075</v>
      </c>
      <c r="E68" s="75">
        <f>(C68/1120)*100</f>
        <v>60.49404761904762</v>
      </c>
      <c r="F68" s="55">
        <f>G33/F33</f>
        <v>154.28571428571428</v>
      </c>
      <c r="G68" s="55">
        <f>H33/F33</f>
        <v>720.78571428571433</v>
      </c>
      <c r="H68" s="102">
        <f>G68/F68</f>
        <v>4.6717592592592601</v>
      </c>
      <c r="I68" s="65">
        <f t="shared" si="11"/>
        <v>64.35586734693878</v>
      </c>
      <c r="J68" s="55">
        <f>K33/J33</f>
        <v>331.8</v>
      </c>
      <c r="K68" s="55">
        <f>L33/J33</f>
        <v>664.3</v>
      </c>
      <c r="L68" s="65">
        <f>K68/J68</f>
        <v>2.0021097046413501</v>
      </c>
      <c r="M68" s="75">
        <f t="shared" si="8"/>
        <v>59.3125</v>
      </c>
      <c r="N68" s="55">
        <f>O33/N33</f>
        <v>171.53846153846155</v>
      </c>
      <c r="O68" s="55">
        <f>P33/N33</f>
        <v>668</v>
      </c>
      <c r="P68" s="65">
        <f>O68/N68</f>
        <v>3.8941704035874438</v>
      </c>
      <c r="Q68" s="75">
        <f t="shared" si="9"/>
        <v>59.642857142857139</v>
      </c>
      <c r="R68" s="55">
        <f>S33/R33</f>
        <v>126.4</v>
      </c>
      <c r="S68" s="55">
        <f>T33/R33</f>
        <v>654.1</v>
      </c>
      <c r="T68" s="65">
        <f>S68/R68</f>
        <v>5.1748417721518987</v>
      </c>
      <c r="U68" s="75">
        <f t="shared" si="10"/>
        <v>58.401785714285715</v>
      </c>
    </row>
    <row r="69" spans="1:21">
      <c r="A69" s="99"/>
      <c r="B69" s="90">
        <f>C34/B34</f>
        <v>138.66666666666666</v>
      </c>
      <c r="C69" s="88">
        <f>D34/B34</f>
        <v>662</v>
      </c>
      <c r="D69" s="101">
        <f>C69/B69</f>
        <v>4.7740384615384617</v>
      </c>
      <c r="E69" s="89">
        <f>(C69/1120)*100</f>
        <v>59.107142857142861</v>
      </c>
      <c r="F69" s="88">
        <f>G34/F34</f>
        <v>146.19999999999999</v>
      </c>
      <c r="G69" s="55">
        <f>H34/F34</f>
        <v>654.4666666666667</v>
      </c>
      <c r="H69" s="102">
        <f>G69/F69</f>
        <v>4.476516187870498</v>
      </c>
      <c r="I69" s="65">
        <f t="shared" si="11"/>
        <v>58.43452380952381</v>
      </c>
      <c r="J69" s="55">
        <f>K34/J34</f>
        <v>134.69999999999999</v>
      </c>
      <c r="K69" s="55">
        <f>L34/J34</f>
        <v>667.2</v>
      </c>
      <c r="L69" s="65">
        <f>K69/J69</f>
        <v>4.9532293986636979</v>
      </c>
      <c r="M69" s="75">
        <f t="shared" si="8"/>
        <v>59.571428571428577</v>
      </c>
      <c r="N69" s="55">
        <f>O34/N34</f>
        <v>171</v>
      </c>
      <c r="O69" s="55">
        <f>P34/N34</f>
        <v>653.63636363636363</v>
      </c>
      <c r="P69" s="65">
        <f>O69/N69</f>
        <v>3.8224348750664539</v>
      </c>
      <c r="Q69" s="75">
        <f t="shared" si="9"/>
        <v>58.360389610389603</v>
      </c>
      <c r="R69" s="55">
        <f>S34/R34</f>
        <v>134.4</v>
      </c>
      <c r="S69" s="55">
        <f>T34/R34</f>
        <v>657.5</v>
      </c>
      <c r="T69" s="65">
        <f>S69/R69</f>
        <v>4.8921130952380949</v>
      </c>
      <c r="U69" s="75">
        <f t="shared" si="10"/>
        <v>58.705357142857139</v>
      </c>
    </row>
    <row r="70" spans="1:21">
      <c r="A70" s="126"/>
      <c r="B70" s="127"/>
      <c r="C70" s="127"/>
      <c r="D70" s="127"/>
      <c r="E70" s="127"/>
      <c r="F70" s="128"/>
    </row>
    <row r="71" spans="1:21" ht="59.25" customHeight="1">
      <c r="A71" s="56"/>
      <c r="B71" s="100" t="s">
        <v>107</v>
      </c>
      <c r="C71" s="100" t="s">
        <v>109</v>
      </c>
      <c r="D71" s="125" t="s">
        <v>110</v>
      </c>
      <c r="E71" s="202" t="s">
        <v>116</v>
      </c>
      <c r="F71" s="202"/>
    </row>
    <row r="72" spans="1:21">
      <c r="A72" s="85">
        <f>A4</f>
        <v>44896</v>
      </c>
      <c r="B72" s="38">
        <f>'FS Seychelles'!B3</f>
        <v>55.8</v>
      </c>
      <c r="D72" s="78">
        <f>D5+H5+L5+P5+T5</f>
        <v>32325</v>
      </c>
      <c r="E72" s="225">
        <f>D72/10000</f>
        <v>3.2324999999999999</v>
      </c>
      <c r="F72" s="225"/>
    </row>
    <row r="73" spans="1:21">
      <c r="A73" s="85">
        <f>A5</f>
        <v>44897</v>
      </c>
      <c r="B73" s="38">
        <f>'FS Seychelles'!B4</f>
        <v>59.7</v>
      </c>
      <c r="D73" s="78">
        <f>D6+H6+L6+P6+T6</f>
        <v>32946</v>
      </c>
      <c r="E73" s="225">
        <f t="shared" ref="E73:E102" si="12">D73/10000</f>
        <v>3.2946</v>
      </c>
      <c r="F73" s="225"/>
    </row>
    <row r="74" spans="1:21">
      <c r="A74" s="85">
        <f>A6</f>
        <v>44898</v>
      </c>
      <c r="B74" s="38">
        <f>'FS Seychelles'!B5</f>
        <v>57.1</v>
      </c>
      <c r="D74" s="78">
        <f>D7+H7+L7+P7+T7</f>
        <v>35637</v>
      </c>
      <c r="E74" s="225">
        <f t="shared" si="12"/>
        <v>3.5636999999999999</v>
      </c>
      <c r="F74" s="225"/>
    </row>
    <row r="75" spans="1:21">
      <c r="A75" s="85">
        <f>A7</f>
        <v>44899</v>
      </c>
      <c r="B75" s="38">
        <f>'FS Seychelles'!B6</f>
        <v>40.299999999999997</v>
      </c>
      <c r="D75" s="78">
        <f>D8+H8+L8+P8+T8</f>
        <v>32598</v>
      </c>
      <c r="E75" s="225">
        <f t="shared" si="12"/>
        <v>3.2597999999999998</v>
      </c>
      <c r="F75" s="225"/>
    </row>
    <row r="76" spans="1:21">
      <c r="A76" s="85">
        <f>A8</f>
        <v>44900</v>
      </c>
      <c r="B76" s="38">
        <f>'FS Seychelles'!B7</f>
        <v>39</v>
      </c>
      <c r="D76" s="78">
        <f>D9+H9+L9+P9+T9</f>
        <v>37073</v>
      </c>
      <c r="E76" s="225">
        <f t="shared" si="12"/>
        <v>3.7073</v>
      </c>
      <c r="F76" s="225"/>
    </row>
    <row r="77" spans="1:21">
      <c r="A77" s="85">
        <f>A9</f>
        <v>44901</v>
      </c>
      <c r="B77" s="38">
        <f>'FS Seychelles'!B8</f>
        <v>48.1</v>
      </c>
      <c r="D77" s="78">
        <f>D10+H10+L10+P10+T10</f>
        <v>35698</v>
      </c>
      <c r="E77" s="225">
        <f t="shared" si="12"/>
        <v>3.5697999999999999</v>
      </c>
      <c r="F77" s="225"/>
    </row>
    <row r="78" spans="1:21">
      <c r="A78" s="85">
        <f>A10</f>
        <v>44902</v>
      </c>
      <c r="B78" s="38">
        <f>'FS Seychelles'!B9</f>
        <v>48.1</v>
      </c>
      <c r="D78" s="78">
        <f>D11+H11+L11+P11+T11</f>
        <v>43130</v>
      </c>
      <c r="E78" s="225">
        <f t="shared" si="12"/>
        <v>4.3129999999999997</v>
      </c>
      <c r="F78" s="225"/>
    </row>
    <row r="79" spans="1:21">
      <c r="A79" s="85">
        <f>A11</f>
        <v>44903</v>
      </c>
      <c r="B79" s="38">
        <f>'FS Seychelles'!B10</f>
        <v>49.4</v>
      </c>
      <c r="D79" s="78">
        <f>D12+H12+L12+P12+T12</f>
        <v>26299</v>
      </c>
      <c r="E79" s="225">
        <f t="shared" si="12"/>
        <v>2.6299000000000001</v>
      </c>
      <c r="F79" s="225"/>
    </row>
    <row r="80" spans="1:21">
      <c r="A80" s="85">
        <f>A12</f>
        <v>44904</v>
      </c>
      <c r="B80" s="38">
        <f>'FS Seychelles'!B11</f>
        <v>49.4</v>
      </c>
      <c r="D80" s="78">
        <f>D13+H13+L13+P13+T13</f>
        <v>36590</v>
      </c>
      <c r="E80" s="225">
        <f t="shared" si="12"/>
        <v>3.6589999999999998</v>
      </c>
      <c r="F80" s="225"/>
    </row>
    <row r="81" spans="1:6">
      <c r="A81" s="85">
        <f>A13</f>
        <v>44905</v>
      </c>
      <c r="B81" s="38">
        <f>'FS Seychelles'!B12</f>
        <v>53.2</v>
      </c>
      <c r="D81" s="78">
        <f>D14+H14+L14+P14+T14</f>
        <v>36427</v>
      </c>
      <c r="E81" s="225">
        <f t="shared" si="12"/>
        <v>3.6427</v>
      </c>
      <c r="F81" s="225"/>
    </row>
    <row r="82" spans="1:6">
      <c r="A82" s="85">
        <f>A14</f>
        <v>44906</v>
      </c>
      <c r="B82" s="38">
        <f>'FS Seychelles'!B13</f>
        <v>49.4</v>
      </c>
      <c r="D82" s="78">
        <f>D15+H15+L15+P15+T15</f>
        <v>37685</v>
      </c>
      <c r="E82" s="225">
        <f t="shared" si="12"/>
        <v>3.7685</v>
      </c>
      <c r="F82" s="225"/>
    </row>
    <row r="83" spans="1:6">
      <c r="A83" s="85">
        <f>A15</f>
        <v>44907</v>
      </c>
      <c r="B83" s="38">
        <f>'FS Seychelles'!B14</f>
        <v>51.9</v>
      </c>
      <c r="D83" s="78">
        <f>D16+H16+L16+P16+T16</f>
        <v>35021</v>
      </c>
      <c r="E83" s="225">
        <f t="shared" si="12"/>
        <v>3.5021</v>
      </c>
      <c r="F83" s="225"/>
    </row>
    <row r="84" spans="1:6">
      <c r="A84" s="85">
        <f>A16</f>
        <v>44908</v>
      </c>
      <c r="B84" s="38">
        <f>'FS Seychelles'!B15</f>
        <v>51.9</v>
      </c>
      <c r="D84" s="78">
        <f>D17+H17+L17+P17+T17</f>
        <v>36357</v>
      </c>
      <c r="E84" s="225">
        <f t="shared" si="12"/>
        <v>3.6356999999999999</v>
      </c>
      <c r="F84" s="225"/>
    </row>
    <row r="85" spans="1:6">
      <c r="A85" s="85">
        <f>A17</f>
        <v>44909</v>
      </c>
      <c r="B85" s="38">
        <f>'FS Seychelles'!B16</f>
        <v>57.1</v>
      </c>
      <c r="D85" s="78">
        <f>D18+H18+L18+P18+T18</f>
        <v>35935</v>
      </c>
      <c r="E85" s="225">
        <f t="shared" si="12"/>
        <v>3.5935000000000001</v>
      </c>
      <c r="F85" s="225"/>
    </row>
    <row r="86" spans="1:6">
      <c r="A86" s="85">
        <f>A18</f>
        <v>44910</v>
      </c>
      <c r="B86" s="38">
        <f>'FS Seychelles'!B17</f>
        <v>61</v>
      </c>
      <c r="D86" s="78">
        <f>D19+H19+L19+P19+T19</f>
        <v>31375</v>
      </c>
      <c r="E86" s="225">
        <f t="shared" si="12"/>
        <v>3.1375000000000002</v>
      </c>
      <c r="F86" s="225"/>
    </row>
    <row r="87" spans="1:6">
      <c r="A87" s="85">
        <f>A19</f>
        <v>44911</v>
      </c>
      <c r="B87" s="38">
        <f>'FS Seychelles'!B18</f>
        <v>61</v>
      </c>
      <c r="D87" s="78">
        <f>D20+H20+L20+P20+T20</f>
        <v>31704</v>
      </c>
      <c r="E87" s="225">
        <f t="shared" si="12"/>
        <v>3.1703999999999999</v>
      </c>
      <c r="F87" s="225"/>
    </row>
    <row r="88" spans="1:6">
      <c r="A88" s="85">
        <f>A20</f>
        <v>44912</v>
      </c>
      <c r="B88" s="38">
        <f>'FS Seychelles'!B19</f>
        <v>50.6</v>
      </c>
      <c r="D88" s="78">
        <f>D21+H21+L21+P21+T21</f>
        <v>33179</v>
      </c>
      <c r="E88" s="225">
        <f t="shared" si="12"/>
        <v>3.3178999999999998</v>
      </c>
      <c r="F88" s="225"/>
    </row>
    <row r="89" spans="1:6">
      <c r="A89" s="85">
        <f>A21</f>
        <v>44913</v>
      </c>
      <c r="B89" s="38">
        <f>'FS Seychelles'!B20</f>
        <v>67.5</v>
      </c>
      <c r="D89" s="78">
        <f>D22+H22+L22+P22+T22</f>
        <v>32740</v>
      </c>
      <c r="E89" s="225">
        <f t="shared" si="12"/>
        <v>3.274</v>
      </c>
      <c r="F89" s="225"/>
    </row>
    <row r="90" spans="1:6">
      <c r="A90" s="85">
        <f>A22</f>
        <v>44914</v>
      </c>
      <c r="B90" s="38">
        <f>'FS Seychelles'!B21</f>
        <v>79.2</v>
      </c>
      <c r="D90" s="78">
        <f>D23+H23+L23+P23+T23</f>
        <v>32411</v>
      </c>
      <c r="E90" s="225">
        <f t="shared" si="12"/>
        <v>3.2410999999999999</v>
      </c>
      <c r="F90" s="225"/>
    </row>
    <row r="91" spans="1:6">
      <c r="A91" s="85">
        <f>A23</f>
        <v>44915</v>
      </c>
      <c r="B91" s="38">
        <f>'FS Seychelles'!B22</f>
        <v>76.599999999999994</v>
      </c>
      <c r="D91" s="78">
        <f>D24+H24+L24+P24+T24</f>
        <v>37790</v>
      </c>
      <c r="E91" s="225">
        <f t="shared" si="12"/>
        <v>3.7789999999999999</v>
      </c>
      <c r="F91" s="225"/>
    </row>
    <row r="92" spans="1:6">
      <c r="A92" s="85">
        <f>A24</f>
        <v>44916</v>
      </c>
      <c r="B92" s="38">
        <f>'FS Seychelles'!B23</f>
        <v>66.2</v>
      </c>
      <c r="D92" s="78">
        <f>D25+H25+L25+P25+T25</f>
        <v>37238</v>
      </c>
      <c r="E92" s="225">
        <f t="shared" si="12"/>
        <v>3.7238000000000002</v>
      </c>
      <c r="F92" s="225"/>
    </row>
    <row r="93" spans="1:6">
      <c r="A93" s="85">
        <f>A25</f>
        <v>44917</v>
      </c>
      <c r="B93" s="38">
        <f>'FS Seychelles'!B24</f>
        <v>58.4</v>
      </c>
      <c r="D93" s="78">
        <f>D26+H26+L26+P26+T26</f>
        <v>37107</v>
      </c>
      <c r="E93" s="225">
        <f t="shared" si="12"/>
        <v>3.7107000000000001</v>
      </c>
      <c r="F93" s="225"/>
    </row>
    <row r="94" spans="1:6">
      <c r="A94" s="85">
        <f>A26</f>
        <v>44918</v>
      </c>
      <c r="B94" s="38">
        <f>'FS Seychelles'!B25</f>
        <v>57.1</v>
      </c>
      <c r="D94" s="78">
        <f>D27+H27+L27+P27+T27</f>
        <v>38294</v>
      </c>
      <c r="E94" s="225">
        <f t="shared" si="12"/>
        <v>3.8294000000000001</v>
      </c>
      <c r="F94" s="225"/>
    </row>
    <row r="95" spans="1:6">
      <c r="A95" s="85">
        <f>A27</f>
        <v>44919</v>
      </c>
      <c r="B95" s="38">
        <f>'FS Seychelles'!B26</f>
        <v>61</v>
      </c>
      <c r="D95" s="78">
        <f>D28+H28+L28+P28+T28</f>
        <v>39190</v>
      </c>
      <c r="E95" s="225">
        <f t="shared" si="12"/>
        <v>3.919</v>
      </c>
      <c r="F95" s="225"/>
    </row>
    <row r="96" spans="1:6">
      <c r="A96" s="85">
        <f>A28</f>
        <v>44920</v>
      </c>
      <c r="B96" s="38">
        <f>'FS Seychelles'!B27</f>
        <v>64.900000000000006</v>
      </c>
      <c r="D96" s="78">
        <f>D29+H29+L29+P29+T29</f>
        <v>40209</v>
      </c>
      <c r="E96" s="225">
        <f t="shared" si="12"/>
        <v>4.0209000000000001</v>
      </c>
      <c r="F96" s="225"/>
    </row>
    <row r="97" spans="1:6">
      <c r="A97" s="85">
        <f>A29</f>
        <v>44921</v>
      </c>
      <c r="B97" s="38">
        <f>'FS Seychelles'!B28</f>
        <v>74</v>
      </c>
      <c r="D97" s="78">
        <f>D30+H30+L30+P30+T30</f>
        <v>40136</v>
      </c>
      <c r="E97" s="225">
        <f t="shared" si="12"/>
        <v>4.0136000000000003</v>
      </c>
      <c r="F97" s="225"/>
    </row>
    <row r="98" spans="1:6">
      <c r="A98" s="85">
        <f>A30</f>
        <v>44922</v>
      </c>
      <c r="B98" s="38">
        <f>'FS Seychelles'!B29</f>
        <v>87</v>
      </c>
      <c r="D98" s="78">
        <f>D31+H31+L31+P31+T31</f>
        <v>43014</v>
      </c>
      <c r="E98" s="225">
        <f t="shared" si="12"/>
        <v>4.3014000000000001</v>
      </c>
      <c r="F98" s="225"/>
    </row>
    <row r="99" spans="1:6">
      <c r="A99" s="85">
        <f>A31</f>
        <v>44923</v>
      </c>
      <c r="B99" s="38">
        <f>'FS Seychelles'!B30</f>
        <v>83.1</v>
      </c>
      <c r="D99" s="78">
        <f>D32+H32+L32+P32+T32</f>
        <v>44739</v>
      </c>
      <c r="E99" s="225">
        <f t="shared" si="12"/>
        <v>4.4739000000000004</v>
      </c>
      <c r="F99" s="225"/>
    </row>
    <row r="100" spans="1:6">
      <c r="A100" s="85">
        <f>A32</f>
        <v>44924</v>
      </c>
      <c r="B100" s="38">
        <f>'FS Seychelles'!B31</f>
        <v>84.4</v>
      </c>
      <c r="D100" s="78">
        <f>D33+H33+L33+P33+T33</f>
        <v>42122</v>
      </c>
      <c r="E100" s="225">
        <f t="shared" si="12"/>
        <v>4.2122000000000002</v>
      </c>
      <c r="F100" s="225"/>
    </row>
    <row r="101" spans="1:6">
      <c r="A101" s="85">
        <f>A33</f>
        <v>44925</v>
      </c>
      <c r="B101" s="38">
        <f>'FS Seychelles'!B32</f>
        <v>75.3</v>
      </c>
      <c r="D101" s="78">
        <f>D34+H34+L34+P34+T34</f>
        <v>40184</v>
      </c>
      <c r="E101" s="225">
        <f t="shared" si="12"/>
        <v>4.0183999999999997</v>
      </c>
      <c r="F101" s="225"/>
    </row>
    <row r="102" spans="1:6">
      <c r="A102" s="99">
        <f>A34</f>
        <v>44926</v>
      </c>
      <c r="B102" s="109" t="e">
        <f>'FS Seychelles'!#REF!</f>
        <v>#REF!</v>
      </c>
      <c r="D102" s="83">
        <f>D34+H34+L34+P34+T34</f>
        <v>40184</v>
      </c>
      <c r="E102" s="226">
        <f t="shared" si="12"/>
        <v>4.0183999999999997</v>
      </c>
      <c r="F102" s="226"/>
    </row>
    <row r="103" spans="1:6">
      <c r="A103" s="85"/>
      <c r="B103" s="38" t="e">
        <f>SUM(B72:B102)</f>
        <v>#REF!</v>
      </c>
      <c r="D103" s="111">
        <f t="shared" ref="D103:E103" si="13">SUM(D72:D102)</f>
        <v>1135337</v>
      </c>
      <c r="E103" s="195">
        <f t="shared" si="13"/>
        <v>113.5337</v>
      </c>
      <c r="F103" s="195"/>
    </row>
    <row r="104" spans="1:6">
      <c r="A104" s="79"/>
    </row>
    <row r="105" spans="1:6"/>
  </sheetData>
  <mergeCells count="44">
    <mergeCell ref="E95:F95"/>
    <mergeCell ref="E101:F101"/>
    <mergeCell ref="E102:F102"/>
    <mergeCell ref="E96:F96"/>
    <mergeCell ref="E97:F97"/>
    <mergeCell ref="E98:F98"/>
    <mergeCell ref="E99:F99"/>
    <mergeCell ref="E100:F100"/>
    <mergeCell ref="E90:F90"/>
    <mergeCell ref="E91:F91"/>
    <mergeCell ref="E92:F92"/>
    <mergeCell ref="E93:F93"/>
    <mergeCell ref="E94:F94"/>
    <mergeCell ref="E85:F85"/>
    <mergeCell ref="E86:F86"/>
    <mergeCell ref="E87:F87"/>
    <mergeCell ref="E88:F88"/>
    <mergeCell ref="E89:F89"/>
    <mergeCell ref="E80:F80"/>
    <mergeCell ref="E81:F81"/>
    <mergeCell ref="E82:F82"/>
    <mergeCell ref="E83:F83"/>
    <mergeCell ref="E84:F84"/>
    <mergeCell ref="E75:F75"/>
    <mergeCell ref="E76:F76"/>
    <mergeCell ref="E77:F77"/>
    <mergeCell ref="E78:F78"/>
    <mergeCell ref="E79:F79"/>
    <mergeCell ref="AB2:AC2"/>
    <mergeCell ref="E103:F103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1:F71"/>
    <mergeCell ref="E72:F72"/>
    <mergeCell ref="E73:F73"/>
    <mergeCell ref="E74:F74"/>
  </mergeCells>
  <conditionalFormatting sqref="D39:D69 H39:H69 L39:L69 P39:P69 T39:T69">
    <cfRule type="cellIs" dxfId="1" priority="2" operator="greaterThan">
      <formula>5</formula>
    </cfRule>
  </conditionalFormatting>
  <conditionalFormatting sqref="D39:D69 H39:H69 L39:L69 P39:P69 T39:T69">
    <cfRule type="cellIs" dxfId="0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L34"/>
  <sheetViews>
    <sheetView workbookViewId="0">
      <pane ySplit="1" topLeftCell="A12" activePane="bottomLeft" state="frozen"/>
      <selection pane="bottomLeft" activeCell="G28" sqref="G28"/>
    </sheetView>
  </sheetViews>
  <sheetFormatPr defaultRowHeight="15"/>
  <cols>
    <col min="8" max="8" width="10.5703125" customWidth="1"/>
    <col min="12" max="12" width="45.7109375" customWidth="1"/>
  </cols>
  <sheetData>
    <row r="1" spans="1:12">
      <c r="A1" s="117" t="s">
        <v>117</v>
      </c>
      <c r="B1" s="117" t="s">
        <v>118</v>
      </c>
      <c r="C1" s="117" t="s">
        <v>119</v>
      </c>
      <c r="D1" s="117" t="s">
        <v>120</v>
      </c>
      <c r="E1" s="117" t="s">
        <v>121</v>
      </c>
      <c r="F1" s="117" t="s">
        <v>122</v>
      </c>
      <c r="G1" s="117" t="s">
        <v>123</v>
      </c>
      <c r="H1" s="117" t="s">
        <v>124</v>
      </c>
      <c r="I1" s="117" t="s">
        <v>125</v>
      </c>
      <c r="J1" s="117" t="s">
        <v>84</v>
      </c>
      <c r="K1" s="203" t="s">
        <v>126</v>
      </c>
      <c r="L1" s="117" t="s">
        <v>127</v>
      </c>
    </row>
    <row r="2" spans="1:12">
      <c r="A2" s="117">
        <v>1</v>
      </c>
      <c r="B2" s="150">
        <v>3.07</v>
      </c>
      <c r="C2" s="151">
        <v>4.4000000000000004</v>
      </c>
      <c r="D2" s="151">
        <v>5.88</v>
      </c>
      <c r="E2" s="151">
        <v>1.75</v>
      </c>
      <c r="F2" s="151">
        <v>2.48</v>
      </c>
      <c r="G2" s="151">
        <v>2.93</v>
      </c>
      <c r="H2" s="151">
        <v>1.53</v>
      </c>
      <c r="I2" s="151">
        <v>1.88</v>
      </c>
      <c r="J2" s="151">
        <v>4.01</v>
      </c>
      <c r="K2" s="204">
        <v>0</v>
      </c>
      <c r="L2" s="47"/>
    </row>
    <row r="3" spans="1:12">
      <c r="A3" s="117">
        <v>2</v>
      </c>
      <c r="B3" s="152">
        <v>2.48</v>
      </c>
      <c r="C3" s="141">
        <v>3.87</v>
      </c>
      <c r="D3" s="141">
        <v>5.37</v>
      </c>
      <c r="E3" s="141">
        <v>1.42</v>
      </c>
      <c r="F3" s="141">
        <v>2.09</v>
      </c>
      <c r="G3" s="141">
        <v>2.4500000000000002</v>
      </c>
      <c r="H3" s="141">
        <v>1.45</v>
      </c>
      <c r="I3" s="141">
        <v>1.71</v>
      </c>
      <c r="J3" s="141">
        <v>3.82</v>
      </c>
      <c r="K3" s="205">
        <v>0</v>
      </c>
      <c r="L3" s="47"/>
    </row>
    <row r="4" spans="1:12">
      <c r="A4" s="117">
        <v>3</v>
      </c>
      <c r="B4" s="152">
        <v>2.94</v>
      </c>
      <c r="C4" s="141">
        <v>4.32</v>
      </c>
      <c r="D4" s="141">
        <v>5.75</v>
      </c>
      <c r="E4" s="141">
        <v>1.54</v>
      </c>
      <c r="F4" s="141">
        <v>2.2599999999999998</v>
      </c>
      <c r="G4" s="141">
        <v>2.68</v>
      </c>
      <c r="H4" s="141">
        <v>1.44</v>
      </c>
      <c r="I4" s="141">
        <v>1.77</v>
      </c>
      <c r="J4" s="141">
        <v>3.84</v>
      </c>
      <c r="K4" s="205">
        <v>0</v>
      </c>
      <c r="L4" s="47"/>
    </row>
    <row r="5" spans="1:12">
      <c r="A5" s="117">
        <v>4</v>
      </c>
      <c r="B5" s="152">
        <v>3.08</v>
      </c>
      <c r="C5" s="141">
        <v>4.45</v>
      </c>
      <c r="D5" s="141">
        <v>5.48</v>
      </c>
      <c r="E5" s="141">
        <v>1.66</v>
      </c>
      <c r="F5" s="141">
        <v>2.33</v>
      </c>
      <c r="G5" s="141">
        <v>2.77</v>
      </c>
      <c r="H5" s="141">
        <v>1.23</v>
      </c>
      <c r="I5" s="141">
        <v>1.69</v>
      </c>
      <c r="J5" s="141">
        <v>3.63</v>
      </c>
      <c r="K5" s="205">
        <v>0</v>
      </c>
      <c r="L5" s="47"/>
    </row>
    <row r="6" spans="1:12">
      <c r="A6" s="117">
        <v>5</v>
      </c>
      <c r="B6" s="152">
        <v>3.24</v>
      </c>
      <c r="C6" s="141">
        <v>4.32</v>
      </c>
      <c r="D6" s="141">
        <v>5.48</v>
      </c>
      <c r="E6" s="141">
        <v>1.9</v>
      </c>
      <c r="F6" s="141">
        <v>2.56</v>
      </c>
      <c r="G6" s="141">
        <v>2.62</v>
      </c>
      <c r="H6" s="141">
        <v>1.1399999999999999</v>
      </c>
      <c r="I6" s="141">
        <v>1.74</v>
      </c>
      <c r="J6" s="141">
        <v>3.77</v>
      </c>
      <c r="K6" s="205">
        <v>0</v>
      </c>
      <c r="L6" s="47"/>
    </row>
    <row r="7" spans="1:12">
      <c r="A7" s="117">
        <v>6</v>
      </c>
      <c r="B7" s="152">
        <v>3.23</v>
      </c>
      <c r="C7" s="141">
        <v>4.0599999999999996</v>
      </c>
      <c r="D7" s="141">
        <v>5.61</v>
      </c>
      <c r="E7" s="141">
        <v>2.0099999999999998</v>
      </c>
      <c r="F7" s="141">
        <v>2.48</v>
      </c>
      <c r="G7" s="141">
        <v>2.37</v>
      </c>
      <c r="H7" s="141">
        <v>1.2</v>
      </c>
      <c r="I7" s="141">
        <v>1.71</v>
      </c>
      <c r="J7" s="141">
        <v>3.81</v>
      </c>
      <c r="K7" s="205">
        <v>0</v>
      </c>
      <c r="L7" s="47"/>
    </row>
    <row r="8" spans="1:12">
      <c r="A8" s="117">
        <v>7</v>
      </c>
      <c r="B8" s="152">
        <v>3.2</v>
      </c>
      <c r="C8" s="141">
        <v>4.42</v>
      </c>
      <c r="D8" s="141">
        <v>5.68</v>
      </c>
      <c r="E8" s="141">
        <v>2.2999999999999998</v>
      </c>
      <c r="F8" s="141">
        <v>2.46</v>
      </c>
      <c r="G8" s="141">
        <v>2.29</v>
      </c>
      <c r="H8" s="141">
        <v>1.1200000000000001</v>
      </c>
      <c r="I8" s="141">
        <v>1.74</v>
      </c>
      <c r="J8" s="141">
        <v>3.7</v>
      </c>
      <c r="K8" s="205">
        <v>0</v>
      </c>
      <c r="L8" s="47"/>
    </row>
    <row r="9" spans="1:12">
      <c r="A9" s="117">
        <v>8</v>
      </c>
      <c r="B9" s="152">
        <v>2.87</v>
      </c>
      <c r="C9" s="141">
        <v>4.4000000000000004</v>
      </c>
      <c r="D9" s="141">
        <v>5.64</v>
      </c>
      <c r="E9" s="141">
        <v>2</v>
      </c>
      <c r="F9" s="141">
        <v>2.25</v>
      </c>
      <c r="G9" s="141">
        <v>2.2599999999999998</v>
      </c>
      <c r="H9" s="141">
        <v>1.36</v>
      </c>
      <c r="I9" s="141">
        <v>1.79</v>
      </c>
      <c r="J9" s="141">
        <v>3.97</v>
      </c>
      <c r="K9" s="205">
        <v>0</v>
      </c>
      <c r="L9" s="47"/>
    </row>
    <row r="10" spans="1:12">
      <c r="A10" s="117">
        <v>9</v>
      </c>
      <c r="B10" s="152">
        <v>2.95</v>
      </c>
      <c r="C10" s="141">
        <v>4.1900000000000004</v>
      </c>
      <c r="D10" s="141">
        <v>5.86</v>
      </c>
      <c r="E10" s="141">
        <v>2.19</v>
      </c>
      <c r="F10" s="141">
        <v>2.31</v>
      </c>
      <c r="G10" s="141">
        <v>2.44</v>
      </c>
      <c r="H10" s="141">
        <v>1.37</v>
      </c>
      <c r="I10" s="141">
        <v>1.68</v>
      </c>
      <c r="J10" s="141">
        <v>3.87</v>
      </c>
      <c r="K10" s="205">
        <v>0</v>
      </c>
      <c r="L10" s="47"/>
    </row>
    <row r="11" spans="1:12">
      <c r="A11" s="117">
        <v>10</v>
      </c>
      <c r="B11" s="152">
        <v>3.02</v>
      </c>
      <c r="C11" s="141">
        <v>4.26</v>
      </c>
      <c r="D11" s="141">
        <v>5.97</v>
      </c>
      <c r="E11" s="141">
        <v>2.17</v>
      </c>
      <c r="F11" s="141">
        <v>2.44</v>
      </c>
      <c r="G11" s="141">
        <v>2.74</v>
      </c>
      <c r="H11" s="141">
        <v>1.41</v>
      </c>
      <c r="I11" s="141">
        <v>1.7</v>
      </c>
      <c r="J11" s="141">
        <v>4.0599999999999996</v>
      </c>
      <c r="K11" s="205">
        <v>0</v>
      </c>
      <c r="L11" s="47"/>
    </row>
    <row r="12" spans="1:12">
      <c r="A12" s="117">
        <v>11</v>
      </c>
      <c r="B12" s="152">
        <v>3.37</v>
      </c>
      <c r="C12" s="141">
        <v>4.5599999999999996</v>
      </c>
      <c r="D12" s="141">
        <v>5.75</v>
      </c>
      <c r="E12" s="141">
        <v>2.04</v>
      </c>
      <c r="F12" s="141">
        <v>2.31</v>
      </c>
      <c r="G12" s="141">
        <v>2.7</v>
      </c>
      <c r="H12" s="141">
        <v>1.38</v>
      </c>
      <c r="I12" s="141">
        <v>1.64</v>
      </c>
      <c r="J12" s="141">
        <v>3.9</v>
      </c>
      <c r="K12" s="205">
        <v>0</v>
      </c>
      <c r="L12" s="47"/>
    </row>
    <row r="13" spans="1:12">
      <c r="A13" s="117">
        <v>12</v>
      </c>
      <c r="B13" s="152">
        <v>3.28</v>
      </c>
      <c r="C13" s="141">
        <v>4.47</v>
      </c>
      <c r="D13" s="141">
        <v>6.02</v>
      </c>
      <c r="E13" s="141">
        <v>2.42</v>
      </c>
      <c r="F13" s="141">
        <v>3.11</v>
      </c>
      <c r="G13" s="141">
        <v>2.76</v>
      </c>
      <c r="H13" s="141">
        <v>1.47</v>
      </c>
      <c r="I13" s="141">
        <v>1.69</v>
      </c>
      <c r="J13" s="141">
        <v>4.13</v>
      </c>
      <c r="K13" s="205">
        <v>0</v>
      </c>
      <c r="L13" s="47"/>
    </row>
    <row r="14" spans="1:12">
      <c r="A14" s="117">
        <v>13</v>
      </c>
      <c r="B14" s="152">
        <v>3.03</v>
      </c>
      <c r="C14" s="141">
        <v>4.3899999999999997</v>
      </c>
      <c r="D14" s="141">
        <v>5.7</v>
      </c>
      <c r="E14" s="141">
        <v>2.0099999999999998</v>
      </c>
      <c r="F14" s="141">
        <v>2.7</v>
      </c>
      <c r="G14" s="141">
        <v>2.54</v>
      </c>
      <c r="H14" s="141">
        <v>1.18</v>
      </c>
      <c r="I14" s="141">
        <v>1.69</v>
      </c>
      <c r="J14" s="141">
        <v>3.8</v>
      </c>
      <c r="K14" s="205">
        <v>0</v>
      </c>
      <c r="L14" s="47"/>
    </row>
    <row r="15" spans="1:12">
      <c r="A15" s="117">
        <v>14</v>
      </c>
      <c r="B15" s="152">
        <v>3.25</v>
      </c>
      <c r="C15" s="141">
        <v>4.7699999999999996</v>
      </c>
      <c r="D15" s="141">
        <v>5.86</v>
      </c>
      <c r="E15" s="141">
        <v>2.35</v>
      </c>
      <c r="F15" s="141">
        <v>2.4</v>
      </c>
      <c r="G15" s="141">
        <v>2.5</v>
      </c>
      <c r="H15" s="141">
        <v>1.46</v>
      </c>
      <c r="I15" s="141">
        <v>1.71</v>
      </c>
      <c r="J15" s="162">
        <v>4</v>
      </c>
      <c r="K15" s="205">
        <v>0</v>
      </c>
      <c r="L15" s="47"/>
    </row>
    <row r="16" spans="1:12">
      <c r="A16" s="117">
        <v>15</v>
      </c>
      <c r="B16" s="152">
        <v>3.06</v>
      </c>
      <c r="C16" s="141">
        <v>4.57</v>
      </c>
      <c r="D16" s="141">
        <v>5.95</v>
      </c>
      <c r="E16" s="141">
        <v>2.19</v>
      </c>
      <c r="F16" s="141">
        <v>2.52</v>
      </c>
      <c r="G16" s="141">
        <v>2.72</v>
      </c>
      <c r="H16" s="141">
        <v>1.42</v>
      </c>
      <c r="I16" s="141">
        <v>1.77</v>
      </c>
      <c r="J16" s="141">
        <v>3.87</v>
      </c>
      <c r="K16" s="205">
        <v>0</v>
      </c>
      <c r="L16" s="47"/>
    </row>
    <row r="17" spans="1:12">
      <c r="A17" s="117">
        <v>16</v>
      </c>
      <c r="B17" s="152">
        <v>2.25</v>
      </c>
      <c r="C17" s="141">
        <v>3.41</v>
      </c>
      <c r="D17" s="141">
        <v>5.34</v>
      </c>
      <c r="E17" s="141">
        <v>1.82</v>
      </c>
      <c r="F17" s="141">
        <v>2.06</v>
      </c>
      <c r="G17" s="141">
        <v>2.2400000000000002</v>
      </c>
      <c r="H17" s="141">
        <v>1.48</v>
      </c>
      <c r="I17" s="141">
        <v>1.58</v>
      </c>
      <c r="J17" s="141">
        <v>3.76</v>
      </c>
      <c r="K17" s="205">
        <v>0</v>
      </c>
      <c r="L17" s="47"/>
    </row>
    <row r="18" spans="1:12">
      <c r="A18" s="117">
        <v>17</v>
      </c>
      <c r="B18" s="152">
        <v>2.63</v>
      </c>
      <c r="C18" s="141">
        <v>3.98</v>
      </c>
      <c r="D18" s="141">
        <v>5.59</v>
      </c>
      <c r="E18" s="141">
        <v>1.64</v>
      </c>
      <c r="F18" s="141">
        <v>2.2400000000000002</v>
      </c>
      <c r="G18" s="141">
        <v>2.1</v>
      </c>
      <c r="H18" s="141">
        <v>1.31</v>
      </c>
      <c r="I18" s="141">
        <v>1.74</v>
      </c>
      <c r="J18" s="141">
        <v>3.42</v>
      </c>
      <c r="K18" s="205">
        <v>0</v>
      </c>
      <c r="L18" s="47"/>
    </row>
    <row r="19" spans="1:12">
      <c r="A19" s="117">
        <v>18</v>
      </c>
      <c r="B19" s="152">
        <v>2.42</v>
      </c>
      <c r="C19" s="141">
        <v>4.24</v>
      </c>
      <c r="D19" s="141">
        <v>5.57</v>
      </c>
      <c r="E19" s="141">
        <v>1.71</v>
      </c>
      <c r="F19" s="141">
        <v>2.21</v>
      </c>
      <c r="G19" s="141">
        <v>2.13</v>
      </c>
      <c r="H19" s="141">
        <v>1.1299999999999999</v>
      </c>
      <c r="I19" s="141">
        <v>1.63</v>
      </c>
      <c r="J19" s="141">
        <v>3.3</v>
      </c>
      <c r="K19" s="205">
        <v>0</v>
      </c>
      <c r="L19" s="47"/>
    </row>
    <row r="20" spans="1:12">
      <c r="A20" s="117">
        <v>19</v>
      </c>
      <c r="B20" s="152">
        <v>2.52</v>
      </c>
      <c r="C20" s="141">
        <v>4.22</v>
      </c>
      <c r="D20" s="141">
        <v>5.65</v>
      </c>
      <c r="E20" s="141">
        <v>1.74</v>
      </c>
      <c r="F20" s="141">
        <v>2.39</v>
      </c>
      <c r="G20" s="141">
        <v>2.16</v>
      </c>
      <c r="H20" s="141">
        <v>1.44</v>
      </c>
      <c r="I20" s="141">
        <v>1.62</v>
      </c>
      <c r="J20" s="141">
        <v>3.9</v>
      </c>
      <c r="K20" s="205">
        <v>0</v>
      </c>
      <c r="L20" s="47"/>
    </row>
    <row r="21" spans="1:12">
      <c r="A21" s="117">
        <v>20</v>
      </c>
      <c r="B21" s="143">
        <v>2.87</v>
      </c>
      <c r="C21" s="142">
        <v>4.1399999999999997</v>
      </c>
      <c r="D21" s="141">
        <v>5.6</v>
      </c>
      <c r="E21" s="141">
        <v>1.65</v>
      </c>
      <c r="F21" s="141">
        <v>2.2999999999999998</v>
      </c>
      <c r="G21" s="141">
        <v>2.2400000000000002</v>
      </c>
      <c r="H21" s="141">
        <v>1.36</v>
      </c>
      <c r="I21" s="141">
        <v>1.57</v>
      </c>
      <c r="J21" s="141">
        <v>3.98</v>
      </c>
      <c r="K21" s="205">
        <v>0</v>
      </c>
      <c r="L21" s="47"/>
    </row>
    <row r="22" spans="1:12">
      <c r="A22" s="117">
        <v>21</v>
      </c>
      <c r="B22" s="143">
        <v>3.15</v>
      </c>
      <c r="C22" s="142">
        <v>4.4800000000000004</v>
      </c>
      <c r="D22" s="141">
        <v>6.03</v>
      </c>
      <c r="E22" s="141">
        <v>1.96</v>
      </c>
      <c r="F22" s="141">
        <v>2.56</v>
      </c>
      <c r="G22" s="141">
        <v>2.37</v>
      </c>
      <c r="H22" s="141">
        <v>1.38</v>
      </c>
      <c r="I22" s="141">
        <v>1.71</v>
      </c>
      <c r="J22" s="141">
        <v>4.04</v>
      </c>
      <c r="K22" s="205">
        <v>0</v>
      </c>
      <c r="L22" s="47"/>
    </row>
    <row r="23" spans="1:12">
      <c r="A23" s="117">
        <v>22</v>
      </c>
      <c r="B23" s="143">
        <v>2.84</v>
      </c>
      <c r="C23" s="142">
        <v>4.62</v>
      </c>
      <c r="D23" s="141">
        <v>6.08</v>
      </c>
      <c r="E23" s="141">
        <v>2</v>
      </c>
      <c r="F23" s="141">
        <v>2.65</v>
      </c>
      <c r="G23" s="141">
        <v>2.84</v>
      </c>
      <c r="H23" s="141">
        <v>1.38</v>
      </c>
      <c r="I23" s="141">
        <v>1.7</v>
      </c>
      <c r="J23" s="141">
        <v>4.12</v>
      </c>
      <c r="K23" s="205">
        <v>0</v>
      </c>
      <c r="L23" s="47"/>
    </row>
    <row r="24" spans="1:12">
      <c r="A24" s="117">
        <v>23</v>
      </c>
      <c r="B24" s="143">
        <v>2.78</v>
      </c>
      <c r="C24" s="142">
        <v>4.55</v>
      </c>
      <c r="D24" s="141">
        <v>6.11</v>
      </c>
      <c r="E24" s="141">
        <v>2.41</v>
      </c>
      <c r="F24" s="141">
        <v>2.77</v>
      </c>
      <c r="G24" s="141">
        <v>2.76</v>
      </c>
      <c r="H24" s="141">
        <v>1.42</v>
      </c>
      <c r="I24" s="141">
        <v>1.73</v>
      </c>
      <c r="J24" s="141">
        <v>4.1399999999999997</v>
      </c>
      <c r="K24" s="205">
        <v>0</v>
      </c>
      <c r="L24" s="47"/>
    </row>
    <row r="25" spans="1:12">
      <c r="A25" s="117">
        <v>24</v>
      </c>
      <c r="B25" s="143">
        <v>2.75</v>
      </c>
      <c r="C25" s="142">
        <v>4.5999999999999996</v>
      </c>
      <c r="D25" s="141">
        <v>6.26</v>
      </c>
      <c r="E25" s="141">
        <v>2.61</v>
      </c>
      <c r="F25" s="141">
        <v>2.71</v>
      </c>
      <c r="G25" s="141">
        <v>2.76</v>
      </c>
      <c r="H25" s="141">
        <v>1.35</v>
      </c>
      <c r="I25" s="141">
        <v>1.73</v>
      </c>
      <c r="J25" s="141">
        <v>4.07</v>
      </c>
      <c r="K25" s="205">
        <v>0</v>
      </c>
      <c r="L25" s="47"/>
    </row>
    <row r="26" spans="1:12">
      <c r="A26" s="117">
        <v>25</v>
      </c>
      <c r="B26" s="143">
        <v>2.91</v>
      </c>
      <c r="C26" s="142">
        <v>4.79</v>
      </c>
      <c r="D26" s="141">
        <v>6.14</v>
      </c>
      <c r="E26" s="141">
        <v>2.74</v>
      </c>
      <c r="F26" s="141">
        <v>2.74</v>
      </c>
      <c r="G26" s="210">
        <v>2.1560714285714289</v>
      </c>
      <c r="H26" s="141">
        <v>1.37</v>
      </c>
      <c r="I26" s="141">
        <v>1.88</v>
      </c>
      <c r="J26" s="141">
        <v>3.96</v>
      </c>
      <c r="K26" s="205">
        <v>0</v>
      </c>
      <c r="L26" s="47" t="s">
        <v>128</v>
      </c>
    </row>
    <row r="27" spans="1:12">
      <c r="A27" s="117">
        <v>26</v>
      </c>
      <c r="B27" s="143">
        <v>3.07</v>
      </c>
      <c r="C27" s="142">
        <v>5.0599999999999996</v>
      </c>
      <c r="D27" s="141">
        <v>6.35</v>
      </c>
      <c r="E27" s="141">
        <v>2.91</v>
      </c>
      <c r="F27" s="141">
        <v>3.16</v>
      </c>
      <c r="G27" s="210">
        <v>2.1560714285714289</v>
      </c>
      <c r="H27" s="141">
        <v>1.36</v>
      </c>
      <c r="I27" s="141">
        <v>1.83</v>
      </c>
      <c r="J27" s="141">
        <v>4.16</v>
      </c>
      <c r="K27" s="205">
        <v>0</v>
      </c>
      <c r="L27" s="47" t="s">
        <v>128</v>
      </c>
    </row>
    <row r="28" spans="1:12">
      <c r="A28" s="117">
        <v>27</v>
      </c>
      <c r="B28" s="143">
        <v>2.82</v>
      </c>
      <c r="C28" s="142">
        <v>4.8499999999999996</v>
      </c>
      <c r="D28" s="141">
        <v>6.4</v>
      </c>
      <c r="E28" s="141">
        <v>2.76</v>
      </c>
      <c r="F28" s="141">
        <v>3.12</v>
      </c>
      <c r="G28" s="210">
        <v>2.1560714285714289</v>
      </c>
      <c r="H28" s="141">
        <v>1.19</v>
      </c>
      <c r="I28" s="141">
        <v>1.66</v>
      </c>
      <c r="J28" s="141">
        <v>3.96</v>
      </c>
      <c r="K28" s="205">
        <v>0</v>
      </c>
      <c r="L28" s="47" t="s">
        <v>128</v>
      </c>
    </row>
    <row r="29" spans="1:12">
      <c r="A29" s="117">
        <v>28</v>
      </c>
      <c r="B29" s="143">
        <v>3.37</v>
      </c>
      <c r="C29" s="142">
        <v>5.08</v>
      </c>
      <c r="D29" s="141">
        <v>6.54</v>
      </c>
      <c r="E29" s="141">
        <v>2.85</v>
      </c>
      <c r="F29" s="141">
        <v>3.1</v>
      </c>
      <c r="G29" s="210">
        <v>2.1560714285714289</v>
      </c>
      <c r="H29" s="141">
        <v>1.39</v>
      </c>
      <c r="I29" s="141">
        <v>1.84</v>
      </c>
      <c r="J29" s="141">
        <v>4.22</v>
      </c>
      <c r="K29" s="205">
        <v>0</v>
      </c>
      <c r="L29" s="47" t="s">
        <v>128</v>
      </c>
    </row>
    <row r="30" spans="1:12">
      <c r="A30" s="117">
        <v>29</v>
      </c>
      <c r="B30" s="143">
        <v>2.64</v>
      </c>
      <c r="C30" s="142">
        <v>3.7</v>
      </c>
      <c r="D30" s="141">
        <v>4.6500000000000004</v>
      </c>
      <c r="E30" s="141">
        <v>2.0299999999999998</v>
      </c>
      <c r="F30" s="141">
        <v>2.56</v>
      </c>
      <c r="G30" s="210">
        <v>2.1560714285714289</v>
      </c>
      <c r="H30" s="141">
        <v>0.98699999999999999</v>
      </c>
      <c r="I30" s="141">
        <v>1.28</v>
      </c>
      <c r="J30" s="141">
        <v>3.15</v>
      </c>
      <c r="K30" s="205">
        <v>0</v>
      </c>
      <c r="L30" s="47" t="s">
        <v>128</v>
      </c>
    </row>
    <row r="31" spans="1:12">
      <c r="A31" s="117">
        <v>30</v>
      </c>
      <c r="B31" s="211">
        <v>2.9341379310344822</v>
      </c>
      <c r="C31" s="212">
        <v>4.3851724137931027</v>
      </c>
      <c r="D31" s="210">
        <v>5.8037931034482746</v>
      </c>
      <c r="E31" s="210">
        <v>2.0958620689655172</v>
      </c>
      <c r="F31" s="210">
        <v>2.5265517241379314</v>
      </c>
      <c r="G31" s="210">
        <v>2.1560714285714289</v>
      </c>
      <c r="H31" s="210">
        <v>1.3347241379310342</v>
      </c>
      <c r="I31" s="210">
        <v>1.7037931034482758</v>
      </c>
      <c r="J31" s="210">
        <v>3.8744827586206894</v>
      </c>
      <c r="K31" s="205">
        <v>0</v>
      </c>
      <c r="L31" s="47" t="s">
        <v>129</v>
      </c>
    </row>
    <row r="32" spans="1:12">
      <c r="A32" s="117">
        <v>31</v>
      </c>
      <c r="B32" s="211">
        <v>2.9341379310344822</v>
      </c>
      <c r="C32" s="212">
        <v>4.3851724137931027</v>
      </c>
      <c r="D32" s="210">
        <v>5.8037931034482746</v>
      </c>
      <c r="E32" s="210">
        <v>2.0958620689655172</v>
      </c>
      <c r="F32" s="210">
        <v>2.5265517241379314</v>
      </c>
      <c r="G32" s="210">
        <v>2.1560714285714289</v>
      </c>
      <c r="H32" s="210">
        <v>1.3347241379310342</v>
      </c>
      <c r="I32" s="210">
        <v>1.7037931034482758</v>
      </c>
      <c r="J32" s="210">
        <v>3.8744827586206894</v>
      </c>
      <c r="K32" s="205">
        <v>0</v>
      </c>
      <c r="L32" s="47" t="s">
        <v>129</v>
      </c>
    </row>
    <row r="33" spans="1:12">
      <c r="A33" s="207"/>
      <c r="B33" s="208"/>
      <c r="C33" s="209"/>
      <c r="D33" s="209"/>
      <c r="E33" s="209"/>
      <c r="F33" s="209"/>
      <c r="G33" s="209"/>
      <c r="H33" s="209"/>
      <c r="I33" s="209"/>
      <c r="J33" s="209"/>
      <c r="K33" s="209"/>
    </row>
    <row r="34" spans="1:12" ht="76.5">
      <c r="A34" s="206" t="s">
        <v>130</v>
      </c>
      <c r="B34" s="47">
        <f>AVERAGE(B2:B30)</f>
        <v>2.9341379310344822</v>
      </c>
      <c r="C34" s="47">
        <f t="shared" ref="C34:K34" si="0">AVERAGE(C2:C30)</f>
        <v>4.3851724137931027</v>
      </c>
      <c r="D34" s="47">
        <f t="shared" si="0"/>
        <v>5.8037931034482746</v>
      </c>
      <c r="E34" s="47">
        <f t="shared" si="0"/>
        <v>2.0958620689655172</v>
      </c>
      <c r="F34" s="47">
        <f t="shared" si="0"/>
        <v>2.5265517241379314</v>
      </c>
      <c r="G34" s="47">
        <f t="shared" si="0"/>
        <v>2.4534605911330045</v>
      </c>
      <c r="H34" s="47">
        <f t="shared" si="0"/>
        <v>1.3347241379310342</v>
      </c>
      <c r="I34" s="47">
        <f t="shared" si="0"/>
        <v>1.7037931034482758</v>
      </c>
      <c r="J34" s="47">
        <f t="shared" si="0"/>
        <v>3.8744827586206894</v>
      </c>
      <c r="K34" s="47">
        <f t="shared" si="0"/>
        <v>0</v>
      </c>
      <c r="L34" s="47" t="s">
        <v>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  <SharedWithUsers xmlns="8c44e1e5-30d2-450a-b924-ac87e029a220">
      <UserInfo>
        <DisplayName>Kenny Bristol</DisplayName>
        <AccountId>146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0F5833-E3D5-4465-B836-0DEADAE27D49}"/>
</file>

<file path=customXml/itemProps2.xml><?xml version="1.0" encoding="utf-8"?>
<ds:datastoreItem xmlns:ds="http://schemas.openxmlformats.org/officeDocument/2006/customXml" ds:itemID="{46B07FFC-E76F-4295-9BE5-01FF20F6BE93}"/>
</file>

<file path=customXml/itemProps3.xml><?xml version="1.0" encoding="utf-8"?>
<ds:datastoreItem xmlns:ds="http://schemas.openxmlformats.org/officeDocument/2006/customXml" ds:itemID="{53C1FFEE-54E3-4891-B98C-21C3BE451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2023-01-08T06:12:02Z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