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bookViews>
    <workbookView xWindow="-105" yWindow="-105" windowWidth="23250" windowHeight="12450" activeTab="2"/>
  </bookViews>
  <sheets>
    <sheet name="TOTAL" sheetId="5" r:id="rId1"/>
    <sheet name="Submetering " sheetId="4" r:id="rId2"/>
    <sheet name="Hotel Data" sheetId="2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BI35" i="2"/>
  <c r="BH35" i="2"/>
  <c r="BG35" i="2"/>
  <c r="BF35" i="2"/>
  <c r="BE35" i="2"/>
  <c r="AY35" i="2"/>
  <c r="BI34" i="2"/>
  <c r="BH34" i="2"/>
  <c r="BG34" i="2"/>
  <c r="BF34" i="2"/>
  <c r="BE34" i="2"/>
  <c r="BD34" i="2"/>
  <c r="AY34" i="2"/>
  <c r="BI33" i="2"/>
  <c r="BH33" i="2"/>
  <c r="BG33" i="2"/>
  <c r="BF33" i="2"/>
  <c r="BE33" i="2"/>
  <c r="BD33" i="2"/>
  <c r="AY33" i="2"/>
  <c r="F31" i="4"/>
  <c r="BI32" i="2"/>
  <c r="BH32" i="2"/>
  <c r="BG32" i="2"/>
  <c r="BF32" i="2"/>
  <c r="BE32" i="2"/>
  <c r="BD32" i="2"/>
  <c r="AY32" i="2"/>
  <c r="G29" i="5"/>
  <c r="BI31" i="2"/>
  <c r="BH31" i="2"/>
  <c r="BG31" i="2"/>
  <c r="BF31" i="2"/>
  <c r="BE31" i="2"/>
  <c r="BD31" i="2"/>
  <c r="AY31" i="2"/>
  <c r="BI30" i="2"/>
  <c r="BH30" i="2"/>
  <c r="BG30" i="2"/>
  <c r="BF30" i="2"/>
  <c r="BE30" i="2"/>
  <c r="BD30" i="2"/>
  <c r="AY30" i="2"/>
  <c r="BI29" i="2"/>
  <c r="BH29" i="2"/>
  <c r="BG29" i="2"/>
  <c r="BF29" i="2"/>
  <c r="BE29" i="2"/>
  <c r="BD29" i="2"/>
  <c r="AY29" i="2"/>
  <c r="BI28" i="2"/>
  <c r="BH28" i="2"/>
  <c r="BG28" i="2"/>
  <c r="BF28" i="2"/>
  <c r="BE28" i="2"/>
  <c r="BD28" i="2"/>
  <c r="AY28" i="2"/>
  <c r="BI27" i="2"/>
  <c r="BH27" i="2"/>
  <c r="BG27" i="2"/>
  <c r="BF27" i="2"/>
  <c r="BE27" i="2"/>
  <c r="BD27" i="2"/>
  <c r="AY27" i="2"/>
  <c r="I25" i="4"/>
  <c r="G24" i="5"/>
  <c r="BI26" i="2"/>
  <c r="BH26" i="2"/>
  <c r="BG26" i="2"/>
  <c r="BF26" i="2"/>
  <c r="BE26" i="2"/>
  <c r="BD26" i="2"/>
  <c r="AY26" i="2"/>
  <c r="BI25" i="2"/>
  <c r="BH25" i="2"/>
  <c r="BG25" i="2"/>
  <c r="BF25" i="2"/>
  <c r="BE25" i="2"/>
  <c r="BD25" i="2"/>
  <c r="AY25" i="2"/>
  <c r="G23" i="4"/>
  <c r="BI24" i="2"/>
  <c r="BH24" i="2"/>
  <c r="BG24" i="2"/>
  <c r="BF24" i="2"/>
  <c r="BE24" i="2"/>
  <c r="AY24" i="2"/>
  <c r="G21" i="5"/>
  <c r="I21" i="4"/>
  <c r="F21" i="4"/>
  <c r="F20" i="4"/>
  <c r="G19" i="5"/>
  <c r="F19" i="4"/>
  <c r="G18" i="5"/>
  <c r="G17" i="5"/>
  <c r="I17" i="4"/>
  <c r="G16" i="4"/>
  <c r="H15" i="4"/>
  <c r="F15" i="4"/>
  <c r="G14" i="5"/>
  <c r="G14" i="4"/>
  <c r="F14" i="4"/>
  <c r="E14" i="4"/>
  <c r="J13" i="4"/>
  <c r="E12" i="4"/>
  <c r="G11" i="4"/>
  <c r="F11" i="4"/>
  <c r="E10" i="4"/>
  <c r="I9" i="4"/>
  <c r="F9" i="4"/>
  <c r="H8" i="4"/>
  <c r="G7" i="5"/>
  <c r="G7" i="4"/>
  <c r="F7" i="4"/>
  <c r="G6" i="5"/>
  <c r="J6" i="4"/>
  <c r="E6" i="4"/>
  <c r="I5" i="4"/>
  <c r="I4" i="4"/>
  <c r="G2" i="5"/>
  <c r="AP36" i="2"/>
  <c r="AL36" i="2"/>
  <c r="AH36" i="2"/>
  <c r="AE36" i="2"/>
  <c r="V36" i="2"/>
  <c r="I3" i="4"/>
  <c r="H3" i="4"/>
  <c r="H36" i="2"/>
  <c r="F36" i="2"/>
  <c r="Y36" i="2"/>
  <c r="AA36" i="2" s="1"/>
  <c r="N36" i="2"/>
  <c r="AB36" i="2"/>
  <c r="AB38" i="2"/>
  <c r="AJ38" i="2" s="1"/>
  <c r="H33" i="4"/>
  <c r="G33" i="4"/>
  <c r="I32" i="4"/>
  <c r="H32" i="4"/>
  <c r="G31" i="5"/>
  <c r="J31" i="4"/>
  <c r="I31" i="4"/>
  <c r="E31" i="4"/>
  <c r="J30" i="4"/>
  <c r="G30" i="4"/>
  <c r="F30" i="4"/>
  <c r="J29" i="4"/>
  <c r="I29" i="4"/>
  <c r="G28" i="5"/>
  <c r="I28" i="4"/>
  <c r="G28" i="4"/>
  <c r="F28" i="4"/>
  <c r="H27" i="4"/>
  <c r="G27" i="4"/>
  <c r="F27" i="4"/>
  <c r="G26" i="5"/>
  <c r="I26" i="4"/>
  <c r="H26" i="4"/>
  <c r="F26" i="4"/>
  <c r="E26" i="4"/>
  <c r="J24" i="4"/>
  <c r="I24" i="4"/>
  <c r="H24" i="4"/>
  <c r="E24" i="4"/>
  <c r="J23" i="4"/>
  <c r="I23" i="4"/>
  <c r="H23" i="4"/>
  <c r="E23" i="4"/>
  <c r="I22" i="4"/>
  <c r="H22" i="4"/>
  <c r="G22" i="4"/>
  <c r="F22" i="4"/>
  <c r="J21" i="4"/>
  <c r="G21" i="4"/>
  <c r="G20" i="5"/>
  <c r="J20" i="4"/>
  <c r="H20" i="4"/>
  <c r="G20" i="4"/>
  <c r="J19" i="4"/>
  <c r="I19" i="4"/>
  <c r="H19" i="4"/>
  <c r="J18" i="4"/>
  <c r="H18" i="4"/>
  <c r="G18" i="4"/>
  <c r="E18" i="4"/>
  <c r="G17" i="4"/>
  <c r="F17" i="4"/>
  <c r="G16" i="5"/>
  <c r="J16" i="4"/>
  <c r="I16" i="4"/>
  <c r="H16" i="4"/>
  <c r="E16" i="4"/>
  <c r="J15" i="4"/>
  <c r="I15" i="4"/>
  <c r="G15" i="4"/>
  <c r="J14" i="4"/>
  <c r="I14" i="4"/>
  <c r="H14" i="4"/>
  <c r="I13" i="4"/>
  <c r="H13" i="4"/>
  <c r="G13" i="4"/>
  <c r="F13" i="4"/>
  <c r="G12" i="5"/>
  <c r="J12" i="4"/>
  <c r="I12" i="4"/>
  <c r="H12" i="4"/>
  <c r="G12" i="4"/>
  <c r="J11" i="4"/>
  <c r="I11" i="4"/>
  <c r="G10" i="5"/>
  <c r="J10" i="4"/>
  <c r="I10" i="4"/>
  <c r="G10" i="4"/>
  <c r="G9" i="5"/>
  <c r="J9" i="4"/>
  <c r="G9" i="4"/>
  <c r="G8" i="5"/>
  <c r="I8" i="4"/>
  <c r="G8" i="4"/>
  <c r="F8" i="4"/>
  <c r="J7" i="4"/>
  <c r="I7" i="4"/>
  <c r="H7" i="4"/>
  <c r="I6" i="4"/>
  <c r="H6" i="4"/>
  <c r="G6" i="4"/>
  <c r="F6" i="4"/>
  <c r="G5" i="5"/>
  <c r="J5" i="4"/>
  <c r="H5" i="4"/>
  <c r="F5" i="4"/>
  <c r="G4" i="5"/>
  <c r="H4" i="4"/>
  <c r="G4" i="4"/>
  <c r="F4" i="4"/>
  <c r="G3" i="5"/>
  <c r="J3" i="4"/>
  <c r="G3" i="4"/>
  <c r="F3" i="4"/>
  <c r="J17" i="4"/>
  <c r="F23" i="4"/>
  <c r="G24" i="4"/>
  <c r="F25" i="4"/>
  <c r="G25" i="4"/>
  <c r="J25" i="4"/>
  <c r="G26" i="4"/>
  <c r="F29" i="4"/>
  <c r="G29" i="4"/>
  <c r="I30" i="4"/>
  <c r="F32" i="4"/>
  <c r="E33" i="4"/>
  <c r="F33" i="4"/>
  <c r="J33" i="4"/>
  <c r="I33" i="4"/>
  <c r="J27" i="4"/>
  <c r="I27" i="4"/>
  <c r="H17" i="4"/>
  <c r="F12" i="4"/>
  <c r="H10" i="4"/>
  <c r="J4" i="4"/>
  <c r="H25" i="4"/>
  <c r="I18" i="4"/>
  <c r="F16" i="4"/>
  <c r="I20" i="4"/>
  <c r="E9" i="4"/>
  <c r="G32" i="4"/>
  <c r="F24" i="4"/>
  <c r="E32" i="5"/>
  <c r="E31" i="5"/>
  <c r="K33" i="4"/>
  <c r="K32" i="4"/>
  <c r="J32" i="4"/>
  <c r="H31" i="4"/>
  <c r="P33" i="4"/>
  <c r="G31" i="4"/>
  <c r="H29" i="4"/>
  <c r="H28" i="4"/>
  <c r="G27" i="5"/>
  <c r="J26" i="4"/>
  <c r="J22" i="4"/>
  <c r="G19" i="4"/>
  <c r="F18" i="4"/>
  <c r="H11" i="4"/>
  <c r="F10" i="4"/>
  <c r="H9" i="4"/>
  <c r="G5" i="4"/>
  <c r="H21" i="4"/>
  <c r="E28" i="4"/>
  <c r="J28" i="4"/>
  <c r="H30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3" i="5"/>
  <c r="E22" i="4"/>
  <c r="E8" i="4"/>
  <c r="E13" i="4"/>
  <c r="G32" i="5"/>
  <c r="E17" i="4"/>
  <c r="E29" i="4"/>
  <c r="G25" i="5"/>
  <c r="E27" i="4"/>
  <c r="G11" i="5"/>
  <c r="G15" i="5"/>
  <c r="E4" i="4"/>
  <c r="E21" i="4"/>
  <c r="E5" i="4"/>
  <c r="G30" i="5"/>
  <c r="E11" i="4"/>
  <c r="G22" i="5"/>
  <c r="E32" i="4"/>
  <c r="E15" i="4" l="1"/>
  <c r="E19" i="4"/>
  <c r="E3" i="4"/>
  <c r="E30" i="4"/>
  <c r="E20" i="4"/>
  <c r="E25" i="4"/>
  <c r="G13" i="5"/>
  <c r="E7" i="4"/>
  <c r="A24" i="2" l="1"/>
  <c r="A25" i="2" l="1"/>
  <c r="BD24" i="2"/>
  <c r="BC24" i="2"/>
  <c r="BB24" i="2"/>
  <c r="BA24" i="2"/>
  <c r="AZ24" i="2"/>
  <c r="BA25" i="2" l="1"/>
  <c r="AZ25" i="2"/>
  <c r="BB25" i="2"/>
  <c r="A26" i="2"/>
  <c r="BC25" i="2"/>
  <c r="BB26" i="2" l="1"/>
  <c r="BA26" i="2"/>
  <c r="BC26" i="2"/>
  <c r="A27" i="2"/>
  <c r="AZ26" i="2"/>
  <c r="BB27" i="2" l="1"/>
  <c r="BC27" i="2"/>
  <c r="A28" i="2"/>
  <c r="BA27" i="2"/>
  <c r="AZ27" i="2"/>
  <c r="AZ28" i="2" l="1"/>
  <c r="BC28" i="2"/>
  <c r="A29" i="2"/>
  <c r="BA28" i="2"/>
  <c r="BB28" i="2"/>
  <c r="BC29" i="2" l="1"/>
  <c r="BB29" i="2"/>
  <c r="AZ29" i="2"/>
  <c r="A30" i="2"/>
  <c r="BA29" i="2"/>
  <c r="BC30" i="2" l="1"/>
  <c r="BB30" i="2"/>
  <c r="BA30" i="2"/>
  <c r="AZ30" i="2"/>
  <c r="A31" i="2"/>
  <c r="AZ31" i="2" l="1"/>
  <c r="BB31" i="2"/>
  <c r="BA31" i="2"/>
  <c r="A32" i="2"/>
  <c r="BC31" i="2"/>
  <c r="A33" i="2" l="1"/>
  <c r="BB32" i="2"/>
  <c r="BA32" i="2"/>
  <c r="AZ32" i="2"/>
  <c r="BC32" i="2"/>
  <c r="BC33" i="2" l="1"/>
  <c r="BB33" i="2"/>
  <c r="BA33" i="2"/>
  <c r="AZ33" i="2"/>
  <c r="A34" i="2"/>
  <c r="BA34" i="2" l="1"/>
  <c r="AZ34" i="2"/>
  <c r="BC34" i="2"/>
  <c r="A35" i="2"/>
  <c r="BB34" i="2"/>
  <c r="AZ35" i="2" l="1"/>
  <c r="BC35" i="2"/>
  <c r="BB35" i="2"/>
  <c r="BD35" i="2"/>
  <c r="BA35" i="2"/>
</calcChain>
</file>

<file path=xl/sharedStrings.xml><?xml version="1.0" encoding="utf-8"?>
<sst xmlns="http://schemas.openxmlformats.org/spreadsheetml/2006/main" count="200" uniqueCount="72">
  <si>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</si>
  <si>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</si>
  <si>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</si>
  <si>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</si>
  <si>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</si>
  <si>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</si>
  <si>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</si>
  <si>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</si>
  <si>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</si>
  <si>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</si>
  <si>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</si>
  <si>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</si>
  <si>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</si>
  <si>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</si>
  <si>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</si>
  <si>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</si>
  <si>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</si>
  <si>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</si>
  <si>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</si>
  <si>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</si>
  <si>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</si>
  <si>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</si>
  <si>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</si>
  <si>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</si>
  <si>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</si>
  <si>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</si>
  <si>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</si>
  <si>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</si>
  <si>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</si>
  <si>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</si>
  <si>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</si>
  <si>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</si>
  <si>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</si>
  <si>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</si>
  <si>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</si>
  <si>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</si>
  <si>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</si>
  <si>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</si>
  <si>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</si>
  <si>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</si>
  <si>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</si>
  <si>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</si>
  <si>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</si>
  <si>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</si>
  <si>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</si>
  <si>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</si>
  <si>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</si>
  <si>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</si>
  <si>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</si>
  <si>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</si>
  <si>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</si>
  <si>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</si>
  <si>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</si>
  <si>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</si>
  <si>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</si>
  <si>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</si>
  <si>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</si>
  <si>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</si>
  <si>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</si>
  <si>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</si>
  <si>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</si>
  <si>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</si>
  <si>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</si>
  <si>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</si>
  <si>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</si>
  <si>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</si>
  <si>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</si>
  <si>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</si>
  <si>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</si>
  <si>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</si>
  <si>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 xml:space="preserve">TOTALE </t>
  </si>
  <si>
    <t xml:space="preserve">Stacco el. Per sost. 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</si>
</sst>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64" formatCode="_-* #,##0.000_-;\-* #,##0.000_-;_-* &quot;-&quot;_-;_-@_-"/>
    <numFmt numFmtId="165" formatCode="#,##0_ ;\-#,##0\ "/>
    <numFmt numFmtId="166" formatCode="_-* #,##0.00_-;\-* #,##0.00_-;_-* &quot;-&quot;_-;_-@_-"/>
    <numFmt numFmtId="167" formatCode="#,##0.00_ ;\-#,##0.00\ 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45"/>
      <name val="Arial"/>
      <family val="2"/>
    </font>
    <font>
      <sz val="12"/>
      <color indexed="57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41" fontId="12" fillId="0" borderId="0" applyFont="0" applyFill="0" applyBorder="0" applyAlignment="0" applyProtection="0"/>
  </cellStyleXfs>
  <cellXfs count="130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64" fontId="6" fillId="0" borderId="4" xfId="1" applyNumberFormat="1" applyFont="1" applyBorder="1" applyProtection="1"/>
    <xf numFmtId="3" fontId="5" fillId="0" borderId="4" xfId="1" applyNumberFormat="1" applyFont="1" applyBorder="1" applyProtection="1"/>
    <xf numFmtId="166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41" fontId="2" fillId="0" borderId="0" xfId="1" applyFont="1" applyAlignment="1" applyProtection="1">
      <alignment horizontal="center"/>
    </xf>
    <xf numFmtId="166" fontId="2" fillId="0" borderId="0" xfId="1" applyNumberFormat="1" applyFont="1" applyBorder="1" applyProtection="1"/>
    <xf numFmtId="166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13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1" fontId="13" fillId="0" borderId="0" xfId="0" applyNumberFormat="1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15" fillId="0" borderId="0" xfId="0" applyNumberFormat="1" applyFont="1"/>
    <xf numFmtId="1" fontId="18" fillId="0" borderId="0" xfId="0" applyNumberFormat="1" applyFont="1" applyAlignment="1">
      <alignment wrapText="1"/>
    </xf>
    <xf numFmtId="1" fontId="17" fillId="0" borderId="0" xfId="0" applyNumberFormat="1" applyFont="1"/>
    <xf numFmtId="1" fontId="14" fillId="0" borderId="0" xfId="0" applyNumberFormat="1" applyFont="1"/>
    <xf numFmtId="41" fontId="1" fillId="3" borderId="9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1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3" borderId="12" xfId="1" applyFont="1" applyFill="1" applyBorder="1" applyAlignment="1">
      <alignment horizontal="center" vertical="center" wrapText="1"/>
    </xf>
    <xf numFmtId="41" fontId="19" fillId="0" borderId="4" xfId="1" applyFont="1" applyBorder="1" applyProtection="1"/>
    <xf numFmtId="41" fontId="2" fillId="4" borderId="13" xfId="1" applyFont="1" applyFill="1" applyBorder="1" applyAlignment="1" applyProtection="1">
      <alignment horizontal="right"/>
    </xf>
    <xf numFmtId="41" fontId="2" fillId="0" borderId="0" xfId="1" applyFont="1" applyBorder="1" applyAlignment="1" applyProtection="1">
      <alignment horizontal="left"/>
    </xf>
    <xf numFmtId="41" fontId="2" fillId="0" borderId="14" xfId="1" applyFont="1" applyBorder="1" applyProtection="1"/>
    <xf numFmtId="41" fontId="1" fillId="2" borderId="0" xfId="1" applyFont="1" applyFill="1" applyBorder="1"/>
    <xf numFmtId="41" fontId="1" fillId="0" borderId="0" xfId="1" applyFont="1" applyBorder="1" applyProtection="1"/>
    <xf numFmtId="166" fontId="2" fillId="0" borderId="0" xfId="1" applyNumberFormat="1" applyFont="1"/>
    <xf numFmtId="41" fontId="2" fillId="0" borderId="7" xfId="1" applyFont="1" applyFill="1" applyBorder="1"/>
    <xf numFmtId="41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7" fontId="5" fillId="0" borderId="4" xfId="1" applyNumberFormat="1" applyFont="1" applyBorder="1" applyProtection="1"/>
    <xf numFmtId="41" fontId="7" fillId="0" borderId="4" xfId="1" applyFont="1" applyBorder="1" applyProtection="1"/>
    <xf numFmtId="41" fontId="5" fillId="0" borderId="4" xfId="1" applyFont="1" applyFill="1" applyBorder="1"/>
    <xf numFmtId="41" fontId="1" fillId="0" borderId="4" xfId="1" applyFont="1" applyBorder="1"/>
    <xf numFmtId="41" fontId="20" fillId="0" borderId="0" xfId="1" applyFont="1"/>
    <xf numFmtId="41" fontId="2" fillId="0" borderId="16" xfId="1" applyFont="1" applyBorder="1"/>
    <xf numFmtId="41" fontId="1" fillId="2" borderId="4" xfId="1" applyFont="1" applyFill="1" applyBorder="1"/>
    <xf numFmtId="164" fontId="6" fillId="6" borderId="4" xfId="1" applyNumberFormat="1" applyFont="1" applyFill="1" applyBorder="1" applyProtection="1"/>
    <xf numFmtId="166" fontId="5" fillId="0" borderId="4" xfId="1" applyNumberFormat="1" applyFont="1" applyFill="1" applyBorder="1" applyProtection="1"/>
    <xf numFmtId="41" fontId="3" fillId="0" borderId="4" xfId="1" applyFont="1" applyFill="1" applyBorder="1" applyProtection="1"/>
    <xf numFmtId="164" fontId="5" fillId="0" borderId="17" xfId="1" applyNumberFormat="1" applyFont="1" applyBorder="1" applyProtection="1"/>
    <xf numFmtId="41" fontId="9" fillId="0" borderId="4" xfId="1" applyFont="1" applyBorder="1" applyProtection="1"/>
    <xf numFmtId="3" fontId="21" fillId="0" borderId="4" xfId="1" applyNumberFormat="1" applyFont="1" applyBorder="1" applyProtection="1"/>
    <xf numFmtId="41" fontId="1" fillId="0" borderId="4" xfId="1" applyFont="1" applyFill="1" applyBorder="1" applyProtection="1"/>
    <xf numFmtId="41" fontId="1" fillId="6" borderId="4" xfId="1" applyFont="1" applyFill="1" applyBorder="1" applyProtection="1"/>
    <xf numFmtId="164" fontId="10" fillId="0" borderId="4" xfId="1" applyNumberFormat="1" applyFont="1" applyBorder="1" applyProtection="1"/>
    <xf numFmtId="4" fontId="1" fillId="0" borderId="18" xfId="1" quotePrefix="1" applyNumberFormat="1" applyFont="1" applyBorder="1" applyAlignment="1" applyProtection="1">
      <alignment horizontal="left"/>
    </xf>
    <xf numFmtId="3" fontId="1" fillId="0" borderId="1" xfId="1" applyNumberFormat="1" applyFont="1" applyBorder="1" applyProtection="1"/>
    <xf numFmtId="41" fontId="5" fillId="0" borderId="17" xfId="1" applyFont="1" applyBorder="1" applyProtection="1"/>
    <xf numFmtId="167" fontId="11" fillId="0" borderId="4" xfId="1" applyNumberFormat="1" applyFont="1" applyFill="1" applyBorder="1" applyProtection="1"/>
    <xf numFmtId="3" fontId="5" fillId="0" borderId="4" xfId="1" applyNumberFormat="1" applyFont="1" applyFill="1" applyBorder="1" applyProtection="1"/>
    <xf numFmtId="3" fontId="5" fillId="0" borderId="19" xfId="1" applyNumberFormat="1" applyFont="1" applyBorder="1" applyProtection="1"/>
    <xf numFmtId="41" fontId="8" fillId="0" borderId="4" xfId="1" applyFont="1" applyBorder="1" applyAlignment="1" applyProtection="1">
      <alignment horizontal="left"/>
    </xf>
    <xf numFmtId="41" fontId="1" fillId="0" borderId="20" xfId="1" applyFont="1" applyBorder="1" applyProtection="1"/>
    <xf numFmtId="41" fontId="5" fillId="0" borderId="21" xfId="1" applyFont="1" applyBorder="1" applyProtection="1"/>
    <xf numFmtId="41" fontId="2" fillId="0" borderId="0" xfId="1" applyFont="1" applyAlignment="1" applyProtection="1">
      <alignment horizontal="left"/>
    </xf>
    <xf numFmtId="165" fontId="2" fillId="0" borderId="6" xfId="1" applyNumberFormat="1" applyFont="1" applyBorder="1" applyProtection="1"/>
    <xf numFmtId="167" fontId="2" fillId="0" borderId="6" xfId="1" applyNumberFormat="1" applyFont="1" applyBorder="1" applyProtection="1"/>
    <xf numFmtId="41" fontId="2" fillId="0" borderId="22" xfId="1" applyFont="1" applyBorder="1" applyProtection="1"/>
    <xf numFmtId="41" fontId="2" fillId="0" borderId="23" xfId="1" applyFont="1" applyBorder="1" applyProtection="1"/>
    <xf numFmtId="41" fontId="2" fillId="4" borderId="24" xfId="1" applyFont="1" applyFill="1" applyBorder="1" applyAlignment="1" applyProtection="1">
      <alignment horizontal="right"/>
    </xf>
    <xf numFmtId="41" fontId="5" fillId="0" borderId="25" xfId="1" applyFont="1" applyBorder="1" applyProtection="1"/>
    <xf numFmtId="165" fontId="3" fillId="0" borderId="25" xfId="1" applyNumberFormat="1" applyFont="1" applyFill="1" applyBorder="1"/>
    <xf numFmtId="41" fontId="3" fillId="0" borderId="25" xfId="1" applyFont="1" applyFill="1" applyBorder="1"/>
    <xf numFmtId="41" fontId="2" fillId="0" borderId="26" xfId="1" applyFont="1" applyBorder="1" applyProtection="1"/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16" xfId="1" applyFont="1" applyFill="1" applyBorder="1" applyAlignment="1" applyProtection="1">
      <alignment horizontal="center" vertical="center" wrapText="1"/>
    </xf>
    <xf numFmtId="41" fontId="2" fillId="3" borderId="35" xfId="1" applyFont="1" applyFill="1" applyBorder="1" applyAlignment="1">
      <alignment horizontal="center" vertical="center" wrapText="1"/>
    </xf>
    <xf numFmtId="41" fontId="2" fillId="3" borderId="36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41" fontId="1" fillId="3" borderId="30" xfId="1" applyFont="1" applyFill="1" applyBorder="1" applyAlignment="1">
      <alignment horizontal="center" vertical="center" wrapText="1"/>
    </xf>
    <xf numFmtId="41" fontId="1" fillId="3" borderId="33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1" fontId="1" fillId="3" borderId="34" xfId="1" applyFont="1" applyFill="1" applyBorder="1" applyAlignment="1">
      <alignment horizontal="center" vertical="center" wrapText="1"/>
    </xf>
    <xf numFmtId="41" fontId="2" fillId="3" borderId="9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 applyProtection="1">
      <alignment horizontal="center" vertical="center" wrapText="1"/>
    </xf>
    <xf numFmtId="41" fontId="2" fillId="3" borderId="10" xfId="1" applyFont="1" applyFill="1" applyBorder="1" applyAlignment="1" applyProtection="1">
      <alignment horizontal="center" vertical="center" wrapText="1"/>
    </xf>
    <xf numFmtId="41" fontId="2" fillId="3" borderId="34" xfId="1" applyFont="1" applyFill="1" applyBorder="1" applyAlignment="1" applyProtection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11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41" xfId="1" applyFont="1" applyFill="1" applyBorder="1" applyAlignment="1" applyProtection="1">
      <alignment horizontal="center" vertical="center" wrapText="1"/>
    </xf>
    <xf numFmtId="41" fontId="2" fillId="3" borderId="42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10" xfId="1" applyFont="1" applyFill="1" applyBorder="1" applyAlignment="1">
      <alignment horizontal="center" vertical="center" wrapText="1"/>
    </xf>
    <xf numFmtId="41" fontId="2" fillId="3" borderId="34" xfId="1" applyFont="1" applyFill="1" applyBorder="1" applyAlignment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14" xfId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>
      <alignment horizontal="center" vertical="center" wrapText="1"/>
    </xf>
    <xf numFmtId="41" fontId="2" fillId="3" borderId="16" xfId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41" fontId="2" fillId="5" borderId="27" xfId="1" applyFont="1" applyFill="1" applyBorder="1" applyAlignment="1">
      <alignment horizontal="center"/>
    </xf>
    <xf numFmtId="41" fontId="1" fillId="5" borderId="28" xfId="1" applyFont="1" applyFill="1" applyBorder="1" applyAlignment="1">
      <alignment horizontal="center"/>
    </xf>
    <xf numFmtId="41" fontId="2" fillId="5" borderId="29" xfId="1" applyFont="1" applyFill="1" applyBorder="1" applyAlignment="1">
      <alignment horizontal="center"/>
    </xf>
    <xf numFmtId="41" fontId="2" fillId="0" borderId="30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130" zoomScaleNormal="130" workbookViewId="0">
      <selection activeCell="L29" sqref="L29"/>
    </sheetView>
  </sheetViews>
  <sheetFormatPr defaultColWidth="11.5703125" defaultRowHeight="15" x14ac:dyDescent="0.25"/>
  <cols>
    <col min="4" max="4" width="13.42578125" customWidth="1"/>
    <col min="5" max="5" width="13" style="37" customWidth="1"/>
    <col min="6" max="6" width="12.5703125" customWidth="1"/>
    <col min="7" max="7" width="13" style="25" customWidth="1"/>
  </cols>
  <sheetData>
    <row r="1" spans="1:12" s="29" customFormat="1" ht="60" x14ac:dyDescent="0.25">
      <c r="A1" s="29" t="s">
        <v>31</v>
      </c>
      <c r="B1" s="29" t="s">
        <v>32</v>
      </c>
      <c r="C1" s="29" t="s">
        <v>33</v>
      </c>
      <c r="D1" s="29" t="s">
        <v>34</v>
      </c>
      <c r="E1" s="35" t="s">
        <v>35</v>
      </c>
      <c r="F1" s="28" t="s">
        <v>52</v>
      </c>
      <c r="G1" s="30" t="s">
        <v>36</v>
      </c>
      <c r="H1" s="28" t="s">
        <v>53</v>
      </c>
      <c r="I1" s="28" t="s">
        <v>37</v>
      </c>
      <c r="J1" s="28" t="s">
        <v>54</v>
      </c>
      <c r="K1" s="28" t="s">
        <v>38</v>
      </c>
      <c r="L1" s="28" t="s">
        <v>39</v>
      </c>
    </row>
    <row r="2" spans="1:12" s="31" customFormat="1" ht="12.75" x14ac:dyDescent="0.2">
      <c r="A2" s="31" t="s">
        <v>40</v>
      </c>
      <c r="B2" s="31">
        <v>1</v>
      </c>
      <c r="C2" s="33">
        <v>1</v>
      </c>
      <c r="D2" s="31">
        <v>2023</v>
      </c>
      <c r="E2" s="36">
        <f>'Hotel Data'!X5</f>
        <v>10287</v>
      </c>
      <c r="F2" s="31">
        <v>0.64800000000000002</v>
      </c>
      <c r="G2" s="34">
        <f>'Hotel Data'!E5</f>
        <v>875</v>
      </c>
      <c r="H2" s="31">
        <v>1.65</v>
      </c>
      <c r="I2" s="34">
        <f>'Hotel Data'!K5</f>
        <v>152</v>
      </c>
      <c r="J2" s="31">
        <v>1</v>
      </c>
      <c r="K2" s="31">
        <v>44</v>
      </c>
      <c r="L2" s="31">
        <v>93</v>
      </c>
    </row>
    <row r="3" spans="1:12" s="32" customFormat="1" x14ac:dyDescent="0.25">
      <c r="A3" s="32" t="s">
        <v>40</v>
      </c>
      <c r="B3" s="32">
        <f>B2+1</f>
        <v>2</v>
      </c>
      <c r="C3" s="33">
        <v>1</v>
      </c>
      <c r="D3" s="31">
        <v>2023</v>
      </c>
      <c r="E3" s="36">
        <f>'Hotel Data'!X6</f>
        <v>10427</v>
      </c>
      <c r="F3" s="31">
        <v>0.64800000000000002</v>
      </c>
      <c r="G3" s="34">
        <f>'Hotel Data'!E6</f>
        <v>636</v>
      </c>
      <c r="H3" s="31">
        <v>1.65</v>
      </c>
      <c r="I3" s="34">
        <f>'Hotel Data'!K6</f>
        <v>149</v>
      </c>
      <c r="J3" s="31">
        <v>1</v>
      </c>
      <c r="K3" s="31">
        <v>52</v>
      </c>
      <c r="L3" s="31">
        <v>113</v>
      </c>
    </row>
    <row r="4" spans="1:12" s="32" customFormat="1" x14ac:dyDescent="0.25">
      <c r="A4" s="32" t="s">
        <v>40</v>
      </c>
      <c r="B4" s="32">
        <f t="shared" ref="B4:B32" si="0">B3+1</f>
        <v>3</v>
      </c>
      <c r="C4" s="33">
        <v>1</v>
      </c>
      <c r="D4" s="31">
        <v>2023</v>
      </c>
      <c r="E4" s="36">
        <f>'Hotel Data'!X7</f>
        <v>10644</v>
      </c>
      <c r="F4" s="31">
        <v>0.64800000000000002</v>
      </c>
      <c r="G4" s="34">
        <f>'Hotel Data'!E7</f>
        <v>640</v>
      </c>
      <c r="H4" s="31">
        <v>1.65</v>
      </c>
      <c r="I4" s="34">
        <f>'Hotel Data'!K7</f>
        <v>137</v>
      </c>
      <c r="J4" s="31">
        <v>1</v>
      </c>
      <c r="K4" s="31">
        <v>59</v>
      </c>
      <c r="L4" s="31">
        <v>105</v>
      </c>
    </row>
    <row r="5" spans="1:12" s="32" customFormat="1" x14ac:dyDescent="0.25">
      <c r="A5" s="32" t="s">
        <v>40</v>
      </c>
      <c r="B5" s="32">
        <f t="shared" si="0"/>
        <v>4</v>
      </c>
      <c r="C5" s="33">
        <v>1</v>
      </c>
      <c r="D5" s="31">
        <v>2023</v>
      </c>
      <c r="E5" s="36">
        <f>'Hotel Data'!X8</f>
        <v>4482</v>
      </c>
      <c r="F5" s="31">
        <v>0.64800000000000002</v>
      </c>
      <c r="G5" s="34">
        <f>'Hotel Data'!E8</f>
        <v>596</v>
      </c>
      <c r="H5" s="31">
        <v>1.65</v>
      </c>
      <c r="I5" s="34">
        <f>'Hotel Data'!K8</f>
        <v>133</v>
      </c>
      <c r="J5" s="31">
        <v>1</v>
      </c>
      <c r="K5" s="31">
        <v>60</v>
      </c>
      <c r="L5" s="31">
        <v>120</v>
      </c>
    </row>
    <row r="6" spans="1:12" s="32" customFormat="1" x14ac:dyDescent="0.25">
      <c r="A6" s="32" t="s">
        <v>40</v>
      </c>
      <c r="B6" s="32">
        <f t="shared" si="0"/>
        <v>5</v>
      </c>
      <c r="C6" s="33">
        <v>1</v>
      </c>
      <c r="D6" s="31">
        <v>2023</v>
      </c>
      <c r="E6" s="36">
        <f>'Hotel Data'!X9</f>
        <v>10494</v>
      </c>
      <c r="F6" s="31">
        <v>0.64800000000000002</v>
      </c>
      <c r="G6" s="34">
        <f>'Hotel Data'!E9</f>
        <v>503</v>
      </c>
      <c r="H6" s="31">
        <v>1.65</v>
      </c>
      <c r="I6" s="34">
        <f>'Hotel Data'!K9</f>
        <v>143</v>
      </c>
      <c r="J6" s="31">
        <v>1</v>
      </c>
      <c r="K6" s="31">
        <v>63</v>
      </c>
      <c r="L6" s="31">
        <v>108</v>
      </c>
    </row>
    <row r="7" spans="1:12" s="32" customFormat="1" x14ac:dyDescent="0.25">
      <c r="A7" s="32" t="s">
        <v>40</v>
      </c>
      <c r="B7" s="32">
        <f t="shared" si="0"/>
        <v>6</v>
      </c>
      <c r="C7" s="33">
        <v>1</v>
      </c>
      <c r="D7" s="31">
        <v>2023</v>
      </c>
      <c r="E7" s="36">
        <f>'Hotel Data'!X10</f>
        <v>10334</v>
      </c>
      <c r="F7" s="31">
        <v>0.64800000000000002</v>
      </c>
      <c r="G7" s="34">
        <f>'Hotel Data'!E10</f>
        <v>522</v>
      </c>
      <c r="H7" s="31">
        <v>1.65</v>
      </c>
      <c r="I7" s="34">
        <f>'Hotel Data'!K10</f>
        <v>120</v>
      </c>
      <c r="J7" s="31">
        <v>1</v>
      </c>
      <c r="K7" s="31">
        <v>69</v>
      </c>
      <c r="L7" s="31">
        <v>110</v>
      </c>
    </row>
    <row r="8" spans="1:12" s="32" customFormat="1" x14ac:dyDescent="0.25">
      <c r="A8" s="32" t="s">
        <v>40</v>
      </c>
      <c r="B8" s="32">
        <f t="shared" si="0"/>
        <v>7</v>
      </c>
      <c r="C8" s="33">
        <v>1</v>
      </c>
      <c r="D8" s="31">
        <v>2023</v>
      </c>
      <c r="E8" s="36">
        <f>'Hotel Data'!X11</f>
        <v>10235</v>
      </c>
      <c r="F8" s="31">
        <v>0.64800000000000002</v>
      </c>
      <c r="G8" s="34">
        <f>'Hotel Data'!E11</f>
        <v>595</v>
      </c>
      <c r="H8" s="31">
        <v>1.65</v>
      </c>
      <c r="I8" s="34">
        <f>'Hotel Data'!K11</f>
        <v>141</v>
      </c>
      <c r="J8" s="31">
        <v>1</v>
      </c>
      <c r="K8" s="31">
        <v>71</v>
      </c>
      <c r="L8" s="31">
        <v>109</v>
      </c>
    </row>
    <row r="9" spans="1:12" s="32" customFormat="1" x14ac:dyDescent="0.25">
      <c r="A9" s="32" t="s">
        <v>40</v>
      </c>
      <c r="B9" s="32">
        <f t="shared" si="0"/>
        <v>8</v>
      </c>
      <c r="C9" s="33">
        <v>1</v>
      </c>
      <c r="D9" s="31">
        <v>2023</v>
      </c>
      <c r="E9" s="36">
        <f>'Hotel Data'!X12</f>
        <v>10118</v>
      </c>
      <c r="F9" s="31">
        <v>0.64800000000000002</v>
      </c>
      <c r="G9" s="34">
        <f>'Hotel Data'!E12</f>
        <v>572</v>
      </c>
      <c r="H9" s="31">
        <v>1.65</v>
      </c>
      <c r="I9" s="34">
        <f>'Hotel Data'!K12</f>
        <v>138</v>
      </c>
      <c r="J9" s="31">
        <v>1</v>
      </c>
      <c r="K9" s="31">
        <v>63</v>
      </c>
      <c r="L9" s="31">
        <v>104</v>
      </c>
    </row>
    <row r="10" spans="1:12" s="32" customFormat="1" x14ac:dyDescent="0.25">
      <c r="A10" s="32" t="s">
        <v>40</v>
      </c>
      <c r="B10" s="32">
        <f t="shared" si="0"/>
        <v>9</v>
      </c>
      <c r="C10" s="33">
        <v>1</v>
      </c>
      <c r="D10" s="31">
        <v>2023</v>
      </c>
      <c r="E10" s="36">
        <f>'Hotel Data'!X13</f>
        <v>10140</v>
      </c>
      <c r="F10" s="31">
        <v>0.64800000000000002</v>
      </c>
      <c r="G10" s="34">
        <f>'Hotel Data'!E13</f>
        <v>560</v>
      </c>
      <c r="H10" s="31">
        <v>1.65</v>
      </c>
      <c r="I10" s="34">
        <f>'Hotel Data'!K13</f>
        <v>131</v>
      </c>
      <c r="J10" s="31">
        <v>1</v>
      </c>
      <c r="K10" s="31">
        <v>68</v>
      </c>
      <c r="L10" s="31">
        <v>109</v>
      </c>
    </row>
    <row r="11" spans="1:12" s="32" customFormat="1" x14ac:dyDescent="0.25">
      <c r="A11" s="32" t="s">
        <v>40</v>
      </c>
      <c r="B11" s="32">
        <f t="shared" si="0"/>
        <v>10</v>
      </c>
      <c r="C11" s="33">
        <v>1</v>
      </c>
      <c r="D11" s="31">
        <v>2023</v>
      </c>
      <c r="E11" s="36">
        <f>'Hotel Data'!X14</f>
        <v>10530</v>
      </c>
      <c r="F11" s="31">
        <v>0.64800000000000002</v>
      </c>
      <c r="G11" s="34">
        <f>'Hotel Data'!E14</f>
        <v>438</v>
      </c>
      <c r="H11" s="31">
        <v>1.65</v>
      </c>
      <c r="I11" s="34">
        <f>'Hotel Data'!K14</f>
        <v>108</v>
      </c>
      <c r="J11" s="31">
        <v>1</v>
      </c>
      <c r="K11" s="31">
        <v>79</v>
      </c>
      <c r="L11" s="31">
        <v>129</v>
      </c>
    </row>
    <row r="12" spans="1:12" s="32" customFormat="1" x14ac:dyDescent="0.25">
      <c r="A12" s="32" t="s">
        <v>40</v>
      </c>
      <c r="B12" s="32">
        <f t="shared" si="0"/>
        <v>11</v>
      </c>
      <c r="C12" s="33">
        <v>1</v>
      </c>
      <c r="D12" s="31">
        <v>2023</v>
      </c>
      <c r="E12" s="36">
        <f>'Hotel Data'!X15</f>
        <v>10612</v>
      </c>
      <c r="F12" s="31">
        <v>0.64800000000000002</v>
      </c>
      <c r="G12" s="34">
        <f>'Hotel Data'!E15</f>
        <v>660</v>
      </c>
      <c r="H12" s="31">
        <v>1.65</v>
      </c>
      <c r="I12" s="34">
        <f>'Hotel Data'!K15</f>
        <v>136</v>
      </c>
      <c r="J12" s="31">
        <v>1</v>
      </c>
      <c r="K12" s="31">
        <v>80</v>
      </c>
      <c r="L12" s="31">
        <v>131</v>
      </c>
    </row>
    <row r="13" spans="1:12" s="32" customFormat="1" x14ac:dyDescent="0.25">
      <c r="A13" s="32" t="s">
        <v>40</v>
      </c>
      <c r="B13" s="32">
        <f t="shared" si="0"/>
        <v>12</v>
      </c>
      <c r="C13" s="33">
        <v>1</v>
      </c>
      <c r="D13" s="31">
        <v>2023</v>
      </c>
      <c r="E13" s="36">
        <f>'Hotel Data'!X16</f>
        <v>10532</v>
      </c>
      <c r="F13" s="31">
        <v>0.64800000000000002</v>
      </c>
      <c r="G13" s="34">
        <f>'Hotel Data'!E16</f>
        <v>757</v>
      </c>
      <c r="H13" s="31">
        <v>1.65</v>
      </c>
      <c r="I13" s="34">
        <f>'Hotel Data'!K16</f>
        <v>157</v>
      </c>
      <c r="J13" s="31">
        <v>1</v>
      </c>
      <c r="K13" s="31">
        <v>83</v>
      </c>
      <c r="L13" s="31">
        <v>111</v>
      </c>
    </row>
    <row r="14" spans="1:12" s="32" customFormat="1" x14ac:dyDescent="0.25">
      <c r="A14" s="32" t="s">
        <v>40</v>
      </c>
      <c r="B14" s="32">
        <f t="shared" si="0"/>
        <v>13</v>
      </c>
      <c r="C14" s="33">
        <v>1</v>
      </c>
      <c r="D14" s="31">
        <v>2023</v>
      </c>
      <c r="E14" s="36">
        <f>'Hotel Data'!X17</f>
        <v>10766</v>
      </c>
      <c r="F14" s="31">
        <v>0.64800000000000002</v>
      </c>
      <c r="G14" s="34">
        <f>'Hotel Data'!E17</f>
        <v>675</v>
      </c>
      <c r="H14" s="31">
        <v>1.65</v>
      </c>
      <c r="I14" s="34">
        <f>'Hotel Data'!K17</f>
        <v>140</v>
      </c>
      <c r="J14" s="31">
        <v>1</v>
      </c>
      <c r="K14" s="31">
        <v>100</v>
      </c>
      <c r="L14" s="31">
        <v>155</v>
      </c>
    </row>
    <row r="15" spans="1:12" s="32" customFormat="1" x14ac:dyDescent="0.25">
      <c r="A15" s="32" t="s">
        <v>40</v>
      </c>
      <c r="B15" s="32">
        <f t="shared" si="0"/>
        <v>14</v>
      </c>
      <c r="C15" s="33">
        <v>1</v>
      </c>
      <c r="D15" s="31">
        <v>2023</v>
      </c>
      <c r="E15" s="36">
        <f>'Hotel Data'!X18</f>
        <v>10774</v>
      </c>
      <c r="F15" s="31">
        <v>0.64800000000000002</v>
      </c>
      <c r="G15" s="34">
        <f>'Hotel Data'!E18</f>
        <v>761</v>
      </c>
      <c r="H15" s="31">
        <v>1.65</v>
      </c>
      <c r="I15" s="34">
        <f>'Hotel Data'!K18</f>
        <v>169</v>
      </c>
      <c r="J15" s="31">
        <v>1</v>
      </c>
      <c r="K15" s="31">
        <v>66</v>
      </c>
      <c r="L15" s="31">
        <v>112</v>
      </c>
    </row>
    <row r="16" spans="1:12" s="32" customFormat="1" x14ac:dyDescent="0.25">
      <c r="A16" s="32" t="s">
        <v>40</v>
      </c>
      <c r="B16" s="32">
        <f t="shared" si="0"/>
        <v>15</v>
      </c>
      <c r="C16" s="33">
        <v>1</v>
      </c>
      <c r="D16" s="31">
        <v>2023</v>
      </c>
      <c r="E16" s="36">
        <f>'Hotel Data'!X19</f>
        <v>10604</v>
      </c>
      <c r="F16" s="31">
        <v>0.64800000000000002</v>
      </c>
      <c r="G16" s="34">
        <f>'Hotel Data'!E19</f>
        <v>757</v>
      </c>
      <c r="H16" s="31">
        <v>1.65</v>
      </c>
      <c r="I16" s="34">
        <f>'Hotel Data'!K19</f>
        <v>158</v>
      </c>
      <c r="J16" s="31">
        <v>1</v>
      </c>
      <c r="K16" s="31">
        <v>53</v>
      </c>
      <c r="L16" s="31">
        <v>127</v>
      </c>
    </row>
    <row r="17" spans="1:12" s="32" customFormat="1" x14ac:dyDescent="0.25">
      <c r="A17" s="32" t="s">
        <v>40</v>
      </c>
      <c r="B17" s="32">
        <f t="shared" si="0"/>
        <v>16</v>
      </c>
      <c r="C17" s="33">
        <v>1</v>
      </c>
      <c r="D17" s="31">
        <v>2023</v>
      </c>
      <c r="E17" s="36">
        <f>'Hotel Data'!X20</f>
        <v>10458</v>
      </c>
      <c r="F17" s="31">
        <v>0.64800000000000002</v>
      </c>
      <c r="G17" s="34">
        <f>'Hotel Data'!E20</f>
        <v>833</v>
      </c>
      <c r="H17" s="31">
        <v>1.65</v>
      </c>
      <c r="I17" s="34">
        <f>'Hotel Data'!K20</f>
        <v>133</v>
      </c>
      <c r="J17" s="31">
        <v>1</v>
      </c>
      <c r="K17" s="31">
        <v>56</v>
      </c>
      <c r="L17" s="31">
        <v>90</v>
      </c>
    </row>
    <row r="18" spans="1:12" s="32" customFormat="1" x14ac:dyDescent="0.25">
      <c r="A18" s="32" t="s">
        <v>40</v>
      </c>
      <c r="B18" s="32">
        <f t="shared" si="0"/>
        <v>17</v>
      </c>
      <c r="C18" s="33">
        <v>1</v>
      </c>
      <c r="D18" s="31">
        <v>2023</v>
      </c>
      <c r="E18" s="36">
        <f>'Hotel Data'!X21</f>
        <v>10578</v>
      </c>
      <c r="F18" s="31">
        <v>0.64800000000000002</v>
      </c>
      <c r="G18" s="34">
        <f>'Hotel Data'!E21</f>
        <v>948</v>
      </c>
      <c r="H18" s="31">
        <v>1.65</v>
      </c>
      <c r="I18" s="34">
        <f>'Hotel Data'!K21</f>
        <v>141</v>
      </c>
      <c r="J18" s="31">
        <v>1</v>
      </c>
      <c r="K18" s="31">
        <v>68</v>
      </c>
      <c r="L18" s="31">
        <v>109</v>
      </c>
    </row>
    <row r="19" spans="1:12" s="32" customFormat="1" x14ac:dyDescent="0.25">
      <c r="A19" s="32" t="s">
        <v>40</v>
      </c>
      <c r="B19" s="32">
        <f t="shared" si="0"/>
        <v>18</v>
      </c>
      <c r="C19" s="33">
        <v>1</v>
      </c>
      <c r="D19" s="31">
        <v>2023</v>
      </c>
      <c r="E19" s="36">
        <f>'Hotel Data'!X22</f>
        <v>10382</v>
      </c>
      <c r="F19" s="31">
        <v>0.64800000000000002</v>
      </c>
      <c r="G19" s="34">
        <f>'Hotel Data'!E22</f>
        <v>1006</v>
      </c>
      <c r="H19" s="31">
        <v>1.65</v>
      </c>
      <c r="I19" s="34">
        <f>'Hotel Data'!K22</f>
        <v>140</v>
      </c>
      <c r="J19" s="31">
        <v>1</v>
      </c>
      <c r="K19" s="31">
        <v>64</v>
      </c>
      <c r="L19" s="31">
        <v>103</v>
      </c>
    </row>
    <row r="20" spans="1:12" s="32" customFormat="1" x14ac:dyDescent="0.25">
      <c r="A20" s="32" t="s">
        <v>40</v>
      </c>
      <c r="B20" s="32">
        <f t="shared" si="0"/>
        <v>19</v>
      </c>
      <c r="C20" s="33">
        <v>1</v>
      </c>
      <c r="D20" s="31">
        <v>2023</v>
      </c>
      <c r="E20" s="36">
        <f>'Hotel Data'!X23</f>
        <v>10592</v>
      </c>
      <c r="F20" s="31">
        <v>0.64800000000000002</v>
      </c>
      <c r="G20" s="34">
        <f>'Hotel Data'!E23</f>
        <v>1061</v>
      </c>
      <c r="H20" s="31">
        <v>1.65</v>
      </c>
      <c r="I20" s="34">
        <f>'Hotel Data'!K23</f>
        <v>138</v>
      </c>
      <c r="J20" s="31">
        <v>1</v>
      </c>
      <c r="K20" s="31"/>
      <c r="L20" s="31"/>
    </row>
    <row r="21" spans="1:12" s="32" customFormat="1" x14ac:dyDescent="0.25">
      <c r="A21" s="32" t="s">
        <v>40</v>
      </c>
      <c r="B21" s="32">
        <f t="shared" si="0"/>
        <v>20</v>
      </c>
      <c r="C21" s="33">
        <v>1</v>
      </c>
      <c r="D21" s="31">
        <v>2023</v>
      </c>
      <c r="E21" s="36">
        <f>'Hotel Data'!X24</f>
        <v>0</v>
      </c>
      <c r="F21" s="31">
        <v>0.64800000000000002</v>
      </c>
      <c r="G21" s="34">
        <f>'Hotel Data'!E24</f>
        <v>0</v>
      </c>
      <c r="H21" s="31">
        <v>1.65</v>
      </c>
      <c r="I21" s="34">
        <f>'Hotel Data'!K24</f>
        <v>0</v>
      </c>
      <c r="J21" s="31">
        <v>1</v>
      </c>
      <c r="K21" s="31"/>
      <c r="L21" s="31"/>
    </row>
    <row r="22" spans="1:12" s="32" customFormat="1" x14ac:dyDescent="0.25">
      <c r="A22" s="32" t="s">
        <v>40</v>
      </c>
      <c r="B22" s="32">
        <f t="shared" si="0"/>
        <v>21</v>
      </c>
      <c r="C22" s="33">
        <v>1</v>
      </c>
      <c r="D22" s="31">
        <v>2023</v>
      </c>
      <c r="E22" s="36">
        <f>'Hotel Data'!X25</f>
        <v>0</v>
      </c>
      <c r="F22" s="31">
        <v>0.64800000000000002</v>
      </c>
      <c r="G22" s="34">
        <f>'Hotel Data'!E25</f>
        <v>0</v>
      </c>
      <c r="H22" s="31">
        <v>1.65</v>
      </c>
      <c r="I22" s="34">
        <f>'Hotel Data'!K25</f>
        <v>0</v>
      </c>
      <c r="J22" s="31">
        <v>1</v>
      </c>
      <c r="K22" s="31"/>
      <c r="L22" s="31"/>
    </row>
    <row r="23" spans="1:12" s="32" customFormat="1" x14ac:dyDescent="0.25">
      <c r="A23" s="32" t="s">
        <v>40</v>
      </c>
      <c r="B23" s="32">
        <f t="shared" si="0"/>
        <v>22</v>
      </c>
      <c r="C23" s="33">
        <v>1</v>
      </c>
      <c r="D23" s="31">
        <v>2023</v>
      </c>
      <c r="E23" s="36">
        <f>'Hotel Data'!X26</f>
        <v>0</v>
      </c>
      <c r="F23" s="31">
        <v>0.64800000000000002</v>
      </c>
      <c r="G23" s="34">
        <f>'Hotel Data'!E26</f>
        <v>0</v>
      </c>
      <c r="H23" s="31">
        <v>1.65</v>
      </c>
      <c r="I23" s="34">
        <f>'Hotel Data'!K26</f>
        <v>0</v>
      </c>
      <c r="J23" s="31">
        <v>1</v>
      </c>
      <c r="K23" s="31"/>
      <c r="L23" s="31"/>
    </row>
    <row r="24" spans="1:12" s="32" customFormat="1" x14ac:dyDescent="0.25">
      <c r="A24" s="32" t="s">
        <v>40</v>
      </c>
      <c r="B24" s="32">
        <f t="shared" si="0"/>
        <v>23</v>
      </c>
      <c r="C24" s="33">
        <v>1</v>
      </c>
      <c r="D24" s="31">
        <v>2023</v>
      </c>
      <c r="E24" s="36">
        <f>'Hotel Data'!X27</f>
        <v>0</v>
      </c>
      <c r="F24" s="31">
        <v>0.64800000000000002</v>
      </c>
      <c r="G24" s="34">
        <f>'Hotel Data'!E27</f>
        <v>0</v>
      </c>
      <c r="H24" s="31">
        <v>1.65</v>
      </c>
      <c r="I24" s="34">
        <f>'Hotel Data'!K27</f>
        <v>0</v>
      </c>
      <c r="J24" s="31">
        <v>1</v>
      </c>
      <c r="K24" s="31"/>
      <c r="L24" s="31"/>
    </row>
    <row r="25" spans="1:12" s="32" customFormat="1" x14ac:dyDescent="0.25">
      <c r="A25" s="32" t="s">
        <v>40</v>
      </c>
      <c r="B25" s="32">
        <f t="shared" si="0"/>
        <v>24</v>
      </c>
      <c r="C25" s="33">
        <v>1</v>
      </c>
      <c r="D25" s="31">
        <v>2023</v>
      </c>
      <c r="E25" s="36">
        <f>'Hotel Data'!X28</f>
        <v>0</v>
      </c>
      <c r="F25" s="31">
        <v>0.64800000000000002</v>
      </c>
      <c r="G25" s="34">
        <f>'Hotel Data'!E28</f>
        <v>0</v>
      </c>
      <c r="H25" s="31">
        <v>1.65</v>
      </c>
      <c r="I25" s="34">
        <f>'Hotel Data'!K28</f>
        <v>0</v>
      </c>
      <c r="J25" s="31">
        <v>1</v>
      </c>
      <c r="K25" s="31"/>
      <c r="L25" s="31"/>
    </row>
    <row r="26" spans="1:12" s="32" customFormat="1" x14ac:dyDescent="0.25">
      <c r="A26" s="32" t="s">
        <v>40</v>
      </c>
      <c r="B26" s="32">
        <f>B25+1</f>
        <v>25</v>
      </c>
      <c r="C26" s="33">
        <v>1</v>
      </c>
      <c r="D26" s="31">
        <v>2023</v>
      </c>
      <c r="E26" s="36">
        <f>'Hotel Data'!X29</f>
        <v>0</v>
      </c>
      <c r="F26" s="31">
        <v>0.64800000000000002</v>
      </c>
      <c r="G26" s="34">
        <f>'Hotel Data'!E29</f>
        <v>0</v>
      </c>
      <c r="H26" s="31">
        <v>1.65</v>
      </c>
      <c r="I26" s="34">
        <f>'Hotel Data'!K29</f>
        <v>0</v>
      </c>
      <c r="J26" s="31">
        <v>1</v>
      </c>
      <c r="K26" s="31"/>
      <c r="L26" s="31"/>
    </row>
    <row r="27" spans="1:12" s="32" customFormat="1" x14ac:dyDescent="0.25">
      <c r="A27" s="32" t="s">
        <v>40</v>
      </c>
      <c r="B27" s="32">
        <f t="shared" si="0"/>
        <v>26</v>
      </c>
      <c r="C27" s="33">
        <v>1</v>
      </c>
      <c r="D27" s="31">
        <v>2023</v>
      </c>
      <c r="E27" s="36">
        <f>'Hotel Data'!X30</f>
        <v>0</v>
      </c>
      <c r="F27" s="31">
        <v>0.64800000000000002</v>
      </c>
      <c r="G27" s="34">
        <f>'Hotel Data'!E30</f>
        <v>0</v>
      </c>
      <c r="H27" s="31">
        <v>1.65</v>
      </c>
      <c r="I27" s="34">
        <f>'Hotel Data'!K30</f>
        <v>0</v>
      </c>
      <c r="J27" s="31">
        <v>1</v>
      </c>
      <c r="K27" s="31"/>
      <c r="L27" s="31"/>
    </row>
    <row r="28" spans="1:12" s="32" customFormat="1" x14ac:dyDescent="0.25">
      <c r="A28" s="32" t="s">
        <v>40</v>
      </c>
      <c r="B28" s="32">
        <f t="shared" si="0"/>
        <v>27</v>
      </c>
      <c r="C28" s="33">
        <v>1</v>
      </c>
      <c r="D28" s="31">
        <v>2023</v>
      </c>
      <c r="E28" s="36">
        <f>'Hotel Data'!X31</f>
        <v>0</v>
      </c>
      <c r="F28" s="31">
        <v>0.64800000000000002</v>
      </c>
      <c r="G28" s="34">
        <f>'Hotel Data'!E31</f>
        <v>0</v>
      </c>
      <c r="H28" s="31">
        <v>1.65</v>
      </c>
      <c r="I28" s="34">
        <f>'Hotel Data'!K31</f>
        <v>0</v>
      </c>
      <c r="J28" s="31">
        <v>1</v>
      </c>
      <c r="K28" s="31"/>
      <c r="L28" s="31"/>
    </row>
    <row r="29" spans="1:12" s="32" customFormat="1" x14ac:dyDescent="0.25">
      <c r="A29" s="32" t="s">
        <v>40</v>
      </c>
      <c r="B29" s="32">
        <f t="shared" si="0"/>
        <v>28</v>
      </c>
      <c r="C29" s="33">
        <v>1</v>
      </c>
      <c r="D29" s="31">
        <v>2023</v>
      </c>
      <c r="E29" s="36">
        <f>'Hotel Data'!X32</f>
        <v>0</v>
      </c>
      <c r="F29" s="31">
        <v>0.64800000000000002</v>
      </c>
      <c r="G29" s="34">
        <f>'Hotel Data'!E32</f>
        <v>0</v>
      </c>
      <c r="H29" s="31">
        <v>1.65</v>
      </c>
      <c r="I29" s="34">
        <f>'Hotel Data'!K32</f>
        <v>0</v>
      </c>
      <c r="J29" s="31">
        <v>1</v>
      </c>
      <c r="K29" s="31"/>
      <c r="L29" s="31"/>
    </row>
    <row r="30" spans="1:12" s="32" customFormat="1" x14ac:dyDescent="0.25">
      <c r="A30" s="32" t="s">
        <v>40</v>
      </c>
      <c r="B30" s="32">
        <f t="shared" si="0"/>
        <v>29</v>
      </c>
      <c r="C30" s="33">
        <v>1</v>
      </c>
      <c r="D30" s="31">
        <v>2023</v>
      </c>
      <c r="E30" s="36">
        <f>'Hotel Data'!X33</f>
        <v>0</v>
      </c>
      <c r="F30" s="31">
        <v>0.64800000000000002</v>
      </c>
      <c r="G30" s="34">
        <f>'Hotel Data'!E33</f>
        <v>0</v>
      </c>
      <c r="H30" s="31">
        <v>1.65</v>
      </c>
      <c r="I30" s="34">
        <f>'Hotel Data'!K33</f>
        <v>0</v>
      </c>
      <c r="J30" s="31">
        <v>1</v>
      </c>
      <c r="K30" s="31"/>
      <c r="L30" s="31"/>
    </row>
    <row r="31" spans="1:12" s="31" customFormat="1" x14ac:dyDescent="0.25">
      <c r="A31" s="31" t="s">
        <v>40</v>
      </c>
      <c r="B31" s="32">
        <f t="shared" si="0"/>
        <v>30</v>
      </c>
      <c r="C31" s="33">
        <v>1</v>
      </c>
      <c r="D31" s="31">
        <v>2023</v>
      </c>
      <c r="E31" s="36">
        <f>'Hotel Data'!X34</f>
        <v>0</v>
      </c>
      <c r="F31" s="31">
        <v>0.64800000000000002</v>
      </c>
      <c r="G31" s="34">
        <f>'Hotel Data'!E34</f>
        <v>0</v>
      </c>
      <c r="H31" s="31">
        <v>1.65</v>
      </c>
      <c r="I31" s="34">
        <f>'Hotel Data'!K34</f>
        <v>0</v>
      </c>
      <c r="J31" s="31">
        <v>1</v>
      </c>
    </row>
    <row r="32" spans="1:12" s="31" customFormat="1" x14ac:dyDescent="0.25">
      <c r="A32" s="31" t="s">
        <v>40</v>
      </c>
      <c r="B32" s="32">
        <f t="shared" si="0"/>
        <v>31</v>
      </c>
      <c r="C32" s="33">
        <v>1</v>
      </c>
      <c r="D32" s="31">
        <v>2023</v>
      </c>
      <c r="E32" s="36">
        <f>'Hotel Data'!X35</f>
        <v>0</v>
      </c>
      <c r="F32" s="31">
        <v>0.64800000000000002</v>
      </c>
      <c r="G32" s="34">
        <f>'Hotel Data'!E35</f>
        <v>0</v>
      </c>
      <c r="H32" s="31">
        <v>1.65</v>
      </c>
      <c r="I32" s="34">
        <f>'Hotel Data'!K35</f>
        <v>0</v>
      </c>
      <c r="J32" s="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B1" workbookViewId="0">
      <selection activeCell="Q21" sqref="Q21"/>
    </sheetView>
  </sheetViews>
  <sheetFormatPr defaultColWidth="11.5703125" defaultRowHeight="15" x14ac:dyDescent="0.25"/>
  <cols>
    <col min="4" max="4" width="13.42578125" customWidth="1"/>
    <col min="5" max="5" width="13" style="25" customWidth="1"/>
    <col min="6" max="6" width="12.5703125" customWidth="1"/>
    <col min="7" max="7" width="13" style="25" customWidth="1"/>
    <col min="12" max="12" width="11.5703125" style="25"/>
    <col min="15" max="15" width="14" customWidth="1"/>
  </cols>
  <sheetData>
    <row r="1" spans="1:16" s="29" customFormat="1" ht="45" x14ac:dyDescent="0.25">
      <c r="A1" s="29" t="s">
        <v>31</v>
      </c>
      <c r="B1" s="29" t="s">
        <v>32</v>
      </c>
      <c r="C1" s="29" t="s">
        <v>33</v>
      </c>
      <c r="D1" s="29" t="s">
        <v>34</v>
      </c>
      <c r="E1" s="26" t="s">
        <v>50</v>
      </c>
      <c r="F1" s="26" t="s">
        <v>41</v>
      </c>
      <c r="G1" s="26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6" t="s">
        <v>47</v>
      </c>
      <c r="M1" s="27" t="s">
        <v>48</v>
      </c>
      <c r="N1" s="27" t="s">
        <v>49</v>
      </c>
      <c r="O1" s="28" t="s">
        <v>51</v>
      </c>
      <c r="P1" s="28" t="s">
        <v>38</v>
      </c>
    </row>
    <row r="2" spans="1:16" s="29" customFormat="1" x14ac:dyDescent="0.2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</row>
    <row r="3" spans="1:16" s="31" customFormat="1" x14ac:dyDescent="0.25">
      <c r="A3" s="31" t="s">
        <v>40</v>
      </c>
      <c r="B3" s="31">
        <v>1</v>
      </c>
      <c r="C3" s="33">
        <v>1</v>
      </c>
      <c r="D3" s="31">
        <v>2023</v>
      </c>
      <c r="E3" s="34">
        <f>'Hotel Data'!E5</f>
        <v>875</v>
      </c>
      <c r="F3" s="34">
        <f>'Hotel Data'!G5</f>
        <v>0</v>
      </c>
      <c r="G3" s="34">
        <f>'Hotel Data'!O5</f>
        <v>0</v>
      </c>
      <c r="H3" s="34">
        <f>'Hotel Data'!Q5</f>
        <v>23</v>
      </c>
      <c r="I3" s="34">
        <f>'Hotel Data'!S5</f>
        <v>0</v>
      </c>
      <c r="J3" s="34">
        <f>'Hotel Data'!U5</f>
        <v>47</v>
      </c>
      <c r="K3" s="34">
        <f>'Hotel Data'!AD5</f>
        <v>232</v>
      </c>
      <c r="L3" s="34">
        <f>'Hotel Data'!AG5</f>
        <v>1118</v>
      </c>
      <c r="M3" s="34">
        <f>'Hotel Data'!AJ5</f>
        <v>0</v>
      </c>
      <c r="N3" s="34">
        <f>'Hotel Data'!AN5</f>
        <v>628</v>
      </c>
      <c r="O3" s="34">
        <f>'Hotel Data'!AR5</f>
        <v>224</v>
      </c>
      <c r="P3" s="32">
        <f>TOTAL!K2</f>
        <v>44</v>
      </c>
    </row>
    <row r="4" spans="1:16" s="32" customFormat="1" x14ac:dyDescent="0.25">
      <c r="A4" s="32" t="s">
        <v>40</v>
      </c>
      <c r="B4" s="32">
        <f>B3+1</f>
        <v>2</v>
      </c>
      <c r="C4" s="33">
        <v>1</v>
      </c>
      <c r="D4" s="31">
        <v>2023</v>
      </c>
      <c r="E4" s="34">
        <f>'Hotel Data'!E6</f>
        <v>636</v>
      </c>
      <c r="F4" s="34">
        <f>'Hotel Data'!G6</f>
        <v>0</v>
      </c>
      <c r="G4" s="34">
        <f>'Hotel Data'!O6</f>
        <v>0</v>
      </c>
      <c r="H4" s="34">
        <f>'Hotel Data'!Q6</f>
        <v>17</v>
      </c>
      <c r="I4" s="34">
        <f>'Hotel Data'!S6</f>
        <v>1</v>
      </c>
      <c r="J4" s="34">
        <f>'Hotel Data'!U6</f>
        <v>43</v>
      </c>
      <c r="K4" s="34">
        <f>'Hotel Data'!AD6</f>
        <v>221</v>
      </c>
      <c r="L4" s="34">
        <f>'Hotel Data'!AG6</f>
        <v>1101</v>
      </c>
      <c r="M4" s="34">
        <f>'Hotel Data'!AJ6</f>
        <v>0</v>
      </c>
      <c r="N4" s="34">
        <f>'Hotel Data'!AN6</f>
        <v>575</v>
      </c>
      <c r="O4" s="34">
        <f>'Hotel Data'!AR6</f>
        <v>448</v>
      </c>
      <c r="P4" s="32">
        <f>TOTAL!K3</f>
        <v>52</v>
      </c>
    </row>
    <row r="5" spans="1:16" s="32" customFormat="1" x14ac:dyDescent="0.25">
      <c r="A5" s="32" t="s">
        <v>40</v>
      </c>
      <c r="B5" s="32">
        <f t="shared" ref="B5:B33" si="0">B4+1</f>
        <v>3</v>
      </c>
      <c r="C5" s="33">
        <v>1</v>
      </c>
      <c r="D5" s="31">
        <v>2023</v>
      </c>
      <c r="E5" s="34">
        <f>'Hotel Data'!E7</f>
        <v>640</v>
      </c>
      <c r="F5" s="34">
        <f>'Hotel Data'!G7</f>
        <v>0</v>
      </c>
      <c r="G5" s="34">
        <f>'Hotel Data'!O7</f>
        <v>0</v>
      </c>
      <c r="H5" s="34">
        <f>'Hotel Data'!Q7</f>
        <v>17</v>
      </c>
      <c r="I5" s="34">
        <f>'Hotel Data'!S7</f>
        <v>0</v>
      </c>
      <c r="J5" s="34">
        <f>'Hotel Data'!U7</f>
        <v>38</v>
      </c>
      <c r="K5" s="34">
        <f>'Hotel Data'!AD7</f>
        <v>233</v>
      </c>
      <c r="L5" s="34">
        <f>'Hotel Data'!AG7</f>
        <v>1165</v>
      </c>
      <c r="M5" s="34">
        <f>'Hotel Data'!AJ7</f>
        <v>0</v>
      </c>
      <c r="N5" s="34">
        <f>'Hotel Data'!AN7</f>
        <v>620</v>
      </c>
      <c r="O5" s="34">
        <f>'Hotel Data'!AR7</f>
        <v>256</v>
      </c>
      <c r="P5" s="32">
        <f>TOTAL!K4</f>
        <v>59</v>
      </c>
    </row>
    <row r="6" spans="1:16" s="32" customFormat="1" x14ac:dyDescent="0.25">
      <c r="A6" s="32" t="s">
        <v>40</v>
      </c>
      <c r="B6" s="32">
        <f t="shared" si="0"/>
        <v>4</v>
      </c>
      <c r="C6" s="33">
        <v>1</v>
      </c>
      <c r="D6" s="31">
        <v>2023</v>
      </c>
      <c r="E6" s="34">
        <f>'Hotel Data'!E8</f>
        <v>596</v>
      </c>
      <c r="F6" s="34">
        <f>'Hotel Data'!G8</f>
        <v>0</v>
      </c>
      <c r="G6" s="34">
        <f>'Hotel Data'!O8</f>
        <v>1</v>
      </c>
      <c r="H6" s="34">
        <f>'Hotel Data'!Q8</f>
        <v>16</v>
      </c>
      <c r="I6" s="34">
        <f>'Hotel Data'!S8</f>
        <v>0</v>
      </c>
      <c r="J6" s="34">
        <f>'Hotel Data'!U8</f>
        <v>43</v>
      </c>
      <c r="K6" s="34">
        <f>'Hotel Data'!AD8</f>
        <v>216</v>
      </c>
      <c r="L6" s="34">
        <f>'Hotel Data'!AG8</f>
        <v>1049</v>
      </c>
      <c r="M6" s="34">
        <f>'Hotel Data'!AJ8</f>
        <v>0</v>
      </c>
      <c r="N6" s="34">
        <f>'Hotel Data'!AN8</f>
        <v>344</v>
      </c>
      <c r="O6" s="34">
        <f>'Hotel Data'!AR8</f>
        <v>200</v>
      </c>
      <c r="P6" s="32">
        <f>TOTAL!K5</f>
        <v>60</v>
      </c>
    </row>
    <row r="7" spans="1:16" s="32" customFormat="1" x14ac:dyDescent="0.25">
      <c r="A7" s="32" t="s">
        <v>40</v>
      </c>
      <c r="B7" s="32">
        <f t="shared" si="0"/>
        <v>5</v>
      </c>
      <c r="C7" s="33">
        <v>1</v>
      </c>
      <c r="D7" s="31">
        <v>2023</v>
      </c>
      <c r="E7" s="34">
        <f>'Hotel Data'!E9</f>
        <v>503</v>
      </c>
      <c r="F7" s="34">
        <f>'Hotel Data'!G9</f>
        <v>0</v>
      </c>
      <c r="G7" s="34">
        <f>'Hotel Data'!O9</f>
        <v>1</v>
      </c>
      <c r="H7" s="34">
        <f>'Hotel Data'!Q9</f>
        <v>15</v>
      </c>
      <c r="I7" s="34">
        <f>'Hotel Data'!S9</f>
        <v>0</v>
      </c>
      <c r="J7" s="34">
        <f>'Hotel Data'!U9</f>
        <v>35</v>
      </c>
      <c r="K7" s="34">
        <f>'Hotel Data'!AD9</f>
        <v>251</v>
      </c>
      <c r="L7" s="34">
        <f>'Hotel Data'!AG9</f>
        <v>1070</v>
      </c>
      <c r="M7" s="34">
        <f>'Hotel Data'!AJ9</f>
        <v>0</v>
      </c>
      <c r="N7" s="34">
        <f>'Hotel Data'!AN9</f>
        <v>540</v>
      </c>
      <c r="O7" s="34">
        <f>'Hotel Data'!AR9</f>
        <v>256</v>
      </c>
      <c r="P7" s="32">
        <f>TOTAL!K6</f>
        <v>63</v>
      </c>
    </row>
    <row r="8" spans="1:16" s="32" customFormat="1" x14ac:dyDescent="0.25">
      <c r="A8" s="32" t="s">
        <v>40</v>
      </c>
      <c r="B8" s="32">
        <f t="shared" si="0"/>
        <v>6</v>
      </c>
      <c r="C8" s="33">
        <v>1</v>
      </c>
      <c r="D8" s="31">
        <v>2023</v>
      </c>
      <c r="E8" s="34">
        <f>'Hotel Data'!E10</f>
        <v>522</v>
      </c>
      <c r="F8" s="34">
        <f>'Hotel Data'!G10</f>
        <v>0</v>
      </c>
      <c r="G8" s="34">
        <f>'Hotel Data'!O10</f>
        <v>1</v>
      </c>
      <c r="H8" s="34">
        <f>'Hotel Data'!Q10</f>
        <v>15</v>
      </c>
      <c r="I8" s="34">
        <f>'Hotel Data'!S10</f>
        <v>0</v>
      </c>
      <c r="J8" s="34">
        <f>'Hotel Data'!U10</f>
        <v>37</v>
      </c>
      <c r="K8" s="34">
        <f>'Hotel Data'!AD10</f>
        <v>248</v>
      </c>
      <c r="L8" s="34">
        <f>'Hotel Data'!AG10</f>
        <v>1061</v>
      </c>
      <c r="M8" s="34">
        <f>'Hotel Data'!AJ10</f>
        <v>0</v>
      </c>
      <c r="N8" s="34">
        <f>'Hotel Data'!AN10</f>
        <v>542</v>
      </c>
      <c r="O8" s="34">
        <f>'Hotel Data'!AR10</f>
        <v>256</v>
      </c>
      <c r="P8" s="32">
        <f>TOTAL!K7</f>
        <v>69</v>
      </c>
    </row>
    <row r="9" spans="1:16" s="32" customFormat="1" x14ac:dyDescent="0.25">
      <c r="A9" s="32" t="s">
        <v>40</v>
      </c>
      <c r="B9" s="32">
        <f t="shared" si="0"/>
        <v>7</v>
      </c>
      <c r="C9" s="33">
        <v>1</v>
      </c>
      <c r="D9" s="31">
        <v>2023</v>
      </c>
      <c r="E9" s="34">
        <f>'Hotel Data'!E11</f>
        <v>595</v>
      </c>
      <c r="F9" s="34">
        <f>'Hotel Data'!G11</f>
        <v>0</v>
      </c>
      <c r="G9" s="34">
        <f>'Hotel Data'!O11</f>
        <v>0</v>
      </c>
      <c r="H9" s="34">
        <f>'Hotel Data'!Q11</f>
        <v>17</v>
      </c>
      <c r="I9" s="34">
        <f>'Hotel Data'!S11</f>
        <v>0</v>
      </c>
      <c r="J9" s="34">
        <f>'Hotel Data'!U11</f>
        <v>45</v>
      </c>
      <c r="K9" s="34">
        <f>'Hotel Data'!AD11</f>
        <v>230</v>
      </c>
      <c r="L9" s="34">
        <f>'Hotel Data'!AG11</f>
        <v>1154</v>
      </c>
      <c r="M9" s="34">
        <f>'Hotel Data'!AJ11</f>
        <v>0</v>
      </c>
      <c r="N9" s="34">
        <f>'Hotel Data'!AN11</f>
        <v>580</v>
      </c>
      <c r="O9" s="34">
        <f>'Hotel Data'!AR11</f>
        <v>280</v>
      </c>
      <c r="P9" s="32">
        <f>TOTAL!K8</f>
        <v>71</v>
      </c>
    </row>
    <row r="10" spans="1:16" s="32" customFormat="1" x14ac:dyDescent="0.25">
      <c r="A10" s="32" t="s">
        <v>40</v>
      </c>
      <c r="B10" s="32">
        <f t="shared" si="0"/>
        <v>8</v>
      </c>
      <c r="C10" s="33">
        <v>1</v>
      </c>
      <c r="D10" s="31">
        <v>2023</v>
      </c>
      <c r="E10" s="34">
        <f>'Hotel Data'!E12</f>
        <v>572</v>
      </c>
      <c r="F10" s="34">
        <f>'Hotel Data'!G12</f>
        <v>2</v>
      </c>
      <c r="G10" s="34">
        <f>'Hotel Data'!O12</f>
        <v>0</v>
      </c>
      <c r="H10" s="34">
        <f>'Hotel Data'!Q12</f>
        <v>19</v>
      </c>
      <c r="I10" s="34">
        <f>'Hotel Data'!S12</f>
        <v>0</v>
      </c>
      <c r="J10" s="34">
        <f>'Hotel Data'!U12</f>
        <v>41</v>
      </c>
      <c r="K10" s="34">
        <f>'Hotel Data'!AD12</f>
        <v>238</v>
      </c>
      <c r="L10" s="34">
        <f>'Hotel Data'!AG12</f>
        <v>1104</v>
      </c>
      <c r="M10" s="34">
        <f>'Hotel Data'!AJ12</f>
        <v>0</v>
      </c>
      <c r="N10" s="34">
        <f>'Hotel Data'!AN12</f>
        <v>565</v>
      </c>
      <c r="O10" s="34">
        <f>'Hotel Data'!AR12</f>
        <v>296</v>
      </c>
      <c r="P10" s="32">
        <f>TOTAL!K9</f>
        <v>63</v>
      </c>
    </row>
    <row r="11" spans="1:16" s="32" customFormat="1" x14ac:dyDescent="0.25">
      <c r="A11" s="32" t="s">
        <v>40</v>
      </c>
      <c r="B11" s="32">
        <f t="shared" si="0"/>
        <v>9</v>
      </c>
      <c r="C11" s="33">
        <v>1</v>
      </c>
      <c r="D11" s="31">
        <v>2023</v>
      </c>
      <c r="E11" s="34">
        <f>'Hotel Data'!E13</f>
        <v>560</v>
      </c>
      <c r="F11" s="34">
        <f>'Hotel Data'!G13</f>
        <v>0</v>
      </c>
      <c r="G11" s="34">
        <f>'Hotel Data'!O13</f>
        <v>0</v>
      </c>
      <c r="H11" s="34">
        <f>'Hotel Data'!Q13</f>
        <v>19</v>
      </c>
      <c r="I11" s="34">
        <f>'Hotel Data'!S13</f>
        <v>0</v>
      </c>
      <c r="J11" s="34">
        <f>'Hotel Data'!U13</f>
        <v>41</v>
      </c>
      <c r="K11" s="34">
        <f>'Hotel Data'!AD13</f>
        <v>217</v>
      </c>
      <c r="L11" s="34">
        <f>'Hotel Data'!AG13</f>
        <v>1041</v>
      </c>
      <c r="M11" s="34">
        <f>'Hotel Data'!AJ13</f>
        <v>0</v>
      </c>
      <c r="N11" s="34">
        <f>'Hotel Data'!AN13</f>
        <v>497</v>
      </c>
      <c r="O11" s="34">
        <f>'Hotel Data'!AR13</f>
        <v>288</v>
      </c>
      <c r="P11" s="32">
        <f>TOTAL!K10</f>
        <v>68</v>
      </c>
    </row>
    <row r="12" spans="1:16" s="32" customFormat="1" x14ac:dyDescent="0.25">
      <c r="A12" s="32" t="s">
        <v>40</v>
      </c>
      <c r="B12" s="32">
        <f t="shared" si="0"/>
        <v>10</v>
      </c>
      <c r="C12" s="33">
        <v>1</v>
      </c>
      <c r="D12" s="31">
        <v>2023</v>
      </c>
      <c r="E12" s="34">
        <f>'Hotel Data'!E14</f>
        <v>438</v>
      </c>
      <c r="F12" s="34">
        <f>'Hotel Data'!G14</f>
        <v>0</v>
      </c>
      <c r="G12" s="34">
        <f>'Hotel Data'!O14</f>
        <v>0</v>
      </c>
      <c r="H12" s="34">
        <f>'Hotel Data'!Q14</f>
        <v>15</v>
      </c>
      <c r="I12" s="34">
        <f>'Hotel Data'!S14</f>
        <v>0</v>
      </c>
      <c r="J12" s="34">
        <f>'Hotel Data'!U14</f>
        <v>28</v>
      </c>
      <c r="K12" s="34">
        <f>'Hotel Data'!AD14</f>
        <v>253</v>
      </c>
      <c r="L12" s="34">
        <f>'Hotel Data'!AG14</f>
        <v>1047</v>
      </c>
      <c r="M12" s="34">
        <f>'Hotel Data'!AJ14</f>
        <v>0</v>
      </c>
      <c r="N12" s="34">
        <f>'Hotel Data'!AN14</f>
        <v>541</v>
      </c>
      <c r="O12" s="34">
        <f>'Hotel Data'!AR14</f>
        <v>280</v>
      </c>
      <c r="P12" s="32">
        <f>TOTAL!K11</f>
        <v>79</v>
      </c>
    </row>
    <row r="13" spans="1:16" s="32" customFormat="1" x14ac:dyDescent="0.25">
      <c r="A13" s="32" t="s">
        <v>40</v>
      </c>
      <c r="B13" s="32">
        <f t="shared" si="0"/>
        <v>11</v>
      </c>
      <c r="C13" s="33">
        <v>1</v>
      </c>
      <c r="D13" s="31">
        <v>2023</v>
      </c>
      <c r="E13" s="34">
        <f>'Hotel Data'!E15</f>
        <v>660</v>
      </c>
      <c r="F13" s="34">
        <f>'Hotel Data'!G15</f>
        <v>0</v>
      </c>
      <c r="G13" s="34">
        <f>'Hotel Data'!O15</f>
        <v>0</v>
      </c>
      <c r="H13" s="34">
        <f>'Hotel Data'!Q15</f>
        <v>20</v>
      </c>
      <c r="I13" s="34">
        <f>'Hotel Data'!S15</f>
        <v>0</v>
      </c>
      <c r="J13" s="34">
        <f>'Hotel Data'!U15</f>
        <v>42</v>
      </c>
      <c r="K13" s="34">
        <f>'Hotel Data'!AD15</f>
        <v>236</v>
      </c>
      <c r="L13" s="34">
        <f>'Hotel Data'!AG15</f>
        <v>1142</v>
      </c>
      <c r="M13" s="34">
        <f>'Hotel Data'!AJ15</f>
        <v>0</v>
      </c>
      <c r="N13" s="34">
        <f>'Hotel Data'!AN15</f>
        <v>529</v>
      </c>
      <c r="O13" s="34">
        <f>'Hotel Data'!AR15</f>
        <v>288</v>
      </c>
      <c r="P13" s="32">
        <f>TOTAL!K12</f>
        <v>80</v>
      </c>
    </row>
    <row r="14" spans="1:16" s="32" customFormat="1" x14ac:dyDescent="0.25">
      <c r="A14" s="32" t="s">
        <v>40</v>
      </c>
      <c r="B14" s="32">
        <f t="shared" si="0"/>
        <v>12</v>
      </c>
      <c r="C14" s="33">
        <v>1</v>
      </c>
      <c r="D14" s="31">
        <v>2023</v>
      </c>
      <c r="E14" s="34">
        <f>'Hotel Data'!E16</f>
        <v>757</v>
      </c>
      <c r="F14" s="34">
        <f>'Hotel Data'!G16</f>
        <v>0</v>
      </c>
      <c r="G14" s="34">
        <f>'Hotel Data'!O16</f>
        <v>0</v>
      </c>
      <c r="H14" s="34">
        <f>'Hotel Data'!Q16</f>
        <v>16</v>
      </c>
      <c r="I14" s="34">
        <f>'Hotel Data'!S16</f>
        <v>0</v>
      </c>
      <c r="J14" s="34">
        <f>'Hotel Data'!U16</f>
        <v>47</v>
      </c>
      <c r="K14" s="34">
        <f>'Hotel Data'!AD16</f>
        <v>227</v>
      </c>
      <c r="L14" s="34">
        <f>'Hotel Data'!AG16</f>
        <v>1108</v>
      </c>
      <c r="M14" s="34">
        <f>'Hotel Data'!AJ16</f>
        <v>0</v>
      </c>
      <c r="N14" s="34">
        <f>'Hotel Data'!AN16</f>
        <v>500</v>
      </c>
      <c r="O14" s="34">
        <f>'Hotel Data'!AR16</f>
        <v>288</v>
      </c>
      <c r="P14" s="32">
        <f>TOTAL!K13</f>
        <v>83</v>
      </c>
    </row>
    <row r="15" spans="1:16" s="32" customFormat="1" x14ac:dyDescent="0.25">
      <c r="A15" s="32" t="s">
        <v>40</v>
      </c>
      <c r="B15" s="32">
        <f t="shared" si="0"/>
        <v>13</v>
      </c>
      <c r="C15" s="33">
        <v>1</v>
      </c>
      <c r="D15" s="31">
        <v>2023</v>
      </c>
      <c r="E15" s="34">
        <f>'Hotel Data'!E17</f>
        <v>675</v>
      </c>
      <c r="F15" s="34">
        <f>'Hotel Data'!G17</f>
        <v>1</v>
      </c>
      <c r="G15" s="34">
        <f>'Hotel Data'!O17</f>
        <v>0</v>
      </c>
      <c r="H15" s="34">
        <f>'Hotel Data'!Q17</f>
        <v>17</v>
      </c>
      <c r="I15" s="34">
        <f>'Hotel Data'!S17</f>
        <v>0</v>
      </c>
      <c r="J15" s="34">
        <f>'Hotel Data'!U17</f>
        <v>43</v>
      </c>
      <c r="K15" s="34">
        <f>'Hotel Data'!AD17</f>
        <v>227</v>
      </c>
      <c r="L15" s="34">
        <f>'Hotel Data'!AG17</f>
        <v>1156</v>
      </c>
      <c r="M15" s="34">
        <f>'Hotel Data'!AJ17</f>
        <v>0</v>
      </c>
      <c r="N15" s="34">
        <f>'Hotel Data'!AN17</f>
        <v>540</v>
      </c>
      <c r="O15" s="34">
        <f>'Hotel Data'!AR17</f>
        <v>320</v>
      </c>
      <c r="P15" s="32">
        <f>TOTAL!K14</f>
        <v>100</v>
      </c>
    </row>
    <row r="16" spans="1:16" s="32" customFormat="1" x14ac:dyDescent="0.25">
      <c r="A16" s="32" t="s">
        <v>40</v>
      </c>
      <c r="B16" s="32">
        <f t="shared" si="0"/>
        <v>14</v>
      </c>
      <c r="C16" s="33">
        <v>1</v>
      </c>
      <c r="D16" s="31">
        <v>2023</v>
      </c>
      <c r="E16" s="34">
        <f>'Hotel Data'!E18</f>
        <v>761</v>
      </c>
      <c r="F16" s="34">
        <f>'Hotel Data'!G18</f>
        <v>0</v>
      </c>
      <c r="G16" s="34">
        <f>'Hotel Data'!O18</f>
        <v>0</v>
      </c>
      <c r="H16" s="34">
        <f>'Hotel Data'!Q18</f>
        <v>13</v>
      </c>
      <c r="I16" s="34">
        <f>'Hotel Data'!S18</f>
        <v>0</v>
      </c>
      <c r="J16" s="34">
        <f>'Hotel Data'!U18</f>
        <v>40</v>
      </c>
      <c r="K16" s="34">
        <f>'Hotel Data'!AD18</f>
        <v>239</v>
      </c>
      <c r="L16" s="34">
        <f>'Hotel Data'!AG18</f>
        <v>1189</v>
      </c>
      <c r="M16" s="34">
        <f>'Hotel Data'!AJ18</f>
        <v>0</v>
      </c>
      <c r="N16" s="34">
        <f>'Hotel Data'!AN18</f>
        <v>587</v>
      </c>
      <c r="O16" s="34">
        <f>'Hotel Data'!AR18</f>
        <v>304</v>
      </c>
      <c r="P16" s="32">
        <f>TOTAL!K15</f>
        <v>66</v>
      </c>
    </row>
    <row r="17" spans="1:16" s="32" customFormat="1" x14ac:dyDescent="0.25">
      <c r="A17" s="32" t="s">
        <v>40</v>
      </c>
      <c r="B17" s="32">
        <f t="shared" si="0"/>
        <v>15</v>
      </c>
      <c r="C17" s="33">
        <v>1</v>
      </c>
      <c r="D17" s="31">
        <v>2023</v>
      </c>
      <c r="E17" s="34">
        <f>'Hotel Data'!E19</f>
        <v>757</v>
      </c>
      <c r="F17" s="34">
        <f>'Hotel Data'!G19</f>
        <v>0</v>
      </c>
      <c r="G17" s="34">
        <f>'Hotel Data'!O19</f>
        <v>0</v>
      </c>
      <c r="H17" s="34">
        <f>'Hotel Data'!Q19</f>
        <v>16</v>
      </c>
      <c r="I17" s="34">
        <f>'Hotel Data'!S19</f>
        <v>0</v>
      </c>
      <c r="J17" s="34">
        <f>'Hotel Data'!U19</f>
        <v>51</v>
      </c>
      <c r="K17" s="34">
        <f>'Hotel Data'!AD19</f>
        <v>240</v>
      </c>
      <c r="L17" s="34">
        <f>'Hotel Data'!AG19</f>
        <v>1117</v>
      </c>
      <c r="M17" s="34">
        <f>'Hotel Data'!AJ19</f>
        <v>0</v>
      </c>
      <c r="N17" s="34">
        <f>'Hotel Data'!AN19</f>
        <v>521</v>
      </c>
      <c r="O17" s="34">
        <f>'Hotel Data'!AR19</f>
        <v>304</v>
      </c>
      <c r="P17" s="32">
        <f>TOTAL!K16</f>
        <v>53</v>
      </c>
    </row>
    <row r="18" spans="1:16" s="32" customFormat="1" x14ac:dyDescent="0.25">
      <c r="A18" s="32" t="s">
        <v>40</v>
      </c>
      <c r="B18" s="32">
        <f t="shared" si="0"/>
        <v>16</v>
      </c>
      <c r="C18" s="33">
        <v>1</v>
      </c>
      <c r="D18" s="31">
        <v>2023</v>
      </c>
      <c r="E18" s="34">
        <f>'Hotel Data'!E20</f>
        <v>833</v>
      </c>
      <c r="F18" s="34">
        <f>'Hotel Data'!G20</f>
        <v>0</v>
      </c>
      <c r="G18" s="34">
        <f>'Hotel Data'!O20</f>
        <v>0</v>
      </c>
      <c r="H18" s="34">
        <f>'Hotel Data'!Q20</f>
        <v>20</v>
      </c>
      <c r="I18" s="34">
        <f>'Hotel Data'!S20</f>
        <v>1</v>
      </c>
      <c r="J18" s="34">
        <f>'Hotel Data'!U20</f>
        <v>49</v>
      </c>
      <c r="K18" s="34">
        <f>'Hotel Data'!AD20</f>
        <v>223</v>
      </c>
      <c r="L18" s="34">
        <f>'Hotel Data'!AG20</f>
        <v>1131</v>
      </c>
      <c r="M18" s="34">
        <f>'Hotel Data'!AJ20</f>
        <v>0</v>
      </c>
      <c r="N18" s="34">
        <f>'Hotel Data'!AN20</f>
        <v>530</v>
      </c>
      <c r="O18" s="34">
        <f>'Hotel Data'!AR20</f>
        <v>240</v>
      </c>
      <c r="P18" s="32">
        <f>TOTAL!K17</f>
        <v>56</v>
      </c>
    </row>
    <row r="19" spans="1:16" s="32" customFormat="1" x14ac:dyDescent="0.25">
      <c r="A19" s="32" t="s">
        <v>40</v>
      </c>
      <c r="B19" s="32">
        <f t="shared" si="0"/>
        <v>17</v>
      </c>
      <c r="C19" s="33">
        <v>1</v>
      </c>
      <c r="D19" s="31">
        <v>2023</v>
      </c>
      <c r="E19" s="34">
        <f>'Hotel Data'!E21</f>
        <v>948</v>
      </c>
      <c r="F19" s="34">
        <f>'Hotel Data'!G21</f>
        <v>3</v>
      </c>
      <c r="G19" s="34">
        <f>'Hotel Data'!O21</f>
        <v>0</v>
      </c>
      <c r="H19" s="34">
        <f>'Hotel Data'!Q21</f>
        <v>16</v>
      </c>
      <c r="I19" s="34">
        <f>'Hotel Data'!S21</f>
        <v>0</v>
      </c>
      <c r="J19" s="34">
        <f>'Hotel Data'!U21</f>
        <v>36</v>
      </c>
      <c r="K19" s="34">
        <f>'Hotel Data'!AD21</f>
        <v>222</v>
      </c>
      <c r="L19" s="34">
        <f>'Hotel Data'!AG21</f>
        <v>1188</v>
      </c>
      <c r="M19" s="34">
        <f>'Hotel Data'!AJ21</f>
        <v>0</v>
      </c>
      <c r="N19" s="34">
        <f>'Hotel Data'!AN21</f>
        <v>617</v>
      </c>
      <c r="O19" s="34">
        <f>'Hotel Data'!AR21</f>
        <v>264</v>
      </c>
      <c r="P19" s="32">
        <f>TOTAL!K18</f>
        <v>68</v>
      </c>
    </row>
    <row r="20" spans="1:16" s="32" customFormat="1" x14ac:dyDescent="0.25">
      <c r="A20" s="32" t="s">
        <v>40</v>
      </c>
      <c r="B20" s="32">
        <f t="shared" si="0"/>
        <v>18</v>
      </c>
      <c r="C20" s="33">
        <v>1</v>
      </c>
      <c r="D20" s="31">
        <v>2023</v>
      </c>
      <c r="E20" s="34">
        <f>'Hotel Data'!E22</f>
        <v>1006</v>
      </c>
      <c r="F20" s="34">
        <f>'Hotel Data'!G22</f>
        <v>0</v>
      </c>
      <c r="G20" s="34">
        <f>'Hotel Data'!O22</f>
        <v>0</v>
      </c>
      <c r="H20" s="34">
        <f>'Hotel Data'!Q22</f>
        <v>14</v>
      </c>
      <c r="I20" s="34">
        <f>'Hotel Data'!S22</f>
        <v>0</v>
      </c>
      <c r="J20" s="34">
        <f>'Hotel Data'!U22</f>
        <v>36</v>
      </c>
      <c r="K20" s="34">
        <f>'Hotel Data'!AD22</f>
        <v>228</v>
      </c>
      <c r="L20" s="34">
        <f>'Hotel Data'!AG22</f>
        <v>1112</v>
      </c>
      <c r="M20" s="34">
        <f>'Hotel Data'!AJ22</f>
        <v>0</v>
      </c>
      <c r="N20" s="34">
        <f>'Hotel Data'!AN22</f>
        <v>536</v>
      </c>
      <c r="O20" s="34">
        <f>'Hotel Data'!AR22</f>
        <v>256</v>
      </c>
      <c r="P20" s="32">
        <f>TOTAL!K19</f>
        <v>64</v>
      </c>
    </row>
    <row r="21" spans="1:16" s="32" customFormat="1" x14ac:dyDescent="0.25">
      <c r="A21" s="32" t="s">
        <v>40</v>
      </c>
      <c r="B21" s="32">
        <f t="shared" si="0"/>
        <v>19</v>
      </c>
      <c r="C21" s="33">
        <v>1</v>
      </c>
      <c r="D21" s="31">
        <v>2023</v>
      </c>
      <c r="E21" s="34">
        <f>'Hotel Data'!E23</f>
        <v>1061</v>
      </c>
      <c r="F21" s="34">
        <f>'Hotel Data'!G23</f>
        <v>1</v>
      </c>
      <c r="G21" s="34">
        <f>'Hotel Data'!O23</f>
        <v>0</v>
      </c>
      <c r="H21" s="34">
        <f>'Hotel Data'!Q23</f>
        <v>15</v>
      </c>
      <c r="I21" s="34">
        <f>'Hotel Data'!S23</f>
        <v>0</v>
      </c>
      <c r="J21" s="34">
        <f>'Hotel Data'!U23</f>
        <v>41</v>
      </c>
      <c r="K21" s="34">
        <f>'Hotel Data'!AD23</f>
        <v>232</v>
      </c>
      <c r="L21" s="34">
        <f>'Hotel Data'!AG23</f>
        <v>1219</v>
      </c>
      <c r="M21" s="34">
        <f>'Hotel Data'!AJ23</f>
        <v>0</v>
      </c>
      <c r="N21" s="34">
        <f>'Hotel Data'!AN23</f>
        <v>578</v>
      </c>
      <c r="O21" s="34">
        <f>'Hotel Data'!AR23</f>
        <v>280</v>
      </c>
      <c r="P21" s="32">
        <f>TOTAL!K20</f>
        <v>0</v>
      </c>
    </row>
    <row r="22" spans="1:16" s="32" customFormat="1" x14ac:dyDescent="0.25">
      <c r="A22" s="32" t="s">
        <v>40</v>
      </c>
      <c r="B22" s="32">
        <f t="shared" si="0"/>
        <v>20</v>
      </c>
      <c r="C22" s="33">
        <v>1</v>
      </c>
      <c r="D22" s="31">
        <v>2023</v>
      </c>
      <c r="E22" s="34">
        <f>'Hotel Data'!E24</f>
        <v>0</v>
      </c>
      <c r="F22" s="34">
        <f>'Hotel Data'!G24</f>
        <v>0</v>
      </c>
      <c r="G22" s="34">
        <f>'Hotel Data'!O24</f>
        <v>0</v>
      </c>
      <c r="H22" s="34">
        <f>'Hotel Data'!Q24</f>
        <v>0</v>
      </c>
      <c r="I22" s="34">
        <f>'Hotel Data'!S24</f>
        <v>0</v>
      </c>
      <c r="J22" s="34">
        <f>'Hotel Data'!U24</f>
        <v>0</v>
      </c>
      <c r="K22" s="34">
        <f>'Hotel Data'!AD24</f>
        <v>0</v>
      </c>
      <c r="L22" s="34">
        <f>'Hotel Data'!AG24</f>
        <v>0</v>
      </c>
      <c r="M22" s="34">
        <f>'Hotel Data'!AJ24</f>
        <v>0</v>
      </c>
      <c r="N22" s="34">
        <f>'Hotel Data'!AN24</f>
        <v>0</v>
      </c>
      <c r="O22" s="34">
        <f>'Hotel Data'!AR24</f>
        <v>0</v>
      </c>
      <c r="P22" s="32">
        <f>TOTAL!K21</f>
        <v>0</v>
      </c>
    </row>
    <row r="23" spans="1:16" s="32" customFormat="1" x14ac:dyDescent="0.25">
      <c r="A23" s="32" t="s">
        <v>40</v>
      </c>
      <c r="B23" s="32">
        <f t="shared" si="0"/>
        <v>21</v>
      </c>
      <c r="C23" s="33">
        <v>1</v>
      </c>
      <c r="D23" s="31">
        <v>2023</v>
      </c>
      <c r="E23" s="34">
        <f>'Hotel Data'!E25</f>
        <v>0</v>
      </c>
      <c r="F23" s="34">
        <f>'Hotel Data'!G25</f>
        <v>0</v>
      </c>
      <c r="G23" s="34">
        <f>'Hotel Data'!O25</f>
        <v>0</v>
      </c>
      <c r="H23" s="34">
        <f>'Hotel Data'!Q25</f>
        <v>0</v>
      </c>
      <c r="I23" s="34">
        <f>'Hotel Data'!S25</f>
        <v>0</v>
      </c>
      <c r="J23" s="34">
        <f>'Hotel Data'!U25</f>
        <v>0</v>
      </c>
      <c r="K23" s="34">
        <f>'Hotel Data'!AD25</f>
        <v>0</v>
      </c>
      <c r="L23" s="34">
        <f>'Hotel Data'!AG25</f>
        <v>0</v>
      </c>
      <c r="M23" s="34">
        <f>'Hotel Data'!AJ25</f>
        <v>0</v>
      </c>
      <c r="N23" s="34">
        <f>'Hotel Data'!AN25</f>
        <v>0</v>
      </c>
      <c r="O23" s="34">
        <f>'Hotel Data'!AR25</f>
        <v>0</v>
      </c>
      <c r="P23" s="32">
        <f>TOTAL!K22</f>
        <v>0</v>
      </c>
    </row>
    <row r="24" spans="1:16" s="32" customFormat="1" x14ac:dyDescent="0.25">
      <c r="A24" s="32" t="s">
        <v>40</v>
      </c>
      <c r="B24" s="32">
        <f t="shared" si="0"/>
        <v>22</v>
      </c>
      <c r="C24" s="33">
        <v>1</v>
      </c>
      <c r="D24" s="31">
        <v>2023</v>
      </c>
      <c r="E24" s="34">
        <f>'Hotel Data'!E26</f>
        <v>0</v>
      </c>
      <c r="F24" s="34">
        <f>'Hotel Data'!G26</f>
        <v>0</v>
      </c>
      <c r="G24" s="34">
        <f>'Hotel Data'!O26</f>
        <v>0</v>
      </c>
      <c r="H24" s="34">
        <f>'Hotel Data'!Q26</f>
        <v>0</v>
      </c>
      <c r="I24" s="34">
        <f>'Hotel Data'!S26</f>
        <v>0</v>
      </c>
      <c r="J24" s="34">
        <f>'Hotel Data'!U26</f>
        <v>0</v>
      </c>
      <c r="K24" s="34">
        <f>'Hotel Data'!AD26</f>
        <v>0</v>
      </c>
      <c r="L24" s="34">
        <f>'Hotel Data'!AG26</f>
        <v>0</v>
      </c>
      <c r="M24" s="34">
        <f>'Hotel Data'!AJ26</f>
        <v>0</v>
      </c>
      <c r="N24" s="34">
        <f>'Hotel Data'!AN26</f>
        <v>0</v>
      </c>
      <c r="O24" s="34">
        <f>'Hotel Data'!AR26</f>
        <v>0</v>
      </c>
      <c r="P24" s="32">
        <f>TOTAL!K23</f>
        <v>0</v>
      </c>
    </row>
    <row r="25" spans="1:16" s="32" customFormat="1" x14ac:dyDescent="0.25">
      <c r="A25" s="32" t="s">
        <v>40</v>
      </c>
      <c r="B25" s="32">
        <f t="shared" si="0"/>
        <v>23</v>
      </c>
      <c r="C25" s="33">
        <v>1</v>
      </c>
      <c r="D25" s="31">
        <v>2023</v>
      </c>
      <c r="E25" s="34">
        <f>'Hotel Data'!E27</f>
        <v>0</v>
      </c>
      <c r="F25" s="34">
        <f>'Hotel Data'!G27</f>
        <v>0</v>
      </c>
      <c r="G25" s="34">
        <f>'Hotel Data'!O27</f>
        <v>0</v>
      </c>
      <c r="H25" s="34">
        <f>'Hotel Data'!Q27</f>
        <v>0</v>
      </c>
      <c r="I25" s="34">
        <f>'Hotel Data'!S27</f>
        <v>0</v>
      </c>
      <c r="J25" s="34">
        <f>'Hotel Data'!U27</f>
        <v>0</v>
      </c>
      <c r="K25" s="34">
        <f>'Hotel Data'!AD27</f>
        <v>0</v>
      </c>
      <c r="L25" s="34">
        <f>'Hotel Data'!AG27</f>
        <v>0</v>
      </c>
      <c r="M25" s="34">
        <f>'Hotel Data'!AJ27</f>
        <v>0</v>
      </c>
      <c r="N25" s="34">
        <f>'Hotel Data'!AN27</f>
        <v>0</v>
      </c>
      <c r="O25" s="34">
        <f>'Hotel Data'!AR27</f>
        <v>0</v>
      </c>
      <c r="P25" s="32">
        <f>TOTAL!K24</f>
        <v>0</v>
      </c>
    </row>
    <row r="26" spans="1:16" s="32" customFormat="1" x14ac:dyDescent="0.25">
      <c r="A26" s="32" t="s">
        <v>40</v>
      </c>
      <c r="B26" s="32">
        <f t="shared" si="0"/>
        <v>24</v>
      </c>
      <c r="C26" s="33">
        <v>1</v>
      </c>
      <c r="D26" s="31">
        <v>2023</v>
      </c>
      <c r="E26" s="34">
        <f>'Hotel Data'!E28</f>
        <v>0</v>
      </c>
      <c r="F26" s="34">
        <f>'Hotel Data'!G28</f>
        <v>0</v>
      </c>
      <c r="G26" s="34">
        <f>'Hotel Data'!O28</f>
        <v>0</v>
      </c>
      <c r="H26" s="34">
        <f>'Hotel Data'!Q28</f>
        <v>0</v>
      </c>
      <c r="I26" s="34">
        <f>'Hotel Data'!S28</f>
        <v>0</v>
      </c>
      <c r="J26" s="34">
        <f>'Hotel Data'!U28</f>
        <v>0</v>
      </c>
      <c r="K26" s="34">
        <f>'Hotel Data'!AD28</f>
        <v>0</v>
      </c>
      <c r="L26" s="34">
        <f>'Hotel Data'!AG28</f>
        <v>0</v>
      </c>
      <c r="M26" s="34">
        <f>'Hotel Data'!AJ28</f>
        <v>0</v>
      </c>
      <c r="N26" s="34">
        <f>'Hotel Data'!AN28</f>
        <v>0</v>
      </c>
      <c r="O26" s="34">
        <f>'Hotel Data'!AR28</f>
        <v>0</v>
      </c>
      <c r="P26" s="32">
        <f>TOTAL!K25</f>
        <v>0</v>
      </c>
    </row>
    <row r="27" spans="1:16" s="32" customFormat="1" x14ac:dyDescent="0.25">
      <c r="A27" s="32" t="s">
        <v>40</v>
      </c>
      <c r="B27" s="32">
        <f>B26+1</f>
        <v>25</v>
      </c>
      <c r="C27" s="33">
        <v>1</v>
      </c>
      <c r="D27" s="31">
        <v>2023</v>
      </c>
      <c r="E27" s="34">
        <f>'Hotel Data'!E29</f>
        <v>0</v>
      </c>
      <c r="F27" s="34">
        <f>'Hotel Data'!G29</f>
        <v>0</v>
      </c>
      <c r="G27" s="34">
        <f>'Hotel Data'!O29</f>
        <v>0</v>
      </c>
      <c r="H27" s="34">
        <f>'Hotel Data'!Q29</f>
        <v>0</v>
      </c>
      <c r="I27" s="34">
        <f>'Hotel Data'!S29</f>
        <v>0</v>
      </c>
      <c r="J27" s="34">
        <f>'Hotel Data'!U29</f>
        <v>0</v>
      </c>
      <c r="K27" s="34">
        <f>'Hotel Data'!AD29</f>
        <v>0</v>
      </c>
      <c r="L27" s="34">
        <f>'Hotel Data'!AG29</f>
        <v>0</v>
      </c>
      <c r="M27" s="34">
        <f>'Hotel Data'!AJ29</f>
        <v>0</v>
      </c>
      <c r="N27" s="34">
        <f>'Hotel Data'!AN29</f>
        <v>0</v>
      </c>
      <c r="O27" s="34">
        <f>'Hotel Data'!AR29</f>
        <v>0</v>
      </c>
      <c r="P27" s="32">
        <f>TOTAL!K26</f>
        <v>0</v>
      </c>
    </row>
    <row r="28" spans="1:16" s="32" customFormat="1" x14ac:dyDescent="0.25">
      <c r="A28" s="32" t="s">
        <v>40</v>
      </c>
      <c r="B28" s="32">
        <f t="shared" si="0"/>
        <v>26</v>
      </c>
      <c r="C28" s="33">
        <v>1</v>
      </c>
      <c r="D28" s="31">
        <v>2023</v>
      </c>
      <c r="E28" s="34">
        <f>'Hotel Data'!E30</f>
        <v>0</v>
      </c>
      <c r="F28" s="34">
        <f>'Hotel Data'!G30</f>
        <v>0</v>
      </c>
      <c r="G28" s="34">
        <f>'Hotel Data'!O30</f>
        <v>0</v>
      </c>
      <c r="H28" s="34">
        <f>'Hotel Data'!Q30</f>
        <v>0</v>
      </c>
      <c r="I28" s="34">
        <f>'Hotel Data'!S30</f>
        <v>0</v>
      </c>
      <c r="J28" s="34">
        <f>'Hotel Data'!U30</f>
        <v>0</v>
      </c>
      <c r="K28" s="34">
        <f>'Hotel Data'!AD30</f>
        <v>0</v>
      </c>
      <c r="L28" s="34">
        <f>'Hotel Data'!AG30</f>
        <v>0</v>
      </c>
      <c r="M28" s="34">
        <f>'Hotel Data'!AJ30</f>
        <v>0</v>
      </c>
      <c r="N28" s="34">
        <f>'Hotel Data'!AN30</f>
        <v>0</v>
      </c>
      <c r="O28" s="34">
        <f>'Hotel Data'!AR30</f>
        <v>0</v>
      </c>
      <c r="P28" s="32">
        <f>TOTAL!K27</f>
        <v>0</v>
      </c>
    </row>
    <row r="29" spans="1:16" s="32" customFormat="1" x14ac:dyDescent="0.25">
      <c r="A29" s="32" t="s">
        <v>40</v>
      </c>
      <c r="B29" s="32">
        <f t="shared" si="0"/>
        <v>27</v>
      </c>
      <c r="C29" s="33">
        <v>1</v>
      </c>
      <c r="D29" s="31">
        <v>2023</v>
      </c>
      <c r="E29" s="34">
        <f>'Hotel Data'!E31</f>
        <v>0</v>
      </c>
      <c r="F29" s="34">
        <f>'Hotel Data'!G31</f>
        <v>0</v>
      </c>
      <c r="G29" s="34">
        <f>'Hotel Data'!O31</f>
        <v>0</v>
      </c>
      <c r="H29" s="34">
        <f>'Hotel Data'!Q31</f>
        <v>0</v>
      </c>
      <c r="I29" s="34">
        <f>'Hotel Data'!S31</f>
        <v>0</v>
      </c>
      <c r="J29" s="34">
        <f>'Hotel Data'!U31</f>
        <v>0</v>
      </c>
      <c r="K29" s="34">
        <f>'Hotel Data'!AD31</f>
        <v>0</v>
      </c>
      <c r="L29" s="34">
        <f>'Hotel Data'!AG31</f>
        <v>0</v>
      </c>
      <c r="M29" s="34">
        <f>'Hotel Data'!AJ31</f>
        <v>0</v>
      </c>
      <c r="N29" s="34">
        <f>'Hotel Data'!AN31</f>
        <v>0</v>
      </c>
      <c r="O29" s="34">
        <f>'Hotel Data'!AR31</f>
        <v>0</v>
      </c>
      <c r="P29" s="32">
        <f>TOTAL!K28</f>
        <v>0</v>
      </c>
    </row>
    <row r="30" spans="1:16" s="32" customFormat="1" x14ac:dyDescent="0.25">
      <c r="A30" s="32" t="s">
        <v>40</v>
      </c>
      <c r="B30" s="32">
        <f t="shared" si="0"/>
        <v>28</v>
      </c>
      <c r="C30" s="33">
        <v>1</v>
      </c>
      <c r="D30" s="31">
        <v>2023</v>
      </c>
      <c r="E30" s="34">
        <f>'Hotel Data'!E32</f>
        <v>0</v>
      </c>
      <c r="F30" s="34">
        <f>'Hotel Data'!G32</f>
        <v>0</v>
      </c>
      <c r="G30" s="34">
        <f>'Hotel Data'!O32</f>
        <v>0</v>
      </c>
      <c r="H30" s="34">
        <f>'Hotel Data'!Q32</f>
        <v>0</v>
      </c>
      <c r="I30" s="34">
        <f>'Hotel Data'!S32</f>
        <v>0</v>
      </c>
      <c r="J30" s="34">
        <f>'Hotel Data'!U32</f>
        <v>0</v>
      </c>
      <c r="K30" s="34">
        <f>'Hotel Data'!AD32</f>
        <v>0</v>
      </c>
      <c r="L30" s="34">
        <f>'Hotel Data'!AG32</f>
        <v>0</v>
      </c>
      <c r="M30" s="34">
        <f>'Hotel Data'!AJ32</f>
        <v>0</v>
      </c>
      <c r="N30" s="34">
        <f>'Hotel Data'!AN32</f>
        <v>0</v>
      </c>
      <c r="O30" s="34">
        <f>'Hotel Data'!AR32</f>
        <v>0</v>
      </c>
      <c r="P30" s="32">
        <f>TOTAL!K29</f>
        <v>0</v>
      </c>
    </row>
    <row r="31" spans="1:16" s="32" customFormat="1" x14ac:dyDescent="0.25">
      <c r="A31" s="32" t="s">
        <v>40</v>
      </c>
      <c r="B31" s="32">
        <f t="shared" si="0"/>
        <v>29</v>
      </c>
      <c r="C31" s="33">
        <v>1</v>
      </c>
      <c r="D31" s="31">
        <v>2023</v>
      </c>
      <c r="E31" s="34">
        <f>'Hotel Data'!E33</f>
        <v>0</v>
      </c>
      <c r="F31" s="34">
        <f>'Hotel Data'!G33</f>
        <v>0</v>
      </c>
      <c r="G31" s="34">
        <f>'Hotel Data'!O33</f>
        <v>0</v>
      </c>
      <c r="H31" s="34">
        <f>'Hotel Data'!Q33</f>
        <v>0</v>
      </c>
      <c r="I31" s="34">
        <f>'Hotel Data'!S33</f>
        <v>0</v>
      </c>
      <c r="J31" s="34">
        <f>'Hotel Data'!U33</f>
        <v>0</v>
      </c>
      <c r="K31" s="34">
        <f>'Hotel Data'!AD33</f>
        <v>0</v>
      </c>
      <c r="L31" s="34">
        <f>'Hotel Data'!AG33</f>
        <v>0</v>
      </c>
      <c r="M31" s="34">
        <f>'Hotel Data'!AJ33</f>
        <v>0</v>
      </c>
      <c r="N31" s="34">
        <f>'Hotel Data'!AN33</f>
        <v>0</v>
      </c>
      <c r="O31" s="34">
        <f>'Hotel Data'!AR33</f>
        <v>0</v>
      </c>
      <c r="P31" s="32">
        <f>TOTAL!K30</f>
        <v>0</v>
      </c>
    </row>
    <row r="32" spans="1:16" s="31" customFormat="1" x14ac:dyDescent="0.25">
      <c r="A32" s="31" t="s">
        <v>40</v>
      </c>
      <c r="B32" s="31">
        <f t="shared" si="0"/>
        <v>30</v>
      </c>
      <c r="C32" s="33">
        <v>1</v>
      </c>
      <c r="D32" s="31">
        <v>2023</v>
      </c>
      <c r="E32" s="34">
        <f>'Hotel Data'!E34</f>
        <v>0</v>
      </c>
      <c r="F32" s="34">
        <f>'Hotel Data'!G34</f>
        <v>0</v>
      </c>
      <c r="G32" s="34">
        <f>'Hotel Data'!O34</f>
        <v>0</v>
      </c>
      <c r="H32" s="34">
        <f>'Hotel Data'!Q34</f>
        <v>0</v>
      </c>
      <c r="I32" s="34">
        <f>'Hotel Data'!S34</f>
        <v>0</v>
      </c>
      <c r="J32" s="34">
        <f>'Hotel Data'!U34</f>
        <v>0</v>
      </c>
      <c r="K32" s="34">
        <f>'Hotel Data'!AD34</f>
        <v>0</v>
      </c>
      <c r="L32" s="34">
        <f>'Hotel Data'!AG34</f>
        <v>0</v>
      </c>
      <c r="M32" s="34">
        <f>'Hotel Data'!AJ34</f>
        <v>0</v>
      </c>
      <c r="N32" s="34">
        <f>'Hotel Data'!AN34</f>
        <v>0</v>
      </c>
      <c r="O32" s="34">
        <f>'Hotel Data'!AR34</f>
        <v>0</v>
      </c>
      <c r="P32" s="32">
        <f>TOTAL!K31</f>
        <v>0</v>
      </c>
    </row>
    <row r="33" spans="1:16" s="31" customFormat="1" x14ac:dyDescent="0.25">
      <c r="A33" s="31" t="s">
        <v>40</v>
      </c>
      <c r="B33" s="31">
        <f t="shared" si="0"/>
        <v>31</v>
      </c>
      <c r="C33" s="33">
        <v>1</v>
      </c>
      <c r="D33" s="31">
        <v>2023</v>
      </c>
      <c r="E33" s="34">
        <f>'Hotel Data'!E35</f>
        <v>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0</v>
      </c>
      <c r="J33" s="34">
        <f>'Hotel Data'!U35</f>
        <v>0</v>
      </c>
      <c r="K33" s="34">
        <f>'Hotel Data'!AD35</f>
        <v>0</v>
      </c>
      <c r="L33" s="34">
        <f>'Hotel Data'!AG35</f>
        <v>0</v>
      </c>
      <c r="M33" s="34">
        <f>'Hotel Data'!AJ35</f>
        <v>0</v>
      </c>
      <c r="N33" s="34">
        <f>'Hotel Data'!AN35</f>
        <v>0</v>
      </c>
      <c r="O33" s="34">
        <f>'Hotel Data'!AR35</f>
        <v>0</v>
      </c>
      <c r="P33" s="32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abSelected="1" zoomScale="85" zoomScaleNormal="85" workbookViewId="0">
      <selection activeCell="H33" sqref="H33"/>
    </sheetView>
  </sheetViews>
  <sheetFormatPr defaultColWidth="8.5703125" defaultRowHeight="15" x14ac:dyDescent="0.2"/>
  <cols>
    <col min="1" max="1" width="6" style="41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1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96"/>
      <c r="B1" s="97"/>
      <c r="C1" s="98"/>
      <c r="D1" s="102" t="s">
        <v>56</v>
      </c>
      <c r="E1" s="103"/>
      <c r="F1" s="102" t="s">
        <v>57</v>
      </c>
      <c r="G1" s="103"/>
      <c r="H1" s="106" t="s">
        <v>1</v>
      </c>
      <c r="I1" s="107"/>
      <c r="J1" s="107"/>
      <c r="K1" s="107"/>
      <c r="L1" s="107"/>
      <c r="M1" s="108"/>
      <c r="N1" s="112" t="s">
        <v>2</v>
      </c>
      <c r="O1" s="103"/>
      <c r="P1" s="114" t="s">
        <v>58</v>
      </c>
      <c r="Q1" s="115"/>
      <c r="R1" s="114" t="s">
        <v>3</v>
      </c>
      <c r="S1" s="115"/>
      <c r="T1" s="114" t="s">
        <v>4</v>
      </c>
      <c r="U1" s="115"/>
      <c r="V1" s="102" t="s">
        <v>5</v>
      </c>
      <c r="W1" s="118"/>
      <c r="X1" s="103"/>
      <c r="Y1" s="102" t="s">
        <v>6</v>
      </c>
      <c r="Z1" s="118"/>
      <c r="AA1" s="103"/>
      <c r="AB1" s="102" t="s">
        <v>59</v>
      </c>
      <c r="AC1" s="118"/>
      <c r="AD1" s="103"/>
      <c r="AE1" s="102" t="s">
        <v>60</v>
      </c>
      <c r="AF1" s="118"/>
      <c r="AG1" s="103"/>
      <c r="AH1" s="102" t="s">
        <v>61</v>
      </c>
      <c r="AI1" s="118"/>
      <c r="AJ1" s="118"/>
      <c r="AK1" s="103"/>
      <c r="AL1" s="102" t="s">
        <v>62</v>
      </c>
      <c r="AM1" s="118"/>
      <c r="AN1" s="118"/>
      <c r="AO1" s="103"/>
      <c r="AP1" s="102" t="s">
        <v>63</v>
      </c>
      <c r="AQ1" s="118"/>
      <c r="AR1" s="103"/>
      <c r="AS1" s="102" t="s">
        <v>64</v>
      </c>
      <c r="AT1" s="103"/>
      <c r="AU1" s="120" t="s">
        <v>7</v>
      </c>
      <c r="AV1" s="122" t="s">
        <v>8</v>
      </c>
      <c r="AW1" s="124" t="s">
        <v>9</v>
      </c>
      <c r="AX1" s="42"/>
      <c r="AY1" s="38"/>
      <c r="AZ1" s="91" t="s">
        <v>65</v>
      </c>
      <c r="BA1" s="91" t="s">
        <v>0</v>
      </c>
      <c r="BB1" s="91" t="s">
        <v>10</v>
      </c>
      <c r="BC1" s="91" t="s">
        <v>11</v>
      </c>
      <c r="BD1" s="91" t="s">
        <v>12</v>
      </c>
      <c r="BE1" s="91" t="s">
        <v>13</v>
      </c>
      <c r="BF1" s="91" t="s">
        <v>55</v>
      </c>
      <c r="BG1" s="91" t="s">
        <v>61</v>
      </c>
      <c r="BH1" s="91" t="s">
        <v>66</v>
      </c>
      <c r="BI1" s="91" t="s">
        <v>67</v>
      </c>
    </row>
    <row r="2" spans="1:61" ht="15.75" thickBot="1" x14ac:dyDescent="0.25">
      <c r="A2" s="99"/>
      <c r="B2" s="100"/>
      <c r="C2" s="101"/>
      <c r="D2" s="104"/>
      <c r="E2" s="105"/>
      <c r="F2" s="104"/>
      <c r="G2" s="105"/>
      <c r="H2" s="109"/>
      <c r="I2" s="110"/>
      <c r="J2" s="110"/>
      <c r="K2" s="110"/>
      <c r="L2" s="110"/>
      <c r="M2" s="111"/>
      <c r="N2" s="113"/>
      <c r="O2" s="105"/>
      <c r="P2" s="116"/>
      <c r="Q2" s="117"/>
      <c r="R2" s="116"/>
      <c r="S2" s="117"/>
      <c r="T2" s="116"/>
      <c r="U2" s="117"/>
      <c r="V2" s="104"/>
      <c r="W2" s="119"/>
      <c r="X2" s="105"/>
      <c r="Y2" s="104"/>
      <c r="Z2" s="119"/>
      <c r="AA2" s="105"/>
      <c r="AB2" s="104"/>
      <c r="AC2" s="119"/>
      <c r="AD2" s="105"/>
      <c r="AE2" s="104"/>
      <c r="AF2" s="119"/>
      <c r="AG2" s="105"/>
      <c r="AH2" s="104"/>
      <c r="AI2" s="119"/>
      <c r="AJ2" s="119"/>
      <c r="AK2" s="105"/>
      <c r="AL2" s="104"/>
      <c r="AM2" s="119"/>
      <c r="AN2" s="119"/>
      <c r="AO2" s="105"/>
      <c r="AP2" s="104"/>
      <c r="AQ2" s="119"/>
      <c r="AR2" s="105"/>
      <c r="AS2" s="104"/>
      <c r="AT2" s="105"/>
      <c r="AU2" s="121"/>
      <c r="AV2" s="123"/>
      <c r="AW2" s="125"/>
      <c r="AX2" s="42"/>
      <c r="AY2" s="40"/>
      <c r="AZ2" s="92"/>
      <c r="BA2" s="92"/>
      <c r="BB2" s="92"/>
      <c r="BC2" s="92"/>
      <c r="BD2" s="92"/>
      <c r="BE2" s="92"/>
      <c r="BF2" s="92"/>
      <c r="BG2" s="92"/>
      <c r="BH2" s="92"/>
      <c r="BI2" s="92"/>
    </row>
    <row r="3" spans="1:61" ht="16.5" thickBot="1" x14ac:dyDescent="0.3">
      <c r="A3" s="43" t="s">
        <v>14</v>
      </c>
      <c r="B3" s="43" t="s">
        <v>15</v>
      </c>
      <c r="C3" s="43" t="s">
        <v>16</v>
      </c>
      <c r="D3" s="44" t="s">
        <v>17</v>
      </c>
      <c r="E3" s="44" t="s">
        <v>18</v>
      </c>
      <c r="F3" s="44" t="s">
        <v>17</v>
      </c>
      <c r="G3" s="44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44" t="s">
        <v>17</v>
      </c>
      <c r="O3" s="44" t="s">
        <v>18</v>
      </c>
      <c r="P3" s="44" t="s">
        <v>17</v>
      </c>
      <c r="Q3" s="44" t="s">
        <v>18</v>
      </c>
      <c r="R3" s="44" t="s">
        <v>17</v>
      </c>
      <c r="S3" s="44" t="s">
        <v>18</v>
      </c>
      <c r="T3" s="44" t="s">
        <v>17</v>
      </c>
      <c r="U3" s="44" t="s">
        <v>18</v>
      </c>
      <c r="V3" s="44" t="s">
        <v>22</v>
      </c>
      <c r="W3" s="44" t="s">
        <v>18</v>
      </c>
      <c r="X3" s="44" t="s">
        <v>68</v>
      </c>
      <c r="Y3" s="44" t="s">
        <v>23</v>
      </c>
      <c r="Z3" s="44" t="s">
        <v>18</v>
      </c>
      <c r="AA3" s="44"/>
      <c r="AB3" s="44" t="s">
        <v>24</v>
      </c>
      <c r="AC3" s="44" t="s">
        <v>18</v>
      </c>
      <c r="AD3" s="44" t="s">
        <v>68</v>
      </c>
      <c r="AE3" s="44" t="s">
        <v>24</v>
      </c>
      <c r="AF3" s="44" t="s">
        <v>18</v>
      </c>
      <c r="AG3" s="44" t="s">
        <v>68</v>
      </c>
      <c r="AH3" s="44" t="s">
        <v>25</v>
      </c>
      <c r="AI3" s="44" t="s">
        <v>18</v>
      </c>
      <c r="AJ3" s="44" t="s">
        <v>68</v>
      </c>
      <c r="AK3" s="44" t="s">
        <v>26</v>
      </c>
      <c r="AL3" s="44" t="s">
        <v>24</v>
      </c>
      <c r="AM3" s="44" t="s">
        <v>18</v>
      </c>
      <c r="AN3" s="44" t="s">
        <v>68</v>
      </c>
      <c r="AO3" s="44" t="s">
        <v>26</v>
      </c>
      <c r="AP3" s="44" t="s">
        <v>25</v>
      </c>
      <c r="AQ3" s="44" t="s">
        <v>18</v>
      </c>
      <c r="AR3" s="44" t="s">
        <v>68</v>
      </c>
      <c r="AS3" s="43" t="s">
        <v>27</v>
      </c>
      <c r="AT3" s="43" t="s">
        <v>28</v>
      </c>
      <c r="AU3" s="94" t="s">
        <v>29</v>
      </c>
      <c r="AV3" s="95"/>
      <c r="AW3" s="45"/>
      <c r="AX3" s="42"/>
      <c r="AY3" s="39"/>
      <c r="AZ3" s="93"/>
      <c r="BA3" s="93"/>
      <c r="BB3" s="93"/>
      <c r="BC3" s="93"/>
      <c r="BD3" s="93"/>
      <c r="BE3" s="93"/>
      <c r="BF3" s="93"/>
      <c r="BG3" s="93"/>
      <c r="BH3" s="93"/>
      <c r="BI3" s="93"/>
    </row>
    <row r="4" spans="1:61" ht="15.75" x14ac:dyDescent="0.25">
      <c r="A4" s="86"/>
      <c r="B4" s="72" t="s">
        <v>69</v>
      </c>
      <c r="C4" s="10"/>
      <c r="D4" s="6">
        <v>401065</v>
      </c>
      <c r="E4" s="8"/>
      <c r="F4" s="6">
        <v>7136</v>
      </c>
      <c r="G4" s="8"/>
      <c r="H4" s="6">
        <v>119857</v>
      </c>
      <c r="I4" s="8"/>
      <c r="J4" s="46">
        <v>633517</v>
      </c>
      <c r="K4" s="8"/>
      <c r="L4" s="7"/>
      <c r="M4" s="7" t="e">
        <v>#DIV/0!</v>
      </c>
      <c r="N4" s="6">
        <v>15220</v>
      </c>
      <c r="O4" s="8"/>
      <c r="P4" s="6">
        <v>100903</v>
      </c>
      <c r="Q4" s="73"/>
      <c r="R4" s="6">
        <v>47</v>
      </c>
      <c r="S4" s="73"/>
      <c r="T4" s="6">
        <v>208414</v>
      </c>
      <c r="U4" s="73"/>
      <c r="V4" s="6">
        <v>5972.8</v>
      </c>
      <c r="W4" s="8"/>
      <c r="X4" s="46"/>
      <c r="Y4" s="6">
        <v>1134.7</v>
      </c>
      <c r="Z4" s="8"/>
      <c r="AA4" s="46"/>
      <c r="AB4" s="6">
        <v>1790862</v>
      </c>
      <c r="AC4" s="9"/>
      <c r="AD4" s="46"/>
      <c r="AE4" s="6">
        <v>5339095</v>
      </c>
      <c r="AF4" s="9"/>
      <c r="AG4" s="46"/>
      <c r="AH4" s="6">
        <v>34421</v>
      </c>
      <c r="AI4" s="8"/>
      <c r="AJ4" s="46"/>
      <c r="AK4" s="7"/>
      <c r="AL4" s="6">
        <v>279811</v>
      </c>
      <c r="AM4" s="8"/>
      <c r="AN4" s="46"/>
      <c r="AO4" s="7"/>
      <c r="AP4" s="6">
        <v>47225</v>
      </c>
      <c r="AQ4" s="8"/>
      <c r="AR4" s="46"/>
      <c r="AS4" s="14"/>
      <c r="AT4" s="14"/>
      <c r="AU4" s="14"/>
      <c r="AV4" s="56">
        <v>0</v>
      </c>
      <c r="AW4" s="74"/>
      <c r="AX4" s="6">
        <v>650</v>
      </c>
      <c r="AY4" s="73"/>
      <c r="AZ4" s="87">
        <v>31889.000000000004</v>
      </c>
      <c r="BA4" s="87">
        <v>37</v>
      </c>
      <c r="BB4" s="87">
        <v>5142</v>
      </c>
      <c r="BC4" s="87">
        <v>137</v>
      </c>
      <c r="BD4" s="87">
        <v>360932.00000000087</v>
      </c>
      <c r="BE4" s="87">
        <v>325990.6551724138</v>
      </c>
      <c r="BF4" s="88">
        <v>46077.758620689652</v>
      </c>
      <c r="BG4" s="89">
        <v>6533.5172413793107</v>
      </c>
      <c r="BH4" s="89">
        <v>17632.586206896551</v>
      </c>
      <c r="BI4" s="89">
        <v>8577.3793103448279</v>
      </c>
    </row>
    <row r="5" spans="1:61" ht="15.75" x14ac:dyDescent="0.25">
      <c r="A5" s="54">
        <v>1</v>
      </c>
      <c r="B5" s="55" t="s">
        <v>69</v>
      </c>
      <c r="C5" s="10"/>
      <c r="D5" s="6">
        <v>401940</v>
      </c>
      <c r="E5" s="8">
        <v>875</v>
      </c>
      <c r="F5" s="6">
        <v>7136</v>
      </c>
      <c r="G5" s="8">
        <v>0</v>
      </c>
      <c r="H5" s="6">
        <v>120017</v>
      </c>
      <c r="I5" s="8">
        <v>160</v>
      </c>
      <c r="J5" s="46">
        <v>633669</v>
      </c>
      <c r="K5" s="8">
        <v>152</v>
      </c>
      <c r="L5" s="7"/>
      <c r="M5" s="63" t="e">
        <v>#DIV/0!</v>
      </c>
      <c r="N5" s="6">
        <v>15220</v>
      </c>
      <c r="O5" s="8">
        <v>0</v>
      </c>
      <c r="P5" s="12">
        <v>100926</v>
      </c>
      <c r="Q5" s="9">
        <v>23</v>
      </c>
      <c r="R5" s="12">
        <v>47</v>
      </c>
      <c r="S5" s="9">
        <v>0</v>
      </c>
      <c r="T5" s="12">
        <v>208461</v>
      </c>
      <c r="U5" s="9">
        <v>47</v>
      </c>
      <c r="V5" s="64"/>
      <c r="W5" s="8">
        <v>0</v>
      </c>
      <c r="X5" s="46">
        <v>10287</v>
      </c>
      <c r="Y5" s="56"/>
      <c r="Z5" s="8">
        <v>0</v>
      </c>
      <c r="AA5" s="46">
        <v>2596</v>
      </c>
      <c r="AB5" s="6"/>
      <c r="AC5" s="9">
        <v>0</v>
      </c>
      <c r="AD5" s="46">
        <v>232</v>
      </c>
      <c r="AE5" s="12"/>
      <c r="AF5" s="9">
        <v>0</v>
      </c>
      <c r="AG5" s="46">
        <v>1118</v>
      </c>
      <c r="AH5" s="6"/>
      <c r="AI5" s="8">
        <v>0</v>
      </c>
      <c r="AJ5" s="46"/>
      <c r="AK5" s="7">
        <v>160</v>
      </c>
      <c r="AL5" s="6"/>
      <c r="AM5" s="8">
        <v>0</v>
      </c>
      <c r="AN5" s="46">
        <v>628</v>
      </c>
      <c r="AO5" s="7"/>
      <c r="AP5" s="6"/>
      <c r="AQ5" s="8">
        <v>0</v>
      </c>
      <c r="AR5" s="46">
        <v>224</v>
      </c>
      <c r="AS5" s="14">
        <v>8</v>
      </c>
      <c r="AT5" s="14">
        <v>10</v>
      </c>
      <c r="AU5" s="65"/>
      <c r="AV5" s="56"/>
      <c r="AW5" s="66">
        <v>121.884</v>
      </c>
      <c r="AX5" s="12">
        <v>650</v>
      </c>
      <c r="AY5" s="9">
        <v>0</v>
      </c>
      <c r="AZ5" s="9">
        <v>27125</v>
      </c>
      <c r="BA5" s="9">
        <v>0</v>
      </c>
      <c r="BB5" s="9">
        <v>4960</v>
      </c>
      <c r="BC5" s="9">
        <v>0</v>
      </c>
      <c r="BD5" s="9">
        <v>0</v>
      </c>
      <c r="BE5" s="9">
        <v>318897</v>
      </c>
      <c r="BF5" s="8">
        <v>42056.666666666664</v>
      </c>
      <c r="BG5" s="9">
        <v>0</v>
      </c>
      <c r="BH5" s="9">
        <v>18837.666666666664</v>
      </c>
      <c r="BI5" s="9">
        <v>9589.3333333333321</v>
      </c>
    </row>
    <row r="6" spans="1:61" ht="15.75" x14ac:dyDescent="0.25">
      <c r="A6" s="54">
        <v>2</v>
      </c>
      <c r="B6" s="55" t="s">
        <v>69</v>
      </c>
      <c r="C6" s="10"/>
      <c r="D6" s="6">
        <v>402576</v>
      </c>
      <c r="E6" s="8">
        <v>636</v>
      </c>
      <c r="F6" s="6">
        <v>7136</v>
      </c>
      <c r="G6" s="8">
        <v>0</v>
      </c>
      <c r="H6" s="6">
        <v>120172</v>
      </c>
      <c r="I6" s="8">
        <v>155</v>
      </c>
      <c r="J6" s="46">
        <v>633818</v>
      </c>
      <c r="K6" s="8">
        <v>149</v>
      </c>
      <c r="L6" s="7"/>
      <c r="M6" s="11" t="e">
        <v>#DIV/0!</v>
      </c>
      <c r="N6" s="6">
        <v>15220</v>
      </c>
      <c r="O6" s="8">
        <v>0</v>
      </c>
      <c r="P6" s="12">
        <v>100943</v>
      </c>
      <c r="Q6" s="9">
        <v>17</v>
      </c>
      <c r="R6" s="12">
        <v>48</v>
      </c>
      <c r="S6" s="9">
        <v>1</v>
      </c>
      <c r="T6" s="12">
        <v>208504</v>
      </c>
      <c r="U6" s="9">
        <v>43</v>
      </c>
      <c r="V6" s="13"/>
      <c r="W6" s="8">
        <v>0</v>
      </c>
      <c r="X6" s="46">
        <v>10427</v>
      </c>
      <c r="Y6" s="56"/>
      <c r="Z6" s="8">
        <v>0</v>
      </c>
      <c r="AA6" s="46">
        <v>2543</v>
      </c>
      <c r="AB6" s="6"/>
      <c r="AC6" s="9">
        <v>0</v>
      </c>
      <c r="AD6" s="46">
        <v>221</v>
      </c>
      <c r="AE6" s="12"/>
      <c r="AF6" s="9">
        <v>0</v>
      </c>
      <c r="AG6" s="46">
        <v>1101</v>
      </c>
      <c r="AH6" s="6"/>
      <c r="AI6" s="8">
        <v>0</v>
      </c>
      <c r="AJ6" s="46"/>
      <c r="AK6" s="7">
        <v>320</v>
      </c>
      <c r="AL6" s="6"/>
      <c r="AM6" s="8">
        <v>0</v>
      </c>
      <c r="AN6" s="46">
        <v>575</v>
      </c>
      <c r="AO6" s="7"/>
      <c r="AP6" s="6"/>
      <c r="AQ6" s="8">
        <v>0</v>
      </c>
      <c r="AR6" s="46">
        <v>448</v>
      </c>
      <c r="AS6" s="14">
        <v>9</v>
      </c>
      <c r="AT6" s="14">
        <v>10</v>
      </c>
      <c r="AU6" s="65">
        <v>2</v>
      </c>
      <c r="AV6" s="56">
        <v>50.671999999999997</v>
      </c>
      <c r="AW6" s="66">
        <v>121.884</v>
      </c>
      <c r="AX6" s="12">
        <v>651</v>
      </c>
      <c r="AY6" s="9">
        <v>1</v>
      </c>
      <c r="AZ6" s="9">
        <v>23420.5</v>
      </c>
      <c r="BA6" s="9">
        <v>0</v>
      </c>
      <c r="BB6" s="9">
        <v>4882.5</v>
      </c>
      <c r="BC6" s="9">
        <v>0</v>
      </c>
      <c r="BD6" s="9">
        <v>0</v>
      </c>
      <c r="BE6" s="9">
        <v>321067</v>
      </c>
      <c r="BF6" s="8">
        <v>42160</v>
      </c>
      <c r="BG6" s="9">
        <v>0</v>
      </c>
      <c r="BH6" s="9">
        <v>18522.5</v>
      </c>
      <c r="BI6" s="9">
        <v>10912</v>
      </c>
    </row>
    <row r="7" spans="1:61" ht="15.75" x14ac:dyDescent="0.25">
      <c r="A7" s="54">
        <v>3</v>
      </c>
      <c r="B7" s="55" t="s">
        <v>69</v>
      </c>
      <c r="C7" s="10"/>
      <c r="D7" s="6">
        <v>403216</v>
      </c>
      <c r="E7" s="8">
        <v>640</v>
      </c>
      <c r="F7" s="6">
        <v>7136</v>
      </c>
      <c r="G7" s="8">
        <v>0</v>
      </c>
      <c r="H7" s="6">
        <v>120315</v>
      </c>
      <c r="I7" s="8">
        <v>143</v>
      </c>
      <c r="J7" s="46">
        <v>633955</v>
      </c>
      <c r="K7" s="8">
        <v>137</v>
      </c>
      <c r="L7" s="7"/>
      <c r="M7" s="11" t="e">
        <v>#DIV/0!</v>
      </c>
      <c r="N7" s="6">
        <v>15220</v>
      </c>
      <c r="O7" s="8">
        <v>0</v>
      </c>
      <c r="P7" s="12">
        <v>100960</v>
      </c>
      <c r="Q7" s="9">
        <v>17</v>
      </c>
      <c r="R7" s="12">
        <v>48</v>
      </c>
      <c r="S7" s="9">
        <v>0</v>
      </c>
      <c r="T7" s="12">
        <v>208542</v>
      </c>
      <c r="U7" s="9">
        <v>38</v>
      </c>
      <c r="V7" s="13"/>
      <c r="W7" s="8">
        <v>0</v>
      </c>
      <c r="X7" s="46">
        <v>10644</v>
      </c>
      <c r="Y7" s="56"/>
      <c r="Z7" s="8">
        <v>0</v>
      </c>
      <c r="AA7" s="46">
        <v>2560</v>
      </c>
      <c r="AB7" s="6"/>
      <c r="AC7" s="9">
        <v>0</v>
      </c>
      <c r="AD7" s="46">
        <v>233</v>
      </c>
      <c r="AE7" s="12"/>
      <c r="AF7" s="9">
        <v>0</v>
      </c>
      <c r="AG7" s="46">
        <v>1165</v>
      </c>
      <c r="AH7" s="6"/>
      <c r="AI7" s="8">
        <v>0</v>
      </c>
      <c r="AJ7" s="46"/>
      <c r="AK7" s="7">
        <v>160</v>
      </c>
      <c r="AL7" s="6"/>
      <c r="AM7" s="8">
        <v>0</v>
      </c>
      <c r="AN7" s="46">
        <v>620</v>
      </c>
      <c r="AO7" s="7"/>
      <c r="AP7" s="6"/>
      <c r="AQ7" s="8">
        <v>0</v>
      </c>
      <c r="AR7" s="46">
        <v>256</v>
      </c>
      <c r="AS7" s="14">
        <v>9</v>
      </c>
      <c r="AT7" s="14">
        <v>11</v>
      </c>
      <c r="AU7" s="65">
        <v>1</v>
      </c>
      <c r="AV7" s="56">
        <v>57.286000000000001</v>
      </c>
      <c r="AW7" s="66">
        <v>121.884</v>
      </c>
      <c r="AX7" s="12">
        <v>651</v>
      </c>
      <c r="AY7" s="9">
        <v>0</v>
      </c>
      <c r="AZ7" s="9">
        <v>22227</v>
      </c>
      <c r="BA7" s="9">
        <v>0</v>
      </c>
      <c r="BB7" s="9">
        <v>4732.6666666666661</v>
      </c>
      <c r="BC7" s="9">
        <v>0</v>
      </c>
      <c r="BD7" s="9">
        <v>0</v>
      </c>
      <c r="BE7" s="9">
        <v>324032.66666666663</v>
      </c>
      <c r="BF7" s="8">
        <v>43338</v>
      </c>
      <c r="BG7" s="9">
        <v>0</v>
      </c>
      <c r="BH7" s="9">
        <v>19220</v>
      </c>
      <c r="BI7" s="9">
        <v>7936</v>
      </c>
    </row>
    <row r="8" spans="1:61" ht="15.75" x14ac:dyDescent="0.25">
      <c r="A8" s="54">
        <v>4</v>
      </c>
      <c r="B8" s="55" t="s">
        <v>69</v>
      </c>
      <c r="C8" s="10" t="s">
        <v>71</v>
      </c>
      <c r="D8" s="6">
        <v>403812</v>
      </c>
      <c r="E8" s="8">
        <v>596</v>
      </c>
      <c r="F8" s="6">
        <v>7136</v>
      </c>
      <c r="G8" s="8">
        <v>0</v>
      </c>
      <c r="H8" s="6">
        <v>120455</v>
      </c>
      <c r="I8" s="8">
        <v>140</v>
      </c>
      <c r="J8" s="46">
        <v>634088</v>
      </c>
      <c r="K8" s="8">
        <v>133</v>
      </c>
      <c r="L8" s="7"/>
      <c r="M8" s="11" t="e">
        <v>#DIV/0!</v>
      </c>
      <c r="N8" s="6">
        <v>15221</v>
      </c>
      <c r="O8" s="8">
        <v>1</v>
      </c>
      <c r="P8" s="12">
        <v>100976</v>
      </c>
      <c r="Q8" s="9">
        <v>16</v>
      </c>
      <c r="R8" s="12">
        <v>48</v>
      </c>
      <c r="S8" s="9">
        <v>0</v>
      </c>
      <c r="T8" s="12">
        <v>208585</v>
      </c>
      <c r="U8" s="9">
        <v>43</v>
      </c>
      <c r="V8" s="13"/>
      <c r="W8" s="8">
        <v>0</v>
      </c>
      <c r="X8" s="46">
        <v>4482</v>
      </c>
      <c r="Y8" s="56"/>
      <c r="Z8" s="8">
        <v>0</v>
      </c>
      <c r="AA8" s="46">
        <v>871</v>
      </c>
      <c r="AB8" s="6"/>
      <c r="AC8" s="9">
        <v>0</v>
      </c>
      <c r="AD8" s="46">
        <v>216</v>
      </c>
      <c r="AE8" s="12"/>
      <c r="AF8" s="9">
        <v>0</v>
      </c>
      <c r="AG8" s="46">
        <v>1049</v>
      </c>
      <c r="AH8" s="6"/>
      <c r="AI8" s="8">
        <v>0</v>
      </c>
      <c r="AJ8" s="46"/>
      <c r="AK8" s="7">
        <v>136</v>
      </c>
      <c r="AL8" s="67"/>
      <c r="AM8" s="8">
        <v>0</v>
      </c>
      <c r="AN8" s="46">
        <v>344</v>
      </c>
      <c r="AO8" s="7"/>
      <c r="AP8" s="6"/>
      <c r="AQ8" s="8">
        <v>0</v>
      </c>
      <c r="AR8" s="46">
        <v>200</v>
      </c>
      <c r="AS8" s="14">
        <v>6</v>
      </c>
      <c r="AT8" s="14">
        <v>14</v>
      </c>
      <c r="AU8" s="65"/>
      <c r="AV8" s="56"/>
      <c r="AW8" s="66">
        <v>121.884</v>
      </c>
      <c r="AX8" s="12">
        <v>653</v>
      </c>
      <c r="AY8" s="9">
        <v>2</v>
      </c>
      <c r="AZ8" s="9">
        <v>21289.25</v>
      </c>
      <c r="BA8" s="9">
        <v>0</v>
      </c>
      <c r="BB8" s="9">
        <v>4634.5</v>
      </c>
      <c r="BC8" s="9">
        <v>7.75</v>
      </c>
      <c r="BD8" s="9">
        <v>0</v>
      </c>
      <c r="BE8" s="9">
        <v>277760</v>
      </c>
      <c r="BF8" s="8">
        <v>41276.5</v>
      </c>
      <c r="BG8" s="9">
        <v>0</v>
      </c>
      <c r="BH8" s="9">
        <v>14942</v>
      </c>
      <c r="BI8" s="9">
        <v>7068</v>
      </c>
    </row>
    <row r="9" spans="1:61" ht="15.75" x14ac:dyDescent="0.25">
      <c r="A9" s="54">
        <v>5</v>
      </c>
      <c r="B9" s="55" t="s">
        <v>69</v>
      </c>
      <c r="C9" s="10"/>
      <c r="D9" s="6">
        <v>404315</v>
      </c>
      <c r="E9" s="8">
        <v>503</v>
      </c>
      <c r="F9" s="6">
        <v>7136</v>
      </c>
      <c r="G9" s="8">
        <v>0</v>
      </c>
      <c r="H9" s="6">
        <v>120604</v>
      </c>
      <c r="I9" s="8">
        <v>149</v>
      </c>
      <c r="J9" s="46">
        <v>634231</v>
      </c>
      <c r="K9" s="8">
        <v>143</v>
      </c>
      <c r="L9" s="7"/>
      <c r="M9" s="11" t="e">
        <v>#DIV/0!</v>
      </c>
      <c r="N9" s="6">
        <v>15222</v>
      </c>
      <c r="O9" s="8">
        <v>1</v>
      </c>
      <c r="P9" s="12">
        <v>100991</v>
      </c>
      <c r="Q9" s="9">
        <v>15</v>
      </c>
      <c r="R9" s="12">
        <v>48</v>
      </c>
      <c r="S9" s="9">
        <v>0</v>
      </c>
      <c r="T9" s="68">
        <v>208620</v>
      </c>
      <c r="U9" s="9">
        <v>35</v>
      </c>
      <c r="V9" s="13"/>
      <c r="W9" s="8">
        <v>0</v>
      </c>
      <c r="X9" s="46">
        <v>10494</v>
      </c>
      <c r="Y9" s="56"/>
      <c r="Z9" s="8">
        <v>0</v>
      </c>
      <c r="AA9" s="46">
        <v>2679</v>
      </c>
      <c r="AB9" s="6"/>
      <c r="AC9" s="9">
        <v>0</v>
      </c>
      <c r="AD9" s="46">
        <v>251</v>
      </c>
      <c r="AE9" s="12"/>
      <c r="AF9" s="9">
        <v>0</v>
      </c>
      <c r="AG9" s="46">
        <v>1070</v>
      </c>
      <c r="AH9" s="6"/>
      <c r="AI9" s="8">
        <v>0</v>
      </c>
      <c r="AJ9" s="46"/>
      <c r="AK9" s="7">
        <v>232</v>
      </c>
      <c r="AL9" s="67"/>
      <c r="AM9" s="8">
        <v>0</v>
      </c>
      <c r="AN9" s="46">
        <v>540</v>
      </c>
      <c r="AO9" s="7"/>
      <c r="AP9" s="6"/>
      <c r="AQ9" s="8">
        <v>0</v>
      </c>
      <c r="AR9" s="46">
        <v>256</v>
      </c>
      <c r="AS9" s="14">
        <v>7</v>
      </c>
      <c r="AT9" s="14">
        <v>9</v>
      </c>
      <c r="AU9" s="65"/>
      <c r="AV9" s="56"/>
      <c r="AW9" s="66">
        <v>121.884</v>
      </c>
      <c r="AX9" s="12">
        <v>653</v>
      </c>
      <c r="AY9" s="9">
        <v>0</v>
      </c>
      <c r="AZ9" s="9">
        <v>20150</v>
      </c>
      <c r="BA9" s="9">
        <v>0</v>
      </c>
      <c r="BB9" s="9">
        <v>4631.4000000000005</v>
      </c>
      <c r="BC9" s="9">
        <v>12.4</v>
      </c>
      <c r="BD9" s="9">
        <v>0</v>
      </c>
      <c r="BE9" s="9">
        <v>287270.8</v>
      </c>
      <c r="BF9" s="8">
        <v>41168.000000000007</v>
      </c>
      <c r="BG9" s="9">
        <v>0</v>
      </c>
      <c r="BH9" s="9">
        <v>15541.333333333332</v>
      </c>
      <c r="BI9" s="9">
        <v>7357.3333333333339</v>
      </c>
    </row>
    <row r="10" spans="1:61" ht="15.75" x14ac:dyDescent="0.25">
      <c r="A10" s="54">
        <v>6</v>
      </c>
      <c r="B10" s="55" t="s">
        <v>69</v>
      </c>
      <c r="C10" s="10"/>
      <c r="D10" s="6">
        <v>404837</v>
      </c>
      <c r="E10" s="8">
        <v>522</v>
      </c>
      <c r="F10" s="6">
        <v>7136</v>
      </c>
      <c r="G10" s="8">
        <v>0</v>
      </c>
      <c r="H10" s="6">
        <v>120730</v>
      </c>
      <c r="I10" s="8">
        <v>126</v>
      </c>
      <c r="J10" s="46">
        <v>634351</v>
      </c>
      <c r="K10" s="8">
        <v>120</v>
      </c>
      <c r="L10" s="7"/>
      <c r="M10" s="11" t="e">
        <v>#DIV/0!</v>
      </c>
      <c r="N10" s="6">
        <v>15223</v>
      </c>
      <c r="O10" s="8">
        <v>1</v>
      </c>
      <c r="P10" s="12">
        <v>101006</v>
      </c>
      <c r="Q10" s="9">
        <v>15</v>
      </c>
      <c r="R10" s="12">
        <v>48</v>
      </c>
      <c r="S10" s="9">
        <v>0</v>
      </c>
      <c r="T10" s="12">
        <v>208657</v>
      </c>
      <c r="U10" s="9">
        <v>37</v>
      </c>
      <c r="V10" s="13"/>
      <c r="W10" s="8">
        <v>0</v>
      </c>
      <c r="X10" s="46">
        <v>10334</v>
      </c>
      <c r="Y10" s="56"/>
      <c r="Z10" s="8">
        <v>0</v>
      </c>
      <c r="AA10" s="46">
        <v>2521</v>
      </c>
      <c r="AB10" s="6"/>
      <c r="AC10" s="9">
        <v>0</v>
      </c>
      <c r="AD10" s="46">
        <v>248</v>
      </c>
      <c r="AE10" s="12"/>
      <c r="AF10" s="9">
        <v>0</v>
      </c>
      <c r="AG10" s="46">
        <v>1061</v>
      </c>
      <c r="AH10" s="6"/>
      <c r="AI10" s="8">
        <v>0</v>
      </c>
      <c r="AJ10" s="46"/>
      <c r="AK10" s="7">
        <v>144</v>
      </c>
      <c r="AL10" s="6"/>
      <c r="AM10" s="8">
        <v>0</v>
      </c>
      <c r="AN10" s="46">
        <v>542</v>
      </c>
      <c r="AO10" s="7"/>
      <c r="AP10" s="6"/>
      <c r="AQ10" s="8">
        <v>0</v>
      </c>
      <c r="AR10" s="46">
        <v>256</v>
      </c>
      <c r="AS10" s="14">
        <v>7</v>
      </c>
      <c r="AT10" s="14">
        <v>8</v>
      </c>
      <c r="AU10" s="65"/>
      <c r="AV10" s="56"/>
      <c r="AW10" s="66">
        <v>121.884</v>
      </c>
      <c r="AX10" s="12">
        <v>655</v>
      </c>
      <c r="AY10" s="9">
        <v>2</v>
      </c>
      <c r="AZ10" s="9">
        <v>19488.666666666664</v>
      </c>
      <c r="BA10" s="9">
        <v>0</v>
      </c>
      <c r="BB10" s="9">
        <v>4510.5</v>
      </c>
      <c r="BC10" s="9">
        <v>15.5</v>
      </c>
      <c r="BD10" s="9">
        <v>0</v>
      </c>
      <c r="BE10" s="9">
        <v>292784.66666666663</v>
      </c>
      <c r="BF10" s="8">
        <v>41020.75</v>
      </c>
      <c r="BG10" s="9">
        <v>0</v>
      </c>
      <c r="BH10" s="9">
        <v>15856.5</v>
      </c>
      <c r="BI10" s="9">
        <v>7502</v>
      </c>
    </row>
    <row r="11" spans="1:61" ht="15.75" x14ac:dyDescent="0.25">
      <c r="A11" s="54">
        <v>7</v>
      </c>
      <c r="B11" s="55" t="s">
        <v>69</v>
      </c>
      <c r="C11" s="10"/>
      <c r="D11" s="6">
        <v>405432</v>
      </c>
      <c r="E11" s="8">
        <v>595</v>
      </c>
      <c r="F11" s="6">
        <v>7136</v>
      </c>
      <c r="G11" s="8">
        <v>0</v>
      </c>
      <c r="H11" s="6">
        <v>120878</v>
      </c>
      <c r="I11" s="8">
        <v>148</v>
      </c>
      <c r="J11" s="46">
        <v>634492</v>
      </c>
      <c r="K11" s="8">
        <v>141</v>
      </c>
      <c r="L11" s="7"/>
      <c r="M11" s="11" t="e">
        <v>#DIV/0!</v>
      </c>
      <c r="N11" s="6">
        <v>15223</v>
      </c>
      <c r="O11" s="8">
        <v>0</v>
      </c>
      <c r="P11" s="12">
        <v>101023</v>
      </c>
      <c r="Q11" s="9">
        <v>17</v>
      </c>
      <c r="R11" s="12">
        <v>48</v>
      </c>
      <c r="S11" s="9">
        <v>0</v>
      </c>
      <c r="T11" s="12">
        <v>208702</v>
      </c>
      <c r="U11" s="9">
        <v>45</v>
      </c>
      <c r="V11" s="13"/>
      <c r="W11" s="8">
        <v>0</v>
      </c>
      <c r="X11" s="46">
        <v>10235</v>
      </c>
      <c r="Y11" s="56"/>
      <c r="Z11" s="8">
        <v>0</v>
      </c>
      <c r="AA11" s="46">
        <v>2396</v>
      </c>
      <c r="AB11" s="6"/>
      <c r="AC11" s="9">
        <v>0</v>
      </c>
      <c r="AD11" s="46">
        <v>230</v>
      </c>
      <c r="AE11" s="12"/>
      <c r="AF11" s="9">
        <v>0</v>
      </c>
      <c r="AG11" s="46">
        <v>1154</v>
      </c>
      <c r="AH11" s="6"/>
      <c r="AI11" s="8">
        <v>0</v>
      </c>
      <c r="AJ11" s="46"/>
      <c r="AK11" s="7">
        <v>184</v>
      </c>
      <c r="AL11" s="6"/>
      <c r="AM11" s="8">
        <v>0</v>
      </c>
      <c r="AN11" s="46">
        <v>580</v>
      </c>
      <c r="AO11" s="7"/>
      <c r="AP11" s="6"/>
      <c r="AQ11" s="8">
        <v>0</v>
      </c>
      <c r="AR11" s="46">
        <v>280</v>
      </c>
      <c r="AS11" s="14">
        <v>7</v>
      </c>
      <c r="AT11" s="14">
        <v>8</v>
      </c>
      <c r="AU11" s="65"/>
      <c r="AV11" s="56"/>
      <c r="AW11" s="66">
        <v>121.884</v>
      </c>
      <c r="AX11" s="68">
        <v>655</v>
      </c>
      <c r="AY11" s="9">
        <v>0</v>
      </c>
      <c r="AZ11" s="9">
        <v>19339.571428571431</v>
      </c>
      <c r="BA11" s="9">
        <v>0</v>
      </c>
      <c r="BB11" s="9">
        <v>4521.5714285714284</v>
      </c>
      <c r="BC11" s="9">
        <v>13.285714285714285</v>
      </c>
      <c r="BD11" s="9">
        <v>0</v>
      </c>
      <c r="BE11" s="9">
        <v>296284.71428571432</v>
      </c>
      <c r="BF11" s="8">
        <v>41397.399999999994</v>
      </c>
      <c r="BG11" s="9">
        <v>0</v>
      </c>
      <c r="BH11" s="9">
        <v>16281.2</v>
      </c>
      <c r="BI11" s="9">
        <v>7737.5999999999995</v>
      </c>
    </row>
    <row r="12" spans="1:61" ht="18" customHeight="1" x14ac:dyDescent="0.25">
      <c r="A12" s="54">
        <v>8</v>
      </c>
      <c r="B12" s="55" t="s">
        <v>69</v>
      </c>
      <c r="C12" s="10"/>
      <c r="D12" s="6">
        <v>406004</v>
      </c>
      <c r="E12" s="8">
        <v>572</v>
      </c>
      <c r="F12" s="6">
        <v>7138</v>
      </c>
      <c r="G12" s="8">
        <v>2</v>
      </c>
      <c r="H12" s="6">
        <v>121021</v>
      </c>
      <c r="I12" s="8">
        <v>143</v>
      </c>
      <c r="J12" s="46">
        <v>634630</v>
      </c>
      <c r="K12" s="8">
        <v>138</v>
      </c>
      <c r="L12" s="7"/>
      <c r="M12" s="11" t="e">
        <v>#DIV/0!</v>
      </c>
      <c r="N12" s="6">
        <v>15223</v>
      </c>
      <c r="O12" s="8">
        <v>0</v>
      </c>
      <c r="P12" s="12">
        <v>101042</v>
      </c>
      <c r="Q12" s="9">
        <v>19</v>
      </c>
      <c r="R12" s="12">
        <v>48</v>
      </c>
      <c r="S12" s="9">
        <v>0</v>
      </c>
      <c r="T12" s="12">
        <v>208743</v>
      </c>
      <c r="U12" s="9">
        <v>41</v>
      </c>
      <c r="V12" s="13"/>
      <c r="W12" s="8">
        <v>0</v>
      </c>
      <c r="X12" s="46">
        <v>10118</v>
      </c>
      <c r="Y12" s="56"/>
      <c r="Z12" s="8">
        <v>0</v>
      </c>
      <c r="AA12" s="46">
        <v>2357</v>
      </c>
      <c r="AB12" s="6"/>
      <c r="AC12" s="9">
        <v>0</v>
      </c>
      <c r="AD12" s="46">
        <v>238</v>
      </c>
      <c r="AE12" s="12"/>
      <c r="AF12" s="9">
        <v>0</v>
      </c>
      <c r="AG12" s="46">
        <v>1104</v>
      </c>
      <c r="AH12" s="6"/>
      <c r="AI12" s="8">
        <v>0</v>
      </c>
      <c r="AJ12" s="46"/>
      <c r="AK12" s="7">
        <v>216</v>
      </c>
      <c r="AL12" s="6"/>
      <c r="AM12" s="8">
        <v>0</v>
      </c>
      <c r="AN12" s="46">
        <v>565</v>
      </c>
      <c r="AO12" s="7"/>
      <c r="AP12" s="6"/>
      <c r="AQ12" s="8">
        <v>0</v>
      </c>
      <c r="AR12" s="46">
        <v>296</v>
      </c>
      <c r="AS12" s="14">
        <v>6</v>
      </c>
      <c r="AT12" s="14">
        <v>11</v>
      </c>
      <c r="AU12" s="65">
        <v>1</v>
      </c>
      <c r="AV12" s="56">
        <v>5.8440000000000003</v>
      </c>
      <c r="AW12" s="66">
        <v>121.884</v>
      </c>
      <c r="AX12" s="12">
        <v>656</v>
      </c>
      <c r="AY12" s="9">
        <v>1</v>
      </c>
      <c r="AZ12" s="9">
        <v>19138.625</v>
      </c>
      <c r="BA12" s="9">
        <v>7.75</v>
      </c>
      <c r="BB12" s="9">
        <v>4510.5</v>
      </c>
      <c r="BC12" s="9">
        <v>11.625</v>
      </c>
      <c r="BD12" s="9">
        <v>0</v>
      </c>
      <c r="BE12" s="9">
        <v>298456.375</v>
      </c>
      <c r="BF12" s="8">
        <v>41431.5</v>
      </c>
      <c r="BG12" s="9">
        <v>0</v>
      </c>
      <c r="BH12" s="9">
        <v>16486.833333333336</v>
      </c>
      <c r="BI12" s="9">
        <v>7977.333333333333</v>
      </c>
    </row>
    <row r="13" spans="1:61" ht="15.75" x14ac:dyDescent="0.25">
      <c r="A13" s="54">
        <v>9</v>
      </c>
      <c r="B13" s="55" t="s">
        <v>69</v>
      </c>
      <c r="C13" s="10"/>
      <c r="D13" s="6">
        <v>406564</v>
      </c>
      <c r="E13" s="8">
        <v>560</v>
      </c>
      <c r="F13" s="6">
        <v>7138</v>
      </c>
      <c r="G13" s="8">
        <v>0</v>
      </c>
      <c r="H13" s="6">
        <v>121158</v>
      </c>
      <c r="I13" s="8">
        <v>137</v>
      </c>
      <c r="J13" s="46">
        <v>634761</v>
      </c>
      <c r="K13" s="8">
        <v>131</v>
      </c>
      <c r="L13" s="7"/>
      <c r="M13" s="11" t="e">
        <v>#DIV/0!</v>
      </c>
      <c r="N13" s="6">
        <v>15223</v>
      </c>
      <c r="O13" s="8">
        <v>0</v>
      </c>
      <c r="P13" s="12">
        <v>101061</v>
      </c>
      <c r="Q13" s="9">
        <v>19</v>
      </c>
      <c r="R13" s="12">
        <v>48</v>
      </c>
      <c r="S13" s="9">
        <v>0</v>
      </c>
      <c r="T13" s="12">
        <v>208784</v>
      </c>
      <c r="U13" s="9">
        <v>41</v>
      </c>
      <c r="V13" s="13"/>
      <c r="W13" s="8">
        <v>0</v>
      </c>
      <c r="X13" s="46">
        <v>10140</v>
      </c>
      <c r="Y13" s="56"/>
      <c r="Z13" s="8">
        <v>0</v>
      </c>
      <c r="AA13" s="46">
        <v>2416</v>
      </c>
      <c r="AB13" s="6"/>
      <c r="AC13" s="9">
        <v>0</v>
      </c>
      <c r="AD13" s="46">
        <v>217</v>
      </c>
      <c r="AE13" s="12"/>
      <c r="AF13" s="9">
        <v>0</v>
      </c>
      <c r="AG13" s="46">
        <v>1041</v>
      </c>
      <c r="AH13" s="6"/>
      <c r="AI13" s="8">
        <v>0</v>
      </c>
      <c r="AJ13" s="46"/>
      <c r="AK13" s="7">
        <v>184</v>
      </c>
      <c r="AL13" s="6"/>
      <c r="AM13" s="8">
        <v>0</v>
      </c>
      <c r="AN13" s="46">
        <v>497</v>
      </c>
      <c r="AO13" s="7"/>
      <c r="AP13" s="6"/>
      <c r="AQ13" s="8">
        <v>0</v>
      </c>
      <c r="AR13" s="46">
        <v>288</v>
      </c>
      <c r="AS13" s="14">
        <v>5</v>
      </c>
      <c r="AT13" s="14">
        <v>10</v>
      </c>
      <c r="AU13" s="65"/>
      <c r="AV13" s="56"/>
      <c r="AW13" s="66">
        <v>121.884</v>
      </c>
      <c r="AX13" s="12">
        <v>656</v>
      </c>
      <c r="AY13" s="9">
        <v>0</v>
      </c>
      <c r="AZ13" s="9">
        <v>18941</v>
      </c>
      <c r="BA13" s="9">
        <v>6.8888888888888884</v>
      </c>
      <c r="BB13" s="9">
        <v>4481.2222222222217</v>
      </c>
      <c r="BC13" s="9">
        <v>10.333333333333332</v>
      </c>
      <c r="BD13" s="9">
        <v>0</v>
      </c>
      <c r="BE13" s="9">
        <v>300221.22222222219</v>
      </c>
      <c r="BF13" s="8">
        <v>41083.857142857145</v>
      </c>
      <c r="BG13" s="9">
        <v>0</v>
      </c>
      <c r="BH13" s="9">
        <v>16332.571428571429</v>
      </c>
      <c r="BI13" s="9">
        <v>8113.1428571428578</v>
      </c>
    </row>
    <row r="14" spans="1:61" ht="15.75" x14ac:dyDescent="0.25">
      <c r="A14" s="54">
        <v>10</v>
      </c>
      <c r="B14" s="55" t="s">
        <v>69</v>
      </c>
      <c r="C14" s="10"/>
      <c r="D14" s="6">
        <v>407002</v>
      </c>
      <c r="E14" s="8">
        <v>438</v>
      </c>
      <c r="F14" s="6">
        <v>7138</v>
      </c>
      <c r="G14" s="8">
        <v>0</v>
      </c>
      <c r="H14" s="6">
        <v>121271</v>
      </c>
      <c r="I14" s="8">
        <v>113</v>
      </c>
      <c r="J14" s="46">
        <v>634869</v>
      </c>
      <c r="K14" s="8">
        <v>108</v>
      </c>
      <c r="L14" s="7"/>
      <c r="M14" s="11" t="e">
        <v>#DIV/0!</v>
      </c>
      <c r="N14" s="6">
        <v>15223</v>
      </c>
      <c r="O14" s="8">
        <v>0</v>
      </c>
      <c r="P14" s="12">
        <v>101076</v>
      </c>
      <c r="Q14" s="9">
        <v>15</v>
      </c>
      <c r="R14" s="12">
        <v>48</v>
      </c>
      <c r="S14" s="9">
        <v>0</v>
      </c>
      <c r="T14" s="12">
        <v>208812</v>
      </c>
      <c r="U14" s="9">
        <v>28</v>
      </c>
      <c r="V14" s="13">
        <v>6022.77</v>
      </c>
      <c r="W14" s="69">
        <v>13250094.000000002</v>
      </c>
      <c r="X14" s="46">
        <v>10530</v>
      </c>
      <c r="Y14" s="56">
        <v>1146</v>
      </c>
      <c r="Z14" s="8">
        <v>2521200</v>
      </c>
      <c r="AA14" s="46">
        <v>2563</v>
      </c>
      <c r="AB14" s="6">
        <v>1793205</v>
      </c>
      <c r="AC14" s="9">
        <v>1793205</v>
      </c>
      <c r="AD14" s="46">
        <v>253</v>
      </c>
      <c r="AE14" s="12">
        <v>5350029</v>
      </c>
      <c r="AF14" s="9">
        <v>5350029</v>
      </c>
      <c r="AG14" s="46">
        <v>1047</v>
      </c>
      <c r="AH14" s="6">
        <v>34427</v>
      </c>
      <c r="AI14" s="8">
        <v>2754160</v>
      </c>
      <c r="AJ14" s="46"/>
      <c r="AK14" s="7">
        <v>168</v>
      </c>
      <c r="AL14" s="6">
        <v>285318</v>
      </c>
      <c r="AM14" s="8">
        <v>285318</v>
      </c>
      <c r="AN14" s="46">
        <v>541</v>
      </c>
      <c r="AO14" s="7"/>
      <c r="AP14" s="6">
        <v>47256</v>
      </c>
      <c r="AQ14" s="8">
        <v>3780480</v>
      </c>
      <c r="AR14" s="46">
        <v>280</v>
      </c>
      <c r="AS14" s="14">
        <v>7</v>
      </c>
      <c r="AT14" s="14">
        <v>15</v>
      </c>
      <c r="AU14" s="65"/>
      <c r="AV14" s="56"/>
      <c r="AW14" s="66">
        <v>121.89</v>
      </c>
      <c r="AX14" s="12">
        <v>658</v>
      </c>
      <c r="AY14" s="9">
        <v>2</v>
      </c>
      <c r="AZ14" s="9">
        <v>18404.7</v>
      </c>
      <c r="BA14" s="9">
        <v>6.2</v>
      </c>
      <c r="BB14" s="9">
        <v>4383.4000000000005</v>
      </c>
      <c r="BC14" s="9">
        <v>9.2999999999999989</v>
      </c>
      <c r="BD14" s="9">
        <v>340795.40000000171</v>
      </c>
      <c r="BE14" s="9">
        <v>302842.10000000003</v>
      </c>
      <c r="BF14" s="8">
        <v>40985.875</v>
      </c>
      <c r="BG14" s="9">
        <v>0</v>
      </c>
      <c r="BH14" s="9">
        <v>16387.375</v>
      </c>
      <c r="BI14" s="9">
        <v>8184</v>
      </c>
    </row>
    <row r="15" spans="1:61" ht="15.75" x14ac:dyDescent="0.25">
      <c r="A15" s="54">
        <v>11</v>
      </c>
      <c r="B15" s="55" t="s">
        <v>69</v>
      </c>
      <c r="D15" s="6">
        <v>407662</v>
      </c>
      <c r="E15" s="8">
        <v>660</v>
      </c>
      <c r="F15" s="6">
        <v>7138</v>
      </c>
      <c r="G15" s="8">
        <v>0</v>
      </c>
      <c r="H15" s="6">
        <v>121414</v>
      </c>
      <c r="I15" s="8">
        <v>143</v>
      </c>
      <c r="J15" s="46">
        <v>635005</v>
      </c>
      <c r="K15" s="8">
        <v>136</v>
      </c>
      <c r="L15" s="7"/>
      <c r="M15" s="11" t="e">
        <v>#DIV/0!</v>
      </c>
      <c r="N15" s="6">
        <v>15223</v>
      </c>
      <c r="O15" s="8">
        <v>0</v>
      </c>
      <c r="P15" s="12">
        <v>101096</v>
      </c>
      <c r="Q15" s="9">
        <v>20</v>
      </c>
      <c r="R15" s="12">
        <v>48</v>
      </c>
      <c r="S15" s="9">
        <v>0</v>
      </c>
      <c r="T15" s="12">
        <v>208854</v>
      </c>
      <c r="U15" s="9">
        <v>42</v>
      </c>
      <c r="V15" s="13"/>
      <c r="W15" s="69">
        <v>0</v>
      </c>
      <c r="X15" s="46">
        <v>10612</v>
      </c>
      <c r="Y15" s="56"/>
      <c r="Z15" s="8">
        <v>0</v>
      </c>
      <c r="AA15" s="46">
        <v>2546</v>
      </c>
      <c r="AB15" s="6"/>
      <c r="AC15" s="9">
        <v>0</v>
      </c>
      <c r="AD15" s="46">
        <v>236</v>
      </c>
      <c r="AE15" s="12"/>
      <c r="AF15" s="9">
        <v>0</v>
      </c>
      <c r="AG15" s="46">
        <v>1142</v>
      </c>
      <c r="AH15" s="6"/>
      <c r="AI15" s="8">
        <v>0</v>
      </c>
      <c r="AJ15" s="46"/>
      <c r="AK15" s="7">
        <v>176</v>
      </c>
      <c r="AL15" s="6"/>
      <c r="AM15" s="8">
        <v>0</v>
      </c>
      <c r="AN15" s="46">
        <v>529</v>
      </c>
      <c r="AO15" s="7"/>
      <c r="AP15" s="6"/>
      <c r="AQ15" s="8">
        <v>0</v>
      </c>
      <c r="AR15" s="46">
        <v>288</v>
      </c>
      <c r="AS15" s="14">
        <v>4</v>
      </c>
      <c r="AT15" s="14">
        <v>10</v>
      </c>
      <c r="AU15" s="65"/>
      <c r="AV15" s="56"/>
      <c r="AW15" s="66">
        <v>121.89</v>
      </c>
      <c r="AX15" s="12">
        <v>659</v>
      </c>
      <c r="AY15" s="9">
        <v>1</v>
      </c>
      <c r="AZ15" s="9">
        <v>18591.545454545456</v>
      </c>
      <c r="BA15" s="9">
        <v>5.6363636363636367</v>
      </c>
      <c r="BB15" s="9">
        <v>4387.9090909090901</v>
      </c>
      <c r="BC15" s="9">
        <v>8.4545454545454533</v>
      </c>
      <c r="BD15" s="9">
        <v>0</v>
      </c>
      <c r="BE15" s="9">
        <v>305217.54545454541</v>
      </c>
      <c r="BF15" s="8">
        <v>41178.333333333336</v>
      </c>
      <c r="BG15" s="9">
        <v>0</v>
      </c>
      <c r="BH15" s="9">
        <v>16388.666666666664</v>
      </c>
      <c r="BI15" s="9">
        <v>8266.6666666666679</v>
      </c>
    </row>
    <row r="16" spans="1:61" ht="15.75" x14ac:dyDescent="0.25">
      <c r="A16" s="54">
        <v>12</v>
      </c>
      <c r="B16" s="55" t="s">
        <v>69</v>
      </c>
      <c r="C16" s="10"/>
      <c r="D16" s="6">
        <v>408419</v>
      </c>
      <c r="E16" s="8">
        <v>757</v>
      </c>
      <c r="F16" s="6">
        <v>7138</v>
      </c>
      <c r="G16" s="8">
        <v>0</v>
      </c>
      <c r="H16" s="6">
        <v>121578</v>
      </c>
      <c r="I16" s="8">
        <v>164</v>
      </c>
      <c r="J16" s="46">
        <v>635162</v>
      </c>
      <c r="K16" s="8">
        <v>157</v>
      </c>
      <c r="L16" s="7"/>
      <c r="M16" s="11" t="e">
        <v>#DIV/0!</v>
      </c>
      <c r="N16" s="6">
        <v>15223</v>
      </c>
      <c r="O16" s="8">
        <v>0</v>
      </c>
      <c r="P16" s="12">
        <v>101112</v>
      </c>
      <c r="Q16" s="9">
        <v>16</v>
      </c>
      <c r="R16" s="12">
        <v>48</v>
      </c>
      <c r="S16" s="9">
        <v>0</v>
      </c>
      <c r="T16" s="12">
        <v>208901</v>
      </c>
      <c r="U16" s="9">
        <v>47</v>
      </c>
      <c r="V16" s="13"/>
      <c r="W16" s="8">
        <v>0</v>
      </c>
      <c r="X16" s="46">
        <v>10532</v>
      </c>
      <c r="Y16" s="56"/>
      <c r="Z16" s="8">
        <v>0</v>
      </c>
      <c r="AA16" s="46">
        <v>2596</v>
      </c>
      <c r="AB16" s="6"/>
      <c r="AC16" s="9">
        <v>0</v>
      </c>
      <c r="AD16" s="46">
        <v>227</v>
      </c>
      <c r="AE16" s="12"/>
      <c r="AF16" s="9">
        <v>0</v>
      </c>
      <c r="AG16" s="46">
        <v>1108</v>
      </c>
      <c r="AH16" s="6"/>
      <c r="AI16" s="8">
        <v>0</v>
      </c>
      <c r="AJ16" s="46"/>
      <c r="AK16" s="7">
        <v>160</v>
      </c>
      <c r="AL16" s="6"/>
      <c r="AM16" s="8">
        <v>0</v>
      </c>
      <c r="AN16" s="46">
        <v>500</v>
      </c>
      <c r="AO16" s="7"/>
      <c r="AP16" s="6"/>
      <c r="AQ16" s="8">
        <v>0</v>
      </c>
      <c r="AR16" s="46">
        <v>288</v>
      </c>
      <c r="AS16" s="14">
        <v>4</v>
      </c>
      <c r="AT16" s="14">
        <v>10</v>
      </c>
      <c r="AU16" s="65"/>
      <c r="AV16" s="56"/>
      <c r="AW16" s="66">
        <v>121.896</v>
      </c>
      <c r="AX16" s="12">
        <v>659</v>
      </c>
      <c r="AY16" s="9">
        <v>0</v>
      </c>
      <c r="AZ16" s="9">
        <v>18997.833333333336</v>
      </c>
      <c r="BA16" s="9">
        <v>5.1666666666666661</v>
      </c>
      <c r="BB16" s="9">
        <v>4445.9166666666661</v>
      </c>
      <c r="BC16" s="9">
        <v>7.75</v>
      </c>
      <c r="BD16" s="9">
        <v>0</v>
      </c>
      <c r="BE16" s="9">
        <v>306990.41666666663</v>
      </c>
      <c r="BF16" s="8">
        <v>41199</v>
      </c>
      <c r="BG16" s="9">
        <v>0</v>
      </c>
      <c r="BH16" s="9">
        <v>16299.8</v>
      </c>
      <c r="BI16" s="9">
        <v>8332.8000000000011</v>
      </c>
    </row>
    <row r="17" spans="1:61" ht="15.75" x14ac:dyDescent="0.25">
      <c r="A17" s="54">
        <v>13</v>
      </c>
      <c r="B17" s="55" t="s">
        <v>69</v>
      </c>
      <c r="C17" s="10"/>
      <c r="D17" s="6">
        <v>409094</v>
      </c>
      <c r="E17" s="8">
        <v>675</v>
      </c>
      <c r="F17" s="6">
        <v>7139</v>
      </c>
      <c r="G17" s="8">
        <v>1</v>
      </c>
      <c r="H17" s="6">
        <v>121724</v>
      </c>
      <c r="I17" s="8">
        <v>146</v>
      </c>
      <c r="J17" s="46">
        <v>635302</v>
      </c>
      <c r="K17" s="8">
        <v>140</v>
      </c>
      <c r="L17" s="7"/>
      <c r="M17" s="11" t="e">
        <v>#DIV/0!</v>
      </c>
      <c r="N17" s="6">
        <v>15223</v>
      </c>
      <c r="O17" s="8">
        <v>0</v>
      </c>
      <c r="P17" s="12">
        <v>101129</v>
      </c>
      <c r="Q17" s="9">
        <v>17</v>
      </c>
      <c r="R17" s="12">
        <v>48</v>
      </c>
      <c r="S17" s="9">
        <v>0</v>
      </c>
      <c r="T17" s="12">
        <v>208944</v>
      </c>
      <c r="U17" s="9">
        <v>43</v>
      </c>
      <c r="V17" s="13"/>
      <c r="W17" s="8">
        <v>0</v>
      </c>
      <c r="X17" s="46">
        <v>10766</v>
      </c>
      <c r="Y17" s="56"/>
      <c r="Z17" s="8">
        <v>0</v>
      </c>
      <c r="AA17" s="46">
        <v>2637</v>
      </c>
      <c r="AB17" s="6"/>
      <c r="AC17" s="9">
        <v>0</v>
      </c>
      <c r="AD17" s="46">
        <v>227</v>
      </c>
      <c r="AE17" s="12"/>
      <c r="AF17" s="9">
        <v>0</v>
      </c>
      <c r="AG17" s="46">
        <v>1156</v>
      </c>
      <c r="AH17" s="6"/>
      <c r="AI17" s="8">
        <v>0</v>
      </c>
      <c r="AJ17" s="46"/>
      <c r="AK17" s="7">
        <v>216</v>
      </c>
      <c r="AL17" s="6"/>
      <c r="AM17" s="8">
        <v>0</v>
      </c>
      <c r="AN17" s="46">
        <v>540</v>
      </c>
      <c r="AO17" s="7"/>
      <c r="AP17" s="6"/>
      <c r="AQ17" s="8">
        <v>0</v>
      </c>
      <c r="AR17" s="46">
        <v>320</v>
      </c>
      <c r="AS17" s="14">
        <v>4</v>
      </c>
      <c r="AT17" s="14">
        <v>10</v>
      </c>
      <c r="AU17" s="65"/>
      <c r="AV17" s="56"/>
      <c r="AW17" s="66">
        <v>121.896</v>
      </c>
      <c r="AX17" s="12">
        <v>660</v>
      </c>
      <c r="AY17" s="9">
        <v>1</v>
      </c>
      <c r="AZ17" s="9">
        <v>19146.076923076926</v>
      </c>
      <c r="BA17" s="9">
        <v>7.1538461538461542</v>
      </c>
      <c r="BB17" s="9">
        <v>4452.0769230769229</v>
      </c>
      <c r="BC17" s="9">
        <v>7.1538461538461542</v>
      </c>
      <c r="BD17" s="9">
        <v>0</v>
      </c>
      <c r="BE17" s="9">
        <v>309048.53846153844</v>
      </c>
      <c r="BF17" s="8">
        <v>41351.181818181823</v>
      </c>
      <c r="BG17" s="9">
        <v>0</v>
      </c>
      <c r="BH17" s="9">
        <v>16339.818181818182</v>
      </c>
      <c r="BI17" s="9">
        <v>8477.0909090909081</v>
      </c>
    </row>
    <row r="18" spans="1:61" ht="15.75" x14ac:dyDescent="0.25">
      <c r="A18" s="54">
        <v>14</v>
      </c>
      <c r="B18" s="55" t="s">
        <v>69</v>
      </c>
      <c r="C18" s="10"/>
      <c r="D18" s="6">
        <v>409855</v>
      </c>
      <c r="E18" s="8">
        <v>761</v>
      </c>
      <c r="F18" s="6">
        <v>7139</v>
      </c>
      <c r="G18" s="8">
        <v>0</v>
      </c>
      <c r="H18" s="6">
        <v>121901</v>
      </c>
      <c r="I18" s="8">
        <v>177</v>
      </c>
      <c r="J18" s="46">
        <v>635471</v>
      </c>
      <c r="K18" s="8">
        <v>169</v>
      </c>
      <c r="L18" s="7"/>
      <c r="M18" s="11" t="e">
        <v>#DIV/0!</v>
      </c>
      <c r="N18" s="6">
        <v>15223</v>
      </c>
      <c r="O18" s="8">
        <v>0</v>
      </c>
      <c r="P18" s="12">
        <v>101142</v>
      </c>
      <c r="Q18" s="9">
        <v>13</v>
      </c>
      <c r="R18" s="12">
        <v>48</v>
      </c>
      <c r="S18" s="9">
        <v>0</v>
      </c>
      <c r="T18" s="12">
        <v>208984</v>
      </c>
      <c r="U18" s="9">
        <v>40</v>
      </c>
      <c r="V18" s="13"/>
      <c r="W18" s="8">
        <v>0</v>
      </c>
      <c r="X18" s="46">
        <v>10774</v>
      </c>
      <c r="Y18" s="56"/>
      <c r="Z18" s="69">
        <v>0</v>
      </c>
      <c r="AA18" s="46">
        <v>2642</v>
      </c>
      <c r="AB18" s="6"/>
      <c r="AC18" s="9">
        <v>0</v>
      </c>
      <c r="AD18" s="46">
        <v>239</v>
      </c>
      <c r="AE18" s="12"/>
      <c r="AF18" s="9">
        <v>0</v>
      </c>
      <c r="AG18" s="46">
        <v>1189</v>
      </c>
      <c r="AH18" s="6"/>
      <c r="AI18" s="8">
        <v>0</v>
      </c>
      <c r="AJ18" s="46"/>
      <c r="AK18" s="7">
        <v>160</v>
      </c>
      <c r="AL18" s="6"/>
      <c r="AM18" s="8">
        <v>0</v>
      </c>
      <c r="AN18" s="46">
        <v>587</v>
      </c>
      <c r="AO18" s="7"/>
      <c r="AP18" s="6"/>
      <c r="AQ18" s="8">
        <v>0</v>
      </c>
      <c r="AR18" s="46">
        <v>304</v>
      </c>
      <c r="AS18" s="14">
        <v>4</v>
      </c>
      <c r="AT18" s="14">
        <v>12</v>
      </c>
      <c r="AU18" s="65"/>
      <c r="AV18" s="56"/>
      <c r="AW18" s="66">
        <v>121.896</v>
      </c>
      <c r="AX18" s="12">
        <v>660</v>
      </c>
      <c r="AY18" s="9">
        <v>0</v>
      </c>
      <c r="AZ18" s="9">
        <v>19463.571428571431</v>
      </c>
      <c r="BA18" s="9">
        <v>6.6428571428571423</v>
      </c>
      <c r="BB18" s="9">
        <v>4526</v>
      </c>
      <c r="BC18" s="9">
        <v>6.6428571428571423</v>
      </c>
      <c r="BD18" s="9">
        <v>0</v>
      </c>
      <c r="BE18" s="9">
        <v>310830.3571428571</v>
      </c>
      <c r="BF18" s="8">
        <v>41594.250000000007</v>
      </c>
      <c r="BG18" s="9">
        <v>0</v>
      </c>
      <c r="BH18" s="9">
        <v>16494.583333333336</v>
      </c>
      <c r="BI18" s="9">
        <v>8556</v>
      </c>
    </row>
    <row r="19" spans="1:61" ht="15.75" x14ac:dyDescent="0.25">
      <c r="A19" s="54">
        <v>15</v>
      </c>
      <c r="B19" s="55" t="s">
        <v>69</v>
      </c>
      <c r="C19" s="10"/>
      <c r="D19" s="6">
        <v>410612</v>
      </c>
      <c r="E19" s="8">
        <v>757</v>
      </c>
      <c r="F19" s="6">
        <v>7139</v>
      </c>
      <c r="G19" s="8">
        <v>0</v>
      </c>
      <c r="H19" s="6">
        <v>122067</v>
      </c>
      <c r="I19" s="8">
        <v>166</v>
      </c>
      <c r="J19" s="46">
        <v>635629</v>
      </c>
      <c r="K19" s="8">
        <v>158</v>
      </c>
      <c r="L19" s="7"/>
      <c r="M19" s="11" t="e">
        <v>#DIV/0!</v>
      </c>
      <c r="N19" s="6">
        <v>15223</v>
      </c>
      <c r="O19" s="8">
        <v>0</v>
      </c>
      <c r="P19" s="12">
        <v>101158</v>
      </c>
      <c r="Q19" s="9">
        <v>16</v>
      </c>
      <c r="R19" s="12">
        <v>48</v>
      </c>
      <c r="S19" s="9">
        <v>0</v>
      </c>
      <c r="T19" s="12">
        <v>209035</v>
      </c>
      <c r="U19" s="9">
        <v>51</v>
      </c>
      <c r="V19" s="13"/>
      <c r="W19" s="8">
        <v>0</v>
      </c>
      <c r="X19" s="46">
        <v>10604</v>
      </c>
      <c r="Y19" s="56"/>
      <c r="Z19" s="69">
        <v>0</v>
      </c>
      <c r="AA19" s="46">
        <v>2615</v>
      </c>
      <c r="AB19" s="6"/>
      <c r="AC19" s="9">
        <v>0</v>
      </c>
      <c r="AD19" s="46">
        <v>240</v>
      </c>
      <c r="AE19" s="12"/>
      <c r="AF19" s="9">
        <v>0</v>
      </c>
      <c r="AG19" s="46">
        <v>1117</v>
      </c>
      <c r="AH19" s="6"/>
      <c r="AI19" s="8">
        <v>0</v>
      </c>
      <c r="AJ19" s="46"/>
      <c r="AK19" s="7">
        <v>184</v>
      </c>
      <c r="AL19" s="6"/>
      <c r="AM19" s="8">
        <v>0</v>
      </c>
      <c r="AN19" s="46">
        <v>521</v>
      </c>
      <c r="AO19" s="7"/>
      <c r="AP19" s="6"/>
      <c r="AQ19" s="8">
        <v>0</v>
      </c>
      <c r="AR19" s="46">
        <v>304</v>
      </c>
      <c r="AS19" s="14">
        <v>7</v>
      </c>
      <c r="AT19" s="14">
        <v>12</v>
      </c>
      <c r="AU19" s="65"/>
      <c r="AV19" s="56"/>
      <c r="AW19" s="66">
        <v>121.896</v>
      </c>
      <c r="AX19" s="12">
        <v>660</v>
      </c>
      <c r="AY19" s="9">
        <v>0</v>
      </c>
      <c r="AZ19" s="9">
        <v>19730.466666666667</v>
      </c>
      <c r="BA19" s="9">
        <v>6.2</v>
      </c>
      <c r="BB19" s="9">
        <v>4567.3333333333339</v>
      </c>
      <c r="BC19" s="9">
        <v>6.2</v>
      </c>
      <c r="BD19" s="9">
        <v>0</v>
      </c>
      <c r="BE19" s="9">
        <v>312023.26666666666</v>
      </c>
      <c r="BF19" s="8">
        <v>41630.615384615383</v>
      </c>
      <c r="BG19" s="9">
        <v>0</v>
      </c>
      <c r="BH19" s="9">
        <v>16468.153846153848</v>
      </c>
      <c r="BI19" s="9">
        <v>8622.7692307692305</v>
      </c>
    </row>
    <row r="20" spans="1:61" ht="15.75" x14ac:dyDescent="0.25">
      <c r="A20" s="54">
        <v>16</v>
      </c>
      <c r="B20" s="55" t="s">
        <v>69</v>
      </c>
      <c r="C20" s="10"/>
      <c r="D20" s="6">
        <v>411445</v>
      </c>
      <c r="E20" s="8">
        <v>833</v>
      </c>
      <c r="F20" s="6">
        <v>7139</v>
      </c>
      <c r="G20" s="8">
        <v>0</v>
      </c>
      <c r="H20" s="6">
        <v>122208</v>
      </c>
      <c r="I20" s="8">
        <v>141</v>
      </c>
      <c r="J20" s="46">
        <v>635762</v>
      </c>
      <c r="K20" s="8">
        <v>133</v>
      </c>
      <c r="L20" s="7"/>
      <c r="M20" s="11" t="e">
        <v>#DIV/0!</v>
      </c>
      <c r="N20" s="6">
        <v>15223</v>
      </c>
      <c r="O20" s="70">
        <v>0</v>
      </c>
      <c r="P20" s="12">
        <v>101178</v>
      </c>
      <c r="Q20" s="9">
        <v>20</v>
      </c>
      <c r="R20" s="12">
        <v>49</v>
      </c>
      <c r="S20" s="9">
        <v>1</v>
      </c>
      <c r="T20" s="12">
        <v>209084</v>
      </c>
      <c r="U20" s="9">
        <v>49</v>
      </c>
      <c r="V20" s="13"/>
      <c r="W20" s="8">
        <v>0</v>
      </c>
      <c r="X20" s="46">
        <v>10458</v>
      </c>
      <c r="Y20" s="56"/>
      <c r="Z20" s="69">
        <v>0</v>
      </c>
      <c r="AA20" s="46">
        <v>2542</v>
      </c>
      <c r="AB20" s="6"/>
      <c r="AC20" s="9">
        <v>0</v>
      </c>
      <c r="AD20" s="46">
        <v>223</v>
      </c>
      <c r="AE20" s="12"/>
      <c r="AF20" s="9">
        <v>0</v>
      </c>
      <c r="AG20" s="46">
        <v>1131</v>
      </c>
      <c r="AH20" s="6"/>
      <c r="AI20" s="8">
        <v>0</v>
      </c>
      <c r="AJ20" s="46"/>
      <c r="AK20" s="7">
        <v>168</v>
      </c>
      <c r="AL20" s="6"/>
      <c r="AM20" s="8">
        <v>0</v>
      </c>
      <c r="AN20" s="46">
        <v>530</v>
      </c>
      <c r="AO20" s="7"/>
      <c r="AP20" s="6"/>
      <c r="AQ20" s="8">
        <v>0</v>
      </c>
      <c r="AR20" s="46">
        <v>240</v>
      </c>
      <c r="AS20" s="14">
        <v>2</v>
      </c>
      <c r="AT20" s="14">
        <v>6</v>
      </c>
      <c r="AU20" s="65"/>
      <c r="AV20" s="56"/>
      <c r="AW20" s="66">
        <v>121.896</v>
      </c>
      <c r="AX20" s="12">
        <v>661</v>
      </c>
      <c r="AY20" s="9">
        <v>1</v>
      </c>
      <c r="AZ20" s="9">
        <v>20111.25</v>
      </c>
      <c r="BA20" s="9">
        <v>5.8125</v>
      </c>
      <c r="BB20" s="9">
        <v>4555.0625</v>
      </c>
      <c r="BC20" s="9">
        <v>5.8125</v>
      </c>
      <c r="BD20" s="9">
        <v>0</v>
      </c>
      <c r="BE20" s="9">
        <v>312784.1875</v>
      </c>
      <c r="BF20" s="8">
        <v>41655.142857142862</v>
      </c>
      <c r="BG20" s="9">
        <v>0</v>
      </c>
      <c r="BH20" s="9">
        <v>16465.428571428569</v>
      </c>
      <c r="BI20" s="9">
        <v>8538.2857142857156</v>
      </c>
    </row>
    <row r="21" spans="1:61" ht="15.75" x14ac:dyDescent="0.25">
      <c r="A21" s="54">
        <v>17</v>
      </c>
      <c r="B21" s="55" t="s">
        <v>69</v>
      </c>
      <c r="C21" s="10"/>
      <c r="D21" s="6">
        <v>412393</v>
      </c>
      <c r="E21" s="8">
        <v>948</v>
      </c>
      <c r="F21" s="6">
        <v>7142</v>
      </c>
      <c r="G21" s="8">
        <v>3</v>
      </c>
      <c r="H21" s="6">
        <v>122356</v>
      </c>
      <c r="I21" s="8">
        <v>148</v>
      </c>
      <c r="J21" s="46">
        <v>635903</v>
      </c>
      <c r="K21" s="8">
        <v>141</v>
      </c>
      <c r="L21" s="7"/>
      <c r="M21" s="11" t="e">
        <v>#DIV/0!</v>
      </c>
      <c r="N21" s="6">
        <v>15223</v>
      </c>
      <c r="O21" s="8">
        <v>0</v>
      </c>
      <c r="P21" s="12">
        <v>101194</v>
      </c>
      <c r="Q21" s="9">
        <v>16</v>
      </c>
      <c r="R21" s="12">
        <v>49</v>
      </c>
      <c r="S21" s="9">
        <v>0</v>
      </c>
      <c r="T21" s="12">
        <v>209120</v>
      </c>
      <c r="U21" s="9">
        <v>36</v>
      </c>
      <c r="V21" s="13"/>
      <c r="W21" s="8">
        <v>0</v>
      </c>
      <c r="X21" s="46">
        <v>10578</v>
      </c>
      <c r="Y21" s="56"/>
      <c r="Z21" s="69">
        <v>0</v>
      </c>
      <c r="AA21" s="46">
        <v>2522</v>
      </c>
      <c r="AB21" s="6"/>
      <c r="AC21" s="9">
        <v>0</v>
      </c>
      <c r="AD21" s="46">
        <v>222</v>
      </c>
      <c r="AE21" s="12"/>
      <c r="AF21" s="9">
        <v>0</v>
      </c>
      <c r="AG21" s="46">
        <v>1188</v>
      </c>
      <c r="AH21" s="6"/>
      <c r="AI21" s="8">
        <v>0</v>
      </c>
      <c r="AJ21" s="46"/>
      <c r="AK21" s="7">
        <v>160</v>
      </c>
      <c r="AL21" s="6"/>
      <c r="AM21" s="8">
        <v>0</v>
      </c>
      <c r="AN21" s="46">
        <v>617</v>
      </c>
      <c r="AO21" s="7"/>
      <c r="AP21" s="6"/>
      <c r="AQ21" s="8">
        <v>0</v>
      </c>
      <c r="AR21" s="46">
        <v>264</v>
      </c>
      <c r="AS21" s="14">
        <v>2</v>
      </c>
      <c r="AT21" s="14">
        <v>4</v>
      </c>
      <c r="AU21" s="65"/>
      <c r="AV21" s="56"/>
      <c r="AW21" s="66">
        <v>121.896</v>
      </c>
      <c r="AX21" s="12">
        <v>661</v>
      </c>
      <c r="AY21" s="9">
        <v>0</v>
      </c>
      <c r="AZ21" s="9">
        <v>20656.941176470587</v>
      </c>
      <c r="BA21" s="9">
        <v>10.941176470588236</v>
      </c>
      <c r="BB21" s="9">
        <v>4557</v>
      </c>
      <c r="BC21" s="9">
        <v>5.4705882352941178</v>
      </c>
      <c r="BD21" s="9">
        <v>0</v>
      </c>
      <c r="BE21" s="9">
        <v>313674.4117647059</v>
      </c>
      <c r="BF21" s="8">
        <v>41792.133333333331</v>
      </c>
      <c r="BG21" s="9">
        <v>0</v>
      </c>
      <c r="BH21" s="9">
        <v>16642.866666666669</v>
      </c>
      <c r="BI21" s="9">
        <v>8514.6666666666679</v>
      </c>
    </row>
    <row r="22" spans="1:61" ht="15.75" x14ac:dyDescent="0.25">
      <c r="A22" s="54">
        <v>18</v>
      </c>
      <c r="B22" s="55" t="s">
        <v>69</v>
      </c>
      <c r="C22" s="10"/>
      <c r="D22" s="6">
        <v>413399</v>
      </c>
      <c r="E22" s="8">
        <v>1006</v>
      </c>
      <c r="F22" s="6">
        <v>7142</v>
      </c>
      <c r="G22" s="8">
        <v>0</v>
      </c>
      <c r="H22" s="6">
        <v>122502</v>
      </c>
      <c r="I22" s="8">
        <v>146</v>
      </c>
      <c r="J22" s="46">
        <v>636043</v>
      </c>
      <c r="K22" s="8">
        <v>140</v>
      </c>
      <c r="L22" s="7"/>
      <c r="M22" s="11" t="e">
        <v>#DIV/0!</v>
      </c>
      <c r="N22" s="6">
        <v>15223</v>
      </c>
      <c r="O22" s="8">
        <v>0</v>
      </c>
      <c r="P22" s="12">
        <v>101208</v>
      </c>
      <c r="Q22" s="9">
        <v>14</v>
      </c>
      <c r="R22" s="12">
        <v>49</v>
      </c>
      <c r="S22" s="9">
        <v>0</v>
      </c>
      <c r="T22" s="12">
        <v>209156</v>
      </c>
      <c r="U22" s="9">
        <v>36</v>
      </c>
      <c r="V22" s="13"/>
      <c r="W22" s="8">
        <v>0</v>
      </c>
      <c r="X22" s="46">
        <v>10382</v>
      </c>
      <c r="Y22" s="56"/>
      <c r="Z22" s="8">
        <v>0</v>
      </c>
      <c r="AA22" s="46">
        <v>2484</v>
      </c>
      <c r="AB22" s="6"/>
      <c r="AC22" s="9">
        <v>0</v>
      </c>
      <c r="AD22" s="46">
        <v>228</v>
      </c>
      <c r="AE22" s="12"/>
      <c r="AF22" s="9">
        <v>0</v>
      </c>
      <c r="AG22" s="46">
        <v>1112</v>
      </c>
      <c r="AH22" s="6"/>
      <c r="AI22" s="8">
        <v>0</v>
      </c>
      <c r="AJ22" s="46"/>
      <c r="AK22" s="7">
        <v>152</v>
      </c>
      <c r="AL22" s="6"/>
      <c r="AM22" s="8">
        <v>0</v>
      </c>
      <c r="AN22" s="46">
        <v>536</v>
      </c>
      <c r="AO22" s="7"/>
      <c r="AP22" s="6"/>
      <c r="AQ22" s="8">
        <v>0</v>
      </c>
      <c r="AR22" s="46">
        <v>256</v>
      </c>
      <c r="AS22" s="14">
        <v>0</v>
      </c>
      <c r="AT22" s="14">
        <v>4</v>
      </c>
      <c r="AU22" s="65">
        <v>2</v>
      </c>
      <c r="AV22" s="56">
        <v>16.236000000000001</v>
      </c>
      <c r="AW22" s="66">
        <v>121.896</v>
      </c>
      <c r="AX22" s="12">
        <v>662</v>
      </c>
      <c r="AY22" s="9">
        <v>1</v>
      </c>
      <c r="AZ22" s="9">
        <v>21241.888888888887</v>
      </c>
      <c r="BA22" s="9">
        <v>10.333333333333332</v>
      </c>
      <c r="BB22" s="9">
        <v>4555.2777777777783</v>
      </c>
      <c r="BC22" s="9">
        <v>5.1666666666666661</v>
      </c>
      <c r="BD22" s="9">
        <v>0</v>
      </c>
      <c r="BE22" s="9">
        <v>314128.16666666663</v>
      </c>
      <c r="BF22" s="8">
        <v>41776.375</v>
      </c>
      <c r="BG22" s="9">
        <v>0</v>
      </c>
      <c r="BH22" s="9">
        <v>16641.1875</v>
      </c>
      <c r="BI22" s="9">
        <v>8478.5</v>
      </c>
    </row>
    <row r="23" spans="1:61" ht="15.75" x14ac:dyDescent="0.25">
      <c r="A23" s="54">
        <v>19</v>
      </c>
      <c r="B23" s="55" t="s">
        <v>69</v>
      </c>
      <c r="C23" s="10"/>
      <c r="D23" s="6">
        <v>414460</v>
      </c>
      <c r="E23" s="8">
        <v>1061</v>
      </c>
      <c r="F23" s="6">
        <v>7143</v>
      </c>
      <c r="G23" s="8">
        <v>1</v>
      </c>
      <c r="H23" s="6">
        <v>122647</v>
      </c>
      <c r="I23" s="8">
        <v>145</v>
      </c>
      <c r="J23" s="46">
        <v>636181</v>
      </c>
      <c r="K23" s="8">
        <v>138</v>
      </c>
      <c r="L23" s="7"/>
      <c r="M23" s="11" t="e">
        <v>#DIV/0!</v>
      </c>
      <c r="N23" s="6">
        <v>15223</v>
      </c>
      <c r="O23" s="8">
        <v>0</v>
      </c>
      <c r="P23" s="12">
        <v>101223</v>
      </c>
      <c r="Q23" s="9">
        <v>15</v>
      </c>
      <c r="R23" s="12">
        <v>49</v>
      </c>
      <c r="S23" s="9">
        <v>0</v>
      </c>
      <c r="T23" s="12">
        <v>209197</v>
      </c>
      <c r="U23" s="9">
        <v>41</v>
      </c>
      <c r="V23" s="13"/>
      <c r="W23" s="8">
        <v>0</v>
      </c>
      <c r="X23" s="46">
        <v>10592</v>
      </c>
      <c r="Y23" s="56"/>
      <c r="Z23" s="8">
        <v>0</v>
      </c>
      <c r="AA23" s="46">
        <v>2504</v>
      </c>
      <c r="AB23" s="6"/>
      <c r="AC23" s="9">
        <v>0</v>
      </c>
      <c r="AD23" s="46">
        <v>232</v>
      </c>
      <c r="AE23" s="12"/>
      <c r="AF23" s="9">
        <v>0</v>
      </c>
      <c r="AG23" s="46">
        <v>1219</v>
      </c>
      <c r="AH23" s="6"/>
      <c r="AI23" s="8">
        <v>0</v>
      </c>
      <c r="AJ23" s="46"/>
      <c r="AK23" s="7">
        <v>152</v>
      </c>
      <c r="AL23" s="71"/>
      <c r="AM23" s="8">
        <v>0</v>
      </c>
      <c r="AN23" s="46">
        <v>578</v>
      </c>
      <c r="AO23" s="7"/>
      <c r="AP23" s="6"/>
      <c r="AQ23" s="8">
        <v>0</v>
      </c>
      <c r="AR23" s="46">
        <v>280</v>
      </c>
      <c r="AS23" s="58">
        <v>1</v>
      </c>
      <c r="AT23" s="58">
        <v>4</v>
      </c>
      <c r="AU23" s="65"/>
      <c r="AV23" s="56"/>
      <c r="AW23" s="66">
        <v>121.896</v>
      </c>
      <c r="AX23" s="12">
        <v>662</v>
      </c>
      <c r="AY23" s="9">
        <v>0</v>
      </c>
      <c r="AZ23" s="9">
        <v>21855</v>
      </c>
      <c r="BA23" s="9">
        <v>11.421052631578947</v>
      </c>
      <c r="BB23" s="9">
        <v>4552.105263157895</v>
      </c>
      <c r="BC23" s="9">
        <v>4.8947368421052628</v>
      </c>
      <c r="BD23" s="9">
        <v>0</v>
      </c>
      <c r="BE23" s="9">
        <v>314876.78947368421</v>
      </c>
      <c r="BF23" s="8">
        <v>41964.882352941182</v>
      </c>
      <c r="BG23" s="9">
        <v>0</v>
      </c>
      <c r="BH23" s="9">
        <v>16716.294117647059</v>
      </c>
      <c r="BI23" s="9">
        <v>8490.3529411764703</v>
      </c>
    </row>
    <row r="24" spans="1:61" ht="15.75" x14ac:dyDescent="0.25">
      <c r="A24" s="54">
        <f t="shared" ref="A18:A35" si="0">1+A23</f>
        <v>20</v>
      </c>
      <c r="B24" s="55" t="s">
        <v>69</v>
      </c>
      <c r="C24" s="10"/>
      <c r="D24" s="6"/>
      <c r="E24" s="8"/>
      <c r="F24" s="6"/>
      <c r="G24" s="8"/>
      <c r="H24" s="6"/>
      <c r="I24" s="8"/>
      <c r="J24" s="46"/>
      <c r="K24" s="8"/>
      <c r="L24" s="7"/>
      <c r="M24" s="11"/>
      <c r="N24" s="6"/>
      <c r="O24" s="8"/>
      <c r="P24" s="12"/>
      <c r="Q24" s="9"/>
      <c r="R24" s="12"/>
      <c r="S24" s="9"/>
      <c r="T24" s="12"/>
      <c r="U24" s="9"/>
      <c r="V24" s="13"/>
      <c r="W24" s="8"/>
      <c r="X24" s="46"/>
      <c r="Y24" s="56"/>
      <c r="Z24" s="8"/>
      <c r="AA24" s="46"/>
      <c r="AB24" s="6"/>
      <c r="AC24" s="9"/>
      <c r="AD24" s="46"/>
      <c r="AE24" s="12"/>
      <c r="AF24" s="9"/>
      <c r="AG24" s="46"/>
      <c r="AH24" s="6"/>
      <c r="AI24" s="8"/>
      <c r="AJ24" s="46"/>
      <c r="AK24" s="7"/>
      <c r="AL24" s="6"/>
      <c r="AM24" s="8"/>
      <c r="AN24" s="46"/>
      <c r="AO24" s="7"/>
      <c r="AP24" s="6"/>
      <c r="AQ24" s="8"/>
      <c r="AR24" s="46"/>
      <c r="AS24" s="14"/>
      <c r="AT24" s="14"/>
      <c r="AU24" s="65"/>
      <c r="AV24" s="56"/>
      <c r="AW24" s="66"/>
      <c r="AX24" s="12"/>
      <c r="AY24" s="9">
        <f t="shared" ref="AY5:AY35" si="1">IF(ISBLANK(AX24),0,AX24-AX23)</f>
        <v>0</v>
      </c>
      <c r="AZ24" s="9">
        <f t="shared" ref="AZ5:AZ35" si="2">IF(D24&lt;&gt;0,(+D24-D$10)/$A24*31,0)</f>
        <v>0</v>
      </c>
      <c r="BA24" s="9">
        <f t="shared" ref="BA6:BA35" si="3">IF(F24&lt;&gt;0,(+F24-F$10)/$A24*31,0)</f>
        <v>0</v>
      </c>
      <c r="BB24" s="9">
        <f t="shared" ref="BB5:BB35" si="4">IF(H24&lt;&gt;0,(+H24-H$10)/$A24*31,0)</f>
        <v>0</v>
      </c>
      <c r="BC24" s="9">
        <f t="shared" ref="BC6:BC35" si="5">IF(N24&lt;&gt;0,(+N24-N$10)/$A24*31,0)</f>
        <v>0</v>
      </c>
      <c r="BD24" s="9">
        <f t="shared" ref="BD6:BD35" si="6">IF(V24&lt;&gt;0,(+V24-V$10)*2200/$A24*31,0)</f>
        <v>0</v>
      </c>
      <c r="BE24" s="9">
        <f>IF(X24&lt;&gt;0,AVERAGE(X$11:X24)*31,)</f>
        <v>0</v>
      </c>
      <c r="BF24" s="8">
        <f>IF(AD24+AG24&lt;&gt;0,AVERAGE(AD$11:AD24)*31+AVERAGE(AG$11:AG24)*31,)</f>
        <v>0</v>
      </c>
      <c r="BG24" s="9">
        <f>IF(AJ24&lt;&gt;0,AVERAGE(AJ$11:AJ24)*31,)</f>
        <v>0</v>
      </c>
      <c r="BH24" s="9">
        <f>IF(AN24&lt;&gt;0,AVERAGE(AN$11:AN24)*31,)</f>
        <v>0</v>
      </c>
      <c r="BI24" s="9">
        <f>IF(AR24&lt;&gt;0,AVERAGE(AR$11:AR24)*31,)</f>
        <v>0</v>
      </c>
    </row>
    <row r="25" spans="1:61" ht="15.75" x14ac:dyDescent="0.25">
      <c r="A25" s="54">
        <f t="shared" si="0"/>
        <v>21</v>
      </c>
      <c r="B25" s="55" t="s">
        <v>69</v>
      </c>
      <c r="C25" s="10"/>
      <c r="D25" s="6"/>
      <c r="E25" s="8"/>
      <c r="F25" s="6"/>
      <c r="G25" s="8"/>
      <c r="H25" s="6"/>
      <c r="I25" s="8"/>
      <c r="J25" s="46"/>
      <c r="K25" s="8"/>
      <c r="L25" s="7"/>
      <c r="M25" s="11"/>
      <c r="N25" s="6"/>
      <c r="O25" s="8"/>
      <c r="P25" s="12"/>
      <c r="Q25" s="9"/>
      <c r="R25" s="12"/>
      <c r="S25" s="9"/>
      <c r="T25" s="12"/>
      <c r="U25" s="9"/>
      <c r="V25" s="13"/>
      <c r="W25" s="8"/>
      <c r="X25" s="46"/>
      <c r="Y25" s="56"/>
      <c r="Z25" s="8"/>
      <c r="AA25" s="46"/>
      <c r="AB25" s="6"/>
      <c r="AC25" s="9"/>
      <c r="AD25" s="46"/>
      <c r="AE25" s="12"/>
      <c r="AF25" s="9"/>
      <c r="AG25" s="46"/>
      <c r="AH25" s="6"/>
      <c r="AI25" s="8"/>
      <c r="AJ25" s="46"/>
      <c r="AK25" s="7"/>
      <c r="AL25" s="6"/>
      <c r="AM25" s="8"/>
      <c r="AN25" s="46"/>
      <c r="AO25" s="7"/>
      <c r="AP25" s="6"/>
      <c r="AQ25" s="8"/>
      <c r="AR25" s="46"/>
      <c r="AS25" s="14"/>
      <c r="AT25" s="14"/>
      <c r="AU25" s="65"/>
      <c r="AV25" s="56"/>
      <c r="AW25" s="66"/>
      <c r="AX25" s="12"/>
      <c r="AY25" s="9">
        <f t="shared" si="1"/>
        <v>0</v>
      </c>
      <c r="AZ25" s="9">
        <f t="shared" si="2"/>
        <v>0</v>
      </c>
      <c r="BA25" s="9">
        <f t="shared" si="3"/>
        <v>0</v>
      </c>
      <c r="BB25" s="9">
        <f t="shared" si="4"/>
        <v>0</v>
      </c>
      <c r="BC25" s="9">
        <f t="shared" si="5"/>
        <v>0</v>
      </c>
      <c r="BD25" s="9">
        <f t="shared" si="6"/>
        <v>0</v>
      </c>
      <c r="BE25" s="9">
        <f>IF(X25&lt;&gt;0,AVERAGE(X$11:X25)*31,)</f>
        <v>0</v>
      </c>
      <c r="BF25" s="8">
        <f>IF(AD25+AG25&lt;&gt;0,AVERAGE(AD$11:AD25)*31+AVERAGE(AG$11:AG25)*31,)</f>
        <v>0</v>
      </c>
      <c r="BG25" s="9">
        <f>IF(AJ25&lt;&gt;0,AVERAGE(AJ$11:AJ25)*31,)</f>
        <v>0</v>
      </c>
      <c r="BH25" s="9">
        <f>IF(AN25&lt;&gt;0,AVERAGE(AN$11:AN25)*31,)</f>
        <v>0</v>
      </c>
      <c r="BI25" s="9">
        <f>IF(AR25&lt;&gt;0,AVERAGE(AR$11:AR25)*31,)</f>
        <v>0</v>
      </c>
    </row>
    <row r="26" spans="1:61" ht="15.75" x14ac:dyDescent="0.25">
      <c r="A26" s="54">
        <f t="shared" si="0"/>
        <v>22</v>
      </c>
      <c r="B26" s="55" t="s">
        <v>69</v>
      </c>
      <c r="C26" s="10"/>
      <c r="D26" s="6"/>
      <c r="E26" s="8"/>
      <c r="F26" s="6"/>
      <c r="G26" s="8"/>
      <c r="H26" s="6"/>
      <c r="I26" s="8"/>
      <c r="J26" s="46"/>
      <c r="K26" s="8"/>
      <c r="L26" s="7"/>
      <c r="M26" s="11"/>
      <c r="N26" s="6"/>
      <c r="O26" s="8"/>
      <c r="P26" s="12"/>
      <c r="Q26" s="9"/>
      <c r="R26" s="12"/>
      <c r="S26" s="9"/>
      <c r="T26" s="12"/>
      <c r="U26" s="9"/>
      <c r="V26" s="13"/>
      <c r="W26" s="8"/>
      <c r="X26" s="46"/>
      <c r="Y26" s="56"/>
      <c r="Z26" s="8"/>
      <c r="AA26" s="46"/>
      <c r="AB26" s="6"/>
      <c r="AC26" s="9"/>
      <c r="AD26" s="46"/>
      <c r="AE26" s="12"/>
      <c r="AF26" s="9"/>
      <c r="AG26" s="46"/>
      <c r="AH26" s="6"/>
      <c r="AI26" s="8"/>
      <c r="AJ26" s="46"/>
      <c r="AK26" s="7"/>
      <c r="AL26" s="6"/>
      <c r="AM26" s="8"/>
      <c r="AN26" s="46"/>
      <c r="AO26" s="7"/>
      <c r="AP26" s="6"/>
      <c r="AQ26" s="8"/>
      <c r="AR26" s="46"/>
      <c r="AS26" s="14"/>
      <c r="AT26" s="14"/>
      <c r="AU26" s="65"/>
      <c r="AV26" s="56"/>
      <c r="AW26" s="66"/>
      <c r="AX26" s="12"/>
      <c r="AY26" s="9">
        <f t="shared" si="1"/>
        <v>0</v>
      </c>
      <c r="AZ26" s="9">
        <f t="shared" si="2"/>
        <v>0</v>
      </c>
      <c r="BA26" s="9">
        <f t="shared" si="3"/>
        <v>0</v>
      </c>
      <c r="BB26" s="9">
        <f t="shared" si="4"/>
        <v>0</v>
      </c>
      <c r="BC26" s="9">
        <f t="shared" si="5"/>
        <v>0</v>
      </c>
      <c r="BD26" s="9">
        <f t="shared" si="6"/>
        <v>0</v>
      </c>
      <c r="BE26" s="9">
        <f>IF(X26&lt;&gt;0,AVERAGE(X$11:X26)*31,)</f>
        <v>0</v>
      </c>
      <c r="BF26" s="8">
        <f>IF(AD26+AG26&lt;&gt;0,AVERAGE(AD$11:AD26)*31+AVERAGE(AG$11:AG26)*31,)</f>
        <v>0</v>
      </c>
      <c r="BG26" s="9">
        <f>IF(AJ26&lt;&gt;0,AVERAGE(AJ$11:AJ26)*31,)</f>
        <v>0</v>
      </c>
      <c r="BH26" s="9">
        <f>IF(AN26&lt;&gt;0,AVERAGE(AN$11:AN26)*31,)</f>
        <v>0</v>
      </c>
      <c r="BI26" s="9">
        <f>IF(AR26&lt;&gt;0,AVERAGE(AR$11:AR26)*31,)</f>
        <v>0</v>
      </c>
    </row>
    <row r="27" spans="1:61" ht="15.75" x14ac:dyDescent="0.25">
      <c r="A27" s="54">
        <f t="shared" si="0"/>
        <v>23</v>
      </c>
      <c r="B27" s="55" t="s">
        <v>69</v>
      </c>
      <c r="C27" s="10"/>
      <c r="D27" s="6"/>
      <c r="E27" s="8"/>
      <c r="F27" s="6"/>
      <c r="G27" s="8"/>
      <c r="H27" s="6"/>
      <c r="I27" s="8"/>
      <c r="J27" s="46"/>
      <c r="K27" s="8"/>
      <c r="L27" s="7"/>
      <c r="M27" s="11"/>
      <c r="N27" s="6"/>
      <c r="O27" s="8"/>
      <c r="P27" s="12"/>
      <c r="Q27" s="9"/>
      <c r="R27" s="12"/>
      <c r="S27" s="9"/>
      <c r="T27" s="12"/>
      <c r="U27" s="9"/>
      <c r="V27" s="13"/>
      <c r="W27" s="8"/>
      <c r="X27" s="46"/>
      <c r="Y27" s="56"/>
      <c r="Z27" s="8"/>
      <c r="AA27" s="46"/>
      <c r="AB27" s="6"/>
      <c r="AC27" s="9"/>
      <c r="AD27" s="46"/>
      <c r="AE27" s="12"/>
      <c r="AF27" s="9"/>
      <c r="AG27" s="46"/>
      <c r="AH27" s="6"/>
      <c r="AI27" s="8"/>
      <c r="AJ27" s="46"/>
      <c r="AK27" s="7"/>
      <c r="AL27" s="6"/>
      <c r="AM27" s="8"/>
      <c r="AN27" s="46"/>
      <c r="AO27" s="7"/>
      <c r="AP27" s="6"/>
      <c r="AQ27" s="8"/>
      <c r="AR27" s="46"/>
      <c r="AS27" s="14"/>
      <c r="AT27" s="14"/>
      <c r="AU27" s="65"/>
      <c r="AV27" s="56"/>
      <c r="AW27" s="66"/>
      <c r="AX27" s="12"/>
      <c r="AY27" s="9">
        <f t="shared" si="1"/>
        <v>0</v>
      </c>
      <c r="AZ27" s="9">
        <f t="shared" si="2"/>
        <v>0</v>
      </c>
      <c r="BA27" s="9">
        <f t="shared" si="3"/>
        <v>0</v>
      </c>
      <c r="BB27" s="9">
        <f t="shared" si="4"/>
        <v>0</v>
      </c>
      <c r="BC27" s="9">
        <f t="shared" si="5"/>
        <v>0</v>
      </c>
      <c r="BD27" s="9">
        <f t="shared" si="6"/>
        <v>0</v>
      </c>
      <c r="BE27" s="9">
        <f>IF(X27&lt;&gt;0,AVERAGE(X$11:X27)*31,)</f>
        <v>0</v>
      </c>
      <c r="BF27" s="8">
        <f>IF(AD27+AG27&lt;&gt;0,AVERAGE(AD$11:AD27)*31+AVERAGE(AG$11:AG27)*31,)</f>
        <v>0</v>
      </c>
      <c r="BG27" s="9">
        <f>IF(AJ27&lt;&gt;0,AVERAGE(AJ$11:AJ27)*31,)</f>
        <v>0</v>
      </c>
      <c r="BH27" s="9">
        <f>IF(AN27&lt;&gt;0,AVERAGE(AN$11:AN27)*31,)</f>
        <v>0</v>
      </c>
      <c r="BI27" s="9">
        <f>IF(AR27&lt;&gt;0,AVERAGE(AR$11:AR27)*31,)</f>
        <v>0</v>
      </c>
    </row>
    <row r="28" spans="1:61" ht="15.75" x14ac:dyDescent="0.25">
      <c r="A28" s="54">
        <f t="shared" si="0"/>
        <v>24</v>
      </c>
      <c r="B28" s="55" t="s">
        <v>69</v>
      </c>
      <c r="C28" s="10"/>
      <c r="D28" s="6"/>
      <c r="E28" s="8"/>
      <c r="F28" s="6"/>
      <c r="G28" s="8"/>
      <c r="H28" s="6"/>
      <c r="I28" s="8"/>
      <c r="J28" s="46"/>
      <c r="K28" s="8"/>
      <c r="L28" s="7"/>
      <c r="M28" s="11"/>
      <c r="N28" s="6"/>
      <c r="O28" s="8"/>
      <c r="P28" s="12"/>
      <c r="Q28" s="9"/>
      <c r="R28" s="12"/>
      <c r="S28" s="9"/>
      <c r="T28" s="12"/>
      <c r="U28" s="9"/>
      <c r="V28" s="13"/>
      <c r="W28" s="8"/>
      <c r="X28" s="46"/>
      <c r="Y28" s="56"/>
      <c r="Z28" s="8"/>
      <c r="AA28" s="46"/>
      <c r="AB28" s="6"/>
      <c r="AC28" s="9"/>
      <c r="AD28" s="46"/>
      <c r="AE28" s="12"/>
      <c r="AF28" s="9"/>
      <c r="AG28" s="46"/>
      <c r="AH28" s="6"/>
      <c r="AI28" s="8"/>
      <c r="AJ28" s="46"/>
      <c r="AK28" s="7"/>
      <c r="AL28" s="6"/>
      <c r="AM28" s="8"/>
      <c r="AN28" s="46"/>
      <c r="AO28" s="7"/>
      <c r="AP28" s="6"/>
      <c r="AQ28" s="8"/>
      <c r="AR28" s="46"/>
      <c r="AS28" s="14"/>
      <c r="AT28" s="14"/>
      <c r="AU28" s="65"/>
      <c r="AV28" s="56"/>
      <c r="AW28" s="66"/>
      <c r="AX28" s="12"/>
      <c r="AY28" s="9">
        <f t="shared" si="1"/>
        <v>0</v>
      </c>
      <c r="AZ28" s="9">
        <f t="shared" si="2"/>
        <v>0</v>
      </c>
      <c r="BA28" s="9">
        <f t="shared" si="3"/>
        <v>0</v>
      </c>
      <c r="BB28" s="9">
        <f t="shared" si="4"/>
        <v>0</v>
      </c>
      <c r="BC28" s="9">
        <f t="shared" si="5"/>
        <v>0</v>
      </c>
      <c r="BD28" s="9">
        <f t="shared" si="6"/>
        <v>0</v>
      </c>
      <c r="BE28" s="9">
        <f>IF(X28&lt;&gt;0,AVERAGE(X$11:X28)*31,)</f>
        <v>0</v>
      </c>
      <c r="BF28" s="8">
        <f>IF(AD28+AG28&lt;&gt;0,AVERAGE(AD$11:AD28)*31+AVERAGE(AG$11:AG28)*31,)</f>
        <v>0</v>
      </c>
      <c r="BG28" s="9">
        <f>IF(AJ28&lt;&gt;0,AVERAGE(AJ$11:AJ28)*31,)</f>
        <v>0</v>
      </c>
      <c r="BH28" s="9">
        <f>IF(AN28&lt;&gt;0,AVERAGE(AN$11:AN28)*31,)</f>
        <v>0</v>
      </c>
      <c r="BI28" s="9">
        <f>IF(AR28&lt;&gt;0,AVERAGE(AR$11:AR28)*31,)</f>
        <v>0</v>
      </c>
    </row>
    <row r="29" spans="1:61" ht="15.75" x14ac:dyDescent="0.25">
      <c r="A29" s="54">
        <f t="shared" si="0"/>
        <v>25</v>
      </c>
      <c r="B29" s="55" t="s">
        <v>69</v>
      </c>
      <c r="C29" s="10"/>
      <c r="D29" s="6"/>
      <c r="E29" s="8"/>
      <c r="F29" s="6"/>
      <c r="G29" s="8"/>
      <c r="H29" s="6"/>
      <c r="I29" s="8"/>
      <c r="J29" s="46"/>
      <c r="K29" s="8"/>
      <c r="L29" s="7"/>
      <c r="M29" s="11"/>
      <c r="N29" s="6"/>
      <c r="O29" s="8"/>
      <c r="P29" s="12"/>
      <c r="Q29" s="9"/>
      <c r="R29" s="12"/>
      <c r="S29" s="9"/>
      <c r="T29" s="12"/>
      <c r="U29" s="9"/>
      <c r="V29" s="13"/>
      <c r="W29" s="8"/>
      <c r="X29" s="46"/>
      <c r="Y29" s="56"/>
      <c r="Z29" s="8"/>
      <c r="AA29" s="46"/>
      <c r="AB29" s="6"/>
      <c r="AC29" s="9"/>
      <c r="AD29" s="46"/>
      <c r="AE29" s="12"/>
      <c r="AF29" s="9"/>
      <c r="AG29" s="46"/>
      <c r="AH29" s="6"/>
      <c r="AI29" s="8"/>
      <c r="AJ29" s="46"/>
      <c r="AK29" s="7"/>
      <c r="AL29" s="6"/>
      <c r="AM29" s="8"/>
      <c r="AN29" s="46"/>
      <c r="AO29" s="7"/>
      <c r="AP29" s="6"/>
      <c r="AQ29" s="8"/>
      <c r="AR29" s="46"/>
      <c r="AS29" s="14"/>
      <c r="AT29" s="14"/>
      <c r="AU29" s="65"/>
      <c r="AV29" s="56"/>
      <c r="AW29" s="66"/>
      <c r="AX29" s="12"/>
      <c r="AY29" s="9">
        <f t="shared" si="1"/>
        <v>0</v>
      </c>
      <c r="AZ29" s="9">
        <f t="shared" si="2"/>
        <v>0</v>
      </c>
      <c r="BA29" s="9">
        <f t="shared" si="3"/>
        <v>0</v>
      </c>
      <c r="BB29" s="9">
        <f t="shared" si="4"/>
        <v>0</v>
      </c>
      <c r="BC29" s="9">
        <f t="shared" si="5"/>
        <v>0</v>
      </c>
      <c r="BD29" s="9">
        <f t="shared" si="6"/>
        <v>0</v>
      </c>
      <c r="BE29" s="9">
        <f>IF(X29&lt;&gt;0,AVERAGE(X$11:X29)*31,)</f>
        <v>0</v>
      </c>
      <c r="BF29" s="8">
        <f>IF(AD29+AG29&lt;&gt;0,AVERAGE(AD$11:AD29)*31+AVERAGE(AG$11:AG29)*31,)</f>
        <v>0</v>
      </c>
      <c r="BG29" s="9">
        <f>IF(AJ29&lt;&gt;0,AVERAGE(AJ$11:AJ29)*31,)</f>
        <v>0</v>
      </c>
      <c r="BH29" s="9">
        <f>IF(AN29&lt;&gt;0,AVERAGE(AN$11:AN29)*31,)</f>
        <v>0</v>
      </c>
      <c r="BI29" s="9">
        <f>IF(AR29&lt;&gt;0,AVERAGE(AR$11:AR29)*31,)</f>
        <v>0</v>
      </c>
    </row>
    <row r="30" spans="1:61" ht="15.75" x14ac:dyDescent="0.25">
      <c r="A30" s="54">
        <f t="shared" si="0"/>
        <v>26</v>
      </c>
      <c r="B30" s="55" t="s">
        <v>69</v>
      </c>
      <c r="C30" s="10"/>
      <c r="D30" s="6"/>
      <c r="E30" s="8"/>
      <c r="F30" s="6"/>
      <c r="G30" s="8"/>
      <c r="H30" s="6"/>
      <c r="I30" s="8"/>
      <c r="J30" s="46"/>
      <c r="K30" s="8"/>
      <c r="L30" s="7"/>
      <c r="M30" s="11"/>
      <c r="N30" s="6"/>
      <c r="O30" s="8"/>
      <c r="P30" s="12"/>
      <c r="Q30" s="9"/>
      <c r="R30" s="12"/>
      <c r="S30" s="9"/>
      <c r="T30" s="12"/>
      <c r="U30" s="9"/>
      <c r="V30" s="13"/>
      <c r="W30" s="8"/>
      <c r="X30" s="46"/>
      <c r="Y30" s="56"/>
      <c r="Z30" s="8"/>
      <c r="AA30" s="46"/>
      <c r="AB30" s="6"/>
      <c r="AC30" s="9"/>
      <c r="AD30" s="46"/>
      <c r="AE30" s="12"/>
      <c r="AF30" s="9"/>
      <c r="AG30" s="46"/>
      <c r="AH30" s="6"/>
      <c r="AI30" s="8"/>
      <c r="AJ30" s="46"/>
      <c r="AK30" s="7"/>
      <c r="AL30" s="6"/>
      <c r="AM30" s="8"/>
      <c r="AN30" s="46"/>
      <c r="AO30" s="7"/>
      <c r="AP30" s="6"/>
      <c r="AQ30" s="8"/>
      <c r="AR30" s="46"/>
      <c r="AS30" s="14"/>
      <c r="AT30" s="14"/>
      <c r="AU30" s="65"/>
      <c r="AV30" s="56"/>
      <c r="AW30" s="66"/>
      <c r="AX30" s="12"/>
      <c r="AY30" s="9">
        <f t="shared" si="1"/>
        <v>0</v>
      </c>
      <c r="AZ30" s="9">
        <f t="shared" si="2"/>
        <v>0</v>
      </c>
      <c r="BA30" s="9">
        <f t="shared" si="3"/>
        <v>0</v>
      </c>
      <c r="BB30" s="9">
        <f t="shared" si="4"/>
        <v>0</v>
      </c>
      <c r="BC30" s="9">
        <f t="shared" si="5"/>
        <v>0</v>
      </c>
      <c r="BD30" s="9">
        <f t="shared" si="6"/>
        <v>0</v>
      </c>
      <c r="BE30" s="9">
        <f>IF(X30&lt;&gt;0,AVERAGE(X$11:X30)*31,)</f>
        <v>0</v>
      </c>
      <c r="BF30" s="8">
        <f>IF(AD30+AG30&lt;&gt;0,AVERAGE(AD$11:AD30)*31+AVERAGE(AG$11:AG30)*31,)</f>
        <v>0</v>
      </c>
      <c r="BG30" s="9">
        <f>IF(AJ30&lt;&gt;0,AVERAGE(AJ$11:AJ30)*31,)</f>
        <v>0</v>
      </c>
      <c r="BH30" s="9">
        <f>IF(AN30&lt;&gt;0,AVERAGE(AN$11:AN30)*31,)</f>
        <v>0</v>
      </c>
      <c r="BI30" s="9">
        <f>IF(AR30&lt;&gt;0,AVERAGE(AR$11:AR30)*31,)</f>
        <v>0</v>
      </c>
    </row>
    <row r="31" spans="1:61" ht="15.75" x14ac:dyDescent="0.25">
      <c r="A31" s="54">
        <f t="shared" si="0"/>
        <v>27</v>
      </c>
      <c r="B31" s="55" t="s">
        <v>69</v>
      </c>
      <c r="C31" s="10"/>
      <c r="D31" s="6"/>
      <c r="E31" s="8"/>
      <c r="F31" s="6"/>
      <c r="G31" s="8"/>
      <c r="H31" s="6"/>
      <c r="I31" s="8"/>
      <c r="J31" s="46"/>
      <c r="K31" s="8"/>
      <c r="L31" s="7"/>
      <c r="M31" s="11"/>
      <c r="N31" s="14"/>
      <c r="O31" s="8"/>
      <c r="P31" s="12"/>
      <c r="Q31" s="9"/>
      <c r="R31" s="12"/>
      <c r="S31" s="9"/>
      <c r="T31" s="12"/>
      <c r="U31" s="9"/>
      <c r="V31" s="13"/>
      <c r="W31" s="8"/>
      <c r="X31" s="46"/>
      <c r="Y31" s="75"/>
      <c r="Z31" s="8"/>
      <c r="AA31" s="46"/>
      <c r="AB31" s="6"/>
      <c r="AC31" s="9"/>
      <c r="AD31" s="46"/>
      <c r="AE31" s="12"/>
      <c r="AF31" s="9"/>
      <c r="AG31" s="46"/>
      <c r="AH31" s="6"/>
      <c r="AI31" s="8"/>
      <c r="AJ31" s="46"/>
      <c r="AK31" s="7"/>
      <c r="AL31" s="6"/>
      <c r="AM31" s="8"/>
      <c r="AN31" s="46"/>
      <c r="AO31" s="7"/>
      <c r="AP31" s="6"/>
      <c r="AQ31" s="8"/>
      <c r="AR31" s="46"/>
      <c r="AS31" s="58"/>
      <c r="AT31" s="58"/>
      <c r="AU31" s="65"/>
      <c r="AV31" s="56"/>
      <c r="AW31" s="66"/>
      <c r="AX31" s="12"/>
      <c r="AY31" s="9">
        <f t="shared" si="1"/>
        <v>0</v>
      </c>
      <c r="AZ31" s="9">
        <f t="shared" si="2"/>
        <v>0</v>
      </c>
      <c r="BA31" s="9">
        <f t="shared" si="3"/>
        <v>0</v>
      </c>
      <c r="BB31" s="9">
        <f t="shared" si="4"/>
        <v>0</v>
      </c>
      <c r="BC31" s="9">
        <f t="shared" si="5"/>
        <v>0</v>
      </c>
      <c r="BD31" s="9">
        <f t="shared" si="6"/>
        <v>0</v>
      </c>
      <c r="BE31" s="9">
        <f>IF(X31&lt;&gt;0,AVERAGE(X$11:X31)*31,)</f>
        <v>0</v>
      </c>
      <c r="BF31" s="8">
        <f>IF(AD31+AG31&lt;&gt;0,AVERAGE(AD$11:AD31)*31+AVERAGE(AG$11:AG31)*31,)</f>
        <v>0</v>
      </c>
      <c r="BG31" s="9">
        <f>IF(AJ31&lt;&gt;0,AVERAGE(AJ$11:AJ31)*31,)</f>
        <v>0</v>
      </c>
      <c r="BH31" s="9">
        <f>IF(AN31&lt;&gt;0,AVERAGE(AN$11:AN31)*31,)</f>
        <v>0</v>
      </c>
      <c r="BI31" s="9">
        <f>IF(AR31&lt;&gt;0,AVERAGE(AR$11:AR31)*31,)</f>
        <v>0</v>
      </c>
    </row>
    <row r="32" spans="1:61" ht="15.75" x14ac:dyDescent="0.25">
      <c r="A32" s="54">
        <f t="shared" si="0"/>
        <v>28</v>
      </c>
      <c r="B32" s="55" t="s">
        <v>69</v>
      </c>
      <c r="C32" s="10"/>
      <c r="D32" s="6"/>
      <c r="E32" s="8"/>
      <c r="F32" s="6"/>
      <c r="G32" s="8"/>
      <c r="H32" s="6"/>
      <c r="I32" s="8"/>
      <c r="J32" s="46"/>
      <c r="K32" s="8"/>
      <c r="L32" s="7"/>
      <c r="M32" s="11"/>
      <c r="N32" s="14"/>
      <c r="O32" s="8"/>
      <c r="P32" s="12"/>
      <c r="Q32" s="9"/>
      <c r="R32" s="12"/>
      <c r="S32" s="9"/>
      <c r="T32" s="12"/>
      <c r="U32" s="9"/>
      <c r="V32" s="13"/>
      <c r="W32" s="8"/>
      <c r="X32" s="46"/>
      <c r="Y32" s="56"/>
      <c r="Z32" s="8"/>
      <c r="AA32" s="46"/>
      <c r="AB32" s="6"/>
      <c r="AC32" s="9"/>
      <c r="AD32" s="46"/>
      <c r="AE32" s="12"/>
      <c r="AF32" s="9"/>
      <c r="AG32" s="46"/>
      <c r="AH32" s="6"/>
      <c r="AI32" s="8"/>
      <c r="AJ32" s="46"/>
      <c r="AK32" s="7"/>
      <c r="AL32" s="6"/>
      <c r="AM32" s="8"/>
      <c r="AN32" s="46"/>
      <c r="AO32" s="7"/>
      <c r="AP32" s="6"/>
      <c r="AQ32" s="8"/>
      <c r="AR32" s="46"/>
      <c r="AS32" s="14"/>
      <c r="AT32" s="14"/>
      <c r="AU32" s="65"/>
      <c r="AV32" s="56"/>
      <c r="AW32" s="66"/>
      <c r="AX32" s="12"/>
      <c r="AY32" s="9">
        <f t="shared" si="1"/>
        <v>0</v>
      </c>
      <c r="AZ32" s="9">
        <f t="shared" si="2"/>
        <v>0</v>
      </c>
      <c r="BA32" s="9">
        <f t="shared" si="3"/>
        <v>0</v>
      </c>
      <c r="BB32" s="9">
        <f t="shared" si="4"/>
        <v>0</v>
      </c>
      <c r="BC32" s="9">
        <f t="shared" si="5"/>
        <v>0</v>
      </c>
      <c r="BD32" s="9">
        <f t="shared" si="6"/>
        <v>0</v>
      </c>
      <c r="BE32" s="9">
        <f>IF(X32&lt;&gt;0,AVERAGE(X$11:X32)*31,)</f>
        <v>0</v>
      </c>
      <c r="BF32" s="8">
        <f>IF(AD32+AG32&lt;&gt;0,AVERAGE(AD$11:AD32)*31+AVERAGE(AG$11:AG32)*31,)</f>
        <v>0</v>
      </c>
      <c r="BG32" s="9">
        <f>IF(AJ32&lt;&gt;0,AVERAGE(AJ$11:AJ32)*31,)</f>
        <v>0</v>
      </c>
      <c r="BH32" s="9">
        <f>IF(AN32&lt;&gt;0,AVERAGE(AN$11:AN32)*31,)</f>
        <v>0</v>
      </c>
      <c r="BI32" s="9">
        <f>IF(AR32&lt;&gt;0,AVERAGE(AR$11:AR32)*31,)</f>
        <v>0</v>
      </c>
    </row>
    <row r="33" spans="1:61" ht="15.75" x14ac:dyDescent="0.25">
      <c r="A33" s="54">
        <f t="shared" si="0"/>
        <v>29</v>
      </c>
      <c r="B33" s="55" t="s">
        <v>69</v>
      </c>
      <c r="C33" s="10"/>
      <c r="D33" s="6"/>
      <c r="E33" s="8"/>
      <c r="F33" s="6"/>
      <c r="G33" s="8"/>
      <c r="H33" s="6"/>
      <c r="I33" s="8"/>
      <c r="J33" s="46"/>
      <c r="K33" s="8"/>
      <c r="L33" s="7"/>
      <c r="M33" s="11"/>
      <c r="N33" s="14"/>
      <c r="O33" s="8"/>
      <c r="P33" s="12"/>
      <c r="Q33" s="9"/>
      <c r="R33" s="76"/>
      <c r="S33" s="9"/>
      <c r="T33" s="12"/>
      <c r="U33" s="9"/>
      <c r="V33" s="13"/>
      <c r="W33" s="8"/>
      <c r="X33" s="46"/>
      <c r="Y33" s="56"/>
      <c r="Z33" s="8"/>
      <c r="AA33" s="46"/>
      <c r="AB33" s="6"/>
      <c r="AC33" s="9"/>
      <c r="AD33" s="46"/>
      <c r="AE33" s="12"/>
      <c r="AF33" s="9"/>
      <c r="AG33" s="46"/>
      <c r="AH33" s="6"/>
      <c r="AI33" s="8"/>
      <c r="AJ33" s="46"/>
      <c r="AK33" s="7"/>
      <c r="AL33" s="6"/>
      <c r="AM33" s="8"/>
      <c r="AN33" s="46"/>
      <c r="AO33" s="7"/>
      <c r="AP33" s="6"/>
      <c r="AQ33" s="8"/>
      <c r="AR33" s="46"/>
      <c r="AS33" s="14"/>
      <c r="AT33" s="14"/>
      <c r="AU33" s="65"/>
      <c r="AV33" s="56"/>
      <c r="AW33" s="66"/>
      <c r="AX33" s="12"/>
      <c r="AY33" s="9">
        <f t="shared" si="1"/>
        <v>0</v>
      </c>
      <c r="AZ33" s="9">
        <f t="shared" si="2"/>
        <v>0</v>
      </c>
      <c r="BA33" s="9">
        <f t="shared" si="3"/>
        <v>0</v>
      </c>
      <c r="BB33" s="9">
        <f t="shared" si="4"/>
        <v>0</v>
      </c>
      <c r="BC33" s="9">
        <f t="shared" si="5"/>
        <v>0</v>
      </c>
      <c r="BD33" s="9">
        <f t="shared" si="6"/>
        <v>0</v>
      </c>
      <c r="BE33" s="9">
        <f>IF(X33&lt;&gt;0,AVERAGE(X$11:X33)*31,)</f>
        <v>0</v>
      </c>
      <c r="BF33" s="8">
        <f>IF(AD33+AG33&lt;&gt;0,AVERAGE(AD$11:AD33)*31+AVERAGE(AG$11:AG33)*31,)</f>
        <v>0</v>
      </c>
      <c r="BG33" s="9">
        <f>IF(AJ33&lt;&gt;0,AVERAGE(AJ$11:AJ33)*31,)</f>
        <v>0</v>
      </c>
      <c r="BH33" s="9">
        <f>IF(AN33&lt;&gt;0,AVERAGE(AN$11:AN33)*31,)</f>
        <v>0</v>
      </c>
      <c r="BI33" s="9">
        <f>IF(AR33&lt;&gt;0,AVERAGE(AR$11:AR33)*31,)</f>
        <v>0</v>
      </c>
    </row>
    <row r="34" spans="1:61" ht="15.75" x14ac:dyDescent="0.25">
      <c r="A34" s="54">
        <f t="shared" si="0"/>
        <v>30</v>
      </c>
      <c r="B34" s="55" t="s">
        <v>69</v>
      </c>
      <c r="C34" s="10"/>
      <c r="D34" s="6"/>
      <c r="E34" s="8"/>
      <c r="F34" s="6"/>
      <c r="G34" s="8"/>
      <c r="H34" s="6"/>
      <c r="I34" s="8"/>
      <c r="J34" s="46"/>
      <c r="K34" s="8"/>
      <c r="L34" s="7"/>
      <c r="M34" s="11"/>
      <c r="N34" s="14"/>
      <c r="O34" s="8"/>
      <c r="P34" s="77"/>
      <c r="Q34" s="9"/>
      <c r="R34" s="12"/>
      <c r="S34" s="9"/>
      <c r="T34" s="77"/>
      <c r="U34" s="9"/>
      <c r="V34" s="13"/>
      <c r="W34" s="8"/>
      <c r="X34" s="46"/>
      <c r="Y34" s="56"/>
      <c r="Z34" s="8"/>
      <c r="AA34" s="46"/>
      <c r="AB34" s="6"/>
      <c r="AC34" s="9"/>
      <c r="AD34" s="46"/>
      <c r="AE34" s="12"/>
      <c r="AF34" s="9"/>
      <c r="AG34" s="46"/>
      <c r="AH34" s="6"/>
      <c r="AI34" s="8"/>
      <c r="AJ34" s="46"/>
      <c r="AK34" s="7"/>
      <c r="AL34" s="6"/>
      <c r="AM34" s="8"/>
      <c r="AN34" s="46"/>
      <c r="AO34" s="7"/>
      <c r="AP34" s="6"/>
      <c r="AQ34" s="8"/>
      <c r="AR34" s="46"/>
      <c r="AS34" s="14"/>
      <c r="AT34" s="14"/>
      <c r="AU34" s="65"/>
      <c r="AV34" s="56"/>
      <c r="AW34" s="66"/>
      <c r="AX34" s="12"/>
      <c r="AY34" s="9">
        <f t="shared" si="1"/>
        <v>0</v>
      </c>
      <c r="AZ34" s="9">
        <f t="shared" si="2"/>
        <v>0</v>
      </c>
      <c r="BA34" s="9">
        <f t="shared" si="3"/>
        <v>0</v>
      </c>
      <c r="BB34" s="9">
        <f t="shared" si="4"/>
        <v>0</v>
      </c>
      <c r="BC34" s="9">
        <f t="shared" si="5"/>
        <v>0</v>
      </c>
      <c r="BD34" s="9">
        <f t="shared" si="6"/>
        <v>0</v>
      </c>
      <c r="BE34" s="9">
        <f>IF(X34&lt;&gt;0,AVERAGE(X$11:X34)*31,)</f>
        <v>0</v>
      </c>
      <c r="BF34" s="8">
        <f>IF(AD34+AG34&lt;&gt;0,AVERAGE(AD$11:AD34)*31+AVERAGE(AG$11:AG34)*31,)</f>
        <v>0</v>
      </c>
      <c r="BG34" s="9">
        <f>IF(AJ34&lt;&gt;0,AVERAGE(AJ$11:AJ34)*31,)</f>
        <v>0</v>
      </c>
      <c r="BH34" s="9">
        <f>IF(AN34&lt;&gt;0,AVERAGE(AN$11:AN34)*31,)</f>
        <v>0</v>
      </c>
      <c r="BI34" s="9">
        <f>IF(AR34&lt;&gt;0,AVERAGE(AR$11:AR34)*31,)</f>
        <v>0</v>
      </c>
    </row>
    <row r="35" spans="1:61" ht="16.5" thickBot="1" x14ac:dyDescent="0.3">
      <c r="A35" s="54">
        <f t="shared" si="0"/>
        <v>31</v>
      </c>
      <c r="B35" s="55" t="s">
        <v>69</v>
      </c>
      <c r="C35" s="78"/>
      <c r="D35" s="6"/>
      <c r="E35" s="8"/>
      <c r="F35" s="6"/>
      <c r="G35" s="8"/>
      <c r="H35" s="6"/>
      <c r="I35" s="8"/>
      <c r="J35" s="46"/>
      <c r="K35" s="8"/>
      <c r="L35" s="7"/>
      <c r="M35" s="11"/>
      <c r="N35" s="14"/>
      <c r="O35" s="79"/>
      <c r="P35" s="80"/>
      <c r="Q35" s="9"/>
      <c r="R35" s="12"/>
      <c r="S35" s="9"/>
      <c r="T35" s="80"/>
      <c r="U35" s="9"/>
      <c r="V35" s="13"/>
      <c r="W35" s="8"/>
      <c r="X35" s="46"/>
      <c r="Y35" s="56"/>
      <c r="Z35" s="8"/>
      <c r="AA35" s="46"/>
      <c r="AB35" s="6"/>
      <c r="AC35" s="9"/>
      <c r="AD35" s="46"/>
      <c r="AE35" s="12"/>
      <c r="AF35" s="9"/>
      <c r="AG35" s="57"/>
      <c r="AH35" s="6"/>
      <c r="AI35" s="8"/>
      <c r="AJ35" s="46"/>
      <c r="AK35" s="7"/>
      <c r="AL35" s="6"/>
      <c r="AM35" s="8"/>
      <c r="AN35" s="46"/>
      <c r="AO35" s="7"/>
      <c r="AP35" s="6"/>
      <c r="AQ35" s="8"/>
      <c r="AR35" s="46"/>
      <c r="AS35" s="14"/>
      <c r="AT35" s="14"/>
      <c r="AU35" s="65"/>
      <c r="AV35" s="56"/>
      <c r="AW35" s="66"/>
      <c r="AX35" s="12"/>
      <c r="AY35" s="9">
        <f t="shared" si="1"/>
        <v>0</v>
      </c>
      <c r="AZ35" s="9">
        <f t="shared" si="2"/>
        <v>0</v>
      </c>
      <c r="BA35" s="9">
        <f t="shared" si="3"/>
        <v>0</v>
      </c>
      <c r="BB35" s="9">
        <f t="shared" si="4"/>
        <v>0</v>
      </c>
      <c r="BC35" s="9">
        <f t="shared" si="5"/>
        <v>0</v>
      </c>
      <c r="BD35" s="9">
        <f t="shared" si="6"/>
        <v>0</v>
      </c>
      <c r="BE35" s="9">
        <f>IF(X35&lt;&gt;0,AVERAGE(X$11:X35)*31,)</f>
        <v>0</v>
      </c>
      <c r="BF35" s="8">
        <f>IF(AD35+AG35&lt;&gt;0,AVERAGE(AD$11:AD35)*31+AVERAGE(AG$11:AG35)*31,)</f>
        <v>0</v>
      </c>
      <c r="BG35" s="9">
        <f>IF(AJ35&lt;&gt;0,AVERAGE(AJ$11:AJ35)*31,)</f>
        <v>0</v>
      </c>
      <c r="BH35" s="9">
        <f>IF(AN35&lt;&gt;0,AVERAGE(AN$11:AN35)*31,)</f>
        <v>0</v>
      </c>
      <c r="BI35" s="9">
        <f>IF(AR35&lt;&gt;0,AVERAGE(AR$11:AR35)*31,)</f>
        <v>0</v>
      </c>
    </row>
    <row r="36" spans="1:61" ht="15" customHeight="1" thickTop="1" thickBot="1" x14ac:dyDescent="0.3">
      <c r="A36" s="81" t="s">
        <v>70</v>
      </c>
      <c r="C36" s="15"/>
      <c r="D36" s="16">
        <f>D35-D4</f>
        <v>-401065</v>
      </c>
      <c r="F36" s="16">
        <f>F35-F4</f>
        <v>-7136</v>
      </c>
      <c r="G36" s="2"/>
      <c r="H36" s="16">
        <f>H35-H4</f>
        <v>-119857</v>
      </c>
      <c r="I36" s="2"/>
      <c r="J36" s="60"/>
      <c r="K36" s="2"/>
      <c r="L36" s="2"/>
      <c r="M36" s="2"/>
      <c r="N36" s="16">
        <f>N35-N4</f>
        <v>-15220</v>
      </c>
      <c r="O36" s="2"/>
      <c r="P36" s="16">
        <f>P35-P5</f>
        <v>-100926</v>
      </c>
      <c r="Q36" s="2"/>
      <c r="R36" s="82">
        <f>R35-R5</f>
        <v>-47</v>
      </c>
      <c r="S36" s="2"/>
      <c r="T36" s="16">
        <f>T35-T5</f>
        <v>-208461</v>
      </c>
      <c r="U36" s="2"/>
      <c r="V36" s="16">
        <f>SUM(+V35-V4)*2200</f>
        <v>-13140160</v>
      </c>
      <c r="W36" s="2"/>
      <c r="X36" s="16">
        <f>SUM(X5:X35)</f>
        <v>192989</v>
      </c>
      <c r="Y36" s="83">
        <f>Y35-Y4</f>
        <v>-1134.7</v>
      </c>
      <c r="Z36" s="2"/>
      <c r="AA36" s="16">
        <f>SUM(Y4:Y36)</f>
        <v>1145.9999999999998</v>
      </c>
      <c r="AB36" s="84">
        <f>SUM(+AB35-AB4)</f>
        <v>-1790862</v>
      </c>
      <c r="AC36" s="2"/>
      <c r="AD36" s="16">
        <f>SUM(AD5:AD35)</f>
        <v>4413</v>
      </c>
      <c r="AE36" s="84">
        <f>SUM(+AE35-AE4)</f>
        <v>-5339095</v>
      </c>
      <c r="AF36" s="2"/>
      <c r="AG36" s="16">
        <f>SUM(AG5:AG35)</f>
        <v>21272</v>
      </c>
      <c r="AH36" s="16">
        <f>SUM(+AH35-AH4)*80</f>
        <v>-2753680</v>
      </c>
      <c r="AI36" s="2"/>
      <c r="AJ36" s="61">
        <f>SUM(AJ4:AJ35)</f>
        <v>0</v>
      </c>
      <c r="AK36" s="2"/>
      <c r="AL36" s="61">
        <f>AL35-AL4</f>
        <v>-279811</v>
      </c>
      <c r="AM36" s="2"/>
      <c r="AN36" s="16">
        <f>SUM(AN5:AN35)</f>
        <v>10370</v>
      </c>
      <c r="AO36" s="2"/>
      <c r="AP36" s="16">
        <f>SUM(+AP35-AP4)*80</f>
        <v>-3778000</v>
      </c>
      <c r="AQ36" s="2"/>
      <c r="AR36" s="16">
        <f>SUM(AR5:AR35)</f>
        <v>5328</v>
      </c>
      <c r="AS36" s="90">
        <f>AVERAGE(AS5:AS35)</f>
        <v>5.2105263157894735</v>
      </c>
      <c r="AT36" s="85">
        <f>AVERAGE(AT5:AT35)</f>
        <v>9.3684210526315788</v>
      </c>
      <c r="AU36" s="17"/>
      <c r="AV36" s="56"/>
      <c r="AX36" s="16">
        <f>AX35-AX5</f>
        <v>-650</v>
      </c>
      <c r="AY36" s="62"/>
      <c r="AZ36" s="59"/>
      <c r="BA36" s="59"/>
      <c r="BB36" s="59"/>
      <c r="BC36" s="59"/>
      <c r="BD36" s="59"/>
      <c r="BE36" s="9"/>
      <c r="BF36" s="8"/>
      <c r="BG36" s="9"/>
      <c r="BH36" s="9"/>
      <c r="BI36" s="9"/>
    </row>
    <row r="37" spans="1:61" ht="17.25" thickTop="1" thickBot="1" x14ac:dyDescent="0.3">
      <c r="A37" s="48" t="s">
        <v>30</v>
      </c>
      <c r="C37" s="4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9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50"/>
      <c r="AZ37" s="41"/>
      <c r="BA37" s="41"/>
      <c r="BB37" s="41"/>
      <c r="BC37" s="41"/>
      <c r="BD37" s="41"/>
      <c r="BE37" s="51"/>
      <c r="BF37" s="51"/>
      <c r="BG37" s="51"/>
      <c r="BH37" s="51"/>
      <c r="BI37" s="51"/>
    </row>
    <row r="38" spans="1:61" ht="16.5" thickBot="1" x14ac:dyDescent="0.3">
      <c r="A38" s="48" t="s">
        <v>30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2"/>
      <c r="Z38" s="2"/>
      <c r="AA38" s="2"/>
      <c r="AB38" s="126">
        <f>AD36+AG36</f>
        <v>25685</v>
      </c>
      <c r="AC38" s="127"/>
      <c r="AD38" s="127"/>
      <c r="AE38" s="128"/>
      <c r="AF38" s="2"/>
      <c r="AG38" s="2"/>
      <c r="AH38" s="2"/>
      <c r="AI38" s="53"/>
      <c r="AJ38" s="18">
        <f>AB38+AJ36</f>
        <v>25685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2"/>
      <c r="Z39" s="2"/>
      <c r="AA39" s="2"/>
      <c r="AB39" s="129"/>
      <c r="AC39" s="129"/>
      <c r="AD39" s="129"/>
      <c r="AE39" s="129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47"/>
      <c r="B41" s="47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  <c r="AS41" s="24"/>
    </row>
    <row r="42" spans="1:61" ht="16.5" thickTop="1" x14ac:dyDescent="0.25">
      <c r="A42" s="2"/>
    </row>
    <row r="43" spans="1:61" ht="15" customHeight="1" x14ac:dyDescent="0.25">
      <c r="A43" s="2"/>
    </row>
    <row r="44" spans="1:61" ht="25.5" customHeight="1" x14ac:dyDescent="0.25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4" ma:contentTypeDescription="Create a new document." ma:contentTypeScope="" ma:versionID="00a87e2fc97ab9f5b802461cee48052d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94b8ff63735ffd5a15206ed3362baa19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7A9B7-9990-4C6B-9E83-551B105711D8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e3f63b28-de07-48fa-b7b1-a0fc4c7d8ca0"/>
    <ds:schemaRef ds:uri="baa1c6d5-3c52-4404-a336-2822c00004d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EDFBD41-BA03-4B60-AAFB-79AC730FA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CC830D-0493-4C4B-A8C7-31305DB64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a1c6d5-3c52-4404-a336-2822c00004da"/>
    <ds:schemaRef ds:uri="e3f63b28-de07-48fa-b7b1-a0fc4c7d8c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Gilberto Moretti</cp:lastModifiedBy>
  <dcterms:created xsi:type="dcterms:W3CDTF">2017-05-22T13:08:25Z</dcterms:created>
  <dcterms:modified xsi:type="dcterms:W3CDTF">2023-01-20T14:53:27Z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</Properties>
</file>