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970" documentId="8_{5B502D95-7A37-4D5A-8B6B-374537CC2F26}" xr6:coauthVersionLast="47" xr6:coauthVersionMax="47" xr10:uidLastSave="{65F0CFF0-07A8-429A-8318-C5639F242F2D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7" i="2" l="1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4" i="2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M48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<sst xmlns="http://schemas.openxmlformats.org/spreadsheetml/2006/main" count="482" uniqueCount="186">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</sst>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  <c:pt idx="7">
                  <c:v>137.29999999998836</c:v>
                </c:pt>
                <c:pt idx="8">
                  <c:v>156.80000000001746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  <c:pt idx="7">
                  <c:v>4430</c:v>
                </c:pt>
                <c:pt idx="8">
                  <c:v>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  <c:pt idx="7">
                  <c:v>8922</c:v>
                </c:pt>
                <c:pt idx="8">
                  <c:v>9156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  <c:pt idx="7">
                  <c:v>3836</c:v>
                </c:pt>
                <c:pt idx="8">
                  <c:v>3995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607.98499000000004</c:v>
                </c:pt>
                <c:pt idx="7">
                  <c:v>95.997630000000001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607.98499000000004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156</v>
      </c>
      <c r="L8" s="137">
        <f>'Consommation mensuel énergie'!E16</f>
        <v>217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17188</v>
      </c>
      <c r="F9" s="134">
        <v>1.05</v>
      </c>
      <c r="G9" s="134">
        <f>'Consommation mensuel énergie'!V17</f>
        <v>95.997630000000001</v>
      </c>
      <c r="H9" s="134">
        <v>12.84</v>
      </c>
      <c r="I9" s="134">
        <f>'Consommation mensuel énergie'!F17</f>
        <v>137.29999999998836</v>
      </c>
      <c r="J9" s="134">
        <v>11.4</v>
      </c>
      <c r="K9" s="137">
        <f>'Consommation mensuel énergie'!D17</f>
        <v>142</v>
      </c>
      <c r="L9" s="137">
        <f>'Consommation mensuel énergie'!E17</f>
        <v>198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18672</v>
      </c>
      <c r="F10" s="134">
        <v>1.05</v>
      </c>
      <c r="G10" s="134">
        <f>'Consommation mensuel énergie'!V18</f>
        <v>0</v>
      </c>
      <c r="H10" s="134">
        <v>12.84</v>
      </c>
      <c r="I10" s="134">
        <f>'Consommation mensuel énergie'!F18</f>
        <v>156.80000000001746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12.84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12.84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12.84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12.84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12.84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156</v>
      </c>
      <c r="I8" s="137">
        <f>'Consommation mensuel énergie'!E16</f>
        <v>217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4430</v>
      </c>
      <c r="F9" s="137">
        <f>'Consommation mensuel énergie'!M17</f>
        <v>8922</v>
      </c>
      <c r="G9" s="137">
        <f>'Consommation mensuel énergie'!N17</f>
        <v>3836</v>
      </c>
      <c r="H9" s="137">
        <f>'Consommation mensuel énergie'!D17</f>
        <v>142</v>
      </c>
      <c r="I9" s="137">
        <f>'Consommation mensuel énergie'!E17</f>
        <v>198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5521</v>
      </c>
      <c r="F10" s="137">
        <f>'Consommation mensuel énergie'!M18</f>
        <v>9156</v>
      </c>
      <c r="G10" s="137">
        <f>'Consommation mensuel énergie'!N18</f>
        <v>3995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0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>
        <v>156</v>
      </c>
      <c r="E16" s="143">
        <v>217</v>
      </c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>
        <f>'Suvi Gaz'!O10</f>
        <v>607.98499000000004</v>
      </c>
      <c r="W16" s="11"/>
      <c r="X16" s="34">
        <f t="shared" si="1"/>
        <v>7806.5272716000009</v>
      </c>
    </row>
    <row r="17" spans="1:24" s="5" customFormat="1" ht="32.25" customHeight="1">
      <c r="A17" s="2"/>
      <c r="B17" s="6">
        <v>44812</v>
      </c>
      <c r="C17" s="7"/>
      <c r="D17" s="143">
        <v>142</v>
      </c>
      <c r="E17" s="143">
        <v>198</v>
      </c>
      <c r="F17" s="13">
        <f>'Suivi EAU-ELEC'!E16</f>
        <v>137.29999999998836</v>
      </c>
      <c r="G17" s="11"/>
      <c r="H17" s="168">
        <f t="shared" si="0"/>
        <v>1206.8669999998976</v>
      </c>
      <c r="I17" s="169"/>
      <c r="J17" s="169"/>
      <c r="K17" s="60">
        <v>42285</v>
      </c>
      <c r="L17" s="90">
        <f>'Suivi EAU-ELEC'!G16</f>
        <v>4430</v>
      </c>
      <c r="M17" s="91">
        <f>'Suivi EAU-ELEC'!I16</f>
        <v>8922</v>
      </c>
      <c r="N17" s="91">
        <f>'Suivi EAU-ELEC'!K16</f>
        <v>3836</v>
      </c>
      <c r="O17" s="91">
        <f t="shared" si="2"/>
        <v>17188</v>
      </c>
      <c r="P17" s="12"/>
      <c r="Q17" s="34">
        <f t="shared" si="3"/>
        <v>16686.160199999998</v>
      </c>
      <c r="R17" s="12"/>
      <c r="S17" s="28"/>
      <c r="T17" s="12"/>
      <c r="U17" s="28"/>
      <c r="V17" s="146">
        <f>'Suvi Gaz'!O11</f>
        <v>95.997630000000001</v>
      </c>
      <c r="W17" s="11"/>
      <c r="X17" s="34">
        <f t="shared" si="1"/>
        <v>1232.6095691999999</v>
      </c>
    </row>
    <row r="18" spans="1:24" ht="32.25" customHeight="1">
      <c r="A18" s="2"/>
      <c r="B18" s="6">
        <v>44813</v>
      </c>
      <c r="C18" s="7"/>
      <c r="D18" s="143"/>
      <c r="E18" s="143"/>
      <c r="F18" s="13">
        <f>'Suivi EAU-ELEC'!E17</f>
        <v>156.80000000001746</v>
      </c>
      <c r="G18" s="11"/>
      <c r="H18" s="168">
        <f t="shared" si="0"/>
        <v>1378.2720000001534</v>
      </c>
      <c r="I18" s="169"/>
      <c r="J18" s="169"/>
      <c r="K18" s="60">
        <v>42286</v>
      </c>
      <c r="L18" s="90">
        <f>'Suivi EAU-ELEC'!G17</f>
        <v>5521</v>
      </c>
      <c r="M18" s="91">
        <f>'Suivi EAU-ELEC'!I17</f>
        <v>9156</v>
      </c>
      <c r="N18" s="91">
        <f>'Suivi EAU-ELEC'!K17</f>
        <v>3995</v>
      </c>
      <c r="O18" s="91">
        <f t="shared" si="2"/>
        <v>18672</v>
      </c>
      <c r="P18" s="12"/>
      <c r="Q18" s="34">
        <f t="shared" si="3"/>
        <v>17882.384900000001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44814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44816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44817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44818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44819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44820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1165</v>
      </c>
      <c r="E40" s="8">
        <f>SUM(E10:E39)</f>
        <v>1759</v>
      </c>
      <c r="F40" s="152">
        <f>SUM(F10:F39)</f>
        <v>1318.2000000000116</v>
      </c>
      <c r="G40" s="1"/>
      <c r="H40" s="249">
        <f>SUM(H10:H39)</f>
        <v>11586.978000000103</v>
      </c>
      <c r="I40" s="250"/>
      <c r="J40" s="251"/>
      <c r="K40" s="1"/>
      <c r="L40" s="53">
        <f>SUM(L10:L39)</f>
        <v>44275</v>
      </c>
      <c r="M40" s="53">
        <f>SUM(M10:M39)</f>
        <v>87183</v>
      </c>
      <c r="N40" s="54">
        <f>SUM(N10:N39)</f>
        <v>37140</v>
      </c>
      <c r="O40" s="55">
        <f>SUM(O10:O39)</f>
        <v>168598</v>
      </c>
      <c r="P40" s="31"/>
      <c r="Q40" s="34">
        <f t="shared" ref="Q40" si="8">L40*0.6985+M40*0.9514+N40*1.3304</f>
        <v>163283.0497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2336.3052699999998</v>
      </c>
      <c r="W40" s="31"/>
      <c r="X40" s="32">
        <f>SUM(X10:X39)</f>
        <v>29998.159666799998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44275</v>
      </c>
      <c r="J43" s="210"/>
      <c r="K43" s="211"/>
      <c r="L43" s="170">
        <f>I43*H43</f>
        <v>30926.087500000001</v>
      </c>
      <c r="M43" s="171"/>
      <c r="N43" s="227">
        <f>L43+L44+L45</f>
        <v>163283.0497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87183</v>
      </c>
      <c r="J44" s="210"/>
      <c r="K44" s="211"/>
      <c r="L44" s="170">
        <f>I44*H44</f>
        <v>82945.906199999998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37140</v>
      </c>
      <c r="J45" s="241"/>
      <c r="K45" s="242"/>
      <c r="L45" s="170">
        <f>I45*H45</f>
        <v>49411.056000000004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212267.96461000002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1318.2000000000116</v>
      </c>
      <c r="J47" s="202"/>
      <c r="K47" s="203"/>
      <c r="L47" s="207">
        <f>I47*H47</f>
        <v>11586.978000000101</v>
      </c>
      <c r="M47" s="208"/>
      <c r="N47" s="224">
        <f>L47</f>
        <v>11586.978000000101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12.84</v>
      </c>
      <c r="I48" s="199">
        <f>V40</f>
        <v>2336.3052699999998</v>
      </c>
      <c r="J48" s="239"/>
      <c r="K48" s="200"/>
      <c r="L48" s="199">
        <f>I48*H48</f>
        <v>29998.159666799998</v>
      </c>
      <c r="M48" s="200"/>
      <c r="N48" s="221">
        <f>L48</f>
        <v>29998.159666799998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6" activePane="bottomRight" state="frozen"/>
      <selection pane="bottomRight" activeCell="B17" sqref="B17:K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17" si="0">B14-B13</f>
        <v>0</v>
      </c>
      <c r="D14" s="57">
        <v>164537</v>
      </c>
      <c r="E14" s="50">
        <f t="shared" ref="E14:E17" si="1">D14-D13</f>
        <v>145</v>
      </c>
      <c r="F14" s="51">
        <v>12342786</v>
      </c>
      <c r="G14" s="50">
        <f t="shared" ref="G14:G17" si="2">F14-F13</f>
        <v>4101</v>
      </c>
      <c r="H14" s="51">
        <v>21120262</v>
      </c>
      <c r="I14" s="50">
        <f t="shared" ref="I14:I17" si="3">H14-H13</f>
        <v>9545</v>
      </c>
      <c r="J14" s="51">
        <v>9240174</v>
      </c>
      <c r="K14" s="50">
        <f t="shared" ref="K14:K17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>
        <v>2560</v>
      </c>
      <c r="C16" s="115">
        <f t="shared" si="0"/>
        <v>0</v>
      </c>
      <c r="D16" s="57">
        <v>164816.29999999999</v>
      </c>
      <c r="E16" s="50">
        <f t="shared" si="1"/>
        <v>137.29999999998836</v>
      </c>
      <c r="F16" s="51">
        <v>12351415</v>
      </c>
      <c r="G16" s="50">
        <f t="shared" si="2"/>
        <v>4430</v>
      </c>
      <c r="H16" s="51">
        <v>21138937</v>
      </c>
      <c r="I16" s="50">
        <f t="shared" si="3"/>
        <v>8922</v>
      </c>
      <c r="J16" s="51">
        <v>9247968</v>
      </c>
      <c r="K16" s="50">
        <f t="shared" si="4"/>
        <v>3836</v>
      </c>
    </row>
    <row r="17" spans="1:29" ht="19.5">
      <c r="A17" s="59">
        <v>44813</v>
      </c>
      <c r="B17" s="116">
        <v>2560</v>
      </c>
      <c r="C17" s="115">
        <f t="shared" si="0"/>
        <v>0</v>
      </c>
      <c r="D17" s="57">
        <v>164973.1</v>
      </c>
      <c r="E17" s="50">
        <f t="shared" si="1"/>
        <v>156.80000000001746</v>
      </c>
      <c r="F17" s="51">
        <v>12356936</v>
      </c>
      <c r="G17" s="50">
        <f t="shared" si="2"/>
        <v>5521</v>
      </c>
      <c r="H17" s="51">
        <v>21148093</v>
      </c>
      <c r="I17" s="50">
        <f t="shared" si="3"/>
        <v>9156</v>
      </c>
      <c r="J17" s="51">
        <v>9251963</v>
      </c>
      <c r="K17" s="50">
        <f t="shared" si="4"/>
        <v>3995</v>
      </c>
    </row>
    <row r="18" spans="1:29" ht="19.5">
      <c r="A18" s="59">
        <v>44814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44815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44816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44817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44818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44819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44820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0" activePane="bottomRight" state="frozen"/>
      <selection pane="bottomRight" activeCell="B12" sqref="B12:H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5</v>
      </c>
      <c r="D10" s="41">
        <v>60</v>
      </c>
      <c r="E10" s="39">
        <f t="shared" si="8"/>
        <v>5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249</v>
      </c>
      <c r="K10" s="39">
        <f t="shared" si="13"/>
        <v>62.25</v>
      </c>
      <c r="L10" s="39">
        <f t="shared" si="14"/>
        <v>4.75</v>
      </c>
      <c r="M10" s="149">
        <f t="shared" si="17"/>
        <v>24196</v>
      </c>
      <c r="N10" s="39">
        <f t="shared" si="15"/>
        <v>1149.31</v>
      </c>
      <c r="O10" s="148">
        <f t="shared" si="16"/>
        <v>607.98499000000004</v>
      </c>
      <c r="P10" s="42">
        <f t="shared" si="10"/>
        <v>7806.5272716000009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>
        <v>55</v>
      </c>
      <c r="C11" s="39">
        <f t="shared" si="7"/>
        <v>0</v>
      </c>
      <c r="D11" s="41">
        <v>55</v>
      </c>
      <c r="E11" s="39">
        <f t="shared" si="8"/>
        <v>1</v>
      </c>
      <c r="F11" s="41">
        <v>60</v>
      </c>
      <c r="G11" s="39">
        <f t="shared" si="9"/>
        <v>1</v>
      </c>
      <c r="H11" s="41">
        <v>60</v>
      </c>
      <c r="I11" s="39">
        <f t="shared" si="11"/>
        <v>1</v>
      </c>
      <c r="J11" s="39">
        <f t="shared" si="12"/>
        <v>230</v>
      </c>
      <c r="K11" s="39">
        <f t="shared" si="13"/>
        <v>57.5</v>
      </c>
      <c r="L11" s="39">
        <f t="shared" si="14"/>
        <v>0.75</v>
      </c>
      <c r="M11" s="149">
        <f t="shared" si="17"/>
        <v>24196</v>
      </c>
      <c r="N11" s="39">
        <f t="shared" si="15"/>
        <v>181.47</v>
      </c>
      <c r="O11" s="39">
        <f t="shared" si="16"/>
        <v>95.997630000000001</v>
      </c>
      <c r="P11" s="42">
        <f t="shared" si="10"/>
        <v>1232.6095691999999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>
        <v>55</v>
      </c>
      <c r="C12" s="39">
        <f t="shared" si="7"/>
        <v>0</v>
      </c>
      <c r="D12" s="41">
        <v>54</v>
      </c>
      <c r="E12" s="39">
        <f t="shared" si="8"/>
        <v>0</v>
      </c>
      <c r="F12" s="41">
        <v>59</v>
      </c>
      <c r="G12" s="39">
        <f t="shared" si="9"/>
        <v>0</v>
      </c>
      <c r="H12" s="41">
        <v>59</v>
      </c>
      <c r="I12" s="39">
        <f t="shared" si="11"/>
        <v>0</v>
      </c>
      <c r="J12" s="39">
        <f t="shared" si="12"/>
        <v>227</v>
      </c>
      <c r="K12" s="39">
        <f t="shared" si="13"/>
        <v>56.75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44814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4415.7699999999995</v>
      </c>
      <c r="O43" s="39">
        <f>N43*0.529</f>
        <v>2335.9423299999999</v>
      </c>
      <c r="P43" s="42">
        <f>O43*12.84</f>
        <v>29993.499517199998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4415.7699999999995</v>
      </c>
      <c r="L47" s="46">
        <f>O43</f>
        <v>2335.9423299999999</v>
      </c>
      <c r="M47" s="46">
        <f>P43</f>
        <v>29993.499517199998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L48*12.84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44570</v>
      </c>
      <c r="D8" s="350"/>
      <c r="E8" s="113">
        <v>44601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44405</v>
      </c>
      <c r="D8" s="350"/>
      <c r="E8" s="113">
        <v>44801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1400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29"/>
      <c r="H17" s="330"/>
      <c r="I17" s="329">
        <f>+E17</f>
        <v>329853</v>
      </c>
      <c r="J17" s="330"/>
    </row>
    <row r="18" spans="1:10">
      <c r="A18" s="327" t="s">
        <v>111</v>
      </c>
      <c r="B18" s="328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29"/>
      <c r="H18" s="330"/>
      <c r="I18" s="329">
        <f>+E18</f>
        <v>171013</v>
      </c>
      <c r="J18" s="330"/>
    </row>
    <row r="19" spans="1:10">
      <c r="A19" s="327" t="s">
        <v>112</v>
      </c>
      <c r="B19" s="328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29"/>
      <c r="H19" s="330"/>
      <c r="I19" s="329">
        <f>+E19</f>
        <v>138178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639044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04">
        <f>SUM(H25,F25)</f>
        <v>357757.24438799999</v>
      </c>
      <c r="J25" s="305"/>
    </row>
    <row r="26" spans="1:10" ht="15">
      <c r="A26" s="301" t="s">
        <v>124</v>
      </c>
      <c r="B26" s="302"/>
      <c r="C26" s="303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04">
        <f t="shared" ref="I26:I31" si="0">SUM(H26,F26)</f>
        <v>136175.94177</v>
      </c>
      <c r="J26" s="305"/>
    </row>
    <row r="27" spans="1:10" ht="15">
      <c r="A27" s="301" t="s">
        <v>125</v>
      </c>
      <c r="B27" s="302"/>
      <c r="C27" s="303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04">
        <f>SUM(H27,F27)</f>
        <v>209568.492768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17">
        <f t="shared" si="0"/>
        <v>30015.062280000006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689650.40789999999</v>
      </c>
      <c r="G32" s="85"/>
      <c r="H32" s="86"/>
      <c r="I32" s="313">
        <f>SUM(I25:J31)</f>
        <v>786147.48500599992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5198.3999999999942</v>
      </c>
      <c r="C13" s="397"/>
      <c r="D13" s="397">
        <v>8.7899999999999991</v>
      </c>
      <c r="E13" s="397"/>
      <c r="F13" s="399">
        <f>PRODUCT(D13,B13)</f>
        <v>45693.935999999943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59284.759999999929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4149.9331999999958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4358.1931999999961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63642.953199999924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2022-09-09T11:32:15Z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