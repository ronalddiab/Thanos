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-105" yWindow="-105" windowWidth="23250" windowHeight="12450" tabRatio="620"/>
  </bookViews>
  <sheets>
    <sheet name="TOTAL" sheetId="117" r:id="rId1"/>
    <sheet name="Shenzhen Daily" sheetId="119" r:id="rId2"/>
  </sheets>
  <calcPr calcId="152511"/>
</workbook>
</file>

<file path=xl/calcChain.xml><?xml version="1.0" encoding="utf-8"?>
<calcChain xmlns="http://schemas.openxmlformats.org/spreadsheetml/2006/main">
  <c r="H35" i="119" l="1"/>
  <c r="F35" i="119"/>
  <c r="D35" i="119"/>
  <c r="H34" i="119"/>
  <c r="F34" i="119"/>
  <c r="D34" i="119"/>
  <c r="H33" i="119"/>
  <c r="F33" i="119"/>
  <c r="D33" i="119"/>
  <c r="H32" i="119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<sst xmlns="http://schemas.openxmlformats.org/spreadsheetml/2006/main" count="54" uniqueCount="23">
  <si>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</si>
  <si>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</si>
  <si>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</si>
  <si>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</si>
  <si>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</si>
  <si>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</si>
  <si>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</si>
  <si>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</si>
  <si>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</si>
  <si>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</si>
  <si>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</si>
  <si>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</si>
  <si>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</si>
  <si>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</si>
  <si>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</si>
  <si>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</si>
  <si>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</si>
  <si>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</si>
  <si>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</si>
  <si>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</si>
  <si>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</si>
  <si>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Natural Gas (m3)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</si>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</sst>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L11" sqref="L1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0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21</v>
      </c>
      <c r="H1" s="4" t="s">
        <v>20</v>
      </c>
      <c r="I1" s="3" t="s">
        <v>6</v>
      </c>
      <c r="J1" s="5" t="s">
        <v>7</v>
      </c>
    </row>
    <row r="2" spans="1:10" ht="15" x14ac:dyDescent="0.25">
      <c r="A2" s="6" t="s">
        <v>22</v>
      </c>
      <c r="B2" s="7">
        <v>1</v>
      </c>
      <c r="C2" s="8">
        <v>8</v>
      </c>
      <c r="D2" s="7">
        <v>2022</v>
      </c>
      <c r="E2" s="26">
        <v>34794.999999999578</v>
      </c>
      <c r="F2" s="32">
        <v>0.93</v>
      </c>
      <c r="G2" s="9">
        <v>1172</v>
      </c>
      <c r="H2" s="32">
        <v>4.3899999999999997</v>
      </c>
      <c r="I2" s="9">
        <v>439</v>
      </c>
      <c r="J2" s="32">
        <v>1.72</v>
      </c>
    </row>
    <row r="3" spans="1:10" ht="15" x14ac:dyDescent="0.25">
      <c r="A3" s="6" t="s">
        <v>22</v>
      </c>
      <c r="B3" s="7">
        <f>B2+1</f>
        <v>2</v>
      </c>
      <c r="C3" s="8">
        <v>8</v>
      </c>
      <c r="D3" s="7">
        <v>2022</v>
      </c>
      <c r="E3" s="26">
        <v>33375.000000001011</v>
      </c>
      <c r="F3" s="32">
        <v>0.93</v>
      </c>
      <c r="G3" s="9">
        <v>1101</v>
      </c>
      <c r="H3" s="32">
        <v>4.3899999999999997</v>
      </c>
      <c r="I3" s="9">
        <v>433</v>
      </c>
      <c r="J3" s="32">
        <v>1.72</v>
      </c>
    </row>
    <row r="4" spans="1:10" ht="15" x14ac:dyDescent="0.25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26">
        <v>31991.999999999694</v>
      </c>
      <c r="F4" s="32">
        <v>0.93</v>
      </c>
      <c r="G4" s="9">
        <v>1154</v>
      </c>
      <c r="H4" s="32">
        <v>4.3899999999999997</v>
      </c>
      <c r="I4" s="9">
        <v>405</v>
      </c>
      <c r="J4" s="32">
        <v>1.72</v>
      </c>
    </row>
    <row r="5" spans="1:10" ht="15" x14ac:dyDescent="0.25">
      <c r="A5" s="6" t="s">
        <v>22</v>
      </c>
      <c r="B5" s="7">
        <f t="shared" si="0"/>
        <v>4</v>
      </c>
      <c r="C5" s="8">
        <v>8</v>
      </c>
      <c r="D5" s="7">
        <v>2022</v>
      </c>
      <c r="E5" s="26">
        <v>31541.999999999716</v>
      </c>
      <c r="F5" s="32">
        <v>0.93</v>
      </c>
      <c r="G5" s="9">
        <v>1139</v>
      </c>
      <c r="H5" s="32">
        <v>4.3899999999999997</v>
      </c>
      <c r="I5" s="9">
        <v>384</v>
      </c>
      <c r="J5" s="32">
        <v>1.72</v>
      </c>
    </row>
    <row r="6" spans="1:10" ht="15" x14ac:dyDescent="0.25">
      <c r="A6" s="6" t="s">
        <v>22</v>
      </c>
      <c r="B6" s="7">
        <f t="shared" si="0"/>
        <v>5</v>
      </c>
      <c r="C6" s="8">
        <v>8</v>
      </c>
      <c r="D6" s="7">
        <v>2022</v>
      </c>
      <c r="E6" s="26">
        <v>34530.000000000357</v>
      </c>
      <c r="F6" s="32">
        <v>0.93</v>
      </c>
      <c r="G6" s="9">
        <v>1223</v>
      </c>
      <c r="H6" s="32">
        <v>4.3899999999999997</v>
      </c>
      <c r="I6" s="9">
        <v>405</v>
      </c>
      <c r="J6" s="32">
        <v>1.72</v>
      </c>
    </row>
    <row r="7" spans="1:10" ht="15" x14ac:dyDescent="0.25">
      <c r="A7" s="6" t="s">
        <v>22</v>
      </c>
      <c r="B7" s="7">
        <f t="shared" si="0"/>
        <v>6</v>
      </c>
      <c r="C7" s="8">
        <v>8</v>
      </c>
      <c r="D7" s="7">
        <v>2022</v>
      </c>
      <c r="E7" s="26">
        <v>32232.999999998752</v>
      </c>
      <c r="F7" s="32">
        <v>0.93</v>
      </c>
      <c r="G7" s="9">
        <v>1191</v>
      </c>
      <c r="H7" s="32">
        <v>4.3899999999999997</v>
      </c>
      <c r="I7" s="9">
        <v>425</v>
      </c>
      <c r="J7" s="32">
        <v>1.72</v>
      </c>
    </row>
    <row r="8" spans="1:10" ht="15" x14ac:dyDescent="0.25">
      <c r="A8" s="6" t="s">
        <v>22</v>
      </c>
      <c r="B8" s="7">
        <f t="shared" si="0"/>
        <v>7</v>
      </c>
      <c r="C8" s="8">
        <v>8</v>
      </c>
      <c r="D8" s="7">
        <v>2022</v>
      </c>
      <c r="E8" s="26">
        <v>32221.000000001884</v>
      </c>
      <c r="F8" s="32">
        <v>0.93</v>
      </c>
      <c r="G8" s="9">
        <v>1137</v>
      </c>
      <c r="H8" s="32">
        <v>4.3899999999999997</v>
      </c>
      <c r="I8" s="9">
        <v>402</v>
      </c>
      <c r="J8" s="32">
        <v>1.72</v>
      </c>
    </row>
    <row r="9" spans="1:10" ht="15" x14ac:dyDescent="0.25">
      <c r="A9" s="6" t="s">
        <v>22</v>
      </c>
      <c r="B9" s="7">
        <f t="shared" si="0"/>
        <v>8</v>
      </c>
      <c r="C9" s="8">
        <v>8</v>
      </c>
      <c r="D9" s="7">
        <v>2022</v>
      </c>
      <c r="E9" s="26">
        <v>34836.999999999003</v>
      </c>
      <c r="F9" s="32">
        <v>0.93</v>
      </c>
      <c r="G9" s="9">
        <v>1306</v>
      </c>
      <c r="H9" s="32">
        <v>4.3899999999999997</v>
      </c>
      <c r="I9" s="9">
        <v>440</v>
      </c>
      <c r="J9" s="32">
        <v>1.72</v>
      </c>
    </row>
    <row r="10" spans="1:10" ht="15" x14ac:dyDescent="0.25">
      <c r="A10" s="6" t="s">
        <v>22</v>
      </c>
      <c r="B10" s="7">
        <f t="shared" si="0"/>
        <v>9</v>
      </c>
      <c r="C10" s="8">
        <v>8</v>
      </c>
      <c r="D10" s="7">
        <v>2022</v>
      </c>
      <c r="E10" s="26">
        <v>30830.000000001033</v>
      </c>
      <c r="F10" s="32">
        <v>0.93</v>
      </c>
      <c r="G10" s="9">
        <v>1180</v>
      </c>
      <c r="H10" s="32">
        <v>4.3899999999999997</v>
      </c>
      <c r="I10" s="9">
        <v>371</v>
      </c>
      <c r="J10" s="32">
        <v>1.72</v>
      </c>
    </row>
    <row r="11" spans="1:10" ht="15" x14ac:dyDescent="0.25">
      <c r="A11" s="6" t="s">
        <v>22</v>
      </c>
      <c r="B11" s="7">
        <f t="shared" si="0"/>
        <v>10</v>
      </c>
      <c r="C11" s="8">
        <v>8</v>
      </c>
      <c r="D11" s="7">
        <v>2022</v>
      </c>
      <c r="E11" s="26">
        <v>32711.999999999221</v>
      </c>
      <c r="F11" s="32">
        <v>0.93</v>
      </c>
      <c r="G11" s="9">
        <v>1241</v>
      </c>
      <c r="H11" s="32">
        <v>4.3899999999999997</v>
      </c>
      <c r="I11" s="9">
        <v>410</v>
      </c>
      <c r="J11" s="32">
        <v>1.72</v>
      </c>
    </row>
    <row r="12" spans="1:10" ht="15" x14ac:dyDescent="0.25">
      <c r="A12" s="6" t="s">
        <v>22</v>
      </c>
      <c r="B12" s="7">
        <f t="shared" si="0"/>
        <v>11</v>
      </c>
      <c r="C12" s="8">
        <v>8</v>
      </c>
      <c r="D12" s="7">
        <v>2022</v>
      </c>
      <c r="E12" s="26">
        <v>29622.000000000822</v>
      </c>
      <c r="F12" s="32">
        <v>0.93</v>
      </c>
      <c r="G12" s="9">
        <v>1367</v>
      </c>
      <c r="H12" s="32">
        <v>4.3899999999999997</v>
      </c>
      <c r="I12" s="9">
        <v>407</v>
      </c>
      <c r="J12" s="32">
        <v>1.72</v>
      </c>
    </row>
    <row r="13" spans="1:10" ht="15" x14ac:dyDescent="0.25">
      <c r="A13" s="6" t="s">
        <v>22</v>
      </c>
      <c r="B13" s="7">
        <f t="shared" si="0"/>
        <v>12</v>
      </c>
      <c r="C13" s="8">
        <v>8</v>
      </c>
      <c r="D13" s="7">
        <v>2022</v>
      </c>
      <c r="E13" s="26">
        <v>34082.999999998574</v>
      </c>
      <c r="F13" s="32">
        <v>0.93</v>
      </c>
      <c r="G13" s="9">
        <v>1407</v>
      </c>
      <c r="H13" s="32">
        <v>4.3899999999999997</v>
      </c>
      <c r="I13" s="9">
        <v>436</v>
      </c>
      <c r="J13" s="32">
        <v>1.72</v>
      </c>
    </row>
    <row r="14" spans="1:10" ht="15" x14ac:dyDescent="0.25">
      <c r="A14" s="6" t="s">
        <v>22</v>
      </c>
      <c r="B14" s="7">
        <f t="shared" si="0"/>
        <v>13</v>
      </c>
      <c r="C14" s="8">
        <v>8</v>
      </c>
      <c r="D14" s="7">
        <v>2022</v>
      </c>
      <c r="E14" s="26">
        <v>33145.000000001332</v>
      </c>
      <c r="F14" s="32">
        <v>0.93</v>
      </c>
      <c r="G14" s="9">
        <v>1354</v>
      </c>
      <c r="H14" s="32">
        <v>4.3899999999999997</v>
      </c>
      <c r="I14" s="9">
        <v>440</v>
      </c>
      <c r="J14" s="32">
        <v>1.72</v>
      </c>
    </row>
    <row r="15" spans="1:10" ht="15" x14ac:dyDescent="0.25">
      <c r="A15" s="6" t="s">
        <v>22</v>
      </c>
      <c r="B15" s="7">
        <f t="shared" si="0"/>
        <v>14</v>
      </c>
      <c r="C15" s="8">
        <v>8</v>
      </c>
      <c r="D15" s="7">
        <v>2022</v>
      </c>
      <c r="E15" s="26">
        <v>31505.999999999185</v>
      </c>
      <c r="F15" s="32">
        <v>0.93</v>
      </c>
      <c r="G15" s="9">
        <v>1260</v>
      </c>
      <c r="H15" s="32">
        <v>4.3899999999999997</v>
      </c>
      <c r="I15" s="9">
        <v>405</v>
      </c>
      <c r="J15" s="32">
        <v>1.72</v>
      </c>
    </row>
    <row r="16" spans="1:10" ht="15" x14ac:dyDescent="0.25">
      <c r="A16" s="6" t="s">
        <v>22</v>
      </c>
      <c r="B16" s="7">
        <f t="shared" si="0"/>
        <v>15</v>
      </c>
      <c r="C16" s="8">
        <v>8</v>
      </c>
      <c r="D16" s="7">
        <v>2022</v>
      </c>
      <c r="E16" s="26">
        <v>34443.000000000196</v>
      </c>
      <c r="F16" s="32">
        <v>0.93</v>
      </c>
      <c r="G16" s="9">
        <v>1242</v>
      </c>
      <c r="H16" s="32">
        <v>4.3899999999999997</v>
      </c>
      <c r="I16" s="9">
        <v>449</v>
      </c>
      <c r="J16" s="32">
        <v>1.72</v>
      </c>
    </row>
    <row r="17" spans="1:10" ht="15" x14ac:dyDescent="0.25">
      <c r="A17" s="6" t="s">
        <v>22</v>
      </c>
      <c r="B17" s="7">
        <f t="shared" si="0"/>
        <v>16</v>
      </c>
      <c r="C17" s="8">
        <v>8</v>
      </c>
      <c r="D17" s="7">
        <v>2022</v>
      </c>
      <c r="E17" s="26">
        <v>37431.999999999753</v>
      </c>
      <c r="F17" s="32">
        <v>0.93</v>
      </c>
      <c r="G17" s="9">
        <v>1359</v>
      </c>
      <c r="H17" s="32">
        <v>4.3899999999999997</v>
      </c>
      <c r="I17" s="9">
        <v>504</v>
      </c>
      <c r="J17" s="32">
        <v>1.72</v>
      </c>
    </row>
    <row r="18" spans="1:10" ht="15" x14ac:dyDescent="0.25">
      <c r="A18" s="6" t="s">
        <v>22</v>
      </c>
      <c r="B18" s="7">
        <f t="shared" si="0"/>
        <v>17</v>
      </c>
      <c r="C18" s="8">
        <v>8</v>
      </c>
      <c r="D18" s="7">
        <v>2022</v>
      </c>
      <c r="E18" s="26">
        <v>33812.000000000065</v>
      </c>
      <c r="F18" s="32">
        <v>0.93</v>
      </c>
      <c r="G18" s="9">
        <v>1346</v>
      </c>
      <c r="H18" s="32">
        <v>4.3899999999999997</v>
      </c>
      <c r="I18" s="9">
        <v>428</v>
      </c>
      <c r="J18" s="32">
        <v>1.72</v>
      </c>
    </row>
    <row r="19" spans="1:10" ht="15" x14ac:dyDescent="0.25">
      <c r="A19" s="6" t="s">
        <v>22</v>
      </c>
      <c r="B19" s="7">
        <f t="shared" si="0"/>
        <v>18</v>
      </c>
      <c r="C19" s="8">
        <v>8</v>
      </c>
      <c r="D19" s="7">
        <v>2022</v>
      </c>
      <c r="E19" s="26">
        <v>36224.999999999665</v>
      </c>
      <c r="F19" s="32">
        <v>0.93</v>
      </c>
      <c r="G19" s="9">
        <v>1464</v>
      </c>
      <c r="H19" s="32">
        <v>4.3899999999999997</v>
      </c>
      <c r="I19" s="9">
        <v>493</v>
      </c>
      <c r="J19" s="32">
        <v>1.72</v>
      </c>
    </row>
    <row r="20" spans="1:10" ht="15" x14ac:dyDescent="0.25">
      <c r="A20" s="6" t="s">
        <v>22</v>
      </c>
      <c r="B20" s="7">
        <f t="shared" si="0"/>
        <v>19</v>
      </c>
      <c r="C20" s="8">
        <v>8</v>
      </c>
      <c r="D20" s="7">
        <v>2022</v>
      </c>
      <c r="E20" s="26">
        <v>32959.000000000684</v>
      </c>
      <c r="F20" s="32">
        <v>0.93</v>
      </c>
      <c r="G20" s="9">
        <v>1390</v>
      </c>
      <c r="H20" s="32">
        <v>4.3899999999999997</v>
      </c>
      <c r="I20" s="9">
        <v>500</v>
      </c>
      <c r="J20" s="32">
        <v>1.72</v>
      </c>
    </row>
    <row r="21" spans="1:10" ht="15" x14ac:dyDescent="0.25">
      <c r="A21" s="6" t="s">
        <v>22</v>
      </c>
      <c r="B21" s="7">
        <f t="shared" si="0"/>
        <v>20</v>
      </c>
      <c r="C21" s="8">
        <v>8</v>
      </c>
      <c r="D21" s="7">
        <v>2022</v>
      </c>
      <c r="E21" s="26">
        <v>35883.000000000189</v>
      </c>
      <c r="F21" s="32">
        <v>0.93</v>
      </c>
      <c r="G21" s="9">
        <v>1490</v>
      </c>
      <c r="H21" s="32">
        <v>4.3899999999999997</v>
      </c>
      <c r="I21" s="9">
        <v>665</v>
      </c>
      <c r="J21" s="32">
        <v>1.72</v>
      </c>
    </row>
    <row r="22" spans="1:10" ht="15" x14ac:dyDescent="0.25">
      <c r="A22" s="6" t="s">
        <v>22</v>
      </c>
      <c r="B22" s="7">
        <f t="shared" si="0"/>
        <v>21</v>
      </c>
      <c r="C22" s="8">
        <v>8</v>
      </c>
      <c r="D22" s="7">
        <v>2022</v>
      </c>
      <c r="E22" s="26">
        <v>37630.000000000371</v>
      </c>
      <c r="F22" s="32">
        <v>0.93</v>
      </c>
      <c r="G22" s="9">
        <v>1447</v>
      </c>
      <c r="H22" s="32">
        <v>4.3899999999999997</v>
      </c>
      <c r="I22" s="9">
        <v>869</v>
      </c>
      <c r="J22" s="32">
        <v>1.72</v>
      </c>
    </row>
    <row r="23" spans="1:10" ht="15" x14ac:dyDescent="0.25">
      <c r="A23" s="6" t="s">
        <v>22</v>
      </c>
      <c r="B23" s="7">
        <f t="shared" si="0"/>
        <v>22</v>
      </c>
      <c r="C23" s="8">
        <v>8</v>
      </c>
      <c r="D23" s="7">
        <v>2022</v>
      </c>
      <c r="E23" s="26">
        <v>37993.000000000407</v>
      </c>
      <c r="F23" s="32">
        <v>0.93</v>
      </c>
      <c r="G23" s="9">
        <v>1484</v>
      </c>
      <c r="H23" s="32">
        <v>4.3899999999999997</v>
      </c>
      <c r="I23" s="9">
        <v>688</v>
      </c>
      <c r="J23" s="32">
        <v>1.72</v>
      </c>
    </row>
    <row r="24" spans="1:10" ht="15" x14ac:dyDescent="0.25">
      <c r="A24" s="6" t="s">
        <v>22</v>
      </c>
      <c r="B24" s="7">
        <f t="shared" si="0"/>
        <v>23</v>
      </c>
      <c r="C24" s="8">
        <v>8</v>
      </c>
      <c r="D24" s="7">
        <v>2022</v>
      </c>
      <c r="E24" s="26">
        <v>37739.99999999888</v>
      </c>
      <c r="F24" s="32">
        <v>0.93</v>
      </c>
      <c r="G24" s="9">
        <v>1377</v>
      </c>
      <c r="H24" s="32">
        <v>4.3899999999999997</v>
      </c>
      <c r="I24" s="9">
        <v>488</v>
      </c>
      <c r="J24" s="32">
        <v>1.72</v>
      </c>
    </row>
    <row r="25" spans="1:10" ht="15" x14ac:dyDescent="0.25">
      <c r="A25" s="6" t="s">
        <v>22</v>
      </c>
      <c r="B25" s="7">
        <f t="shared" si="0"/>
        <v>24</v>
      </c>
      <c r="C25" s="8">
        <v>8</v>
      </c>
      <c r="D25" s="7">
        <v>2022</v>
      </c>
      <c r="E25" s="26">
        <v>36153.000000000829</v>
      </c>
      <c r="F25" s="32">
        <v>0.93</v>
      </c>
      <c r="G25" s="9">
        <v>1338</v>
      </c>
      <c r="H25" s="32">
        <v>4.3899999999999997</v>
      </c>
      <c r="I25" s="9">
        <v>499</v>
      </c>
      <c r="J25" s="32">
        <v>1.72</v>
      </c>
    </row>
    <row r="26" spans="1:10" ht="15" x14ac:dyDescent="0.25">
      <c r="A26" s="6" t="s">
        <v>22</v>
      </c>
      <c r="B26" s="7">
        <f>B25+1</f>
        <v>25</v>
      </c>
      <c r="C26" s="8">
        <v>8</v>
      </c>
      <c r="D26" s="7">
        <v>2022</v>
      </c>
      <c r="E26" s="26">
        <v>32290.999999999127</v>
      </c>
      <c r="F26" s="32">
        <v>0.93</v>
      </c>
      <c r="G26" s="9">
        <v>1407</v>
      </c>
      <c r="H26" s="32">
        <v>4.3899999999999997</v>
      </c>
      <c r="I26" s="9">
        <v>431</v>
      </c>
      <c r="J26" s="32">
        <v>1.72</v>
      </c>
    </row>
    <row r="27" spans="1:10" ht="15" x14ac:dyDescent="0.25">
      <c r="A27" s="6" t="s">
        <v>22</v>
      </c>
      <c r="B27" s="7">
        <f t="shared" si="0"/>
        <v>26</v>
      </c>
      <c r="C27" s="8">
        <v>8</v>
      </c>
      <c r="D27" s="7">
        <v>2022</v>
      </c>
      <c r="E27" s="26">
        <v>34568.000000000669</v>
      </c>
      <c r="F27" s="32">
        <v>0.93</v>
      </c>
      <c r="G27" s="9">
        <v>1345</v>
      </c>
      <c r="H27" s="32">
        <v>4.3899999999999997</v>
      </c>
      <c r="I27" s="9">
        <v>591</v>
      </c>
      <c r="J27" s="32">
        <v>1.72</v>
      </c>
    </row>
    <row r="28" spans="1:10" ht="15" x14ac:dyDescent="0.25">
      <c r="A28" s="6" t="s">
        <v>22</v>
      </c>
      <c r="B28" s="7">
        <f t="shared" si="0"/>
        <v>27</v>
      </c>
      <c r="C28" s="8">
        <v>8</v>
      </c>
      <c r="D28" s="7">
        <v>2022</v>
      </c>
      <c r="E28" s="26">
        <v>36714.999999999491</v>
      </c>
      <c r="F28" s="32">
        <v>0.93</v>
      </c>
      <c r="G28" s="9">
        <v>1314</v>
      </c>
      <c r="H28" s="32">
        <v>4.3899999999999997</v>
      </c>
      <c r="I28" s="9">
        <v>651</v>
      </c>
      <c r="J28" s="32">
        <v>1.72</v>
      </c>
    </row>
    <row r="29" spans="1:10" ht="15" x14ac:dyDescent="0.25">
      <c r="A29" s="6" t="s">
        <v>22</v>
      </c>
      <c r="B29" s="7">
        <f t="shared" si="0"/>
        <v>28</v>
      </c>
      <c r="C29" s="8">
        <v>8</v>
      </c>
      <c r="D29" s="7">
        <v>2022</v>
      </c>
      <c r="E29" s="26">
        <v>35662.999999999898</v>
      </c>
      <c r="F29" s="32">
        <v>0.93</v>
      </c>
      <c r="G29" s="9">
        <v>1136</v>
      </c>
      <c r="H29" s="32">
        <v>4.3899999999999997</v>
      </c>
      <c r="I29" s="9">
        <v>547</v>
      </c>
      <c r="J29" s="32">
        <v>1.72</v>
      </c>
    </row>
    <row r="30" spans="1:10" ht="15" x14ac:dyDescent="0.25">
      <c r="A30" s="6" t="s">
        <v>22</v>
      </c>
      <c r="B30" s="7">
        <f t="shared" si="0"/>
        <v>29</v>
      </c>
      <c r="C30" s="8">
        <v>8</v>
      </c>
      <c r="D30" s="7">
        <v>2022</v>
      </c>
      <c r="E30" s="26">
        <v>36297.000000000589</v>
      </c>
      <c r="F30" s="32">
        <v>0.93</v>
      </c>
      <c r="G30" s="9">
        <v>1400</v>
      </c>
      <c r="H30" s="32">
        <v>4.3899999999999997</v>
      </c>
      <c r="I30" s="9">
        <v>446</v>
      </c>
      <c r="J30" s="32">
        <v>1.72</v>
      </c>
    </row>
    <row r="31" spans="1:10" ht="15" x14ac:dyDescent="0.25">
      <c r="A31" s="6" t="s">
        <v>22</v>
      </c>
      <c r="B31" s="7">
        <f t="shared" si="0"/>
        <v>30</v>
      </c>
      <c r="C31" s="8">
        <v>8</v>
      </c>
      <c r="D31" s="7">
        <v>2022</v>
      </c>
      <c r="E31" s="26">
        <v>29109.999999999331</v>
      </c>
      <c r="F31" s="32">
        <v>0.93</v>
      </c>
      <c r="G31" s="9">
        <v>1008</v>
      </c>
      <c r="H31" s="32">
        <v>4.3899999999999997</v>
      </c>
      <c r="I31" s="9">
        <v>342</v>
      </c>
      <c r="J31" s="32">
        <v>1.72</v>
      </c>
    </row>
    <row r="32" spans="1:10" ht="15" x14ac:dyDescent="0.25">
      <c r="A32" s="6" t="s">
        <v>22</v>
      </c>
      <c r="B32" s="7">
        <f t="shared" si="0"/>
        <v>31</v>
      </c>
      <c r="C32" s="8">
        <v>8</v>
      </c>
      <c r="D32" s="7">
        <v>2022</v>
      </c>
      <c r="E32" s="26">
        <v>28103.000000000582</v>
      </c>
      <c r="F32" s="32">
        <v>0.93</v>
      </c>
      <c r="G32" s="9">
        <v>956</v>
      </c>
      <c r="H32" s="32">
        <v>4.3899999999999997</v>
      </c>
      <c r="I32" s="9">
        <v>300</v>
      </c>
      <c r="J32" s="32">
        <v>1.72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22" zoomScale="85" zoomScaleNormal="85" workbookViewId="0">
      <pane xSplit="1" topLeftCell="B1" activePane="topRight" state="frozen"/>
      <selection pane="topRight" activeCell="G5" sqref="G5:G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6" width="14.85546875" style="29" customWidth="1"/>
    <col min="7" max="7" width="8.85546875" style="13" customWidth="1"/>
    <col min="8" max="8" width="12.5703125" style="13" customWidth="1"/>
    <col min="9" max="10" width="13" style="31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 x14ac:dyDescent="0.2">
      <c r="A2" s="14" t="s">
        <v>8</v>
      </c>
      <c r="B2" s="36"/>
      <c r="C2" s="38" t="s">
        <v>18</v>
      </c>
      <c r="D2" s="39"/>
      <c r="E2" s="40" t="s">
        <v>19</v>
      </c>
      <c r="F2" s="40"/>
      <c r="G2" s="41" t="s">
        <v>9</v>
      </c>
      <c r="H2" s="42"/>
      <c r="I2" s="15"/>
      <c r="J2" s="15"/>
    </row>
    <row r="3" spans="1:10" ht="44.25" customHeight="1" x14ac:dyDescent="0.15">
      <c r="A3" s="16" t="s">
        <v>10</v>
      </c>
      <c r="B3" s="36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14</v>
      </c>
      <c r="H3" s="20" t="s">
        <v>15</v>
      </c>
      <c r="I3" s="21" t="s">
        <v>16</v>
      </c>
      <c r="J3" s="21" t="s">
        <v>17</v>
      </c>
    </row>
    <row r="4" spans="1:10" s="23" customFormat="1" ht="35.25" customHeight="1" x14ac:dyDescent="0.15">
      <c r="A4" s="22">
        <v>44773</v>
      </c>
      <c r="B4" s="36"/>
      <c r="C4" s="33">
        <v>34366.99999999936</v>
      </c>
      <c r="D4" s="34"/>
      <c r="E4" s="33">
        <v>1249</v>
      </c>
      <c r="F4" s="35"/>
      <c r="G4" s="33">
        <v>458</v>
      </c>
      <c r="I4" s="24"/>
      <c r="J4" s="24"/>
    </row>
    <row r="5" spans="1:10" ht="33" customHeight="1" x14ac:dyDescent="0.15">
      <c r="A5" s="25">
        <v>44774</v>
      </c>
      <c r="B5" s="36"/>
      <c r="C5" s="26">
        <v>34794.999999999578</v>
      </c>
      <c r="D5" s="27">
        <f t="shared" ref="D5:D22" si="0">IF((C5-C4&lt;0), "0",C5-C4)</f>
        <v>428.00000000021828</v>
      </c>
      <c r="E5" s="26">
        <v>1172</v>
      </c>
      <c r="F5" s="27" t="str">
        <f>IF((E5-E4&lt;0), "0",E5-E4)</f>
        <v>0</v>
      </c>
      <c r="G5" s="26">
        <v>439</v>
      </c>
      <c r="H5" s="27" t="str">
        <f>IF((G5-G4&lt;0), "0",G5-G4)</f>
        <v>0</v>
      </c>
      <c r="I5" s="28"/>
      <c r="J5" s="28"/>
    </row>
    <row r="6" spans="1:10" ht="45" customHeight="1" x14ac:dyDescent="0.15">
      <c r="A6" s="25">
        <v>44775</v>
      </c>
      <c r="B6" s="36"/>
      <c r="C6" s="26">
        <v>33375.000000001011</v>
      </c>
      <c r="D6" s="27" t="str">
        <f t="shared" si="0"/>
        <v>0</v>
      </c>
      <c r="E6" s="26">
        <v>1101</v>
      </c>
      <c r="F6" s="27" t="str">
        <f t="shared" ref="F6:F35" si="1">IF((E6-E5&lt;0), "0",E6-E5)</f>
        <v>0</v>
      </c>
      <c r="G6" s="26">
        <v>433</v>
      </c>
      <c r="H6" s="27" t="str">
        <f t="shared" ref="H6:H35" si="2">IF((G6-G5&lt;0), "0",G6-G5)</f>
        <v>0</v>
      </c>
      <c r="I6" s="12"/>
      <c r="J6" s="12"/>
    </row>
    <row r="7" spans="1:10" ht="45" customHeight="1" x14ac:dyDescent="0.15">
      <c r="A7" s="25">
        <v>44776</v>
      </c>
      <c r="B7" s="36"/>
      <c r="C7" s="26">
        <v>31991.999999999694</v>
      </c>
      <c r="D7" s="27" t="str">
        <f t="shared" si="0"/>
        <v>0</v>
      </c>
      <c r="E7" s="26">
        <v>1154</v>
      </c>
      <c r="F7" s="27">
        <f t="shared" si="1"/>
        <v>53</v>
      </c>
      <c r="G7" s="26">
        <v>405</v>
      </c>
      <c r="H7" s="27" t="str">
        <f t="shared" si="2"/>
        <v>0</v>
      </c>
      <c r="I7" s="12"/>
      <c r="J7" s="12"/>
    </row>
    <row r="8" spans="1:10" ht="45" customHeight="1" x14ac:dyDescent="0.15">
      <c r="A8" s="25">
        <v>44777</v>
      </c>
      <c r="B8" s="36"/>
      <c r="C8" s="26">
        <v>31541.999999999716</v>
      </c>
      <c r="D8" s="27" t="str">
        <f t="shared" si="0"/>
        <v>0</v>
      </c>
      <c r="E8" s="26">
        <v>1139</v>
      </c>
      <c r="F8" s="27" t="str">
        <f t="shared" si="1"/>
        <v>0</v>
      </c>
      <c r="G8" s="26">
        <v>384</v>
      </c>
      <c r="H8" s="27" t="str">
        <f t="shared" si="2"/>
        <v>0</v>
      </c>
      <c r="I8" s="12"/>
      <c r="J8" s="12"/>
    </row>
    <row r="9" spans="1:10" ht="45" customHeight="1" x14ac:dyDescent="0.15">
      <c r="A9" s="25">
        <v>44778</v>
      </c>
      <c r="B9" s="36"/>
      <c r="C9" s="26">
        <v>34530.000000000357</v>
      </c>
      <c r="D9" s="27">
        <f t="shared" si="0"/>
        <v>2988.0000000006403</v>
      </c>
      <c r="E9" s="26">
        <v>1223</v>
      </c>
      <c r="F9" s="27">
        <f t="shared" si="1"/>
        <v>84</v>
      </c>
      <c r="G9" s="26">
        <v>405</v>
      </c>
      <c r="H9" s="27">
        <f t="shared" si="2"/>
        <v>21</v>
      </c>
      <c r="I9" s="12"/>
      <c r="J9" s="12"/>
    </row>
    <row r="10" spans="1:10" ht="45" customHeight="1" x14ac:dyDescent="0.15">
      <c r="A10" s="25">
        <v>44779</v>
      </c>
      <c r="B10" s="36"/>
      <c r="C10" s="26">
        <v>32232.999999998752</v>
      </c>
      <c r="D10" s="27" t="str">
        <f t="shared" si="0"/>
        <v>0</v>
      </c>
      <c r="E10" s="26">
        <v>1191</v>
      </c>
      <c r="F10" s="27" t="str">
        <f t="shared" si="1"/>
        <v>0</v>
      </c>
      <c r="G10" s="26">
        <v>425</v>
      </c>
      <c r="H10" s="27">
        <f t="shared" si="2"/>
        <v>20</v>
      </c>
      <c r="I10" s="12"/>
      <c r="J10" s="12"/>
    </row>
    <row r="11" spans="1:10" ht="45" customHeight="1" x14ac:dyDescent="0.15">
      <c r="A11" s="25">
        <v>44780</v>
      </c>
      <c r="B11" s="36"/>
      <c r="C11" s="26">
        <v>32221.000000001884</v>
      </c>
      <c r="D11" s="27" t="str">
        <f t="shared" si="0"/>
        <v>0</v>
      </c>
      <c r="E11" s="26">
        <v>1137</v>
      </c>
      <c r="F11" s="27" t="str">
        <f t="shared" si="1"/>
        <v>0</v>
      </c>
      <c r="G11" s="26">
        <v>402</v>
      </c>
      <c r="H11" s="27" t="str">
        <f t="shared" si="2"/>
        <v>0</v>
      </c>
      <c r="I11" s="12"/>
      <c r="J11" s="12"/>
    </row>
    <row r="12" spans="1:10" ht="45" customHeight="1" x14ac:dyDescent="0.15">
      <c r="A12" s="25">
        <v>44781</v>
      </c>
      <c r="B12" s="36"/>
      <c r="C12" s="26">
        <v>34836.999999999003</v>
      </c>
      <c r="D12" s="27">
        <f t="shared" si="0"/>
        <v>2615.9999999971187</v>
      </c>
      <c r="E12" s="26">
        <v>1306</v>
      </c>
      <c r="F12" s="27">
        <f t="shared" si="1"/>
        <v>169</v>
      </c>
      <c r="G12" s="26">
        <v>440</v>
      </c>
      <c r="H12" s="27">
        <f t="shared" si="2"/>
        <v>38</v>
      </c>
      <c r="I12" s="12"/>
      <c r="J12" s="12"/>
    </row>
    <row r="13" spans="1:10" ht="45" customHeight="1" x14ac:dyDescent="0.15">
      <c r="A13" s="25">
        <v>44782</v>
      </c>
      <c r="B13" s="36"/>
      <c r="C13" s="26">
        <v>30830.000000001033</v>
      </c>
      <c r="D13" s="27" t="str">
        <f t="shared" si="0"/>
        <v>0</v>
      </c>
      <c r="E13" s="26">
        <v>1180</v>
      </c>
      <c r="F13" s="27" t="str">
        <f t="shared" si="1"/>
        <v>0</v>
      </c>
      <c r="G13" s="26">
        <v>371</v>
      </c>
      <c r="H13" s="27" t="str">
        <f t="shared" si="2"/>
        <v>0</v>
      </c>
      <c r="I13" s="12"/>
      <c r="J13" s="12"/>
    </row>
    <row r="14" spans="1:10" ht="45" customHeight="1" x14ac:dyDescent="0.15">
      <c r="A14" s="25">
        <v>44783</v>
      </c>
      <c r="B14" s="36"/>
      <c r="C14" s="26">
        <v>32711.999999999221</v>
      </c>
      <c r="D14" s="27">
        <f t="shared" si="0"/>
        <v>1881.9999999981883</v>
      </c>
      <c r="E14" s="26">
        <v>1241</v>
      </c>
      <c r="F14" s="27">
        <f t="shared" si="1"/>
        <v>61</v>
      </c>
      <c r="G14" s="26">
        <v>410</v>
      </c>
      <c r="H14" s="27">
        <f t="shared" si="2"/>
        <v>39</v>
      </c>
      <c r="I14" s="12"/>
      <c r="J14" s="12"/>
    </row>
    <row r="15" spans="1:10" ht="45" customHeight="1" x14ac:dyDescent="0.15">
      <c r="A15" s="25">
        <v>44784</v>
      </c>
      <c r="B15" s="36"/>
      <c r="C15" s="26">
        <v>29622.000000000822</v>
      </c>
      <c r="D15" s="27" t="str">
        <f t="shared" si="0"/>
        <v>0</v>
      </c>
      <c r="E15" s="26">
        <v>1367</v>
      </c>
      <c r="F15" s="27">
        <f t="shared" si="1"/>
        <v>126</v>
      </c>
      <c r="G15" s="26">
        <v>407</v>
      </c>
      <c r="H15" s="27" t="str">
        <f t="shared" si="2"/>
        <v>0</v>
      </c>
      <c r="I15" s="12"/>
      <c r="J15" s="12"/>
    </row>
    <row r="16" spans="1:10" ht="45" customHeight="1" x14ac:dyDescent="0.15">
      <c r="A16" s="25">
        <v>44785</v>
      </c>
      <c r="B16" s="36"/>
      <c r="C16" s="26">
        <v>34082.999999998574</v>
      </c>
      <c r="D16" s="27">
        <f t="shared" si="0"/>
        <v>4460.9999999977517</v>
      </c>
      <c r="E16" s="26">
        <v>1407</v>
      </c>
      <c r="F16" s="27">
        <f t="shared" si="1"/>
        <v>40</v>
      </c>
      <c r="G16" s="26">
        <v>436</v>
      </c>
      <c r="H16" s="27">
        <f t="shared" si="2"/>
        <v>29</v>
      </c>
      <c r="I16" s="12"/>
      <c r="J16" s="12"/>
    </row>
    <row r="17" spans="1:10" ht="45" customHeight="1" x14ac:dyDescent="0.15">
      <c r="A17" s="25">
        <v>44786</v>
      </c>
      <c r="B17" s="36"/>
      <c r="C17" s="26">
        <v>33145.000000001332</v>
      </c>
      <c r="D17" s="27" t="str">
        <f t="shared" si="0"/>
        <v>0</v>
      </c>
      <c r="E17" s="26">
        <v>1354</v>
      </c>
      <c r="F17" s="27" t="str">
        <f t="shared" si="1"/>
        <v>0</v>
      </c>
      <c r="G17" s="26">
        <v>440</v>
      </c>
      <c r="H17" s="27">
        <f t="shared" si="2"/>
        <v>4</v>
      </c>
      <c r="I17" s="12"/>
      <c r="J17" s="12"/>
    </row>
    <row r="18" spans="1:10" ht="45" customHeight="1" x14ac:dyDescent="0.15">
      <c r="A18" s="25">
        <v>44787</v>
      </c>
      <c r="B18" s="36"/>
      <c r="C18" s="26">
        <v>31505.999999999185</v>
      </c>
      <c r="D18" s="27" t="str">
        <f t="shared" si="0"/>
        <v>0</v>
      </c>
      <c r="E18" s="26">
        <v>1260</v>
      </c>
      <c r="F18" s="27" t="str">
        <f t="shared" si="1"/>
        <v>0</v>
      </c>
      <c r="G18" s="26">
        <v>405</v>
      </c>
      <c r="H18" s="27" t="str">
        <f t="shared" si="2"/>
        <v>0</v>
      </c>
      <c r="I18" s="12"/>
      <c r="J18" s="12"/>
    </row>
    <row r="19" spans="1:10" ht="45" customHeight="1" x14ac:dyDescent="0.15">
      <c r="A19" s="25">
        <v>44788</v>
      </c>
      <c r="B19" s="36"/>
      <c r="C19" s="26">
        <v>34443.000000000196</v>
      </c>
      <c r="D19" s="27">
        <f t="shared" si="0"/>
        <v>2937.0000000010114</v>
      </c>
      <c r="E19" s="26">
        <v>1242</v>
      </c>
      <c r="F19" s="27" t="str">
        <f t="shared" si="1"/>
        <v>0</v>
      </c>
      <c r="G19" s="26">
        <v>449</v>
      </c>
      <c r="H19" s="27">
        <f t="shared" si="2"/>
        <v>44</v>
      </c>
      <c r="I19" s="12"/>
      <c r="J19" s="12"/>
    </row>
    <row r="20" spans="1:10" ht="45" customHeight="1" x14ac:dyDescent="0.15">
      <c r="A20" s="25">
        <v>44789</v>
      </c>
      <c r="B20" s="36"/>
      <c r="C20" s="26">
        <v>37431.999999999753</v>
      </c>
      <c r="D20" s="27">
        <f t="shared" si="0"/>
        <v>2988.9999999995562</v>
      </c>
      <c r="E20" s="26">
        <v>1359</v>
      </c>
      <c r="F20" s="27">
        <f t="shared" si="1"/>
        <v>117</v>
      </c>
      <c r="G20" s="26">
        <v>504</v>
      </c>
      <c r="H20" s="27">
        <f t="shared" si="2"/>
        <v>55</v>
      </c>
      <c r="I20" s="12"/>
      <c r="J20" s="12"/>
    </row>
    <row r="21" spans="1:10" ht="45" customHeight="1" x14ac:dyDescent="0.15">
      <c r="A21" s="25">
        <v>44790</v>
      </c>
      <c r="B21" s="36"/>
      <c r="C21" s="26">
        <v>33812.000000000065</v>
      </c>
      <c r="D21" s="27" t="str">
        <f t="shared" si="0"/>
        <v>0</v>
      </c>
      <c r="E21" s="26">
        <v>1346</v>
      </c>
      <c r="F21" s="27" t="str">
        <f t="shared" si="1"/>
        <v>0</v>
      </c>
      <c r="G21" s="26">
        <v>428</v>
      </c>
      <c r="H21" s="27" t="str">
        <f t="shared" si="2"/>
        <v>0</v>
      </c>
      <c r="I21" s="12"/>
      <c r="J21" s="12"/>
    </row>
    <row r="22" spans="1:10" ht="45" customHeight="1" x14ac:dyDescent="0.15">
      <c r="A22" s="25">
        <v>44791</v>
      </c>
      <c r="B22" s="36"/>
      <c r="C22" s="26">
        <v>36224.999999999665</v>
      </c>
      <c r="D22" s="27">
        <f t="shared" si="0"/>
        <v>2412.9999999995998</v>
      </c>
      <c r="E22" s="26">
        <v>1464</v>
      </c>
      <c r="F22" s="27">
        <f t="shared" si="1"/>
        <v>118</v>
      </c>
      <c r="G22" s="26">
        <v>493</v>
      </c>
      <c r="H22" s="27">
        <f t="shared" si="2"/>
        <v>65</v>
      </c>
      <c r="I22" s="12"/>
      <c r="J22" s="12"/>
    </row>
    <row r="23" spans="1:10" ht="45" customHeight="1" x14ac:dyDescent="0.15">
      <c r="A23" s="25">
        <v>44792</v>
      </c>
      <c r="B23" s="36"/>
      <c r="C23" s="26">
        <v>32959.000000000684</v>
      </c>
      <c r="D23" s="27" t="str">
        <f>IF((C23-C22&lt;0), "0",C23-C22)</f>
        <v>0</v>
      </c>
      <c r="E23" s="26">
        <v>1390</v>
      </c>
      <c r="F23" s="27" t="str">
        <f t="shared" si="1"/>
        <v>0</v>
      </c>
      <c r="G23" s="26">
        <v>500</v>
      </c>
      <c r="H23" s="27">
        <f t="shared" si="2"/>
        <v>7</v>
      </c>
      <c r="I23" s="12"/>
      <c r="J23" s="12"/>
    </row>
    <row r="24" spans="1:10" ht="45" customHeight="1" x14ac:dyDescent="0.15">
      <c r="A24" s="25">
        <v>44793</v>
      </c>
      <c r="B24" s="36"/>
      <c r="C24" s="26">
        <v>35883.000000000189</v>
      </c>
      <c r="D24" s="27">
        <f t="shared" ref="D24:D35" si="3">IF((C24-C23&lt;0), "0",C24-C23)</f>
        <v>2923.9999999995052</v>
      </c>
      <c r="E24" s="26">
        <v>1490</v>
      </c>
      <c r="F24" s="27">
        <f t="shared" si="1"/>
        <v>100</v>
      </c>
      <c r="G24" s="26">
        <v>665</v>
      </c>
      <c r="H24" s="27">
        <f t="shared" si="2"/>
        <v>165</v>
      </c>
      <c r="I24" s="12"/>
      <c r="J24" s="12"/>
    </row>
    <row r="25" spans="1:10" ht="45" customHeight="1" x14ac:dyDescent="0.15">
      <c r="A25" s="25">
        <v>44794</v>
      </c>
      <c r="B25" s="36"/>
      <c r="C25" s="26">
        <v>37630.000000000371</v>
      </c>
      <c r="D25" s="27">
        <f t="shared" si="3"/>
        <v>1747.0000000001819</v>
      </c>
      <c r="E25" s="26">
        <v>1447</v>
      </c>
      <c r="F25" s="27" t="str">
        <f t="shared" si="1"/>
        <v>0</v>
      </c>
      <c r="G25" s="26">
        <v>869</v>
      </c>
      <c r="H25" s="27">
        <f t="shared" si="2"/>
        <v>204</v>
      </c>
      <c r="I25" s="12"/>
      <c r="J25" s="12"/>
    </row>
    <row r="26" spans="1:10" ht="45" customHeight="1" x14ac:dyDescent="0.15">
      <c r="A26" s="25">
        <v>44795</v>
      </c>
      <c r="B26" s="36"/>
      <c r="C26" s="26">
        <v>37993.000000000407</v>
      </c>
      <c r="D26" s="27">
        <f t="shared" si="3"/>
        <v>363.00000000003638</v>
      </c>
      <c r="E26" s="26">
        <v>1484</v>
      </c>
      <c r="F26" s="27">
        <f t="shared" si="1"/>
        <v>37</v>
      </c>
      <c r="G26" s="26">
        <v>688</v>
      </c>
      <c r="H26" s="27" t="str">
        <f t="shared" si="2"/>
        <v>0</v>
      </c>
      <c r="I26" s="12"/>
      <c r="J26" s="12"/>
    </row>
    <row r="27" spans="1:10" ht="45" customHeight="1" x14ac:dyDescent="0.15">
      <c r="A27" s="25">
        <v>44796</v>
      </c>
      <c r="B27" s="36"/>
      <c r="C27" s="26">
        <v>37739.99999999888</v>
      </c>
      <c r="D27" s="27" t="str">
        <f t="shared" si="3"/>
        <v>0</v>
      </c>
      <c r="E27" s="26">
        <v>1377</v>
      </c>
      <c r="F27" s="27" t="str">
        <f t="shared" si="1"/>
        <v>0</v>
      </c>
      <c r="G27" s="26">
        <v>488</v>
      </c>
      <c r="H27" s="27" t="str">
        <f t="shared" si="2"/>
        <v>0</v>
      </c>
      <c r="I27" s="12"/>
      <c r="J27" s="12"/>
    </row>
    <row r="28" spans="1:10" ht="45" customHeight="1" x14ac:dyDescent="0.15">
      <c r="A28" s="25">
        <v>44797</v>
      </c>
      <c r="B28" s="36"/>
      <c r="C28" s="26">
        <v>36153.000000000829</v>
      </c>
      <c r="D28" s="27" t="str">
        <f t="shared" si="3"/>
        <v>0</v>
      </c>
      <c r="E28" s="26">
        <v>1338</v>
      </c>
      <c r="F28" s="27" t="str">
        <f t="shared" si="1"/>
        <v>0</v>
      </c>
      <c r="G28" s="26">
        <v>499</v>
      </c>
      <c r="H28" s="27">
        <f t="shared" si="2"/>
        <v>11</v>
      </c>
      <c r="I28" s="12"/>
      <c r="J28" s="12"/>
    </row>
    <row r="29" spans="1:10" ht="45" customHeight="1" x14ac:dyDescent="0.15">
      <c r="A29" s="25">
        <v>44798</v>
      </c>
      <c r="B29" s="36"/>
      <c r="C29" s="26">
        <v>32290.999999999127</v>
      </c>
      <c r="D29" s="27" t="str">
        <f t="shared" si="3"/>
        <v>0</v>
      </c>
      <c r="E29" s="26">
        <v>1407</v>
      </c>
      <c r="F29" s="27">
        <f t="shared" si="1"/>
        <v>69</v>
      </c>
      <c r="G29" s="26">
        <v>431</v>
      </c>
      <c r="H29" s="27" t="str">
        <f t="shared" si="2"/>
        <v>0</v>
      </c>
      <c r="I29" s="12"/>
      <c r="J29" s="12"/>
    </row>
    <row r="30" spans="1:10" ht="45" customHeight="1" x14ac:dyDescent="0.15">
      <c r="A30" s="25">
        <v>44799</v>
      </c>
      <c r="B30" s="36"/>
      <c r="C30" s="26">
        <v>34568.000000000669</v>
      </c>
      <c r="D30" s="27">
        <f t="shared" si="3"/>
        <v>2277.0000000015425</v>
      </c>
      <c r="E30" s="26">
        <v>1345</v>
      </c>
      <c r="F30" s="27" t="str">
        <f t="shared" si="1"/>
        <v>0</v>
      </c>
      <c r="G30" s="26">
        <v>591</v>
      </c>
      <c r="H30" s="27">
        <f t="shared" si="2"/>
        <v>160</v>
      </c>
      <c r="I30" s="12"/>
      <c r="J30" s="12"/>
    </row>
    <row r="31" spans="1:10" ht="45" customHeight="1" x14ac:dyDescent="0.15">
      <c r="A31" s="25">
        <v>44800</v>
      </c>
      <c r="B31" s="36"/>
      <c r="C31" s="26">
        <v>36714.999999999491</v>
      </c>
      <c r="D31" s="27">
        <f t="shared" si="3"/>
        <v>2146.9999999988213</v>
      </c>
      <c r="E31" s="26">
        <v>1314</v>
      </c>
      <c r="F31" s="27" t="str">
        <f t="shared" si="1"/>
        <v>0</v>
      </c>
      <c r="G31" s="26">
        <v>651</v>
      </c>
      <c r="H31" s="27">
        <f t="shared" si="2"/>
        <v>60</v>
      </c>
      <c r="I31" s="12"/>
      <c r="J31" s="12"/>
    </row>
    <row r="32" spans="1:10" ht="45" customHeight="1" x14ac:dyDescent="0.15">
      <c r="A32" s="25">
        <v>44801</v>
      </c>
      <c r="B32" s="36"/>
      <c r="C32" s="26">
        <v>35662.999999999898</v>
      </c>
      <c r="D32" s="27" t="str">
        <f t="shared" si="3"/>
        <v>0</v>
      </c>
      <c r="E32" s="26">
        <v>1136</v>
      </c>
      <c r="F32" s="27" t="str">
        <f t="shared" si="1"/>
        <v>0</v>
      </c>
      <c r="G32" s="26">
        <v>547</v>
      </c>
      <c r="H32" s="27" t="str">
        <f t="shared" si="2"/>
        <v>0</v>
      </c>
      <c r="I32" s="12"/>
      <c r="J32" s="12"/>
    </row>
    <row r="33" spans="1:10" ht="36" customHeight="1" x14ac:dyDescent="0.15">
      <c r="A33" s="25">
        <v>44802</v>
      </c>
      <c r="C33" s="26">
        <v>36297.000000000589</v>
      </c>
      <c r="D33" s="27">
        <f t="shared" si="3"/>
        <v>634.00000000069122</v>
      </c>
      <c r="E33" s="26">
        <v>1400</v>
      </c>
      <c r="F33" s="27">
        <f t="shared" si="1"/>
        <v>264</v>
      </c>
      <c r="G33" s="26">
        <v>446</v>
      </c>
      <c r="H33" s="27" t="str">
        <f t="shared" si="2"/>
        <v>0</v>
      </c>
      <c r="I33" s="12"/>
      <c r="J33" s="12"/>
    </row>
    <row r="34" spans="1:10" ht="45.6" customHeight="1" x14ac:dyDescent="0.15">
      <c r="A34" s="25">
        <v>44803</v>
      </c>
      <c r="C34" s="26">
        <v>29109.999999999331</v>
      </c>
      <c r="D34" s="27" t="str">
        <f t="shared" si="3"/>
        <v>0</v>
      </c>
      <c r="E34" s="26">
        <v>1008</v>
      </c>
      <c r="F34" s="27" t="str">
        <f t="shared" si="1"/>
        <v>0</v>
      </c>
      <c r="G34" s="26">
        <v>342</v>
      </c>
      <c r="H34" s="27" t="str">
        <f t="shared" si="2"/>
        <v>0</v>
      </c>
      <c r="I34" s="12"/>
      <c r="J34" s="12"/>
    </row>
    <row r="35" spans="1:10" ht="34.5" customHeight="1" x14ac:dyDescent="0.15">
      <c r="A35" s="25">
        <v>44804</v>
      </c>
      <c r="C35" s="26">
        <v>28103.000000000582</v>
      </c>
      <c r="D35" s="27" t="str">
        <f t="shared" si="3"/>
        <v>0</v>
      </c>
      <c r="E35" s="26">
        <v>956</v>
      </c>
      <c r="F35" s="27" t="str">
        <f t="shared" si="1"/>
        <v>0</v>
      </c>
      <c r="G35" s="26">
        <v>300</v>
      </c>
      <c r="H35" s="27" t="str">
        <f t="shared" si="2"/>
        <v>0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2023-02-22T08:36:01Z</dcterms:modified>
</cp:coreProperties>
</file>