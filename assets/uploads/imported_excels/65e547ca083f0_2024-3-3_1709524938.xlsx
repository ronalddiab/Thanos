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filterPrivacy="1"/>
  <xr:revisionPtr revIDLastSave="57" documentId="8_{570E39A5-4344-4CF9-9BBE-67993DB36049}" xr6:coauthVersionLast="36" xr6:coauthVersionMax="36" xr10:uidLastSave="{D387B4E5-C791-40DF-BB29-CE8A3D120707}"/>
  <bookViews>
    <workbookView xWindow="-100" yWindow="-100" windowWidth="18190" windowHeight="11470" tabRatio="614" activeTab="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<sst xmlns="http://schemas.openxmlformats.org/spreadsheetml/2006/main" count="141" uniqueCount="43">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</sst>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workbookViewId="0">
      <selection activeCell="K2" sqref="K2:L4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0</v>
      </c>
      <c r="F5" s="10">
        <v>0.2989</v>
      </c>
      <c r="G5" s="13">
        <f>-'Submetering '!J5+'Submetering '!K5</f>
        <v>0</v>
      </c>
      <c r="H5" s="10">
        <v>0.23150000000000001</v>
      </c>
      <c r="I5" s="13">
        <f>'Submetering '!L5+'Submetering '!M5</f>
        <v>0</v>
      </c>
      <c r="J5" s="10">
        <v>2.74</v>
      </c>
      <c r="K5" s="9"/>
      <c r="L5" s="9"/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0</v>
      </c>
      <c r="F6" s="10">
        <v>0.2989</v>
      </c>
      <c r="G6" s="13">
        <f>-'Submetering '!J6+'Submetering '!K6</f>
        <v>0</v>
      </c>
      <c r="H6" s="10">
        <v>0.23150000000000001</v>
      </c>
      <c r="I6" s="13">
        <f>'Submetering '!L6+'Submetering '!M6</f>
        <v>0</v>
      </c>
      <c r="J6" s="10">
        <v>2.74</v>
      </c>
      <c r="K6" s="9"/>
      <c r="L6" s="9"/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0</v>
      </c>
      <c r="F7" s="10">
        <v>0.2989</v>
      </c>
      <c r="G7" s="13">
        <f>-'Submetering '!J7+'Submetering '!K7</f>
        <v>0</v>
      </c>
      <c r="H7" s="10">
        <v>0.23150000000000001</v>
      </c>
      <c r="I7" s="13">
        <f>'Submetering '!L7+'Submetering '!M7</f>
        <v>0</v>
      </c>
      <c r="J7" s="10">
        <v>2.74</v>
      </c>
      <c r="K7" s="9"/>
      <c r="L7" s="9"/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0</v>
      </c>
      <c r="F8" s="10">
        <v>0.2989</v>
      </c>
      <c r="G8" s="13">
        <f>-'Submetering '!J8+'Submetering '!K8</f>
        <v>0</v>
      </c>
      <c r="H8" s="10">
        <v>0.23150000000000001</v>
      </c>
      <c r="I8" s="13">
        <f>'Submetering '!L8+'Submetering '!M8</f>
        <v>0</v>
      </c>
      <c r="J8" s="10">
        <v>2.74</v>
      </c>
      <c r="K8" s="9"/>
      <c r="L8" s="9"/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0</v>
      </c>
      <c r="F9" s="10">
        <v>0.2989</v>
      </c>
      <c r="G9" s="13">
        <f>-'Submetering '!J9+'Submetering '!K9</f>
        <v>0</v>
      </c>
      <c r="H9" s="10">
        <v>0.23150000000000001</v>
      </c>
      <c r="I9" s="13">
        <f>'Submetering '!L9+'Submetering '!M9</f>
        <v>0</v>
      </c>
      <c r="J9" s="10">
        <v>2.74</v>
      </c>
      <c r="K9" s="9"/>
      <c r="L9" s="9"/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0</v>
      </c>
      <c r="F10" s="10">
        <v>0.2989</v>
      </c>
      <c r="G10" s="13">
        <f>-'Submetering '!J10+'Submetering '!K10</f>
        <v>0</v>
      </c>
      <c r="H10" s="10">
        <v>0.23150000000000001</v>
      </c>
      <c r="I10" s="13">
        <f>'Submetering '!L10+'Submetering '!M10</f>
        <v>0</v>
      </c>
      <c r="J10" s="10">
        <v>2.74</v>
      </c>
      <c r="K10" s="9"/>
      <c r="L10" s="9"/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0</v>
      </c>
      <c r="F11" s="10">
        <v>0.2989</v>
      </c>
      <c r="G11" s="13">
        <f>-'Submetering '!J11+'Submetering '!K11</f>
        <v>0</v>
      </c>
      <c r="H11" s="10">
        <v>0.23150000000000001</v>
      </c>
      <c r="I11" s="13">
        <f>'Submetering '!L11+'Submetering '!M11</f>
        <v>0</v>
      </c>
      <c r="J11" s="10">
        <v>2.74</v>
      </c>
      <c r="K11" s="9"/>
      <c r="L11" s="9"/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0</v>
      </c>
      <c r="F12" s="10">
        <v>0.2989</v>
      </c>
      <c r="G12" s="13">
        <f>-'Submetering '!J12+'Submetering '!K12</f>
        <v>0</v>
      </c>
      <c r="H12" s="10">
        <v>0.23150000000000001</v>
      </c>
      <c r="I12" s="13">
        <f>'Submetering '!L12+'Submetering '!M12</f>
        <v>0</v>
      </c>
      <c r="J12" s="10">
        <v>2.74</v>
      </c>
      <c r="K12" s="9"/>
      <c r="L12" s="9"/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0</v>
      </c>
      <c r="F13" s="10">
        <v>0.2989</v>
      </c>
      <c r="G13" s="13">
        <f>-'Submetering '!J13+'Submetering '!K13</f>
        <v>0</v>
      </c>
      <c r="H13" s="10">
        <v>0.23150000000000001</v>
      </c>
      <c r="I13" s="13">
        <f>'Submetering '!L13+'Submetering '!M13</f>
        <v>0</v>
      </c>
      <c r="J13" s="10">
        <v>2.74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0</v>
      </c>
      <c r="F14" s="10">
        <v>0.2989</v>
      </c>
      <c r="G14" s="13">
        <f>-'Submetering '!J14+'Submetering '!K14</f>
        <v>0</v>
      </c>
      <c r="H14" s="10">
        <v>0.23150000000000001</v>
      </c>
      <c r="I14" s="13">
        <f>'Submetering '!L14+'Submetering '!M14</f>
        <v>0</v>
      </c>
      <c r="J14" s="10">
        <v>2.74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0</v>
      </c>
      <c r="F15" s="10">
        <v>0.2989</v>
      </c>
      <c r="G15" s="13">
        <f>-'Submetering '!J15+'Submetering '!K15</f>
        <v>0</v>
      </c>
      <c r="H15" s="10">
        <v>0.23150000000000001</v>
      </c>
      <c r="I15" s="13">
        <f>'Submetering '!L15+'Submetering '!M15</f>
        <v>0</v>
      </c>
      <c r="J15" s="10">
        <v>2.74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0</v>
      </c>
      <c r="F16" s="10">
        <v>0.2989</v>
      </c>
      <c r="G16" s="13">
        <f>-'Submetering '!J16+'Submetering '!K16</f>
        <v>0</v>
      </c>
      <c r="H16" s="10">
        <v>0.23150000000000001</v>
      </c>
      <c r="I16" s="13">
        <f>'Submetering '!L16+'Submetering '!M16</f>
        <v>0</v>
      </c>
      <c r="J16" s="10">
        <v>2.74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0</v>
      </c>
      <c r="F17" s="10">
        <v>0.2989</v>
      </c>
      <c r="G17" s="13">
        <f>-'Submetering '!J17+'Submetering '!K17</f>
        <v>0</v>
      </c>
      <c r="H17" s="10">
        <v>0.23150000000000001</v>
      </c>
      <c r="I17" s="13">
        <f>'Submetering '!L17+'Submetering '!M17</f>
        <v>0</v>
      </c>
      <c r="J17" s="10">
        <v>2.74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0</v>
      </c>
      <c r="F18" s="10">
        <v>0.2989</v>
      </c>
      <c r="G18" s="13">
        <f>-'Submetering '!J18+'Submetering '!K18</f>
        <v>0</v>
      </c>
      <c r="H18" s="10">
        <v>0.23150000000000001</v>
      </c>
      <c r="I18" s="13">
        <f>'Submetering '!L18+'Submetering '!M18</f>
        <v>0</v>
      </c>
      <c r="J18" s="10">
        <v>2.74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0</v>
      </c>
      <c r="F19" s="10">
        <v>0.2989</v>
      </c>
      <c r="G19" s="13">
        <f>-'Submetering '!J19+'Submetering '!K19</f>
        <v>0</v>
      </c>
      <c r="H19" s="10">
        <v>0.23150000000000001</v>
      </c>
      <c r="I19" s="13">
        <f>'Submetering '!L19+'Submetering '!M19</f>
        <v>0</v>
      </c>
      <c r="J19" s="10">
        <v>2.74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A16" zoomScale="80" zoomScaleNormal="80" workbookViewId="0">
      <selection activeCell="Y13" sqref="Y12:Y13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0</v>
      </c>
      <c r="F5" s="33">
        <f>(IF((Electrical!C6-Electrical!C5)&lt;0,"0",(Electrical!C6-Electrical!C5)))*15</f>
        <v>0</v>
      </c>
      <c r="G5" s="33">
        <f>(IF((Electrical!D6-Electrical!D5)&lt;0,"0",(Electrical!D6-Electrical!D5)))*15</f>
        <v>0</v>
      </c>
      <c r="H5" s="33" t="str">
        <f>IF((Electrical!E6-Electrical!E5)&lt;0,"0",(Electrical!E6-Electrical!E5))</f>
        <v>0</v>
      </c>
      <c r="I5" s="33" t="str">
        <f>IF((Electrical!F6-Electrical!F5)&lt;0,"0",(Electrical!F6-Electrical!F5))</f>
        <v>0</v>
      </c>
      <c r="J5" s="33">
        <f>IF((Gas!B6-Gas!B5)&lt;0,"0",(Gas!B6-Gas!B5))</f>
        <v>0</v>
      </c>
      <c r="K5" s="33" t="str">
        <f>IF((Gas!C6-Gas!C5)&lt;0,"0",(Gas!C6-Gas!C5))</f>
        <v>0</v>
      </c>
      <c r="L5" s="33">
        <f>(IF((Water!B6-Water!B5)&lt;0,"0",(Water!B6-Water!B5)))*10</f>
        <v>0</v>
      </c>
      <c r="M5" s="33" t="str">
        <f>IF((Water!C6-Water!C5)&lt;0,"0",(Water!C6-Water!C5))</f>
        <v>0</v>
      </c>
      <c r="N5" s="33">
        <f>IF((Water!D6-Water!D5)&lt;0,"0",(Water!D6-Water!D5))</f>
        <v>0</v>
      </c>
      <c r="O5" s="33" t="str">
        <f>IF((Water!E6-Water!E5)&lt;0,"0",(Water!E6-Water!E5))</f>
        <v>0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 t="str">
        <f>IF((Water!J6-Water!J5)&lt;0,"0",(Water!J6-Water!J5))</f>
        <v>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 t="str">
        <f>IF((Water!N6-Water!N5)&lt;0,"0",(Water!N6-Water!N5))</f>
        <v>0</v>
      </c>
      <c r="Y5" s="9"/>
      <c r="Z5" s="9"/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0</v>
      </c>
      <c r="F6" s="33">
        <f>(IF((Electrical!C7-Electrical!C6)&lt;0,"0",(Electrical!C7-Electrical!C6)))*15</f>
        <v>0</v>
      </c>
      <c r="G6" s="33">
        <f>(IF((Electrical!D7-Electrical!D6)&lt;0,"0",(Electrical!D7-Electrical!D6)))*15</f>
        <v>0</v>
      </c>
      <c r="H6" s="33">
        <f>IF((Electrical!E7-Electrical!E6)&lt;0,"0",(Electrical!E7-Electrical!E6))</f>
        <v>0</v>
      </c>
      <c r="I6" s="33">
        <f>IF((Electrical!F7-Electrical!F6)&lt;0,"0",(Electrical!F7-Electrical!F6))</f>
        <v>0</v>
      </c>
      <c r="J6" s="33">
        <f>IF((Gas!B7-Gas!B6)&lt;0,"0",(Gas!B7-Gas!B6))</f>
        <v>0</v>
      </c>
      <c r="K6" s="33">
        <f>IF((Gas!C7-Gas!C6)&lt;0,"0",(Gas!C7-Gas!C6))</f>
        <v>0</v>
      </c>
      <c r="L6" s="33">
        <f>(IF((Water!B7-Water!B6)&lt;0,"0",(Water!B7-Water!B6)))*10</f>
        <v>0</v>
      </c>
      <c r="M6" s="33">
        <f>IF((Water!C7-Water!C6)&lt;0,"0",(Water!C7-Water!C6))</f>
        <v>0</v>
      </c>
      <c r="N6" s="33">
        <f>IF((Water!D7-Water!D6)&lt;0,"0",(Water!D7-Water!D6))</f>
        <v>0</v>
      </c>
      <c r="O6" s="33">
        <f>IF((Water!E7-Water!E6)&lt;0,"0",(Water!E7-Water!E6))</f>
        <v>0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0</v>
      </c>
      <c r="Y6" s="9"/>
      <c r="Z6" s="9"/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0</v>
      </c>
      <c r="F7" s="33">
        <f>(IF((Electrical!C8-Electrical!C7)&lt;0,"0",(Electrical!C8-Electrical!C7)))*15</f>
        <v>0</v>
      </c>
      <c r="G7" s="33">
        <f>(IF((Electrical!D8-Electrical!D7)&lt;0,"0",(Electrical!D8-Electrical!D7)))*15</f>
        <v>0</v>
      </c>
      <c r="H7" s="33">
        <f>IF((Electrical!E8-Electrical!E7)&lt;0,"0",(Electrical!E8-Electrical!E7))</f>
        <v>0</v>
      </c>
      <c r="I7" s="33">
        <f>IF((Electrical!F8-Electrical!F7)&lt;0,"0",(Electrical!F8-Electrical!F7))</f>
        <v>0</v>
      </c>
      <c r="J7" s="33">
        <f>IF((Gas!B8-Gas!B7)&lt;0,"0",(Gas!B8-Gas!B7))</f>
        <v>0</v>
      </c>
      <c r="K7" s="33">
        <f>IF((Gas!C8-Gas!C7)&lt;0,"0",(Gas!C8-Gas!C7))</f>
        <v>0</v>
      </c>
      <c r="L7" s="33">
        <f>(IF((Water!B8-Water!B7)&lt;0,"0",(Water!B8-Water!B7)))*10</f>
        <v>0</v>
      </c>
      <c r="M7" s="33">
        <f>IF((Water!C8-Water!C7)&lt;0,"0",(Water!C8-Water!C7))</f>
        <v>0</v>
      </c>
      <c r="N7" s="33">
        <f>IF((Water!D8-Water!D7)&lt;0,"0",(Water!D8-Water!D7))</f>
        <v>0</v>
      </c>
      <c r="O7" s="33">
        <f>IF((Water!E8-Water!E7)&lt;0,"0",(Water!E8-Water!E7))</f>
        <v>0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0</v>
      </c>
      <c r="Y7" s="9"/>
      <c r="Z7" s="9"/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0</v>
      </c>
      <c r="F8" s="33">
        <f>(IF((Electrical!C9-Electrical!C8)&lt;0,"0",(Electrical!C9-Electrical!C8)))*15</f>
        <v>0</v>
      </c>
      <c r="G8" s="33">
        <f>(IF((Electrical!D9-Electrical!D8)&lt;0,"0",(Electrical!D9-Electrical!D8)))*15</f>
        <v>0</v>
      </c>
      <c r="H8" s="33">
        <f>IF((Electrical!E9-Electrical!E8)&lt;0,"0",(Electrical!E9-Electrical!E8))</f>
        <v>0</v>
      </c>
      <c r="I8" s="33">
        <f>IF((Electrical!F9-Electrical!F8)&lt;0,"0",(Electrical!F9-Electrical!F8))</f>
        <v>0</v>
      </c>
      <c r="J8" s="33">
        <f>IF((Gas!B9-Gas!B8)&lt;0,"0",(Gas!B9-Gas!B8))</f>
        <v>0</v>
      </c>
      <c r="K8" s="33">
        <f>IF((Gas!C9-Gas!C8)&lt;0,"0",(Gas!C9-Gas!C8))</f>
        <v>0</v>
      </c>
      <c r="L8" s="33">
        <f>(IF((Water!B9-Water!B8)&lt;0,"0",(Water!B9-Water!B8)))*10</f>
        <v>0</v>
      </c>
      <c r="M8" s="33">
        <f>IF((Water!C9-Water!C8)&lt;0,"0",(Water!C9-Water!C8))</f>
        <v>0</v>
      </c>
      <c r="N8" s="33">
        <f>IF((Water!D9-Water!D8)&lt;0,"0",(Water!D9-Water!D8))</f>
        <v>0</v>
      </c>
      <c r="O8" s="33">
        <f>IF((Water!E9-Water!E8)&lt;0,"0",(Water!E9-Water!E8))</f>
        <v>0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0</v>
      </c>
      <c r="Y8" s="9"/>
      <c r="Z8" s="9"/>
    </row>
    <row r="9" spans="1:26" s="12" customFormat="1" x14ac:dyDescent="0.35">
      <c r="A9" s="9" t="s">
        <v>36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0</v>
      </c>
      <c r="F9" s="33">
        <f>(IF((Electrical!C10-Electrical!C9)&lt;0,"0",(Electrical!C10-Electrical!C9)))*15</f>
        <v>0</v>
      </c>
      <c r="G9" s="33">
        <f>(IF((Electrical!D10-Electrical!D9)&lt;0,"0",(Electrical!D10-Electrical!D9)))*15</f>
        <v>0</v>
      </c>
      <c r="H9" s="33">
        <f>IF((Electrical!E10-Electrical!E9)&lt;0,"0",(Electrical!E10-Electrical!E9))</f>
        <v>0</v>
      </c>
      <c r="I9" s="33">
        <f>IF((Electrical!F10-Electrical!F9)&lt;0,"0",(Electrical!F10-Electrical!F9))</f>
        <v>0</v>
      </c>
      <c r="J9" s="33">
        <f>IF((Gas!B10-Gas!B9)&lt;0,"0",(Gas!B10-Gas!B9))</f>
        <v>0</v>
      </c>
      <c r="K9" s="33">
        <f>IF((Gas!C10-Gas!C9)&lt;0,"0",(Gas!C10-Gas!C9))</f>
        <v>0</v>
      </c>
      <c r="L9" s="33">
        <f>(IF((Water!B10-Water!B9)&lt;0,"0",(Water!B10-Water!B9)))*10</f>
        <v>0</v>
      </c>
      <c r="M9" s="33">
        <f>IF((Water!C10-Water!C9)&lt;0,"0",(Water!C10-Water!C9))</f>
        <v>0</v>
      </c>
      <c r="N9" s="33">
        <f>IF((Water!D10-Water!D9)&lt;0,"0",(Water!D10-Water!D9))</f>
        <v>0</v>
      </c>
      <c r="O9" s="33">
        <f>IF((Water!E10-Water!E9)&lt;0,"0",(Water!E10-Water!E9))</f>
        <v>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0</v>
      </c>
      <c r="Y9" s="9"/>
      <c r="Z9" s="9"/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0</v>
      </c>
      <c r="F10" s="33">
        <f>(IF((Electrical!C11-Electrical!C10)&lt;0,"0",(Electrical!C11-Electrical!C10)))*15</f>
        <v>0</v>
      </c>
      <c r="G10" s="33">
        <f>(IF((Electrical!D11-Electrical!D10)&lt;0,"0",(Electrical!D11-Electrical!D10)))*15</f>
        <v>0</v>
      </c>
      <c r="H10" s="33">
        <f>IF((Electrical!E11-Electrical!E10)&lt;0,"0",(Electrical!E11-Electrical!E10))</f>
        <v>0</v>
      </c>
      <c r="I10" s="33">
        <f>IF((Electrical!F11-Electrical!F10)&lt;0,"0",(Electrical!F11-Electrical!F10))</f>
        <v>0</v>
      </c>
      <c r="J10" s="33">
        <f>IF((Gas!B11-Gas!B10)&lt;0,"0",(Gas!B11-Gas!B10))</f>
        <v>0</v>
      </c>
      <c r="K10" s="33">
        <f>IF((Gas!C11-Gas!C10)&lt;0,"0",(Gas!C11-Gas!C10))</f>
        <v>0</v>
      </c>
      <c r="L10" s="33">
        <f>(IF((Water!B11-Water!B10)&lt;0,"0",(Water!B11-Water!B10)))*10</f>
        <v>0</v>
      </c>
      <c r="M10" s="33">
        <f>IF((Water!C11-Water!C10)&lt;0,"0",(Water!C11-Water!C10))</f>
        <v>0</v>
      </c>
      <c r="N10" s="33">
        <f>IF((Water!D11-Water!D10)&lt;0,"0",(Water!D11-Water!D10))</f>
        <v>0</v>
      </c>
      <c r="O10" s="33">
        <f>IF((Water!E11-Water!E10)&lt;0,"0",(Water!E11-Water!E10))</f>
        <v>0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0</v>
      </c>
      <c r="Y10" s="9"/>
      <c r="Z10" s="9"/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0</v>
      </c>
      <c r="F11" s="33">
        <f>(IF((Electrical!C12-Electrical!C11)&lt;0,"0",(Electrical!C12-Electrical!C11)))*15</f>
        <v>0</v>
      </c>
      <c r="G11" s="33">
        <f>(IF((Electrical!D12-Electrical!D11)&lt;0,"0",(Electrical!D12-Electrical!D11)))*15</f>
        <v>0</v>
      </c>
      <c r="H11" s="33">
        <f>IF((Electrical!E12-Electrical!E11)&lt;0,"0",(Electrical!E12-Electrical!E11))</f>
        <v>0</v>
      </c>
      <c r="I11" s="33">
        <f>IF((Electrical!F12-Electrical!F11)&lt;0,"0",(Electrical!F12-Electrical!F11))</f>
        <v>0</v>
      </c>
      <c r="J11" s="33">
        <f>IF((Gas!B12-Gas!B11)&lt;0,"0",(Gas!B12-Gas!B11))</f>
        <v>0</v>
      </c>
      <c r="K11" s="33">
        <f>IF((Gas!C12-Gas!C11)&lt;0,"0",(Gas!C12-Gas!C11))</f>
        <v>0</v>
      </c>
      <c r="L11" s="33">
        <f>(IF((Water!B12-Water!B11)&lt;0,"0",(Water!B12-Water!B11)))*10</f>
        <v>0</v>
      </c>
      <c r="M11" s="33">
        <f>IF((Water!C12-Water!C11)&lt;0,"0",(Water!C12-Water!C11))</f>
        <v>0</v>
      </c>
      <c r="N11" s="33">
        <f>IF((Water!D12-Water!D11)&lt;0,"0",(Water!D12-Water!D11))</f>
        <v>0</v>
      </c>
      <c r="O11" s="33">
        <f>IF((Water!E12-Water!E11)&lt;0,"0",(Water!E12-Water!E11))</f>
        <v>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0</v>
      </c>
      <c r="Y11" s="9"/>
      <c r="Z11" s="9"/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0</v>
      </c>
      <c r="F12" s="33">
        <f>(IF((Electrical!C13-Electrical!C12)&lt;0,"0",(Electrical!C13-Electrical!C12)))*15</f>
        <v>0</v>
      </c>
      <c r="G12" s="33">
        <f>(IF((Electrical!D13-Electrical!D12)&lt;0,"0",(Electrical!D13-Electrical!D12)))*15</f>
        <v>0</v>
      </c>
      <c r="H12" s="33">
        <f>IF((Electrical!E13-Electrical!E12)&lt;0,"0",(Electrical!E13-Electrical!E12))</f>
        <v>0</v>
      </c>
      <c r="I12" s="33">
        <f>IF((Electrical!F13-Electrical!F12)&lt;0,"0",(Electrical!F13-Electrical!F12))</f>
        <v>0</v>
      </c>
      <c r="J12" s="33">
        <f>IF((Gas!B13-Gas!B12)&lt;0,"0",(Gas!B13-Gas!B12))</f>
        <v>0</v>
      </c>
      <c r="K12" s="33">
        <f>IF((Gas!C13-Gas!C12)&lt;0,"0",(Gas!C13-Gas!C12))</f>
        <v>0</v>
      </c>
      <c r="L12" s="33">
        <f>(IF((Water!B13-Water!B12)&lt;0,"0",(Water!B13-Water!B12)))*10</f>
        <v>0</v>
      </c>
      <c r="M12" s="33">
        <f>IF((Water!C13-Water!C12)&lt;0,"0",(Water!C13-Water!C12))</f>
        <v>0</v>
      </c>
      <c r="N12" s="33">
        <f>IF((Water!D13-Water!D12)&lt;0,"0",(Water!D13-Water!D12))</f>
        <v>0</v>
      </c>
      <c r="O12" s="33">
        <f>IF((Water!E13-Water!E12)&lt;0,"0",(Water!E13-Water!E12))</f>
        <v>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0</v>
      </c>
      <c r="Y12" s="9"/>
      <c r="Z12" s="9"/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>
        <f>IF((Electrical!E14-Electrical!E13)&lt;0,"0",(Electrical!E14-Electrical!E13))</f>
        <v>0</v>
      </c>
      <c r="I13" s="33">
        <f>IF((Electrical!F14-Electrical!F13)&lt;0,"0",(Electrical!F14-Electrical!F13))</f>
        <v>0</v>
      </c>
      <c r="J13" s="33">
        <f>IF((Gas!B14-Gas!B13)&lt;0,"0",(Gas!B14-Gas!B13))</f>
        <v>0</v>
      </c>
      <c r="K13" s="33">
        <f>IF((Gas!C14-Gas!C13)&lt;0,"0",(Gas!C14-Gas!C13))</f>
        <v>0</v>
      </c>
      <c r="L13" s="33">
        <f>(IF((Water!B14-Water!B13)&lt;0,"0",(Water!B14-Water!B13)))*10</f>
        <v>0</v>
      </c>
      <c r="M13" s="33">
        <f>IF((Water!C14-Water!C13)&lt;0,"0",(Water!C14-Water!C13))</f>
        <v>0</v>
      </c>
      <c r="N13" s="33">
        <f>IF((Water!D14-Water!D13)&lt;0,"0",(Water!D14-Water!D13))</f>
        <v>0</v>
      </c>
      <c r="O13" s="33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abSelected="1" zoomScale="70" zoomScaleNormal="70" workbookViewId="0">
      <selection activeCell="K12" sqref="K12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/>
      <c r="C6" s="28"/>
      <c r="D6" s="45"/>
      <c r="E6" s="45"/>
      <c r="F6" s="45"/>
      <c r="G6" s="5"/>
    </row>
    <row r="7" spans="1:7" x14ac:dyDescent="0.35">
      <c r="A7" s="7">
        <v>5</v>
      </c>
      <c r="B7" s="28"/>
      <c r="C7" s="28"/>
      <c r="D7" s="45"/>
      <c r="E7" s="45"/>
      <c r="F7" s="45"/>
      <c r="G7" s="5"/>
    </row>
    <row r="8" spans="1:7" x14ac:dyDescent="0.35">
      <c r="A8" s="7">
        <v>6</v>
      </c>
      <c r="B8" s="28"/>
      <c r="C8" s="28"/>
      <c r="D8" s="45"/>
      <c r="E8" s="45"/>
      <c r="F8" s="45"/>
      <c r="G8" s="5"/>
    </row>
    <row r="9" spans="1:7" x14ac:dyDescent="0.35">
      <c r="A9" s="7">
        <v>7</v>
      </c>
      <c r="B9" s="28"/>
      <c r="C9" s="28"/>
      <c r="D9" s="45"/>
      <c r="E9" s="45"/>
      <c r="F9" s="45"/>
      <c r="G9" s="5"/>
    </row>
    <row r="10" spans="1:7" x14ac:dyDescent="0.35">
      <c r="A10" s="7">
        <v>8</v>
      </c>
      <c r="B10" s="28"/>
      <c r="C10" s="28"/>
      <c r="D10" s="45"/>
      <c r="E10" s="45"/>
      <c r="F10" s="45"/>
      <c r="G10" s="5"/>
    </row>
    <row r="11" spans="1:7" x14ac:dyDescent="0.35">
      <c r="A11" s="7">
        <v>9</v>
      </c>
      <c r="B11" s="28"/>
      <c r="C11" s="28"/>
      <c r="D11" s="45"/>
      <c r="E11" s="45"/>
      <c r="F11" s="45"/>
      <c r="G11" s="5"/>
    </row>
    <row r="12" spans="1:7" x14ac:dyDescent="0.35">
      <c r="A12" s="7">
        <v>10</v>
      </c>
      <c r="B12" s="28"/>
      <c r="C12" s="28"/>
      <c r="D12" s="45"/>
      <c r="E12" s="45"/>
      <c r="F12" s="45"/>
      <c r="G12" s="5"/>
    </row>
    <row r="13" spans="1:7" x14ac:dyDescent="0.35">
      <c r="A13" s="7">
        <v>11</v>
      </c>
      <c r="B13" s="28"/>
      <c r="C13" s="28"/>
      <c r="D13" s="45"/>
      <c r="E13" s="45"/>
      <c r="F13" s="45"/>
      <c r="G13" s="5"/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L8" sqref="L8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/>
      <c r="D6" s="5"/>
    </row>
    <row r="7" spans="1:4" x14ac:dyDescent="0.35">
      <c r="A7" s="4">
        <v>5</v>
      </c>
      <c r="B7" s="5">
        <v>0</v>
      </c>
      <c r="C7" s="5"/>
      <c r="D7" s="5"/>
    </row>
    <row r="8" spans="1:4" x14ac:dyDescent="0.35">
      <c r="A8" s="4">
        <v>6</v>
      </c>
      <c r="B8" s="5">
        <v>0</v>
      </c>
      <c r="C8" s="5"/>
      <c r="D8" s="5"/>
    </row>
    <row r="9" spans="1:4" x14ac:dyDescent="0.35">
      <c r="A9" s="4">
        <v>7</v>
      </c>
      <c r="B9" s="5">
        <v>0</v>
      </c>
      <c r="C9" s="5"/>
      <c r="D9" s="5"/>
    </row>
    <row r="10" spans="1:4" x14ac:dyDescent="0.35">
      <c r="A10" s="4">
        <v>8</v>
      </c>
      <c r="B10" s="5">
        <v>0</v>
      </c>
      <c r="C10" s="5"/>
      <c r="D10" s="5"/>
    </row>
    <row r="11" spans="1:4" x14ac:dyDescent="0.35">
      <c r="A11" s="4">
        <v>9</v>
      </c>
      <c r="B11" s="5">
        <v>0</v>
      </c>
      <c r="C11" s="5"/>
      <c r="D11" s="5"/>
    </row>
    <row r="12" spans="1:4" x14ac:dyDescent="0.35">
      <c r="A12" s="4">
        <v>10</v>
      </c>
      <c r="B12" s="5">
        <v>0</v>
      </c>
      <c r="C12" s="5"/>
      <c r="D12" s="5"/>
    </row>
    <row r="13" spans="1:4" x14ac:dyDescent="0.35">
      <c r="A13" s="4">
        <v>11</v>
      </c>
      <c r="B13" s="5">
        <v>0</v>
      </c>
      <c r="C13" s="5"/>
      <c r="D13" s="5"/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ht="15.5" x14ac:dyDescent="0.35">
      <c r="A22" s="4">
        <v>20</v>
      </c>
      <c r="B22" s="5">
        <v>0</v>
      </c>
      <c r="C22" s="5"/>
      <c r="D22" s="27"/>
    </row>
    <row r="23" spans="1:4" ht="15.5" x14ac:dyDescent="0.35">
      <c r="A23" s="4">
        <v>21</v>
      </c>
      <c r="B23" s="5">
        <v>0</v>
      </c>
      <c r="C23" s="5"/>
      <c r="D23" s="27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zoomScale="85" zoomScaleNormal="85" workbookViewId="0">
      <selection activeCell="O3" sqref="O3:O5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/>
      <c r="C6" s="5"/>
      <c r="D6" s="5">
        <v>0</v>
      </c>
      <c r="E6" s="5"/>
      <c r="F6" s="5">
        <v>0</v>
      </c>
      <c r="G6" s="5">
        <v>0</v>
      </c>
      <c r="H6" s="5">
        <v>0</v>
      </c>
      <c r="I6" s="5">
        <v>0</v>
      </c>
      <c r="J6" s="5"/>
      <c r="K6" s="5">
        <v>0</v>
      </c>
      <c r="L6" s="5">
        <v>0</v>
      </c>
      <c r="M6" s="5">
        <v>0</v>
      </c>
      <c r="N6" s="5"/>
      <c r="O6" s="5"/>
    </row>
    <row r="7" spans="1:15" x14ac:dyDescent="0.35">
      <c r="A7" s="4">
        <v>5</v>
      </c>
      <c r="B7" s="5"/>
      <c r="C7" s="5"/>
      <c r="D7" s="5">
        <v>0</v>
      </c>
      <c r="E7" s="5"/>
      <c r="F7" s="5">
        <v>0</v>
      </c>
      <c r="G7" s="5">
        <v>0</v>
      </c>
      <c r="H7" s="5">
        <v>0</v>
      </c>
      <c r="I7" s="5">
        <v>0</v>
      </c>
      <c r="J7" s="5"/>
      <c r="K7" s="5">
        <v>0</v>
      </c>
      <c r="L7" s="5">
        <v>0</v>
      </c>
      <c r="M7" s="5">
        <v>0</v>
      </c>
      <c r="N7" s="5"/>
      <c r="O7" s="5"/>
    </row>
    <row r="8" spans="1:15" x14ac:dyDescent="0.35">
      <c r="A8" s="4">
        <v>6</v>
      </c>
      <c r="B8" s="5"/>
      <c r="C8" s="5"/>
      <c r="D8" s="5">
        <v>0</v>
      </c>
      <c r="E8" s="5"/>
      <c r="F8" s="5">
        <v>0</v>
      </c>
      <c r="G8" s="5">
        <v>0</v>
      </c>
      <c r="H8" s="5">
        <v>0</v>
      </c>
      <c r="I8" s="5">
        <v>0</v>
      </c>
      <c r="J8" s="5"/>
      <c r="K8" s="5">
        <v>0</v>
      </c>
      <c r="L8" s="5">
        <v>0</v>
      </c>
      <c r="M8" s="5">
        <v>0</v>
      </c>
      <c r="N8" s="5"/>
      <c r="O8" s="5"/>
    </row>
    <row r="9" spans="1:15" x14ac:dyDescent="0.35">
      <c r="A9" s="4">
        <v>7</v>
      </c>
      <c r="B9" s="5"/>
      <c r="C9" s="5"/>
      <c r="D9" s="5">
        <v>0</v>
      </c>
      <c r="E9" s="5"/>
      <c r="F9" s="5">
        <v>0</v>
      </c>
      <c r="G9" s="5">
        <v>0</v>
      </c>
      <c r="H9" s="5">
        <v>0</v>
      </c>
      <c r="I9" s="5">
        <v>0</v>
      </c>
      <c r="J9" s="5"/>
      <c r="K9" s="5">
        <v>0</v>
      </c>
      <c r="L9" s="5">
        <v>0</v>
      </c>
      <c r="M9" s="5">
        <v>0</v>
      </c>
      <c r="N9" s="5"/>
      <c r="O9" s="5"/>
    </row>
    <row r="10" spans="1:15" x14ac:dyDescent="0.35">
      <c r="A10" s="4">
        <v>8</v>
      </c>
      <c r="B10" s="5"/>
      <c r="C10" s="5"/>
      <c r="D10" s="5">
        <v>0</v>
      </c>
      <c r="E10" s="5"/>
      <c r="F10" s="5">
        <v>0</v>
      </c>
      <c r="G10" s="5">
        <v>0</v>
      </c>
      <c r="H10" s="5">
        <v>0</v>
      </c>
      <c r="I10" s="5">
        <v>0</v>
      </c>
      <c r="J10" s="5"/>
      <c r="K10" s="5">
        <v>0</v>
      </c>
      <c r="L10" s="5">
        <v>0</v>
      </c>
      <c r="M10" s="5">
        <v>0</v>
      </c>
      <c r="N10" s="5"/>
      <c r="O10" s="5"/>
    </row>
    <row r="11" spans="1:15" x14ac:dyDescent="0.35">
      <c r="A11" s="4">
        <v>9</v>
      </c>
      <c r="B11" s="5"/>
      <c r="C11" s="5"/>
      <c r="D11" s="5">
        <v>0</v>
      </c>
      <c r="E11" s="5"/>
      <c r="F11" s="5">
        <v>0</v>
      </c>
      <c r="G11" s="5">
        <v>0</v>
      </c>
      <c r="H11" s="5">
        <v>0</v>
      </c>
      <c r="I11" s="5">
        <v>0</v>
      </c>
      <c r="J11" s="5"/>
      <c r="K11" s="5">
        <v>0</v>
      </c>
      <c r="L11" s="5">
        <v>0</v>
      </c>
      <c r="M11" s="5">
        <v>0</v>
      </c>
      <c r="N11" s="5"/>
      <c r="O11" s="5"/>
    </row>
    <row r="12" spans="1:15" x14ac:dyDescent="0.35">
      <c r="A12" s="4">
        <v>10</v>
      </c>
      <c r="B12" s="5"/>
      <c r="C12" s="5"/>
      <c r="D12" s="5">
        <v>0</v>
      </c>
      <c r="E12" s="5"/>
      <c r="F12" s="5">
        <v>0</v>
      </c>
      <c r="G12" s="5">
        <v>0</v>
      </c>
      <c r="H12" s="5">
        <v>0</v>
      </c>
      <c r="I12" s="5">
        <v>0</v>
      </c>
      <c r="J12" s="5"/>
      <c r="K12" s="5">
        <v>0</v>
      </c>
      <c r="L12" s="5">
        <v>0</v>
      </c>
      <c r="M12" s="5">
        <v>0</v>
      </c>
      <c r="N12" s="5"/>
      <c r="O12" s="5"/>
    </row>
    <row r="13" spans="1:15" x14ac:dyDescent="0.35">
      <c r="A13" s="4">
        <v>11</v>
      </c>
      <c r="B13" s="5"/>
      <c r="C13" s="5"/>
      <c r="D13" s="5">
        <v>0</v>
      </c>
      <c r="E13" s="5"/>
      <c r="F13" s="5">
        <v>0</v>
      </c>
      <c r="G13" s="5">
        <v>0</v>
      </c>
      <c r="H13" s="5">
        <v>0</v>
      </c>
      <c r="I13" s="5">
        <v>0</v>
      </c>
      <c r="J13" s="5"/>
      <c r="K13" s="5">
        <v>0</v>
      </c>
      <c r="L13" s="5">
        <v>0</v>
      </c>
      <c r="M13" s="5">
        <v>0</v>
      </c>
      <c r="N13" s="5"/>
      <c r="O13" s="5"/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ht="15.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27"/>
    </row>
    <row r="23" spans="1:15" ht="15.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27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c0c63084-832f-4b13-a501-c844d9f3bfed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2024-03-04T04:01:27Z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