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37CFFAD9-D5F5-403C-9BF1-812C3B58B535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4" i="2" l="1"/>
  <c r="AB13" i="2"/>
  <c r="AB12" i="2"/>
  <c r="AB11" i="2"/>
  <c r="AB10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" i="3" l="1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K10" i="3"/>
  <c r="K11" i="3"/>
  <c r="K12" i="3"/>
  <c r="K13" i="3"/>
  <c r="K14" i="3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K28" i="3" s="1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29" i="2" l="1"/>
  <c r="G29" i="3" s="1"/>
  <c r="U18" i="2"/>
  <c r="G18" i="3" s="1"/>
  <c r="U16" i="2"/>
  <c r="G16" i="3" s="1"/>
  <c r="G14" i="3"/>
  <c r="G12" i="3"/>
  <c r="G10" i="3"/>
  <c r="G8" i="3"/>
  <c r="G6" i="3"/>
  <c r="U2" i="2"/>
  <c r="G2" i="3" s="1"/>
  <c r="G4" i="3"/>
  <c r="H23" i="2"/>
  <c r="I23" i="2" s="1"/>
  <c r="U20" i="2"/>
  <c r="G20" i="3" s="1"/>
  <c r="G3" i="3"/>
  <c r="G5" i="3"/>
  <c r="G7" i="3"/>
  <c r="G9" i="3"/>
  <c r="G11" i="3"/>
  <c r="G13" i="3"/>
  <c r="G15" i="3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I29" i="2" s="1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6" i="2"/>
  <c r="I5" i="2"/>
  <c r="C34" i="2"/>
  <c r="J22" i="2" l="1"/>
  <c r="J11" i="2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<sst xmlns="http://schemas.openxmlformats.org/spreadsheetml/2006/main" count="77" uniqueCount="40">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</sst>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S17" sqref="S17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10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10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10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10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10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3" x14ac:dyDescent="0.25">
      <c r="A7" s="102" t="s">
        <v>37</v>
      </c>
      <c r="B7" s="5">
        <f t="shared" si="0"/>
        <v>6</v>
      </c>
      <c r="C7" s="129">
        <v>10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3" x14ac:dyDescent="0.25">
      <c r="A8" s="102" t="s">
        <v>37</v>
      </c>
      <c r="B8" s="5">
        <f t="shared" si="0"/>
        <v>7</v>
      </c>
      <c r="C8" s="129">
        <v>10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3" x14ac:dyDescent="0.25">
      <c r="A9" s="102" t="s">
        <v>37</v>
      </c>
      <c r="B9" s="5">
        <f t="shared" si="0"/>
        <v>8</v>
      </c>
      <c r="C9" s="129">
        <v>10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3" x14ac:dyDescent="0.25">
      <c r="A10" s="102" t="s">
        <v>37</v>
      </c>
      <c r="B10" s="5">
        <f t="shared" si="0"/>
        <v>9</v>
      </c>
      <c r="C10" s="129">
        <v>10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-80841.600000000006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3" x14ac:dyDescent="0.25">
      <c r="A11" s="102" t="s">
        <v>37</v>
      </c>
      <c r="B11" s="5">
        <f t="shared" si="0"/>
        <v>10</v>
      </c>
      <c r="C11" s="129">
        <v>10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3" x14ac:dyDescent="0.25">
      <c r="A12" s="102" t="s">
        <v>37</v>
      </c>
      <c r="B12" s="5">
        <f t="shared" si="0"/>
        <v>11</v>
      </c>
      <c r="C12" s="129">
        <v>10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3" x14ac:dyDescent="0.25">
      <c r="A13" s="102" t="s">
        <v>37</v>
      </c>
      <c r="B13" s="5">
        <f t="shared" si="0"/>
        <v>12</v>
      </c>
      <c r="C13" s="129">
        <v>10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3" x14ac:dyDescent="0.25">
      <c r="A14" s="102" t="s">
        <v>37</v>
      </c>
      <c r="B14" s="5">
        <f t="shared" si="0"/>
        <v>13</v>
      </c>
      <c r="C14" s="129">
        <v>10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>
        <f>October!W14</f>
        <v>116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3" x14ac:dyDescent="0.25">
      <c r="A15" s="102" t="s">
        <v>37</v>
      </c>
      <c r="B15" s="5">
        <f t="shared" si="0"/>
        <v>14</v>
      </c>
      <c r="C15" s="129">
        <v>10</v>
      </c>
      <c r="D15" s="4">
        <v>2024</v>
      </c>
      <c r="E15" s="103">
        <f>IF(October!C15&lt;0,"0",October!C15)+(IF(October!E15&lt;0,"0",October!E15)-(IF(October!G15&lt;0,"0",October!G15)))</f>
        <v>8334</v>
      </c>
      <c r="F15" s="117">
        <f>(October!C15*0.27)/(October!C15+October!E15)</f>
        <v>0.23812095032397412</v>
      </c>
      <c r="G15" s="104">
        <f>October!U15</f>
        <v>108</v>
      </c>
      <c r="H15" s="120">
        <v>0.62</v>
      </c>
      <c r="I15" s="105">
        <f>October!W15</f>
        <v>109</v>
      </c>
      <c r="J15" s="106">
        <v>2.42</v>
      </c>
      <c r="K15" s="113">
        <f>October!AB15*5.04</f>
        <v>2167.1999999999998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212</v>
      </c>
      <c r="P15" s="107">
        <f>October!AD15</f>
        <v>415</v>
      </c>
    </row>
    <row r="16" spans="1:16" ht="14.3" x14ac:dyDescent="0.25">
      <c r="A16" s="102" t="s">
        <v>37</v>
      </c>
      <c r="B16" s="5">
        <f t="shared" si="0"/>
        <v>15</v>
      </c>
      <c r="C16" s="129">
        <v>10</v>
      </c>
      <c r="D16" s="4">
        <v>2024</v>
      </c>
      <c r="E16" s="103">
        <f>IF(October!C16&lt;0,"0",October!C16)+(IF(October!E16&lt;0,"0",October!E16)-(IF(October!G16&lt;0,"0",October!G16)))</f>
        <v>8059</v>
      </c>
      <c r="F16" s="117">
        <f>(October!C16*0.27)/(October!C16+October!E16)</f>
        <v>0.24001489018488648</v>
      </c>
      <c r="G16" s="104" t="str">
        <f>October!U16</f>
        <v>0</v>
      </c>
      <c r="H16" s="120">
        <v>0.62</v>
      </c>
      <c r="I16" s="105">
        <f>October!W16</f>
        <v>130</v>
      </c>
      <c r="J16" s="106">
        <v>2.42</v>
      </c>
      <c r="K16" s="113">
        <f>October!AB16*5.04</f>
        <v>2167.1999999999998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218</v>
      </c>
      <c r="P16" s="107">
        <f>October!AD16</f>
        <v>430</v>
      </c>
    </row>
    <row r="17" spans="1:16" ht="14.3" x14ac:dyDescent="0.25">
      <c r="A17" s="102" t="s">
        <v>37</v>
      </c>
      <c r="B17" s="5">
        <f t="shared" si="0"/>
        <v>16</v>
      </c>
      <c r="C17" s="129">
        <v>10</v>
      </c>
      <c r="D17" s="4">
        <v>2024</v>
      </c>
      <c r="E17" s="103">
        <f>IF(October!C17&lt;0,"0",October!C17)+(IF(October!E17&lt;0,"0",October!E17)-(IF(October!G17&lt;0,"0",October!G17)))</f>
        <v>8229</v>
      </c>
      <c r="F17" s="117">
        <f>(October!C17*0.27)/(October!C17+October!E17)</f>
        <v>0.24434196135617936</v>
      </c>
      <c r="G17" s="104">
        <f>October!U17</f>
        <v>140</v>
      </c>
      <c r="H17" s="120">
        <v>0.62</v>
      </c>
      <c r="I17" s="105">
        <f>October!W17</f>
        <v>98</v>
      </c>
      <c r="J17" s="106">
        <v>2.42</v>
      </c>
      <c r="K17" s="113">
        <f>October!AB17*5.04</f>
        <v>1713.6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198</v>
      </c>
      <c r="P17" s="107">
        <f>October!AD17</f>
        <v>393</v>
      </c>
    </row>
    <row r="18" spans="1:16" ht="14.3" x14ac:dyDescent="0.25">
      <c r="A18" s="102" t="s">
        <v>37</v>
      </c>
      <c r="B18" s="5">
        <f t="shared" si="0"/>
        <v>17</v>
      </c>
      <c r="C18" s="129">
        <v>10</v>
      </c>
      <c r="D18" s="4">
        <v>2024</v>
      </c>
      <c r="E18" s="103">
        <f>IF(October!C18&lt;0,"0",October!C18)+(IF(October!E18&lt;0,"0",October!E18)-(IF(October!G18&lt;0,"0",October!G18)))</f>
        <v>8167</v>
      </c>
      <c r="F18" s="117">
        <f>(October!C18*0.27)/(October!C18+October!E18)</f>
        <v>0.2404444716542182</v>
      </c>
      <c r="G18" s="104">
        <f>October!U18</f>
        <v>185</v>
      </c>
      <c r="H18" s="120">
        <v>0.62</v>
      </c>
      <c r="I18" s="105">
        <f>October!W18</f>
        <v>79</v>
      </c>
      <c r="J18" s="106">
        <v>2.42</v>
      </c>
      <c r="K18" s="113">
        <f>October!AB18*5.04</f>
        <v>1411.2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210</v>
      </c>
      <c r="P18" s="107">
        <f>October!AD18</f>
        <v>419</v>
      </c>
    </row>
    <row r="19" spans="1:16" ht="14.3" x14ac:dyDescent="0.25">
      <c r="A19" s="102" t="s">
        <v>37</v>
      </c>
      <c r="B19" s="5">
        <f t="shared" si="0"/>
        <v>18</v>
      </c>
      <c r="C19" s="129">
        <v>10</v>
      </c>
      <c r="D19" s="4">
        <v>2024</v>
      </c>
      <c r="E19" s="103">
        <f>IF(October!C19&lt;0,"0",October!C19)+(IF(October!E19&lt;0,"0",October!E19)-(IF(October!G19&lt;0,"0",October!G19)))</f>
        <v>7426</v>
      </c>
      <c r="F19" s="117">
        <f>(October!C19*0.27)/(October!C19+October!E19)</f>
        <v>0.23600457850794507</v>
      </c>
      <c r="G19" s="104">
        <f>October!U19</f>
        <v>150</v>
      </c>
      <c r="H19" s="120">
        <v>0.62</v>
      </c>
      <c r="I19" s="105">
        <f>October!W19</f>
        <v>94</v>
      </c>
      <c r="J19" s="106">
        <v>2.42</v>
      </c>
      <c r="K19" s="113">
        <f>October!AB19*5.04</f>
        <v>2268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216</v>
      </c>
      <c r="P19" s="107">
        <f>October!AD19</f>
        <v>425</v>
      </c>
    </row>
    <row r="20" spans="1:16" ht="14.3" x14ac:dyDescent="0.25">
      <c r="A20" s="102" t="s">
        <v>37</v>
      </c>
      <c r="B20" s="5">
        <f t="shared" si="0"/>
        <v>19</v>
      </c>
      <c r="C20" s="129">
        <v>10</v>
      </c>
      <c r="D20" s="4">
        <v>2024</v>
      </c>
      <c r="E20" s="103">
        <f>IF(October!C20&lt;0,"0",October!C20)+(IF(October!E20&lt;0,"0",October!E20)-(IF(October!G20&lt;0,"0",October!G20)))</f>
        <v>7188</v>
      </c>
      <c r="F20" s="117">
        <f>(October!C20*0.27)/(October!C20+October!E20)</f>
        <v>0.23472871452420702</v>
      </c>
      <c r="G20" s="104">
        <f>October!U20</f>
        <v>120</v>
      </c>
      <c r="H20" s="120">
        <v>0.62</v>
      </c>
      <c r="I20" s="105">
        <f>October!W20</f>
        <v>94</v>
      </c>
      <c r="J20" s="106">
        <v>2.42</v>
      </c>
      <c r="K20" s="113">
        <f>October!AB20*5.04</f>
        <v>2016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238</v>
      </c>
      <c r="P20" s="107">
        <f>October!AD20</f>
        <v>473</v>
      </c>
    </row>
    <row r="21" spans="1:16" ht="14.3" x14ac:dyDescent="0.25">
      <c r="A21" s="102" t="s">
        <v>37</v>
      </c>
      <c r="B21" s="5">
        <f t="shared" si="0"/>
        <v>20</v>
      </c>
      <c r="C21" s="129">
        <v>10</v>
      </c>
      <c r="D21" s="4">
        <v>2024</v>
      </c>
      <c r="E21" s="103">
        <f>IF(October!C21&lt;0,"0",October!C21)+(IF(October!E21&lt;0,"0",October!E21)-(IF(October!G21&lt;0,"0",October!G21)))</f>
        <v>6999</v>
      </c>
      <c r="F21" s="117">
        <f>(October!C21*0.27)/(October!C21+October!E21)</f>
        <v>0.23346763823403346</v>
      </c>
      <c r="G21" s="104">
        <f>October!U21</f>
        <v>100</v>
      </c>
      <c r="H21" s="120">
        <v>0.62</v>
      </c>
      <c r="I21" s="105">
        <f>October!W21</f>
        <v>86</v>
      </c>
      <c r="J21" s="106">
        <v>2.42</v>
      </c>
      <c r="K21" s="113">
        <f>October!AB21*5.04</f>
        <v>2368.8000000000002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236</v>
      </c>
      <c r="P21" s="107">
        <f>October!AD21</f>
        <v>486</v>
      </c>
    </row>
    <row r="22" spans="1:16" ht="14.3" x14ac:dyDescent="0.25">
      <c r="A22" s="102" t="s">
        <v>37</v>
      </c>
      <c r="B22" s="5">
        <f t="shared" si="0"/>
        <v>21</v>
      </c>
      <c r="C22" s="129">
        <v>10</v>
      </c>
      <c r="D22" s="4">
        <v>2024</v>
      </c>
      <c r="E22" s="103">
        <f>IF(October!C22&lt;0,"0",October!C22)+(IF(October!E22&lt;0,"0",October!E22)-(IF(October!G22&lt;0,"0",October!G22)))</f>
        <v>6809</v>
      </c>
      <c r="F22" s="117">
        <f>(October!C22*0.27)/(October!C22+October!E22)</f>
        <v>0.23161550888529889</v>
      </c>
      <c r="G22" s="104">
        <f>October!U22</f>
        <v>211.55000000000018</v>
      </c>
      <c r="H22" s="120">
        <v>0.62</v>
      </c>
      <c r="I22" s="105">
        <f>October!W22</f>
        <v>98</v>
      </c>
      <c r="J22" s="106">
        <v>2.42</v>
      </c>
      <c r="K22" s="113">
        <f>October!AB22*5.04</f>
        <v>3754.8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238</v>
      </c>
      <c r="P22" s="107">
        <f>October!AD22</f>
        <v>489</v>
      </c>
    </row>
    <row r="23" spans="1:16" ht="14.3" x14ac:dyDescent="0.25">
      <c r="A23" s="102" t="s">
        <v>37</v>
      </c>
      <c r="B23" s="5">
        <f t="shared" si="0"/>
        <v>22</v>
      </c>
      <c r="C23" s="129">
        <v>10</v>
      </c>
      <c r="D23" s="4">
        <v>2024</v>
      </c>
      <c r="E23" s="103">
        <f>IF(October!C23&lt;0,"0",October!C23)+(IF(October!E23&lt;0,"0",October!E23)-(IF(October!G23&lt;0,"0",October!G23)))</f>
        <v>6439</v>
      </c>
      <c r="F23" s="117">
        <f>(October!C23*0.27)/(October!C23+October!E23)</f>
        <v>0.22949371020344775</v>
      </c>
      <c r="G23" s="104">
        <f>October!U23</f>
        <v>205</v>
      </c>
      <c r="H23" s="120">
        <v>0.62</v>
      </c>
      <c r="I23" s="105">
        <f>October!W23</f>
        <v>112</v>
      </c>
      <c r="J23" s="106">
        <v>2.42</v>
      </c>
      <c r="K23" s="113">
        <f>October!AB23*5.04</f>
        <v>5241.6000000000004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232</v>
      </c>
      <c r="P23" s="107">
        <f>October!AD23</f>
        <v>477</v>
      </c>
    </row>
    <row r="24" spans="1:16" ht="14.3" x14ac:dyDescent="0.25">
      <c r="A24" s="102" t="s">
        <v>37</v>
      </c>
      <c r="B24" s="5">
        <f t="shared" si="0"/>
        <v>23</v>
      </c>
      <c r="C24" s="129">
        <v>10</v>
      </c>
      <c r="D24" s="4">
        <v>2024</v>
      </c>
      <c r="E24" s="103">
        <f>IF(October!C24&lt;0,"0",October!C24)+(IF(October!E24&lt;0,"0",October!E24)-(IF(October!G24&lt;0,"0",October!G24)))</f>
        <v>6534</v>
      </c>
      <c r="F24" s="117">
        <f>(October!C24*0.27)/(October!C24+October!E24)</f>
        <v>0.23111570247933885</v>
      </c>
      <c r="G24" s="104">
        <f>October!U24</f>
        <v>100</v>
      </c>
      <c r="H24" s="120">
        <v>0.62</v>
      </c>
      <c r="I24" s="105">
        <f>October!W24</f>
        <v>96</v>
      </c>
      <c r="J24" s="106">
        <v>2.42</v>
      </c>
      <c r="K24" s="113">
        <f>October!AB24*5.04</f>
        <v>5443.2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230</v>
      </c>
      <c r="P24" s="107">
        <f>October!AD24</f>
        <v>477</v>
      </c>
    </row>
    <row r="25" spans="1:16" ht="14.3" x14ac:dyDescent="0.25">
      <c r="A25" s="102" t="s">
        <v>37</v>
      </c>
      <c r="B25" s="5">
        <f t="shared" si="0"/>
        <v>24</v>
      </c>
      <c r="C25" s="129">
        <v>10</v>
      </c>
      <c r="D25" s="4">
        <v>2024</v>
      </c>
      <c r="E25" s="103">
        <f>IF(October!C25&lt;0,"0",October!C25)+(IF(October!E25&lt;0,"0",October!E25)-(IF(October!G25&lt;0,"0",October!G25)))</f>
        <v>6464</v>
      </c>
      <c r="F25" s="117">
        <f>(October!C25*0.27)/(October!C25+October!E25)</f>
        <v>0.23115408415841585</v>
      </c>
      <c r="G25" s="104">
        <f>October!U25</f>
        <v>130</v>
      </c>
      <c r="H25" s="120">
        <v>0.62</v>
      </c>
      <c r="I25" s="105">
        <f>October!W25</f>
        <v>96</v>
      </c>
      <c r="J25" s="106">
        <v>2.42</v>
      </c>
      <c r="K25" s="113">
        <f>October!AB25*5.04</f>
        <v>-79052.399999999994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223</v>
      </c>
      <c r="P25" s="107">
        <f>October!AD25</f>
        <v>460</v>
      </c>
    </row>
    <row r="26" spans="1:16" ht="14.3" x14ac:dyDescent="0.25">
      <c r="A26" s="102" t="s">
        <v>37</v>
      </c>
      <c r="B26" s="5">
        <f>B25+1</f>
        <v>25</v>
      </c>
      <c r="C26" s="129">
        <v>10</v>
      </c>
      <c r="D26" s="4">
        <v>2024</v>
      </c>
      <c r="E26" s="103">
        <f>IF(October!C26&lt;0,"0",October!C26)+(IF(October!E26&lt;0,"0",October!E26)-(IF(October!G26&lt;0,"0",October!G26)))</f>
        <v>6293</v>
      </c>
      <c r="F26" s="117">
        <f>(October!C26*0.27)/(October!C26+October!E26)</f>
        <v>0.23112823772445576</v>
      </c>
      <c r="G26" s="104">
        <f>October!U26</f>
        <v>215</v>
      </c>
      <c r="H26" s="120">
        <v>0.62</v>
      </c>
      <c r="I26" s="105">
        <f>October!W26</f>
        <v>88</v>
      </c>
      <c r="J26" s="106">
        <v>2.42</v>
      </c>
      <c r="K26" s="113">
        <f>October!AB26*5.04</f>
        <v>4687.2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224</v>
      </c>
      <c r="P26" s="107">
        <f>October!AD26</f>
        <v>460</v>
      </c>
    </row>
    <row r="27" spans="1:16" ht="14.3" x14ac:dyDescent="0.25">
      <c r="A27" s="102" t="s">
        <v>37</v>
      </c>
      <c r="B27" s="5">
        <f t="shared" si="0"/>
        <v>26</v>
      </c>
      <c r="C27" s="129">
        <v>10</v>
      </c>
      <c r="D27" s="4">
        <v>2024</v>
      </c>
      <c r="E27" s="103">
        <f>IF(October!C27&lt;0,"0",October!C27)+(IF(October!E27&lt;0,"0",October!E27)-(IF(October!G27&lt;0,"0",October!G27)))</f>
        <v>6680</v>
      </c>
      <c r="F27" s="117">
        <f>(October!C27*0.27)/(October!C27+October!E27)</f>
        <v>0.23321856287425152</v>
      </c>
      <c r="G27" s="104">
        <f>October!U27</f>
        <v>45</v>
      </c>
      <c r="H27" s="120">
        <v>0.62</v>
      </c>
      <c r="I27" s="105">
        <f>October!W27</f>
        <v>76</v>
      </c>
      <c r="J27" s="106">
        <v>2.42</v>
      </c>
      <c r="K27" s="113">
        <f>October!AB27*5.04</f>
        <v>4586.3999999999996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234</v>
      </c>
      <c r="P27" s="107">
        <f>October!AD27</f>
        <v>486</v>
      </c>
    </row>
    <row r="28" spans="1:16" ht="14.3" x14ac:dyDescent="0.25">
      <c r="A28" s="102" t="s">
        <v>37</v>
      </c>
      <c r="B28" s="5">
        <f t="shared" si="0"/>
        <v>27</v>
      </c>
      <c r="C28" s="129">
        <v>10</v>
      </c>
      <c r="D28" s="4">
        <v>2024</v>
      </c>
      <c r="E28" s="103">
        <f>IF(October!C28&lt;0,"0",October!C28)+(IF(October!E28&lt;0,"0",October!E28)-(IF(October!G28&lt;0,"0",October!G28)))</f>
        <v>6284</v>
      </c>
      <c r="F28" s="117">
        <f>(October!C28*0.27)/(October!C28+October!E28)</f>
        <v>0.23158816040738386</v>
      </c>
      <c r="G28" s="104">
        <f>October!U28</f>
        <v>110</v>
      </c>
      <c r="H28" s="120">
        <v>0.62</v>
      </c>
      <c r="I28" s="105">
        <f>October!W28</f>
        <v>81</v>
      </c>
      <c r="J28" s="106">
        <v>2.42</v>
      </c>
      <c r="K28" s="113">
        <f>October!AB28*5.04</f>
        <v>4082.4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241</v>
      </c>
      <c r="P28" s="107">
        <f>October!AD28</f>
        <v>506</v>
      </c>
    </row>
    <row r="29" spans="1:16" ht="14.3" x14ac:dyDescent="0.25">
      <c r="A29" s="102" t="s">
        <v>37</v>
      </c>
      <c r="B29" s="5">
        <f t="shared" si="0"/>
        <v>28</v>
      </c>
      <c r="C29" s="129">
        <v>10</v>
      </c>
      <c r="D29" s="4">
        <v>2024</v>
      </c>
      <c r="E29" s="103">
        <f>IF(October!C29&lt;0,"0",October!C29)+(IF(October!E29&lt;0,"0",October!E29)-(IF(October!G29&lt;0,"0",October!G29)))</f>
        <v>6768</v>
      </c>
      <c r="F29" s="117">
        <f>(October!C29*0.27)/(October!C29+October!E29)</f>
        <v>0.23465425531914896</v>
      </c>
      <c r="G29" s="104">
        <f>October!U29</f>
        <v>185</v>
      </c>
      <c r="H29" s="120">
        <v>0.62</v>
      </c>
      <c r="I29" s="105">
        <f>October!W29</f>
        <v>91</v>
      </c>
      <c r="J29" s="106">
        <v>2.42</v>
      </c>
      <c r="K29" s="113">
        <f>October!AB29*5.04</f>
        <v>4788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221</v>
      </c>
      <c r="P29" s="107">
        <f>October!AD29</f>
        <v>473</v>
      </c>
    </row>
    <row r="30" spans="1:16" ht="14.3" x14ac:dyDescent="0.25">
      <c r="A30" s="102" t="s">
        <v>37</v>
      </c>
      <c r="B30" s="5">
        <f t="shared" si="0"/>
        <v>29</v>
      </c>
      <c r="C30" s="129">
        <v>10</v>
      </c>
      <c r="D30" s="4">
        <v>2024</v>
      </c>
      <c r="E30" s="103">
        <f>IF(October!C30&lt;0,"0",October!C30)+(IF(October!E30&lt;0,"0",October!E30)-(IF(October!G30&lt;0,"0",October!G30)))</f>
        <v>6361</v>
      </c>
      <c r="F30" s="117">
        <f>(October!C30*0.27)/(October!C30+October!E30)</f>
        <v>0.23311429020594249</v>
      </c>
      <c r="G30" s="104">
        <f>October!U30</f>
        <v>137</v>
      </c>
      <c r="H30" s="120">
        <v>0.62</v>
      </c>
      <c r="I30" s="105">
        <f>October!W30</f>
        <v>77</v>
      </c>
      <c r="J30" s="106">
        <v>2.42</v>
      </c>
      <c r="K30" s="113">
        <f>October!AB30*5.04</f>
        <v>4460.3999999999996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214</v>
      </c>
      <c r="P30" s="107">
        <f>October!AD30</f>
        <v>455</v>
      </c>
    </row>
    <row r="31" spans="1:16" ht="14.3" x14ac:dyDescent="0.25">
      <c r="A31" s="102" t="s">
        <v>37</v>
      </c>
      <c r="B31" s="5">
        <f t="shared" si="0"/>
        <v>30</v>
      </c>
      <c r="C31" s="129">
        <v>10</v>
      </c>
      <c r="D31" s="4">
        <v>2024</v>
      </c>
      <c r="E31" s="103">
        <f>IF(October!C31&lt;0,"0",October!C31)+(IF(October!E31&lt;0,"0",October!E31)-(IF(October!G31&lt;0,"0",October!G31)))</f>
        <v>6608</v>
      </c>
      <c r="F31" s="117">
        <f>(October!C31*0.27)/(October!C31+October!E31)</f>
        <v>0.23535108958837772</v>
      </c>
      <c r="G31" s="104">
        <f>October!U31</f>
        <v>45</v>
      </c>
      <c r="H31" s="120">
        <v>0.62</v>
      </c>
      <c r="I31" s="105">
        <f>October!W31</f>
        <v>69</v>
      </c>
      <c r="J31" s="106">
        <v>2.42</v>
      </c>
      <c r="K31" s="113">
        <f>October!AB31*5.04</f>
        <v>4510.8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210</v>
      </c>
      <c r="P31" s="107">
        <f>October!AD31</f>
        <v>448</v>
      </c>
    </row>
    <row r="32" spans="1:16" ht="14.3" x14ac:dyDescent="0.25">
      <c r="A32" s="102" t="s">
        <v>37</v>
      </c>
      <c r="B32" s="5">
        <f t="shared" si="0"/>
        <v>31</v>
      </c>
      <c r="C32" s="129">
        <v>10</v>
      </c>
      <c r="D32" s="4">
        <v>2024</v>
      </c>
      <c r="E32" s="103">
        <f>IF(October!C32&lt;0,"0",October!C32)+(IF(October!E32&lt;0,"0",October!E32)-(IF(October!G32&lt;0,"0",October!G32)))</f>
        <v>6676</v>
      </c>
      <c r="F32" s="117">
        <f>(October!C32*0.27)/(October!C32+October!E32)</f>
        <v>0.2403954463750749</v>
      </c>
      <c r="G32" s="104">
        <f>October!U32</f>
        <v>120</v>
      </c>
      <c r="H32" s="120">
        <v>0.62</v>
      </c>
      <c r="I32" s="105">
        <f>October!W32</f>
        <v>88</v>
      </c>
      <c r="J32" s="106">
        <v>2.42</v>
      </c>
      <c r="K32" s="113">
        <f>October!AB32*5.04</f>
        <v>4485.6000000000004</v>
      </c>
      <c r="L32" s="123"/>
      <c r="M32" s="114">
        <f>October!M32</f>
        <v>0</v>
      </c>
      <c r="N32" s="126">
        <v>0.88</v>
      </c>
      <c r="O32" s="107">
        <f>October!AC32</f>
        <v>209</v>
      </c>
      <c r="P32" s="107">
        <f>October!AD32</f>
        <v>444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A16" zoomScale="85" zoomScaleNormal="85" workbookViewId="0">
      <selection activeCell="Z34" sqref="Z34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130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130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130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130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130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130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130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0" ht="20.7" customHeight="1" x14ac:dyDescent="0.2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162</v>
      </c>
      <c r="F9" s="27">
        <v>1704</v>
      </c>
      <c r="G9" s="74">
        <f t="shared" si="5"/>
        <v>0</v>
      </c>
      <c r="H9" s="76">
        <f t="shared" si="6"/>
        <v>8508</v>
      </c>
      <c r="I9" s="80">
        <f t="shared" si="7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130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174</v>
      </c>
      <c r="AD9" s="18">
        <v>333</v>
      </c>
    </row>
    <row r="10" spans="1:30" ht="20.7" customHeight="1" x14ac:dyDescent="0.2">
      <c r="A10" s="20">
        <v>45574</v>
      </c>
      <c r="B10" s="10">
        <v>12999417</v>
      </c>
      <c r="C10" s="14">
        <f t="shared" si="3"/>
        <v>7560</v>
      </c>
      <c r="D10" s="11">
        <v>564625</v>
      </c>
      <c r="E10" s="14">
        <f t="shared" si="4"/>
        <v>447</v>
      </c>
      <c r="F10" s="27">
        <v>1704</v>
      </c>
      <c r="G10" s="74">
        <f t="shared" si="5"/>
        <v>0</v>
      </c>
      <c r="H10" s="76">
        <f t="shared" si="6"/>
        <v>8007</v>
      </c>
      <c r="I10" s="80">
        <f t="shared" si="7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130"/>
      <c r="U10" s="32">
        <f t="shared" si="2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-16040</v>
      </c>
      <c r="AC10" s="13">
        <v>215</v>
      </c>
      <c r="AD10" s="18">
        <v>404</v>
      </c>
    </row>
    <row r="11" spans="1:30" ht="20.7" customHeight="1" x14ac:dyDescent="0.2">
      <c r="A11" s="20">
        <v>45575</v>
      </c>
      <c r="B11" s="10">
        <v>13006977</v>
      </c>
      <c r="C11" s="14">
        <f t="shared" si="3"/>
        <v>7159</v>
      </c>
      <c r="D11" s="11">
        <v>565072</v>
      </c>
      <c r="E11" s="14">
        <f t="shared" si="4"/>
        <v>1033</v>
      </c>
      <c r="F11" s="27">
        <v>1704</v>
      </c>
      <c r="G11" s="74">
        <f t="shared" si="5"/>
        <v>0</v>
      </c>
      <c r="H11" s="76">
        <f t="shared" si="6"/>
        <v>8192</v>
      </c>
      <c r="I11" s="80">
        <f t="shared" si="7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8"/>
        <v>4555</v>
      </c>
      <c r="T11" s="130"/>
      <c r="U11" s="32">
        <f t="shared" si="2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0" ht="20.7" customHeight="1" x14ac:dyDescent="0.2">
      <c r="A12" s="20">
        <v>45576</v>
      </c>
      <c r="B12" s="10">
        <v>13014136</v>
      </c>
      <c r="C12" s="14">
        <f t="shared" si="3"/>
        <v>7251</v>
      </c>
      <c r="D12" s="11">
        <v>566105</v>
      </c>
      <c r="E12" s="14">
        <f t="shared" si="4"/>
        <v>814</v>
      </c>
      <c r="F12" s="27">
        <v>1704</v>
      </c>
      <c r="G12" s="74">
        <f t="shared" si="5"/>
        <v>0</v>
      </c>
      <c r="H12" s="76">
        <f t="shared" si="6"/>
        <v>8065</v>
      </c>
      <c r="I12" s="80">
        <f t="shared" si="7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8"/>
        <v>4510</v>
      </c>
      <c r="T12" s="130"/>
      <c r="U12" s="32">
        <f t="shared" si="2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0" ht="20.7" customHeight="1" x14ac:dyDescent="0.2">
      <c r="A13" s="20">
        <v>45577</v>
      </c>
      <c r="B13" s="10">
        <v>13021387</v>
      </c>
      <c r="C13" s="14">
        <f t="shared" si="3"/>
        <v>7141</v>
      </c>
      <c r="D13" s="11">
        <v>566919</v>
      </c>
      <c r="E13" s="14">
        <f t="shared" si="4"/>
        <v>992</v>
      </c>
      <c r="F13" s="27">
        <v>1704</v>
      </c>
      <c r="G13" s="74">
        <f t="shared" si="5"/>
        <v>0</v>
      </c>
      <c r="H13" s="76">
        <f t="shared" si="6"/>
        <v>8133</v>
      </c>
      <c r="I13" s="80">
        <f t="shared" si="7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8"/>
        <v>4315</v>
      </c>
      <c r="T13" s="130"/>
      <c r="U13" s="32">
        <f t="shared" si="2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0" ht="20.7" customHeight="1" x14ac:dyDescent="0.2">
      <c r="A14" s="20">
        <v>45578</v>
      </c>
      <c r="B14" s="10">
        <v>13028528</v>
      </c>
      <c r="C14" s="14">
        <f t="shared" si="3"/>
        <v>7303</v>
      </c>
      <c r="D14" s="11">
        <v>567911</v>
      </c>
      <c r="E14" s="14">
        <f t="shared" si="4"/>
        <v>930</v>
      </c>
      <c r="F14" s="27">
        <v>1704</v>
      </c>
      <c r="G14" s="74">
        <f t="shared" si="5"/>
        <v>0</v>
      </c>
      <c r="H14" s="76">
        <f t="shared" si="6"/>
        <v>8233</v>
      </c>
      <c r="I14" s="80">
        <f t="shared" si="7"/>
        <v>-37346.36</v>
      </c>
      <c r="J14" s="32">
        <f t="shared" si="0"/>
        <v>100.03000000000611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8"/>
        <v>4180</v>
      </c>
      <c r="T14" s="130"/>
      <c r="U14" s="32">
        <f t="shared" si="2"/>
        <v>20</v>
      </c>
      <c r="V14" s="44">
        <v>118831</v>
      </c>
      <c r="W14" s="32">
        <f t="shared" si="9"/>
        <v>116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0" ht="20.7" customHeight="1" x14ac:dyDescent="0.2">
      <c r="A15" s="20">
        <v>45579</v>
      </c>
      <c r="B15" s="10">
        <v>13035831</v>
      </c>
      <c r="C15" s="14">
        <f t="shared" si="3"/>
        <v>7350</v>
      </c>
      <c r="D15" s="11">
        <v>568841</v>
      </c>
      <c r="E15" s="14">
        <f t="shared" si="4"/>
        <v>984</v>
      </c>
      <c r="F15" s="27">
        <v>1704</v>
      </c>
      <c r="G15" s="74">
        <f t="shared" si="5"/>
        <v>0</v>
      </c>
      <c r="H15" s="76">
        <f t="shared" si="6"/>
        <v>8334</v>
      </c>
      <c r="I15" s="80">
        <f t="shared" si="7"/>
        <v>-37246.329999999994</v>
      </c>
      <c r="J15" s="32">
        <f t="shared" si="0"/>
        <v>-276.32000000000698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8"/>
        <v>4160</v>
      </c>
      <c r="T15" s="130">
        <v>728</v>
      </c>
      <c r="U15" s="32">
        <f t="shared" si="2"/>
        <v>108</v>
      </c>
      <c r="V15" s="44">
        <v>118947</v>
      </c>
      <c r="W15" s="32">
        <f t="shared" si="9"/>
        <v>109</v>
      </c>
      <c r="X15" s="47">
        <v>60991</v>
      </c>
      <c r="Y15" s="32">
        <f t="shared" si="10"/>
        <v>8</v>
      </c>
      <c r="Z15" s="50">
        <v>7610</v>
      </c>
      <c r="AA15" s="56">
        <v>0</v>
      </c>
      <c r="AB15" s="32">
        <f t="shared" si="11"/>
        <v>430</v>
      </c>
      <c r="AC15" s="13">
        <v>212</v>
      </c>
      <c r="AD15" s="18">
        <v>415</v>
      </c>
    </row>
    <row r="16" spans="1:30" ht="20.7" customHeight="1" x14ac:dyDescent="0.2">
      <c r="A16" s="20">
        <v>45580</v>
      </c>
      <c r="B16" s="10">
        <v>13043181</v>
      </c>
      <c r="C16" s="14">
        <f t="shared" si="3"/>
        <v>7164</v>
      </c>
      <c r="D16" s="11">
        <v>569825</v>
      </c>
      <c r="E16" s="14">
        <f t="shared" si="4"/>
        <v>895</v>
      </c>
      <c r="F16" s="27">
        <v>1704</v>
      </c>
      <c r="G16" s="74">
        <f t="shared" si="5"/>
        <v>0</v>
      </c>
      <c r="H16" s="76">
        <f t="shared" si="6"/>
        <v>8059</v>
      </c>
      <c r="I16" s="80">
        <f t="shared" si="7"/>
        <v>-37522.65</v>
      </c>
      <c r="J16" s="32">
        <f t="shared" si="0"/>
        <v>169.0199999999968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>
        <v>0.8</v>
      </c>
      <c r="P16" s="93">
        <v>0.78</v>
      </c>
      <c r="Q16" s="92">
        <v>0.85</v>
      </c>
      <c r="R16" s="93">
        <v>0.81</v>
      </c>
      <c r="S16" s="39">
        <f t="shared" si="8"/>
        <v>4780</v>
      </c>
      <c r="T16" s="130"/>
      <c r="U16" s="32" t="str">
        <f t="shared" si="2"/>
        <v>0</v>
      </c>
      <c r="V16" s="44">
        <v>119056</v>
      </c>
      <c r="W16" s="32">
        <f t="shared" si="9"/>
        <v>130</v>
      </c>
      <c r="X16" s="47">
        <v>60999</v>
      </c>
      <c r="Y16" s="32">
        <f t="shared" si="10"/>
        <v>7</v>
      </c>
      <c r="Z16" s="50">
        <v>7180</v>
      </c>
      <c r="AA16" s="56">
        <v>0</v>
      </c>
      <c r="AB16" s="32">
        <f t="shared" si="11"/>
        <v>430</v>
      </c>
      <c r="AC16" s="13">
        <v>218</v>
      </c>
      <c r="AD16" s="18">
        <v>430</v>
      </c>
    </row>
    <row r="17" spans="1:30" ht="20.7" customHeight="1" x14ac:dyDescent="0.2">
      <c r="A17" s="20">
        <v>45581</v>
      </c>
      <c r="B17" s="10">
        <v>13050345</v>
      </c>
      <c r="C17" s="14">
        <f t="shared" si="3"/>
        <v>7447</v>
      </c>
      <c r="D17" s="11">
        <v>570720</v>
      </c>
      <c r="E17" s="14">
        <f t="shared" si="4"/>
        <v>782</v>
      </c>
      <c r="F17" s="27">
        <v>1704</v>
      </c>
      <c r="G17" s="74">
        <f t="shared" si="5"/>
        <v>0</v>
      </c>
      <c r="H17" s="76">
        <f t="shared" si="6"/>
        <v>8229</v>
      </c>
      <c r="I17" s="80">
        <f t="shared" si="7"/>
        <v>-37353.630000000005</v>
      </c>
      <c r="J17" s="32">
        <f t="shared" si="0"/>
        <v>-62.939999999995052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>
        <v>0.8</v>
      </c>
      <c r="P17" s="93">
        <v>0.77</v>
      </c>
      <c r="Q17" s="92">
        <v>0.83</v>
      </c>
      <c r="R17" s="93">
        <v>0.77</v>
      </c>
      <c r="S17" s="39">
        <f t="shared" si="8"/>
        <v>4725</v>
      </c>
      <c r="T17" s="130"/>
      <c r="U17" s="32">
        <f t="shared" ref="U17:U20" si="12">IF(OR((S17+T17-S18)&lt;0,S17&gt;S16),"0",(S17+T17-S18))</f>
        <v>140</v>
      </c>
      <c r="V17" s="44">
        <v>119186</v>
      </c>
      <c r="W17" s="32">
        <f t="shared" si="9"/>
        <v>98</v>
      </c>
      <c r="X17" s="47">
        <v>61006</v>
      </c>
      <c r="Y17" s="32">
        <f t="shared" si="10"/>
        <v>2</v>
      </c>
      <c r="Z17" s="50">
        <v>6750</v>
      </c>
      <c r="AA17" s="56">
        <v>0</v>
      </c>
      <c r="AB17" s="32">
        <f t="shared" si="11"/>
        <v>340</v>
      </c>
      <c r="AC17" s="13">
        <v>198</v>
      </c>
      <c r="AD17" s="18">
        <v>393</v>
      </c>
    </row>
    <row r="18" spans="1:30" ht="20.7" customHeight="1" x14ac:dyDescent="0.2">
      <c r="A18" s="20">
        <v>45582</v>
      </c>
      <c r="B18" s="10">
        <v>13057792</v>
      </c>
      <c r="C18" s="14">
        <f t="shared" si="3"/>
        <v>7273</v>
      </c>
      <c r="D18" s="11">
        <v>571502</v>
      </c>
      <c r="E18" s="14">
        <f t="shared" si="4"/>
        <v>894</v>
      </c>
      <c r="F18" s="27">
        <v>1704</v>
      </c>
      <c r="G18" s="74">
        <f t="shared" si="5"/>
        <v>0</v>
      </c>
      <c r="H18" s="76">
        <f t="shared" si="6"/>
        <v>8167</v>
      </c>
      <c r="I18" s="80">
        <f t="shared" si="7"/>
        <v>-37416.57</v>
      </c>
      <c r="J18" s="32">
        <f t="shared" si="0"/>
        <v>-741.90000000000146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>
        <v>0.78</v>
      </c>
      <c r="P18" s="93">
        <v>0.75</v>
      </c>
      <c r="Q18" s="92">
        <v>0.79</v>
      </c>
      <c r="R18" s="93">
        <v>0.73</v>
      </c>
      <c r="S18" s="39">
        <f t="shared" si="8"/>
        <v>4585</v>
      </c>
      <c r="T18" s="130"/>
      <c r="U18" s="32">
        <f t="shared" si="12"/>
        <v>185</v>
      </c>
      <c r="V18" s="44">
        <v>119284</v>
      </c>
      <c r="W18" s="32">
        <f t="shared" si="9"/>
        <v>79</v>
      </c>
      <c r="X18" s="47">
        <v>61008</v>
      </c>
      <c r="Y18" s="32">
        <f t="shared" si="10"/>
        <v>9</v>
      </c>
      <c r="Z18" s="50">
        <v>6410</v>
      </c>
      <c r="AA18" s="56">
        <v>0</v>
      </c>
      <c r="AB18" s="32">
        <f t="shared" si="11"/>
        <v>280</v>
      </c>
      <c r="AC18" s="13">
        <v>210</v>
      </c>
      <c r="AD18" s="18">
        <v>419</v>
      </c>
    </row>
    <row r="19" spans="1:30" ht="20.7" customHeight="1" x14ac:dyDescent="0.2">
      <c r="A19" s="20">
        <v>45583</v>
      </c>
      <c r="B19" s="10">
        <v>13065065</v>
      </c>
      <c r="C19" s="14">
        <f t="shared" si="3"/>
        <v>6491</v>
      </c>
      <c r="D19" s="11">
        <v>572396</v>
      </c>
      <c r="E19" s="14">
        <f t="shared" si="4"/>
        <v>935</v>
      </c>
      <c r="F19" s="27">
        <v>1704</v>
      </c>
      <c r="G19" s="74">
        <f t="shared" si="5"/>
        <v>0</v>
      </c>
      <c r="H19" s="76">
        <f t="shared" si="6"/>
        <v>7426</v>
      </c>
      <c r="I19" s="80">
        <f t="shared" si="7"/>
        <v>-38158.47</v>
      </c>
      <c r="J19" s="32">
        <f t="shared" si="0"/>
        <v>-238.90000000000146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>
        <v>0.74</v>
      </c>
      <c r="P19" s="93">
        <v>0.74</v>
      </c>
      <c r="Q19" s="92">
        <v>0.73</v>
      </c>
      <c r="R19" s="93">
        <v>0.67</v>
      </c>
      <c r="S19" s="39">
        <f t="shared" si="8"/>
        <v>4400</v>
      </c>
      <c r="T19" s="130"/>
      <c r="U19" s="32">
        <f t="shared" si="12"/>
        <v>150</v>
      </c>
      <c r="V19" s="44">
        <v>119363</v>
      </c>
      <c r="W19" s="32">
        <f t="shared" si="9"/>
        <v>94</v>
      </c>
      <c r="X19" s="47">
        <v>61017</v>
      </c>
      <c r="Y19" s="32">
        <f t="shared" si="10"/>
        <v>20</v>
      </c>
      <c r="Z19" s="50">
        <v>6130</v>
      </c>
      <c r="AA19" s="56">
        <v>0</v>
      </c>
      <c r="AB19" s="32">
        <f t="shared" si="11"/>
        <v>450</v>
      </c>
      <c r="AC19" s="13">
        <v>216</v>
      </c>
      <c r="AD19" s="18">
        <v>425</v>
      </c>
    </row>
    <row r="20" spans="1:30" ht="20.7" customHeight="1" x14ac:dyDescent="0.2">
      <c r="A20" s="20">
        <v>45584</v>
      </c>
      <c r="B20" s="10">
        <v>13071556</v>
      </c>
      <c r="C20" s="14">
        <f t="shared" si="3"/>
        <v>6249</v>
      </c>
      <c r="D20" s="11">
        <v>573331</v>
      </c>
      <c r="E20" s="14">
        <f t="shared" si="4"/>
        <v>939</v>
      </c>
      <c r="F20" s="27">
        <v>1704</v>
      </c>
      <c r="G20" s="74">
        <f t="shared" si="5"/>
        <v>0</v>
      </c>
      <c r="H20" s="76">
        <f t="shared" si="6"/>
        <v>7188</v>
      </c>
      <c r="I20" s="80">
        <f t="shared" si="7"/>
        <v>-38397.370000000003</v>
      </c>
      <c r="J20" s="32">
        <f t="shared" si="0"/>
        <v>-189.92999999999302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>
        <v>0.72</v>
      </c>
      <c r="P20" s="93">
        <v>0.72</v>
      </c>
      <c r="Q20" s="92">
        <v>0.65</v>
      </c>
      <c r="R20" s="93">
        <v>0.65</v>
      </c>
      <c r="S20" s="39">
        <f t="shared" si="8"/>
        <v>4250</v>
      </c>
      <c r="T20" s="130"/>
      <c r="U20" s="32">
        <f t="shared" si="12"/>
        <v>120</v>
      </c>
      <c r="V20" s="44">
        <v>119457</v>
      </c>
      <c r="W20" s="32">
        <f t="shared" si="9"/>
        <v>94</v>
      </c>
      <c r="X20" s="47">
        <v>61037</v>
      </c>
      <c r="Y20" s="32">
        <f t="shared" si="10"/>
        <v>6</v>
      </c>
      <c r="Z20" s="50">
        <v>5680</v>
      </c>
      <c r="AA20" s="56">
        <v>0</v>
      </c>
      <c r="AB20" s="32">
        <f t="shared" si="11"/>
        <v>400</v>
      </c>
      <c r="AC20" s="13">
        <v>238</v>
      </c>
      <c r="AD20" s="18">
        <v>473</v>
      </c>
    </row>
    <row r="21" spans="1:30" ht="20.7" customHeight="1" x14ac:dyDescent="0.2">
      <c r="A21" s="20">
        <v>45585</v>
      </c>
      <c r="B21" s="10">
        <v>13077805</v>
      </c>
      <c r="C21" s="14">
        <f t="shared" si="3"/>
        <v>6052</v>
      </c>
      <c r="D21" s="11">
        <v>574270</v>
      </c>
      <c r="E21" s="14">
        <f t="shared" si="4"/>
        <v>947</v>
      </c>
      <c r="F21" s="27">
        <v>1704</v>
      </c>
      <c r="G21" s="74">
        <f t="shared" si="5"/>
        <v>0</v>
      </c>
      <c r="H21" s="76">
        <f t="shared" si="6"/>
        <v>6999</v>
      </c>
      <c r="I21" s="80">
        <f t="shared" si="7"/>
        <v>-38587.299999999996</v>
      </c>
      <c r="J21" s="32">
        <f t="shared" si="0"/>
        <v>-190.91999999999825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>
        <v>0.7</v>
      </c>
      <c r="P21" s="93">
        <v>0.71</v>
      </c>
      <c r="Q21" s="92">
        <v>0.6</v>
      </c>
      <c r="R21" s="93">
        <v>0.61</v>
      </c>
      <c r="S21" s="40">
        <f t="shared" si="8"/>
        <v>4130</v>
      </c>
      <c r="T21" s="130"/>
      <c r="U21" s="32">
        <f>IF(OR((S21+T21-S22)&lt;0,S21&gt;S20),"0",(S21+T21-S22))</f>
        <v>100</v>
      </c>
      <c r="V21" s="44">
        <v>119551</v>
      </c>
      <c r="W21" s="32">
        <f t="shared" si="9"/>
        <v>86</v>
      </c>
      <c r="X21" s="47">
        <v>61043</v>
      </c>
      <c r="Y21" s="32">
        <f t="shared" si="10"/>
        <v>5</v>
      </c>
      <c r="Z21" s="50">
        <v>5280</v>
      </c>
      <c r="AA21" s="56">
        <v>0</v>
      </c>
      <c r="AB21" s="32">
        <f t="shared" si="11"/>
        <v>470</v>
      </c>
      <c r="AC21" s="13">
        <v>236</v>
      </c>
      <c r="AD21" s="18">
        <v>486</v>
      </c>
    </row>
    <row r="22" spans="1:30" ht="20.7" customHeight="1" x14ac:dyDescent="0.2">
      <c r="A22" s="20">
        <v>45586</v>
      </c>
      <c r="B22" s="10">
        <v>13083857</v>
      </c>
      <c r="C22" s="14">
        <f t="shared" si="3"/>
        <v>5841</v>
      </c>
      <c r="D22" s="11">
        <v>575217</v>
      </c>
      <c r="E22" s="14">
        <f t="shared" si="4"/>
        <v>968</v>
      </c>
      <c r="F22" s="27">
        <v>1704</v>
      </c>
      <c r="G22" s="74">
        <f t="shared" si="5"/>
        <v>0</v>
      </c>
      <c r="H22" s="76">
        <f t="shared" si="6"/>
        <v>6809</v>
      </c>
      <c r="I22" s="80">
        <f t="shared" si="7"/>
        <v>-38778.219999999994</v>
      </c>
      <c r="J22" s="32">
        <f t="shared" si="0"/>
        <v>-371.29000000000087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>
        <v>0.7</v>
      </c>
      <c r="P22" s="93">
        <v>0.7</v>
      </c>
      <c r="Q22" s="92">
        <v>0.52</v>
      </c>
      <c r="R22" s="93">
        <v>0.54</v>
      </c>
      <c r="S22" s="40">
        <f t="shared" si="8"/>
        <v>4030</v>
      </c>
      <c r="T22" s="130">
        <v>301.55</v>
      </c>
      <c r="U22" s="32">
        <f t="shared" ref="U22:U32" si="13">IF((S22+T22-S23)&lt;0,"0",(S22+T22-S23))</f>
        <v>211.55000000000018</v>
      </c>
      <c r="V22" s="44">
        <v>119637</v>
      </c>
      <c r="W22" s="32">
        <f t="shared" si="9"/>
        <v>98</v>
      </c>
      <c r="X22" s="47">
        <v>61048</v>
      </c>
      <c r="Y22" s="32">
        <f t="shared" si="10"/>
        <v>14</v>
      </c>
      <c r="Z22" s="50">
        <v>4810</v>
      </c>
      <c r="AA22" s="56">
        <v>0</v>
      </c>
      <c r="AB22" s="32">
        <f t="shared" si="11"/>
        <v>745</v>
      </c>
      <c r="AC22" s="13">
        <v>238</v>
      </c>
      <c r="AD22" s="18">
        <v>489</v>
      </c>
    </row>
    <row r="23" spans="1:30" ht="20.7" customHeight="1" x14ac:dyDescent="0.2">
      <c r="A23" s="20">
        <v>45587</v>
      </c>
      <c r="B23" s="10">
        <v>13089698</v>
      </c>
      <c r="C23" s="14">
        <f t="shared" si="3"/>
        <v>5473</v>
      </c>
      <c r="D23" s="11">
        <v>576185</v>
      </c>
      <c r="E23" s="14">
        <f t="shared" si="4"/>
        <v>966</v>
      </c>
      <c r="F23" s="27">
        <v>1704</v>
      </c>
      <c r="G23" s="74">
        <f t="shared" si="5"/>
        <v>0</v>
      </c>
      <c r="H23" s="76">
        <f t="shared" si="6"/>
        <v>6439</v>
      </c>
      <c r="I23" s="80">
        <f t="shared" si="7"/>
        <v>-39149.509999999995</v>
      </c>
      <c r="J23" s="32">
        <f t="shared" si="0"/>
        <v>94.099999999991269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>
        <v>0.67</v>
      </c>
      <c r="P23" s="93">
        <v>0.65</v>
      </c>
      <c r="Q23" s="92">
        <v>0.84</v>
      </c>
      <c r="R23" s="93">
        <v>0.8</v>
      </c>
      <c r="S23" s="40">
        <f t="shared" si="8"/>
        <v>4120</v>
      </c>
      <c r="T23" s="38"/>
      <c r="U23" s="32">
        <f t="shared" si="13"/>
        <v>205</v>
      </c>
      <c r="V23" s="44">
        <v>119735</v>
      </c>
      <c r="W23" s="32">
        <f t="shared" si="9"/>
        <v>112</v>
      </c>
      <c r="X23" s="47">
        <v>61062</v>
      </c>
      <c r="Y23" s="32">
        <f t="shared" si="10"/>
        <v>9</v>
      </c>
      <c r="Z23" s="50">
        <v>4065</v>
      </c>
      <c r="AA23" s="56">
        <v>0</v>
      </c>
      <c r="AB23" s="32">
        <f t="shared" si="11"/>
        <v>1040</v>
      </c>
      <c r="AC23" s="13">
        <v>232</v>
      </c>
      <c r="AD23" s="18">
        <v>477</v>
      </c>
    </row>
    <row r="24" spans="1:30" ht="20.7" customHeight="1" x14ac:dyDescent="0.2">
      <c r="A24" s="20">
        <v>45588</v>
      </c>
      <c r="B24" s="10">
        <v>13095171</v>
      </c>
      <c r="C24" s="14">
        <f t="shared" si="3"/>
        <v>5593</v>
      </c>
      <c r="D24" s="11">
        <v>577151</v>
      </c>
      <c r="E24" s="14">
        <f t="shared" si="4"/>
        <v>941</v>
      </c>
      <c r="F24" s="27">
        <v>1704</v>
      </c>
      <c r="G24" s="74">
        <f t="shared" si="5"/>
        <v>0</v>
      </c>
      <c r="H24" s="76">
        <f t="shared" si="6"/>
        <v>6534</v>
      </c>
      <c r="I24" s="80">
        <f t="shared" si="7"/>
        <v>-39055.410000000003</v>
      </c>
      <c r="J24" s="32">
        <f t="shared" si="0"/>
        <v>-70.930000000000291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>
        <v>0.62</v>
      </c>
      <c r="P24" s="93">
        <v>0.64</v>
      </c>
      <c r="Q24" s="92">
        <v>0.79</v>
      </c>
      <c r="R24" s="93">
        <v>0.74</v>
      </c>
      <c r="S24" s="40">
        <f t="shared" si="8"/>
        <v>3915</v>
      </c>
      <c r="T24" s="38"/>
      <c r="U24" s="32">
        <f t="shared" si="13"/>
        <v>100</v>
      </c>
      <c r="V24" s="44">
        <v>119847</v>
      </c>
      <c r="W24" s="32">
        <f t="shared" si="9"/>
        <v>96</v>
      </c>
      <c r="X24" s="47">
        <v>61071</v>
      </c>
      <c r="Y24" s="32">
        <f t="shared" si="10"/>
        <v>8</v>
      </c>
      <c r="Z24" s="50">
        <v>3025</v>
      </c>
      <c r="AA24" s="56">
        <v>0</v>
      </c>
      <c r="AB24" s="32">
        <f t="shared" si="11"/>
        <v>1080</v>
      </c>
      <c r="AC24" s="13">
        <v>230</v>
      </c>
      <c r="AD24" s="18">
        <v>477</v>
      </c>
    </row>
    <row r="25" spans="1:30" ht="20.7" customHeight="1" x14ac:dyDescent="0.2">
      <c r="A25" s="20">
        <v>45589</v>
      </c>
      <c r="B25" s="10">
        <v>13100764</v>
      </c>
      <c r="C25" s="14">
        <f t="shared" si="3"/>
        <v>5534</v>
      </c>
      <c r="D25" s="11">
        <v>578092</v>
      </c>
      <c r="E25" s="14">
        <f t="shared" si="4"/>
        <v>930</v>
      </c>
      <c r="F25" s="27">
        <v>1704</v>
      </c>
      <c r="G25" s="74">
        <f t="shared" si="5"/>
        <v>0</v>
      </c>
      <c r="H25" s="76">
        <f t="shared" si="6"/>
        <v>6464</v>
      </c>
      <c r="I25" s="80">
        <f t="shared" si="7"/>
        <v>-39126.340000000004</v>
      </c>
      <c r="J25" s="32">
        <f t="shared" si="0"/>
        <v>-171.95999999999185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>
        <v>0.61</v>
      </c>
      <c r="P25" s="93">
        <v>0.63</v>
      </c>
      <c r="Q25" s="92">
        <v>0.73</v>
      </c>
      <c r="R25" s="93">
        <v>0.7</v>
      </c>
      <c r="S25" s="40">
        <f t="shared" si="8"/>
        <v>3815</v>
      </c>
      <c r="T25" s="38"/>
      <c r="U25" s="32">
        <f t="shared" si="13"/>
        <v>130</v>
      </c>
      <c r="V25" s="44">
        <v>119943</v>
      </c>
      <c r="W25" s="32">
        <f t="shared" si="9"/>
        <v>96</v>
      </c>
      <c r="X25" s="47">
        <v>61079</v>
      </c>
      <c r="Y25" s="32">
        <f t="shared" si="10"/>
        <v>8</v>
      </c>
      <c r="Z25" s="50">
        <v>1945</v>
      </c>
      <c r="AA25" s="56">
        <v>8270</v>
      </c>
      <c r="AB25" s="32">
        <f t="shared" si="11"/>
        <v>-15685</v>
      </c>
      <c r="AC25" s="13">
        <v>223</v>
      </c>
      <c r="AD25" s="18">
        <v>460</v>
      </c>
    </row>
    <row r="26" spans="1:30" ht="20.7" customHeight="1" x14ac:dyDescent="0.2">
      <c r="A26" s="20">
        <v>45590</v>
      </c>
      <c r="B26" s="10">
        <v>13106298</v>
      </c>
      <c r="C26" s="14">
        <f t="shared" si="3"/>
        <v>5387</v>
      </c>
      <c r="D26" s="11">
        <v>579022</v>
      </c>
      <c r="E26" s="14">
        <f t="shared" si="4"/>
        <v>906</v>
      </c>
      <c r="F26" s="27">
        <v>1704</v>
      </c>
      <c r="G26" s="74">
        <f t="shared" si="5"/>
        <v>0</v>
      </c>
      <c r="H26" s="76">
        <f t="shared" si="6"/>
        <v>6293</v>
      </c>
      <c r="I26" s="80">
        <f t="shared" si="7"/>
        <v>-39298.299999999996</v>
      </c>
      <c r="J26" s="32">
        <f t="shared" si="0"/>
        <v>386.06999999999971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>
        <v>0.6</v>
      </c>
      <c r="P26" s="93">
        <v>0.6</v>
      </c>
      <c r="Q26" s="92">
        <v>0.7</v>
      </c>
      <c r="R26" s="93">
        <v>0.67</v>
      </c>
      <c r="S26" s="40">
        <f t="shared" si="8"/>
        <v>3685</v>
      </c>
      <c r="T26" s="38"/>
      <c r="U26" s="32">
        <f t="shared" si="13"/>
        <v>215</v>
      </c>
      <c r="V26" s="44">
        <v>120039</v>
      </c>
      <c r="W26" s="32">
        <f t="shared" si="9"/>
        <v>88</v>
      </c>
      <c r="X26" s="47">
        <v>61087</v>
      </c>
      <c r="Y26" s="32">
        <f t="shared" si="10"/>
        <v>7</v>
      </c>
      <c r="Z26" s="50">
        <v>9360</v>
      </c>
      <c r="AA26" s="56">
        <v>0</v>
      </c>
      <c r="AB26" s="32">
        <f t="shared" si="11"/>
        <v>930</v>
      </c>
      <c r="AC26" s="13">
        <v>224</v>
      </c>
      <c r="AD26" s="18">
        <v>460</v>
      </c>
    </row>
    <row r="27" spans="1:30" ht="20.7" customHeight="1" x14ac:dyDescent="0.2">
      <c r="A27" s="20">
        <v>45591</v>
      </c>
      <c r="B27" s="10">
        <v>13111685</v>
      </c>
      <c r="C27" s="14">
        <f t="shared" si="3"/>
        <v>5770</v>
      </c>
      <c r="D27" s="11">
        <v>579928</v>
      </c>
      <c r="E27" s="14">
        <f t="shared" si="4"/>
        <v>910</v>
      </c>
      <c r="F27" s="27">
        <v>1704</v>
      </c>
      <c r="G27" s="74">
        <f t="shared" si="5"/>
        <v>0</v>
      </c>
      <c r="H27" s="76">
        <f t="shared" si="6"/>
        <v>6680</v>
      </c>
      <c r="I27" s="80">
        <f t="shared" si="7"/>
        <v>-38912.229999999996</v>
      </c>
      <c r="J27" s="32">
        <f t="shared" si="0"/>
        <v>-396.92000000000553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>
        <v>0.59</v>
      </c>
      <c r="P27" s="93">
        <v>0.55000000000000004</v>
      </c>
      <c r="Q27" s="92">
        <v>0.64</v>
      </c>
      <c r="R27" s="93">
        <v>0.6</v>
      </c>
      <c r="S27" s="40">
        <f t="shared" si="8"/>
        <v>3470</v>
      </c>
      <c r="T27" s="38"/>
      <c r="U27" s="32">
        <f t="shared" si="13"/>
        <v>45</v>
      </c>
      <c r="V27" s="44">
        <v>120127</v>
      </c>
      <c r="W27" s="32">
        <f t="shared" si="9"/>
        <v>76</v>
      </c>
      <c r="X27" s="47">
        <v>61094</v>
      </c>
      <c r="Y27" s="32">
        <f t="shared" si="10"/>
        <v>9</v>
      </c>
      <c r="Z27" s="50">
        <v>8430</v>
      </c>
      <c r="AA27" s="56">
        <v>0</v>
      </c>
      <c r="AB27" s="32">
        <f t="shared" si="11"/>
        <v>910</v>
      </c>
      <c r="AC27" s="13">
        <v>234</v>
      </c>
      <c r="AD27" s="18">
        <v>486</v>
      </c>
    </row>
    <row r="28" spans="1:30" ht="20.7" customHeight="1" x14ac:dyDescent="0.2">
      <c r="A28" s="20">
        <v>45592</v>
      </c>
      <c r="B28" s="10">
        <v>13117455</v>
      </c>
      <c r="C28" s="14">
        <f t="shared" si="3"/>
        <v>5390</v>
      </c>
      <c r="D28" s="11">
        <v>580838</v>
      </c>
      <c r="E28" s="14">
        <f t="shared" si="4"/>
        <v>894</v>
      </c>
      <c r="F28" s="27">
        <v>1704</v>
      </c>
      <c r="G28" s="74">
        <f t="shared" si="5"/>
        <v>0</v>
      </c>
      <c r="H28" s="76">
        <f t="shared" si="6"/>
        <v>6284</v>
      </c>
      <c r="I28" s="80">
        <f t="shared" si="7"/>
        <v>-39309.15</v>
      </c>
      <c r="J28" s="32">
        <f t="shared" si="0"/>
        <v>483.13000000000466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>
        <v>0.55000000000000004</v>
      </c>
      <c r="P28" s="93">
        <v>0.59</v>
      </c>
      <c r="Q28" s="92">
        <v>0.6</v>
      </c>
      <c r="R28" s="93">
        <v>0.55000000000000004</v>
      </c>
      <c r="S28" s="40">
        <f t="shared" si="8"/>
        <v>3425</v>
      </c>
      <c r="T28" s="38"/>
      <c r="U28" s="32">
        <f t="shared" si="13"/>
        <v>110</v>
      </c>
      <c r="V28" s="44">
        <v>120203</v>
      </c>
      <c r="W28" s="32">
        <f t="shared" si="9"/>
        <v>81</v>
      </c>
      <c r="X28" s="47">
        <v>61103</v>
      </c>
      <c r="Y28" s="32">
        <f t="shared" si="10"/>
        <v>3</v>
      </c>
      <c r="Z28" s="50">
        <v>7520</v>
      </c>
      <c r="AA28" s="56">
        <v>0</v>
      </c>
      <c r="AB28" s="32">
        <f t="shared" si="11"/>
        <v>810</v>
      </c>
      <c r="AC28" s="13">
        <v>241</v>
      </c>
      <c r="AD28" s="18">
        <v>506</v>
      </c>
    </row>
    <row r="29" spans="1:30" ht="20.7" customHeight="1" x14ac:dyDescent="0.2">
      <c r="A29" s="20">
        <v>45593</v>
      </c>
      <c r="B29" s="10">
        <v>13122845</v>
      </c>
      <c r="C29" s="14">
        <f t="shared" si="3"/>
        <v>5882</v>
      </c>
      <c r="D29" s="11">
        <v>581732</v>
      </c>
      <c r="E29" s="14">
        <f t="shared" si="4"/>
        <v>886</v>
      </c>
      <c r="F29" s="27">
        <v>1704</v>
      </c>
      <c r="G29" s="74">
        <f t="shared" si="5"/>
        <v>0</v>
      </c>
      <c r="H29" s="76">
        <f t="shared" si="6"/>
        <v>6768</v>
      </c>
      <c r="I29" s="80">
        <f t="shared" si="7"/>
        <v>-38826.019999999997</v>
      </c>
      <c r="J29" s="32">
        <f t="shared" si="0"/>
        <v>-407.90000000000873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>
        <v>0.53</v>
      </c>
      <c r="P29" s="93">
        <v>0.59</v>
      </c>
      <c r="Q29" s="92">
        <v>0.49</v>
      </c>
      <c r="R29" s="93">
        <v>0.54</v>
      </c>
      <c r="S29" s="40">
        <f t="shared" si="8"/>
        <v>3315</v>
      </c>
      <c r="T29" s="38"/>
      <c r="U29" s="32">
        <f t="shared" si="13"/>
        <v>185</v>
      </c>
      <c r="V29" s="44">
        <v>120284</v>
      </c>
      <c r="W29" s="32">
        <f t="shared" si="9"/>
        <v>91</v>
      </c>
      <c r="X29" s="47">
        <v>61106</v>
      </c>
      <c r="Y29" s="32">
        <f t="shared" si="10"/>
        <v>2</v>
      </c>
      <c r="Z29" s="50">
        <v>6710</v>
      </c>
      <c r="AA29" s="56">
        <v>0</v>
      </c>
      <c r="AB29" s="32">
        <f t="shared" si="11"/>
        <v>950</v>
      </c>
      <c r="AC29" s="13">
        <v>221</v>
      </c>
      <c r="AD29" s="18">
        <v>473</v>
      </c>
    </row>
    <row r="30" spans="1:30" ht="20.7" customHeight="1" x14ac:dyDescent="0.2">
      <c r="A30" s="20">
        <v>45594</v>
      </c>
      <c r="B30" s="10">
        <v>13128727</v>
      </c>
      <c r="C30" s="14">
        <f t="shared" si="3"/>
        <v>5492</v>
      </c>
      <c r="D30" s="11">
        <v>582618</v>
      </c>
      <c r="E30" s="14">
        <f t="shared" si="4"/>
        <v>869</v>
      </c>
      <c r="F30" s="27">
        <v>1704</v>
      </c>
      <c r="G30" s="74">
        <f t="shared" si="5"/>
        <v>0</v>
      </c>
      <c r="H30" s="76">
        <f t="shared" si="6"/>
        <v>6361</v>
      </c>
      <c r="I30" s="80">
        <f t="shared" si="7"/>
        <v>-39233.920000000006</v>
      </c>
      <c r="J30" s="32">
        <f t="shared" si="0"/>
        <v>245.27000000000407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>
        <v>0.51</v>
      </c>
      <c r="P30" s="93">
        <v>0.56000000000000005</v>
      </c>
      <c r="Q30" s="92">
        <v>0.41</v>
      </c>
      <c r="R30" s="93">
        <v>0.5</v>
      </c>
      <c r="S30" s="40">
        <f t="shared" si="8"/>
        <v>3130</v>
      </c>
      <c r="T30" s="38">
        <v>1697</v>
      </c>
      <c r="U30" s="32">
        <f t="shared" si="13"/>
        <v>137</v>
      </c>
      <c r="V30" s="44">
        <v>120375</v>
      </c>
      <c r="W30" s="32">
        <f t="shared" si="9"/>
        <v>77</v>
      </c>
      <c r="X30" s="47">
        <v>61108</v>
      </c>
      <c r="Y30" s="32">
        <f t="shared" si="10"/>
        <v>12</v>
      </c>
      <c r="Z30" s="50">
        <v>5760</v>
      </c>
      <c r="AA30" s="56">
        <v>0</v>
      </c>
      <c r="AB30" s="32">
        <f t="shared" si="11"/>
        <v>885</v>
      </c>
      <c r="AC30" s="13">
        <v>214</v>
      </c>
      <c r="AD30" s="18">
        <v>455</v>
      </c>
    </row>
    <row r="31" spans="1:30" ht="20.7" customHeight="1" x14ac:dyDescent="0.2">
      <c r="A31" s="20">
        <v>45595</v>
      </c>
      <c r="B31" s="10">
        <v>13134219</v>
      </c>
      <c r="C31" s="14">
        <f t="shared" si="3"/>
        <v>5760</v>
      </c>
      <c r="D31" s="11">
        <v>583487</v>
      </c>
      <c r="E31" s="14">
        <f t="shared" si="4"/>
        <v>848</v>
      </c>
      <c r="F31" s="27">
        <v>1704</v>
      </c>
      <c r="G31" s="74">
        <f t="shared" si="5"/>
        <v>0</v>
      </c>
      <c r="H31" s="76">
        <f t="shared" si="6"/>
        <v>6608</v>
      </c>
      <c r="I31" s="80">
        <f t="shared" si="7"/>
        <v>-38988.65</v>
      </c>
      <c r="J31" s="32">
        <f t="shared" si="0"/>
        <v>67.010000000002037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>
        <v>0.79</v>
      </c>
      <c r="P31" s="93">
        <v>0.76</v>
      </c>
      <c r="Q31" s="92">
        <v>0.86</v>
      </c>
      <c r="R31" s="93">
        <v>0.77</v>
      </c>
      <c r="S31" s="40">
        <f t="shared" si="8"/>
        <v>4690</v>
      </c>
      <c r="T31" s="38"/>
      <c r="U31" s="32">
        <f t="shared" si="13"/>
        <v>45</v>
      </c>
      <c r="V31" s="44">
        <v>120452</v>
      </c>
      <c r="W31" s="32">
        <f t="shared" si="9"/>
        <v>69</v>
      </c>
      <c r="X31" s="47">
        <v>61120</v>
      </c>
      <c r="Y31" s="32">
        <f t="shared" si="10"/>
        <v>13</v>
      </c>
      <c r="Z31" s="50">
        <v>4875</v>
      </c>
      <c r="AA31" s="56">
        <v>0</v>
      </c>
      <c r="AB31" s="32">
        <f t="shared" si="11"/>
        <v>895</v>
      </c>
      <c r="AC31" s="13">
        <v>210</v>
      </c>
      <c r="AD31" s="18">
        <v>448</v>
      </c>
    </row>
    <row r="32" spans="1:30" ht="20.7" customHeight="1" thickBot="1" x14ac:dyDescent="0.25">
      <c r="A32" s="20">
        <v>45596</v>
      </c>
      <c r="B32" s="10">
        <v>13139979</v>
      </c>
      <c r="C32" s="14">
        <f t="shared" si="3"/>
        <v>5944</v>
      </c>
      <c r="D32" s="11">
        <v>584335</v>
      </c>
      <c r="E32" s="14">
        <f t="shared" si="4"/>
        <v>732</v>
      </c>
      <c r="F32" s="27">
        <v>1704</v>
      </c>
      <c r="G32" s="74">
        <f t="shared" si="5"/>
        <v>0</v>
      </c>
      <c r="H32" s="76">
        <f t="shared" si="6"/>
        <v>6676</v>
      </c>
      <c r="I32" s="80">
        <f t="shared" si="7"/>
        <v>-38921.64</v>
      </c>
      <c r="J32" s="32">
        <f t="shared" si="0"/>
        <v>38921.64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>
        <v>0.78</v>
      </c>
      <c r="P32" s="93">
        <v>0.76</v>
      </c>
      <c r="Q32" s="92">
        <v>0.86</v>
      </c>
      <c r="R32" s="93">
        <v>0.73</v>
      </c>
      <c r="S32" s="40">
        <f t="shared" si="8"/>
        <v>4645</v>
      </c>
      <c r="T32" s="38"/>
      <c r="U32" s="32">
        <f t="shared" si="13"/>
        <v>120</v>
      </c>
      <c r="V32" s="44">
        <v>120521</v>
      </c>
      <c r="W32" s="32">
        <f t="shared" si="9"/>
        <v>88</v>
      </c>
      <c r="X32" s="47">
        <v>61133</v>
      </c>
      <c r="Y32" s="32">
        <f t="shared" si="10"/>
        <v>8</v>
      </c>
      <c r="Z32" s="50">
        <v>3980</v>
      </c>
      <c r="AA32" s="56">
        <v>0</v>
      </c>
      <c r="AB32" s="32">
        <f t="shared" si="11"/>
        <v>890</v>
      </c>
      <c r="AC32" s="60">
        <v>209</v>
      </c>
      <c r="AD32" s="61">
        <v>444</v>
      </c>
    </row>
    <row r="33" spans="1:30" ht="20.7" customHeight="1" thickTop="1" thickBot="1" x14ac:dyDescent="0.25">
      <c r="A33" s="20">
        <v>45597</v>
      </c>
      <c r="B33" s="57">
        <v>13145923</v>
      </c>
      <c r="C33" s="70"/>
      <c r="D33" s="69">
        <v>585067</v>
      </c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>
        <v>0.77</v>
      </c>
      <c r="P33" s="95">
        <v>0.74</v>
      </c>
      <c r="Q33" s="94">
        <v>0.79</v>
      </c>
      <c r="R33" s="95">
        <v>0.71</v>
      </c>
      <c r="S33" s="41">
        <f t="shared" si="8"/>
        <v>4525</v>
      </c>
      <c r="T33" s="58"/>
      <c r="U33" s="70"/>
      <c r="V33" s="67">
        <v>120609</v>
      </c>
      <c r="W33" s="70"/>
      <c r="X33" s="66">
        <v>61141</v>
      </c>
      <c r="Y33" s="70"/>
      <c r="Z33" s="64">
        <v>3090</v>
      </c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205183</v>
      </c>
      <c r="D34" s="84"/>
      <c r="E34" s="83">
        <f>SUM(E2:E33)</f>
        <v>28212</v>
      </c>
      <c r="F34" s="85"/>
      <c r="G34" s="83">
        <f>SUM(G2:G33)</f>
        <v>0</v>
      </c>
      <c r="H34" s="84">
        <f>SUM(H2:H33)</f>
        <v>233395</v>
      </c>
      <c r="I34" s="83">
        <f>SUM(I2:I32)</f>
        <v>-1179659.9699999997</v>
      </c>
      <c r="J34" s="83">
        <f>SUM(J2:J33)</f>
        <v>37367.65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3522.55</v>
      </c>
      <c r="U34" s="83">
        <f>SUM(U2:U33)</f>
        <v>3616.55</v>
      </c>
      <c r="V34" s="82"/>
      <c r="W34" s="83">
        <f>SUM(W2:W33)</f>
        <v>3184</v>
      </c>
      <c r="X34" s="82"/>
      <c r="Y34" s="83">
        <f>SUM(Y2:Y33)</f>
        <v>275</v>
      </c>
      <c r="Z34" s="82"/>
      <c r="AA34" s="82">
        <f>SUM(AA2:AA33)</f>
        <v>16370</v>
      </c>
      <c r="AB34" s="83">
        <f>SUM(AB2:AB33)</f>
        <v>-16625</v>
      </c>
      <c r="AC34" s="86">
        <f>SUM(AC2:AC33)</f>
        <v>6964</v>
      </c>
      <c r="AD34" s="87">
        <f>SUM(AD2:AD33)</f>
        <v>13744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2024-11-01T06:33:08Z</dcterms:modified>
  <cp:category/>
  <cp:contentStatus/>
</cp:coreProperties>
</file>