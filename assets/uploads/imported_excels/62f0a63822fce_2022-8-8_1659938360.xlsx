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8_{2DDB2A8F-B7FA-4404-A2D2-903E72B1A019}" xr6:coauthVersionLast="47" xr6:coauthVersionMax="47" xr10:uidLastSave="{00000000-0000-0000-0000-000000000000}"/>
  <bookViews>
    <workbookView xWindow="-120" yWindow="-120" windowWidth="20730" windowHeight="11160" tabRatio="960" firstSheet="5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'6'!$A$1:$J$199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31" l="1"/>
  <c r="F15" i="10"/>
  <c r="F15" i="9"/>
  <c r="F8" i="16"/>
  <c r="F7" i="20"/>
  <c r="F8" i="31"/>
  <c r="F7" i="31"/>
  <c r="F8" i="10"/>
  <c r="F7" i="10"/>
  <c r="F7" i="9"/>
  <c r="F8" i="9"/>
  <c r="E8" i="8"/>
  <c r="E9" i="8"/>
  <c r="E10" i="8"/>
  <c r="E11" i="8"/>
  <c r="E12" i="8"/>
  <c r="E129" i="8"/>
  <c r="E130" i="8"/>
  <c r="E131" i="8"/>
  <c r="E132" i="8"/>
  <c r="E133" i="8"/>
  <c r="E134" i="8"/>
  <c r="E83" i="7"/>
  <c r="E84" i="7"/>
  <c r="E85" i="7"/>
  <c r="E86" i="7"/>
  <c r="E87" i="7"/>
  <c r="E88" i="7"/>
  <c r="E89" i="7"/>
  <c r="E90" i="7"/>
  <c r="E91" i="7"/>
  <c r="E92" i="7"/>
  <c r="E178" i="33" l="1"/>
  <c r="E179" i="33"/>
  <c r="E180" i="33"/>
  <c r="E139" i="33"/>
  <c r="E140" i="33"/>
  <c r="E141" i="33"/>
  <c r="E142" i="33"/>
  <c r="E143" i="33"/>
  <c r="E144" i="33"/>
  <c r="E145" i="33"/>
  <c r="E146" i="33"/>
  <c r="E147" i="33"/>
  <c r="E148" i="33"/>
  <c r="E149" i="33"/>
  <c r="E150" i="33"/>
  <c r="E151" i="33"/>
  <c r="E152" i="33"/>
  <c r="E36" i="33"/>
  <c r="E37" i="33"/>
  <c r="E38" i="33"/>
  <c r="E39" i="33"/>
  <c r="E40" i="33"/>
  <c r="E41" i="33"/>
  <c r="E42" i="33"/>
  <c r="E43" i="33"/>
  <c r="E44" i="33"/>
  <c r="E45" i="33"/>
  <c r="E46" i="33"/>
  <c r="E29" i="31"/>
  <c r="E184" i="43"/>
  <c r="E185" i="43"/>
  <c r="E183" i="43"/>
  <c r="E86" i="43"/>
  <c r="F155" i="30"/>
  <c r="E19" i="40" l="1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83" i="21"/>
  <c r="E84" i="21"/>
  <c r="E85" i="21"/>
  <c r="E86" i="21"/>
  <c r="E87" i="21"/>
  <c r="E88" i="21"/>
  <c r="E89" i="21"/>
  <c r="E90" i="21"/>
  <c r="E91" i="21"/>
  <c r="E92" i="21"/>
  <c r="E162" i="21"/>
  <c r="E163" i="21"/>
  <c r="E164" i="21"/>
  <c r="E165" i="21"/>
  <c r="E166" i="21"/>
  <c r="E167" i="21"/>
  <c r="E168" i="21"/>
  <c r="E113" i="21"/>
  <c r="E114" i="21"/>
  <c r="E115" i="21"/>
  <c r="E116" i="21"/>
  <c r="E117" i="21"/>
  <c r="E118" i="21"/>
  <c r="E119" i="21"/>
  <c r="E120" i="21"/>
  <c r="E121" i="21"/>
  <c r="E122" i="21"/>
  <c r="E123" i="21"/>
  <c r="G50" i="21"/>
  <c r="E50" i="21"/>
  <c r="E51" i="21"/>
  <c r="E52" i="21"/>
  <c r="E53" i="21"/>
  <c r="E54" i="21"/>
  <c r="E55" i="21"/>
  <c r="E56" i="21"/>
  <c r="E57" i="21"/>
  <c r="E58" i="21"/>
  <c r="E18" i="21"/>
  <c r="F115" i="17"/>
  <c r="E115" i="18" s="1"/>
  <c r="E115" i="17"/>
  <c r="E138" i="16" l="1"/>
  <c r="E9" i="16"/>
  <c r="E178" i="15"/>
  <c r="E140" i="14"/>
  <c r="E140" i="13"/>
  <c r="E58" i="10"/>
  <c r="E130" i="10"/>
  <c r="E115" i="10"/>
  <c r="E78" i="10"/>
  <c r="E38" i="10"/>
  <c r="E39" i="10"/>
  <c r="E40" i="10"/>
  <c r="E41" i="10"/>
  <c r="E42" i="10"/>
  <c r="E43" i="10"/>
  <c r="E35" i="10"/>
  <c r="E10" i="10"/>
  <c r="E8" i="10"/>
  <c r="E9" i="10"/>
  <c r="E7" i="10"/>
  <c r="E83" i="9"/>
  <c r="E84" i="9"/>
  <c r="E85" i="9"/>
  <c r="E86" i="9"/>
  <c r="E87" i="9"/>
  <c r="E88" i="9"/>
  <c r="E89" i="9"/>
  <c r="E90" i="9"/>
  <c r="E91" i="9"/>
  <c r="E92" i="9"/>
  <c r="E57" i="3"/>
  <c r="E149" i="43"/>
  <c r="E140" i="29"/>
  <c r="E9" i="25"/>
  <c r="E10" i="25"/>
  <c r="E11" i="25"/>
  <c r="E12" i="25"/>
  <c r="E132" i="24"/>
  <c r="E133" i="24"/>
  <c r="E134" i="24"/>
  <c r="E129" i="24"/>
  <c r="E128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12" i="24"/>
  <c r="E55" i="24"/>
  <c r="E54" i="24"/>
  <c r="E50" i="24"/>
  <c r="E49" i="24"/>
  <c r="E42" i="24"/>
  <c r="E40" i="24"/>
  <c r="E39" i="24"/>
  <c r="E38" i="24"/>
  <c r="E37" i="24"/>
  <c r="E36" i="24"/>
  <c r="E9" i="24"/>
  <c r="E10" i="24"/>
  <c r="E161" i="22" l="1"/>
  <c r="E36" i="21"/>
  <c r="E37" i="21"/>
  <c r="E38" i="21"/>
  <c r="E39" i="21"/>
  <c r="E40" i="21"/>
  <c r="E41" i="21"/>
  <c r="E42" i="21"/>
  <c r="E43" i="21"/>
  <c r="E44" i="21"/>
  <c r="E45" i="21"/>
  <c r="E46" i="21"/>
  <c r="E9" i="21"/>
  <c r="E10" i="21"/>
  <c r="E11" i="21"/>
  <c r="E12" i="21"/>
  <c r="E50" i="20"/>
  <c r="E51" i="20"/>
  <c r="E52" i="20"/>
  <c r="E53" i="20"/>
  <c r="E54" i="20"/>
  <c r="E55" i="20"/>
  <c r="E56" i="20"/>
  <c r="E57" i="20"/>
  <c r="E58" i="20"/>
  <c r="E9" i="20"/>
  <c r="E10" i="20"/>
  <c r="E11" i="20"/>
  <c r="E12" i="20"/>
  <c r="E162" i="19"/>
  <c r="E163" i="19"/>
  <c r="E164" i="19"/>
  <c r="E165" i="19"/>
  <c r="E166" i="19"/>
  <c r="G166" i="19" s="1"/>
  <c r="E167" i="19"/>
  <c r="E168" i="19"/>
  <c r="E36" i="19"/>
  <c r="E37" i="19"/>
  <c r="E38" i="19"/>
  <c r="E39" i="19"/>
  <c r="E40" i="19"/>
  <c r="E41" i="19"/>
  <c r="E42" i="19"/>
  <c r="E43" i="19"/>
  <c r="E44" i="19"/>
  <c r="E45" i="19"/>
  <c r="E46" i="19"/>
  <c r="E35" i="19"/>
  <c r="E9" i="19"/>
  <c r="E10" i="19"/>
  <c r="E11" i="19"/>
  <c r="E12" i="19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66" i="17"/>
  <c r="E67" i="17"/>
  <c r="E68" i="17"/>
  <c r="E69" i="17"/>
  <c r="E70" i="17"/>
  <c r="E130" i="11" l="1"/>
  <c r="E115" i="11"/>
  <c r="E62" i="10"/>
  <c r="E49" i="10"/>
  <c r="E138" i="10"/>
  <c r="E8" i="9"/>
  <c r="G8" i="9" s="1"/>
  <c r="O9" i="9" s="1"/>
  <c r="E7" i="9"/>
  <c r="G7" i="9" s="1"/>
  <c r="E146" i="7" l="1"/>
  <c r="E115" i="7"/>
  <c r="F195" i="7"/>
  <c r="E195" i="7"/>
  <c r="E174" i="5"/>
  <c r="E175" i="5"/>
  <c r="E129" i="33"/>
  <c r="E130" i="33"/>
  <c r="E131" i="33"/>
  <c r="E132" i="33"/>
  <c r="E133" i="33"/>
  <c r="E134" i="33"/>
  <c r="E8" i="33"/>
  <c r="E9" i="33"/>
  <c r="E10" i="33"/>
  <c r="E11" i="33"/>
  <c r="E12" i="33"/>
  <c r="E8" i="5"/>
  <c r="E9" i="5"/>
  <c r="E10" i="5"/>
  <c r="E11" i="5"/>
  <c r="E12" i="5"/>
  <c r="E8" i="4"/>
  <c r="E9" i="4"/>
  <c r="E10" i="4"/>
  <c r="E11" i="4"/>
  <c r="E12" i="4"/>
  <c r="N15" i="31"/>
  <c r="N8" i="31"/>
  <c r="N7" i="31"/>
  <c r="J16" i="31" l="1"/>
  <c r="E123" i="29"/>
  <c r="E112" i="29"/>
  <c r="E113" i="29"/>
  <c r="E114" i="29"/>
  <c r="E115" i="29"/>
  <c r="E9" i="29"/>
  <c r="E10" i="29"/>
  <c r="E11" i="29"/>
  <c r="F191" i="27" l="1"/>
  <c r="E68" i="27"/>
  <c r="G68" i="27" s="1"/>
  <c r="E113" i="19"/>
  <c r="E114" i="19"/>
  <c r="E115" i="19"/>
  <c r="E116" i="19"/>
  <c r="E117" i="19"/>
  <c r="E118" i="19"/>
  <c r="E119" i="19"/>
  <c r="E120" i="19"/>
  <c r="E121" i="19"/>
  <c r="E122" i="19"/>
  <c r="E123" i="19"/>
  <c r="E66" i="19"/>
  <c r="E67" i="19"/>
  <c r="E68" i="19"/>
  <c r="E69" i="19"/>
  <c r="E70" i="19"/>
  <c r="E50" i="19"/>
  <c r="E51" i="19"/>
  <c r="E52" i="19"/>
  <c r="E53" i="19"/>
  <c r="E54" i="19"/>
  <c r="E55" i="19"/>
  <c r="E56" i="19"/>
  <c r="E57" i="19"/>
  <c r="E58" i="19"/>
  <c r="E29" i="18"/>
  <c r="E115" i="16"/>
  <c r="E139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56" i="15"/>
  <c r="E157" i="15"/>
  <c r="E158" i="15"/>
  <c r="E155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E157" i="14"/>
  <c r="E158" i="14"/>
  <c r="E155" i="14"/>
  <c r="E134" i="14"/>
  <c r="E10" i="14"/>
  <c r="E158" i="13"/>
  <c r="E157" i="13"/>
  <c r="E134" i="13"/>
  <c r="E50" i="13"/>
  <c r="E43" i="13"/>
  <c r="E118" i="12" l="1"/>
  <c r="E54" i="12"/>
  <c r="O8" i="12"/>
  <c r="P8" i="12" s="1"/>
  <c r="H159" i="10"/>
  <c r="J159" i="10" s="1"/>
  <c r="E7" i="8" l="1"/>
  <c r="G7" i="8" s="1"/>
  <c r="E7" i="7"/>
  <c r="E7" i="3" l="1"/>
  <c r="E129" i="30"/>
  <c r="E130" i="30"/>
  <c r="E131" i="30"/>
  <c r="E132" i="30"/>
  <c r="E133" i="30"/>
  <c r="E134" i="30"/>
  <c r="E9" i="30"/>
  <c r="E10" i="30"/>
  <c r="E11" i="30"/>
  <c r="E12" i="30"/>
  <c r="E41" i="27" l="1"/>
  <c r="E151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83" i="19"/>
  <c r="E84" i="19"/>
  <c r="E85" i="19"/>
  <c r="E86" i="19"/>
  <c r="E87" i="19"/>
  <c r="E88" i="19"/>
  <c r="E89" i="19"/>
  <c r="E90" i="19"/>
  <c r="E91" i="19"/>
  <c r="E92" i="19"/>
  <c r="E83" i="18"/>
  <c r="E84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E158" i="11" l="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36" i="10"/>
  <c r="E37" i="10"/>
  <c r="E44" i="10"/>
  <c r="E45" i="10"/>
  <c r="E46" i="10"/>
  <c r="G8" i="10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E157" i="7" l="1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9" i="27"/>
  <c r="E70" i="27"/>
  <c r="G152" i="30" l="1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1" i="11"/>
  <c r="E132" i="11"/>
  <c r="E134" i="11"/>
  <c r="E156" i="10"/>
  <c r="G156" i="10" s="1"/>
  <c r="G157" i="10"/>
  <c r="G158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149" i="20" l="1"/>
  <c r="G9" i="50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180" i="24"/>
  <c r="E56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14" i="18"/>
  <c r="H191" i="17"/>
  <c r="I191" i="17" s="1"/>
  <c r="K191" i="17" s="1"/>
  <c r="P15" i="17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49" i="20"/>
  <c r="E35" i="20"/>
  <c r="E23" i="20"/>
  <c r="E24" i="20"/>
  <c r="E22" i="20"/>
  <c r="J158" i="14" l="1"/>
  <c r="H158" i="15"/>
  <c r="J157" i="15"/>
  <c r="H157" i="16"/>
  <c r="E84" i="17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G2" i="48"/>
  <c r="E155" i="4"/>
  <c r="J158" i="16" l="1"/>
  <c r="H158" i="17"/>
  <c r="J157" i="17"/>
  <c r="H157" i="18"/>
  <c r="O11" i="2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G152" i="24"/>
  <c r="G151" i="24"/>
  <c r="Z27" i="44" s="1"/>
  <c r="G150" i="24"/>
  <c r="G149" i="24"/>
  <c r="G148" i="24"/>
  <c r="W27" i="44" s="1"/>
  <c r="G147" i="24"/>
  <c r="V27" i="44" s="1"/>
  <c r="G146" i="24"/>
  <c r="T27" i="44" s="1"/>
  <c r="G145" i="24"/>
  <c r="S27" i="44" s="1"/>
  <c r="G144" i="24"/>
  <c r="U27" i="44" s="1"/>
  <c r="G143" i="24"/>
  <c r="X27" i="44" s="1"/>
  <c r="G141" i="24"/>
  <c r="Q27" i="44" s="1"/>
  <c r="G142" i="24"/>
  <c r="R27" i="44" s="1"/>
  <c r="G134" i="24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G152" i="18"/>
  <c r="G151" i="18"/>
  <c r="Z21" i="44" s="1"/>
  <c r="G150" i="18"/>
  <c r="G149" i="18"/>
  <c r="G148" i="18"/>
  <c r="W21" i="44" s="1"/>
  <c r="G147" i="18"/>
  <c r="V21" i="44" s="1"/>
  <c r="G146" i="18"/>
  <c r="T21" i="44" s="1"/>
  <c r="G145" i="18"/>
  <c r="S21" i="44" s="1"/>
  <c r="G144" i="18"/>
  <c r="U21" i="44" s="1"/>
  <c r="G143" i="18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G146" i="7"/>
  <c r="T10" i="44" s="1"/>
  <c r="E145" i="7"/>
  <c r="G145" i="7" s="1"/>
  <c r="S10" i="44" s="1"/>
  <c r="E144" i="7"/>
  <c r="G144" i="7" s="1"/>
  <c r="U10" i="44" s="1"/>
  <c r="E143" i="7"/>
  <c r="G143" i="7" s="1"/>
  <c r="X10" i="44" s="1"/>
  <c r="G134" i="8"/>
  <c r="E134" i="7"/>
  <c r="G134" i="7" s="1"/>
  <c r="G152" i="33"/>
  <c r="G151" i="33"/>
  <c r="Z9" i="44" s="1"/>
  <c r="G150" i="33"/>
  <c r="G149" i="33"/>
  <c r="G148" i="33"/>
  <c r="W9" i="44" s="1"/>
  <c r="G147" i="33"/>
  <c r="V9" i="44" s="1"/>
  <c r="G146" i="33"/>
  <c r="T9" i="44" s="1"/>
  <c r="G145" i="33"/>
  <c r="S9" i="44" s="1"/>
  <c r="G144" i="33"/>
  <c r="U9" i="44" s="1"/>
  <c r="G143" i="33"/>
  <c r="X9" i="44" s="1"/>
  <c r="G134" i="33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75" i="24"/>
  <c r="E18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38" i="24"/>
  <c r="E131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38" i="22"/>
  <c r="E133" i="22"/>
  <c r="E131" i="22"/>
  <c r="E130" i="22"/>
  <c r="E129" i="22"/>
  <c r="E128" i="22"/>
  <c r="E92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G166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12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G55" i="21"/>
  <c r="E49" i="21"/>
  <c r="E35" i="21"/>
  <c r="E24" i="21"/>
  <c r="E23" i="21"/>
  <c r="E22" i="21"/>
  <c r="E185" i="19"/>
  <c r="E184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G67" i="19"/>
  <c r="E65" i="19"/>
  <c r="E64" i="19"/>
  <c r="E63" i="19"/>
  <c r="E62" i="19"/>
  <c r="E49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5" i="15"/>
  <c r="E184" i="15"/>
  <c r="E183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3" i="11"/>
  <c r="E22" i="11"/>
  <c r="E12" i="11"/>
  <c r="E11" i="11"/>
  <c r="E185" i="10"/>
  <c r="E184" i="10"/>
  <c r="E183" i="10"/>
  <c r="E180" i="10"/>
  <c r="E179" i="10"/>
  <c r="E178" i="10"/>
  <c r="G178" i="10" s="1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3" i="10"/>
  <c r="E132" i="10"/>
  <c r="E131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4" i="7"/>
  <c r="E113" i="7"/>
  <c r="E112" i="7"/>
  <c r="E82" i="7"/>
  <c r="E78" i="7"/>
  <c r="E77" i="7"/>
  <c r="E76" i="7"/>
  <c r="E75" i="7"/>
  <c r="E74" i="7"/>
  <c r="E70" i="7"/>
  <c r="E69" i="7"/>
  <c r="E68" i="7"/>
  <c r="E67" i="7"/>
  <c r="E66" i="7"/>
  <c r="E65" i="7"/>
  <c r="G65" i="7" s="1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38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35" i="33"/>
  <c r="E24" i="33"/>
  <c r="E23" i="33"/>
  <c r="E22" i="33"/>
  <c r="H124" i="5"/>
  <c r="E185" i="5"/>
  <c r="E184" i="5"/>
  <c r="E183" i="5"/>
  <c r="E180" i="5"/>
  <c r="E179" i="5"/>
  <c r="E178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33" i="3"/>
  <c r="E132" i="3"/>
  <c r="E131" i="3"/>
  <c r="E130" i="3"/>
  <c r="E129" i="3"/>
  <c r="E128" i="3"/>
  <c r="E74" i="3"/>
  <c r="G74" i="3" s="1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I7" i="3"/>
  <c r="J155" i="5" l="1"/>
  <c r="J155" i="4"/>
  <c r="H155" i="7"/>
  <c r="H155" i="8" s="1"/>
  <c r="J156" i="5"/>
  <c r="J156" i="4"/>
  <c r="I92" i="17"/>
  <c r="G27" i="2"/>
  <c r="G22" i="19"/>
  <c r="G24" i="19" s="1"/>
  <c r="E29" i="19" s="1"/>
  <c r="E24" i="19"/>
  <c r="G8" i="3"/>
  <c r="E27" i="3" s="1"/>
  <c r="G27" i="3" s="1"/>
  <c r="E15" i="4"/>
  <c r="E15" i="5" s="1"/>
  <c r="E15" i="33" s="1"/>
  <c r="E7" i="4"/>
  <c r="E7" i="5" s="1"/>
  <c r="E7" i="33" s="1"/>
  <c r="E10" i="7"/>
  <c r="E10" i="9" s="1"/>
  <c r="E10" i="11" s="1"/>
  <c r="E10" i="12" s="1"/>
  <c r="E10" i="13" s="1"/>
  <c r="G9" i="3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I16" i="31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AC13" i="45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29" i="18"/>
  <c r="G22" i="18"/>
  <c r="G18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AA16" i="1" s="1"/>
  <c r="G84" i="14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L21" i="45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47" i="10" l="1"/>
  <c r="AB23" i="45"/>
  <c r="G181" i="40"/>
  <c r="E31" i="18"/>
  <c r="G31" i="18" s="1"/>
  <c r="E10" i="17"/>
  <c r="E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6" i="15"/>
  <c r="G181" i="14"/>
  <c r="G189" i="14" s="1"/>
  <c r="G176" i="13"/>
  <c r="G181" i="13"/>
  <c r="G189" i="13" s="1"/>
  <c r="G186" i="12"/>
  <c r="G47" i="12"/>
  <c r="G71" i="11"/>
  <c r="G47" i="11"/>
  <c r="G186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89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N8" i="5" s="1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H8" i="4" l="1"/>
  <c r="N8" i="4"/>
  <c r="G60" i="10"/>
  <c r="G60" i="11"/>
  <c r="G60" i="40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G60" i="17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G9" i="7"/>
  <c r="G60" i="18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J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G104" i="2"/>
  <c r="H104" i="2" s="1"/>
  <c r="G96" i="2"/>
  <c r="H96" i="2" s="1"/>
  <c r="G79" i="4"/>
  <c r="G181" i="4"/>
  <c r="G189" i="4" s="1"/>
  <c r="G60" i="2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60" i="7" l="1"/>
  <c r="E27" i="8"/>
  <c r="G27" i="8" s="1"/>
  <c r="O8" i="8"/>
  <c r="H10" i="17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H20" i="7"/>
  <c r="G19" i="8"/>
  <c r="P9" i="9"/>
  <c r="G9" i="9"/>
  <c r="H9" i="9" s="1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H60" i="40" l="1"/>
  <c r="H60" i="27" s="1"/>
  <c r="H60" i="28" s="1"/>
  <c r="H60" i="29" s="1"/>
  <c r="H60" i="30" s="1"/>
  <c r="H60" i="43" s="1"/>
  <c r="H60" i="31" s="1"/>
  <c r="G10" i="20"/>
  <c r="E15" i="10"/>
  <c r="G15" i="10" s="1"/>
  <c r="G79" i="9"/>
  <c r="G80" i="9" s="1"/>
  <c r="E28" i="9"/>
  <c r="G28" i="9" s="1"/>
  <c r="H28" i="9" s="1"/>
  <c r="H15" i="9"/>
  <c r="H112" i="5"/>
  <c r="J112" i="5" s="1"/>
  <c r="J64" i="43"/>
  <c r="H71" i="31"/>
  <c r="J71" i="31" s="1"/>
  <c r="E19" i="9"/>
  <c r="G19" i="9" s="1"/>
  <c r="E27" i="10"/>
  <c r="G27" i="10" s="1"/>
  <c r="G187" i="8"/>
  <c r="E30" i="8"/>
  <c r="G30" i="8" s="1"/>
  <c r="G20" i="8"/>
  <c r="H20" i="8" s="1"/>
  <c r="H19" i="8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0" i="19" l="1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E28" i="10"/>
  <c r="G28" i="10" s="1"/>
  <c r="H28" i="10" s="1"/>
  <c r="G79" i="10"/>
  <c r="G80" i="10" s="1"/>
  <c r="H15" i="10"/>
  <c r="E15" i="11"/>
  <c r="F15" i="11" s="1"/>
  <c r="E8" i="11"/>
  <c r="F8" i="11" s="1"/>
  <c r="G9" i="10"/>
  <c r="H9" i="10" s="1"/>
  <c r="G7" i="10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7" i="10" l="1"/>
  <c r="N7" i="10"/>
  <c r="J112" i="33"/>
  <c r="H30" i="9"/>
  <c r="E7" i="11"/>
  <c r="F7" i="11" s="1"/>
  <c r="H32" i="9"/>
  <c r="G19" i="10"/>
  <c r="H19" i="10" s="1"/>
  <c r="E15" i="12"/>
  <c r="F15" i="12" s="1"/>
  <c r="G15" i="11"/>
  <c r="H15" i="11" s="1"/>
  <c r="H79" i="10"/>
  <c r="E9" i="11"/>
  <c r="E8" i="12"/>
  <c r="F8" i="12" s="1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F15" i="13" l="1"/>
  <c r="E15" i="14" s="1"/>
  <c r="E7" i="12"/>
  <c r="F7" i="12" s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32" i="10"/>
  <c r="H32" i="10" s="1"/>
  <c r="H30" i="10"/>
  <c r="G79" i="12"/>
  <c r="G80" i="12" s="1"/>
  <c r="E28" i="12"/>
  <c r="G28" i="12" s="1"/>
  <c r="H28" i="12" s="1"/>
  <c r="G15" i="13"/>
  <c r="H15" i="12"/>
  <c r="H79" i="11"/>
  <c r="H27" i="11"/>
  <c r="E9" i="13"/>
  <c r="G9" i="12"/>
  <c r="H9" i="12" s="1"/>
  <c r="G10" i="22"/>
  <c r="H10" i="22" s="1"/>
  <c r="E8" i="13"/>
  <c r="F8" i="13" s="1"/>
  <c r="E8" i="14" s="1"/>
  <c r="F8" i="14" s="1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F15" i="14" l="1"/>
  <c r="E15" i="15" s="1"/>
  <c r="F15" i="15" s="1"/>
  <c r="G7" i="12"/>
  <c r="I59" i="12" s="1"/>
  <c r="E7" i="13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G9" i="13"/>
  <c r="E9" i="14"/>
  <c r="E10" i="23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15" i="16" l="1"/>
  <c r="G15" i="15"/>
  <c r="G15" i="14"/>
  <c r="F7" i="13"/>
  <c r="E7" i="14" s="1"/>
  <c r="F7" i="14" s="1"/>
  <c r="H9" i="13"/>
  <c r="O9" i="13"/>
  <c r="G105" i="12"/>
  <c r="H105" i="12" s="1"/>
  <c r="G99" i="12"/>
  <c r="H99" i="12" s="1"/>
  <c r="H7" i="12"/>
  <c r="G97" i="12"/>
  <c r="H97" i="12" s="1"/>
  <c r="G103" i="12"/>
  <c r="H103" i="12" s="1"/>
  <c r="G95" i="12"/>
  <c r="H95" i="12" s="1"/>
  <c r="G101" i="12"/>
  <c r="H101" i="12" s="1"/>
  <c r="H30" i="11"/>
  <c r="G19" i="12"/>
  <c r="G79" i="14"/>
  <c r="E28" i="14"/>
  <c r="G28" i="14" s="1"/>
  <c r="H28" i="14" s="1"/>
  <c r="H15" i="14"/>
  <c r="H15" i="15" s="1"/>
  <c r="H79" i="13"/>
  <c r="J79" i="13" s="1"/>
  <c r="H27" i="13"/>
  <c r="E9" i="15"/>
  <c r="G9" i="14"/>
  <c r="E8" i="15"/>
  <c r="G8" i="14"/>
  <c r="E27" i="14" s="1"/>
  <c r="G27" i="14" s="1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E28" i="15" l="1"/>
  <c r="G28" i="15" s="1"/>
  <c r="G79" i="15"/>
  <c r="G80" i="15" s="1"/>
  <c r="H28" i="15"/>
  <c r="F15" i="16"/>
  <c r="G15" i="16" s="1"/>
  <c r="F8" i="15"/>
  <c r="G8" i="15" s="1"/>
  <c r="G7" i="13"/>
  <c r="H9" i="14"/>
  <c r="G7" i="14"/>
  <c r="H19" i="12"/>
  <c r="G187" i="12"/>
  <c r="E30" i="12"/>
  <c r="G30" i="12" s="1"/>
  <c r="G32" i="12" s="1"/>
  <c r="G20" i="12"/>
  <c r="H20" i="12" s="1"/>
  <c r="E19" i="13"/>
  <c r="G80" i="14"/>
  <c r="H79" i="14"/>
  <c r="G9" i="15"/>
  <c r="H27" i="14"/>
  <c r="H135" i="22"/>
  <c r="H135" i="23"/>
  <c r="H135" i="18"/>
  <c r="H135" i="19"/>
  <c r="H135" i="24"/>
  <c r="H135" i="20"/>
  <c r="H135" i="16"/>
  <c r="J135" i="16" s="1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G79" i="16" l="1"/>
  <c r="G80" i="16" s="1"/>
  <c r="E28" i="16"/>
  <c r="G28" i="16" s="1"/>
  <c r="E15" i="17"/>
  <c r="H28" i="16"/>
  <c r="H15" i="16"/>
  <c r="I59" i="13"/>
  <c r="G99" i="13"/>
  <c r="H99" i="13" s="1"/>
  <c r="G105" i="13"/>
  <c r="H105" i="13" s="1"/>
  <c r="G95" i="13"/>
  <c r="H95" i="13" s="1"/>
  <c r="G97" i="13"/>
  <c r="H97" i="13" s="1"/>
  <c r="G103" i="13"/>
  <c r="H103" i="13" s="1"/>
  <c r="G101" i="13"/>
  <c r="H101" i="13" s="1"/>
  <c r="H7" i="13"/>
  <c r="H7" i="14" s="1"/>
  <c r="H79" i="15"/>
  <c r="J79" i="15" s="1"/>
  <c r="J79" i="14"/>
  <c r="H9" i="15"/>
  <c r="E8" i="17"/>
  <c r="E10" i="40"/>
  <c r="E10" i="27" s="1"/>
  <c r="E10" i="28" s="1"/>
  <c r="E9" i="17"/>
  <c r="E9" i="18" s="1"/>
  <c r="H135" i="30"/>
  <c r="H135" i="29"/>
  <c r="H135" i="14"/>
  <c r="J135" i="14" s="1"/>
  <c r="J135" i="13"/>
  <c r="E7" i="15"/>
  <c r="F7" i="15" s="1"/>
  <c r="I59" i="14"/>
  <c r="G105" i="14"/>
  <c r="H105" i="14" s="1"/>
  <c r="G95" i="14"/>
  <c r="H95" i="14" s="1"/>
  <c r="G103" i="14"/>
  <c r="G97" i="14"/>
  <c r="G101" i="14"/>
  <c r="G99" i="14"/>
  <c r="H99" i="14" s="1"/>
  <c r="E27" i="15"/>
  <c r="G27" i="15" s="1"/>
  <c r="H27" i="15" s="1"/>
  <c r="G19" i="13"/>
  <c r="G187" i="13" s="1"/>
  <c r="H32" i="12"/>
  <c r="H30" i="12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F15" i="17" l="1"/>
  <c r="G15" i="17" s="1"/>
  <c r="F8" i="17"/>
  <c r="G8" i="17" s="1"/>
  <c r="H101" i="14"/>
  <c r="H97" i="14"/>
  <c r="H103" i="14"/>
  <c r="E8" i="18"/>
  <c r="H79" i="16"/>
  <c r="G9" i="16"/>
  <c r="H9" i="16" s="1"/>
  <c r="G10" i="24"/>
  <c r="H10" i="24" s="1"/>
  <c r="E7" i="16"/>
  <c r="F7" i="16" s="1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28" i="17" l="1"/>
  <c r="G28" i="17" s="1"/>
  <c r="H28" i="17" s="1"/>
  <c r="G79" i="17"/>
  <c r="G80" i="17" s="1"/>
  <c r="H80" i="17" s="1"/>
  <c r="E15" i="18"/>
  <c r="H79" i="17"/>
  <c r="H15" i="17"/>
  <c r="F8" i="18"/>
  <c r="E8" i="19" s="1"/>
  <c r="H10" i="25"/>
  <c r="H9" i="17"/>
  <c r="E7" i="17"/>
  <c r="F7" i="17" s="1"/>
  <c r="G7" i="16"/>
  <c r="G103" i="16" s="1"/>
  <c r="G7" i="15"/>
  <c r="G105" i="15" s="1"/>
  <c r="H105" i="15" s="1"/>
  <c r="E27" i="16"/>
  <c r="G27" i="16" s="1"/>
  <c r="H27" i="16" s="1"/>
  <c r="H30" i="13"/>
  <c r="G19" i="14"/>
  <c r="H19" i="14" s="1"/>
  <c r="E27" i="17"/>
  <c r="G27" i="17" s="1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F15" i="18" l="1"/>
  <c r="G15" i="18" s="1"/>
  <c r="F8" i="19"/>
  <c r="E8" i="20" s="1"/>
  <c r="E7" i="18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H27" i="17"/>
  <c r="H156" i="40"/>
  <c r="H156" i="27" s="1"/>
  <c r="H156" i="28" s="1"/>
  <c r="J156" i="25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G79" i="18" l="1"/>
  <c r="E28" i="18"/>
  <c r="G28" i="18" s="1"/>
  <c r="H28" i="18" s="1"/>
  <c r="E15" i="19"/>
  <c r="H15" i="18"/>
  <c r="F8" i="20"/>
  <c r="E8" i="21" s="1"/>
  <c r="F8" i="21" s="1"/>
  <c r="F7" i="18"/>
  <c r="E7" i="19" s="1"/>
  <c r="F7" i="19" s="1"/>
  <c r="G7" i="17"/>
  <c r="G101" i="17" s="1"/>
  <c r="G7" i="18"/>
  <c r="G95" i="18" s="1"/>
  <c r="H95" i="16"/>
  <c r="H99" i="16"/>
  <c r="H101" i="16"/>
  <c r="H97" i="16"/>
  <c r="E27" i="18"/>
  <c r="G27" i="18" s="1"/>
  <c r="H27" i="18" s="1"/>
  <c r="G19" i="15"/>
  <c r="G32" i="14"/>
  <c r="H32" i="14" s="1"/>
  <c r="H30" i="14"/>
  <c r="G15" i="31"/>
  <c r="E28" i="31" s="1"/>
  <c r="G8" i="19"/>
  <c r="H9" i="19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15" i="20" l="1"/>
  <c r="F15" i="20" s="1"/>
  <c r="F15" i="19"/>
  <c r="G15" i="19" s="1"/>
  <c r="G80" i="18"/>
  <c r="H79" i="18"/>
  <c r="G97" i="18"/>
  <c r="O11" i="18"/>
  <c r="G101" i="18"/>
  <c r="O8" i="18"/>
  <c r="G99" i="18"/>
  <c r="G105" i="18"/>
  <c r="G103" i="18"/>
  <c r="G99" i="17"/>
  <c r="H99" i="17" s="1"/>
  <c r="G103" i="17"/>
  <c r="H103" i="17" s="1"/>
  <c r="H101" i="17"/>
  <c r="G95" i="17"/>
  <c r="H95" i="17" s="1"/>
  <c r="H95" i="18" s="1"/>
  <c r="H7" i="17"/>
  <c r="H7" i="18" s="1"/>
  <c r="I59" i="17"/>
  <c r="G105" i="17"/>
  <c r="H105" i="17" s="1"/>
  <c r="H105" i="18" s="1"/>
  <c r="G97" i="17"/>
  <c r="H97" i="17" s="1"/>
  <c r="H97" i="18" s="1"/>
  <c r="I59" i="18"/>
  <c r="G95" i="19"/>
  <c r="E27" i="19"/>
  <c r="G27" i="19" s="1"/>
  <c r="H27" i="19" s="1"/>
  <c r="N8" i="19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G79" i="31"/>
  <c r="G80" i="31" s="1"/>
  <c r="G28" i="31"/>
  <c r="G9" i="20"/>
  <c r="H9" i="20" s="1"/>
  <c r="G10" i="27"/>
  <c r="H10" i="27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G79" i="19" l="1"/>
  <c r="G80" i="19" s="1"/>
  <c r="H80" i="19" s="1"/>
  <c r="E28" i="19"/>
  <c r="G28" i="19" s="1"/>
  <c r="H28" i="19" s="1"/>
  <c r="E15" i="21"/>
  <c r="F15" i="21" s="1"/>
  <c r="G15" i="20"/>
  <c r="H15" i="19"/>
  <c r="H15" i="20" s="1"/>
  <c r="H101" i="18"/>
  <c r="H99" i="18"/>
  <c r="H103" i="18"/>
  <c r="G99" i="19"/>
  <c r="G103" i="19"/>
  <c r="O8" i="19"/>
  <c r="G97" i="19"/>
  <c r="H97" i="19" s="1"/>
  <c r="H7" i="19"/>
  <c r="I59" i="19"/>
  <c r="H95" i="19"/>
  <c r="G101" i="19"/>
  <c r="G105" i="19"/>
  <c r="H105" i="19" s="1"/>
  <c r="E7" i="2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F8" i="22" s="1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79" i="20" l="1"/>
  <c r="G80" i="20" s="1"/>
  <c r="E28" i="20"/>
  <c r="G28" i="20" s="1"/>
  <c r="E15" i="22"/>
  <c r="F15" i="22" s="1"/>
  <c r="G15" i="21"/>
  <c r="H28" i="20"/>
  <c r="H79" i="19"/>
  <c r="H79" i="20" s="1"/>
  <c r="F7" i="21"/>
  <c r="E7" i="22" s="1"/>
  <c r="H101" i="19"/>
  <c r="H99" i="19"/>
  <c r="H103" i="19"/>
  <c r="G7" i="20"/>
  <c r="G8" i="21"/>
  <c r="E27" i="21" s="1"/>
  <c r="G27" i="21" s="1"/>
  <c r="H27" i="21" s="1"/>
  <c r="H30" i="16"/>
  <c r="G19" i="17"/>
  <c r="E9" i="23"/>
  <c r="G8" i="22"/>
  <c r="E27" i="22" s="1"/>
  <c r="G27" i="22" s="1"/>
  <c r="E8" i="23"/>
  <c r="F8" i="23" s="1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9" i="21" l="1"/>
  <c r="G80" i="21" s="1"/>
  <c r="E28" i="21"/>
  <c r="G28" i="21" s="1"/>
  <c r="H28" i="21" s="1"/>
  <c r="E15" i="23"/>
  <c r="F15" i="23" s="1"/>
  <c r="G15" i="22"/>
  <c r="H15" i="21"/>
  <c r="F7" i="22"/>
  <c r="E7" i="23" s="1"/>
  <c r="G7" i="2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E8" i="24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E28" i="22" l="1"/>
  <c r="G28" i="22" s="1"/>
  <c r="H28" i="22" s="1"/>
  <c r="G79" i="22"/>
  <c r="G80" i="22" s="1"/>
  <c r="H15" i="22"/>
  <c r="H15" i="23" s="1"/>
  <c r="E15" i="24"/>
  <c r="F15" i="24" s="1"/>
  <c r="G15" i="23"/>
  <c r="H79" i="21"/>
  <c r="H79" i="22" s="1"/>
  <c r="F7" i="23"/>
  <c r="E7" i="24" s="1"/>
  <c r="F8" i="24"/>
  <c r="E8" i="25" s="1"/>
  <c r="F8" i="25" s="1"/>
  <c r="G7" i="22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E30" i="18" s="1"/>
  <c r="G32" i="17"/>
  <c r="H32" i="17" s="1"/>
  <c r="H30" i="17"/>
  <c r="G9" i="24"/>
  <c r="E9" i="40"/>
  <c r="E9" i="27" s="1"/>
  <c r="E9" i="28" s="1"/>
  <c r="G8" i="24"/>
  <c r="E27" i="24" s="1"/>
  <c r="G27" i="24" s="1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79" i="23" l="1"/>
  <c r="G80" i="23" s="1"/>
  <c r="E28" i="23"/>
  <c r="G28" i="23" s="1"/>
  <c r="H28" i="23" s="1"/>
  <c r="E15" i="25"/>
  <c r="G15" i="24"/>
  <c r="H15" i="24"/>
  <c r="F7" i="24"/>
  <c r="E7" i="25" s="1"/>
  <c r="F7" i="25" s="1"/>
  <c r="G7" i="23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F8" i="40" s="1"/>
  <c r="H9" i="24"/>
  <c r="G20" i="18"/>
  <c r="H20" i="18" s="1"/>
  <c r="G187" i="18"/>
  <c r="H187" i="18" s="1"/>
  <c r="J187" i="18" s="1"/>
  <c r="G30" i="18"/>
  <c r="G32" i="18" s="1"/>
  <c r="H32" i="18" s="1"/>
  <c r="E19" i="19"/>
  <c r="H19" i="18"/>
  <c r="G9" i="25"/>
  <c r="G10" i="30"/>
  <c r="H10" i="30" s="1"/>
  <c r="H27" i="24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G79" i="24" l="1"/>
  <c r="G80" i="24" s="1"/>
  <c r="E28" i="24"/>
  <c r="G28" i="24" s="1"/>
  <c r="H28" i="24" s="1"/>
  <c r="E15" i="40"/>
  <c r="F15" i="40" s="1"/>
  <c r="F15" i="25"/>
  <c r="G15" i="25" s="1"/>
  <c r="H15" i="25" s="1"/>
  <c r="H79" i="23"/>
  <c r="H79" i="24" s="1"/>
  <c r="G7" i="24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F8" i="27" s="1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G79" i="25" l="1"/>
  <c r="G80" i="25" s="1"/>
  <c r="E28" i="25"/>
  <c r="G28" i="25" s="1"/>
  <c r="H28" i="25" s="1"/>
  <c r="E15" i="27"/>
  <c r="F15" i="27" s="1"/>
  <c r="G15" i="40"/>
  <c r="E8" i="28"/>
  <c r="F8" i="28" s="1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F7" i="40" s="1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E15" i="28" l="1"/>
  <c r="F15" i="28" s="1"/>
  <c r="G15" i="27"/>
  <c r="E28" i="40"/>
  <c r="G28" i="40" s="1"/>
  <c r="H28" i="40" s="1"/>
  <c r="G79" i="40"/>
  <c r="H79" i="25"/>
  <c r="J79" i="25" s="1"/>
  <c r="H15" i="40"/>
  <c r="E8" i="29"/>
  <c r="F8" i="29" s="1"/>
  <c r="G8" i="27"/>
  <c r="E27" i="27" s="1"/>
  <c r="G27" i="27" s="1"/>
  <c r="H27" i="27" s="1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E7" i="27"/>
  <c r="F7" i="27" s="1"/>
  <c r="G7" i="40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80" i="40" l="1"/>
  <c r="H79" i="40"/>
  <c r="G79" i="27"/>
  <c r="G80" i="27" s="1"/>
  <c r="E28" i="27"/>
  <c r="G28" i="27" s="1"/>
  <c r="H28" i="27" s="1"/>
  <c r="H15" i="27"/>
  <c r="E15" i="29"/>
  <c r="F15" i="29" s="1"/>
  <c r="G15" i="28"/>
  <c r="G8" i="28"/>
  <c r="E27" i="28" s="1"/>
  <c r="G27" i="28" s="1"/>
  <c r="H27" i="28" s="1"/>
  <c r="E8" i="30"/>
  <c r="G97" i="40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7" i="27"/>
  <c r="G32" i="20"/>
  <c r="H32" i="20" s="1"/>
  <c r="H9" i="28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G79" i="28" l="1"/>
  <c r="G80" i="28" s="1"/>
  <c r="H15" i="28"/>
  <c r="E28" i="28"/>
  <c r="G28" i="28" s="1"/>
  <c r="H28" i="28" s="1"/>
  <c r="E15" i="30"/>
  <c r="G15" i="29"/>
  <c r="H79" i="27"/>
  <c r="H79" i="28" s="1"/>
  <c r="F8" i="30"/>
  <c r="E8" i="43" s="1"/>
  <c r="F8" i="43" s="1"/>
  <c r="G8" i="29"/>
  <c r="E27" i="29" s="1"/>
  <c r="G27" i="29" s="1"/>
  <c r="H27" i="29" s="1"/>
  <c r="G99" i="27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E7" i="28"/>
  <c r="F7" i="28" s="1"/>
  <c r="G8" i="30"/>
  <c r="E27" i="30" s="1"/>
  <c r="G27" i="30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G79" i="29" l="1"/>
  <c r="G80" i="29" s="1"/>
  <c r="H15" i="29"/>
  <c r="E28" i="29"/>
  <c r="G28" i="29" s="1"/>
  <c r="H28" i="29" s="1"/>
  <c r="F15" i="30"/>
  <c r="G15" i="30" s="1"/>
  <c r="O15" i="29"/>
  <c r="O8" i="29"/>
  <c r="E7" i="29"/>
  <c r="F7" i="29" s="1"/>
  <c r="G9" i="43"/>
  <c r="H9" i="43" s="1"/>
  <c r="H9" i="50" s="1"/>
  <c r="J9" i="50" s="1"/>
  <c r="H27" i="30"/>
  <c r="G8" i="43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15" i="30" l="1"/>
  <c r="G79" i="30"/>
  <c r="E28" i="30"/>
  <c r="G28" i="30" s="1"/>
  <c r="H28" i="30" s="1"/>
  <c r="E15" i="43"/>
  <c r="F15" i="43" s="1"/>
  <c r="G15" i="43" s="1"/>
  <c r="H79" i="29"/>
  <c r="G7" i="28"/>
  <c r="O10" i="29"/>
  <c r="G7" i="29"/>
  <c r="O12" i="29" s="1"/>
  <c r="E7" i="30"/>
  <c r="E27" i="43"/>
  <c r="G27" i="43" s="1"/>
  <c r="H27" i="43" s="1"/>
  <c r="I59" i="29"/>
  <c r="G105" i="29"/>
  <c r="G8" i="31"/>
  <c r="E27" i="31" s="1"/>
  <c r="H32" i="23"/>
  <c r="H9" i="31"/>
  <c r="J9" i="31" s="1"/>
  <c r="H30" i="23"/>
  <c r="G19" i="24"/>
  <c r="AB25" i="49"/>
  <c r="G7" i="31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28" i="43" l="1"/>
  <c r="G28" i="43" s="1"/>
  <c r="H28" i="43" s="1"/>
  <c r="H28" i="31" s="1"/>
  <c r="G79" i="43"/>
  <c r="G80" i="43" s="1"/>
  <c r="H15" i="43"/>
  <c r="H15" i="31" s="1"/>
  <c r="J15" i="31" s="1"/>
  <c r="H79" i="30"/>
  <c r="H79" i="43" s="1"/>
  <c r="H79" i="31" s="1"/>
  <c r="G80" i="30"/>
  <c r="F7" i="30"/>
  <c r="G7" i="30" s="1"/>
  <c r="G99" i="28"/>
  <c r="H99" i="28" s="1"/>
  <c r="O11" i="28"/>
  <c r="E7" i="43"/>
  <c r="G101" i="29"/>
  <c r="G97" i="29"/>
  <c r="G103" i="29"/>
  <c r="G99" i="29"/>
  <c r="G103" i="28"/>
  <c r="H103" i="28" s="1"/>
  <c r="O9" i="28"/>
  <c r="G95" i="29"/>
  <c r="H7" i="28"/>
  <c r="H7" i="29" s="1"/>
  <c r="G95" i="28"/>
  <c r="H95" i="28" s="1"/>
  <c r="G101" i="28"/>
  <c r="H101" i="28" s="1"/>
  <c r="G97" i="28"/>
  <c r="H97" i="28" s="1"/>
  <c r="G105" i="28"/>
  <c r="H105" i="28" s="1"/>
  <c r="H105" i="29" s="1"/>
  <c r="I59" i="28"/>
  <c r="G27" i="31"/>
  <c r="H27" i="31" s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G105" i="30" l="1"/>
  <c r="G97" i="30"/>
  <c r="I59" i="30"/>
  <c r="G95" i="30"/>
  <c r="G103" i="30"/>
  <c r="G101" i="30"/>
  <c r="G99" i="30"/>
  <c r="H7" i="30"/>
  <c r="F7" i="43"/>
  <c r="G7" i="43" s="1"/>
  <c r="H99" i="29"/>
  <c r="H101" i="29"/>
  <c r="H97" i="29"/>
  <c r="H97" i="30" s="1"/>
  <c r="H95" i="29"/>
  <c r="H95" i="30" s="1"/>
  <c r="H103" i="29"/>
  <c r="H103" i="30" s="1"/>
  <c r="H105" i="30"/>
  <c r="H30" i="24"/>
  <c r="H19" i="25"/>
  <c r="E30" i="25"/>
  <c r="G30" i="25" s="1"/>
  <c r="G187" i="25"/>
  <c r="H187" i="25" s="1"/>
  <c r="J187" i="25" s="1"/>
  <c r="G20" i="25"/>
  <c r="H20" i="25" s="1"/>
  <c r="AU35" i="44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01" i="43" l="1"/>
  <c r="G95" i="43"/>
  <c r="H7" i="43"/>
  <c r="G99" i="43"/>
  <c r="I59" i="43"/>
  <c r="G97" i="43"/>
  <c r="H97" i="43" s="1"/>
  <c r="J97" i="43" s="1"/>
  <c r="G105" i="43"/>
  <c r="G103" i="43"/>
  <c r="H103" i="43" s="1"/>
  <c r="J103" i="43" s="1"/>
  <c r="H101" i="30"/>
  <c r="H99" i="30"/>
  <c r="H101" i="43"/>
  <c r="J101" i="43" s="1"/>
  <c r="H99" i="43"/>
  <c r="H99" i="31" s="1"/>
  <c r="J99" i="31" s="1"/>
  <c r="H95" i="43"/>
  <c r="H95" i="31" s="1"/>
  <c r="J95" i="31" s="1"/>
  <c r="H105" i="43"/>
  <c r="H105" i="31" s="1"/>
  <c r="J105" i="31" s="1"/>
  <c r="G32" i="25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101" i="31" l="1"/>
  <c r="J101" i="31" s="1"/>
  <c r="H97" i="31"/>
  <c r="J97" i="31" s="1"/>
  <c r="J99" i="43"/>
  <c r="J95" i="43"/>
  <c r="H103" i="31"/>
  <c r="J103" i="31" s="1"/>
  <c r="J105" i="43"/>
  <c r="G187" i="40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9" i="27" l="1"/>
  <c r="G187" i="27"/>
  <c r="G20" i="27"/>
  <c r="H20" i="27" s="1"/>
  <c r="E30" i="27"/>
  <c r="G30" i="27" s="1"/>
  <c r="H187" i="27"/>
  <c r="J187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9" l="1"/>
  <c r="N13" i="29" s="1"/>
  <c r="G13" i="16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43"/>
  <c r="G13" i="10"/>
  <c r="G13" i="28"/>
  <c r="N13" i="28" s="1"/>
  <c r="G13" i="9"/>
  <c r="G13" i="21"/>
  <c r="G13" i="27"/>
  <c r="N13" i="27" s="1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H8" i="43" s="1"/>
  <c r="J8" i="30" l="1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<sst xmlns="http://schemas.openxmlformats.org/spreadsheetml/2006/main" count="10752" uniqueCount="379">
  <si>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</si>
  <si>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</si>
  <si>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</si>
  <si>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</si>
  <si>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</si>
  <si>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</si>
  <si>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</si>
  <si>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</si>
  <si>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</si>
  <si>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</si>
  <si>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</si>
  <si>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</si>
  <si>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</si>
  <si>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</si>
  <si>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</si>
  <si>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</si>
  <si>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</si>
  <si>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</si>
  <si>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</si>
  <si>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</si>
  <si>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</si>
  <si>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</si>
  <si>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</si>
  <si>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</si>
  <si>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</si>
  <si>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</si>
  <si>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</si>
  <si>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</si>
  <si>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</si>
  <si>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</si>
  <si>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</si>
  <si>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</si>
  <si>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</si>
  <si>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</si>
  <si>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</si>
  <si>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</si>
  <si>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</si>
  <si>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</si>
  <si>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</si>
  <si>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</si>
  <si>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</si>
  <si>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</si>
  <si>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</si>
  <si>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</si>
  <si>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</si>
  <si>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</si>
  <si>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</si>
  <si>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</si>
  <si>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</si>
  <si>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</si>
  <si>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</si>
  <si>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</si>
  <si>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</si>
  <si>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</si>
  <si>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</si>
  <si>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</si>
  <si>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</si>
  <si>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</si>
  <si>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</si>
  <si>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</si>
  <si>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</si>
  <si>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</si>
  <si>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</si>
  <si>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</si>
  <si>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</si>
  <si>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</si>
  <si>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</si>
  <si>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</si>
  <si>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</si>
  <si>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</si>
  <si>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</si>
  <si>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</si>
  <si>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</si>
  <si>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</si>
  <si>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</si>
  <si>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</si>
  <si>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</si>
  <si>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</si>
  <si>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</si>
  <si>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</si>
  <si>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</si>
  <si>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</si>
  <si>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</si>
  <si>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</si>
  <si>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</si>
  <si>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</si>
  <si>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</si>
  <si>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</si>
  <si>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</si>
  <si>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</si>
  <si>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</si>
  <si>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</si>
  <si>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</si>
  <si>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</si>
  <si>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</si>
  <si>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</si>
  <si>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</si>
  <si>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</si>
  <si>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</si>
  <si>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</si>
  <si>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</si>
  <si>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</si>
  <si>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</si>
  <si>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</si>
  <si>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</si>
  <si>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</si>
  <si>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</si>
  <si>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</si>
  <si>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</si>
  <si>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</si>
  <si>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</si>
  <si>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</si>
  <si>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</si>
  <si>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</si>
  <si>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</si>
  <si>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</si>
  <si>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</si>
  <si>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</si>
  <si>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</si>
  <si>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</si>
  <si>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</si>
  <si>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</si>
  <si>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</si>
  <si>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</si>
  <si>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</si>
  <si>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</si>
  <si>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</si>
  <si>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</si>
  <si>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</si>
  <si>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</si>
  <si>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</si>
  <si>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</si>
  <si>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</si>
  <si>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</si>
  <si>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</si>
  <si>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</si>
  <si>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</si>
  <si>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</si>
  <si>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</si>
  <si>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</si>
  <si>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</si>
  <si>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</si>
  <si>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</si>
  <si>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</si>
  <si>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</si>
  <si>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</si>
  <si>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</si>
  <si>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</si>
  <si>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</si>
  <si>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</si>
  <si>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</si>
  <si>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</si>
  <si>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</si>
  <si>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</si>
  <si>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</si>
  <si>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</si>
  <si>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</si>
  <si>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</si>
  <si>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</si>
  <si>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</si>
  <si>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</si>
  <si>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</si>
  <si>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</si>
  <si>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</si>
  <si>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</si>
  <si>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</si>
  <si>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</si>
  <si>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</si>
  <si>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</si>
  <si>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</si>
  <si>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</si>
  <si>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</si>
  <si>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</si>
  <si>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</si>
  <si>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</si>
  <si>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</si>
  <si>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</si>
  <si>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</si>
  <si>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</si>
  <si>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</si>
  <si>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</si>
  <si>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</si>
  <si>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</si>
  <si>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</si>
  <si>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</si>
  <si>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</si>
  <si>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</si>
  <si>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</si>
  <si>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</si>
  <si>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</si>
  <si>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</si>
  <si>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</si>
  <si>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</si>
  <si>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</si>
  <si>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</si>
  <si>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</si>
  <si>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</si>
  <si>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</si>
  <si>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</si>
  <si>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</si>
  <si>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</si>
  <si>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</si>
  <si>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</si>
  <si>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</si>
  <si>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</si>
  <si>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</si>
  <si>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</si>
  <si>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</si>
  <si>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</si>
  <si>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</si>
  <si>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</si>
  <si>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</si>
  <si>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</si>
  <si>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</si>
  <si>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</si>
  <si>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</si>
  <si>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</si>
  <si>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</si>
  <si>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</si>
  <si>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</si>
  <si>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</si>
  <si>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</si>
  <si>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</si>
  <si>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</si>
  <si>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</si>
  <si>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</si>
  <si>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</si>
  <si>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</si>
  <si>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</si>
  <si>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</si>
  <si>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</si>
  <si>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</si>
  <si>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</si>
  <si>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</si>
  <si>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</si>
  <si>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</si>
  <si>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</si>
  <si>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</si>
  <si>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</si>
  <si>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</si>
  <si>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</si>
  <si>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</si>
  <si>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</si>
  <si>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</si>
  <si>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</si>
  <si>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</si>
  <si>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</si>
  <si>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</si>
  <si>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</si>
  <si>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</si>
  <si>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</si>
  <si>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</si>
  <si>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</si>
  <si>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</si>
  <si>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</si>
  <si>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</si>
  <si>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</si>
  <si>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</si>
  <si>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</si>
  <si>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</si>
  <si>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</si>
  <si>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</si>
  <si>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</si>
  <si>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</si>
  <si>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</si>
  <si>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</si>
  <si>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</si>
  <si>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</si>
  <si>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</si>
  <si>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</si>
  <si>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</si>
  <si>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</si>
  <si>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</si>
  <si>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</si>
  <si>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</si>
  <si>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</si>
  <si>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</si>
  <si>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</si>
  <si>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</si>
  <si>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</si>
  <si>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</si>
  <si>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</si>
  <si>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</si>
  <si>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</si>
  <si>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</si>
  <si>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</si>
  <si>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</si>
  <si>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</si>
  <si>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</si>
  <si>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</si>
  <si>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</si>
  <si>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</si>
  <si>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</si>
  <si>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</si>
  <si>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</si>
  <si>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</si>
  <si>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</si>
  <si>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</si>
  <si>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</si>
  <si>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</si>
  <si>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</si>
  <si>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</si>
  <si>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</si>
  <si>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</si>
  <si>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</si>
  <si>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</si>
  <si>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</si>
  <si>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</si>
  <si>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</si>
  <si>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</si>
  <si>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</si>
  <si>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</si>
  <si>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</si>
  <si>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</si>
  <si>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</si>
  <si>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</si>
  <si>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</si>
  <si>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</si>
  <si>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</si>
  <si>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</si>
  <si>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</si>
  <si>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</si>
  <si>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</si>
  <si>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</si>
  <si>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</si>
  <si>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</si>
  <si>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</si>
  <si>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</si>
  <si>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</si>
  <si>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</si>
  <si>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</si>
  <si>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</si>
  <si>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</si>
  <si>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</si>
  <si>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</si>
  <si>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</si>
  <si>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</si>
  <si>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</si>
  <si>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</si>
  <si>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</si>
  <si>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</si>
  <si>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</si>
  <si>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</si>
  <si>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</si>
  <si>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</si>
  <si>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</si>
  <si>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</si>
  <si>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</si>
  <si>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</si>
  <si>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</si>
  <si>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</si>
  <si>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</si>
  <si>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</si>
  <si>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</si>
  <si>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</si>
  <si>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</si>
  <si>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</si>
  <si>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</si>
  <si>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</si>
  <si>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</si>
  <si>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</si>
  <si>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</si>
  <si>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</si>
  <si>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</si>
  <si>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</si>
  <si>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</si>
  <si>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</si>
  <si>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</si>
  <si>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</si>
  <si>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</si>
  <si>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Prepaired by---Prakash</t>
  </si>
  <si>
    <t xml:space="preserve">            </t>
  </si>
  <si>
    <t>need to check tonight.</t>
  </si>
  <si>
    <t>Meter Reset</t>
  </si>
  <si>
    <t>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</si>
  <si>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</si>
  <si>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</si>
  <si>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>Prepaired by--- ramesh</t>
  </si>
  <si>
    <t>Prepaired by---Ramesh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</si>
</sst>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  <numFmt numFmtId="174" formatCode="_ * #,##0_ ;_ * \-#,##0_ ;_ * &quot;-&quot;??_ ;_ @_ "/>
  </numFmts>
  <fonts count="8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3" fillId="0" borderId="0" applyFont="0" applyFill="0" applyBorder="0" applyAlignment="0" applyProtection="0"/>
  </cellStyleXfs>
  <cellXfs count="1002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7" fillId="0" borderId="0" xfId="0" applyFont="1"/>
    <xf numFmtId="168" fontId="78" fillId="9" borderId="16" xfId="3" applyNumberFormat="1" applyFont="1" applyFill="1" applyBorder="1" applyAlignment="1">
      <alignment horizontal="left"/>
    </xf>
    <xf numFmtId="9" fontId="78" fillId="9" borderId="16" xfId="3" applyNumberFormat="1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166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6" fontId="78" fillId="8" borderId="12" xfId="3" applyNumberFormat="1" applyFont="1" applyFill="1" applyBorder="1" applyAlignment="1">
      <alignment horizontal="center" wrapText="1" shrinkToFit="1"/>
    </xf>
    <xf numFmtId="166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9" fontId="78" fillId="8" borderId="16" xfId="3" applyNumberFormat="1" applyFont="1" applyFill="1" applyBorder="1" applyAlignment="1">
      <alignment vertical="center"/>
    </xf>
    <xf numFmtId="1" fontId="83" fillId="2" borderId="0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8" fillId="2" borderId="16" xfId="3" applyFont="1" applyFill="1" applyBorder="1" applyAlignment="1">
      <alignment horizontal="left" vertical="center"/>
    </xf>
    <xf numFmtId="0" fontId="78" fillId="13" borderId="16" xfId="3" applyFont="1" applyFill="1" applyBorder="1" applyAlignment="1">
      <alignment horizontal="center" vertical="center"/>
    </xf>
    <xf numFmtId="0" fontId="84" fillId="2" borderId="13" xfId="3" applyFont="1" applyFill="1" applyBorder="1" applyAlignment="1">
      <alignment horizontal="center"/>
    </xf>
    <xf numFmtId="0" fontId="84" fillId="13" borderId="13" xfId="3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6" xfId="3" applyNumberFormat="1" applyFont="1" applyFill="1" applyBorder="1" applyAlignment="1">
      <alignment horizontal="left" vertical="center"/>
    </xf>
    <xf numFmtId="0" fontId="83" fillId="2" borderId="0" xfId="3" applyFont="1" applyFill="1" applyBorder="1" applyAlignment="1">
      <alignment horizontal="center" vertical="center"/>
    </xf>
    <xf numFmtId="166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3" fillId="2" borderId="0" xfId="3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7" fillId="0" borderId="0" xfId="4" applyFont="1"/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1" fontId="77" fillId="0" borderId="0" xfId="0" applyNumberFormat="1" applyFont="1" applyFill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0" fontId="85" fillId="0" borderId="16" xfId="4" applyFont="1" applyFill="1" applyBorder="1"/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1" xfId="0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71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81" fillId="0" borderId="1" xfId="0" applyFont="1" applyBorder="1" applyAlignment="1">
      <alignment horizontal="center"/>
    </xf>
    <xf numFmtId="38" fontId="81" fillId="0" borderId="1" xfId="0" applyNumberFormat="1" applyFont="1" applyBorder="1" applyAlignment="1">
      <alignment horizontal="center"/>
    </xf>
    <xf numFmtId="0" fontId="78" fillId="8" borderId="1" xfId="3" applyFont="1" applyFill="1" applyBorder="1" applyAlignment="1">
      <alignment horizontal="left" vertical="center"/>
    </xf>
    <xf numFmtId="1" fontId="78" fillId="0" borderId="1" xfId="5" applyNumberFormat="1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1" fontId="78" fillId="8" borderId="12" xfId="5" applyNumberFormat="1" applyFont="1" applyFill="1" applyBorder="1" applyAlignment="1" applyProtection="1">
      <alignment horizontal="center"/>
    </xf>
    <xf numFmtId="0" fontId="78" fillId="8" borderId="5" xfId="3" applyFont="1" applyFill="1" applyBorder="1" applyAlignment="1">
      <alignment horizontal="left" vertical="center"/>
    </xf>
    <xf numFmtId="0" fontId="78" fillId="8" borderId="10" xfId="3" applyFont="1" applyFill="1" applyBorder="1" applyAlignment="1">
      <alignment horizontal="left" vertical="center"/>
    </xf>
    <xf numFmtId="1" fontId="78" fillId="2" borderId="7" xfId="3" applyNumberFormat="1" applyFont="1" applyFill="1" applyBorder="1" applyAlignment="1">
      <alignment horizontal="center"/>
    </xf>
    <xf numFmtId="169" fontId="78" fillId="8" borderId="1" xfId="3" applyNumberFormat="1" applyFont="1" applyFill="1" applyBorder="1" applyAlignment="1">
      <alignment vertical="center"/>
    </xf>
    <xf numFmtId="1" fontId="78" fillId="0" borderId="1" xfId="4" applyNumberFormat="1" applyFont="1" applyBorder="1" applyAlignment="1">
      <alignment horizontal="center"/>
    </xf>
    <xf numFmtId="1" fontId="78" fillId="2" borderId="1" xfId="5" applyNumberFormat="1" applyFont="1" applyFill="1" applyBorder="1" applyAlignment="1">
      <alignment horizontal="center"/>
    </xf>
    <xf numFmtId="0" fontId="78" fillId="13" borderId="1" xfId="3" applyFont="1" applyFill="1" applyBorder="1" applyAlignment="1">
      <alignment horizontal="center"/>
    </xf>
    <xf numFmtId="1" fontId="78" fillId="12" borderId="1" xfId="3" applyNumberFormat="1" applyFont="1" applyFill="1" applyBorder="1" applyAlignment="1">
      <alignment horizontal="center"/>
    </xf>
    <xf numFmtId="1" fontId="81" fillId="12" borderId="1" xfId="3" applyNumberFormat="1" applyFont="1" applyFill="1" applyBorder="1" applyAlignment="1">
      <alignment horizontal="center"/>
    </xf>
    <xf numFmtId="1" fontId="78" fillId="12" borderId="12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left"/>
    </xf>
    <xf numFmtId="1" fontId="86" fillId="2" borderId="1" xfId="4" applyNumberFormat="1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left" vertical="center"/>
    </xf>
    <xf numFmtId="0" fontId="78" fillId="2" borderId="1" xfId="3" applyFont="1" applyFill="1" applyBorder="1" applyAlignment="1">
      <alignment horizontal="center"/>
    </xf>
    <xf numFmtId="1" fontId="78" fillId="2" borderId="1" xfId="4" applyNumberFormat="1" applyFont="1" applyFill="1" applyBorder="1" applyAlignment="1">
      <alignment horizontal="center"/>
    </xf>
    <xf numFmtId="1" fontId="78" fillId="2" borderId="12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8" fillId="2" borderId="1" xfId="5" applyNumberFormat="1" applyFont="1" applyFill="1" applyBorder="1" applyAlignment="1" applyProtection="1">
      <alignment horizontal="center"/>
    </xf>
    <xf numFmtId="0" fontId="78" fillId="13" borderId="1" xfId="3" applyFont="1" applyFill="1" applyBorder="1" applyAlignment="1">
      <alignment horizontal="center" vertical="center"/>
    </xf>
    <xf numFmtId="1" fontId="87" fillId="2" borderId="1" xfId="4" applyNumberFormat="1" applyFont="1" applyFill="1" applyBorder="1" applyAlignment="1">
      <alignment horizontal="center"/>
    </xf>
    <xf numFmtId="1" fontId="85" fillId="12" borderId="1" xfId="3" applyNumberFormat="1" applyFont="1" applyFill="1" applyBorder="1" applyAlignment="1">
      <alignment horizontal="center"/>
    </xf>
    <xf numFmtId="0" fontId="84" fillId="2" borderId="3" xfId="3" applyFont="1" applyFill="1" applyBorder="1" applyAlignment="1">
      <alignment horizontal="center"/>
    </xf>
    <xf numFmtId="0" fontId="84" fillId="2" borderId="4" xfId="3" applyFont="1" applyFill="1" applyBorder="1" applyAlignment="1">
      <alignment horizontal="center"/>
    </xf>
    <xf numFmtId="164" fontId="84" fillId="8" borderId="1" xfId="8" applyFont="1" applyFill="1" applyBorder="1" applyAlignment="1">
      <alignment horizontal="center"/>
    </xf>
    <xf numFmtId="1" fontId="84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0" fontId="84" fillId="8" borderId="1" xfId="3" applyFont="1" applyFill="1" applyBorder="1" applyAlignment="1">
      <alignment horizontal="center"/>
    </xf>
    <xf numFmtId="1" fontId="81" fillId="8" borderId="1" xfId="5" applyNumberFormat="1" applyFont="1" applyFill="1" applyBorder="1" applyAlignment="1" applyProtection="1">
      <alignment horizontal="center"/>
    </xf>
    <xf numFmtId="1" fontId="85" fillId="8" borderId="1" xfId="5" applyNumberFormat="1" applyFont="1" applyFill="1" applyBorder="1" applyAlignment="1" applyProtection="1">
      <alignment horizontal="center"/>
    </xf>
    <xf numFmtId="0" fontId="84" fillId="13" borderId="3" xfId="3" applyFont="1" applyFill="1" applyBorder="1" applyAlignment="1">
      <alignment horizontal="center"/>
    </xf>
    <xf numFmtId="0" fontId="84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43" fontId="78" fillId="8" borderId="1" xfId="19" applyFont="1" applyFill="1" applyBorder="1" applyAlignment="1">
      <alignment horizontal="center"/>
    </xf>
    <xf numFmtId="43" fontId="87" fillId="2" borderId="1" xfId="19" applyFont="1" applyFill="1" applyBorder="1" applyAlignment="1">
      <alignment horizontal="center"/>
    </xf>
    <xf numFmtId="43" fontId="78" fillId="8" borderId="12" xfId="19" applyFont="1" applyFill="1" applyBorder="1" applyAlignment="1" applyProtection="1">
      <alignment horizontal="center"/>
    </xf>
    <xf numFmtId="0" fontId="75" fillId="17" borderId="3" xfId="3" applyFont="1" applyFill="1" applyBorder="1" applyAlignment="1">
      <alignment vertical="justify"/>
    </xf>
    <xf numFmtId="1" fontId="75" fillId="17" borderId="3" xfId="3" applyNumberFormat="1" applyFont="1" applyFill="1" applyBorder="1" applyAlignment="1">
      <alignment horizontal="center"/>
    </xf>
    <xf numFmtId="1" fontId="75" fillId="17" borderId="21" xfId="3" applyNumberFormat="1" applyFont="1" applyFill="1" applyBorder="1" applyAlignment="1">
      <alignment horizontal="center"/>
    </xf>
    <xf numFmtId="0" fontId="78" fillId="12" borderId="1" xfId="3" applyFont="1" applyFill="1" applyBorder="1" applyAlignment="1">
      <alignment horizontal="left"/>
    </xf>
    <xf numFmtId="2" fontId="78" fillId="8" borderId="1" xfId="3" applyNumberFormat="1" applyFont="1" applyFill="1" applyBorder="1" applyAlignment="1">
      <alignment horizontal="left" vertical="center"/>
    </xf>
    <xf numFmtId="1" fontId="78" fillId="8" borderId="1" xfId="3" applyNumberFormat="1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left" vertical="justify"/>
    </xf>
    <xf numFmtId="0" fontId="78" fillId="17" borderId="1" xfId="3" applyFont="1" applyFill="1" applyBorder="1" applyAlignment="1">
      <alignment horizontal="center"/>
    </xf>
    <xf numFmtId="1" fontId="78" fillId="17" borderId="1" xfId="3" applyNumberFormat="1" applyFont="1" applyFill="1" applyBorder="1" applyAlignment="1">
      <alignment horizontal="center"/>
    </xf>
    <xf numFmtId="1" fontId="81" fillId="17" borderId="1" xfId="3" applyNumberFormat="1" applyFont="1" applyFill="1" applyBorder="1" applyAlignment="1">
      <alignment horizontal="center"/>
    </xf>
    <xf numFmtId="1" fontId="78" fillId="17" borderId="12" xfId="3" applyNumberFormat="1" applyFont="1" applyFill="1" applyBorder="1" applyAlignment="1">
      <alignment horizontal="center"/>
    </xf>
    <xf numFmtId="0" fontId="86" fillId="0" borderId="1" xfId="4" applyFont="1" applyBorder="1" applyAlignment="1">
      <alignment horizontal="center"/>
    </xf>
    <xf numFmtId="38" fontId="78" fillId="2" borderId="1" xfId="5" applyNumberFormat="1" applyFont="1" applyFill="1" applyBorder="1" applyAlignment="1">
      <alignment horizontal="center"/>
    </xf>
    <xf numFmtId="38" fontId="81" fillId="2" borderId="1" xfId="3" applyNumberFormat="1" applyFont="1" applyFill="1" applyBorder="1" applyAlignment="1">
      <alignment horizontal="center"/>
    </xf>
    <xf numFmtId="165" fontId="78" fillId="8" borderId="1" xfId="7" applyFont="1" applyFill="1" applyBorder="1" applyAlignment="1">
      <alignment horizontal="center" wrapText="1"/>
    </xf>
    <xf numFmtId="0" fontId="81" fillId="0" borderId="1" xfId="0" applyFont="1" applyBorder="1" applyAlignment="1">
      <alignment horizontal="left"/>
    </xf>
    <xf numFmtId="0" fontId="81" fillId="0" borderId="0" xfId="0" applyFont="1" applyBorder="1" applyAlignment="1">
      <alignment horizontal="center"/>
    </xf>
    <xf numFmtId="38" fontId="81" fillId="0" borderId="0" xfId="0" applyNumberFormat="1" applyFont="1" applyBorder="1" applyAlignment="1">
      <alignment horizontal="center"/>
    </xf>
    <xf numFmtId="1" fontId="81" fillId="0" borderId="0" xfId="0" applyNumberFormat="1" applyFont="1" applyBorder="1" applyAlignment="1">
      <alignment horizontal="center"/>
    </xf>
    <xf numFmtId="1" fontId="81" fillId="0" borderId="24" xfId="0" applyNumberFormat="1" applyFont="1" applyBorder="1" applyAlignment="1">
      <alignment horizontal="center"/>
    </xf>
    <xf numFmtId="38" fontId="81" fillId="17" borderId="1" xfId="3" applyNumberFormat="1" applyFont="1" applyFill="1" applyBorder="1" applyAlignment="1">
      <alignment horizontal="center"/>
    </xf>
    <xf numFmtId="0" fontId="81" fillId="17" borderId="1" xfId="3" applyFont="1" applyFill="1" applyBorder="1" applyAlignment="1">
      <alignment horizontal="center"/>
    </xf>
    <xf numFmtId="0" fontId="81" fillId="17" borderId="12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38" fontId="78" fillId="12" borderId="1" xfId="5" applyNumberFormat="1" applyFont="1" applyFill="1" applyBorder="1" applyAlignment="1">
      <alignment horizontal="center"/>
    </xf>
    <xf numFmtId="1" fontId="78" fillId="12" borderId="1" xfId="5" applyNumberFormat="1" applyFont="1" applyFill="1" applyBorder="1" applyAlignment="1">
      <alignment horizontal="center"/>
    </xf>
    <xf numFmtId="1" fontId="78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38" fontId="78" fillId="0" borderId="1" xfId="5" applyNumberFormat="1" applyFont="1" applyFill="1" applyBorder="1" applyAlignment="1">
      <alignment horizontal="center"/>
    </xf>
    <xf numFmtId="38" fontId="81" fillId="12" borderId="1" xfId="3" applyNumberFormat="1" applyFont="1" applyFill="1" applyBorder="1" applyAlignment="1">
      <alignment horizontal="center"/>
    </xf>
    <xf numFmtId="0" fontId="81" fillId="12" borderId="1" xfId="3" applyFont="1" applyFill="1" applyBorder="1" applyAlignment="1">
      <alignment horizontal="center"/>
    </xf>
    <xf numFmtId="0" fontId="81" fillId="12" borderId="12" xfId="3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/>
    </xf>
    <xf numFmtId="38" fontId="78" fillId="8" borderId="1" xfId="6" applyNumberFormat="1" applyFont="1" applyFill="1" applyBorder="1" applyAlignment="1">
      <alignment horizontal="center"/>
    </xf>
    <xf numFmtId="167" fontId="78" fillId="0" borderId="1" xfId="6" applyNumberFormat="1" applyFont="1" applyFill="1" applyBorder="1" applyAlignment="1">
      <alignment horizontal="center"/>
    </xf>
    <xf numFmtId="0" fontId="78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38" fontId="78" fillId="8" borderId="6" xfId="6" applyNumberFormat="1" applyFont="1" applyFill="1" applyBorder="1" applyAlignment="1">
      <alignment horizontal="center"/>
    </xf>
    <xf numFmtId="1" fontId="78" fillId="8" borderId="17" xfId="5" applyNumberFormat="1" applyFont="1" applyFill="1" applyBorder="1" applyAlignment="1" applyProtection="1">
      <alignment horizontal="center"/>
    </xf>
    <xf numFmtId="0" fontId="81" fillId="0" borderId="0" xfId="0" applyFont="1" applyAlignment="1">
      <alignment horizontal="center"/>
    </xf>
    <xf numFmtId="38" fontId="81" fillId="0" borderId="0" xfId="0" applyNumberFormat="1" applyFont="1" applyAlignment="1">
      <alignment horizontal="center"/>
    </xf>
    <xf numFmtId="1" fontId="81" fillId="0" borderId="0" xfId="0" applyNumberFormat="1" applyFont="1" applyAlignment="1">
      <alignment horizontal="center"/>
    </xf>
    <xf numFmtId="0" fontId="78" fillId="0" borderId="1" xfId="0" applyFont="1" applyBorder="1" applyAlignment="1">
      <alignment horizontal="center"/>
    </xf>
    <xf numFmtId="1" fontId="78" fillId="8" borderId="1" xfId="5" applyNumberFormat="1" applyFont="1" applyFill="1" applyBorder="1" applyAlignment="1" applyProtection="1">
      <alignment horizontal="center"/>
    </xf>
    <xf numFmtId="0" fontId="78" fillId="0" borderId="1" xfId="0" applyFont="1" applyFill="1" applyBorder="1" applyAlignment="1">
      <alignment horizontal="center"/>
    </xf>
    <xf numFmtId="0" fontId="81" fillId="0" borderId="3" xfId="0" applyFont="1" applyBorder="1" applyAlignment="1"/>
    <xf numFmtId="0" fontId="81" fillId="0" borderId="4" xfId="0" applyFont="1" applyBorder="1" applyAlignment="1"/>
    <xf numFmtId="0" fontId="81" fillId="0" borderId="1" xfId="0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78" fillId="0" borderId="1" xfId="3" applyFont="1" applyFill="1" applyBorder="1" applyAlignment="1">
      <alignment horizontal="center"/>
    </xf>
    <xf numFmtId="1" fontId="78" fillId="0" borderId="1" xfId="3" applyNumberFormat="1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1" fontId="78" fillId="0" borderId="1" xfId="5" applyNumberFormat="1" applyFont="1" applyFill="1" applyBorder="1" applyAlignment="1" applyProtection="1">
      <alignment horizontal="center"/>
    </xf>
    <xf numFmtId="2" fontId="85" fillId="0" borderId="1" xfId="3" applyNumberFormat="1" applyFont="1" applyFill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0" borderId="1" xfId="3" applyFont="1" applyFill="1" applyBorder="1" applyAlignment="1">
      <alignment horizontal="center" vertical="center"/>
    </xf>
    <xf numFmtId="0" fontId="78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38" fontId="78" fillId="0" borderId="0" xfId="5" applyNumberFormat="1" applyFont="1" applyFill="1" applyBorder="1" applyAlignment="1">
      <alignment horizontal="center"/>
    </xf>
    <xf numFmtId="1" fontId="78" fillId="0" borderId="0" xfId="3" applyNumberFormat="1" applyFont="1" applyFill="1" applyBorder="1" applyAlignment="1">
      <alignment horizontal="center"/>
    </xf>
    <xf numFmtId="1" fontId="78" fillId="0" borderId="2" xfId="5" applyNumberFormat="1" applyFont="1" applyFill="1" applyBorder="1" applyAlignment="1" applyProtection="1">
      <alignment horizontal="center"/>
    </xf>
    <xf numFmtId="0" fontId="81" fillId="0" borderId="1" xfId="0" applyFont="1" applyFill="1" applyBorder="1"/>
    <xf numFmtId="1" fontId="81" fillId="0" borderId="1" xfId="0" applyNumberFormat="1" applyFont="1" applyFill="1" applyBorder="1" applyAlignment="1">
      <alignment horizontal="center"/>
    </xf>
    <xf numFmtId="0" fontId="85" fillId="0" borderId="1" xfId="0" applyFont="1" applyFill="1" applyBorder="1"/>
    <xf numFmtId="0" fontId="78" fillId="0" borderId="1" xfId="4" applyFont="1" applyFill="1" applyBorder="1"/>
    <xf numFmtId="0" fontId="81" fillId="0" borderId="1" xfId="3" applyFont="1" applyFill="1" applyBorder="1" applyAlignment="1">
      <alignment horizontal="center"/>
    </xf>
    <xf numFmtId="38" fontId="78" fillId="0" borderId="1" xfId="3" applyNumberFormat="1" applyFont="1" applyFill="1" applyBorder="1" applyAlignment="1">
      <alignment horizontal="center"/>
    </xf>
    <xf numFmtId="1" fontId="78" fillId="0" borderId="12" xfId="5" applyNumberFormat="1" applyFont="1" applyFill="1" applyBorder="1" applyAlignment="1" applyProtection="1">
      <alignment horizontal="center"/>
    </xf>
    <xf numFmtId="0" fontId="81" fillId="2" borderId="0" xfId="0" applyFont="1" applyFill="1" applyBorder="1"/>
    <xf numFmtId="0" fontId="81" fillId="0" borderId="4" xfId="0" applyFont="1" applyBorder="1" applyAlignment="1">
      <alignment horizontal="center"/>
    </xf>
    <xf numFmtId="1" fontId="81" fillId="0" borderId="12" xfId="0" applyNumberFormat="1" applyFont="1" applyBorder="1" applyAlignment="1">
      <alignment horizontal="center"/>
    </xf>
    <xf numFmtId="0" fontId="81" fillId="2" borderId="1" xfId="0" applyFont="1" applyFill="1" applyBorder="1" applyAlignment="1">
      <alignment horizontal="left"/>
    </xf>
    <xf numFmtId="38" fontId="81" fillId="0" borderId="1" xfId="0" applyNumberFormat="1" applyFont="1" applyFill="1" applyBorder="1" applyAlignment="1">
      <alignment horizontal="center"/>
    </xf>
    <xf numFmtId="1" fontId="81" fillId="0" borderId="12" xfId="0" applyNumberFormat="1" applyFont="1" applyFill="1" applyBorder="1" applyAlignment="1">
      <alignment horizontal="center"/>
    </xf>
    <xf numFmtId="0" fontId="81" fillId="0" borderId="4" xfId="0" applyFont="1" applyFill="1" applyBorder="1"/>
    <xf numFmtId="0" fontId="81" fillId="0" borderId="4" xfId="0" applyFont="1" applyFill="1" applyBorder="1" applyAlignment="1">
      <alignment horizontal="center"/>
    </xf>
    <xf numFmtId="38" fontId="81" fillId="12" borderId="1" xfId="0" applyNumberFormat="1" applyFont="1" applyFill="1" applyBorder="1" applyAlignment="1">
      <alignment horizontal="center"/>
    </xf>
    <xf numFmtId="172" fontId="78" fillId="9" borderId="1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center"/>
    </xf>
    <xf numFmtId="9" fontId="78" fillId="9" borderId="1" xfId="4" applyNumberFormat="1" applyFont="1" applyFill="1" applyBorder="1"/>
    <xf numFmtId="38" fontId="78" fillId="9" borderId="1" xfId="3" applyNumberFormat="1" applyFont="1" applyFill="1" applyBorder="1" applyAlignment="1">
      <alignment horizontal="center"/>
    </xf>
    <xf numFmtId="1" fontId="78" fillId="9" borderId="12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left"/>
    </xf>
    <xf numFmtId="0" fontId="78" fillId="9" borderId="1" xfId="3" applyFont="1" applyFill="1" applyBorder="1" applyAlignment="1"/>
    <xf numFmtId="1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2" fontId="43" fillId="0" borderId="1" xfId="0" applyNumberFormat="1" applyFont="1" applyBorder="1" applyAlignment="1">
      <alignment horizontal="center"/>
    </xf>
    <xf numFmtId="0" fontId="78" fillId="2" borderId="1" xfId="0" applyFont="1" applyFill="1" applyBorder="1" applyAlignment="1">
      <alignment horizontal="center"/>
    </xf>
    <xf numFmtId="38" fontId="43" fillId="10" borderId="1" xfId="0" applyNumberFormat="1" applyFont="1" applyFill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wrapText="1"/>
    </xf>
    <xf numFmtId="1" fontId="37" fillId="0" borderId="1" xfId="0" applyNumberFormat="1" applyFont="1" applyFill="1" applyBorder="1" applyAlignment="1">
      <alignment horizontal="center"/>
    </xf>
    <xf numFmtId="1" fontId="46" fillId="0" borderId="1" xfId="5" applyNumberFormat="1" applyFont="1" applyFill="1" applyBorder="1" applyAlignment="1">
      <alignment horizontal="center" vertical="center"/>
    </xf>
    <xf numFmtId="174" fontId="87" fillId="8" borderId="1" xfId="19" applyNumberFormat="1" applyFont="1" applyFill="1" applyBorder="1" applyAlignment="1" applyProtection="1">
      <alignment horizontal="center"/>
    </xf>
    <xf numFmtId="2" fontId="38" fillId="0" borderId="1" xfId="0" applyNumberFormat="1" applyFont="1" applyFill="1" applyBorder="1" applyAlignment="1">
      <alignment horizontal="center"/>
    </xf>
    <xf numFmtId="0" fontId="38" fillId="10" borderId="1" xfId="3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86" fillId="0" borderId="2" xfId="4" applyFont="1" applyFill="1" applyBorder="1" applyAlignment="1">
      <alignment horizontal="center"/>
    </xf>
    <xf numFmtId="0" fontId="86" fillId="0" borderId="3" xfId="4" applyFont="1" applyFill="1" applyBorder="1" applyAlignment="1">
      <alignment horizontal="center"/>
    </xf>
    <xf numFmtId="0" fontId="86" fillId="0" borderId="4" xfId="4" applyFont="1" applyFill="1" applyBorder="1" applyAlignment="1">
      <alignment horizontal="center"/>
    </xf>
    <xf numFmtId="0" fontId="81" fillId="11" borderId="13" xfId="0" applyFont="1" applyFill="1" applyBorder="1" applyAlignment="1">
      <alignment horizontal="left"/>
    </xf>
    <xf numFmtId="0" fontId="81" fillId="11" borderId="4" xfId="0" applyFont="1" applyFill="1" applyBorder="1" applyAlignment="1">
      <alignment horizontal="left"/>
    </xf>
    <xf numFmtId="0" fontId="81" fillId="2" borderId="13" xfId="0" applyFont="1" applyFill="1" applyBorder="1" applyAlignment="1">
      <alignment horizontal="left"/>
    </xf>
    <xf numFmtId="0" fontId="81" fillId="2" borderId="4" xfId="0" applyFont="1" applyFill="1" applyBorder="1" applyAlignment="1">
      <alignment horizontal="left"/>
    </xf>
    <xf numFmtId="0" fontId="77" fillId="2" borderId="1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8" fillId="2" borderId="20" xfId="0" applyFont="1" applyFill="1" applyBorder="1" applyAlignment="1">
      <alignment horizontal="center"/>
    </xf>
    <xf numFmtId="0" fontId="78" fillId="2" borderId="5" xfId="0" applyFont="1" applyFill="1" applyBorder="1" applyAlignment="1">
      <alignment horizontal="center"/>
    </xf>
    <xf numFmtId="0" fontId="81" fillId="12" borderId="1" xfId="0" applyFont="1" applyFill="1" applyBorder="1" applyAlignment="1">
      <alignment horizontal="center"/>
    </xf>
    <xf numFmtId="0" fontId="81" fillId="0" borderId="1" xfId="0" applyFont="1" applyBorder="1" applyAlignment="1">
      <alignment horizontal="left"/>
    </xf>
    <xf numFmtId="0" fontId="78" fillId="12" borderId="23" xfId="3" applyFont="1" applyFill="1" applyBorder="1" applyAlignment="1">
      <alignment horizontal="center" vertical="center"/>
    </xf>
    <xf numFmtId="0" fontId="78" fillId="12" borderId="0" xfId="3" applyFont="1" applyFill="1" applyBorder="1" applyAlignment="1">
      <alignment horizontal="center" vertical="center"/>
    </xf>
    <xf numFmtId="0" fontId="78" fillId="12" borderId="24" xfId="3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left"/>
    </xf>
    <xf numFmtId="0" fontId="78" fillId="0" borderId="1" xfId="4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86" fillId="0" borderId="1" xfId="4" applyFont="1" applyFill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1" fillId="0" borderId="3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81" fillId="2" borderId="2" xfId="0" applyFont="1" applyFill="1" applyBorder="1" applyAlignment="1">
      <alignment horizontal="left"/>
    </xf>
    <xf numFmtId="0" fontId="78" fillId="13" borderId="13" xfId="3" applyFont="1" applyFill="1" applyBorder="1" applyAlignment="1">
      <alignment horizontal="left"/>
    </xf>
    <xf numFmtId="0" fontId="78" fillId="13" borderId="3" xfId="3" applyFont="1" applyFill="1" applyBorder="1" applyAlignment="1">
      <alignment horizontal="left"/>
    </xf>
    <xf numFmtId="0" fontId="78" fillId="13" borderId="4" xfId="3" applyFont="1" applyFill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78" fillId="8" borderId="0" xfId="3" applyFont="1" applyFill="1" applyBorder="1" applyAlignment="1">
      <alignment vertical="center"/>
    </xf>
    <xf numFmtId="0" fontId="78" fillId="0" borderId="2" xfId="4" applyFont="1" applyBorder="1" applyAlignment="1">
      <alignment horizontal="left" vertical="center"/>
    </xf>
    <xf numFmtId="0" fontId="78" fillId="0" borderId="3" xfId="4" applyFont="1" applyBorder="1" applyAlignment="1">
      <alignment horizontal="left" vertical="center"/>
    </xf>
    <xf numFmtId="0" fontId="78" fillId="0" borderId="4" xfId="4" applyFont="1" applyBorder="1" applyAlignment="1">
      <alignment horizontal="left" vertical="center"/>
    </xf>
    <xf numFmtId="0" fontId="78" fillId="8" borderId="19" xfId="3" applyFont="1" applyFill="1" applyBorder="1" applyAlignment="1">
      <alignment horizontal="left"/>
    </xf>
    <xf numFmtId="0" fontId="78" fillId="8" borderId="8" xfId="3" applyFont="1" applyFill="1" applyBorder="1" applyAlignment="1">
      <alignment horizontal="left"/>
    </xf>
    <xf numFmtId="0" fontId="78" fillId="8" borderId="9" xfId="3" applyFont="1" applyFill="1" applyBorder="1" applyAlignment="1">
      <alignment horizontal="left"/>
    </xf>
    <xf numFmtId="0" fontId="81" fillId="12" borderId="0" xfId="0" applyFont="1" applyFill="1" applyAlignment="1">
      <alignment horizontal="center"/>
    </xf>
    <xf numFmtId="0" fontId="81" fillId="12" borderId="2" xfId="0" applyFont="1" applyFill="1" applyBorder="1" applyAlignment="1">
      <alignment horizontal="center"/>
    </xf>
    <xf numFmtId="0" fontId="81" fillId="12" borderId="3" xfId="0" applyFont="1" applyFill="1" applyBorder="1" applyAlignment="1">
      <alignment horizontal="center"/>
    </xf>
    <xf numFmtId="0" fontId="81" fillId="12" borderId="4" xfId="0" applyFont="1" applyFill="1" applyBorder="1" applyAlignment="1">
      <alignment horizontal="center"/>
    </xf>
    <xf numFmtId="0" fontId="78" fillId="12" borderId="13" xfId="3" applyFont="1" applyFill="1" applyBorder="1" applyAlignment="1">
      <alignment horizontal="center" vertical="center"/>
    </xf>
    <xf numFmtId="0" fontId="78" fillId="12" borderId="3" xfId="3" applyFont="1" applyFill="1" applyBorder="1" applyAlignment="1">
      <alignment horizontal="center" vertical="center"/>
    </xf>
    <xf numFmtId="0" fontId="78" fillId="12" borderId="4" xfId="3" applyFont="1" applyFill="1" applyBorder="1" applyAlignment="1">
      <alignment horizontal="center" vertical="center"/>
    </xf>
    <xf numFmtId="0" fontId="78" fillId="12" borderId="13" xfId="3" applyFont="1" applyFill="1" applyBorder="1" applyAlignment="1">
      <alignment horizontal="center"/>
    </xf>
    <xf numFmtId="0" fontId="78" fillId="12" borderId="3" xfId="3" applyFont="1" applyFill="1" applyBorder="1" applyAlignment="1">
      <alignment horizontal="center"/>
    </xf>
    <xf numFmtId="0" fontId="78" fillId="12" borderId="4" xfId="3" applyFont="1" applyFill="1" applyBorder="1" applyAlignment="1">
      <alignment horizontal="center"/>
    </xf>
    <xf numFmtId="0" fontId="82" fillId="17" borderId="13" xfId="3" applyFont="1" applyFill="1" applyBorder="1" applyAlignment="1">
      <alignment horizontal="center"/>
    </xf>
    <xf numFmtId="0" fontId="82" fillId="17" borderId="3" xfId="3" applyFont="1" applyFill="1" applyBorder="1" applyAlignment="1">
      <alignment horizontal="center"/>
    </xf>
    <xf numFmtId="0" fontId="82" fillId="17" borderId="4" xfId="3" applyFont="1" applyFill="1" applyBorder="1" applyAlignment="1">
      <alignment horizontal="center"/>
    </xf>
    <xf numFmtId="0" fontId="78" fillId="0" borderId="13" xfId="4" applyFont="1" applyBorder="1" applyAlignment="1">
      <alignment horizontal="left"/>
    </xf>
    <xf numFmtId="0" fontId="78" fillId="0" borderId="3" xfId="4" applyFont="1" applyBorder="1" applyAlignment="1">
      <alignment horizontal="left"/>
    </xf>
    <xf numFmtId="0" fontId="78" fillId="0" borderId="4" xfId="4" applyFont="1" applyBorder="1" applyAlignment="1">
      <alignment horizontal="left"/>
    </xf>
    <xf numFmtId="0" fontId="85" fillId="8" borderId="14" xfId="3" applyFont="1" applyFill="1" applyBorder="1" applyAlignment="1">
      <alignment horizontal="center"/>
    </xf>
    <xf numFmtId="0" fontId="85" fillId="8" borderId="11" xfId="3" applyFont="1" applyFill="1" applyBorder="1" applyAlignment="1">
      <alignment horizontal="center"/>
    </xf>
    <xf numFmtId="0" fontId="85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2" fillId="12" borderId="13" xfId="3" applyFont="1" applyFill="1" applyBorder="1" applyAlignment="1">
      <alignment horizontal="center"/>
    </xf>
    <xf numFmtId="0" fontId="82" fillId="12" borderId="3" xfId="3" applyFont="1" applyFill="1" applyBorder="1" applyAlignment="1">
      <alignment horizontal="center"/>
    </xf>
    <xf numFmtId="0" fontId="82" fillId="12" borderId="4" xfId="3" applyFont="1" applyFill="1" applyBorder="1" applyAlignment="1">
      <alignment horizontal="center"/>
    </xf>
    <xf numFmtId="0" fontId="78" fillId="9" borderId="2" xfId="3" applyFont="1" applyFill="1" applyBorder="1" applyAlignment="1">
      <alignment horizontal="center"/>
    </xf>
    <xf numFmtId="0" fontId="78" fillId="9" borderId="4" xfId="3" applyFont="1" applyFill="1" applyBorder="1" applyAlignment="1">
      <alignment horizontal="center"/>
    </xf>
    <xf numFmtId="0" fontId="88" fillId="17" borderId="13" xfId="3" applyFont="1" applyFill="1" applyBorder="1" applyAlignment="1">
      <alignment horizontal="center" vertical="center"/>
    </xf>
    <xf numFmtId="0" fontId="88" fillId="17" borderId="3" xfId="3" applyFont="1" applyFill="1" applyBorder="1" applyAlignment="1">
      <alignment horizontal="center" vertical="center"/>
    </xf>
    <xf numFmtId="0" fontId="81" fillId="0" borderId="13" xfId="0" applyFont="1" applyBorder="1" applyAlignment="1">
      <alignment horizontal="left"/>
    </xf>
    <xf numFmtId="0" fontId="86" fillId="0" borderId="2" xfId="4" applyFont="1" applyFill="1" applyBorder="1" applyAlignment="1">
      <alignment horizontal="left"/>
    </xf>
    <xf numFmtId="0" fontId="86" fillId="0" borderId="3" xfId="4" applyFont="1" applyFill="1" applyBorder="1" applyAlignment="1">
      <alignment horizontal="left"/>
    </xf>
    <xf numFmtId="0" fontId="86" fillId="0" borderId="4" xfId="4" applyFont="1" applyFill="1" applyBorder="1" applyAlignment="1">
      <alignment horizontal="left"/>
    </xf>
    <xf numFmtId="0" fontId="81" fillId="0" borderId="1" xfId="0" applyFont="1" applyFill="1" applyBorder="1" applyAlignment="1">
      <alignment horizontal="center"/>
    </xf>
    <xf numFmtId="0" fontId="78" fillId="0" borderId="1" xfId="4" applyFont="1" applyFill="1" applyBorder="1" applyAlignment="1">
      <alignment horizontal="left"/>
    </xf>
    <xf numFmtId="0" fontId="78" fillId="0" borderId="2" xfId="4" applyFont="1" applyFill="1" applyBorder="1" applyAlignment="1">
      <alignment horizontal="left"/>
    </xf>
    <xf numFmtId="0" fontId="78" fillId="0" borderId="3" xfId="4" applyFont="1" applyFill="1" applyBorder="1" applyAlignment="1">
      <alignment horizontal="left"/>
    </xf>
    <xf numFmtId="0" fontId="78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37.450000000004366</c:v>
                </c:pt>
                <c:pt idx="1">
                  <c:v>35.669999999998254</c:v>
                </c:pt>
                <c:pt idx="2">
                  <c:v>40.529999999997926</c:v>
                </c:pt>
                <c:pt idx="3">
                  <c:v>36.799999999995634</c:v>
                </c:pt>
                <c:pt idx="4">
                  <c:v>38.390000000006694</c:v>
                </c:pt>
                <c:pt idx="5">
                  <c:v>37.44999999999709</c:v>
                </c:pt>
                <c:pt idx="6">
                  <c:v>37.569999999999709</c:v>
                </c:pt>
                <c:pt idx="7">
                  <c:v>-1138.4799999999996</c:v>
                </c:pt>
                <c:pt idx="8">
                  <c:v>40.280000000005202</c:v>
                </c:pt>
                <c:pt idx="9">
                  <c:v>37.099999999998545</c:v>
                </c:pt>
                <c:pt idx="10">
                  <c:v>39.220000000001164</c:v>
                </c:pt>
                <c:pt idx="11">
                  <c:v>39.459999999999127</c:v>
                </c:pt>
                <c:pt idx="12">
                  <c:v>39.350000000004002</c:v>
                </c:pt>
                <c:pt idx="13">
                  <c:v>39.25999999999749</c:v>
                </c:pt>
                <c:pt idx="14">
                  <c:v>40.330000000001746</c:v>
                </c:pt>
                <c:pt idx="15">
                  <c:v>39.569999999992433</c:v>
                </c:pt>
                <c:pt idx="16">
                  <c:v>40.290000000000873</c:v>
                </c:pt>
                <c:pt idx="17">
                  <c:v>38.849999999998545</c:v>
                </c:pt>
                <c:pt idx="18">
                  <c:v>41.510000000005675</c:v>
                </c:pt>
                <c:pt idx="19">
                  <c:v>37.349999999994907</c:v>
                </c:pt>
                <c:pt idx="20">
                  <c:v>36.480000000003201</c:v>
                </c:pt>
                <c:pt idx="21">
                  <c:v>34.519999999996799</c:v>
                </c:pt>
                <c:pt idx="22">
                  <c:v>39</c:v>
                </c:pt>
                <c:pt idx="23">
                  <c:v>37.669999999997344</c:v>
                </c:pt>
                <c:pt idx="24">
                  <c:v>38.550000000001091</c:v>
                </c:pt>
                <c:pt idx="25">
                  <c:v>33.790000000000873</c:v>
                </c:pt>
                <c:pt idx="26">
                  <c:v>36.119999999995343</c:v>
                </c:pt>
                <c:pt idx="27">
                  <c:v>35.400000000001455</c:v>
                </c:pt>
                <c:pt idx="28">
                  <c:v>23.970000000001164</c:v>
                </c:pt>
                <c:pt idx="29">
                  <c:v>47.850000000005821</c:v>
                </c:pt>
                <c:pt idx="30">
                  <c:v>38.69999999999709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84431360"/>
        <c:axId val="184432896"/>
      </c:lineChart>
      <c:catAx>
        <c:axId val="18443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432896"/>
        <c:crosses val="autoZero"/>
        <c:auto val="1"/>
        <c:lblAlgn val="ctr"/>
        <c:lblOffset val="100"/>
        <c:noMultiLvlLbl val="0"/>
      </c:catAx>
      <c:valAx>
        <c:axId val="184432896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84431360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21.389999999999418</c:v>
                </c:pt>
                <c:pt idx="1">
                  <c:v>19.429999999996653</c:v>
                </c:pt>
                <c:pt idx="2">
                  <c:v>19.279999999995198</c:v>
                </c:pt>
                <c:pt idx="3">
                  <c:v>20.659999999999854</c:v>
                </c:pt>
                <c:pt idx="4">
                  <c:v>21.400000000005093</c:v>
                </c:pt>
                <c:pt idx="5">
                  <c:v>21.569999999999709</c:v>
                </c:pt>
                <c:pt idx="6">
                  <c:v>20.610000000000582</c:v>
                </c:pt>
                <c:pt idx="7">
                  <c:v>-609.39999999999418</c:v>
                </c:pt>
                <c:pt idx="8">
                  <c:v>20.599999999991269</c:v>
                </c:pt>
                <c:pt idx="9">
                  <c:v>20.590000000007421</c:v>
                </c:pt>
                <c:pt idx="10">
                  <c:v>19.650000000001455</c:v>
                </c:pt>
                <c:pt idx="11">
                  <c:v>19.749999999992724</c:v>
                </c:pt>
                <c:pt idx="12">
                  <c:v>20.040000000000873</c:v>
                </c:pt>
                <c:pt idx="13">
                  <c:v>18.820000000006985</c:v>
                </c:pt>
                <c:pt idx="14">
                  <c:v>20.969999999993888</c:v>
                </c:pt>
                <c:pt idx="15">
                  <c:v>21.220000000004802</c:v>
                </c:pt>
                <c:pt idx="16">
                  <c:v>19.28599999999642</c:v>
                </c:pt>
                <c:pt idx="17">
                  <c:v>21.593999999997322</c:v>
                </c:pt>
                <c:pt idx="18">
                  <c:v>20.120000000009895</c:v>
                </c:pt>
                <c:pt idx="19">
                  <c:v>18.799999999991996</c:v>
                </c:pt>
                <c:pt idx="20">
                  <c:v>19</c:v>
                </c:pt>
                <c:pt idx="21">
                  <c:v>21</c:v>
                </c:pt>
                <c:pt idx="22">
                  <c:v>18.729999999995925</c:v>
                </c:pt>
                <c:pt idx="23">
                  <c:v>18.180000000007567</c:v>
                </c:pt>
                <c:pt idx="24">
                  <c:v>20.409999999999854</c:v>
                </c:pt>
                <c:pt idx="25">
                  <c:v>23.270000000000437</c:v>
                </c:pt>
                <c:pt idx="26">
                  <c:v>19.779999999995198</c:v>
                </c:pt>
                <c:pt idx="27">
                  <c:v>20.099999999998545</c:v>
                </c:pt>
                <c:pt idx="28">
                  <c:v>18.640000000003056</c:v>
                </c:pt>
                <c:pt idx="29">
                  <c:v>22.159999999992579</c:v>
                </c:pt>
                <c:pt idx="30">
                  <c:v>22.350000000009459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4457856"/>
        <c:axId val="184480128"/>
      </c:lineChart>
      <c:catAx>
        <c:axId val="1844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480128"/>
        <c:crosses val="autoZero"/>
        <c:auto val="1"/>
        <c:lblAlgn val="ctr"/>
        <c:lblOffset val="100"/>
        <c:noMultiLvlLbl val="0"/>
      </c:catAx>
      <c:valAx>
        <c:axId val="184480128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45785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564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182</c:v>
                </c:pt>
                <c:pt idx="1">
                  <c:v>231</c:v>
                </c:pt>
                <c:pt idx="2">
                  <c:v>155</c:v>
                </c:pt>
                <c:pt idx="3">
                  <c:v>183</c:v>
                </c:pt>
                <c:pt idx="4">
                  <c:v>192</c:v>
                </c:pt>
                <c:pt idx="5">
                  <c:v>247</c:v>
                </c:pt>
                <c:pt idx="6">
                  <c:v>287</c:v>
                </c:pt>
                <c:pt idx="7">
                  <c:v>-1308</c:v>
                </c:pt>
                <c:pt idx="8">
                  <c:v>270</c:v>
                </c:pt>
                <c:pt idx="9">
                  <c:v>270</c:v>
                </c:pt>
                <c:pt idx="10">
                  <c:v>221</c:v>
                </c:pt>
                <c:pt idx="11">
                  <c:v>254</c:v>
                </c:pt>
                <c:pt idx="12">
                  <c:v>170</c:v>
                </c:pt>
                <c:pt idx="13">
                  <c:v>192</c:v>
                </c:pt>
                <c:pt idx="14">
                  <c:v>243</c:v>
                </c:pt>
                <c:pt idx="15">
                  <c:v>272</c:v>
                </c:pt>
                <c:pt idx="16">
                  <c:v>320</c:v>
                </c:pt>
                <c:pt idx="17">
                  <c:v>274</c:v>
                </c:pt>
                <c:pt idx="18">
                  <c:v>226</c:v>
                </c:pt>
                <c:pt idx="19">
                  <c:v>273</c:v>
                </c:pt>
                <c:pt idx="20">
                  <c:v>220</c:v>
                </c:pt>
                <c:pt idx="21">
                  <c:v>269</c:v>
                </c:pt>
                <c:pt idx="22">
                  <c:v>231</c:v>
                </c:pt>
                <c:pt idx="23">
                  <c:v>197</c:v>
                </c:pt>
                <c:pt idx="24">
                  <c:v>201</c:v>
                </c:pt>
                <c:pt idx="25">
                  <c:v>231</c:v>
                </c:pt>
                <c:pt idx="26">
                  <c:v>260</c:v>
                </c:pt>
                <c:pt idx="27">
                  <c:v>190</c:v>
                </c:pt>
                <c:pt idx="28">
                  <c:v>231</c:v>
                </c:pt>
                <c:pt idx="29">
                  <c:v>181</c:v>
                </c:pt>
                <c:pt idx="30">
                  <c:v>321</c:v>
                </c:pt>
                <c:pt idx="31">
                  <c:v>5686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13214592"/>
        <c:axId val="113216128"/>
      </c:lineChart>
      <c:catAx>
        <c:axId val="11321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16128"/>
        <c:crosses val="autoZero"/>
        <c:auto val="1"/>
        <c:lblAlgn val="ctr"/>
        <c:lblOffset val="100"/>
        <c:noMultiLvlLbl val="0"/>
      </c:catAx>
      <c:valAx>
        <c:axId val="113216128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14592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556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1063.6000000000931</c:v>
                </c:pt>
                <c:pt idx="1">
                  <c:v>1000.6999999997206</c:v>
                </c:pt>
                <c:pt idx="2">
                  <c:v>979.20000000018626</c:v>
                </c:pt>
                <c:pt idx="3">
                  <c:v>1002.2999999998137</c:v>
                </c:pt>
                <c:pt idx="4">
                  <c:v>1047.2000000001863</c:v>
                </c:pt>
                <c:pt idx="5">
                  <c:v>981</c:v>
                </c:pt>
                <c:pt idx="6">
                  <c:v>1066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31140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45632"/>
        <c:axId val="114659712"/>
      </c:lineChart>
      <c:catAx>
        <c:axId val="11464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59712"/>
        <c:crosses val="autoZero"/>
        <c:auto val="1"/>
        <c:lblAlgn val="ctr"/>
        <c:lblOffset val="100"/>
        <c:noMultiLvlLbl val="0"/>
      </c:catAx>
      <c:valAx>
        <c:axId val="11465971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45632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74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0.18999999994412065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-0.18999999994412065</c:v>
                </c:pt>
                <c:pt idx="5">
                  <c:v>0</c:v>
                </c:pt>
                <c:pt idx="6">
                  <c:v>0</c:v>
                </c:pt>
                <c:pt idx="7">
                  <c:v>-44357</c:v>
                </c:pt>
                <c:pt idx="8">
                  <c:v>3026.1500000000233</c:v>
                </c:pt>
                <c:pt idx="9">
                  <c:v>2907.9599999999627</c:v>
                </c:pt>
                <c:pt idx="10">
                  <c:v>2848.8000000000466</c:v>
                </c:pt>
                <c:pt idx="11">
                  <c:v>2839.7999999999302</c:v>
                </c:pt>
                <c:pt idx="12">
                  <c:v>2983.359999999986</c:v>
                </c:pt>
                <c:pt idx="13">
                  <c:v>2924.2000000000698</c:v>
                </c:pt>
                <c:pt idx="14">
                  <c:v>2885.7199999999721</c:v>
                </c:pt>
                <c:pt idx="15">
                  <c:v>2960.6800000000512</c:v>
                </c:pt>
                <c:pt idx="16">
                  <c:v>2887.640000000014</c:v>
                </c:pt>
                <c:pt idx="17">
                  <c:v>2965.0399999999208</c:v>
                </c:pt>
                <c:pt idx="18">
                  <c:v>2902.7600000000093</c:v>
                </c:pt>
                <c:pt idx="19">
                  <c:v>2951.890000000014</c:v>
                </c:pt>
                <c:pt idx="20">
                  <c:v>2860</c:v>
                </c:pt>
                <c:pt idx="21">
                  <c:v>2882</c:v>
                </c:pt>
                <c:pt idx="22">
                  <c:v>2934</c:v>
                </c:pt>
                <c:pt idx="23">
                  <c:v>597.18999999994412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-3</c:v>
                </c:pt>
                <c:pt idx="30">
                  <c:v>-0.18999999994412065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4348.6699999999983</c:v>
                </c:pt>
                <c:pt idx="1">
                  <c:v>4423.6300000000047</c:v>
                </c:pt>
                <c:pt idx="2">
                  <c:v>4283.9599999999991</c:v>
                </c:pt>
                <c:pt idx="3">
                  <c:v>4351.1299999999974</c:v>
                </c:pt>
                <c:pt idx="4">
                  <c:v>4215.6100000000006</c:v>
                </c:pt>
                <c:pt idx="5">
                  <c:v>4247</c:v>
                </c:pt>
                <c:pt idx="6">
                  <c:v>4343</c:v>
                </c:pt>
                <c:pt idx="7">
                  <c:v>-64074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3439.39</c:v>
                </c:pt>
                <c:pt idx="24">
                  <c:v>4235.25</c:v>
                </c:pt>
                <c:pt idx="25">
                  <c:v>4264.3199999999988</c:v>
                </c:pt>
                <c:pt idx="26">
                  <c:v>4078.9300000000003</c:v>
                </c:pt>
                <c:pt idx="27">
                  <c:v>4464.32</c:v>
                </c:pt>
                <c:pt idx="28">
                  <c:v>4410.2299999999996</c:v>
                </c:pt>
                <c:pt idx="29">
                  <c:v>4609.5600000000013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14706304"/>
        <c:axId val="114707840"/>
      </c:lineChart>
      <c:catAx>
        <c:axId val="11470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07840"/>
        <c:crosses val="autoZero"/>
        <c:auto val="1"/>
        <c:lblAlgn val="ctr"/>
        <c:lblOffset val="100"/>
        <c:noMultiLvlLbl val="0"/>
      </c:catAx>
      <c:valAx>
        <c:axId val="114707840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06304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4.9999999988358468E-2</c:v>
                </c:pt>
                <c:pt idx="2">
                  <c:v>0</c:v>
                </c:pt>
                <c:pt idx="3">
                  <c:v>-4.9999999988358468E-2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4.9999999988358468E-2</c:v>
                </c:pt>
                <c:pt idx="9">
                  <c:v>0</c:v>
                </c:pt>
                <c:pt idx="10">
                  <c:v>0</c:v>
                </c:pt>
                <c:pt idx="11">
                  <c:v>-4.9999999988358468E-2</c:v>
                </c:pt>
                <c:pt idx="12">
                  <c:v>0</c:v>
                </c:pt>
                <c:pt idx="13">
                  <c:v>0</c:v>
                </c:pt>
                <c:pt idx="14">
                  <c:v>4.9999999988358468E-2</c:v>
                </c:pt>
                <c:pt idx="15">
                  <c:v>0</c:v>
                </c:pt>
                <c:pt idx="16">
                  <c:v>0</c:v>
                </c:pt>
                <c:pt idx="17">
                  <c:v>0.95000000001164153</c:v>
                </c:pt>
                <c:pt idx="18">
                  <c:v>-0.95000000001164153</c:v>
                </c:pt>
                <c:pt idx="19">
                  <c:v>0</c:v>
                </c:pt>
                <c:pt idx="20">
                  <c:v>-4.9999999988358468E-2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4.9999999988358468E-2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-4.9999999988358468E-2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56928"/>
        <c:axId val="114558464"/>
      </c:lineChart>
      <c:catAx>
        <c:axId val="11455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58464"/>
        <c:crosses val="autoZero"/>
        <c:auto val="1"/>
        <c:lblAlgn val="ctr"/>
        <c:lblOffset val="100"/>
        <c:noMultiLvlLbl val="0"/>
      </c:catAx>
      <c:valAx>
        <c:axId val="114558464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569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0.88</c:v>
                </c:pt>
                <c:pt idx="1">
                  <c:v>0.98</c:v>
                </c:pt>
                <c:pt idx="2">
                  <c:v>0.98</c:v>
                </c:pt>
                <c:pt idx="3">
                  <c:v>0.53</c:v>
                </c:pt>
                <c:pt idx="4">
                  <c:v>0.63</c:v>
                </c:pt>
                <c:pt idx="5">
                  <c:v>0.81</c:v>
                </c:pt>
                <c:pt idx="6">
                  <c:v>0.82</c:v>
                </c:pt>
                <c:pt idx="7">
                  <c:v>0.98</c:v>
                </c:pt>
                <c:pt idx="8">
                  <c:v>0.65</c:v>
                </c:pt>
                <c:pt idx="9">
                  <c:v>0.91</c:v>
                </c:pt>
                <c:pt idx="10">
                  <c:v>0.72</c:v>
                </c:pt>
                <c:pt idx="11">
                  <c:v>0.6</c:v>
                </c:pt>
                <c:pt idx="12">
                  <c:v>0.66</c:v>
                </c:pt>
                <c:pt idx="13">
                  <c:v>0.56999999999999995</c:v>
                </c:pt>
                <c:pt idx="14">
                  <c:v>0.6</c:v>
                </c:pt>
                <c:pt idx="15">
                  <c:v>0.6</c:v>
                </c:pt>
                <c:pt idx="16">
                  <c:v>0.91</c:v>
                </c:pt>
                <c:pt idx="17">
                  <c:v>0.98</c:v>
                </c:pt>
                <c:pt idx="18">
                  <c:v>0.94</c:v>
                </c:pt>
                <c:pt idx="19">
                  <c:v>0.81</c:v>
                </c:pt>
                <c:pt idx="20">
                  <c:v>0.95</c:v>
                </c:pt>
                <c:pt idx="21">
                  <c:v>0.87</c:v>
                </c:pt>
                <c:pt idx="22">
                  <c:v>0.91</c:v>
                </c:pt>
                <c:pt idx="23">
                  <c:v>0.43</c:v>
                </c:pt>
                <c:pt idx="24">
                  <c:v>0.98</c:v>
                </c:pt>
                <c:pt idx="25">
                  <c:v>0.54449999999999998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0.73</c:v>
                </c:pt>
                <c:pt idx="30">
                  <c:v>31</c:v>
                </c:pt>
                <c:pt idx="31">
                  <c:v>1.7591774193548391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91232"/>
        <c:axId val="114592768"/>
      </c:lineChart>
      <c:catAx>
        <c:axId val="11459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92768"/>
        <c:crosses val="autoZero"/>
        <c:auto val="1"/>
        <c:lblAlgn val="ctr"/>
        <c:lblOffset val="100"/>
        <c:noMultiLvlLbl val="0"/>
      </c:catAx>
      <c:valAx>
        <c:axId val="1145927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45912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25783</c:v>
                </c:pt>
                <c:pt idx="1">
                  <c:v>25845</c:v>
                </c:pt>
                <c:pt idx="2">
                  <c:v>28055</c:v>
                </c:pt>
                <c:pt idx="3">
                  <c:v>25892</c:v>
                </c:pt>
                <c:pt idx="4">
                  <c:v>27118</c:v>
                </c:pt>
                <c:pt idx="5">
                  <c:v>26156</c:v>
                </c:pt>
                <c:pt idx="6">
                  <c:v>25917</c:v>
                </c:pt>
                <c:pt idx="7">
                  <c:v>26500</c:v>
                </c:pt>
                <c:pt idx="8">
                  <c:v>26500</c:v>
                </c:pt>
                <c:pt idx="9">
                  <c:v>26500</c:v>
                </c:pt>
                <c:pt idx="10">
                  <c:v>26500</c:v>
                </c:pt>
                <c:pt idx="11">
                  <c:v>26500</c:v>
                </c:pt>
                <c:pt idx="12">
                  <c:v>26500</c:v>
                </c:pt>
                <c:pt idx="13">
                  <c:v>26500</c:v>
                </c:pt>
                <c:pt idx="14">
                  <c:v>26499.999999999993</c:v>
                </c:pt>
                <c:pt idx="15">
                  <c:v>26500</c:v>
                </c:pt>
                <c:pt idx="16">
                  <c:v>26500</c:v>
                </c:pt>
                <c:pt idx="17">
                  <c:v>26500</c:v>
                </c:pt>
                <c:pt idx="18">
                  <c:v>26500</c:v>
                </c:pt>
                <c:pt idx="19">
                  <c:v>26500</c:v>
                </c:pt>
                <c:pt idx="20">
                  <c:v>26500</c:v>
                </c:pt>
                <c:pt idx="21">
                  <c:v>26500</c:v>
                </c:pt>
                <c:pt idx="22">
                  <c:v>26500.000000000029</c:v>
                </c:pt>
                <c:pt idx="23">
                  <c:v>26500</c:v>
                </c:pt>
                <c:pt idx="24">
                  <c:v>26500</c:v>
                </c:pt>
                <c:pt idx="25">
                  <c:v>26500</c:v>
                </c:pt>
                <c:pt idx="26">
                  <c:v>26500</c:v>
                </c:pt>
                <c:pt idx="27">
                  <c:v>26500</c:v>
                </c:pt>
                <c:pt idx="28">
                  <c:v>26500</c:v>
                </c:pt>
                <c:pt idx="29">
                  <c:v>26500</c:v>
                </c:pt>
                <c:pt idx="30">
                  <c:v>26500</c:v>
                </c:pt>
                <c:pt idx="31">
                  <c:v>820766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4621824"/>
        <c:axId val="114848896"/>
      </c:lineChart>
      <c:catAx>
        <c:axId val="11462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48896"/>
        <c:crosses val="autoZero"/>
        <c:auto val="1"/>
        <c:lblAlgn val="ctr"/>
        <c:lblOffset val="100"/>
        <c:noMultiLvlLbl val="0"/>
      </c:catAx>
      <c:valAx>
        <c:axId val="11484889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2182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10.859999999999673</c:v>
                </c:pt>
                <c:pt idx="1">
                  <c:v>10.289999999999964</c:v>
                </c:pt>
                <c:pt idx="2">
                  <c:v>10.100000000001273</c:v>
                </c:pt>
                <c:pt idx="3">
                  <c:v>10.519999999999527</c:v>
                </c:pt>
                <c:pt idx="4">
                  <c:v>10.25</c:v>
                </c:pt>
                <c:pt idx="5">
                  <c:v>11.230000000000473</c:v>
                </c:pt>
                <c:pt idx="6">
                  <c:v>12.889999999999418</c:v>
                </c:pt>
                <c:pt idx="7">
                  <c:v>-342.01000000000022</c:v>
                </c:pt>
                <c:pt idx="8">
                  <c:v>11.489999999999782</c:v>
                </c:pt>
                <c:pt idx="9">
                  <c:v>9.8299999999999272</c:v>
                </c:pt>
                <c:pt idx="10">
                  <c:v>9.6999999999998181</c:v>
                </c:pt>
                <c:pt idx="11">
                  <c:v>12.470000000000255</c:v>
                </c:pt>
                <c:pt idx="12">
                  <c:v>13.420000000000073</c:v>
                </c:pt>
                <c:pt idx="13">
                  <c:v>13.590000000000146</c:v>
                </c:pt>
                <c:pt idx="14">
                  <c:v>11.970000000000255</c:v>
                </c:pt>
                <c:pt idx="15">
                  <c:v>11.319999999999709</c:v>
                </c:pt>
                <c:pt idx="16">
                  <c:v>12.319999999999709</c:v>
                </c:pt>
                <c:pt idx="17">
                  <c:v>12.920000000000073</c:v>
                </c:pt>
                <c:pt idx="18">
                  <c:v>14.920000000000073</c:v>
                </c:pt>
                <c:pt idx="19">
                  <c:v>12.109999999999673</c:v>
                </c:pt>
                <c:pt idx="20">
                  <c:v>11.100000000000364</c:v>
                </c:pt>
                <c:pt idx="21">
                  <c:v>12</c:v>
                </c:pt>
                <c:pt idx="22">
                  <c:v>11</c:v>
                </c:pt>
                <c:pt idx="23">
                  <c:v>11.680000000000291</c:v>
                </c:pt>
                <c:pt idx="24">
                  <c:v>11.75</c:v>
                </c:pt>
                <c:pt idx="25">
                  <c:v>10.529999999999745</c:v>
                </c:pt>
                <c:pt idx="26">
                  <c:v>10.539999999999964</c:v>
                </c:pt>
                <c:pt idx="27">
                  <c:v>10.779999999999745</c:v>
                </c:pt>
                <c:pt idx="28">
                  <c:v>10.659999999999854</c:v>
                </c:pt>
                <c:pt idx="29">
                  <c:v>11.080000000000837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66592"/>
        <c:axId val="114768128"/>
      </c:lineChart>
      <c:catAx>
        <c:axId val="11476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68128"/>
        <c:crosses val="autoZero"/>
        <c:auto val="1"/>
        <c:lblAlgn val="ctr"/>
        <c:lblOffset val="100"/>
        <c:noMultiLvlLbl val="0"/>
      </c:catAx>
      <c:valAx>
        <c:axId val="114768128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665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292.34999999997672</c:v>
                </c:pt>
                <c:pt idx="1">
                  <c:v>286.14000000001397</c:v>
                </c:pt>
                <c:pt idx="2">
                  <c:v>312</c:v>
                </c:pt>
                <c:pt idx="3">
                  <c:v>359</c:v>
                </c:pt>
                <c:pt idx="4">
                  <c:v>-9643</c:v>
                </c:pt>
                <c:pt idx="5">
                  <c:v>328.44999999995343</c:v>
                </c:pt>
                <c:pt idx="6">
                  <c:v>265.84000000008382</c:v>
                </c:pt>
                <c:pt idx="7">
                  <c:v>270.43999999994412</c:v>
                </c:pt>
                <c:pt idx="8">
                  <c:v>339.29000000003725</c:v>
                </c:pt>
                <c:pt idx="9">
                  <c:v>375.9100000000326</c:v>
                </c:pt>
                <c:pt idx="10">
                  <c:v>364.14999999990687</c:v>
                </c:pt>
                <c:pt idx="11">
                  <c:v>328.42000000004191</c:v>
                </c:pt>
                <c:pt idx="12">
                  <c:v>309.15000000002328</c:v>
                </c:pt>
                <c:pt idx="13">
                  <c:v>335.57999999995809</c:v>
                </c:pt>
                <c:pt idx="14">
                  <c:v>352.70999999996275</c:v>
                </c:pt>
                <c:pt idx="15">
                  <c:v>343.56000000005588</c:v>
                </c:pt>
                <c:pt idx="16">
                  <c:v>346.5</c:v>
                </c:pt>
                <c:pt idx="17">
                  <c:v>337</c:v>
                </c:pt>
                <c:pt idx="18">
                  <c:v>329</c:v>
                </c:pt>
                <c:pt idx="19">
                  <c:v>338</c:v>
                </c:pt>
                <c:pt idx="20">
                  <c:v>331.48999999999069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559.94999999983702</c:v>
                </c:pt>
                <c:pt idx="1">
                  <c:v>552.06000000017229</c:v>
                </c:pt>
                <c:pt idx="2">
                  <c:v>551.60000000000036</c:v>
                </c:pt>
                <c:pt idx="3">
                  <c:v>549</c:v>
                </c:pt>
                <c:pt idx="4">
                  <c:v>15421.199999999997</c:v>
                </c:pt>
                <c:pt idx="5">
                  <c:v>442.4500000000462</c:v>
                </c:pt>
                <c:pt idx="6">
                  <c:v>593.65999999991618</c:v>
                </c:pt>
                <c:pt idx="7">
                  <c:v>596.56000000005588</c:v>
                </c:pt>
                <c:pt idx="8">
                  <c:v>531.30999999996311</c:v>
                </c:pt>
                <c:pt idx="9">
                  <c:v>450.04999999996471</c:v>
                </c:pt>
                <c:pt idx="10">
                  <c:v>470.29000000009546</c:v>
                </c:pt>
                <c:pt idx="11">
                  <c:v>505.57999999995809</c:v>
                </c:pt>
                <c:pt idx="12">
                  <c:v>529.84999999997672</c:v>
                </c:pt>
                <c:pt idx="13">
                  <c:v>491.120000000039</c:v>
                </c:pt>
                <c:pt idx="14">
                  <c:v>507.58000000003813</c:v>
                </c:pt>
                <c:pt idx="15">
                  <c:v>517.14999999995052</c:v>
                </c:pt>
                <c:pt idx="16">
                  <c:v>490.79999999999563</c:v>
                </c:pt>
                <c:pt idx="17">
                  <c:v>507</c:v>
                </c:pt>
                <c:pt idx="18">
                  <c:v>495</c:v>
                </c:pt>
                <c:pt idx="19">
                  <c:v>487</c:v>
                </c:pt>
                <c:pt idx="20">
                  <c:v>513.7100000000064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106</c:v>
                </c:pt>
                <c:pt idx="1">
                  <c:v>116</c:v>
                </c:pt>
                <c:pt idx="2">
                  <c:v>114</c:v>
                </c:pt>
                <c:pt idx="3">
                  <c:v>111</c:v>
                </c:pt>
                <c:pt idx="4">
                  <c:v>-3205</c:v>
                </c:pt>
                <c:pt idx="5">
                  <c:v>107.5</c:v>
                </c:pt>
                <c:pt idx="6">
                  <c:v>98.5</c:v>
                </c:pt>
                <c:pt idx="7">
                  <c:v>98</c:v>
                </c:pt>
                <c:pt idx="8">
                  <c:v>88</c:v>
                </c:pt>
                <c:pt idx="9">
                  <c:v>116.94000000000233</c:v>
                </c:pt>
                <c:pt idx="10">
                  <c:v>116.05999999999767</c:v>
                </c:pt>
                <c:pt idx="11">
                  <c:v>114</c:v>
                </c:pt>
                <c:pt idx="12">
                  <c:v>104</c:v>
                </c:pt>
                <c:pt idx="13">
                  <c:v>114</c:v>
                </c:pt>
                <c:pt idx="14">
                  <c:v>85.410000000003492</c:v>
                </c:pt>
                <c:pt idx="15">
                  <c:v>96.989999999990687</c:v>
                </c:pt>
                <c:pt idx="16">
                  <c:v>114.60000000000582</c:v>
                </c:pt>
                <c:pt idx="17">
                  <c:v>107</c:v>
                </c:pt>
                <c:pt idx="18">
                  <c:v>125</c:v>
                </c:pt>
                <c:pt idx="19">
                  <c:v>99</c:v>
                </c:pt>
                <c:pt idx="20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99680"/>
        <c:axId val="115001216"/>
      </c:lineChart>
      <c:catAx>
        <c:axId val="1149996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5001216"/>
        <c:crosses val="autoZero"/>
        <c:auto val="1"/>
        <c:lblAlgn val="ctr"/>
        <c:lblOffset val="100"/>
        <c:noMultiLvlLbl val="0"/>
      </c:catAx>
      <c:valAx>
        <c:axId val="1150012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49996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566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0.27217439163423141</c:v>
                </c:pt>
                <c:pt idx="1">
                  <c:v>6103.4199999999837</c:v>
                </c:pt>
                <c:pt idx="2">
                  <c:v>7359.4100000000326</c:v>
                </c:pt>
                <c:pt idx="3">
                  <c:v>6053.679999999993</c:v>
                </c:pt>
                <c:pt idx="4">
                  <c:v>0</c:v>
                </c:pt>
                <c:pt idx="5">
                  <c:v>6391.1700000000419</c:v>
                </c:pt>
                <c:pt idx="6">
                  <c:v>6173</c:v>
                </c:pt>
                <c:pt idx="7">
                  <c:v>-202776</c:v>
                </c:pt>
                <c:pt idx="8">
                  <c:v>8124.6299999999901</c:v>
                </c:pt>
                <c:pt idx="9">
                  <c:v>5749.1899999999732</c:v>
                </c:pt>
                <c:pt idx="10">
                  <c:v>6949.2699999999604</c:v>
                </c:pt>
                <c:pt idx="11">
                  <c:v>6974.600000000064</c:v>
                </c:pt>
                <c:pt idx="12">
                  <c:v>7606.6199999999953</c:v>
                </c:pt>
                <c:pt idx="13">
                  <c:v>7562.2250000000349</c:v>
                </c:pt>
                <c:pt idx="14">
                  <c:v>7325.4749999999476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8645120"/>
        <c:axId val="11864665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699853</c:v>
                </c:pt>
                <c:pt idx="8">
                  <c:v>726353</c:v>
                </c:pt>
                <c:pt idx="9">
                  <c:v>752853</c:v>
                </c:pt>
                <c:pt idx="10">
                  <c:v>779353</c:v>
                </c:pt>
                <c:pt idx="11">
                  <c:v>805853</c:v>
                </c:pt>
                <c:pt idx="12">
                  <c:v>832353</c:v>
                </c:pt>
                <c:pt idx="13">
                  <c:v>858853</c:v>
                </c:pt>
                <c:pt idx="14">
                  <c:v>69844.399999999994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48192"/>
        <c:axId val="118658176"/>
      </c:lineChart>
      <c:catAx>
        <c:axId val="11864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46656"/>
        <c:crosses val="autoZero"/>
        <c:auto val="1"/>
        <c:lblAlgn val="ctr"/>
        <c:lblOffset val="100"/>
        <c:noMultiLvlLbl val="0"/>
      </c:catAx>
      <c:valAx>
        <c:axId val="11864665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45120"/>
        <c:crosses val="autoZero"/>
        <c:crossBetween val="between"/>
        <c:minorUnit val="50"/>
      </c:valAx>
      <c:catAx>
        <c:axId val="118648192"/>
        <c:scaling>
          <c:orientation val="minMax"/>
        </c:scaling>
        <c:delete val="1"/>
        <c:axPos val="b"/>
        <c:majorTickMark val="out"/>
        <c:minorTickMark val="none"/>
        <c:tickLblPos val="none"/>
        <c:crossAx val="118658176"/>
        <c:crosses val="autoZero"/>
        <c:auto val="1"/>
        <c:lblAlgn val="ctr"/>
        <c:lblOffset val="100"/>
        <c:noMultiLvlLbl val="0"/>
      </c:catAx>
      <c:valAx>
        <c:axId val="11865817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4819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66784"/>
        <c:axId val="119368320"/>
      </c:lineChart>
      <c:catAx>
        <c:axId val="11936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68320"/>
        <c:crosses val="autoZero"/>
        <c:auto val="1"/>
        <c:lblAlgn val="ctr"/>
        <c:lblOffset val="100"/>
        <c:noMultiLvlLbl val="0"/>
      </c:catAx>
      <c:valAx>
        <c:axId val="119368320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667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699853</c:v>
                </c:pt>
                <c:pt idx="8">
                  <c:v>726353</c:v>
                </c:pt>
                <c:pt idx="9">
                  <c:v>752853</c:v>
                </c:pt>
                <c:pt idx="10">
                  <c:v>779353</c:v>
                </c:pt>
                <c:pt idx="11">
                  <c:v>805853</c:v>
                </c:pt>
                <c:pt idx="12">
                  <c:v>832353</c:v>
                </c:pt>
                <c:pt idx="13">
                  <c:v>858853</c:v>
                </c:pt>
                <c:pt idx="14">
                  <c:v>69844.399999999994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9393280"/>
        <c:axId val="115741440"/>
      </c:lineChart>
      <c:catAx>
        <c:axId val="11939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41440"/>
        <c:crosses val="autoZero"/>
        <c:auto val="1"/>
        <c:lblAlgn val="ctr"/>
        <c:lblOffset val="100"/>
        <c:noMultiLvlLbl val="0"/>
      </c:catAx>
      <c:valAx>
        <c:axId val="115741440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932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4735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151</c:v>
                </c:pt>
                <c:pt idx="1">
                  <c:v>168</c:v>
                </c:pt>
                <c:pt idx="2">
                  <c:v>165</c:v>
                </c:pt>
                <c:pt idx="3">
                  <c:v>150</c:v>
                </c:pt>
                <c:pt idx="4">
                  <c:v>0</c:v>
                </c:pt>
                <c:pt idx="5">
                  <c:v>160</c:v>
                </c:pt>
                <c:pt idx="6">
                  <c:v>181</c:v>
                </c:pt>
                <c:pt idx="7">
                  <c:v>-5384</c:v>
                </c:pt>
                <c:pt idx="8">
                  <c:v>179</c:v>
                </c:pt>
                <c:pt idx="9">
                  <c:v>184</c:v>
                </c:pt>
                <c:pt idx="10">
                  <c:v>163</c:v>
                </c:pt>
                <c:pt idx="11">
                  <c:v>181</c:v>
                </c:pt>
                <c:pt idx="12">
                  <c:v>158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64224"/>
        <c:axId val="11577011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699853</c:v>
                </c:pt>
                <c:pt idx="8">
                  <c:v>726353</c:v>
                </c:pt>
                <c:pt idx="9">
                  <c:v>752853</c:v>
                </c:pt>
                <c:pt idx="10">
                  <c:v>779353</c:v>
                </c:pt>
                <c:pt idx="11">
                  <c:v>805853</c:v>
                </c:pt>
                <c:pt idx="12">
                  <c:v>832353</c:v>
                </c:pt>
                <c:pt idx="13">
                  <c:v>858853</c:v>
                </c:pt>
                <c:pt idx="14">
                  <c:v>69844.399999999994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71648"/>
        <c:axId val="115785728"/>
      </c:lineChart>
      <c:catAx>
        <c:axId val="11576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70112"/>
        <c:crosses val="autoZero"/>
        <c:auto val="1"/>
        <c:lblAlgn val="ctr"/>
        <c:lblOffset val="100"/>
        <c:noMultiLvlLbl val="0"/>
      </c:catAx>
      <c:valAx>
        <c:axId val="11577011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64224"/>
        <c:crosses val="autoZero"/>
        <c:crossBetween val="between"/>
      </c:valAx>
      <c:catAx>
        <c:axId val="115771648"/>
        <c:scaling>
          <c:orientation val="minMax"/>
        </c:scaling>
        <c:delete val="1"/>
        <c:axPos val="b"/>
        <c:majorTickMark val="out"/>
        <c:minorTickMark val="none"/>
        <c:tickLblPos val="none"/>
        <c:crossAx val="115785728"/>
        <c:crosses val="autoZero"/>
        <c:auto val="1"/>
        <c:lblAlgn val="ctr"/>
        <c:lblOffset val="100"/>
        <c:noMultiLvlLbl val="0"/>
      </c:catAx>
      <c:valAx>
        <c:axId val="11578572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71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28</c:v>
                </c:pt>
                <c:pt idx="1">
                  <c:v>37</c:v>
                </c:pt>
                <c:pt idx="2">
                  <c:v>21</c:v>
                </c:pt>
                <c:pt idx="3">
                  <c:v>20</c:v>
                </c:pt>
                <c:pt idx="4">
                  <c:v>0</c:v>
                </c:pt>
                <c:pt idx="5">
                  <c:v>25</c:v>
                </c:pt>
                <c:pt idx="6">
                  <c:v>41</c:v>
                </c:pt>
                <c:pt idx="7">
                  <c:v>-1087</c:v>
                </c:pt>
                <c:pt idx="8">
                  <c:v>45</c:v>
                </c:pt>
                <c:pt idx="9">
                  <c:v>48</c:v>
                </c:pt>
                <c:pt idx="10">
                  <c:v>28</c:v>
                </c:pt>
                <c:pt idx="11">
                  <c:v>45</c:v>
                </c:pt>
                <c:pt idx="12">
                  <c:v>27</c:v>
                </c:pt>
                <c:pt idx="13">
                  <c:v>45</c:v>
                </c:pt>
                <c:pt idx="1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6</c:v>
                </c:pt>
                <c:pt idx="1">
                  <c:v>11</c:v>
                </c:pt>
                <c:pt idx="2">
                  <c:v>14</c:v>
                </c:pt>
                <c:pt idx="3">
                  <c:v>6</c:v>
                </c:pt>
                <c:pt idx="4">
                  <c:v>0</c:v>
                </c:pt>
                <c:pt idx="5">
                  <c:v>8</c:v>
                </c:pt>
                <c:pt idx="6">
                  <c:v>8</c:v>
                </c:pt>
                <c:pt idx="7">
                  <c:v>-318</c:v>
                </c:pt>
                <c:pt idx="8">
                  <c:v>6</c:v>
                </c:pt>
                <c:pt idx="9">
                  <c:v>9</c:v>
                </c:pt>
                <c:pt idx="10">
                  <c:v>14</c:v>
                </c:pt>
                <c:pt idx="11">
                  <c:v>8</c:v>
                </c:pt>
                <c:pt idx="12">
                  <c:v>9</c:v>
                </c:pt>
                <c:pt idx="13">
                  <c:v>185</c:v>
                </c:pt>
                <c:pt idx="14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05664"/>
        <c:axId val="119915648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514370</c:v>
                </c:pt>
                <c:pt idx="1">
                  <c:v>540215</c:v>
                </c:pt>
                <c:pt idx="2">
                  <c:v>594162</c:v>
                </c:pt>
                <c:pt idx="3">
                  <c:v>568270</c:v>
                </c:pt>
                <c:pt idx="4">
                  <c:v>0</c:v>
                </c:pt>
                <c:pt idx="5">
                  <c:v>647436</c:v>
                </c:pt>
                <c:pt idx="6">
                  <c:v>673353</c:v>
                </c:pt>
                <c:pt idx="7">
                  <c:v>699853</c:v>
                </c:pt>
                <c:pt idx="8">
                  <c:v>726353</c:v>
                </c:pt>
                <c:pt idx="9">
                  <c:v>752853</c:v>
                </c:pt>
                <c:pt idx="10">
                  <c:v>779353</c:v>
                </c:pt>
                <c:pt idx="11">
                  <c:v>805853</c:v>
                </c:pt>
                <c:pt idx="12">
                  <c:v>832353</c:v>
                </c:pt>
                <c:pt idx="13">
                  <c:v>858853</c:v>
                </c:pt>
                <c:pt idx="14">
                  <c:v>69844.399999999994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17184"/>
        <c:axId val="119927168"/>
      </c:lineChart>
      <c:catAx>
        <c:axId val="11990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15648"/>
        <c:crosses val="autoZero"/>
        <c:auto val="1"/>
        <c:lblAlgn val="ctr"/>
        <c:lblOffset val="100"/>
        <c:noMultiLvlLbl val="0"/>
      </c:catAx>
      <c:valAx>
        <c:axId val="119915648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05664"/>
        <c:crosses val="autoZero"/>
        <c:crossBetween val="between"/>
        <c:majorUnit val="2"/>
      </c:valAx>
      <c:catAx>
        <c:axId val="119917184"/>
        <c:scaling>
          <c:orientation val="minMax"/>
        </c:scaling>
        <c:delete val="1"/>
        <c:axPos val="b"/>
        <c:majorTickMark val="out"/>
        <c:minorTickMark val="none"/>
        <c:tickLblPos val="none"/>
        <c:crossAx val="119927168"/>
        <c:crosses val="autoZero"/>
        <c:auto val="1"/>
        <c:lblAlgn val="ctr"/>
        <c:lblOffset val="100"/>
        <c:noMultiLvlLbl val="0"/>
      </c:catAx>
      <c:valAx>
        <c:axId val="11992716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1718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8</v>
      </c>
      <c r="D2" s="274">
        <v>2022</v>
      </c>
      <c r="E2" s="275">
        <f>(IF('Daily HLP'!H4&gt;0,'Daily HLP'!H4,0))</f>
        <v>25783</v>
      </c>
      <c r="F2" s="276">
        <v>9</v>
      </c>
      <c r="G2" s="276">
        <f>(IF('Daily HLP'!L4&gt;0,'Daily HLP'!L4,0))</f>
        <v>1063.6000000000931</v>
      </c>
      <c r="H2" s="276">
        <v>75</v>
      </c>
      <c r="I2" s="276">
        <f>(IF('Daily HLP'!O4&gt;0,'Daily HLP'!O4,0))</f>
        <v>182</v>
      </c>
      <c r="J2" s="276">
        <v>100</v>
      </c>
      <c r="K2" s="281">
        <f>Occupancy!G2</f>
        <v>119</v>
      </c>
      <c r="L2" s="275">
        <f>Occupancy!F2</f>
        <v>306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8</v>
      </c>
      <c r="D3" s="274">
        <v>2022</v>
      </c>
      <c r="E3" s="275">
        <f>(IF('Daily HLP'!H5&gt;0,'Daily HLP'!H5,0))</f>
        <v>25845</v>
      </c>
      <c r="F3" s="276">
        <v>9</v>
      </c>
      <c r="G3" s="276">
        <f>(IF('Daily HLP'!L5&gt;0,'Daily HLP'!L5,0))</f>
        <v>1000.6999999997206</v>
      </c>
      <c r="H3" s="276">
        <v>75</v>
      </c>
      <c r="I3" s="276">
        <f>(IF('Daily HLP'!O5&gt;0,'Daily HLP'!O5,0))</f>
        <v>231</v>
      </c>
      <c r="J3" s="276">
        <v>100</v>
      </c>
      <c r="K3" s="281">
        <f>Occupancy!G3</f>
        <v>130</v>
      </c>
      <c r="L3" s="275">
        <f>Occupancy!F3</f>
        <v>406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8</v>
      </c>
      <c r="D4" s="274">
        <v>2022</v>
      </c>
      <c r="E4" s="275">
        <f>(IF('Daily HLP'!H6&gt;0,'Daily HLP'!H6,0))</f>
        <v>28055</v>
      </c>
      <c r="F4" s="276">
        <v>9</v>
      </c>
      <c r="G4" s="276">
        <f>(IF('Daily HLP'!L6&gt;0,'Daily HLP'!L6,0))</f>
        <v>979.20000000018626</v>
      </c>
      <c r="H4" s="276">
        <v>75</v>
      </c>
      <c r="I4" s="276">
        <f>(IF('Daily HLP'!O6&gt;0,'Daily HLP'!O6,0))</f>
        <v>155</v>
      </c>
      <c r="J4" s="276">
        <v>100</v>
      </c>
      <c r="K4" s="281">
        <f>Occupancy!G4</f>
        <v>140</v>
      </c>
      <c r="L4" s="275">
        <f>Occupancy!F4</f>
        <v>744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8</v>
      </c>
      <c r="D5" s="274">
        <v>2022</v>
      </c>
      <c r="E5" s="275">
        <f>(IF('Daily HLP'!H7&gt;0,'Daily HLP'!H7,0))</f>
        <v>25892</v>
      </c>
      <c r="F5" s="276">
        <v>9</v>
      </c>
      <c r="G5" s="276">
        <f>(IF('Daily HLP'!L7&gt;0,'Daily HLP'!L7,0))</f>
        <v>1002.2999999998137</v>
      </c>
      <c r="H5" s="276">
        <v>75</v>
      </c>
      <c r="I5" s="276">
        <f>(IF('Daily HLP'!O7&gt;0,'Daily HLP'!O7,0))</f>
        <v>183</v>
      </c>
      <c r="J5" s="276">
        <v>100</v>
      </c>
      <c r="K5" s="281">
        <f>Occupancy!G5</f>
        <v>147</v>
      </c>
      <c r="L5" s="275">
        <f>Occupancy!F5</f>
        <v>534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8</v>
      </c>
      <c r="D6" s="274">
        <v>2022</v>
      </c>
      <c r="E6" s="275">
        <f>(IF('Daily HLP'!H8&gt;0,'Daily HLP'!H8,0))</f>
        <v>27118</v>
      </c>
      <c r="F6" s="276">
        <v>9</v>
      </c>
      <c r="G6" s="276">
        <f>(IF('Daily HLP'!L8&gt;0,'Daily HLP'!L8,0))</f>
        <v>1047.2000000001863</v>
      </c>
      <c r="H6" s="276">
        <v>75</v>
      </c>
      <c r="I6" s="276">
        <f>(IF('Daily HLP'!O8&gt;0,'Daily HLP'!O8,0))</f>
        <v>192</v>
      </c>
      <c r="J6" s="276">
        <v>100</v>
      </c>
      <c r="K6" s="281">
        <f>Occupancy!G6</f>
        <v>143</v>
      </c>
      <c r="L6" s="275">
        <f>Occupancy!F6</f>
        <v>428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8</v>
      </c>
      <c r="D7" s="274">
        <v>2022</v>
      </c>
      <c r="E7" s="275">
        <f>(IF('Daily HLP'!H9&gt;0,'Daily HLP'!H9,0))</f>
        <v>26156</v>
      </c>
      <c r="F7" s="276">
        <v>9</v>
      </c>
      <c r="G7" s="276">
        <f>(IF('Daily HLP'!L9&gt;0,'Daily HLP'!L9,0))</f>
        <v>981</v>
      </c>
      <c r="H7" s="276">
        <v>75</v>
      </c>
      <c r="I7" s="276">
        <f>(IF('Daily HLP'!O9&gt;0,'Daily HLP'!O9,0))</f>
        <v>247</v>
      </c>
      <c r="J7" s="276">
        <v>100</v>
      </c>
      <c r="K7" s="281">
        <f>Occupancy!G7</f>
        <v>138</v>
      </c>
      <c r="L7" s="275">
        <f>Occupancy!F7</f>
        <v>596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8</v>
      </c>
      <c r="D8" s="274">
        <v>2022</v>
      </c>
      <c r="E8" s="275">
        <f>(IF('Daily HLP'!H10&gt;0,'Daily HLP'!H10,0))</f>
        <v>25917</v>
      </c>
      <c r="F8" s="276">
        <v>9</v>
      </c>
      <c r="G8" s="276">
        <f>(IF('Daily HLP'!L10&gt;0,'Daily HLP'!L10,0))</f>
        <v>1066</v>
      </c>
      <c r="H8" s="276">
        <v>75</v>
      </c>
      <c r="I8" s="276">
        <f>(IF('Daily HLP'!O10&gt;0,'Daily HLP'!O10,0))</f>
        <v>287</v>
      </c>
      <c r="J8" s="276">
        <v>100</v>
      </c>
      <c r="K8" s="281">
        <f>Occupancy!G8</f>
        <v>125</v>
      </c>
      <c r="L8" s="275">
        <f>Occupancy!F8</f>
        <v>315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8</v>
      </c>
      <c r="D9" s="274">
        <v>2022</v>
      </c>
      <c r="E9" s="275">
        <f>(IF('Daily HLP'!H11&gt;0,'Daily HLP'!H11,0))</f>
        <v>26500</v>
      </c>
      <c r="F9" s="276">
        <v>9</v>
      </c>
      <c r="G9" s="276">
        <f>(IF('Daily HLP'!L11&gt;0,'Daily HLP'!L11,0))</f>
        <v>1000</v>
      </c>
      <c r="H9" s="276">
        <v>75</v>
      </c>
      <c r="I9" s="276">
        <f>(IF('Daily HLP'!O11&gt;0,'Daily HLP'!O11,0))</f>
        <v>0</v>
      </c>
      <c r="J9" s="276">
        <v>100</v>
      </c>
      <c r="K9" s="281">
        <f>Occupancy!G9</f>
        <v>0</v>
      </c>
      <c r="L9" s="275">
        <f>Occupancy!F9</f>
        <v>0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8</v>
      </c>
      <c r="D10" s="274">
        <v>2022</v>
      </c>
      <c r="E10" s="275">
        <f>(IF('Daily HLP'!H12&gt;0,'Daily HLP'!H12,0))</f>
        <v>26500</v>
      </c>
      <c r="F10" s="276">
        <v>9</v>
      </c>
      <c r="G10" s="276">
        <f>(IF('Daily HLP'!L12&gt;0,'Daily HLP'!L12,0))</f>
        <v>1000</v>
      </c>
      <c r="H10" s="276">
        <v>75</v>
      </c>
      <c r="I10" s="276">
        <f>(IF('Daily HLP'!O12&gt;0,'Daily HLP'!O12,0))</f>
        <v>270</v>
      </c>
      <c r="J10" s="276">
        <v>100</v>
      </c>
      <c r="K10" s="281">
        <f>Occupancy!G10</f>
        <v>0</v>
      </c>
      <c r="L10" s="275">
        <f>Occupancy!F10</f>
        <v>0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8</v>
      </c>
      <c r="D11" s="274">
        <v>2022</v>
      </c>
      <c r="E11" s="275">
        <f>(IF('Daily HLP'!H13&gt;0,'Daily HLP'!H13,0))</f>
        <v>26500</v>
      </c>
      <c r="F11" s="276">
        <v>9</v>
      </c>
      <c r="G11" s="276">
        <f>(IF('Daily HLP'!L13&gt;0,'Daily HLP'!L13,0))</f>
        <v>1000</v>
      </c>
      <c r="H11" s="276">
        <v>75</v>
      </c>
      <c r="I11" s="276">
        <f>(IF('Daily HLP'!O13&gt;0,'Daily HLP'!O13,0))</f>
        <v>270</v>
      </c>
      <c r="J11" s="276">
        <v>100</v>
      </c>
      <c r="K11" s="281">
        <f>Occupancy!G11</f>
        <v>0</v>
      </c>
      <c r="L11" s="275">
        <f>Occupancy!F11</f>
        <v>0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8</v>
      </c>
      <c r="D12" s="274">
        <v>2022</v>
      </c>
      <c r="E12" s="275">
        <f>(IF('Daily HLP'!H14&gt;0,'Daily HLP'!H14,0))</f>
        <v>26500</v>
      </c>
      <c r="F12" s="276">
        <v>9</v>
      </c>
      <c r="G12" s="276">
        <f>(IF('Daily HLP'!L14&gt;0,'Daily HLP'!L14,0))</f>
        <v>1000</v>
      </c>
      <c r="H12" s="276">
        <v>75</v>
      </c>
      <c r="I12" s="276">
        <f>(IF('Daily HLP'!O14&gt;0,'Daily HLP'!O14,0))</f>
        <v>221</v>
      </c>
      <c r="J12" s="276">
        <v>100</v>
      </c>
      <c r="K12" s="281">
        <f>Occupancy!G12</f>
        <v>0</v>
      </c>
      <c r="L12" s="275">
        <f>Occupancy!F12</f>
        <v>0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8</v>
      </c>
      <c r="D13" s="274">
        <v>2022</v>
      </c>
      <c r="E13" s="275">
        <f>(IF('Daily HLP'!H15&gt;0,'Daily HLP'!H15,0))</f>
        <v>26500</v>
      </c>
      <c r="F13" s="276">
        <v>9</v>
      </c>
      <c r="G13" s="276">
        <f>(IF('Daily HLP'!L15&gt;0,'Daily HLP'!L15,0))</f>
        <v>1000</v>
      </c>
      <c r="H13" s="276">
        <v>75</v>
      </c>
      <c r="I13" s="276">
        <f>(IF('Daily HLP'!O15&gt;0,'Daily HLP'!O15,0))</f>
        <v>254</v>
      </c>
      <c r="J13" s="276">
        <v>100</v>
      </c>
      <c r="K13" s="281">
        <f>Occupancy!G13</f>
        <v>0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8</v>
      </c>
      <c r="D14" s="274">
        <v>2022</v>
      </c>
      <c r="E14" s="275">
        <f>(IF('Daily HLP'!H16&gt;0,'Daily HLP'!H16,0))</f>
        <v>26500</v>
      </c>
      <c r="F14" s="276">
        <v>9</v>
      </c>
      <c r="G14" s="276">
        <f>(IF('Daily HLP'!L16&gt;0,'Daily HLP'!L16,0))</f>
        <v>1000</v>
      </c>
      <c r="H14" s="276">
        <v>75</v>
      </c>
      <c r="I14" s="276">
        <f>(IF('Daily HLP'!O16&gt;0,'Daily HLP'!O16,0))</f>
        <v>170</v>
      </c>
      <c r="J14" s="276">
        <v>100</v>
      </c>
      <c r="K14" s="281">
        <f>Occupancy!G14</f>
        <v>0</v>
      </c>
      <c r="L14" s="275">
        <f>Occupancy!F14</f>
        <v>0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8</v>
      </c>
      <c r="D15" s="274">
        <v>2022</v>
      </c>
      <c r="E15" s="275">
        <f>(IF('Daily HLP'!H17&gt;0,'Daily HLP'!H17,0))</f>
        <v>26500</v>
      </c>
      <c r="F15" s="276">
        <v>9</v>
      </c>
      <c r="G15" s="276">
        <f>(IF('Daily HLP'!L17&gt;0,'Daily HLP'!L17,0))</f>
        <v>1000</v>
      </c>
      <c r="H15" s="276">
        <v>75</v>
      </c>
      <c r="I15" s="276">
        <f>(IF('Daily HLP'!O17&gt;0,'Daily HLP'!O17,0))</f>
        <v>192</v>
      </c>
      <c r="J15" s="276">
        <v>100</v>
      </c>
      <c r="K15" s="281">
        <f>Occupancy!G15</f>
        <v>0</v>
      </c>
      <c r="L15" s="275">
        <f>Occupancy!F15</f>
        <v>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8</v>
      </c>
      <c r="D16" s="274">
        <v>2022</v>
      </c>
      <c r="E16" s="275">
        <f>(IF('Daily HLP'!H18&gt;0,'Daily HLP'!H18,0))</f>
        <v>26499.999999999993</v>
      </c>
      <c r="F16" s="276">
        <v>9</v>
      </c>
      <c r="G16" s="276">
        <f>(IF('Daily HLP'!L18&gt;0,'Daily HLP'!L18,0))</f>
        <v>1000</v>
      </c>
      <c r="H16" s="276">
        <v>75</v>
      </c>
      <c r="I16" s="276">
        <f>(IF('Daily HLP'!O18&gt;0,'Daily HLP'!O18,0))</f>
        <v>243</v>
      </c>
      <c r="J16" s="276">
        <v>100</v>
      </c>
      <c r="K16" s="281">
        <f>Occupancy!G16</f>
        <v>0</v>
      </c>
      <c r="L16" s="275">
        <f>Occupancy!F16</f>
        <v>0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8</v>
      </c>
      <c r="D17" s="274">
        <v>2022</v>
      </c>
      <c r="E17" s="275">
        <f>(IF('Daily HLP'!H19&gt;0,'Daily HLP'!H19,0))</f>
        <v>26500</v>
      </c>
      <c r="F17" s="276">
        <v>9</v>
      </c>
      <c r="G17" s="276">
        <f>(IF('Daily HLP'!L19&gt;0,'Daily HLP'!L19,0))</f>
        <v>1000</v>
      </c>
      <c r="H17" s="276">
        <v>75</v>
      </c>
      <c r="I17" s="276">
        <f>(IF('Daily HLP'!O19&gt;0,'Daily HLP'!O19,0))</f>
        <v>272</v>
      </c>
      <c r="J17" s="276">
        <v>100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8</v>
      </c>
      <c r="D18" s="274">
        <v>2022</v>
      </c>
      <c r="E18" s="275">
        <f>(IF('Daily HLP'!H20&gt;0,'Daily HLP'!H20,0))</f>
        <v>26500</v>
      </c>
      <c r="F18" s="276">
        <v>9</v>
      </c>
      <c r="G18" s="276">
        <f>(IF('Daily HLP'!L20&gt;0,'Daily HLP'!L20,0))</f>
        <v>1000</v>
      </c>
      <c r="H18" s="276">
        <v>75</v>
      </c>
      <c r="I18" s="276">
        <f>(IF('Daily HLP'!O20&gt;0,'Daily HLP'!O20,0))</f>
        <v>320</v>
      </c>
      <c r="J18" s="276">
        <v>100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8</v>
      </c>
      <c r="D19" s="274">
        <v>2022</v>
      </c>
      <c r="E19" s="275">
        <f>(IF('Daily HLP'!H21&gt;0,'Daily HLP'!H21,0))</f>
        <v>26500</v>
      </c>
      <c r="F19" s="276">
        <v>9</v>
      </c>
      <c r="G19" s="276">
        <f>(IF('Daily HLP'!L21&gt;0,'Daily HLP'!L21,0))</f>
        <v>1000</v>
      </c>
      <c r="H19" s="276">
        <v>75</v>
      </c>
      <c r="I19" s="276">
        <f>(IF('Daily HLP'!O21&gt;0,'Daily HLP'!O21,0))</f>
        <v>274</v>
      </c>
      <c r="J19" s="276">
        <v>100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8</v>
      </c>
      <c r="D20" s="274">
        <v>2022</v>
      </c>
      <c r="E20" s="275">
        <f>(IF('Daily HLP'!H22&gt;0,'Daily HLP'!H22,0))</f>
        <v>26500</v>
      </c>
      <c r="F20" s="276">
        <v>9</v>
      </c>
      <c r="G20" s="276">
        <f>(IF('Daily HLP'!L22&gt;0,'Daily HLP'!L22,0))</f>
        <v>1000</v>
      </c>
      <c r="H20" s="276">
        <v>75</v>
      </c>
      <c r="I20" s="276">
        <f>(IF('Daily HLP'!O22&gt;0,'Daily HLP'!O22,0))</f>
        <v>226</v>
      </c>
      <c r="J20" s="276">
        <v>100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8</v>
      </c>
      <c r="D21" s="274">
        <v>2022</v>
      </c>
      <c r="E21" s="275">
        <f>(IF('Daily HLP'!H23&gt;0,'Daily HLP'!H23,0))</f>
        <v>26500</v>
      </c>
      <c r="F21" s="276">
        <v>9</v>
      </c>
      <c r="G21" s="276">
        <f>(IF('Daily HLP'!L23&gt;0,'Daily HLP'!L23,0))</f>
        <v>1000</v>
      </c>
      <c r="H21" s="276">
        <v>75</v>
      </c>
      <c r="I21" s="276">
        <f>(IF('Daily HLP'!O23&gt;0,'Daily HLP'!O23,0))</f>
        <v>273</v>
      </c>
      <c r="J21" s="276">
        <v>100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8</v>
      </c>
      <c r="D22" s="274">
        <v>2022</v>
      </c>
      <c r="E22" s="275">
        <f>(IF('Daily HLP'!H24&gt;0,'Daily HLP'!H24,0))</f>
        <v>26500</v>
      </c>
      <c r="F22" s="276">
        <v>9</v>
      </c>
      <c r="G22" s="276">
        <f>(IF('Daily HLP'!L24&gt;0,'Daily HLP'!L24,0))</f>
        <v>1000</v>
      </c>
      <c r="H22" s="276">
        <v>75</v>
      </c>
      <c r="I22" s="276">
        <f>(IF('Daily HLP'!O24&gt;0,'Daily HLP'!O24,0))</f>
        <v>220</v>
      </c>
      <c r="J22" s="276">
        <v>100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8</v>
      </c>
      <c r="D23" s="274">
        <v>2022</v>
      </c>
      <c r="E23" s="275">
        <f>(IF('Daily HLP'!H25&gt;0,'Daily HLP'!H25,0))</f>
        <v>26500</v>
      </c>
      <c r="F23" s="276">
        <v>9</v>
      </c>
      <c r="G23" s="276">
        <f>(IF('Daily HLP'!L25&gt;0,'Daily HLP'!L25,0))</f>
        <v>1000</v>
      </c>
      <c r="H23" s="276">
        <v>75</v>
      </c>
      <c r="I23" s="276">
        <f>(IF('Daily HLP'!O25&gt;0,'Daily HLP'!O25,0))</f>
        <v>269</v>
      </c>
      <c r="J23" s="276">
        <v>100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8</v>
      </c>
      <c r="D24" s="274">
        <v>2022</v>
      </c>
      <c r="E24" s="275">
        <f>(IF('Daily HLP'!H26&gt;0,'Daily HLP'!H26,0))</f>
        <v>26500.000000000029</v>
      </c>
      <c r="F24" s="276">
        <v>9</v>
      </c>
      <c r="G24" s="276">
        <f>(IF('Daily HLP'!L26&gt;0,'Daily HLP'!L26,0))</f>
        <v>1000</v>
      </c>
      <c r="H24" s="276">
        <v>75</v>
      </c>
      <c r="I24" s="276">
        <f>(IF('Daily HLP'!O26&gt;0,'Daily HLP'!O26,0))</f>
        <v>231</v>
      </c>
      <c r="J24" s="276">
        <v>100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8</v>
      </c>
      <c r="D25" s="274">
        <v>2022</v>
      </c>
      <c r="E25" s="275">
        <f>(IF('Daily HLP'!H27&gt;0,'Daily HLP'!H27,0))</f>
        <v>26500</v>
      </c>
      <c r="F25" s="276">
        <v>9</v>
      </c>
      <c r="G25" s="276">
        <f>(IF('Daily HLP'!L27&gt;0,'Daily HLP'!L27,0))</f>
        <v>1000</v>
      </c>
      <c r="H25" s="276">
        <v>75</v>
      </c>
      <c r="I25" s="276">
        <f>(IF('Daily HLP'!O27&gt;0,'Daily HLP'!O27,0))</f>
        <v>197</v>
      </c>
      <c r="J25" s="276">
        <v>100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8</v>
      </c>
      <c r="D26" s="274">
        <v>2022</v>
      </c>
      <c r="E26" s="275">
        <f>(IF('Daily HLP'!H28&gt;0,'Daily HLP'!H28,0))</f>
        <v>26500</v>
      </c>
      <c r="F26" s="276">
        <v>9</v>
      </c>
      <c r="G26" s="276">
        <f>(IF('Daily HLP'!L28&gt;0,'Daily HLP'!L28,0))</f>
        <v>1000</v>
      </c>
      <c r="H26" s="276">
        <v>75</v>
      </c>
      <c r="I26" s="276">
        <f>(IF('Daily HLP'!O28&gt;0,'Daily HLP'!O28,0))</f>
        <v>201</v>
      </c>
      <c r="J26" s="276">
        <v>100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8</v>
      </c>
      <c r="D27" s="274">
        <v>2022</v>
      </c>
      <c r="E27" s="275">
        <f>(IF('Daily HLP'!H29&gt;0,'Daily HLP'!H29,0))</f>
        <v>26500</v>
      </c>
      <c r="F27" s="276">
        <v>9</v>
      </c>
      <c r="G27" s="276">
        <f>(IF('Daily HLP'!L29&gt;0,'Daily HLP'!L29,0))</f>
        <v>1000</v>
      </c>
      <c r="H27" s="276">
        <v>75</v>
      </c>
      <c r="I27" s="276">
        <f>(IF('Daily HLP'!O29&gt;0,'Daily HLP'!O29,0))</f>
        <v>231</v>
      </c>
      <c r="J27" s="276">
        <v>100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8</v>
      </c>
      <c r="D28" s="274">
        <v>2022</v>
      </c>
      <c r="E28" s="275">
        <f>(IF('Daily HLP'!H30&gt;0,'Daily HLP'!H30,0))</f>
        <v>26500</v>
      </c>
      <c r="F28" s="276">
        <v>9</v>
      </c>
      <c r="G28" s="276">
        <f>(IF('Daily HLP'!L30&gt;0,'Daily HLP'!L30,0))</f>
        <v>1000</v>
      </c>
      <c r="H28" s="276">
        <v>75</v>
      </c>
      <c r="I28" s="276">
        <f>(IF('Daily HLP'!O30&gt;0,'Daily HLP'!O30,0))</f>
        <v>260</v>
      </c>
      <c r="J28" s="276">
        <v>100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8</v>
      </c>
      <c r="D29" s="274">
        <v>2022</v>
      </c>
      <c r="E29" s="275">
        <f>(IF('Daily HLP'!H31&gt;0,'Daily HLP'!H31,0))</f>
        <v>26500</v>
      </c>
      <c r="F29" s="276">
        <v>9</v>
      </c>
      <c r="G29" s="276">
        <f>(IF('Daily HLP'!L31&gt;0,'Daily HLP'!L31,0))</f>
        <v>1000</v>
      </c>
      <c r="H29" s="276">
        <v>75</v>
      </c>
      <c r="I29" s="276">
        <f>(IF('Daily HLP'!O31&gt;0,'Daily HLP'!O31,0))</f>
        <v>190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8</v>
      </c>
      <c r="D30" s="274">
        <v>2022</v>
      </c>
      <c r="E30" s="275">
        <f>(IF('Daily HLP'!H32&gt;0,'Daily HLP'!H32,0))</f>
        <v>26500</v>
      </c>
      <c r="F30" s="276">
        <v>9</v>
      </c>
      <c r="G30" s="276">
        <f>(IF('Daily HLP'!L32&gt;0,'Daily HLP'!L32,0))</f>
        <v>1000</v>
      </c>
      <c r="H30" s="276">
        <v>75</v>
      </c>
      <c r="I30" s="276">
        <f>(IF('Daily HLP'!O32&gt;0,'Daily HLP'!O32,0))</f>
        <v>231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8</v>
      </c>
      <c r="D31" s="274">
        <v>2022</v>
      </c>
      <c r="E31" s="275">
        <f>(IF('Daily HLP'!H33&gt;0,'Daily HLP'!H33,0))</f>
        <v>26500</v>
      </c>
      <c r="F31" s="276">
        <v>9</v>
      </c>
      <c r="G31" s="276">
        <f>(IF('Daily HLP'!L33&gt;0,'Daily HLP'!L33,0))</f>
        <v>1000</v>
      </c>
      <c r="H31" s="276">
        <v>75</v>
      </c>
      <c r="I31" s="276">
        <f>(IF('Daily HLP'!O33&gt;0,'Daily HLP'!O33,0))</f>
        <v>181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8</v>
      </c>
      <c r="D32" s="274">
        <v>2022</v>
      </c>
      <c r="E32" s="275">
        <f>(IF('Daily HLP'!H34&gt;0,'Daily HLP'!H34,0))</f>
        <v>26500</v>
      </c>
      <c r="F32" s="276">
        <v>9</v>
      </c>
      <c r="G32" s="276">
        <f>(IF('Daily HLP'!L34&gt;0,'Daily HLP'!L34,0))</f>
        <v>1000</v>
      </c>
      <c r="H32" s="276">
        <v>75</v>
      </c>
      <c r="I32" s="276">
        <f>(IF('Daily HLP'!O34&gt;0,'Daily HLP'!O34,0))</f>
        <v>321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8</v>
      </c>
      <c r="D2" s="288">
        <v>2022</v>
      </c>
      <c r="E2" s="294">
        <f>(IF('Section Load'!F5&gt;0,'Section Load'!F5,0))</f>
        <v>4229.3499999999767</v>
      </c>
      <c r="F2" s="294">
        <f>(IF('Section Load'!G5&gt;0,'Section Load'!G5,0))</f>
        <v>1127.2000000000007</v>
      </c>
      <c r="G2" s="294">
        <f>(IF('Section Load'!H5&gt;0,'Section Load'!H5,0))</f>
        <v>2260.0599999999886</v>
      </c>
      <c r="H2" s="294">
        <f>(IF('Section Load'!I5&gt;0,'Section Load'!I5,0))</f>
        <v>4348.8599999999424</v>
      </c>
      <c r="I2" s="294">
        <f>(IF('Section Load'!J5&gt;0,'Section Load'!J5,0))</f>
        <v>6923.2999999999447</v>
      </c>
      <c r="J2" s="294">
        <f>(IF('Section Load'!K5&gt;0,'Section Load'!K5,0))</f>
        <v>3125.4500000000116</v>
      </c>
      <c r="K2" s="294">
        <f>(IF('Section Load'!L5&gt;0,'Section Load'!L5,0))</f>
        <v>1020.390000000014</v>
      </c>
      <c r="L2" s="294">
        <f>(IF('Section Load'!M5&gt;0,'Section Load'!M5,0))</f>
        <v>620.19000000000233</v>
      </c>
      <c r="M2" s="294">
        <f>(IF('Section Load'!N5&gt;0,'Section Load'!N5,0))</f>
        <v>168</v>
      </c>
      <c r="N2" s="294">
        <f>(IF('Section Load'!O5&gt;0,'Section Load'!O5,0))</f>
        <v>139</v>
      </c>
      <c r="O2" s="294">
        <f>(IF('Section Load'!P5&gt;0,'Section Load'!P5,0))</f>
        <v>15</v>
      </c>
      <c r="P2" s="294">
        <f>(IF('Section Load'!Q5&gt;0,'Section Load'!Q5,0))</f>
        <v>185.55999999999767</v>
      </c>
      <c r="Q2" s="294">
        <f>(IF('Section Load'!R5&gt;0,'Section Load'!R5,0))</f>
        <v>63.400000000001455</v>
      </c>
      <c r="R2" s="294">
        <f>(IF('Section Load'!S5&gt;0,'Section Load'!S5,0))</f>
        <v>32</v>
      </c>
      <c r="S2" s="294">
        <f>(IF('Section Load'!T5&gt;0,'Section Load'!T5,0))</f>
        <v>139</v>
      </c>
      <c r="T2" s="294">
        <f>(IF('Section Load'!U5&gt;0,'Section Load'!U5,0))</f>
        <v>207</v>
      </c>
      <c r="U2" s="294">
        <f>(IF('Section Load'!V5&gt;0,'Section Load'!V5,0))</f>
        <v>365.31999999994878</v>
      </c>
      <c r="V2" s="294">
        <f>(IF('Section Load'!W5&gt;0,'Section Load'!W5,0))</f>
        <v>323.43999999994412</v>
      </c>
      <c r="W2" s="294">
        <f>(IF('Section Load'!X5&gt;0,'Section Load'!X5,0))</f>
        <v>24.8799999999992</v>
      </c>
      <c r="X2" s="294">
        <f>(IF('Section Load'!Y5&gt;0,'Section Load'!Y5,0))</f>
        <v>277.2699999999968</v>
      </c>
      <c r="Y2" s="294">
        <f>(IF('Section Load'!Z5&gt;0,'Section Load'!Z5,0))</f>
        <v>337</v>
      </c>
      <c r="Z2" s="294">
        <f>(IF('Section Load'!AA5&gt;0,'Section Load'!AA5,0))</f>
        <v>17.64000000001397</v>
      </c>
      <c r="AA2" s="294">
        <f>(IF('Section Load'!AB5&gt;0,'Section Load'!AB5,0))</f>
        <v>41.30000000000291</v>
      </c>
      <c r="AB2" s="294">
        <f>(IF('Section Load'!AC5&gt;0,'Section Load'!AC5,0))</f>
        <v>0</v>
      </c>
      <c r="AC2" s="294">
        <f>(IF('Section Load'!AD5&gt;0,'Section Load'!AD5,0))</f>
        <v>161.10000000000036</v>
      </c>
      <c r="AD2" s="294">
        <f>(IF('Section Load'!AE5&gt;0,'Section Load'!AE5,0))</f>
        <v>418.74000000000524</v>
      </c>
      <c r="AE2" s="294">
        <f>(IF('Section Load'!AF5&gt;0,'Section Load'!AF5,0))</f>
        <v>225.51900000000023</v>
      </c>
      <c r="AF2" s="294">
        <f>(IF('Section Load'!AG5&gt;0,'Section Load'!AG5,0))</f>
        <v>632.98999999999796</v>
      </c>
      <c r="AG2" s="294">
        <f>(IF('Section Load'!AH5&gt;0,'Section Load'!AH5,0))</f>
        <v>224.40000000000146</v>
      </c>
      <c r="AH2" s="294">
        <f>(IF('Section Load'!AI5&gt;0,'Section Load'!AI5,0))</f>
        <v>412.90000000000146</v>
      </c>
      <c r="AI2" s="294">
        <f>(IF('Section Load'!AJ5&gt;0,'Section Load'!AJ5,0))</f>
        <v>477.12000000000262</v>
      </c>
      <c r="AJ2" s="294">
        <f>(IF('Section Load'!AK5&gt;0,'Section Load'!AK5,0))</f>
        <v>270</v>
      </c>
      <c r="AK2" s="294">
        <f>(IF('Section Load'!AL5&gt;0,'Section Load'!AL5,0))</f>
        <v>315.90000000000146</v>
      </c>
      <c r="AL2" s="294">
        <f>(IF('Section Load'!AM5&gt;0,'Section Load'!AM5,0))</f>
        <v>0</v>
      </c>
      <c r="AM2" s="295">
        <f>(IF('Water Report'!$D$7&gt;0,'Water Report'!$D$7,0))</f>
        <v>97</v>
      </c>
      <c r="AN2" s="295">
        <f>(IF('Water Report'!$D$8&gt;0,'Water Report'!$D$8,0))</f>
        <v>177</v>
      </c>
      <c r="AO2" s="295">
        <f>(IF('Water Report'!$D$9&gt;0,'Water Report'!$D$9,0))</f>
        <v>92</v>
      </c>
      <c r="AP2" s="295">
        <f>(IF('Water Report'!$D$10&gt;0,'Water Report'!$D$10,0))</f>
        <v>25</v>
      </c>
      <c r="AQ2" s="295">
        <f>(IF('Water Report'!$D$11&gt;0,'Water Report'!$D$11,0))</f>
        <v>0</v>
      </c>
      <c r="AR2" s="295">
        <f>(IF('Water Report'!$D$13&gt;0,'Water Report'!$D$13,0))</f>
        <v>18</v>
      </c>
      <c r="AS2" s="295">
        <f>(IF('Water Report'!$D$14&gt;0,'Water Report'!$D$14,0))</f>
        <v>10</v>
      </c>
      <c r="AT2" s="295">
        <f>(IF('Water Report'!$D$15&gt;0,'Water Report'!$D$15,0))</f>
        <v>6</v>
      </c>
      <c r="AU2" s="295">
        <f>(IF('Water Report'!$D$17&gt;0,'Water Report'!$D$17,0))</f>
        <v>0</v>
      </c>
      <c r="AV2" s="295">
        <f>(IF('Water Report'!$D$18&gt;0,'Water Report'!$D$18,0))</f>
        <v>13</v>
      </c>
      <c r="AW2" s="295">
        <f>(IF('Water Report'!$D$19&gt;0,'Water Report'!$D$19,0))</f>
        <v>11</v>
      </c>
      <c r="AX2" s="301">
        <f>(IF('Water Report'!$D$21&gt;0,'Water Report'!$D$21,0))</f>
        <v>109</v>
      </c>
      <c r="AY2" s="301">
        <f>(IF('Water Report'!$D$22&gt;0,'Water Report'!$D$22,0))</f>
        <v>0</v>
      </c>
      <c r="AZ2" s="301">
        <f>(IF('Water Report'!$D$23&gt;0,'Water Report'!$D$23,0))</f>
        <v>7</v>
      </c>
      <c r="BA2" s="301">
        <f>(IF('Water Report'!$D$14&gt;0,'Water Report'!$D$14,0))</f>
        <v>10</v>
      </c>
      <c r="BB2" s="301">
        <f>(IF('Water Report'!$D$15&gt;0,'Water Report'!$D$15,0))</f>
        <v>6</v>
      </c>
      <c r="BC2" s="301">
        <f>(IF('Water Report'!$D$13&gt;0,'Water Report'!$D$13,0))</f>
        <v>18</v>
      </c>
      <c r="BD2" s="301">
        <f>(IF('Water Report'!$D$24&gt;0,'Water Report'!$D$24,0))</f>
        <v>182</v>
      </c>
      <c r="BE2" s="301">
        <f>(IF('Water Report'!$D$25&gt;0,'Water Report'!$D$25,0))</f>
        <v>133</v>
      </c>
      <c r="BF2" s="301">
        <f>(IF('Water Report'!$D$27&gt;0,'Water Report'!$D$27,0))</f>
        <v>134</v>
      </c>
      <c r="BG2" s="296">
        <f>(IF('Section Load'!AN5&gt;0,'Section Load'!AN5,0))</f>
        <v>1063.6000000000931</v>
      </c>
      <c r="BH2" s="296">
        <f>(IF('Section Load'!AO5&gt;0,'Section Load'!AO5,0))</f>
        <v>308.04000000003725</v>
      </c>
      <c r="BI2" s="296">
        <f>(IF('Section Load'!AP5&gt;0,'Section Load'!AP5,0))</f>
        <v>0</v>
      </c>
      <c r="BJ2" s="296">
        <f>(IF('Section Load'!AQ5&gt;0,'Section Load'!AQ5,0))</f>
        <v>116.70000000001164</v>
      </c>
      <c r="BK2" s="296">
        <f>(IF('Section Load'!AR5&gt;0,'Section Load'!AR5,0))</f>
        <v>43</v>
      </c>
      <c r="BL2" s="296">
        <f>(IF('Section Load'!AS5&gt;0,'Section Load'!AS5,0))</f>
        <v>0</v>
      </c>
      <c r="BM2" s="296">
        <f>(IF('Section Load'!AT5&gt;0,'Section Load'!AT5,0))</f>
        <v>596.66000000004715</v>
      </c>
    </row>
    <row r="3" spans="1:65">
      <c r="A3" s="287" t="s">
        <v>268</v>
      </c>
      <c r="B3" s="288">
        <f>B2+1</f>
        <v>2</v>
      </c>
      <c r="C3" s="288">
        <v>8</v>
      </c>
      <c r="D3" s="288">
        <v>2022</v>
      </c>
      <c r="E3" s="294">
        <f>(IF('Section Load'!F6&gt;0,'Section Load'!F6,0))</f>
        <v>4402.7000000000116</v>
      </c>
      <c r="F3" s="294">
        <f>(IF('Section Load'!G6&gt;0,'Section Load'!G6,0))</f>
        <v>1083.3100000000013</v>
      </c>
      <c r="G3" s="294">
        <f>(IF('Section Load'!H6&gt;0,'Section Load'!H6,0))</f>
        <v>2221.0499999999884</v>
      </c>
      <c r="H3" s="294">
        <f>(IF('Section Load'!I6&gt;0,'Section Load'!I6,0))</f>
        <v>4423.6300000000047</v>
      </c>
      <c r="I3" s="294">
        <f>(IF('Section Load'!J6&gt;0,'Section Load'!J6,0))</f>
        <v>6103.4199999999837</v>
      </c>
      <c r="J3" s="294">
        <f>(IF('Section Load'!K6&gt;0,'Section Load'!K6,0))</f>
        <v>2942.6199999999953</v>
      </c>
      <c r="K3" s="294">
        <f>(IF('Section Load'!L6&gt;0,'Section Load'!L6,0))</f>
        <v>1053.8399999999674</v>
      </c>
      <c r="L3" s="294">
        <f>(IF('Section Load'!M6&gt;0,'Section Load'!M6,0))</f>
        <v>775.66000000000349</v>
      </c>
      <c r="M3" s="294">
        <f>(IF('Section Load'!N6&gt;0,'Section Load'!N6,0))</f>
        <v>141</v>
      </c>
      <c r="N3" s="294">
        <f>(IF('Section Load'!O6&gt;0,'Section Load'!O6,0))</f>
        <v>140</v>
      </c>
      <c r="O3" s="294">
        <f>(IF('Section Load'!P6&gt;0,'Section Load'!P6,0))</f>
        <v>15.200000000000045</v>
      </c>
      <c r="P3" s="294">
        <f>(IF('Section Load'!Q6&gt;0,'Section Load'!Q6,0))</f>
        <v>190.60000000000582</v>
      </c>
      <c r="Q3" s="294">
        <f>(IF('Section Load'!R6&gt;0,'Section Load'!R6,0))</f>
        <v>64.129999999997381</v>
      </c>
      <c r="R3" s="294">
        <f>(IF('Section Load'!S6&gt;0,'Section Load'!S6,0))</f>
        <v>36.739999999999782</v>
      </c>
      <c r="S3" s="294">
        <f>(IF('Section Load'!T6&gt;0,'Section Load'!T6,0))</f>
        <v>80</v>
      </c>
      <c r="T3" s="294">
        <f>(IF('Section Load'!U6&gt;0,'Section Load'!U6,0))</f>
        <v>213</v>
      </c>
      <c r="U3" s="294">
        <f>(IF('Section Load'!V6&gt;0,'Section Load'!V6,0))</f>
        <v>364.68000000005122</v>
      </c>
      <c r="V3" s="294">
        <f>(IF('Section Load'!W6&gt;0,'Section Load'!W6,0))</f>
        <v>249.52000000001863</v>
      </c>
      <c r="W3" s="294">
        <f>(IF('Section Load'!X6&gt;0,'Section Load'!X6,0))</f>
        <v>29.020000000000437</v>
      </c>
      <c r="X3" s="294">
        <f>(IF('Section Load'!Y6&gt;0,'Section Load'!Y6,0))</f>
        <v>251.67000000000553</v>
      </c>
      <c r="Y3" s="294">
        <f>(IF('Section Load'!Z6&gt;0,'Section Load'!Z6,0))</f>
        <v>331</v>
      </c>
      <c r="Z3" s="294">
        <f>(IF('Section Load'!AA6&gt;0,'Section Load'!AA6,0))</f>
        <v>39.07999999995809</v>
      </c>
      <c r="AA3" s="294">
        <f>(IF('Section Load'!AB6&gt;0,'Section Load'!AB6,0))</f>
        <v>46</v>
      </c>
      <c r="AB3" s="294">
        <f>(IF('Section Load'!AC6&gt;0,'Section Load'!AC6,0))</f>
        <v>0</v>
      </c>
      <c r="AC3" s="294">
        <f>(IF('Section Load'!AD6&gt;0,'Section Load'!AD6,0))</f>
        <v>146.39999999999964</v>
      </c>
      <c r="AD3" s="294">
        <f>(IF('Section Load'!AE6&gt;0,'Section Load'!AE6,0))</f>
        <v>406.83999999999651</v>
      </c>
      <c r="AE3" s="294">
        <f>(IF('Section Load'!AF6&gt;0,'Section Load'!AF6,0))</f>
        <v>262.65099999999802</v>
      </c>
      <c r="AF3" s="294">
        <f>(IF('Section Load'!AG6&gt;0,'Section Load'!AG6,0))</f>
        <v>629.99999999999272</v>
      </c>
      <c r="AG3" s="294">
        <f>(IF('Section Load'!AH6&gt;0,'Section Load'!AH6,0))</f>
        <v>232.15999999999622</v>
      </c>
      <c r="AH3" s="294">
        <f>(IF('Section Load'!AI6&gt;0,'Section Load'!AI6,0))</f>
        <v>395.47000000000116</v>
      </c>
      <c r="AI3" s="294">
        <f>(IF('Section Load'!AJ6&gt;0,'Section Load'!AJ6,0))</f>
        <v>481.5</v>
      </c>
      <c r="AJ3" s="294">
        <f>(IF('Section Load'!AK6&gt;0,'Section Load'!AK6,0))</f>
        <v>278.86000000000058</v>
      </c>
      <c r="AK3" s="294">
        <f>(IF('Section Load'!AL6&gt;0,'Section Load'!AL6,0))</f>
        <v>319.93000000000029</v>
      </c>
      <c r="AL3" s="294">
        <f>(IF('Section Load'!AM6&gt;0,'Section Load'!AM6,0))</f>
        <v>0</v>
      </c>
      <c r="AM3" s="295">
        <f>(IF('Water Report'!$E$7&gt;0,'Water Report'!$E$7,0))</f>
        <v>97</v>
      </c>
      <c r="AN3" s="295">
        <f>(IF('Water Report'!$E$8&gt;0,'Water Report'!$E$8,0))</f>
        <v>147</v>
      </c>
      <c r="AO3" s="295">
        <f>(IF('Water Report'!$E$9&gt;0,'Water Report'!$E$9,0))</f>
        <v>103</v>
      </c>
      <c r="AP3" s="295">
        <f>(IF('Water Report'!$E$10&gt;0,'Water Report'!$E$10,0))</f>
        <v>17</v>
      </c>
      <c r="AQ3" s="295">
        <f>(IF('Water Report'!$E$11&gt;0,'Water Report'!$E$11,0))</f>
        <v>0</v>
      </c>
      <c r="AR3" s="295">
        <f>(IF('Water Report'!$E$13&gt;0,'Water Report'!$E$13,0))</f>
        <v>34</v>
      </c>
      <c r="AS3" s="295">
        <f>(IF('Water Report'!$E$14&gt;0,'Water Report'!$E$14,0))</f>
        <v>3</v>
      </c>
      <c r="AT3" s="295">
        <f>(IF('Water Report'!$E$15&gt;0,'Water Report'!$E$15,0))</f>
        <v>11</v>
      </c>
      <c r="AU3" s="295">
        <f>(IF('Water Report'!$E$17&gt;0,'Water Report'!$E$17,0))</f>
        <v>5</v>
      </c>
      <c r="AV3" s="295">
        <f>(IF('Water Report'!$E$18&gt;0,'Water Report'!$E$18,0))</f>
        <v>13</v>
      </c>
      <c r="AW3" s="295">
        <f>(IF('Water Report'!$E$19&gt;0,'Water Report'!$E$19,0))</f>
        <v>12</v>
      </c>
      <c r="AX3" s="301">
        <f>(IF('Water Report'!$E$21&gt;0,'Water Report'!$E$21,0))</f>
        <v>85</v>
      </c>
      <c r="AY3" s="301">
        <f>(IF('Water Report'!$E$22&gt;0,'Water Report'!$E$22,0))</f>
        <v>0</v>
      </c>
      <c r="AZ3" s="301">
        <f>(IF('Water Report'!$E$23&gt;0,'Water Report'!$E$23,0))</f>
        <v>0</v>
      </c>
      <c r="BA3" s="301">
        <f>(IF('Water Report'!$E$14&gt;0,'Water Report'!$E$14,0))</f>
        <v>3</v>
      </c>
      <c r="BB3" s="301">
        <f>(IF('Water Report'!$E$15&gt;0,'Water Report'!$E$15,0))</f>
        <v>11</v>
      </c>
      <c r="BC3" s="301">
        <f>(IF('Water Report'!$E$13&gt;0,'Water Report'!$E$13,0))</f>
        <v>34</v>
      </c>
      <c r="BD3" s="301">
        <f>(IF('Water Report'!$E$24&gt;0,'Water Report'!$E$24,0))</f>
        <v>231</v>
      </c>
      <c r="BE3" s="301">
        <f>(IF('Water Report'!$E$25&gt;0,'Water Report'!$E$25,0))</f>
        <v>134</v>
      </c>
      <c r="BF3" s="301">
        <f>(IF('Water Report'!$E$27&gt;0,'Water Report'!$E$27,0))</f>
        <v>119</v>
      </c>
      <c r="BG3" s="296">
        <f>(IF('Section Load'!AN6&gt;0,'Section Load'!AN6,0))</f>
        <v>1000.6999999997206</v>
      </c>
      <c r="BH3" s="296">
        <f>(IF('Section Load'!AO6&gt;0,'Section Load'!AO6,0))</f>
        <v>286.32999999995809</v>
      </c>
      <c r="BI3" s="296">
        <f>(IF('Section Load'!AP6&gt;0,'Section Load'!AP6,0))</f>
        <v>0.80000000000291038</v>
      </c>
      <c r="BJ3" s="296">
        <f>(IF('Section Load'!AQ6&gt;0,'Section Load'!AQ6,0))</f>
        <v>112.29999999998836</v>
      </c>
      <c r="BK3" s="296">
        <f>(IF('Section Load'!AR6&gt;0,'Section Load'!AR6,0))</f>
        <v>50.80000000000291</v>
      </c>
      <c r="BL3" s="296">
        <f>(IF('Section Load'!AS6&gt;0,'Section Load'!AS6,0))</f>
        <v>0</v>
      </c>
      <c r="BM3" s="296">
        <f>(IF('Section Load'!AT6&gt;0,'Section Load'!AT6,0))</f>
        <v>550.46999999976833</v>
      </c>
    </row>
    <row r="4" spans="1:65">
      <c r="A4" s="287" t="s">
        <v>268</v>
      </c>
      <c r="B4" s="288">
        <f t="shared" ref="B4:B32" si="0">B3+1</f>
        <v>3</v>
      </c>
      <c r="C4" s="288">
        <v>8</v>
      </c>
      <c r="D4" s="288">
        <v>2022</v>
      </c>
      <c r="E4" s="294">
        <f>(IF('Section Load'!F7&gt;0,'Section Load'!F7,0))</f>
        <v>4074.1900000000023</v>
      </c>
      <c r="F4" s="294">
        <f>(IF('Section Load'!G7&gt;0,'Section Load'!G7,0))</f>
        <v>1091.6900000000005</v>
      </c>
      <c r="G4" s="294">
        <f>(IF('Section Load'!H7&gt;0,'Section Load'!H7,0))</f>
        <v>2247.1199999999953</v>
      </c>
      <c r="H4" s="294">
        <f>(IF('Section Load'!I7&gt;0,'Section Load'!I7,0))</f>
        <v>4283.9599999999991</v>
      </c>
      <c r="I4" s="294">
        <f>(IF('Section Load'!J7&gt;0,'Section Load'!J7,0))</f>
        <v>7359.4100000000326</v>
      </c>
      <c r="J4" s="294">
        <f>(IF('Section Load'!K7&gt;0,'Section Load'!K7,0))</f>
        <v>3175.1199999999953</v>
      </c>
      <c r="K4" s="294">
        <f>(IF('Section Load'!L7&gt;0,'Section Load'!L7,0))</f>
        <v>1586.5400000000373</v>
      </c>
      <c r="L4" s="294">
        <f>(IF('Section Load'!M7&gt;0,'Section Load'!M7,0))</f>
        <v>1174.1199999999953</v>
      </c>
      <c r="M4" s="294">
        <f>(IF('Section Load'!N7&gt;0,'Section Load'!N7,0))</f>
        <v>145</v>
      </c>
      <c r="N4" s="294">
        <f>(IF('Section Load'!O7&gt;0,'Section Load'!O7,0))</f>
        <v>184</v>
      </c>
      <c r="O4" s="294">
        <f>(IF('Section Load'!P7&gt;0,'Section Load'!P7,0))</f>
        <v>13.799999999999955</v>
      </c>
      <c r="P4" s="294">
        <f>(IF('Section Load'!Q7&gt;0,'Section Load'!Q7,0))</f>
        <v>196.26999999998952</v>
      </c>
      <c r="Q4" s="294">
        <f>(IF('Section Load'!R7&gt;0,'Section Load'!R7,0))</f>
        <v>70.169999999998254</v>
      </c>
      <c r="R4" s="294">
        <f>(IF('Section Load'!S7&gt;0,'Section Load'!S7,0))</f>
        <v>36.260000000000218</v>
      </c>
      <c r="S4" s="294">
        <f>(IF('Section Load'!T7&gt;0,'Section Load'!T7,0))</f>
        <v>72</v>
      </c>
      <c r="T4" s="294">
        <f>(IF('Section Load'!U7&gt;0,'Section Load'!U7,0))</f>
        <v>213</v>
      </c>
      <c r="U4" s="294">
        <f>(IF('Section Load'!V7&gt;0,'Section Load'!V7,0))</f>
        <v>395.64000000001397</v>
      </c>
      <c r="V4" s="294">
        <f>(IF('Section Load'!W7&gt;0,'Section Load'!W7,0))</f>
        <v>292.32000000006519</v>
      </c>
      <c r="W4" s="294">
        <f>(IF('Section Load'!X7&gt;0,'Section Load'!X7,0))</f>
        <v>24.530000000000655</v>
      </c>
      <c r="X4" s="294">
        <f>(IF('Section Load'!Y7&gt;0,'Section Load'!Y7,0))</f>
        <v>233.45999999999913</v>
      </c>
      <c r="Y4" s="294">
        <f>(IF('Section Load'!Z7&gt;0,'Section Load'!Z7,0))</f>
        <v>319</v>
      </c>
      <c r="Z4" s="294">
        <f>(IF('Section Load'!AA7&gt;0,'Section Load'!AA7,0))</f>
        <v>30.92000000004191</v>
      </c>
      <c r="AA4" s="294">
        <f>(IF('Section Load'!AB7&gt;0,'Section Load'!AB7,0))</f>
        <v>46.69999999999709</v>
      </c>
      <c r="AB4" s="294">
        <f>(IF('Section Load'!AC7&gt;0,'Section Load'!AC7,0))</f>
        <v>0</v>
      </c>
      <c r="AC4" s="294">
        <f>(IF('Section Load'!AD7&gt;0,'Section Load'!AD7,0))</f>
        <v>109.89999999999964</v>
      </c>
      <c r="AD4" s="294">
        <f>(IF('Section Load'!AE7&gt;0,'Section Load'!AE7,0))</f>
        <v>410.02000000000407</v>
      </c>
      <c r="AE4" s="294">
        <f>(IF('Section Load'!AF7&gt;0,'Section Load'!AF7,0))</f>
        <v>177.12000000000262</v>
      </c>
      <c r="AF4" s="294">
        <f>(IF('Section Load'!AG7&gt;0,'Section Load'!AG7,0))</f>
        <v>591.16000000000349</v>
      </c>
      <c r="AG4" s="294">
        <f>(IF('Section Load'!AH7&gt;0,'Section Load'!AH7,0))</f>
        <v>227.63999999999942</v>
      </c>
      <c r="AH4" s="294">
        <f>(IF('Section Load'!AI7&gt;0,'Section Load'!AI7,0))</f>
        <v>412.15999999999622</v>
      </c>
      <c r="AI4" s="294">
        <f>(IF('Section Load'!AJ7&gt;0,'Section Load'!AJ7,0))</f>
        <v>478.70999999999913</v>
      </c>
      <c r="AJ4" s="294">
        <f>(IF('Section Load'!AK7&gt;0,'Section Load'!AK7,0))</f>
        <v>288.02999999999884</v>
      </c>
      <c r="AK4" s="294">
        <f>(IF('Section Load'!AL7&gt;0,'Section Load'!AL7,0))</f>
        <v>367.16999999999825</v>
      </c>
      <c r="AL4" s="294">
        <f>(IF('Section Load'!AM7&gt;0,'Section Load'!AM7,0))</f>
        <v>0</v>
      </c>
      <c r="AM4" s="295">
        <f>(IF('Water Report'!$F$7&gt;0,'Water Report'!$F$7,0))</f>
        <v>101</v>
      </c>
      <c r="AN4" s="295">
        <f>(IF('Water Report'!$F$8&gt;0,'Water Report'!$F$8,0))</f>
        <v>116</v>
      </c>
      <c r="AO4" s="295">
        <f>(IF('Water Report'!$F$9&gt;0,'Water Report'!$G$9,0))</f>
        <v>108</v>
      </c>
      <c r="AP4" s="295">
        <f>(IF('Water Report'!$F$10&gt;0,'Water Report'!$F$10,0))</f>
        <v>20</v>
      </c>
      <c r="AQ4" s="295">
        <f>(IF('Water Report'!$F$11&gt;0,'Water Report'!$F$11,0))</f>
        <v>0</v>
      </c>
      <c r="AR4" s="295">
        <f>(IF('Water Report'!$F$13&gt;0,'Water Report'!$F$13,0))</f>
        <v>17</v>
      </c>
      <c r="AS4" s="295">
        <f>(IF('Water Report'!$F$14&gt;0,'Water Report'!$F$14,0))</f>
        <v>3</v>
      </c>
      <c r="AT4" s="295">
        <f>(IF('Water Report'!$F$15&gt;0,'Water Report'!$F$15,0))</f>
        <v>6</v>
      </c>
      <c r="AU4" s="295">
        <f>(IF('Water Report'!$F$17&gt;0,'Water Report'!$F$17,0))</f>
        <v>0</v>
      </c>
      <c r="AV4" s="295">
        <f>(IF('Water Report'!$F$18&gt;0,'Water Report'!$F$18,0))</f>
        <v>13</v>
      </c>
      <c r="AW4" s="295">
        <f>(IF('Water Report'!$F$19&gt;0,'Water Report'!$F$19,0))</f>
        <v>12</v>
      </c>
      <c r="AX4" s="301">
        <f>(IF('Water Report'!$F$21&gt;0,'Water Report'!$F$21,0))</f>
        <v>110</v>
      </c>
      <c r="AY4" s="301">
        <f>(IF('Water Report'!$F$22&gt;0,'Water Report'!$F$22,0))</f>
        <v>0</v>
      </c>
      <c r="AZ4" s="301">
        <f>(IF('Water Report'!$F$23&gt;0,'Water Report'!$F$23,0))</f>
        <v>0</v>
      </c>
      <c r="BA4" s="301">
        <f>(IF('Water Report'!$F$14&gt;0,'Water Report'!$F$14,0))</f>
        <v>3</v>
      </c>
      <c r="BB4" s="301">
        <f>(IF('Water Report'!$F$15&gt;0,'Water Report'!$F$15,0))</f>
        <v>6</v>
      </c>
      <c r="BC4" s="301">
        <f>(IF('Water Report'!$F$13&gt;0,'Water Report'!$F$13,0))</f>
        <v>17</v>
      </c>
      <c r="BD4" s="301">
        <f>(IF('Water Report'!$F$24&gt;0,'Water Report'!$F$24,0))</f>
        <v>155</v>
      </c>
      <c r="BE4" s="301">
        <f>(IF('Water Report'!$F$25&gt;0,'Water Report'!$F$25,0))</f>
        <v>133</v>
      </c>
      <c r="BF4" s="301">
        <f>(IF('Water Report'!$F$27&gt;0,'Water Report'!$F$27,0))</f>
        <v>127</v>
      </c>
      <c r="BG4" s="296">
        <f>(IF('Section Load'!AN7&gt;0,'Section Load'!AN7,0))</f>
        <v>979.20000000018626</v>
      </c>
      <c r="BH4" s="296">
        <f>(IF('Section Load'!AO7&gt;0,'Section Load'!AO7,0))</f>
        <v>281.28000000002794</v>
      </c>
      <c r="BI4" s="296">
        <f>(IF('Section Load'!AP7&gt;0,'Section Load'!AP7,0))</f>
        <v>0</v>
      </c>
      <c r="BJ4" s="296">
        <f>(IF('Section Load'!AQ7&gt;0,'Section Load'!AQ7,0))</f>
        <v>108</v>
      </c>
      <c r="BK4" s="296">
        <f>(IF('Section Load'!AR7&gt;0,'Section Load'!AR7,0))</f>
        <v>48.19999999999709</v>
      </c>
      <c r="BL4" s="296">
        <f>(IF('Section Load'!AS7&gt;0,'Section Load'!AS7,0))</f>
        <v>0</v>
      </c>
      <c r="BM4" s="296">
        <f>(IF('Section Load'!AT7&gt;0,'Section Load'!AT7,0))</f>
        <v>542.52000000016415</v>
      </c>
    </row>
    <row r="5" spans="1:65">
      <c r="A5" s="287" t="s">
        <v>268</v>
      </c>
      <c r="B5" s="288">
        <f t="shared" si="0"/>
        <v>4</v>
      </c>
      <c r="C5" s="288">
        <v>8</v>
      </c>
      <c r="D5" s="288">
        <v>2022</v>
      </c>
      <c r="E5" s="294">
        <f>(IF('Section Load'!F8&gt;0,'Section Load'!F8,0))</f>
        <v>4185.75</v>
      </c>
      <c r="F5" s="294">
        <f>(IF('Section Load'!G8&gt;0,'Section Load'!G8,0))</f>
        <v>1113.08</v>
      </c>
      <c r="G5" s="294">
        <f>(IF('Section Load'!H8&gt;0,'Section Load'!H8,0))</f>
        <v>2254.1500000000324</v>
      </c>
      <c r="H5" s="294">
        <f>(IF('Section Load'!I8&gt;0,'Section Load'!I8,0))</f>
        <v>4351.1299999999974</v>
      </c>
      <c r="I5" s="294">
        <f>(IF('Section Load'!J8&gt;0,'Section Load'!J8,0))</f>
        <v>6053.679999999993</v>
      </c>
      <c r="J5" s="294">
        <f>(IF('Section Load'!K8&gt;0,'Section Load'!K8,0))</f>
        <v>3159</v>
      </c>
      <c r="K5" s="294">
        <f>(IF('Section Load'!L8&gt;0,'Section Load'!L8,0))</f>
        <v>1123.2199999999721</v>
      </c>
      <c r="L5" s="294">
        <f>(IF('Section Load'!M8&gt;0,'Section Load'!M8,0))</f>
        <v>810.57999999998719</v>
      </c>
      <c r="M5" s="294">
        <f>(IF('Section Load'!N8&gt;0,'Section Load'!N8,0))</f>
        <v>142</v>
      </c>
      <c r="N5" s="294">
        <f>(IF('Section Load'!O8&gt;0,'Section Load'!O8,0))</f>
        <v>152</v>
      </c>
      <c r="O5" s="294">
        <f>(IF('Section Load'!P8&gt;0,'Section Load'!P8,0))</f>
        <v>16.700000000000045</v>
      </c>
      <c r="P5" s="294">
        <f>(IF('Section Load'!Q8&gt;0,'Section Load'!Q8,0))</f>
        <v>199.08000000000175</v>
      </c>
      <c r="Q5" s="294">
        <f>(IF('Section Load'!R8&gt;0,'Section Load'!R8,0))</f>
        <v>86.55000000000291</v>
      </c>
      <c r="R5" s="294">
        <f>(IF('Section Load'!S8&gt;0,'Section Load'!S8,0))</f>
        <v>39.819999999999709</v>
      </c>
      <c r="S5" s="294">
        <f>(IF('Section Load'!T8&gt;0,'Section Load'!T8,0))</f>
        <v>73</v>
      </c>
      <c r="T5" s="294">
        <f>(IF('Section Load'!U8&gt;0,'Section Load'!U8,0))</f>
        <v>221</v>
      </c>
      <c r="U5" s="294">
        <f>(IF('Section Load'!V8&gt;0,'Section Load'!V8,0))</f>
        <v>374.79999999993015</v>
      </c>
      <c r="V5" s="294">
        <f>(IF('Section Load'!W8&gt;0,'Section Load'!W8,0))</f>
        <v>245.76000000000931</v>
      </c>
      <c r="W5" s="294">
        <f>(IF('Section Load'!X8&gt;0,'Section Load'!X8,0))</f>
        <v>24.529999999998836</v>
      </c>
      <c r="X5" s="294">
        <f>(IF('Section Load'!Y8&gt;0,'Section Load'!Y8,0))</f>
        <v>261.16999999999825</v>
      </c>
      <c r="Y5" s="294">
        <f>(IF('Section Load'!Z8&gt;0,'Section Load'!Z8,0))</f>
        <v>250</v>
      </c>
      <c r="Z5" s="294">
        <f>(IF('Section Load'!AA8&gt;0,'Section Load'!AA8,0))</f>
        <v>25.799999999988358</v>
      </c>
      <c r="AA5" s="294">
        <f>(IF('Section Load'!AB8&gt;0,'Section Load'!AB8,0))</f>
        <v>43.899999999994179</v>
      </c>
      <c r="AB5" s="294">
        <f>(IF('Section Load'!AC8&gt;0,'Section Load'!AC8,0))</f>
        <v>0</v>
      </c>
      <c r="AC5" s="294">
        <f>(IF('Section Load'!AD8&gt;0,'Section Load'!AD8,0))</f>
        <v>109.80000000000018</v>
      </c>
      <c r="AD5" s="294">
        <f>(IF('Section Load'!AE8&gt;0,'Section Load'!AE8,0))</f>
        <v>387.18999999998778</v>
      </c>
      <c r="AE5" s="294">
        <f>(IF('Section Load'!AF8&gt;0,'Section Load'!AF8,0))</f>
        <v>238.83999999999651</v>
      </c>
      <c r="AF5" s="294">
        <f>(IF('Section Load'!AG8&gt;0,'Section Load'!AG8,0))</f>
        <v>0.38000000000465661</v>
      </c>
      <c r="AG5" s="294">
        <f>(IF('Section Load'!AH8&gt;0,'Section Load'!AH8,0))</f>
        <v>230.13999999999942</v>
      </c>
      <c r="AH5" s="294">
        <f>(IF('Section Load'!AI8&gt;0,'Section Load'!AI8,0))</f>
        <v>413.59999999999854</v>
      </c>
      <c r="AI5" s="294">
        <f>(IF('Section Load'!AJ8&gt;0,'Section Load'!AJ8,0))</f>
        <v>474.81999999999971</v>
      </c>
      <c r="AJ5" s="294">
        <f>(IF('Section Load'!AK8&gt;0,'Section Load'!AK8,0))</f>
        <v>276.20000000000073</v>
      </c>
      <c r="AK5" s="294">
        <f>(IF('Section Load'!AL8&gt;0,'Section Load'!AL8,0))</f>
        <v>285.15000000000146</v>
      </c>
      <c r="AL5" s="294">
        <f>(IF('Section Load'!AM8&gt;0,'Section Load'!AM8,0))</f>
        <v>0</v>
      </c>
      <c r="AM5" s="295">
        <f>(IF('Water Report'!$G$7&gt;0,'Water Report'!$F$7,0))</f>
        <v>101</v>
      </c>
      <c r="AN5" s="295">
        <f>(IF('Water Report'!$G$8&gt;0,'Water Report'!$F$8,0))</f>
        <v>116</v>
      </c>
      <c r="AO5" s="295">
        <f>(IF('Water Report'!$G$9&gt;0,'Water Report'!$H$9,0))</f>
        <v>102</v>
      </c>
      <c r="AP5" s="295">
        <f>(IF('Water Report'!$G$10&gt;0,'Water Report'!$G$10,0))</f>
        <v>22</v>
      </c>
      <c r="AQ5" s="295">
        <f>(IF('Water Report'!$G$11&gt;0,'Water Report'!$G$11,0))</f>
        <v>0</v>
      </c>
      <c r="AR5" s="295">
        <f>(IF('Water Report'!$G$13&gt;0,'Water Report'!$G$13,0))</f>
        <v>19</v>
      </c>
      <c r="AS5" s="295">
        <f>(IF('Water Report'!$G$14&gt;0,'Water Report'!$G$14,0))</f>
        <v>2</v>
      </c>
      <c r="AT5" s="295">
        <f>(IF('Water Report'!$G$15&gt;0,'Water Report'!$G$15,0))</f>
        <v>14</v>
      </c>
      <c r="AU5" s="295">
        <f>(IF('Water Report'!$G$17&gt;0,'Water Report'!$G$17,0))</f>
        <v>5</v>
      </c>
      <c r="AV5" s="295">
        <f>(IF('Water Report'!$G$18&gt;0,'Water Report'!$G$18,0))</f>
        <v>15</v>
      </c>
      <c r="AW5" s="295">
        <f>(IF('Water Report'!$G$19&gt;0,'Water Report'!$G$19,0))</f>
        <v>12</v>
      </c>
      <c r="AX5" s="301">
        <f>(IF('Water Report'!$G$21&gt;0,'Water Report'!$G$21,0))</f>
        <v>65</v>
      </c>
      <c r="AY5" s="301">
        <f>(IF('Water Report'!$G$22&gt;0,'Water Report'!$G$22,0))</f>
        <v>0</v>
      </c>
      <c r="AZ5" s="301">
        <f>(IF('Water Report'!$G$23&gt;0,'Water Report'!$G$23,0))</f>
        <v>0</v>
      </c>
      <c r="BA5" s="301">
        <f>(IF('Water Report'!$G$14&gt;0,'Water Report'!$G$14,0))</f>
        <v>2</v>
      </c>
      <c r="BB5" s="301">
        <f>(IF('Water Report'!$G$15&gt;0,'Water Report'!$G$15,0))</f>
        <v>14</v>
      </c>
      <c r="BC5" s="301">
        <f>(IF('Water Report'!$G$13&gt;0,'Water Report'!$G$13,0))</f>
        <v>19</v>
      </c>
      <c r="BD5" s="301">
        <f>(IF('Water Report'!$G$24&gt;0,'Water Report'!$G$24,0))</f>
        <v>183</v>
      </c>
      <c r="BE5" s="301">
        <f>(IF('Water Report'!$G$25&gt;0,'Water Report'!$G$25,0))</f>
        <v>146</v>
      </c>
      <c r="BF5" s="301">
        <f>(IF('Water Report'!$G$27&gt;0,'Water Report'!$G$27,0))</f>
        <v>84</v>
      </c>
      <c r="BG5" s="296">
        <f>(IF('Section Load'!AN8&gt;0,'Section Load'!AN8,0))</f>
        <v>1002.2999999998137</v>
      </c>
      <c r="BH5" s="296">
        <f>(IF('Section Load'!AO8&gt;0,'Section Load'!AO8,0))</f>
        <v>292.34999999997672</v>
      </c>
      <c r="BI5" s="296">
        <f>(IF('Section Load'!AP8&gt;0,'Section Load'!AP8,0))</f>
        <v>0</v>
      </c>
      <c r="BJ5" s="296">
        <f>(IF('Section Load'!AQ8&gt;0,'Section Load'!AQ8,0))</f>
        <v>106</v>
      </c>
      <c r="BK5" s="296">
        <f>(IF('Section Load'!AR8&gt;0,'Section Load'!AR8,0))</f>
        <v>44</v>
      </c>
      <c r="BL5" s="296">
        <f>(IF('Section Load'!AS8&gt;0,'Section Load'!AS8,0))</f>
        <v>0</v>
      </c>
      <c r="BM5" s="296">
        <f>(IF('Section Load'!AT8&gt;0,'Section Load'!AT8,0))</f>
        <v>559.94999999983702</v>
      </c>
    </row>
    <row r="6" spans="1:65">
      <c r="A6" s="287" t="s">
        <v>268</v>
      </c>
      <c r="B6" s="288">
        <f t="shared" si="0"/>
        <v>5</v>
      </c>
      <c r="C6" s="288">
        <v>8</v>
      </c>
      <c r="D6" s="288">
        <v>2022</v>
      </c>
      <c r="E6" s="294">
        <f>(IF('Section Load'!F9&gt;0,'Section Load'!F9,0))</f>
        <v>4350.0100000000093</v>
      </c>
      <c r="F6" s="294">
        <f>(IF('Section Load'!G9&gt;0,'Section Load'!G9,0))</f>
        <v>1100.4099999999999</v>
      </c>
      <c r="G6" s="294">
        <f>(IF('Section Load'!H9&gt;0,'Section Load'!H9,0))</f>
        <v>2239.3799999999956</v>
      </c>
      <c r="H6" s="294">
        <f>(IF('Section Load'!I9&gt;0,'Section Load'!I9,0))</f>
        <v>4215.4200000000565</v>
      </c>
      <c r="I6" s="294">
        <f>(IF('Section Load'!J9&gt;0,'Section Load'!J9,0))</f>
        <v>6662.0200000000041</v>
      </c>
      <c r="J6" s="294">
        <f>(IF('Section Load'!K9&gt;0,'Section Load'!K9,0))</f>
        <v>3388.8099999999977</v>
      </c>
      <c r="K6" s="294">
        <f>(IF('Section Load'!L9&gt;0,'Section Load'!L9,0))</f>
        <v>1030.0100000000093</v>
      </c>
      <c r="L6" s="294">
        <f>(IF('Section Load'!M9&gt;0,'Section Load'!M9,0))</f>
        <v>1153.4500000000116</v>
      </c>
      <c r="M6" s="294">
        <f>(IF('Section Load'!N9&gt;0,'Section Load'!N9,0))</f>
        <v>150</v>
      </c>
      <c r="N6" s="294">
        <f>(IF('Section Load'!O9&gt;0,'Section Load'!O9,0))</f>
        <v>150</v>
      </c>
      <c r="O6" s="294">
        <f>(IF('Section Load'!P9&gt;0,'Section Load'!P9,0))</f>
        <v>15.299999999999955</v>
      </c>
      <c r="P6" s="294">
        <f>(IF('Section Load'!Q9&gt;0,'Section Load'!Q9,0))</f>
        <v>190.49000000000524</v>
      </c>
      <c r="Q6" s="294">
        <f>(IF('Section Load'!R9&gt;0,'Section Load'!R9,0))</f>
        <v>87.75</v>
      </c>
      <c r="R6" s="294">
        <f>(IF('Section Load'!S9&gt;0,'Section Load'!S9,0))</f>
        <v>29.180000000000291</v>
      </c>
      <c r="S6" s="294">
        <f>(IF('Section Load'!T9&gt;0,'Section Load'!T9,0))</f>
        <v>78</v>
      </c>
      <c r="T6" s="294">
        <f>(IF('Section Load'!U9&gt;0,'Section Load'!U9,0))</f>
        <v>217</v>
      </c>
      <c r="U6" s="294">
        <f>(IF('Section Load'!V9&gt;0,'Section Load'!V9,0))</f>
        <v>378.56000000005588</v>
      </c>
      <c r="V6" s="294">
        <f>(IF('Section Load'!W9&gt;0,'Section Load'!W9,0))</f>
        <v>350.95999999996275</v>
      </c>
      <c r="W6" s="294">
        <f>(IF('Section Load'!X9&gt;0,'Section Load'!X9,0))</f>
        <v>26.040000000000873</v>
      </c>
      <c r="X6" s="294">
        <f>(IF('Section Load'!Y9&gt;0,'Section Load'!Y9,0))</f>
        <v>257.43000000000029</v>
      </c>
      <c r="Y6" s="294">
        <f>(IF('Section Load'!Z9&gt;0,'Section Load'!Z9,0))</f>
        <v>263</v>
      </c>
      <c r="Z6" s="294">
        <f>(IF('Section Load'!AA9&gt;0,'Section Load'!AA9,0))</f>
        <v>24.559999999997672</v>
      </c>
      <c r="AA6" s="294">
        <f>(IF('Section Load'!AB9&gt;0,'Section Load'!AB9,0))</f>
        <v>51.100000000005821</v>
      </c>
      <c r="AB6" s="294">
        <f>(IF('Section Load'!AC9&gt;0,'Section Load'!AC9,0))</f>
        <v>0</v>
      </c>
      <c r="AC6" s="294">
        <f>(IF('Section Load'!AD9&gt;0,'Section Load'!AD9,0))</f>
        <v>92.800000000000182</v>
      </c>
      <c r="AD6" s="294">
        <f>(IF('Section Load'!AE9&gt;0,'Section Load'!AE9,0))</f>
        <v>286.2100000000064</v>
      </c>
      <c r="AE6" s="294">
        <f>(IF('Section Load'!AF9&gt;0,'Section Load'!AF9,0))</f>
        <v>239.87000000000262</v>
      </c>
      <c r="AF6" s="294">
        <f>(IF('Section Load'!AG9&gt;0,'Section Load'!AG9,0))</f>
        <v>1158.4700000000012</v>
      </c>
      <c r="AG6" s="294">
        <f>(IF('Section Load'!AH9&gt;0,'Section Load'!AH9,0))</f>
        <v>232.66000000000349</v>
      </c>
      <c r="AH6" s="294">
        <f>(IF('Section Load'!AI9&gt;0,'Section Load'!AI9,0))</f>
        <v>416.87000000000262</v>
      </c>
      <c r="AI6" s="294">
        <f>(IF('Section Load'!AJ9&gt;0,'Section Load'!AJ9,0))</f>
        <v>467.84999999999854</v>
      </c>
      <c r="AJ6" s="294">
        <f>(IF('Section Load'!AK9&gt;0,'Section Load'!AK9,0))</f>
        <v>280.90999999999985</v>
      </c>
      <c r="AK6" s="294">
        <f>(IF('Section Load'!AL9&gt;0,'Section Load'!AL9,0))</f>
        <v>321.84999999999854</v>
      </c>
      <c r="AL6" s="294">
        <f>(IF('Section Load'!AM9&gt;0,'Section Load'!AM9,0))</f>
        <v>0</v>
      </c>
      <c r="AM6" s="295">
        <f>(IF('Water Report'!$H$7&gt;0,'Water Report'!$H$7,0))</f>
        <v>106</v>
      </c>
      <c r="AN6" s="295">
        <f>(IF('Water Report'!$H$8&gt;0,'Water Report'!$H$8,0))</f>
        <v>137</v>
      </c>
      <c r="AO6" s="295">
        <f>(IF('Water Report'!$H$9&gt;0,'Water Report'!$H$9,0))</f>
        <v>102</v>
      </c>
      <c r="AP6" s="295">
        <f>(IF('Water Report'!$H$10&gt;0,'Water Report'!$H$10,0))</f>
        <v>25</v>
      </c>
      <c r="AQ6" s="295">
        <f>(IF('Water Report'!$H$11&gt;0,'Water Report'!$H$11,0))</f>
        <v>0</v>
      </c>
      <c r="AR6" s="295">
        <f>(IF('Water Report'!$H$13&gt;0,'Water Report'!$H$13,0))</f>
        <v>17</v>
      </c>
      <c r="AS6" s="295">
        <f>(IF('Water Report'!$H$14&gt;0,'Water Report'!$H$14,0))</f>
        <v>12</v>
      </c>
      <c r="AT6" s="295">
        <f>(IF('Water Report'!$H$15&gt;0,'Water Report'!$H$15,0))</f>
        <v>11</v>
      </c>
      <c r="AU6" s="295">
        <f>(IF('Water Report'!$H$17&gt;0,'Water Report'!$H$17,0))</f>
        <v>0</v>
      </c>
      <c r="AV6" s="295">
        <f>(IF('Water Report'!$H$18&gt;0,'Water Report'!$H$18,0))</f>
        <v>14</v>
      </c>
      <c r="AW6" s="295">
        <f>(IF('Water Report'!$H$19&gt;0,'Water Report'!$H$19,0))</f>
        <v>11</v>
      </c>
      <c r="AX6" s="301">
        <f>(IF('Water Report'!$H$21&gt;0,'Water Report'!$H$21,0))</f>
        <v>94</v>
      </c>
      <c r="AY6" s="301">
        <f>(IF('Water Report'!$H$22&gt;0,'Water Report'!$H$22,0))</f>
        <v>0</v>
      </c>
      <c r="AZ6" s="301">
        <f>(IF('Water Report'!$H$23&gt;0,'Water Report'!$H$23,0))</f>
        <v>0</v>
      </c>
      <c r="BA6" s="301">
        <f>(IF('Water Report'!$H$14&gt;0,'Water Report'!$H$14,0))</f>
        <v>12</v>
      </c>
      <c r="BB6" s="301">
        <f>(IF('Water Report'!$H$15&gt;0,'Water Report'!$H$15,0))</f>
        <v>11</v>
      </c>
      <c r="BC6" s="301">
        <f>(IF('Water Report'!$H$13&gt;0,'Water Report'!$H$13,0))</f>
        <v>17</v>
      </c>
      <c r="BD6" s="301">
        <f>(IF('Water Report'!$H$24&gt;0,'Water Report'!$H$24,0))</f>
        <v>192</v>
      </c>
      <c r="BE6" s="301">
        <f>(IF('Water Report'!$H$25&gt;0,'Water Report'!$H$25,0))</f>
        <v>150</v>
      </c>
      <c r="BF6" s="301">
        <f>(IF('Water Report'!$H$27&gt;0,'Water Report'!$H$27,0))</f>
        <v>111</v>
      </c>
      <c r="BG6" s="296">
        <f>(IF('Section Load'!AN9&gt;0,'Section Load'!AN9,0))</f>
        <v>1047.2000000001863</v>
      </c>
      <c r="BH6" s="296">
        <f>(IF('Section Load'!AO9&gt;0,'Section Load'!AO9,0))</f>
        <v>286.14000000001397</v>
      </c>
      <c r="BI6" s="296">
        <f>(IF('Section Load'!AP9&gt;0,'Section Load'!AP9,0))</f>
        <v>0</v>
      </c>
      <c r="BJ6" s="296">
        <f>(IF('Section Load'!AQ9&gt;0,'Section Load'!AQ9,0))</f>
        <v>116</v>
      </c>
      <c r="BK6" s="296">
        <f>(IF('Section Load'!AR9&gt;0,'Section Load'!AR9,0))</f>
        <v>93</v>
      </c>
      <c r="BL6" s="296">
        <f>(IF('Section Load'!AS9&gt;0,'Section Load'!AS9,0))</f>
        <v>0</v>
      </c>
      <c r="BM6" s="296">
        <f>(IF('Section Load'!AT9&gt;0,'Section Load'!AT9,0))</f>
        <v>552.06000000017229</v>
      </c>
    </row>
    <row r="7" spans="1:65">
      <c r="A7" s="287" t="s">
        <v>268</v>
      </c>
      <c r="B7" s="288">
        <f t="shared" si="0"/>
        <v>6</v>
      </c>
      <c r="C7" s="288">
        <v>8</v>
      </c>
      <c r="D7" s="288">
        <v>2022</v>
      </c>
      <c r="E7" s="294">
        <f>(IF('Section Load'!F10&gt;0,'Section Load'!F10,0))</f>
        <v>4273</v>
      </c>
      <c r="F7" s="294">
        <f>(IF('Section Load'!G10&gt;0,'Section Load'!G10,0))</f>
        <v>1116</v>
      </c>
      <c r="G7" s="294">
        <f>(IF('Section Load'!H10&gt;0,'Section Load'!H10,0))</f>
        <v>2225</v>
      </c>
      <c r="H7" s="294">
        <f>(IF('Section Load'!I10&gt;0,'Section Load'!I10,0))</f>
        <v>4247</v>
      </c>
      <c r="I7" s="294">
        <f>(IF('Section Load'!J10&gt;0,'Section Load'!J10,0))</f>
        <v>6391.1700000000419</v>
      </c>
      <c r="J7" s="294">
        <f>(IF('Section Load'!K10&gt;0,'Section Load'!K10,0))</f>
        <v>3116</v>
      </c>
      <c r="K7" s="294">
        <f>(IF('Section Load'!L10&gt;0,'Section Load'!L10,0))</f>
        <v>993</v>
      </c>
      <c r="L7" s="294">
        <f>(IF('Section Load'!M10&gt;0,'Section Load'!M10,0))</f>
        <v>879</v>
      </c>
      <c r="M7" s="294">
        <f>(IF('Section Load'!N10&gt;0,'Section Load'!N10,0))</f>
        <v>147</v>
      </c>
      <c r="N7" s="294">
        <f>(IF('Section Load'!O10&gt;0,'Section Load'!O10,0))</f>
        <v>157</v>
      </c>
      <c r="O7" s="294">
        <f>(IF('Section Load'!P10&gt;0,'Section Load'!P10,0))</f>
        <v>14</v>
      </c>
      <c r="P7" s="294">
        <f>(IF('Section Load'!Q10&gt;0,'Section Load'!Q10,0))</f>
        <v>195</v>
      </c>
      <c r="Q7" s="294">
        <f>(IF('Section Load'!R10&gt;0,'Section Load'!R10,0))</f>
        <v>89</v>
      </c>
      <c r="R7" s="294">
        <f>(IF('Section Load'!S10&gt;0,'Section Load'!S10,0))</f>
        <v>27</v>
      </c>
      <c r="S7" s="294">
        <f>(IF('Section Load'!T10&gt;0,'Section Load'!T10,0))</f>
        <v>72</v>
      </c>
      <c r="T7" s="294">
        <f>(IF('Section Load'!U10&gt;0,'Section Load'!U10,0))</f>
        <v>226</v>
      </c>
      <c r="U7" s="294">
        <f>(IF('Section Load'!V10&gt;0,'Section Load'!V10,0))</f>
        <v>379</v>
      </c>
      <c r="V7" s="294">
        <f>(IF('Section Load'!W10&gt;0,'Section Load'!W10,0))</f>
        <v>300</v>
      </c>
      <c r="W7" s="294">
        <f>(IF('Section Load'!X10&gt;0,'Section Load'!X10,0))</f>
        <v>25</v>
      </c>
      <c r="X7" s="294">
        <f>(IF('Section Load'!Y10&gt;0,'Section Load'!Y10,0))</f>
        <v>283</v>
      </c>
      <c r="Y7" s="294">
        <f>(IF('Section Load'!Z10&gt;0,'Section Load'!Z10,0))</f>
        <v>247</v>
      </c>
      <c r="Z7" s="294">
        <f>(IF('Section Load'!AA10&gt;0,'Section Load'!AA10,0))</f>
        <v>30</v>
      </c>
      <c r="AA7" s="294">
        <f>(IF('Section Load'!AB10&gt;0,'Section Load'!AB10,0))</f>
        <v>44</v>
      </c>
      <c r="AB7" s="294">
        <f>(IF('Section Load'!AC10&gt;0,'Section Load'!AC10,0))</f>
        <v>0</v>
      </c>
      <c r="AC7" s="294">
        <f>(IF('Section Load'!AD10&gt;0,'Section Load'!AD10,0))</f>
        <v>58</v>
      </c>
      <c r="AD7" s="294">
        <f>(IF('Section Load'!AE10&gt;0,'Section Load'!AE10,0))</f>
        <v>319</v>
      </c>
      <c r="AE7" s="294">
        <f>(IF('Section Load'!AF10&gt;0,'Section Load'!AF10,0))</f>
        <v>216</v>
      </c>
      <c r="AF7" s="294">
        <f>(IF('Section Load'!AG10&gt;0,'Section Load'!AG10,0))</f>
        <v>540</v>
      </c>
      <c r="AG7" s="294">
        <f>(IF('Section Load'!AH10&gt;0,'Section Load'!AH10,0))</f>
        <v>248</v>
      </c>
      <c r="AH7" s="294">
        <f>(IF('Section Load'!AI10&gt;0,'Section Load'!AI10,0))</f>
        <v>424</v>
      </c>
      <c r="AI7" s="294">
        <f>(IF('Section Load'!AJ10&gt;0,'Section Load'!AJ10,0))</f>
        <v>470</v>
      </c>
      <c r="AJ7" s="294">
        <f>(IF('Section Load'!AK10&gt;0,'Section Load'!AK10,0))</f>
        <v>328</v>
      </c>
      <c r="AK7" s="294">
        <f>(IF('Section Load'!AL10&gt;0,'Section Load'!AL10,0))</f>
        <v>331</v>
      </c>
      <c r="AL7" s="294">
        <f>(IF('Section Load'!AM10&gt;0,'Section Load'!AM10,0))</f>
        <v>0.41000000000349246</v>
      </c>
      <c r="AM7" s="295">
        <f>(IF('Water Report'!$I$7&gt;0,'Water Report'!$I$7,0))</f>
        <v>130</v>
      </c>
      <c r="AN7" s="295">
        <f>(IF('Water Report'!$I$8&gt;0,'Water Report'!$I$8,0))</f>
        <v>98</v>
      </c>
      <c r="AO7" s="295">
        <f>(IF('Water Report'!$I$9&gt;0,'Water Report'!$I$9,0))</f>
        <v>104</v>
      </c>
      <c r="AP7" s="295">
        <f>(IF('Water Report'!$I$10&gt;0,'Water Report'!$I$10,0))</f>
        <v>23</v>
      </c>
      <c r="AQ7" s="295">
        <f>(IF('Water Report'!$I$11&gt;0,'Water Report'!$I$11,0))</f>
        <v>0</v>
      </c>
      <c r="AR7" s="295">
        <f>(IF('Water Report'!$I$13&gt;0,'Water Report'!$I$13,0))</f>
        <v>19</v>
      </c>
      <c r="AS7" s="295">
        <f>(IF('Water Report'!$I$14&gt;0,'Water Report'!$I$14,0))</f>
        <v>6</v>
      </c>
      <c r="AT7" s="295">
        <f>(IF('Water Report'!$I$15&gt;0,'Water Report'!$I$15,0))</f>
        <v>8</v>
      </c>
      <c r="AU7" s="295">
        <f>(IF('Water Report'!$I$17&gt;0,'Water Report'!$I$17,0))</f>
        <v>2</v>
      </c>
      <c r="AV7" s="295">
        <f>(IF('Water Report'!$I$18&gt;0,'Water Report'!$I$18,0))</f>
        <v>14</v>
      </c>
      <c r="AW7" s="295">
        <f>(IF('Water Report'!$I$19&gt;0,'Water Report'!$I$19,0))</f>
        <v>14</v>
      </c>
      <c r="AX7" s="301">
        <f>(IF('Water Report'!$I$21&gt;0,'Water Report'!$I$21,0))</f>
        <v>54</v>
      </c>
      <c r="AY7" s="301">
        <f>(IF('Water Report'!$I$22&gt;0,'Water Report'!$I$22,0))</f>
        <v>0</v>
      </c>
      <c r="AZ7" s="301">
        <f>(IF('Water Report'!$I$23&gt;0,'Water Report'!$I$23,0))</f>
        <v>2</v>
      </c>
      <c r="BA7" s="301">
        <f>(IF('Water Report'!$I$14&gt;0,'Water Report'!$I$14,0))</f>
        <v>6</v>
      </c>
      <c r="BB7" s="301">
        <f>(IF('Water Report'!$I$15&gt;0,'Water Report'!$I$15,0))</f>
        <v>8</v>
      </c>
      <c r="BC7" s="301">
        <f>(IF('Water Report'!$I$13&gt;0,'Water Report'!$I$13,0))</f>
        <v>19</v>
      </c>
      <c r="BD7" s="301">
        <f>(IF('Water Report'!$I$24&gt;0,'Water Report'!$I$24,0))</f>
        <v>247</v>
      </c>
      <c r="BE7" s="301">
        <f>(IF('Water Report'!$I$25&gt;0,'Water Report'!$I$25,0))</f>
        <v>141</v>
      </c>
      <c r="BF7" s="301">
        <f>(IF('Water Report'!$I$27&gt;0,'Water Report'!$I$27,0))</f>
        <v>75</v>
      </c>
      <c r="BG7" s="296">
        <f>(IF('Section Load'!AN10&gt;0,'Section Load'!AN10,0))</f>
        <v>981</v>
      </c>
      <c r="BH7" s="296">
        <f>(IF('Section Load'!AO10&gt;0,'Section Load'!AO10,0))</f>
        <v>312</v>
      </c>
      <c r="BI7" s="296">
        <f>(IF('Section Load'!AP10&gt;0,'Section Load'!AP10,0))</f>
        <v>0</v>
      </c>
      <c r="BJ7" s="296">
        <f>(IF('Section Load'!AQ10&gt;0,'Section Load'!AQ10,0))</f>
        <v>114</v>
      </c>
      <c r="BK7" s="296">
        <f>(IF('Section Load'!AR10&gt;0,'Section Load'!AR10,0))</f>
        <v>3</v>
      </c>
      <c r="BL7" s="296">
        <f>(IF('Section Load'!AS10&gt;0,'Section Load'!AS10,0))</f>
        <v>0.3999999999996362</v>
      </c>
      <c r="BM7" s="296">
        <f>(IF('Section Load'!AT10&gt;0,'Section Load'!AT10,0))</f>
        <v>551.60000000000036</v>
      </c>
    </row>
    <row r="8" spans="1:65">
      <c r="A8" s="287" t="s">
        <v>268</v>
      </c>
      <c r="B8" s="288">
        <f t="shared" si="0"/>
        <v>7</v>
      </c>
      <c r="C8" s="288">
        <v>8</v>
      </c>
      <c r="D8" s="288">
        <v>2022</v>
      </c>
      <c r="E8" s="294">
        <f>(IF('Section Load'!F11&gt;0,'Section Load'!F11,0))</f>
        <v>4335</v>
      </c>
      <c r="F8" s="294">
        <f>(IF('Section Load'!G11&gt;0,'Section Load'!G11,0))</f>
        <v>1065</v>
      </c>
      <c r="G8" s="294">
        <f>(IF('Section Load'!H11&gt;0,'Section Load'!H11,0))</f>
        <v>2257</v>
      </c>
      <c r="H8" s="294">
        <f>(IF('Section Load'!I11&gt;0,'Section Load'!I11,0))</f>
        <v>4343</v>
      </c>
      <c r="I8" s="294">
        <f>(IF('Section Load'!J11&gt;0,'Section Load'!J11,0))</f>
        <v>6173</v>
      </c>
      <c r="J8" s="294">
        <f>(IF('Section Load'!K11&gt;0,'Section Load'!K11,0))</f>
        <v>3091</v>
      </c>
      <c r="K8" s="294">
        <f>(IF('Section Load'!L11&gt;0,'Section Load'!L11,0))</f>
        <v>1137</v>
      </c>
      <c r="L8" s="294">
        <f>(IF('Section Load'!M11&gt;0,'Section Load'!M11,0))</f>
        <v>801</v>
      </c>
      <c r="M8" s="294">
        <f>(IF('Section Load'!N11&gt;0,'Section Load'!N11,0))</f>
        <v>134</v>
      </c>
      <c r="N8" s="294">
        <f>(IF('Section Load'!O11&gt;0,'Section Load'!O11,0))</f>
        <v>133</v>
      </c>
      <c r="O8" s="294">
        <f>(IF('Section Load'!P11&gt;0,'Section Load'!P11,0))</f>
        <v>14</v>
      </c>
      <c r="P8" s="294">
        <f>(IF('Section Load'!Q11&gt;0,'Section Load'!Q11,0))</f>
        <v>206</v>
      </c>
      <c r="Q8" s="294">
        <f>(IF('Section Load'!R11&gt;0,'Section Load'!R11,0))</f>
        <v>81</v>
      </c>
      <c r="R8" s="294">
        <f>(IF('Section Load'!S11&gt;0,'Section Load'!S11,0))</f>
        <v>25</v>
      </c>
      <c r="S8" s="294">
        <f>(IF('Section Load'!T11&gt;0,'Section Load'!T11,0))</f>
        <v>75</v>
      </c>
      <c r="T8" s="294">
        <f>(IF('Section Load'!U11&gt;0,'Section Load'!U11,0))</f>
        <v>226</v>
      </c>
      <c r="U8" s="294">
        <f>(IF('Section Load'!V11&gt;0,'Section Load'!V11,0))</f>
        <v>374</v>
      </c>
      <c r="V8" s="294">
        <f>(IF('Section Load'!W11&gt;0,'Section Load'!W11,0))</f>
        <v>294</v>
      </c>
      <c r="W8" s="294">
        <f>(IF('Section Load'!X11&gt;0,'Section Load'!X11,0))</f>
        <v>25</v>
      </c>
      <c r="X8" s="294">
        <f>(IF('Section Load'!Y11&gt;0,'Section Load'!Y11,0))</f>
        <v>264</v>
      </c>
      <c r="Y8" s="294">
        <f>(IF('Section Load'!Z11&gt;0,'Section Load'!Z11,0))</f>
        <v>245</v>
      </c>
      <c r="Z8" s="294">
        <f>(IF('Section Load'!AA11&gt;0,'Section Load'!AA11,0))</f>
        <v>28</v>
      </c>
      <c r="AA8" s="294">
        <f>(IF('Section Load'!AB11&gt;0,'Section Load'!AB11,0))</f>
        <v>26</v>
      </c>
      <c r="AB8" s="294">
        <f>(IF('Section Load'!AC11&gt;0,'Section Load'!AC11,0))</f>
        <v>0</v>
      </c>
      <c r="AC8" s="294">
        <f>(IF('Section Load'!AD11&gt;0,'Section Load'!AD11,0))</f>
        <v>80</v>
      </c>
      <c r="AD8" s="294">
        <f>(IF('Section Load'!AE11&gt;0,'Section Load'!AE11,0))</f>
        <v>390</v>
      </c>
      <c r="AE8" s="294">
        <f>(IF('Section Load'!AF11&gt;0,'Section Load'!AF11,0))</f>
        <v>187</v>
      </c>
      <c r="AF8" s="294">
        <f>(IF('Section Load'!AG11&gt;0,'Section Load'!AG11,0))</f>
        <v>550</v>
      </c>
      <c r="AG8" s="294">
        <f>(IF('Section Load'!AH11&gt;0,'Section Load'!AH11,0))</f>
        <v>254</v>
      </c>
      <c r="AH8" s="294">
        <f>(IF('Section Load'!AI11&gt;0,'Section Load'!AI11,0))</f>
        <v>431</v>
      </c>
      <c r="AI8" s="294">
        <f>(IF('Section Load'!AJ11&gt;0,'Section Load'!AJ11,0))</f>
        <v>474</v>
      </c>
      <c r="AJ8" s="294">
        <f>(IF('Section Load'!AK11&gt;0,'Section Load'!AK11,0))</f>
        <v>330</v>
      </c>
      <c r="AK8" s="294">
        <f>(IF('Section Load'!AL11&gt;0,'Section Load'!AL11,0))</f>
        <v>331</v>
      </c>
      <c r="AL8" s="294">
        <f>(IF('Section Load'!AM11&gt;0,'Section Load'!AM11,0))</f>
        <v>0</v>
      </c>
      <c r="AM8" s="295">
        <f>(IF('Water Report'!$J$7&gt;0,'Water Report'!$J$7,0))</f>
        <v>144</v>
      </c>
      <c r="AN8" s="295">
        <f>(IF('Water Report'!$J$8&gt;0,'Water Report'!$J$8,0))</f>
        <v>106</v>
      </c>
      <c r="AO8" s="295">
        <f>(IF('Water Report'!$J$9&gt;0,'Water Report'!$J$9,0))</f>
        <v>101</v>
      </c>
      <c r="AP8" s="295">
        <f>(IF('Water Report'!$J$10&gt;0,'Water Report'!$J$10,0))</f>
        <v>31</v>
      </c>
      <c r="AQ8" s="295">
        <f>(IF('Water Report'!$J$11&gt;0,'Water Report'!$J$11,0))</f>
        <v>0</v>
      </c>
      <c r="AR8" s="295">
        <f>(IF('Water Report'!$J$13&gt;0,'Water Report'!$J$13,0))</f>
        <v>35</v>
      </c>
      <c r="AS8" s="295">
        <f>(IF('Water Report'!$J$14&gt;0,'Water Report'!$J$14,0))</f>
        <v>6</v>
      </c>
      <c r="AT8" s="295">
        <f>(IF('Water Report'!$J$15&gt;0,'Water Report'!$J$15,0))</f>
        <v>8</v>
      </c>
      <c r="AU8" s="295">
        <f>(IF('Water Report'!$J$17&gt;0,'Water Report'!$J$17,0))</f>
        <v>0</v>
      </c>
      <c r="AV8" s="295">
        <f>(IF('Water Report'!$J$18&gt;0,'Water Report'!$J$18,0))</f>
        <v>12</v>
      </c>
      <c r="AW8" s="295">
        <f>(IF('Water Report'!$J$19&gt;0,'Water Report'!$J$19,0))</f>
        <v>12</v>
      </c>
      <c r="AX8" s="301">
        <f>(IF('Water Report'!$J$21&gt;0,'Water Report'!$J$21,0))</f>
        <v>66</v>
      </c>
      <c r="AY8" s="301">
        <f>(IF('Water Report'!$J$22&gt;0,'Water Report'!$J$22,0))</f>
        <v>0</v>
      </c>
      <c r="AZ8" s="301">
        <f>(IF('Water Report'!$J$23&gt;0,'Water Report'!$J$23,0))</f>
        <v>5</v>
      </c>
      <c r="BA8" s="301">
        <f>(IF('Water Report'!$J$14&gt;0,'Water Report'!$J$14,0))</f>
        <v>6</v>
      </c>
      <c r="BB8" s="301">
        <f>(IF('Water Report'!$J$15&gt;0,'Water Report'!$J$15,0))</f>
        <v>8</v>
      </c>
      <c r="BC8" s="301">
        <f>(IF('Water Report'!$J$13&gt;0,'Water Report'!$J$13,0))</f>
        <v>35</v>
      </c>
      <c r="BD8" s="301">
        <f>(IF('Water Report'!$J$24&gt;0,'Water Report'!$J$24,0))</f>
        <v>287</v>
      </c>
      <c r="BE8" s="301">
        <f>(IF('Water Report'!$J$25&gt;0,'Water Report'!$J$25,0))</f>
        <v>146</v>
      </c>
      <c r="BF8" s="301">
        <f>(IF('Water Report'!$J$27&gt;0,'Water Report'!$J$27,0))</f>
        <v>106</v>
      </c>
      <c r="BG8" s="296">
        <f>(IF('Section Load'!AN11&gt;0,'Section Load'!AN11,0))</f>
        <v>1066</v>
      </c>
      <c r="BH8" s="296">
        <f>(IF('Section Load'!AO11&gt;0,'Section Load'!AO11,0))</f>
        <v>359</v>
      </c>
      <c r="BI8" s="296">
        <f>(IF('Section Load'!AP11&gt;0,'Section Load'!AP11,0))</f>
        <v>0</v>
      </c>
      <c r="BJ8" s="296">
        <f>(IF('Section Load'!AQ11&gt;0,'Section Load'!AQ11,0))</f>
        <v>111</v>
      </c>
      <c r="BK8" s="296">
        <f>(IF('Section Load'!AR11&gt;0,'Section Load'!AR11,0))</f>
        <v>47</v>
      </c>
      <c r="BL8" s="296">
        <f>(IF('Section Load'!AS11&gt;0,'Section Load'!AS11,0))</f>
        <v>0</v>
      </c>
      <c r="BM8" s="296">
        <f>(IF('Section Load'!AT11&gt;0,'Section Load'!AT11,0))</f>
        <v>549</v>
      </c>
    </row>
    <row r="9" spans="1:65">
      <c r="A9" s="287" t="s">
        <v>268</v>
      </c>
      <c r="B9" s="288">
        <f t="shared" si="0"/>
        <v>8</v>
      </c>
      <c r="C9" s="288">
        <v>8</v>
      </c>
      <c r="D9" s="288">
        <v>2022</v>
      </c>
      <c r="E9" s="294">
        <f>(IF('Section Load'!F12&gt;0,'Section Load'!F12,0))</f>
        <v>0</v>
      </c>
      <c r="F9" s="294">
        <f>(IF('Section Load'!G12&gt;0,'Section Load'!G12,0))</f>
        <v>0</v>
      </c>
      <c r="G9" s="294">
        <f>(IF('Section Load'!H12&gt;0,'Section Load'!H12,0))</f>
        <v>0</v>
      </c>
      <c r="H9" s="294">
        <f>(IF('Section Load'!I12&gt;0,'Section Load'!I12,0))</f>
        <v>0</v>
      </c>
      <c r="I9" s="294">
        <f>(IF('Section Load'!J12&gt;0,'Section Load'!J12,0))</f>
        <v>0</v>
      </c>
      <c r="J9" s="294">
        <f>(IF('Section Load'!K12&gt;0,'Section Load'!K12,0))</f>
        <v>0</v>
      </c>
      <c r="K9" s="294">
        <f>(IF('Section Load'!L12&gt;0,'Section Load'!L12,0))</f>
        <v>0</v>
      </c>
      <c r="L9" s="294">
        <f>(IF('Section Load'!M12&gt;0,'Section Load'!M12,0))</f>
        <v>0</v>
      </c>
      <c r="M9" s="294">
        <f>(IF('Section Load'!N12&gt;0,'Section Load'!N12,0))</f>
        <v>0</v>
      </c>
      <c r="N9" s="294">
        <f>(IF('Section Load'!O12&gt;0,'Section Load'!O12,0))</f>
        <v>0</v>
      </c>
      <c r="O9" s="294">
        <f>(IF('Section Load'!P12&gt;0,'Section Load'!P12,0))</f>
        <v>0</v>
      </c>
      <c r="P9" s="294">
        <f>(IF('Section Load'!Q12&gt;0,'Section Load'!Q12,0))</f>
        <v>0</v>
      </c>
      <c r="Q9" s="294">
        <f>(IF('Section Load'!R12&gt;0,'Section Load'!R12,0))</f>
        <v>0</v>
      </c>
      <c r="R9" s="294">
        <f>(IF('Section Load'!S12&gt;0,'Section Load'!S12,0))</f>
        <v>0</v>
      </c>
      <c r="S9" s="294">
        <f>(IF('Section Load'!T12&gt;0,'Section Load'!T12,0))</f>
        <v>0</v>
      </c>
      <c r="T9" s="294">
        <f>(IF('Section Load'!U12&gt;0,'Section Load'!U12,0))</f>
        <v>0</v>
      </c>
      <c r="U9" s="294">
        <f>(IF('Section Load'!V12&gt;0,'Section Load'!V12,0))</f>
        <v>0</v>
      </c>
      <c r="V9" s="294">
        <f>(IF('Section Load'!W12&gt;0,'Section Load'!W12,0))</f>
        <v>0</v>
      </c>
      <c r="W9" s="294">
        <f>(IF('Section Load'!X12&gt;0,'Section Load'!X12,0))</f>
        <v>0</v>
      </c>
      <c r="X9" s="294">
        <f>(IF('Section Load'!Y12&gt;0,'Section Load'!Y12,0))</f>
        <v>0</v>
      </c>
      <c r="Y9" s="294">
        <f>(IF('Section Load'!Z12&gt;0,'Section Load'!Z12,0))</f>
        <v>0</v>
      </c>
      <c r="Z9" s="294">
        <f>(IF('Section Load'!AA12&gt;0,'Section Load'!AA12,0))</f>
        <v>0</v>
      </c>
      <c r="AA9" s="294">
        <f>(IF('Section Load'!AB12&gt;0,'Section Load'!AB12,0))</f>
        <v>0</v>
      </c>
      <c r="AB9" s="294">
        <f>(IF('Section Load'!AC12&gt;0,'Section Load'!AC12,0))</f>
        <v>0</v>
      </c>
      <c r="AC9" s="294">
        <f>(IF('Section Load'!AD12&gt;0,'Section Load'!AD12,0))</f>
        <v>0</v>
      </c>
      <c r="AD9" s="294">
        <f>(IF('Section Load'!AE12&gt;0,'Section Load'!AE12,0))</f>
        <v>0</v>
      </c>
      <c r="AE9" s="294">
        <f>(IF('Section Load'!AF12&gt;0,'Section Load'!AF12,0))</f>
        <v>0</v>
      </c>
      <c r="AF9" s="294">
        <f>(IF('Section Load'!AG12&gt;0,'Section Load'!AG12,0))</f>
        <v>0</v>
      </c>
      <c r="AG9" s="294">
        <f>(IF('Section Load'!AH12&gt;0,'Section Load'!AH12,0))</f>
        <v>0</v>
      </c>
      <c r="AH9" s="294">
        <f>(IF('Section Load'!AI12&gt;0,'Section Load'!AI12,0))</f>
        <v>0</v>
      </c>
      <c r="AI9" s="294">
        <f>(IF('Section Load'!AJ12&gt;0,'Section Load'!AJ12,0))</f>
        <v>0</v>
      </c>
      <c r="AJ9" s="294">
        <f>(IF('Section Load'!AK12&gt;0,'Section Load'!AK12,0))</f>
        <v>0</v>
      </c>
      <c r="AK9" s="294">
        <f>(IF('Section Load'!AL12&gt;0,'Section Load'!AL12,0))</f>
        <v>0</v>
      </c>
      <c r="AL9" s="294">
        <f>(IF('Section Load'!AM12&gt;0,'Section Load'!AM12,0))</f>
        <v>567211</v>
      </c>
      <c r="AM9" s="295">
        <f>(IF('Water Report'!$K$7&gt;0,'Water Report'!$K$7,0))</f>
        <v>0</v>
      </c>
      <c r="AN9" s="295">
        <f>(IF('Water Report'!$K$8&gt;0,'Water Report'!$K$8,0))</f>
        <v>0</v>
      </c>
      <c r="AO9" s="295">
        <f>(IF('Water Report'!$K$9&gt;0,'Water Report'!$K$9,0))</f>
        <v>0</v>
      </c>
      <c r="AP9" s="295">
        <f>(IF('Water Report'!$K$10&gt;0,'Water Report'!$K$10,0))</f>
        <v>0</v>
      </c>
      <c r="AQ9" s="295">
        <f>(IF('Water Report'!$K$11&gt;0,'Water Report'!$K$11,0))</f>
        <v>0</v>
      </c>
      <c r="AR9" s="295">
        <f>(IF('Water Report'!$K$13&gt;0,'Water Report'!$K$13,0))</f>
        <v>0</v>
      </c>
      <c r="AS9" s="295">
        <f>(IF('Water Report'!$K$14&gt;0,'Water Report'!$K$14,0))</f>
        <v>0</v>
      </c>
      <c r="AT9" s="295">
        <f>(IF('Water Report'!$K$15&gt;0,'Water Report'!$K$15,0))</f>
        <v>0</v>
      </c>
      <c r="AU9" s="295">
        <f>(IF('Water Report'!$K$17&gt;0,'Water Report'!$K$17,0))</f>
        <v>20</v>
      </c>
      <c r="AV9" s="295">
        <f>(IF('Water Report'!$K$18&gt;0,'Water Report'!$K$18,0))</f>
        <v>0</v>
      </c>
      <c r="AW9" s="295">
        <f>(IF('Water Report'!$K$19&gt;0,'Water Report'!$K$19,0))</f>
        <v>0</v>
      </c>
      <c r="AX9" s="301">
        <f>(IF('Water Report'!$K$21&gt;0,'Water Report'!$K$21,0))</f>
        <v>0</v>
      </c>
      <c r="AY9" s="301">
        <f>(IF('Water Report'!$K$22&gt;0,'Water Report'!$K$22,0))</f>
        <v>0</v>
      </c>
      <c r="AZ9" s="301">
        <f>(IF('Water Report'!$K$23&gt;0,'Water Report'!$K$23,0))</f>
        <v>0</v>
      </c>
      <c r="BA9" s="301">
        <f>(IF('Water Report'!$K$14&gt;0,'Water Report'!$K$14,0))</f>
        <v>0</v>
      </c>
      <c r="BB9" s="301">
        <f>(IF('Water Report'!$K$15&gt;0,'Water Report'!$K$15,0))</f>
        <v>0</v>
      </c>
      <c r="BC9" s="301">
        <f>(IF('Water Report'!$K$13&gt;0,'Water Report'!$K$13,0))</f>
        <v>0</v>
      </c>
      <c r="BD9" s="301">
        <f>(IF('Water Report'!$K$24&gt;0,'Water Report'!$K$24,0))</f>
        <v>0</v>
      </c>
      <c r="BE9" s="301">
        <f>(IF('Water Report'!$K$25&gt;0,'Water Report'!$K$25,0))</f>
        <v>0</v>
      </c>
      <c r="BF9" s="301">
        <f>(IF('Water Report'!$K$27&gt;0,'Water Report'!$K$27,0))</f>
        <v>0</v>
      </c>
      <c r="BG9" s="296">
        <f>(IF('Section Load'!AN12&gt;0,'Section Load'!AN12,0))</f>
        <v>1000</v>
      </c>
      <c r="BH9" s="296">
        <f>(IF('Section Load'!AO12&gt;0,'Section Load'!AO12,0))</f>
        <v>0</v>
      </c>
      <c r="BI9" s="296">
        <f>(IF('Section Load'!AP12&gt;0,'Section Load'!AP12,0))</f>
        <v>0.80000000000291038</v>
      </c>
      <c r="BJ9" s="296">
        <f>(IF('Section Load'!AQ12&gt;0,'Section Load'!AQ12,0))</f>
        <v>0</v>
      </c>
      <c r="BK9" s="296">
        <f>(IF('Section Load'!AR12&gt;0,'Section Load'!AR12,0))</f>
        <v>0</v>
      </c>
      <c r="BL9" s="296">
        <f>(IF('Section Load'!AS12&gt;0,'Section Load'!AS12,0))</f>
        <v>0</v>
      </c>
      <c r="BM9" s="296">
        <f>(IF('Section Load'!AT12&gt;0,'Section Load'!AT12,0))</f>
        <v>15421.199999999997</v>
      </c>
    </row>
    <row r="10" spans="1:65">
      <c r="A10" s="287" t="s">
        <v>268</v>
      </c>
      <c r="B10" s="288">
        <f t="shared" si="0"/>
        <v>9</v>
      </c>
      <c r="C10" s="288">
        <v>8</v>
      </c>
      <c r="D10" s="288">
        <v>2022</v>
      </c>
      <c r="E10" s="294">
        <f>(IF('Section Load'!F13&gt;0,'Section Load'!F13,0))</f>
        <v>759.79999999998836</v>
      </c>
      <c r="F10" s="294">
        <f>(IF('Section Load'!G13&gt;0,'Section Load'!G13,0))</f>
        <v>1573.75</v>
      </c>
      <c r="G10" s="294">
        <f>(IF('Section Load'!H13&gt;0,'Section Load'!H13,0))</f>
        <v>2332.109999999986</v>
      </c>
      <c r="H10" s="294">
        <f>(IF('Section Load'!I13&gt;0,'Section Load'!I13,0))</f>
        <v>3026.1500000000233</v>
      </c>
      <c r="I10" s="294">
        <f>(IF('Section Load'!J13&gt;0,'Section Load'!J13,0))</f>
        <v>8124.6299999999901</v>
      </c>
      <c r="J10" s="294">
        <f>(IF('Section Load'!K13&gt;0,'Section Load'!K13,0))</f>
        <v>3152.4500000000116</v>
      </c>
      <c r="K10" s="294">
        <f>(IF('Section Load'!L13&gt;0,'Section Load'!L13,0))</f>
        <v>1278.6700000000128</v>
      </c>
      <c r="L10" s="294">
        <f>(IF('Section Load'!M13&gt;0,'Section Load'!M13,0))</f>
        <v>1130.1700000000128</v>
      </c>
      <c r="M10" s="294">
        <f>(IF('Section Load'!N13&gt;0,'Section Load'!N13,0))</f>
        <v>125</v>
      </c>
      <c r="N10" s="294">
        <f>(IF('Section Load'!O13&gt;0,'Section Load'!O13,0))</f>
        <v>155</v>
      </c>
      <c r="O10" s="294">
        <f>(IF('Section Load'!P13&gt;0,'Section Load'!P13,0))</f>
        <v>84</v>
      </c>
      <c r="P10" s="294">
        <f>(IF('Section Load'!Q13&gt;0,'Section Load'!Q13,0))</f>
        <v>211.7899999999936</v>
      </c>
      <c r="Q10" s="294">
        <f>(IF('Section Load'!R13&gt;0,'Section Load'!R13,0))</f>
        <v>77.80000000000291</v>
      </c>
      <c r="R10" s="294">
        <f>(IF('Section Load'!S13&gt;0,'Section Load'!S13,0))</f>
        <v>0</v>
      </c>
      <c r="S10" s="294">
        <f>(IF('Section Load'!T13&gt;0,'Section Load'!T13,0))</f>
        <v>42</v>
      </c>
      <c r="T10" s="294">
        <f>(IF('Section Load'!U13&gt;0,'Section Load'!U13,0))</f>
        <v>254</v>
      </c>
      <c r="U10" s="294">
        <f>(IF('Section Load'!V13&gt;0,'Section Load'!V13,0))</f>
        <v>399</v>
      </c>
      <c r="V10" s="294">
        <f>(IF('Section Load'!W13&gt;0,'Section Load'!W13,0))</f>
        <v>422</v>
      </c>
      <c r="W10" s="294">
        <f>(IF('Section Load'!X13&gt;0,'Section Load'!X13,0))</f>
        <v>27.319999999999709</v>
      </c>
      <c r="X10" s="294">
        <f>(IF('Section Load'!Y13&gt;0,'Section Load'!Y13,0))</f>
        <v>290.16999999999825</v>
      </c>
      <c r="Y10" s="294">
        <f>(IF('Section Load'!Z13&gt;0,'Section Load'!Z13,0))</f>
        <v>291</v>
      </c>
      <c r="Z10" s="294">
        <f>(IF('Section Load'!AA13&gt;0,'Section Load'!AA13,0))</f>
        <v>173.20000000001164</v>
      </c>
      <c r="AA10" s="294">
        <f>(IF('Section Load'!AB13&gt;0,'Section Load'!AB13,0))</f>
        <v>24</v>
      </c>
      <c r="AB10" s="294">
        <f>(IF('Section Load'!AC13&gt;0,'Section Load'!AC13,0))</f>
        <v>0</v>
      </c>
      <c r="AC10" s="294">
        <f>(IF('Section Load'!AD13&gt;0,'Section Load'!AD13,0))</f>
        <v>150.60000000000036</v>
      </c>
      <c r="AD10" s="294">
        <f>(IF('Section Load'!AE13&gt;0,'Section Load'!AE13,0))</f>
        <v>434.23999999999796</v>
      </c>
      <c r="AE10" s="294">
        <f>(IF('Section Load'!AF13&gt;0,'Section Load'!AF13,0))</f>
        <v>303.41000000000349</v>
      </c>
      <c r="AF10" s="294">
        <f>(IF('Section Load'!AG13&gt;0,'Section Load'!AG13,0))</f>
        <v>642.45999999999913</v>
      </c>
      <c r="AG10" s="294">
        <f>(IF('Section Load'!AH13&gt;0,'Section Load'!AH13,0))</f>
        <v>245</v>
      </c>
      <c r="AH10" s="294">
        <f>(IF('Section Load'!AI13&gt;0,'Section Load'!AI13,0))</f>
        <v>444.94000000000233</v>
      </c>
      <c r="AI10" s="294">
        <f>(IF('Section Load'!AJ13&gt;0,'Section Load'!AJ13,0))</f>
        <v>439.20999999999913</v>
      </c>
      <c r="AJ10" s="294">
        <f>(IF('Section Load'!AK13&gt;0,'Section Load'!AK13,0))</f>
        <v>275.38999999999942</v>
      </c>
      <c r="AK10" s="294">
        <f>(IF('Section Load'!AL13&gt;0,'Section Load'!AL13,0))</f>
        <v>324.86000000000058</v>
      </c>
      <c r="AL10" s="294">
        <f>(IF('Section Load'!AM13&gt;0,'Section Load'!AM13,0))</f>
        <v>0</v>
      </c>
      <c r="AM10" s="295">
        <f>(IF('Water Report'!$L$7&gt;0,'Water Report'!$L$7,0))</f>
        <v>121</v>
      </c>
      <c r="AN10" s="295">
        <f>(IF('Water Report'!$L$8&gt;0,'Water Report'!$L$8,0))</f>
        <v>129</v>
      </c>
      <c r="AO10" s="295">
        <f>(IF('Water Report'!$L$9&gt;0,'Water Report'!$L$9,0))</f>
        <v>101</v>
      </c>
      <c r="AP10" s="295">
        <f>(IF('Water Report'!$L$10&gt;0,'Water Report'!$L$10,0))</f>
        <v>27</v>
      </c>
      <c r="AQ10" s="295">
        <f>(IF('Water Report'!$L$11&gt;0,'Water Report'!$L$11,0))</f>
        <v>0</v>
      </c>
      <c r="AR10" s="295">
        <f>(IF('Water Report'!$L$13&gt;0,'Water Report'!$L$13,0))</f>
        <v>40</v>
      </c>
      <c r="AS10" s="295">
        <f>(IF('Water Report'!$L$14&gt;0,'Water Report'!$L$14,0))</f>
        <v>5</v>
      </c>
      <c r="AT10" s="295">
        <f>(IF('Water Report'!$L$15&gt;0,'Water Report'!$L$15,0))</f>
        <v>6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13</v>
      </c>
      <c r="AX10" s="301">
        <f>(IF('Water Report'!$L$21&gt;0,'Water Report'!$L$21,0))</f>
        <v>110</v>
      </c>
      <c r="AY10" s="301">
        <f>(IF('Water Report'!$L$22&gt;0,'Water Report'!$L$22,0))</f>
        <v>0</v>
      </c>
      <c r="AZ10" s="301">
        <f>(IF('Water Report'!$L$23&gt;0,'Water Report'!$L$23,0))</f>
        <v>8</v>
      </c>
      <c r="BA10" s="301">
        <f>(IF('Water Report'!$L$14&gt;0,'Water Report'!$L$14,0))</f>
        <v>5</v>
      </c>
      <c r="BB10" s="301">
        <f>(IF('Water Report'!$L$15&gt;0,'Water Report'!$L$15,0))</f>
        <v>6</v>
      </c>
      <c r="BC10" s="301">
        <f>(IF('Water Report'!$L$13&gt;0,'Water Report'!$L$13,0))</f>
        <v>40</v>
      </c>
      <c r="BD10" s="301">
        <f>(IF('Water Report'!$L$24&gt;0,'Water Report'!$L$24,0))</f>
        <v>270</v>
      </c>
      <c r="BE10" s="301">
        <f>(IF('Water Report'!$L$25&gt;0,'Water Report'!$L$25,0))</f>
        <v>139</v>
      </c>
      <c r="BF10" s="301">
        <f>(IF('Water Report'!$L$27&gt;0,'Water Report'!$L$27,0))</f>
        <v>158</v>
      </c>
      <c r="BG10" s="296">
        <f>(IF('Section Load'!AN13&gt;0,'Section Load'!AN13,0))</f>
        <v>1000</v>
      </c>
      <c r="BH10" s="296">
        <f>(IF('Section Load'!AO13&gt;0,'Section Load'!AO13,0))</f>
        <v>328.44999999995343</v>
      </c>
      <c r="BI10" s="296">
        <f>(IF('Section Load'!AP13&gt;0,'Section Load'!AP13,0))</f>
        <v>0</v>
      </c>
      <c r="BJ10" s="296">
        <f>(IF('Section Load'!AQ13&gt;0,'Section Load'!AQ13,0))</f>
        <v>107.5</v>
      </c>
      <c r="BK10" s="296">
        <f>(IF('Section Load'!AR13&gt;0,'Section Load'!AR13,0))</f>
        <v>122</v>
      </c>
      <c r="BL10" s="296">
        <f>(IF('Section Load'!AS13&gt;0,'Section Load'!AS13,0))</f>
        <v>0</v>
      </c>
      <c r="BM10" s="296">
        <f>(IF('Section Load'!AT13&gt;0,'Section Load'!AT13,0))</f>
        <v>442.4500000000462</v>
      </c>
    </row>
    <row r="11" spans="1:65">
      <c r="A11" s="287" t="s">
        <v>268</v>
      </c>
      <c r="B11" s="288">
        <f t="shared" si="0"/>
        <v>10</v>
      </c>
      <c r="C11" s="288">
        <v>8</v>
      </c>
      <c r="D11" s="288">
        <v>2022</v>
      </c>
      <c r="E11" s="294">
        <f>(IF('Section Load'!F14&gt;0,'Section Load'!F14,0))</f>
        <v>3679.1199999999953</v>
      </c>
      <c r="F11" s="294">
        <f>(IF('Section Load'!G14&gt;0,'Section Load'!G14,0))</f>
        <v>1524.5</v>
      </c>
      <c r="G11" s="294">
        <f>(IF('Section Load'!H14&gt;0,'Section Load'!H14,0))</f>
        <v>2285.2800000000279</v>
      </c>
      <c r="H11" s="294">
        <f>(IF('Section Load'!I14&gt;0,'Section Load'!I14,0))</f>
        <v>2907.9599999999627</v>
      </c>
      <c r="I11" s="294">
        <f>(IF('Section Load'!J14&gt;0,'Section Load'!J14,0))</f>
        <v>5749.1899999999732</v>
      </c>
      <c r="J11" s="294">
        <f>(IF('Section Load'!K14&gt;0,'Section Load'!K14,0))</f>
        <v>3210.359999999986</v>
      </c>
      <c r="K11" s="294">
        <f>(IF('Section Load'!L14&gt;0,'Section Load'!L14,0))</f>
        <v>1219.3399999999965</v>
      </c>
      <c r="L11" s="294">
        <f>(IF('Section Load'!M14&gt;0,'Section Load'!M14,0))</f>
        <v>928.53999999997905</v>
      </c>
      <c r="M11" s="294">
        <f>(IF('Section Load'!N14&gt;0,'Section Load'!N14,0))</f>
        <v>135</v>
      </c>
      <c r="N11" s="294">
        <f>(IF('Section Load'!O14&gt;0,'Section Load'!O14,0))</f>
        <v>149</v>
      </c>
      <c r="O11" s="294">
        <f>(IF('Section Load'!P14&gt;0,'Section Load'!P14,0))</f>
        <v>83.399999999994179</v>
      </c>
      <c r="P11" s="294">
        <f>(IF('Section Load'!Q14&gt;0,'Section Load'!Q14,0))</f>
        <v>205.56000000001222</v>
      </c>
      <c r="Q11" s="294">
        <f>(IF('Section Load'!R14&gt;0,'Section Load'!R14,0))</f>
        <v>70.099999999998545</v>
      </c>
      <c r="R11" s="294">
        <f>(IF('Section Load'!S14&gt;0,'Section Load'!S14,0))</f>
        <v>0</v>
      </c>
      <c r="S11" s="294">
        <f>(IF('Section Load'!T14&gt;0,'Section Load'!T14,0))</f>
        <v>39</v>
      </c>
      <c r="T11" s="294">
        <f>(IF('Section Load'!U14&gt;0,'Section Load'!U14,0))</f>
        <v>230</v>
      </c>
      <c r="U11" s="294">
        <f>(IF('Section Load'!V14&gt;0,'Section Load'!V14,0))</f>
        <v>378</v>
      </c>
      <c r="V11" s="294">
        <f>(IF('Section Load'!W14&gt;0,'Section Load'!W14,0))</f>
        <v>302.68000000005122</v>
      </c>
      <c r="W11" s="294">
        <f>(IF('Section Load'!X14&gt;0,'Section Load'!X14,0))</f>
        <v>29.139999999999418</v>
      </c>
      <c r="X11" s="294">
        <f>(IF('Section Load'!Y14&gt;0,'Section Load'!Y14,0))</f>
        <v>293.06000000000495</v>
      </c>
      <c r="Y11" s="294">
        <f>(IF('Section Load'!Z14&gt;0,'Section Load'!Z14,0))</f>
        <v>263</v>
      </c>
      <c r="Z11" s="294">
        <f>(IF('Section Load'!AA14&gt;0,'Section Load'!AA14,0))</f>
        <v>151.03999999997905</v>
      </c>
      <c r="AA11" s="294">
        <f>(IF('Section Load'!AB14&gt;0,'Section Load'!AB14,0))</f>
        <v>14.30000000000291</v>
      </c>
      <c r="AB11" s="294">
        <f>(IF('Section Load'!AC14&gt;0,'Section Load'!AC14,0))</f>
        <v>0</v>
      </c>
      <c r="AC11" s="294">
        <f>(IF('Section Load'!AD14&gt;0,'Section Load'!AD14,0))</f>
        <v>150.69999999999982</v>
      </c>
      <c r="AD11" s="294">
        <f>(IF('Section Load'!AE14&gt;0,'Section Load'!AE14,0))</f>
        <v>479.88000000000466</v>
      </c>
      <c r="AE11" s="294">
        <f>(IF('Section Load'!AF14&gt;0,'Section Load'!AF14,0))</f>
        <v>214.33999999999651</v>
      </c>
      <c r="AF11" s="294">
        <f>(IF('Section Load'!AG14&gt;0,'Section Load'!AG14,0))</f>
        <v>617.20000000000437</v>
      </c>
      <c r="AG11" s="294">
        <f>(IF('Section Load'!AH14&gt;0,'Section Load'!AH14,0))</f>
        <v>236.34999999999854</v>
      </c>
      <c r="AH11" s="294">
        <f>(IF('Section Load'!AI14&gt;0,'Section Load'!AI14,0))</f>
        <v>433.29999999999563</v>
      </c>
      <c r="AI11" s="294">
        <f>(IF('Section Load'!AJ14&gt;0,'Section Load'!AJ14,0))</f>
        <v>423.76000000000204</v>
      </c>
      <c r="AJ11" s="294">
        <f>(IF('Section Load'!AK14&gt;0,'Section Load'!AK14,0))</f>
        <v>252.88999999999942</v>
      </c>
      <c r="AK11" s="294">
        <f>(IF('Section Load'!AL14&gt;0,'Section Load'!AL14,0))</f>
        <v>320.38000000000102</v>
      </c>
      <c r="AL11" s="294">
        <f>(IF('Section Load'!AM14&gt;0,'Section Load'!AM14,0))</f>
        <v>782</v>
      </c>
      <c r="AM11" s="295">
        <f>(IF('Water Report'!$M$7&gt;0,'Water Report'!$M$7,0))</f>
        <v>113</v>
      </c>
      <c r="AN11" s="295">
        <f>(IF('Water Report'!$M$8&gt;0,'Water Report'!$M$8,0))</f>
        <v>105</v>
      </c>
      <c r="AO11" s="295">
        <f>(IF('Water Report'!$M$9&gt;0,'Water Report'!$M$9,0))</f>
        <v>102</v>
      </c>
      <c r="AP11" s="295">
        <f>(IF('Water Report'!$M$10&gt;0,'Water Report'!$M$10,0))</f>
        <v>25</v>
      </c>
      <c r="AQ11" s="295">
        <f>(IF('Water Report'!$M$11&gt;0,'Water Report'!$M$11,0))</f>
        <v>0</v>
      </c>
      <c r="AR11" s="295">
        <f>(IF('Water Report'!$M$13&gt;0,'Water Report'!$M$13,0))</f>
        <v>42</v>
      </c>
      <c r="AS11" s="295">
        <f>(IF('Water Report'!$M$14&gt;0,'Water Report'!$M$14,0))</f>
        <v>6</v>
      </c>
      <c r="AT11" s="295">
        <f>(IF('Water Report'!$M$15&gt;0,'Water Report'!$M$15,0))</f>
        <v>9</v>
      </c>
      <c r="AU11" s="295">
        <f>(IF('Water Report'!$M$17&gt;0,'Water Report'!$M$17,0))</f>
        <v>0</v>
      </c>
      <c r="AV11" s="295">
        <f>(IF('Water Report'!$M$18&gt;0,'Water Report'!$M$18,0))</f>
        <v>14</v>
      </c>
      <c r="AW11" s="295">
        <f>(IF('Water Report'!$M$19&gt;0,'Water Report'!$M$19,0))</f>
        <v>12</v>
      </c>
      <c r="AX11" s="301">
        <f>(IF('Water Report'!$M$21&gt;0,'Water Report'!$M$21,0))</f>
        <v>86</v>
      </c>
      <c r="AY11" s="301">
        <f>(IF('Water Report'!$M$22&gt;0,'Water Report'!$M$22,0))</f>
        <v>0</v>
      </c>
      <c r="AZ11" s="301">
        <f>(IF('Water Report'!$M$23&gt;0,'Water Report'!$M$23,0))</f>
        <v>11</v>
      </c>
      <c r="BA11" s="301">
        <f>(IF('Water Report'!$M$14&gt;0,'Water Report'!$M$14,0))</f>
        <v>6</v>
      </c>
      <c r="BB11" s="301">
        <f>(IF('Water Report'!$M$15&gt;0,'Water Report'!$M$15,0))</f>
        <v>9</v>
      </c>
      <c r="BC11" s="301">
        <f>(IF('Water Report'!$M$13&gt;0,'Water Report'!$M$13,0))</f>
        <v>42</v>
      </c>
      <c r="BD11" s="301">
        <f>(IF('Water Report'!$M$24&gt;0,'Water Report'!$M$24,0))</f>
        <v>270</v>
      </c>
      <c r="BE11" s="301">
        <f>(IF('Water Report'!$M$25&gt;0,'Water Report'!$M$25,0))</f>
        <v>142</v>
      </c>
      <c r="BF11" s="301">
        <f>(IF('Water Report'!$M$27&gt;0,'Water Report'!$M$27,0))</f>
        <v>139</v>
      </c>
      <c r="BG11" s="296">
        <f>(IF('Section Load'!AN14&gt;0,'Section Load'!AN14,0))</f>
        <v>1000</v>
      </c>
      <c r="BH11" s="296">
        <f>(IF('Section Load'!AO14&gt;0,'Section Load'!AO14,0))</f>
        <v>265.84000000008382</v>
      </c>
      <c r="BI11" s="296">
        <f>(IF('Section Load'!AP14&gt;0,'Section Load'!AP14,0))</f>
        <v>0</v>
      </c>
      <c r="BJ11" s="296">
        <f>(IF('Section Load'!AQ14&gt;0,'Section Load'!AQ14,0))</f>
        <v>98.5</v>
      </c>
      <c r="BK11" s="296">
        <f>(IF('Section Load'!AR14&gt;0,'Section Load'!AR14,0))</f>
        <v>42</v>
      </c>
      <c r="BL11" s="296">
        <f>(IF('Section Load'!AS14&gt;0,'Section Load'!AS14,0))</f>
        <v>0</v>
      </c>
      <c r="BM11" s="296">
        <f>(IF('Section Load'!AT14&gt;0,'Section Load'!AT14,0))</f>
        <v>593.65999999991618</v>
      </c>
    </row>
    <row r="12" spans="1:65">
      <c r="A12" s="287" t="s">
        <v>268</v>
      </c>
      <c r="B12" s="288">
        <f t="shared" si="0"/>
        <v>11</v>
      </c>
      <c r="C12" s="288">
        <v>8</v>
      </c>
      <c r="D12" s="288">
        <v>2022</v>
      </c>
      <c r="E12" s="294">
        <f>(IF('Section Load'!F15&gt;0,'Section Load'!F15,0))</f>
        <v>3790.7200000000303</v>
      </c>
      <c r="F12" s="294">
        <f>(IF('Section Load'!G15&gt;0,'Section Load'!G15,0))</f>
        <v>1487.4600000000139</v>
      </c>
      <c r="G12" s="294">
        <f>(IF('Section Load'!H15&gt;0,'Section Load'!H15,0))</f>
        <v>2304.1599999999744</v>
      </c>
      <c r="H12" s="294">
        <f>(IF('Section Load'!I15&gt;0,'Section Load'!I15,0))</f>
        <v>2848.8000000000466</v>
      </c>
      <c r="I12" s="294">
        <f>(IF('Section Load'!J15&gt;0,'Section Load'!J15,0))</f>
        <v>6949.2699999999604</v>
      </c>
      <c r="J12" s="294">
        <f>(IF('Section Load'!K15&gt;0,'Section Load'!K15,0))</f>
        <v>2943.320000000007</v>
      </c>
      <c r="K12" s="294">
        <f>(IF('Section Load'!L15&gt;0,'Section Load'!L15,0))</f>
        <v>1058</v>
      </c>
      <c r="L12" s="294">
        <f>(IF('Section Load'!M15&gt;0,'Section Load'!M15,0))</f>
        <v>696.83999999999651</v>
      </c>
      <c r="M12" s="294">
        <f>(IF('Section Load'!N15&gt;0,'Section Load'!N15,0))</f>
        <v>109</v>
      </c>
      <c r="N12" s="294">
        <f>(IF('Section Load'!O15&gt;0,'Section Load'!O15,0))</f>
        <v>172</v>
      </c>
      <c r="O12" s="294">
        <f>(IF('Section Load'!P15&gt;0,'Section Load'!P15,0))</f>
        <v>216</v>
      </c>
      <c r="P12" s="294">
        <f>(IF('Section Load'!Q15&gt;0,'Section Load'!Q15,0))</f>
        <v>191.31999999999243</v>
      </c>
      <c r="Q12" s="294">
        <f>(IF('Section Load'!R15&gt;0,'Section Load'!R15,0))</f>
        <v>71.319999999999709</v>
      </c>
      <c r="R12" s="294">
        <f>(IF('Section Load'!S15&gt;0,'Section Load'!S15,0))</f>
        <v>0</v>
      </c>
      <c r="S12" s="294">
        <f>(IF('Section Load'!T15&gt;0,'Section Load'!T15,0))</f>
        <v>38</v>
      </c>
      <c r="T12" s="294">
        <f>(IF('Section Load'!U15&gt;0,'Section Load'!U15,0))</f>
        <v>254</v>
      </c>
      <c r="U12" s="294">
        <f>(IF('Section Load'!V15&gt;0,'Section Load'!V15,0))</f>
        <v>377.23999999999069</v>
      </c>
      <c r="V12" s="294">
        <f>(IF('Section Load'!W15&gt;0,'Section Load'!W15,0))</f>
        <v>258.71999999997206</v>
      </c>
      <c r="W12" s="294">
        <f>(IF('Section Load'!X15&gt;0,'Section Load'!X15,0))</f>
        <v>28.540000000000873</v>
      </c>
      <c r="X12" s="294">
        <f>(IF('Section Load'!Y15&gt;0,'Section Load'!Y15,0))</f>
        <v>278.21999999999389</v>
      </c>
      <c r="Y12" s="294">
        <f>(IF('Section Load'!Z15&gt;0,'Section Load'!Z15,0))</f>
        <v>270</v>
      </c>
      <c r="Z12" s="294">
        <f>(IF('Section Load'!AA15&gt;0,'Section Load'!AA15,0))</f>
        <v>137.9199999999837</v>
      </c>
      <c r="AA12" s="294">
        <f>(IF('Section Load'!AB15&gt;0,'Section Load'!AB15,0))</f>
        <v>38.399999999994179</v>
      </c>
      <c r="AB12" s="294">
        <f>(IF('Section Load'!AC15&gt;0,'Section Load'!AC15,0))</f>
        <v>0</v>
      </c>
      <c r="AC12" s="294">
        <f>(IF('Section Load'!AD15&gt;0,'Section Load'!AD15,0))</f>
        <v>153.59999999999945</v>
      </c>
      <c r="AD12" s="294">
        <f>(IF('Section Load'!AE15&gt;0,'Section Load'!AE15,0))</f>
        <v>386.66999999999825</v>
      </c>
      <c r="AE12" s="294">
        <f>(IF('Section Load'!AF15&gt;0,'Section Load'!AF15,0))</f>
        <v>213.83999999999651</v>
      </c>
      <c r="AF12" s="294">
        <f>(IF('Section Load'!AG15&gt;0,'Section Load'!AG15,0))</f>
        <v>631.73999999999796</v>
      </c>
      <c r="AG12" s="294">
        <f>(IF('Section Load'!AH15&gt;0,'Section Load'!AH15,0))</f>
        <v>225.19000000000233</v>
      </c>
      <c r="AH12" s="294">
        <f>(IF('Section Load'!AI15&gt;0,'Section Load'!AI15,0))</f>
        <v>427.15000000000146</v>
      </c>
      <c r="AI12" s="294">
        <f>(IF('Section Load'!AJ15&gt;0,'Section Load'!AJ15,0))</f>
        <v>463.98999999999796</v>
      </c>
      <c r="AJ12" s="294">
        <f>(IF('Section Load'!AK15&gt;0,'Section Load'!AK15,0))</f>
        <v>286.85000000000218</v>
      </c>
      <c r="AK12" s="294">
        <f>(IF('Section Load'!AL15&gt;0,'Section Load'!AL15,0))</f>
        <v>338.15999999999985</v>
      </c>
      <c r="AL12" s="294">
        <f>(IF('Section Load'!AM15&gt;0,'Section Load'!AM15,0))</f>
        <v>824</v>
      </c>
      <c r="AM12" s="295">
        <f>(IF('Water Report'!$N$7&gt;0,'Water Report'!$N$7,0))</f>
        <v>122</v>
      </c>
      <c r="AN12" s="295">
        <f>(IF('Water Report'!$N$8&gt;0,'Water Report'!$N$8,0))</f>
        <v>94</v>
      </c>
      <c r="AO12" s="295">
        <f>(IF('Water Report'!$N$9&gt;0,'Water Report'!$N$9,0))</f>
        <v>102</v>
      </c>
      <c r="AP12" s="295">
        <f>(IF('Water Report'!$N$10&gt;0,'Water Report'!$N$10,0))</f>
        <v>19</v>
      </c>
      <c r="AQ12" s="295">
        <f>(IF('Water Report'!$N$11&gt;0,'Water Report'!$N$11,0))</f>
        <v>0</v>
      </c>
      <c r="AR12" s="295">
        <f>(IF('Water Report'!$N$13&gt;0,'Water Report'!$N$13,0))</f>
        <v>25</v>
      </c>
      <c r="AS12" s="295">
        <f>(IF('Water Report'!$N$14&gt;0,'Water Report'!$N$14,0))</f>
        <v>3</v>
      </c>
      <c r="AT12" s="295">
        <f>(IF('Water Report'!$N$15&gt;0,'Water Report'!$N$15,0))</f>
        <v>14</v>
      </c>
      <c r="AU12" s="295">
        <f>(IF('Water Report'!$N$17&gt;0,'Water Report'!$N$17,0))</f>
        <v>9</v>
      </c>
      <c r="AV12" s="295">
        <f>(IF('Water Report'!$N$18&gt;0,'Water Report'!$N$18,0))</f>
        <v>16</v>
      </c>
      <c r="AW12" s="295">
        <f>(IF('Water Report'!$N$19&gt;0,'Water Report'!$N$19,0))</f>
        <v>11</v>
      </c>
      <c r="AX12" s="301">
        <f>(IF('Water Report'!$N$21&gt;0,'Water Report'!$N$21,0))</f>
        <v>108</v>
      </c>
      <c r="AY12" s="301">
        <f>(IF('Water Report'!$N$22&gt;0,'Water Report'!$N$22,0))</f>
        <v>0</v>
      </c>
      <c r="AZ12" s="301">
        <f>(IF('Water Report'!$N$23&gt;0,'Water Report'!$N$23,0))</f>
        <v>7</v>
      </c>
      <c r="BA12" s="301">
        <f>(IF('Water Report'!$N$14&gt;0,'Water Report'!$N$14,0))</f>
        <v>3</v>
      </c>
      <c r="BB12" s="301">
        <f>(IF('Water Report'!$N$15&gt;0,'Water Report'!$N$15,0))</f>
        <v>14</v>
      </c>
      <c r="BC12" s="301">
        <f>(IF('Water Report'!$N$13&gt;0,'Water Report'!$N$13,0))</f>
        <v>25</v>
      </c>
      <c r="BD12" s="301">
        <f>(IF('Water Report'!$N$24&gt;0,'Water Report'!$N$24,0))</f>
        <v>221</v>
      </c>
      <c r="BE12" s="301">
        <f>(IF('Water Report'!$N$25&gt;0,'Water Report'!$N$25,0))</f>
        <v>138</v>
      </c>
      <c r="BF12" s="301">
        <f>(IF('Water Report'!$N$27&gt;0,'Water Report'!$N$27,0))</f>
        <v>140</v>
      </c>
      <c r="BG12" s="296">
        <f>(IF('Section Load'!AN15&gt;0,'Section Load'!AN15,0))</f>
        <v>1000</v>
      </c>
      <c r="BH12" s="296">
        <f>(IF('Section Load'!AO15&gt;0,'Section Load'!AO15,0))</f>
        <v>270.43999999994412</v>
      </c>
      <c r="BI12" s="296">
        <f>(IF('Section Load'!AP15&gt;0,'Section Load'!AP15,0))</f>
        <v>0</v>
      </c>
      <c r="BJ12" s="296">
        <f>(IF('Section Load'!AQ15&gt;0,'Section Load'!AQ15,0))</f>
        <v>98</v>
      </c>
      <c r="BK12" s="296">
        <f>(IF('Section Load'!AR15&gt;0,'Section Load'!AR15,0))</f>
        <v>35</v>
      </c>
      <c r="BL12" s="296">
        <f>(IF('Section Load'!AS15&gt;0,'Section Load'!AS15,0))</f>
        <v>0</v>
      </c>
      <c r="BM12" s="296">
        <f>(IF('Section Load'!AT15&gt;0,'Section Load'!AT15,0))</f>
        <v>596.56000000005588</v>
      </c>
    </row>
    <row r="13" spans="1:65">
      <c r="A13" s="287" t="s">
        <v>268</v>
      </c>
      <c r="B13" s="288">
        <f t="shared" si="0"/>
        <v>12</v>
      </c>
      <c r="C13" s="288">
        <v>8</v>
      </c>
      <c r="D13" s="288">
        <v>2022</v>
      </c>
      <c r="E13" s="294">
        <f>(IF('Section Load'!F16&gt;0,'Section Load'!F16,0))</f>
        <v>3619.6300000000047</v>
      </c>
      <c r="F13" s="294">
        <f>(IF('Section Load'!G16&gt;0,'Section Load'!G16,0))</f>
        <v>1552.320000000014</v>
      </c>
      <c r="G13" s="294">
        <f>(IF('Section Load'!H16&gt;0,'Section Load'!H16,0))</f>
        <v>2246.320000000007</v>
      </c>
      <c r="H13" s="294">
        <f>(IF('Section Load'!I16&gt;0,'Section Load'!I16,0))</f>
        <v>2839.7999999999302</v>
      </c>
      <c r="I13" s="294">
        <f>(IF('Section Load'!J16&gt;0,'Section Load'!J16,0))</f>
        <v>6974.600000000064</v>
      </c>
      <c r="J13" s="294">
        <f>(IF('Section Load'!K16&gt;0,'Section Load'!K16,0))</f>
        <v>3131.1000000000058</v>
      </c>
      <c r="K13" s="294">
        <f>(IF('Section Load'!L16&gt;0,'Section Load'!L16,0))</f>
        <v>1060.5199999999895</v>
      </c>
      <c r="L13" s="294">
        <f>(IF('Section Load'!M16&gt;0,'Section Load'!M16,0))</f>
        <v>704.22000000000116</v>
      </c>
      <c r="M13" s="294">
        <f>(IF('Section Load'!N16&gt;0,'Section Load'!N16,0))</f>
        <v>114</v>
      </c>
      <c r="N13" s="294">
        <f>(IF('Section Load'!O16&gt;0,'Section Load'!O16,0))</f>
        <v>154</v>
      </c>
      <c r="O13" s="294">
        <f>(IF('Section Load'!P16&gt;0,'Section Load'!P16,0))</f>
        <v>214</v>
      </c>
      <c r="P13" s="294">
        <f>(IF('Section Load'!Q16&gt;0,'Section Load'!Q16,0))</f>
        <v>206.33000000000175</v>
      </c>
      <c r="Q13" s="294">
        <f>(IF('Section Load'!R16&gt;0,'Section Load'!R16,0))</f>
        <v>74.049999999995634</v>
      </c>
      <c r="R13" s="294">
        <f>(IF('Section Load'!S16&gt;0,'Section Load'!S16,0))</f>
        <v>0</v>
      </c>
      <c r="S13" s="294">
        <f>(IF('Section Load'!T16&gt;0,'Section Load'!T16,0))</f>
        <v>37</v>
      </c>
      <c r="T13" s="294">
        <f>(IF('Section Load'!U16&gt;0,'Section Load'!U16,0))</f>
        <v>238</v>
      </c>
      <c r="U13" s="294">
        <f>(IF('Section Load'!V16&gt;0,'Section Load'!V16,0))</f>
        <v>377.92000000004191</v>
      </c>
      <c r="V13" s="294">
        <f>(IF('Section Load'!W16&gt;0,'Section Load'!W16,0))</f>
        <v>284.07999999995809</v>
      </c>
      <c r="W13" s="294">
        <f>(IF('Section Load'!X16&gt;0,'Section Load'!X16,0))</f>
        <v>22.479999999999563</v>
      </c>
      <c r="X13" s="294">
        <f>(IF('Section Load'!Y16&gt;0,'Section Load'!Y16,0))</f>
        <v>273.27000000000407</v>
      </c>
      <c r="Y13" s="294">
        <f>(IF('Section Load'!Z16&gt;0,'Section Load'!Z16,0))</f>
        <v>257</v>
      </c>
      <c r="Z13" s="294">
        <f>(IF('Section Load'!AA16&gt;0,'Section Load'!AA16,0))</f>
        <v>66.680000000051223</v>
      </c>
      <c r="AA13" s="294">
        <f>(IF('Section Load'!AB16&gt;0,'Section Load'!AB16,0))</f>
        <v>39.5</v>
      </c>
      <c r="AB13" s="294">
        <f>(IF('Section Load'!AC16&gt;0,'Section Load'!AC16,0))</f>
        <v>0</v>
      </c>
      <c r="AC13" s="294">
        <f>(IF('Section Load'!AD16&gt;0,'Section Load'!AD16,0))</f>
        <v>164.19999999999982</v>
      </c>
      <c r="AD13" s="294">
        <f>(IF('Section Load'!AE16&gt;0,'Section Load'!AE16,0))</f>
        <v>378.69999999999709</v>
      </c>
      <c r="AE13" s="294">
        <f>(IF('Section Load'!AF16&gt;0,'Section Load'!AF16,0))</f>
        <v>213.12000000000262</v>
      </c>
      <c r="AF13" s="294">
        <f>(IF('Section Load'!AG16&gt;0,'Section Load'!AG16,0))</f>
        <v>628.26000000000204</v>
      </c>
      <c r="AG13" s="294">
        <f>(IF('Section Load'!AH16&gt;0,'Section Load'!AH16,0))</f>
        <v>224.58999999999651</v>
      </c>
      <c r="AH13" s="294">
        <f>(IF('Section Load'!AI16&gt;0,'Section Load'!AI16,0))</f>
        <v>427.90000000000146</v>
      </c>
      <c r="AI13" s="294">
        <f>(IF('Section Load'!AJ16&gt;0,'Section Load'!AJ16,0))</f>
        <v>438.04000000000087</v>
      </c>
      <c r="AJ13" s="294">
        <f>(IF('Section Load'!AK16&gt;0,'Section Load'!AK16,0))</f>
        <v>306.03999999999724</v>
      </c>
      <c r="AK13" s="294">
        <f>(IF('Section Load'!AL16&gt;0,'Section Load'!AL16,0))</f>
        <v>293.5199999999968</v>
      </c>
      <c r="AL13" s="294">
        <f>(IF('Section Load'!AM16&gt;0,'Section Load'!AM16,0))</f>
        <v>785</v>
      </c>
      <c r="AM13" s="295">
        <f>(IF('Water Report'!$O$7&gt;0,'Water Report'!$O$7,0))</f>
        <v>97</v>
      </c>
      <c r="AN13" s="295">
        <f>(IF('Water Report'!$O$8&gt;0,'Water Report'!$O$8,0))</f>
        <v>87</v>
      </c>
      <c r="AO13" s="295">
        <f>(IF('Water Report'!$O$9&gt;0,'Water Report'!$O$9,0))</f>
        <v>104</v>
      </c>
      <c r="AP13" s="295">
        <f>(IF('Water Report'!$O$10&gt;0,'Water Report'!$O$10,0))</f>
        <v>24</v>
      </c>
      <c r="AQ13" s="295">
        <f>(IF('Water Report'!$O$11&gt;0,'Water Report'!$O$11,0))</f>
        <v>0</v>
      </c>
      <c r="AR13" s="295">
        <f>(IF('Water Report'!$O$13&gt;0,'Water Report'!$O$13,0))</f>
        <v>41</v>
      </c>
      <c r="AS13" s="295">
        <f>(IF('Water Report'!$O$14&gt;0,'Water Report'!$O$14,0))</f>
        <v>4</v>
      </c>
      <c r="AT13" s="295">
        <f>(IF('Water Report'!$O$15&gt;0,'Water Report'!$O$15,0))</f>
        <v>8</v>
      </c>
      <c r="AU13" s="295">
        <f>(IF('Water Report'!$O$17&gt;0,'Water Report'!$O$17,0))</f>
        <v>0</v>
      </c>
      <c r="AV13" s="295">
        <f>(IF('Water Report'!$O$18&gt;0,'Water Report'!$O$18,0))</f>
        <v>11</v>
      </c>
      <c r="AW13" s="295">
        <f>(IF('Water Report'!$O$19&gt;0,'Water Report'!$O$19,0))</f>
        <v>12</v>
      </c>
      <c r="AX13" s="301">
        <f>(IF('Water Report'!$O$21&gt;0,'Water Report'!$O$21,0))</f>
        <v>107</v>
      </c>
      <c r="AY13" s="301">
        <f>(IF('Water Report'!$O$22&gt;0,'Water Report'!$O$22,0))</f>
        <v>0</v>
      </c>
      <c r="AZ13" s="301">
        <f>(IF('Water Report'!$O$23&gt;0,'Water Report'!$O$23,0))</f>
        <v>5</v>
      </c>
      <c r="BA13" s="301">
        <f>(IF('Water Report'!$O$14&gt;0,'Water Report'!$O$14,0))</f>
        <v>4</v>
      </c>
      <c r="BB13" s="301">
        <f>(IF('Water Report'!$O$15&gt;0,'Water Report'!$O$15,0))</f>
        <v>8</v>
      </c>
      <c r="BC13" s="301">
        <f>(IF('Water Report'!$O$13&gt;0,'Water Report'!$O$13,0))</f>
        <v>41</v>
      </c>
      <c r="BD13" s="301">
        <f>(IF('Water Report'!$O$24&gt;0,'Water Report'!$O$24,0))</f>
        <v>254</v>
      </c>
      <c r="BE13" s="301">
        <f>(IF('Water Report'!$O$25&gt;0,'Water Report'!$O$25,0))</f>
        <v>140</v>
      </c>
      <c r="BF13" s="301">
        <f>(IF('Water Report'!$O$27&gt;0,'Water Report'!$O$27,0))</f>
        <v>153</v>
      </c>
      <c r="BG13" s="296">
        <f>(IF('Section Load'!AN16&gt;0,'Section Load'!AN16,0))</f>
        <v>1000</v>
      </c>
      <c r="BH13" s="296">
        <f>(IF('Section Load'!AO16&gt;0,'Section Load'!AO16,0))</f>
        <v>339.29000000003725</v>
      </c>
      <c r="BI13" s="296">
        <f>(IF('Section Load'!AP16&gt;0,'Section Load'!AP16,0))</f>
        <v>0</v>
      </c>
      <c r="BJ13" s="296">
        <f>(IF('Section Load'!AQ16&gt;0,'Section Load'!AQ16,0))</f>
        <v>88</v>
      </c>
      <c r="BK13" s="296">
        <f>(IF('Section Load'!AR16&gt;0,'Section Load'!AR16,0))</f>
        <v>41</v>
      </c>
      <c r="BL13" s="296">
        <f>(IF('Section Load'!AS16&gt;0,'Section Load'!AS16,0))</f>
        <v>0.3999999999996362</v>
      </c>
      <c r="BM13" s="296">
        <f>(IF('Section Load'!AT16&gt;0,'Section Load'!AT16,0))</f>
        <v>531.30999999996311</v>
      </c>
    </row>
    <row r="14" spans="1:65">
      <c r="A14" s="287" t="s">
        <v>268</v>
      </c>
      <c r="B14" s="288">
        <f t="shared" si="0"/>
        <v>13</v>
      </c>
      <c r="C14" s="288">
        <v>8</v>
      </c>
      <c r="D14" s="288">
        <v>2022</v>
      </c>
      <c r="E14" s="294">
        <f>(IF('Section Load'!F17&gt;0,'Section Load'!F17,0))</f>
        <v>3392.039999999979</v>
      </c>
      <c r="F14" s="294">
        <f>(IF('Section Load'!G17&gt;0,'Section Load'!G17,0))</f>
        <v>1540.1399999999558</v>
      </c>
      <c r="G14" s="294">
        <f>(IF('Section Load'!H17&gt;0,'Section Load'!H17,0))</f>
        <v>2289.2399999999907</v>
      </c>
      <c r="H14" s="294">
        <f>(IF('Section Load'!I17&gt;0,'Section Load'!I17,0))</f>
        <v>2983.359999999986</v>
      </c>
      <c r="I14" s="294">
        <f>(IF('Section Load'!J17&gt;0,'Section Load'!J17,0))</f>
        <v>7606.6199999999953</v>
      </c>
      <c r="J14" s="294">
        <f>(IF('Section Load'!K17&gt;0,'Section Load'!K17,0))</f>
        <v>2999.539999999979</v>
      </c>
      <c r="K14" s="294">
        <f>(IF('Section Load'!L17&gt;0,'Section Load'!L17,0))</f>
        <v>1455.0799999999872</v>
      </c>
      <c r="L14" s="294">
        <f>(IF('Section Load'!M17&gt;0,'Section Load'!M17,0))</f>
        <v>743.05999999999767</v>
      </c>
      <c r="M14" s="294">
        <f>(IF('Section Load'!N17&gt;0,'Section Load'!N17,0))</f>
        <v>84</v>
      </c>
      <c r="N14" s="294">
        <f>(IF('Section Load'!O17&gt;0,'Section Load'!O17,0))</f>
        <v>162</v>
      </c>
      <c r="O14" s="294">
        <f>(IF('Section Load'!P17&gt;0,'Section Load'!P17,0))</f>
        <v>90</v>
      </c>
      <c r="P14" s="294">
        <f>(IF('Section Load'!Q17&gt;0,'Section Load'!Q17,0))</f>
        <v>205.35000000000582</v>
      </c>
      <c r="Q14" s="294">
        <f>(IF('Section Load'!R17&gt;0,'Section Load'!R17,0))</f>
        <v>72.520000000004075</v>
      </c>
      <c r="R14" s="294">
        <f>(IF('Section Load'!S17&gt;0,'Section Load'!S17,0))</f>
        <v>0</v>
      </c>
      <c r="S14" s="294">
        <f>(IF('Section Load'!T17&gt;0,'Section Load'!T17,0))</f>
        <v>32</v>
      </c>
      <c r="T14" s="294">
        <f>(IF('Section Load'!U17&gt;0,'Section Load'!U17,0))</f>
        <v>285</v>
      </c>
      <c r="U14" s="294">
        <f>(IF('Section Load'!V17&gt;0,'Section Load'!V17,0))</f>
        <v>388.8399999999674</v>
      </c>
      <c r="V14" s="294">
        <f>(IF('Section Load'!W17&gt;0,'Section Load'!W17,0))</f>
        <v>255.52000000001863</v>
      </c>
      <c r="W14" s="294">
        <f>(IF('Section Load'!X17&gt;0,'Section Load'!X17,0))</f>
        <v>25.399999999999636</v>
      </c>
      <c r="X14" s="294">
        <f>(IF('Section Load'!Y17&gt;0,'Section Load'!Y17,0))</f>
        <v>274.91999999999825</v>
      </c>
      <c r="Y14" s="294">
        <f>(IF('Section Load'!Z17&gt;0,'Section Load'!Z17,0))</f>
        <v>313</v>
      </c>
      <c r="Z14" s="294">
        <f>(IF('Section Load'!AA17&gt;0,'Section Load'!AA17,0))</f>
        <v>96.119999999995343</v>
      </c>
      <c r="AA14" s="294">
        <f>(IF('Section Load'!AB17&gt;0,'Section Load'!AB17,0))</f>
        <v>37.80000000000291</v>
      </c>
      <c r="AB14" s="294">
        <f>(IF('Section Load'!AC17&gt;0,'Section Load'!AC17,0))</f>
        <v>4.9999999999272404E-2</v>
      </c>
      <c r="AC14" s="294">
        <f>(IF('Section Load'!AD17&gt;0,'Section Load'!AD17,0))</f>
        <v>165.70000000000073</v>
      </c>
      <c r="AD14" s="294">
        <f>(IF('Section Load'!AE17&gt;0,'Section Load'!AE17,0))</f>
        <v>411.12000000000262</v>
      </c>
      <c r="AE14" s="294">
        <f>(IF('Section Load'!AF17&gt;0,'Section Load'!AF17,0))</f>
        <v>282.41000000000349</v>
      </c>
      <c r="AF14" s="294">
        <f>(IF('Section Load'!AG17&gt;0,'Section Load'!AG17,0))</f>
        <v>641.84999999999854</v>
      </c>
      <c r="AG14" s="294">
        <f>(IF('Section Load'!AH17&gt;0,'Section Load'!AH17,0))</f>
        <v>227.86000000000058</v>
      </c>
      <c r="AH14" s="294">
        <f>(IF('Section Load'!AI17&gt;0,'Section Load'!AI17,0))</f>
        <v>452.04000000000087</v>
      </c>
      <c r="AI14" s="294">
        <f>(IF('Section Load'!AJ17&gt;0,'Section Load'!AJ17,0))</f>
        <v>450</v>
      </c>
      <c r="AJ14" s="294">
        <f>(IF('Section Load'!AK17&gt;0,'Section Load'!AK17,0))</f>
        <v>279.05000000000291</v>
      </c>
      <c r="AK14" s="294">
        <f>(IF('Section Load'!AL17&gt;0,'Section Load'!AL17,0))</f>
        <v>314.12000000000262</v>
      </c>
      <c r="AL14" s="294">
        <f>(IF('Section Load'!AM17&gt;0,'Section Load'!AM17,0))</f>
        <v>686.67999999999302</v>
      </c>
      <c r="AM14" s="295">
        <f>(IF('Water Report'!$P$7&gt;0,'Water Report'!$P$7,0))</f>
        <v>97</v>
      </c>
      <c r="AN14" s="295">
        <f>(IF('Water Report'!$P$8&gt;0,'Water Report'!$P$8,0))</f>
        <v>155</v>
      </c>
      <c r="AO14" s="295">
        <f>(IF('Water Report'!$P$9&gt;0,'Water Report'!$P$9,0))</f>
        <v>99</v>
      </c>
      <c r="AP14" s="295">
        <f>(IF('Water Report'!$P$10&gt;0,'Water Report'!$P$10,0))</f>
        <v>23</v>
      </c>
      <c r="AQ14" s="295">
        <f>(IF('Water Report'!$P$11&gt;0,'Water Report'!$P$11,0))</f>
        <v>0</v>
      </c>
      <c r="AR14" s="295">
        <f>(IF('Water Report'!$P$13&gt;0,'Water Report'!$P$13,0))</f>
        <v>24</v>
      </c>
      <c r="AS14" s="295">
        <f>(IF('Water Report'!$P$14&gt;0,'Water Report'!$P$14,0))</f>
        <v>3</v>
      </c>
      <c r="AT14" s="295">
        <f>(IF('Water Report'!$P$15&gt;0,'Water Report'!$P$15,0))</f>
        <v>9</v>
      </c>
      <c r="AU14" s="295">
        <f>(IF('Water Report'!$P$17&gt;0,'Water Report'!$P$17,0))</f>
        <v>0</v>
      </c>
      <c r="AV14" s="295">
        <f>(IF('Water Report'!$P$18&gt;0,'Water Report'!$P$18,0))</f>
        <v>10</v>
      </c>
      <c r="AW14" s="295">
        <f>(IF('Water Report'!$P$19&gt;0,'Water Report'!$P$19,0))</f>
        <v>10</v>
      </c>
      <c r="AX14" s="301">
        <f>(IF('Water Report'!$P$21&gt;0,'Water Report'!$P$21,0))</f>
        <v>109</v>
      </c>
      <c r="AY14" s="301">
        <f>(IF('Water Report'!$P$22&gt;0,'Water Report'!$P$22,0))</f>
        <v>0</v>
      </c>
      <c r="AZ14" s="301">
        <f>(IF('Water Report'!$P$23&gt;0,'Water Report'!$P$23,0))</f>
        <v>17</v>
      </c>
      <c r="BA14" s="301">
        <f>(IF('Water Report'!$P$14&gt;0,'Water Report'!$P$14,0))</f>
        <v>3</v>
      </c>
      <c r="BB14" s="301">
        <f>(IF('Water Report'!$P$15&gt;0,'Water Report'!$P$15,0))</f>
        <v>9</v>
      </c>
      <c r="BC14" s="301">
        <f>(IF('Water Report'!$P$13&gt;0,'Water Report'!$P$13,0))</f>
        <v>24</v>
      </c>
      <c r="BD14" s="301">
        <f>(IF('Water Report'!$P$24&gt;0,'Water Report'!$P$24,0))</f>
        <v>170</v>
      </c>
      <c r="BE14" s="301">
        <f>(IF('Water Report'!$P$25&gt;0,'Water Report'!$P$25,0))</f>
        <v>134</v>
      </c>
      <c r="BF14" s="301">
        <f>(IF('Water Report'!$P$27&gt;0,'Water Report'!$P$27,0))</f>
        <v>150</v>
      </c>
      <c r="BG14" s="296">
        <f>(IF('Section Load'!AN17&gt;0,'Section Load'!AN17,0))</f>
        <v>1000</v>
      </c>
      <c r="BH14" s="296">
        <f>(IF('Section Load'!AO17&gt;0,'Section Load'!AO17,0))</f>
        <v>375.9100000000326</v>
      </c>
      <c r="BI14" s="296">
        <f>(IF('Section Load'!AP17&gt;0,'Section Load'!AP17,0))</f>
        <v>0</v>
      </c>
      <c r="BJ14" s="296">
        <f>(IF('Section Load'!AQ17&gt;0,'Section Load'!AQ17,0))</f>
        <v>116.94000000000233</v>
      </c>
      <c r="BK14" s="296">
        <f>(IF('Section Load'!AR17&gt;0,'Section Load'!AR17,0))</f>
        <v>57.5</v>
      </c>
      <c r="BL14" s="296">
        <f>(IF('Section Load'!AS17&gt;0,'Section Load'!AS17,0))</f>
        <v>0</v>
      </c>
      <c r="BM14" s="296">
        <f>(IF('Section Load'!AT17&gt;0,'Section Load'!AT17,0))</f>
        <v>450.04999999996471</v>
      </c>
    </row>
    <row r="15" spans="1:65">
      <c r="A15" s="287" t="s">
        <v>268</v>
      </c>
      <c r="B15" s="288">
        <f t="shared" si="0"/>
        <v>14</v>
      </c>
      <c r="C15" s="288">
        <v>8</v>
      </c>
      <c r="D15" s="288">
        <v>2022</v>
      </c>
      <c r="E15" s="294">
        <f>(IF('Section Load'!F18&gt;0,'Section Load'!F18,0))</f>
        <v>3084.5200000000186</v>
      </c>
      <c r="F15" s="294">
        <f>(IF('Section Load'!G18&gt;0,'Section Load'!G18,0))</f>
        <v>1526.8799999999976</v>
      </c>
      <c r="G15" s="294">
        <f>(IF('Section Load'!H18&gt;0,'Section Load'!H18,0))</f>
        <v>2266.5999999999858</v>
      </c>
      <c r="H15" s="294">
        <f>(IF('Section Load'!I18&gt;0,'Section Load'!I18,0))</f>
        <v>2924.2000000000698</v>
      </c>
      <c r="I15" s="294">
        <f>(IF('Section Load'!J18&gt;0,'Section Load'!J18,0))</f>
        <v>7562.2250000000349</v>
      </c>
      <c r="J15" s="294">
        <f>(IF('Section Load'!K18&gt;0,'Section Load'!K18,0))</f>
        <v>3165</v>
      </c>
      <c r="K15" s="294">
        <f>(IF('Section Load'!L18&gt;0,'Section Load'!L18,0))</f>
        <v>1325.9800000000105</v>
      </c>
      <c r="L15" s="294">
        <f>(IF('Section Load'!M18&gt;0,'Section Load'!M18,0))</f>
        <v>881.90000000002328</v>
      </c>
      <c r="M15" s="294">
        <f>(IF('Section Load'!N18&gt;0,'Section Load'!N18,0))</f>
        <v>102</v>
      </c>
      <c r="N15" s="294">
        <f>(IF('Section Load'!O18&gt;0,'Section Load'!O18,0))</f>
        <v>171</v>
      </c>
      <c r="O15" s="294">
        <f>(IF('Section Load'!P18&gt;0,'Section Load'!P18,0))</f>
        <v>0</v>
      </c>
      <c r="P15" s="294">
        <f>(IF('Section Load'!Q18&gt;0,'Section Load'!Q18,0))</f>
        <v>194.40999999998894</v>
      </c>
      <c r="Q15" s="294">
        <f>(IF('Section Load'!R18&gt;0,'Section Load'!R18,0))</f>
        <v>75.19999999999709</v>
      </c>
      <c r="R15" s="294">
        <f>(IF('Section Load'!S18&gt;0,'Section Load'!S18,0))</f>
        <v>0</v>
      </c>
      <c r="S15" s="294">
        <f>(IF('Section Load'!T18&gt;0,'Section Load'!T18,0))</f>
        <v>36</v>
      </c>
      <c r="T15" s="294">
        <f>(IF('Section Load'!U18&gt;0,'Section Load'!U18,0))</f>
        <v>260</v>
      </c>
      <c r="U15" s="294">
        <f>(IF('Section Load'!V18&gt;0,'Section Load'!V18,0))</f>
        <v>417.80000000004657</v>
      </c>
      <c r="V15" s="294">
        <f>(IF('Section Load'!W18&gt;0,'Section Load'!W18,0))</f>
        <v>289.28000000002794</v>
      </c>
      <c r="W15" s="294">
        <f>(IF('Section Load'!X18&gt;0,'Section Load'!X18,0))</f>
        <v>22.660000000001673</v>
      </c>
      <c r="X15" s="294">
        <f>(IF('Section Load'!Y18&gt;0,'Section Load'!Y18,0))</f>
        <v>265.70999999999913</v>
      </c>
      <c r="Y15" s="294">
        <f>(IF('Section Load'!Z18&gt;0,'Section Load'!Z18,0))</f>
        <v>305</v>
      </c>
      <c r="Z15" s="294">
        <f>(IF('Section Load'!AA18&gt;0,'Section Load'!AA18,0))</f>
        <v>52.07999999995809</v>
      </c>
      <c r="AA15" s="294">
        <f>(IF('Section Load'!AB18&gt;0,'Section Load'!AB18,0))</f>
        <v>45</v>
      </c>
      <c r="AB15" s="294">
        <f>(IF('Section Load'!AC18&gt;0,'Section Load'!AC18,0))</f>
        <v>0</v>
      </c>
      <c r="AC15" s="294">
        <f>(IF('Section Load'!AD18&gt;0,'Section Load'!AD18,0))</f>
        <v>166.30000000000018</v>
      </c>
      <c r="AD15" s="294">
        <f>(IF('Section Load'!AE18&gt;0,'Section Load'!AE18,0))</f>
        <v>331.97999999999593</v>
      </c>
      <c r="AE15" s="294">
        <f>(IF('Section Load'!AF18&gt;0,'Section Load'!AF18,0))</f>
        <v>298.79999999999563</v>
      </c>
      <c r="AF15" s="294">
        <f>(IF('Section Load'!AG18&gt;0,'Section Load'!AG18,0))</f>
        <v>634.44999999999709</v>
      </c>
      <c r="AG15" s="294">
        <f>(IF('Section Load'!AH18&gt;0,'Section Load'!AH18,0))</f>
        <v>226.91000000000349</v>
      </c>
      <c r="AH15" s="294">
        <f>(IF('Section Load'!AI18&gt;0,'Section Load'!AI18,0))</f>
        <v>433.87999999999738</v>
      </c>
      <c r="AI15" s="294">
        <f>(IF('Section Load'!AJ18&gt;0,'Section Load'!AJ18,0))</f>
        <v>438.12999999999738</v>
      </c>
      <c r="AJ15" s="294">
        <f>(IF('Section Load'!AK18&gt;0,'Section Load'!AK18,0))</f>
        <v>276.37999999999738</v>
      </c>
      <c r="AK15" s="294">
        <f>(IF('Section Load'!AL18&gt;0,'Section Load'!AL18,0))</f>
        <v>316.93999999999869</v>
      </c>
      <c r="AL15" s="294">
        <f>(IF('Section Load'!AM18&gt;0,'Section Load'!AM18,0))</f>
        <v>607.55999999999767</v>
      </c>
      <c r="AM15" s="295">
        <f>(IF('Water Report'!$Q$7&gt;0,'Water Report'!$Q$7,0))</f>
        <v>103</v>
      </c>
      <c r="AN15" s="295">
        <f>(IF('Water Report'!$Q$8&gt;0,'Water Report'!$Q$8,0))</f>
        <v>133</v>
      </c>
      <c r="AO15" s="295">
        <f>(IF('Water Report'!$Q$9&gt;0,'Water Report'!$Q$9,0))</f>
        <v>106</v>
      </c>
      <c r="AP15" s="295">
        <f>(IF('Water Report'!$Q$10&gt;0,'Water Report'!$Q$10,0))</f>
        <v>27</v>
      </c>
      <c r="AQ15" s="295">
        <f>(IF('Water Report'!$Q$11&gt;0,'Water Report'!$Q$11,0))</f>
        <v>0</v>
      </c>
      <c r="AR15" s="295">
        <f>(IF('Water Report'!$Q$13&gt;0,'Water Report'!$Q$13,0))</f>
        <v>40</v>
      </c>
      <c r="AS15" s="295">
        <f>(IF('Water Report'!$Q$14&gt;0,'Water Report'!$Q$14,0))</f>
        <v>5</v>
      </c>
      <c r="AT15" s="295">
        <f>(IF('Water Report'!$Q$15&gt;0,'Water Report'!$Q$15,0))</f>
        <v>7</v>
      </c>
      <c r="AU15" s="295">
        <f>(IF('Water Report'!$Q$17&gt;0,'Water Report'!$Q$17,0))</f>
        <v>0</v>
      </c>
      <c r="AV15" s="295">
        <f>(IF('Water Report'!$Q$18&gt;0,'Water Report'!$Q$18,0))</f>
        <v>15</v>
      </c>
      <c r="AW15" s="295">
        <f>(IF('Water Report'!$Q$19&gt;0,'Water Report'!$Q$19,0))</f>
        <v>11</v>
      </c>
      <c r="AX15" s="301">
        <f>(IF('Water Report'!$Q$21&gt;0,'Water Report'!$Q$21,0))</f>
        <v>132</v>
      </c>
      <c r="AY15" s="301">
        <f>(IF('Water Report'!$Q$22&gt;0,'Water Report'!$Q$22,0))</f>
        <v>0</v>
      </c>
      <c r="AZ15" s="301">
        <f>(IF('Water Report'!$Q$23&gt;0,'Water Report'!$Q$23,0))</f>
        <v>28</v>
      </c>
      <c r="BA15" s="301">
        <f>(IF('Water Report'!$Q$14&gt;0,'Water Report'!$Q$14,0))</f>
        <v>5</v>
      </c>
      <c r="BB15" s="301">
        <f>(IF('Water Report'!$Q$15&gt;0,'Water Report'!$Q$15,0))</f>
        <v>7</v>
      </c>
      <c r="BC15" s="301">
        <f>(IF('Water Report'!$Q$13&gt;0,'Water Report'!$Q$13,0))</f>
        <v>40</v>
      </c>
      <c r="BD15" s="301">
        <f>(IF('Water Report'!$Q$24&gt;0,'Water Report'!$Q$24,0))</f>
        <v>192</v>
      </c>
      <c r="BE15" s="301">
        <f>(IF('Water Report'!$Q$25&gt;0,'Water Report'!$Q$25,0))</f>
        <v>145</v>
      </c>
      <c r="BF15" s="301">
        <f>(IF('Water Report'!$Q$27&gt;0,'Water Report'!$Q$27,0))</f>
        <v>200</v>
      </c>
      <c r="BG15" s="296">
        <f>(IF('Section Load'!AN18&gt;0,'Section Load'!AN18,0))</f>
        <v>1000</v>
      </c>
      <c r="BH15" s="296">
        <f>(IF('Section Load'!AO18&gt;0,'Section Load'!AO18,0))</f>
        <v>364.14999999990687</v>
      </c>
      <c r="BI15" s="296">
        <f>(IF('Section Load'!AP18&gt;0,'Section Load'!AP18,0))</f>
        <v>0</v>
      </c>
      <c r="BJ15" s="296">
        <f>(IF('Section Load'!AQ18&gt;0,'Section Load'!AQ18,0))</f>
        <v>116.05999999999767</v>
      </c>
      <c r="BK15" s="296">
        <f>(IF('Section Load'!AR18&gt;0,'Section Load'!AR18,0))</f>
        <v>50.5</v>
      </c>
      <c r="BL15" s="296">
        <f>(IF('Section Load'!AS18&gt;0,'Section Load'!AS18,0))</f>
        <v>0</v>
      </c>
      <c r="BM15" s="296">
        <f>(IF('Section Load'!AT18&gt;0,'Section Load'!AT18,0))</f>
        <v>470.29000000009546</v>
      </c>
    </row>
    <row r="16" spans="1:65">
      <c r="A16" s="287" t="s">
        <v>268</v>
      </c>
      <c r="B16" s="288">
        <f t="shared" si="0"/>
        <v>15</v>
      </c>
      <c r="C16" s="288">
        <v>8</v>
      </c>
      <c r="D16" s="288">
        <v>2022</v>
      </c>
      <c r="E16" s="294">
        <f>(IF('Section Load'!F19&gt;0,'Section Load'!F19,0))</f>
        <v>3477.0899999999674</v>
      </c>
      <c r="F16" s="294">
        <f>(IF('Section Load'!G19&gt;0,'Section Load'!G19,0))</f>
        <v>1566.4000000000233</v>
      </c>
      <c r="G16" s="294">
        <f>(IF('Section Load'!H19&gt;0,'Section Load'!H19,0))</f>
        <v>2416.640000000014</v>
      </c>
      <c r="H16" s="294">
        <f>(IF('Section Load'!I19&gt;0,'Section Load'!I19,0))</f>
        <v>2885.7199999999721</v>
      </c>
      <c r="I16" s="294">
        <f>(IF('Section Load'!J19&gt;0,'Section Load'!J19,0))</f>
        <v>7325.4749999999476</v>
      </c>
      <c r="J16" s="294">
        <f>(IF('Section Load'!K19&gt;0,'Section Load'!K19,0))</f>
        <v>3004.8800000000047</v>
      </c>
      <c r="K16" s="294">
        <f>(IF('Section Load'!L19&gt;0,'Section Load'!L19,0))</f>
        <v>1019.7000000000116</v>
      </c>
      <c r="L16" s="294">
        <f>(IF('Section Load'!M19&gt;0,'Section Load'!M19,0))</f>
        <v>1122.9199999999837</v>
      </c>
      <c r="M16" s="294">
        <f>(IF('Section Load'!N19&gt;0,'Section Load'!N19,0))</f>
        <v>76</v>
      </c>
      <c r="N16" s="294">
        <f>(IF('Section Load'!O19&gt;0,'Section Load'!O19,0))</f>
        <v>150</v>
      </c>
      <c r="O16" s="294">
        <f>(IF('Section Load'!P19&gt;0,'Section Load'!P19,0))</f>
        <v>0</v>
      </c>
      <c r="P16" s="294">
        <f>(IF('Section Load'!Q19&gt;0,'Section Load'!Q19,0))</f>
        <v>211.24000000000524</v>
      </c>
      <c r="Q16" s="294">
        <f>(IF('Section Load'!R19&gt;0,'Section Load'!R19,0))</f>
        <v>76.05000000000291</v>
      </c>
      <c r="R16" s="294">
        <f>(IF('Section Load'!S19&gt;0,'Section Load'!S19,0))</f>
        <v>13.5</v>
      </c>
      <c r="S16" s="294">
        <f>(IF('Section Load'!T19&gt;0,'Section Load'!T19,0))</f>
        <v>41</v>
      </c>
      <c r="T16" s="294">
        <f>(IF('Section Load'!U19&gt;0,'Section Load'!U19,0))</f>
        <v>244</v>
      </c>
      <c r="U16" s="294">
        <f>(IF('Section Load'!V19&gt;0,'Section Load'!V19,0))</f>
        <v>419.19999999995343</v>
      </c>
      <c r="V16" s="294">
        <f>(IF('Section Load'!W19&gt;0,'Section Load'!W19,0))</f>
        <v>328.15999999991618</v>
      </c>
      <c r="W16" s="294">
        <f>(IF('Section Load'!X19&gt;0,'Section Load'!X19,0))</f>
        <v>29.909999999999854</v>
      </c>
      <c r="X16" s="294">
        <f>(IF('Section Load'!Y19&gt;0,'Section Load'!Y19,0))</f>
        <v>296.63999999999942</v>
      </c>
      <c r="Y16" s="294">
        <f>(IF('Section Load'!Z19&gt;0,'Section Load'!Z19,0))</f>
        <v>280</v>
      </c>
      <c r="Z16" s="294">
        <f>(IF('Section Load'!AA19&gt;0,'Section Load'!AA19,0))</f>
        <v>23.400000000023283</v>
      </c>
      <c r="AA16" s="294">
        <f>(IF('Section Load'!AB19&gt;0,'Section Load'!AB19,0))</f>
        <v>48</v>
      </c>
      <c r="AB16" s="294">
        <f>(IF('Section Load'!AC19&gt;0,'Section Load'!AC19,0))</f>
        <v>1.5900000000001455</v>
      </c>
      <c r="AC16" s="294">
        <f>(IF('Section Load'!AD19&gt;0,'Section Load'!AD19,0))</f>
        <v>151.59999999999945</v>
      </c>
      <c r="AD16" s="294">
        <f>(IF('Section Load'!AE19&gt;0,'Section Load'!AE19,0))</f>
        <v>188.14000000000669</v>
      </c>
      <c r="AE16" s="294">
        <f>(IF('Section Load'!AF19&gt;0,'Section Load'!AF19,0))</f>
        <v>311.55000000000291</v>
      </c>
      <c r="AF16" s="294">
        <f>(IF('Section Load'!AG19&gt;0,'Section Load'!AG19,0))</f>
        <v>627.88999999999942</v>
      </c>
      <c r="AG16" s="294">
        <f>(IF('Section Load'!AH19&gt;0,'Section Load'!AH19,0))</f>
        <v>226.29999999999563</v>
      </c>
      <c r="AH16" s="294">
        <f>(IF('Section Load'!AI19&gt;0,'Section Load'!AI19,0))</f>
        <v>455.59000000000378</v>
      </c>
      <c r="AI16" s="294">
        <f>(IF('Section Load'!AJ19&gt;0,'Section Load'!AJ19,0))</f>
        <v>452.87000000000262</v>
      </c>
      <c r="AJ16" s="294">
        <f>(IF('Section Load'!AK19&gt;0,'Section Load'!AK19,0))</f>
        <v>273.30000000000291</v>
      </c>
      <c r="AK16" s="294">
        <f>(IF('Section Load'!AL19&gt;0,'Section Load'!AL19,0))</f>
        <v>317.17499999999927</v>
      </c>
      <c r="AL16" s="294">
        <f>(IF('Section Load'!AM19&gt;0,'Section Load'!AM19,0))</f>
        <v>337.77999999999884</v>
      </c>
      <c r="AM16" s="295">
        <f>(IF('Water Report'!$R$7&gt;0,'Water Report'!$R$7,0))</f>
        <v>157</v>
      </c>
      <c r="AN16" s="295">
        <f>(IF('Water Report'!$R$8&gt;0,'Water Report'!$R$8,0))</f>
        <v>145</v>
      </c>
      <c r="AO16" s="295">
        <f>(IF('Water Report'!$R$9&gt;0,'Water Report'!$R$9,0))</f>
        <v>139</v>
      </c>
      <c r="AP16" s="295">
        <f>(IF('Water Report'!$R$10&gt;0,'Water Report'!$R$10,0))</f>
        <v>34</v>
      </c>
      <c r="AQ16" s="295">
        <f>(IF('Water Report'!$R$11&gt;0,'Water Report'!$R$11,0))</f>
        <v>0</v>
      </c>
      <c r="AR16" s="295">
        <f>(IF('Water Report'!$R$13&gt;0,'Water Report'!$R$13,0))</f>
        <v>38</v>
      </c>
      <c r="AS16" s="295">
        <f>(IF('Water Report'!$R$14&gt;0,'Water Report'!$R$14,0))</f>
        <v>5</v>
      </c>
      <c r="AT16" s="295">
        <f>(IF('Water Report'!$R$15&gt;0,'Water Report'!$R$15,0))</f>
        <v>14</v>
      </c>
      <c r="AU16" s="295">
        <f>(IF('Water Report'!$R$17&gt;0,'Water Report'!$R$17,0))</f>
        <v>0</v>
      </c>
      <c r="AV16" s="295">
        <f>(IF('Water Report'!$R$18&gt;0,'Water Report'!$R$18,0))</f>
        <v>13</v>
      </c>
      <c r="AW16" s="295">
        <f>(IF('Water Report'!$R$19&gt;0,'Water Report'!$R$19,0))</f>
        <v>12</v>
      </c>
      <c r="AX16" s="301">
        <f>(IF('Water Report'!$R$21&gt;0,'Water Report'!$R$21,0))</f>
        <v>108</v>
      </c>
      <c r="AY16" s="301">
        <f>(IF('Water Report'!$R$22&gt;0,'Water Report'!$R$22,0))</f>
        <v>0</v>
      </c>
      <c r="AZ16" s="301">
        <f>(IF('Water Report'!$R$23&gt;0,'Water Report'!$R$23,0))</f>
        <v>5</v>
      </c>
      <c r="BA16" s="301">
        <f>(IF('Water Report'!$R$14&gt;0,'Water Report'!$R$14,0))</f>
        <v>5</v>
      </c>
      <c r="BB16" s="301">
        <f>(IF('Water Report'!$R$15&gt;0,'Water Report'!$R$15,0))</f>
        <v>14</v>
      </c>
      <c r="BC16" s="301">
        <f>(IF('Water Report'!$R$13&gt;0,'Water Report'!$R$13,0))</f>
        <v>38</v>
      </c>
      <c r="BD16" s="301">
        <f>(IF('Water Report'!$R$24&gt;0,'Water Report'!$R$24,0))</f>
        <v>243</v>
      </c>
      <c r="BE16" s="301">
        <f>(IF('Water Report'!$R$25&gt;0,'Water Report'!$R$25,0))</f>
        <v>192</v>
      </c>
      <c r="BF16" s="301">
        <f>(IF('Water Report'!$R$27&gt;0,'Water Report'!$R$27,0))</f>
        <v>151</v>
      </c>
      <c r="BG16" s="296">
        <f>(IF('Section Load'!AN19&gt;0,'Section Load'!AN19,0))</f>
        <v>1000</v>
      </c>
      <c r="BH16" s="296">
        <f>(IF('Section Load'!AO19&gt;0,'Section Load'!AO19,0))</f>
        <v>328.42000000004191</v>
      </c>
      <c r="BI16" s="296">
        <f>(IF('Section Load'!AP19&gt;0,'Section Load'!AP19,0))</f>
        <v>0</v>
      </c>
      <c r="BJ16" s="296">
        <f>(IF('Section Load'!AQ19&gt;0,'Section Load'!AQ19,0))</f>
        <v>114</v>
      </c>
      <c r="BK16" s="296">
        <f>(IF('Section Load'!AR19&gt;0,'Section Load'!AR19,0))</f>
        <v>51</v>
      </c>
      <c r="BL16" s="296">
        <f>(IF('Section Load'!AS19&gt;0,'Section Load'!AS19,0))</f>
        <v>1</v>
      </c>
      <c r="BM16" s="296">
        <f>(IF('Section Load'!AT19&gt;0,'Section Load'!AT19,0))</f>
        <v>505.57999999995809</v>
      </c>
    </row>
    <row r="17" spans="1:65">
      <c r="A17" s="287" t="s">
        <v>268</v>
      </c>
      <c r="B17" s="288">
        <f t="shared" si="0"/>
        <v>16</v>
      </c>
      <c r="C17" s="288">
        <v>8</v>
      </c>
      <c r="D17" s="288">
        <v>2022</v>
      </c>
      <c r="E17" s="294">
        <f>(IF('Section Load'!F20&gt;0,'Section Load'!F20,0))</f>
        <v>3597</v>
      </c>
      <c r="F17" s="294">
        <f>(IF('Section Load'!G20&gt;0,'Section Load'!G20,0))</f>
        <v>1601.5800000000163</v>
      </c>
      <c r="G17" s="294">
        <f>(IF('Section Load'!H20&gt;0,'Section Load'!H20,0))</f>
        <v>2437.4800000000396</v>
      </c>
      <c r="H17" s="294">
        <f>(IF('Section Load'!I20&gt;0,'Section Load'!I20,0))</f>
        <v>2960.6800000000512</v>
      </c>
      <c r="I17" s="294">
        <f>(IF('Section Load'!J20&gt;0,'Section Load'!J20,0))</f>
        <v>7993.4800000000105</v>
      </c>
      <c r="J17" s="294">
        <f>(IF('Section Load'!K20&gt;0,'Section Load'!K20,0))</f>
        <v>3083.6600000000035</v>
      </c>
      <c r="K17" s="294">
        <f>(IF('Section Load'!L20&gt;0,'Section Load'!L20,0))</f>
        <v>1357.7099999999919</v>
      </c>
      <c r="L17" s="294">
        <f>(IF('Section Load'!M20&gt;0,'Section Load'!M20,0))</f>
        <v>901.55999999999767</v>
      </c>
      <c r="M17" s="294">
        <f>(IF('Section Load'!N20&gt;0,'Section Load'!N20,0))</f>
        <v>105</v>
      </c>
      <c r="N17" s="294">
        <f>(IF('Section Load'!O20&gt;0,'Section Load'!O20,0))</f>
        <v>166</v>
      </c>
      <c r="O17" s="294">
        <f>(IF('Section Load'!P20&gt;0,'Section Load'!P20,0))</f>
        <v>29.369999999999891</v>
      </c>
      <c r="P17" s="294">
        <f>(IF('Section Load'!Q20&gt;0,'Section Load'!Q20,0))</f>
        <v>210</v>
      </c>
      <c r="Q17" s="294">
        <f>(IF('Section Load'!R20&gt;0,'Section Load'!R20,0))</f>
        <v>81.120000000002619</v>
      </c>
      <c r="R17" s="294">
        <f>(IF('Section Load'!S20&gt;0,'Section Load'!S20,0))</f>
        <v>9.0900000000001455</v>
      </c>
      <c r="S17" s="294">
        <f>(IF('Section Load'!T20&gt;0,'Section Load'!T20,0))</f>
        <v>40</v>
      </c>
      <c r="T17" s="294">
        <f>(IF('Section Load'!U20&gt;0,'Section Load'!U20,0))</f>
        <v>236</v>
      </c>
      <c r="U17" s="294">
        <f>(IF('Section Load'!V20&gt;0,'Section Load'!V20,0))</f>
        <v>399.76000000000931</v>
      </c>
      <c r="V17" s="294">
        <f>(IF('Section Load'!W20&gt;0,'Section Load'!W20,0))</f>
        <v>333.04000000003725</v>
      </c>
      <c r="W17" s="294">
        <f>(IF('Section Load'!X20&gt;0,'Section Load'!X20,0))</f>
        <v>31.1299999999992</v>
      </c>
      <c r="X17" s="294">
        <f>(IF('Section Load'!Y20&gt;0,'Section Load'!Y20,0))</f>
        <v>282.80000000000291</v>
      </c>
      <c r="Y17" s="294">
        <f>(IF('Section Load'!Z20&gt;0,'Section Load'!Z20,0))</f>
        <v>301</v>
      </c>
      <c r="Z17" s="294">
        <f>(IF('Section Load'!AA20&gt;0,'Section Load'!AA20,0))</f>
        <v>35.960000000020955</v>
      </c>
      <c r="AA17" s="294">
        <f>(IF('Section Load'!AB20&gt;0,'Section Load'!AB20,0))</f>
        <v>31</v>
      </c>
      <c r="AB17" s="294">
        <f>(IF('Section Load'!AC20&gt;0,'Section Load'!AC20,0))</f>
        <v>1.9499999999970896</v>
      </c>
      <c r="AC17" s="294">
        <f>(IF('Section Load'!AD20&gt;0,'Section Load'!AD20,0))</f>
        <v>153.90000000000055</v>
      </c>
      <c r="AD17" s="294">
        <f>(IF('Section Load'!AE20&gt;0,'Section Load'!AE20,0))</f>
        <v>272.06999999999971</v>
      </c>
      <c r="AE17" s="294">
        <f>(IF('Section Load'!AF20&gt;0,'Section Load'!AF20,0))</f>
        <v>301.02999999999884</v>
      </c>
      <c r="AF17" s="294">
        <f>(IF('Section Load'!AG20&gt;0,'Section Load'!AG20,0))</f>
        <v>646.23999999999796</v>
      </c>
      <c r="AG17" s="294">
        <f>(IF('Section Load'!AH20&gt;0,'Section Load'!AH20,0))</f>
        <v>233.70000000000437</v>
      </c>
      <c r="AH17" s="294">
        <f>(IF('Section Load'!AI20&gt;0,'Section Load'!AI20,0))</f>
        <v>470.68000000000029</v>
      </c>
      <c r="AI17" s="294">
        <f>(IF('Section Load'!AJ20&gt;0,'Section Load'!AJ20,0))</f>
        <v>459.19999999999709</v>
      </c>
      <c r="AJ17" s="294">
        <f>(IF('Section Load'!AK20&gt;0,'Section Load'!AK20,0))</f>
        <v>257.59999999999854</v>
      </c>
      <c r="AK17" s="294">
        <f>(IF('Section Load'!AL20&gt;0,'Section Load'!AL20,0))</f>
        <v>326.80500000000029</v>
      </c>
      <c r="AL17" s="294">
        <f>(IF('Section Load'!AM20&gt;0,'Section Load'!AM20,0))</f>
        <v>0</v>
      </c>
      <c r="AM17" s="295">
        <f>(IF('Water Report'!$S$7&gt;0,'Water Report'!$S$7,0))</f>
        <v>137</v>
      </c>
      <c r="AN17" s="295">
        <f>(IF('Water Report'!$S$8&gt;0,'Water Report'!$S$8,0))</f>
        <v>120</v>
      </c>
      <c r="AO17" s="295">
        <f>(IF('Water Report'!$S$9&gt;0,'Water Report'!$S$9,0))</f>
        <v>109</v>
      </c>
      <c r="AP17" s="295">
        <f>(IF('Water Report'!$S$10&gt;0,'Water Report'!$D$10,0))</f>
        <v>25</v>
      </c>
      <c r="AQ17" s="295">
        <f>(IF('Water Report'!$S$11&gt;0,'Water Report'!$D$11,0))</f>
        <v>0</v>
      </c>
      <c r="AR17" s="295">
        <f>(IF('Water Report'!$S$13&gt;0,'Water Report'!$D$13,0))</f>
        <v>18</v>
      </c>
      <c r="AS17" s="295">
        <f>(IF('Water Report'!$S$14&gt;0,'Water Report'!$D$14,0))</f>
        <v>10</v>
      </c>
      <c r="AT17" s="295">
        <f>(IF('Water Report'!$S$15&gt;0,'Water Report'!$D$15,0))</f>
        <v>6</v>
      </c>
      <c r="AU17" s="295">
        <f>(IF('Water Report'!$S$17&gt;0,'Water Report'!$D$17,0))</f>
        <v>0</v>
      </c>
      <c r="AV17" s="295">
        <f>(IF('Water Report'!$S$18&gt;0,'Water Report'!$D$18,0))</f>
        <v>13</v>
      </c>
      <c r="AW17" s="295">
        <f>(IF('Water Report'!$S$19&gt;0,'Water Report'!$D$19,0))</f>
        <v>11</v>
      </c>
      <c r="AX17" s="301">
        <f>(IF('Water Report'!$S$21&gt;0,'Water Report'!$D$21,0))</f>
        <v>109</v>
      </c>
      <c r="AY17" s="301">
        <f>(IF('Water Report'!$S$22&gt;0,'Water Report'!$D$22,0))</f>
        <v>0</v>
      </c>
      <c r="AZ17" s="301">
        <f>(IF('Water Report'!$S$23&gt;0,'Water Report'!$D$23,0))</f>
        <v>7</v>
      </c>
      <c r="BA17" s="301">
        <f>(IF('Water Report'!$S$14&gt;0,'Water Report'!$D$14,0))</f>
        <v>10</v>
      </c>
      <c r="BB17" s="301">
        <f>(IF('Water Report'!$S$15&gt;0,'Water Report'!$D$15,0))</f>
        <v>6</v>
      </c>
      <c r="BC17" s="301">
        <f>(IF('Water Report'!$S$13&gt;0,'Water Report'!$D$13,0))</f>
        <v>18</v>
      </c>
      <c r="BD17" s="301">
        <f>(IF('Water Report'!$S$24&gt;0,'Water Report'!$D$24,0))</f>
        <v>182</v>
      </c>
      <c r="BE17" s="301">
        <f>(IF('Water Report'!$S$25&gt;0,'Water Report'!$D$25,0))</f>
        <v>133</v>
      </c>
      <c r="BF17" s="301">
        <f>(IF('Water Report'!$S$27&gt;0,'Water Report'!$D$27,0))</f>
        <v>134</v>
      </c>
      <c r="BG17" s="296">
        <f>(IF('Section Load'!AN20&gt;0,'Section Load'!AN20,0))</f>
        <v>1000</v>
      </c>
      <c r="BH17" s="296">
        <f>(IF('Section Load'!AO20&gt;0,'Section Load'!AO20,0))</f>
        <v>309.15000000002328</v>
      </c>
      <c r="BI17" s="296">
        <f>(IF('Section Load'!AP20&gt;0,'Section Load'!AP20,0))</f>
        <v>0</v>
      </c>
      <c r="BJ17" s="296">
        <f>(IF('Section Load'!AQ20&gt;0,'Section Load'!AQ20,0))</f>
        <v>104</v>
      </c>
      <c r="BK17" s="296">
        <f>(IF('Section Load'!AR20&gt;0,'Section Load'!AR20,0))</f>
        <v>57</v>
      </c>
      <c r="BL17" s="296">
        <f>(IF('Section Load'!AS20&gt;0,'Section Load'!AS20,0))</f>
        <v>0</v>
      </c>
      <c r="BM17" s="296">
        <f>(IF('Section Load'!AT20&gt;0,'Section Load'!AT20,0))</f>
        <v>529.84999999997672</v>
      </c>
    </row>
    <row r="18" spans="1:65">
      <c r="A18" s="287" t="s">
        <v>268</v>
      </c>
      <c r="B18" s="288">
        <f t="shared" si="0"/>
        <v>17</v>
      </c>
      <c r="C18" s="288">
        <v>8</v>
      </c>
      <c r="D18" s="288">
        <v>2022</v>
      </c>
      <c r="E18" s="294">
        <f>(IF('Section Load'!F21&gt;0,'Section Load'!F21,0))</f>
        <v>3485.3300000000163</v>
      </c>
      <c r="F18" s="294">
        <f>(IF('Section Load'!G21&gt;0,'Section Load'!G21,0))</f>
        <v>1544.5999999999767</v>
      </c>
      <c r="G18" s="294">
        <f>(IF('Section Load'!H21&gt;0,'Section Load'!H21,0))</f>
        <v>2458.8799999999464</v>
      </c>
      <c r="H18" s="294">
        <f>(IF('Section Load'!I21&gt;0,'Section Load'!I21,0))</f>
        <v>2887.640000000014</v>
      </c>
      <c r="I18" s="294">
        <f>(IF('Section Load'!J21&gt;0,'Section Load'!J21,0))</f>
        <v>7072.2200000000012</v>
      </c>
      <c r="J18" s="294">
        <f>(IF('Section Load'!K21&gt;0,'Section Load'!K21,0))</f>
        <v>2989.2000000000116</v>
      </c>
      <c r="K18" s="294">
        <f>(IF('Section Load'!L21&gt;0,'Section Load'!L21,0))</f>
        <v>1077.6500000000233</v>
      </c>
      <c r="L18" s="294">
        <f>(IF('Section Load'!M21&gt;0,'Section Load'!M21,0))</f>
        <v>765.32000000000698</v>
      </c>
      <c r="M18" s="294">
        <f>(IF('Section Load'!N21&gt;0,'Section Load'!N21,0))</f>
        <v>136</v>
      </c>
      <c r="N18" s="294">
        <f>(IF('Section Load'!O21&gt;0,'Section Load'!O21,0))</f>
        <v>153</v>
      </c>
      <c r="O18" s="294">
        <f>(IF('Section Load'!P21&gt;0,'Section Load'!P21,0))</f>
        <v>15.200000000000045</v>
      </c>
      <c r="P18" s="294">
        <f>(IF('Section Load'!Q21&gt;0,'Section Load'!Q21,0))</f>
        <v>219</v>
      </c>
      <c r="Q18" s="294">
        <f>(IF('Section Load'!R21&gt;0,'Section Load'!R21,0))</f>
        <v>81.899999999994179</v>
      </c>
      <c r="R18" s="294">
        <f>(IF('Section Load'!S21&gt;0,'Section Load'!S21,0))</f>
        <v>8.1099999999996726</v>
      </c>
      <c r="S18" s="294">
        <f>(IF('Section Load'!T21&gt;0,'Section Load'!T21,0))</f>
        <v>50</v>
      </c>
      <c r="T18" s="294">
        <f>(IF('Section Load'!U21&gt;0,'Section Load'!U21,0))</f>
        <v>245</v>
      </c>
      <c r="U18" s="294">
        <f>(IF('Section Load'!V21&gt;0,'Section Load'!V21,0))</f>
        <v>415.8399999999674</v>
      </c>
      <c r="V18" s="294">
        <f>(IF('Section Load'!W21&gt;0,'Section Load'!W21,0))</f>
        <v>310.08000000007451</v>
      </c>
      <c r="W18" s="294">
        <f>(IF('Section Load'!X21&gt;0,'Section Load'!X21,0))</f>
        <v>30.020000000000437</v>
      </c>
      <c r="X18" s="294">
        <f>(IF('Section Load'!Y21&gt;0,'Section Load'!Y21,0))</f>
        <v>270.76000000000204</v>
      </c>
      <c r="Y18" s="294">
        <f>(IF('Section Load'!Z21&gt;0,'Section Load'!Z21,0))</f>
        <v>296</v>
      </c>
      <c r="Z18" s="294">
        <f>(IF('Section Load'!AA21&gt;0,'Section Load'!AA21,0))</f>
        <v>38.880000000004657</v>
      </c>
      <c r="AA18" s="294">
        <f>(IF('Section Load'!AB21&gt;0,'Section Load'!AB21,0))</f>
        <v>26.19999999999709</v>
      </c>
      <c r="AB18" s="294">
        <f>(IF('Section Load'!AC21&gt;0,'Section Load'!AC21,0))</f>
        <v>1.0000000002037268E-2</v>
      </c>
      <c r="AC18" s="294">
        <f>(IF('Section Load'!AD21&gt;0,'Section Load'!AD21,0))</f>
        <v>162.19999999999891</v>
      </c>
      <c r="AD18" s="294">
        <f>(IF('Section Load'!AE21&gt;0,'Section Load'!AE21,0))</f>
        <v>322.09999999999854</v>
      </c>
      <c r="AE18" s="294">
        <f>(IF('Section Load'!AF21&gt;0,'Section Load'!AF21,0))</f>
        <v>248.19999999999709</v>
      </c>
      <c r="AF18" s="294">
        <f>(IF('Section Load'!AG21&gt;0,'Section Load'!AG21,0))</f>
        <v>637.41000000000349</v>
      </c>
      <c r="AG18" s="294">
        <f>(IF('Section Load'!AH21&gt;0,'Section Load'!AH21,0))</f>
        <v>232</v>
      </c>
      <c r="AH18" s="294">
        <f>(IF('Section Load'!AI21&gt;0,'Section Load'!AI21,0))</f>
        <v>434.71999999999389</v>
      </c>
      <c r="AI18" s="294">
        <f>(IF('Section Load'!AJ21&gt;0,'Section Load'!AJ21,0))</f>
        <v>435.20000000000437</v>
      </c>
      <c r="AJ18" s="294">
        <f>(IF('Section Load'!AK21&gt;0,'Section Load'!AK21,0))</f>
        <v>276.20000000000073</v>
      </c>
      <c r="AK18" s="294">
        <f>(IF('Section Load'!AL21&gt;0,'Section Load'!AL21,0))</f>
        <v>324.54000000000087</v>
      </c>
      <c r="AL18" s="294">
        <f>(IF('Section Load'!AM21&gt;0,'Section Load'!AM21,0))</f>
        <v>0</v>
      </c>
      <c r="AM18" s="295">
        <f>(IF('Water Report'!$T$7&gt;0,'Water Report'!$T$7,0))</f>
        <v>166</v>
      </c>
      <c r="AN18" s="295">
        <f>(IF('Water Report'!$T$8&gt;0,'Water Report'!$T$8,0))</f>
        <v>137</v>
      </c>
      <c r="AO18" s="295">
        <f>(IF('Water Report'!$T$9&gt;0,'Water Report'!$T$9,0))</f>
        <v>136</v>
      </c>
      <c r="AP18" s="295">
        <f>(IF('Water Report'!$T$10&gt;0,'Water Report'!$T$10,0))</f>
        <v>28</v>
      </c>
      <c r="AQ18" s="295">
        <f>(IF('Water Report'!$T$11&gt;0,'Water Report'!$T$11,0))</f>
        <v>1</v>
      </c>
      <c r="AR18" s="295">
        <f>(IF('Water Report'!$T$13&gt;0,'Water Report'!$T$13,0))</f>
        <v>47</v>
      </c>
      <c r="AS18" s="295">
        <f>(IF('Water Report'!$T$14&gt;0,'Water Report'!$T$14,0))</f>
        <v>5</v>
      </c>
      <c r="AT18" s="295">
        <f>(IF('Water Report'!$T$15&gt;0,'Water Report'!$T$15,0))</f>
        <v>19</v>
      </c>
      <c r="AU18" s="295">
        <f>(IF('Water Report'!$T$17&gt;0,'Water Report'!$T$17,0))</f>
        <v>0</v>
      </c>
      <c r="AV18" s="295">
        <f>(IF('Water Report'!$T$18&gt;0,'Water Report'!$T$18,0))</f>
        <v>15</v>
      </c>
      <c r="AW18" s="295">
        <f>(IF('Water Report'!$T$19&gt;0,'Water Report'!$T$19,0))</f>
        <v>12</v>
      </c>
      <c r="AX18" s="301">
        <f>(IF('Water Report'!$T$21&gt;0,'Water Report'!$T$21,0))</f>
        <v>84</v>
      </c>
      <c r="AY18" s="301">
        <f>(IF('Water Report'!$T$22&gt;0,'Water Report'!$T$22,0))</f>
        <v>0</v>
      </c>
      <c r="AZ18" s="301">
        <f>(IF('Water Report'!$T$23&gt;0,'Water Report'!$T$23,0))</f>
        <v>15</v>
      </c>
      <c r="BA18" s="301">
        <f>(IF('Water Report'!$T$14&gt;0,'Water Report'!$T$14,0))</f>
        <v>5</v>
      </c>
      <c r="BB18" s="301">
        <f>(IF('Water Report'!$T$15&gt;0,'Water Report'!$T$15,0))</f>
        <v>19</v>
      </c>
      <c r="BC18" s="301">
        <f>(IF('Water Report'!$T$13&gt;0,'Water Report'!$T$13,0))</f>
        <v>47</v>
      </c>
      <c r="BD18" s="301">
        <f>(IF('Water Report'!$T$24&gt;0,'Water Report'!$T$24,0))</f>
        <v>320</v>
      </c>
      <c r="BE18" s="301">
        <f>(IF('Water Report'!$T$25&gt;0,'Water Report'!$T$25,0))</f>
        <v>189</v>
      </c>
      <c r="BF18" s="301">
        <f>(IF('Water Report'!$T$27&gt;0,'Water Report'!$T$27,0))</f>
        <v>146</v>
      </c>
      <c r="BG18" s="296">
        <f>(IF('Section Load'!AN21&gt;0,'Section Load'!AN21,0))</f>
        <v>1000</v>
      </c>
      <c r="BH18" s="296">
        <f>(IF('Section Load'!AO21&gt;0,'Section Load'!AO21,0))</f>
        <v>335.57999999995809</v>
      </c>
      <c r="BI18" s="296">
        <f>(IF('Section Load'!AP21&gt;0,'Section Load'!AP21,0))</f>
        <v>0</v>
      </c>
      <c r="BJ18" s="296">
        <f>(IF('Section Load'!AQ21&gt;0,'Section Load'!AQ21,0))</f>
        <v>114</v>
      </c>
      <c r="BK18" s="296">
        <f>(IF('Section Load'!AR21&gt;0,'Section Load'!AR21,0))</f>
        <v>59.30000000000291</v>
      </c>
      <c r="BL18" s="296">
        <f>(IF('Section Load'!AS21&gt;0,'Section Load'!AS21,0))</f>
        <v>0</v>
      </c>
      <c r="BM18" s="296">
        <f>(IF('Section Load'!AT21&gt;0,'Section Load'!AT21,0))</f>
        <v>491.120000000039</v>
      </c>
    </row>
    <row r="19" spans="1:65">
      <c r="A19" s="287" t="s">
        <v>268</v>
      </c>
      <c r="B19" s="288">
        <f t="shared" si="0"/>
        <v>18</v>
      </c>
      <c r="C19" s="288">
        <v>8</v>
      </c>
      <c r="D19" s="288">
        <v>2022</v>
      </c>
      <c r="E19" s="294">
        <f>(IF('Section Load'!F22&gt;0,'Section Load'!F22,0))</f>
        <v>3521.960000000021</v>
      </c>
      <c r="F19" s="294">
        <f>(IF('Section Load'!G22&gt;0,'Section Load'!G22,0))</f>
        <v>1599.0599999999977</v>
      </c>
      <c r="G19" s="294">
        <f>(IF('Section Load'!H22&gt;0,'Section Load'!H22,0))</f>
        <v>2493.710000000021</v>
      </c>
      <c r="H19" s="294">
        <f>(IF('Section Load'!I22&gt;0,'Section Load'!I22,0))</f>
        <v>2965.0399999999208</v>
      </c>
      <c r="I19" s="294">
        <f>(IF('Section Load'!J22&gt;0,'Section Load'!J22,0))</f>
        <v>6799.2300000000105</v>
      </c>
      <c r="J19" s="294">
        <f>(IF('Section Load'!K22&gt;0,'Section Load'!K22,0))</f>
        <v>2881.8800000000047</v>
      </c>
      <c r="K19" s="294">
        <f>(IF('Section Load'!L22&gt;0,'Section Load'!L22,0))</f>
        <v>1162.1399999999558</v>
      </c>
      <c r="L19" s="294">
        <f>(IF('Section Load'!M22&gt;0,'Section Load'!M22,0))</f>
        <v>1106.679999999993</v>
      </c>
      <c r="M19" s="294">
        <f>(IF('Section Load'!N22&gt;0,'Section Load'!N22,0))</f>
        <v>136</v>
      </c>
      <c r="N19" s="294">
        <f>(IF('Section Load'!O22&gt;0,'Section Load'!O22,0))</f>
        <v>149</v>
      </c>
      <c r="O19" s="294">
        <f>(IF('Section Load'!P22&gt;0,'Section Load'!P22,0))</f>
        <v>16.009999999999991</v>
      </c>
      <c r="P19" s="294">
        <f>(IF('Section Load'!Q22&gt;0,'Section Load'!Q22,0))</f>
        <v>203.55999999999767</v>
      </c>
      <c r="Q19" s="294">
        <f>(IF('Section Load'!R22&gt;0,'Section Load'!R22,0))</f>
        <v>77.040000000000873</v>
      </c>
      <c r="R19" s="294">
        <f>(IF('Section Load'!S22&gt;0,'Section Load'!S22,0))</f>
        <v>20.489999999999782</v>
      </c>
      <c r="S19" s="294">
        <f>(IF('Section Load'!T22&gt;0,'Section Load'!T22,0))</f>
        <v>22</v>
      </c>
      <c r="T19" s="294">
        <f>(IF('Section Load'!U22&gt;0,'Section Load'!U22,0))</f>
        <v>230</v>
      </c>
      <c r="U19" s="294">
        <f>(IF('Section Load'!V22&gt;0,'Section Load'!V22,0))</f>
        <v>415.20000000006985</v>
      </c>
      <c r="V19" s="294">
        <f>(IF('Section Load'!W22&gt;0,'Section Load'!W22,0))</f>
        <v>276.31999999994878</v>
      </c>
      <c r="W19" s="294">
        <f>(IF('Section Load'!X22&gt;0,'Section Load'!X22,0))</f>
        <v>28.600000000000364</v>
      </c>
      <c r="X19" s="294">
        <f>(IF('Section Load'!Y22&gt;0,'Section Load'!Y22,0))</f>
        <v>280.04999999999563</v>
      </c>
      <c r="Y19" s="294">
        <f>(IF('Section Load'!Z22&gt;0,'Section Load'!Z22,0))</f>
        <v>303</v>
      </c>
      <c r="Z19" s="294">
        <f>(IF('Section Load'!AA22&gt;0,'Section Load'!AA22,0))</f>
        <v>37.439999999944121</v>
      </c>
      <c r="AA19" s="294">
        <f>(IF('Section Load'!AB22&gt;0,'Section Load'!AB22,0))</f>
        <v>39.80000000000291</v>
      </c>
      <c r="AB19" s="294">
        <f>(IF('Section Load'!AC22&gt;0,'Section Load'!AC22,0))</f>
        <v>4.0000000000873115E-2</v>
      </c>
      <c r="AC19" s="294">
        <f>(IF('Section Load'!AD22&gt;0,'Section Load'!AD22,0))</f>
        <v>186.20000000000073</v>
      </c>
      <c r="AD19" s="294">
        <f>(IF('Section Load'!AE22&gt;0,'Section Load'!AE22,0))</f>
        <v>300.90000000000146</v>
      </c>
      <c r="AE19" s="294">
        <f>(IF('Section Load'!AF22&gt;0,'Section Load'!AF22,0))</f>
        <v>245.88999999999942</v>
      </c>
      <c r="AF19" s="294">
        <f>(IF('Section Load'!AG22&gt;0,'Section Load'!AG22,0))</f>
        <v>755.69999999999709</v>
      </c>
      <c r="AG19" s="294">
        <f>(IF('Section Load'!AH22&gt;0,'Section Load'!AH22,0))</f>
        <v>236.23300000000017</v>
      </c>
      <c r="AH19" s="294">
        <f>(IF('Section Load'!AI22&gt;0,'Section Load'!AI22,0))</f>
        <v>448.20000000000437</v>
      </c>
      <c r="AI19" s="294">
        <f>(IF('Section Load'!AJ22&gt;0,'Section Load'!AJ22,0))</f>
        <v>450.5</v>
      </c>
      <c r="AJ19" s="294">
        <f>(IF('Section Load'!AK22&gt;0,'Section Load'!AK22,0))</f>
        <v>298.54000000000087</v>
      </c>
      <c r="AK19" s="294">
        <f>(IF('Section Load'!AL22&gt;0,'Section Load'!AL22,0))</f>
        <v>328</v>
      </c>
      <c r="AL19" s="294">
        <f>(IF('Section Load'!AM22&gt;0,'Section Load'!AM22,0))</f>
        <v>0</v>
      </c>
      <c r="AM19" s="295">
        <f>(IF('Water Report'!$U$7&gt;0,'Water Report'!$U$7,0))</f>
        <v>150</v>
      </c>
      <c r="AN19" s="295">
        <f>(IF('Water Report'!$U$8&gt;0,'Water Report'!$U$8,0))</f>
        <v>134</v>
      </c>
      <c r="AO19" s="295">
        <f>(IF('Water Report'!$U$9&gt;0,'Water Report'!$U$9,0))</f>
        <v>131</v>
      </c>
      <c r="AP19" s="295">
        <f>(IF('Water Report'!$U$10&gt;0,'Water Report'!$U$10,0))</f>
        <v>24</v>
      </c>
      <c r="AQ19" s="295">
        <f>(IF('Water Report'!$U$11&gt;0,'Water Report'!$U$11,0))</f>
        <v>0</v>
      </c>
      <c r="AR19" s="295">
        <f>(IF('Water Report'!$U$13&gt;0,'Water Report'!$U$13,0))</f>
        <v>59</v>
      </c>
      <c r="AS19" s="295">
        <f>(IF('Water Report'!$U$14&gt;0,'Water Report'!$U$14,0))</f>
        <v>6</v>
      </c>
      <c r="AT19" s="295">
        <f>(IF('Water Report'!$U$15&gt;0,'Water Report'!$U$15,0))</f>
        <v>9</v>
      </c>
      <c r="AU19" s="295">
        <f>(IF('Water Report'!$U$17&gt;0,'Water Report'!$U$17,0))</f>
        <v>0</v>
      </c>
      <c r="AV19" s="295">
        <f>(IF('Water Report'!$U$18&gt;0,'Water Report'!$U$18,0))</f>
        <v>0</v>
      </c>
      <c r="AW19" s="295">
        <f>(IF('Water Report'!$U$19&gt;0,'Water Report'!$U$19,0))</f>
        <v>12</v>
      </c>
      <c r="AX19" s="301">
        <f>(IF('Water Report'!$U$21&gt;0,'Water Report'!$U$21,0))</f>
        <v>130</v>
      </c>
      <c r="AY19" s="301">
        <f>(IF('Water Report'!$U$22&gt;0,'Water Report'!$U$22,0))</f>
        <v>0</v>
      </c>
      <c r="AZ19" s="301">
        <f>(IF('Water Report'!$U$23&gt;0,'Water Report'!$U$23,0))</f>
        <v>8</v>
      </c>
      <c r="BA19" s="301">
        <f>(IF('Water Report'!$U$14&gt;0,'Water Report'!$U$14,0))</f>
        <v>6</v>
      </c>
      <c r="BB19" s="301">
        <f>(IF('Water Report'!$U$15&gt;0,'Water Report'!$U$15,0))</f>
        <v>9</v>
      </c>
      <c r="BC19" s="301">
        <f>(IF('Water Report'!$U$13&gt;0,'Water Report'!$U$13,0))</f>
        <v>59</v>
      </c>
      <c r="BD19" s="301">
        <f>(IF('Water Report'!$U$24&gt;0,'Water Report'!$U$24,0))</f>
        <v>274</v>
      </c>
      <c r="BE19" s="301">
        <f>(IF('Water Report'!$U$25&gt;0,'Water Report'!$U$25,0))</f>
        <v>170</v>
      </c>
      <c r="BF19" s="301">
        <f>(IF('Water Report'!$U$27&gt;0,'Water Report'!$U$27,0))</f>
        <v>197</v>
      </c>
      <c r="BG19" s="296">
        <f>(IF('Section Load'!AN22&gt;0,'Section Load'!AN22,0))</f>
        <v>1000</v>
      </c>
      <c r="BH19" s="296">
        <f>(IF('Section Load'!AO22&gt;0,'Section Load'!AO22,0))</f>
        <v>352.70999999996275</v>
      </c>
      <c r="BI19" s="296">
        <f>(IF('Section Load'!AP22&gt;0,'Section Load'!AP22,0))</f>
        <v>0</v>
      </c>
      <c r="BJ19" s="296">
        <f>(IF('Section Load'!AQ22&gt;0,'Section Load'!AQ22,0))</f>
        <v>85.410000000003492</v>
      </c>
      <c r="BK19" s="296">
        <f>(IF('Section Load'!AR22&gt;0,'Section Load'!AR22,0))</f>
        <v>54.299999999995634</v>
      </c>
      <c r="BL19" s="296">
        <f>(IF('Section Load'!AS22&gt;0,'Section Load'!AS22,0))</f>
        <v>0</v>
      </c>
      <c r="BM19" s="296">
        <f>(IF('Section Load'!AT22&gt;0,'Section Load'!AT22,0))</f>
        <v>507.58000000003813</v>
      </c>
    </row>
    <row r="20" spans="1:65">
      <c r="A20" s="287" t="s">
        <v>268</v>
      </c>
      <c r="B20" s="288">
        <f t="shared" si="0"/>
        <v>19</v>
      </c>
      <c r="C20" s="288">
        <v>8</v>
      </c>
      <c r="D20" s="288">
        <v>2022</v>
      </c>
      <c r="E20" s="294">
        <f>(IF('Section Load'!F23&gt;0,'Section Load'!F23,0))</f>
        <v>3706.0299999999697</v>
      </c>
      <c r="F20" s="294">
        <f>(IF('Section Load'!G23&gt;0,'Section Load'!G23,0))</f>
        <v>1536.1199999999953</v>
      </c>
      <c r="G20" s="294">
        <f>(IF('Section Load'!H23&gt;0,'Section Load'!H23,0))</f>
        <v>2304.210000000021</v>
      </c>
      <c r="H20" s="294">
        <f>(IF('Section Load'!I23&gt;0,'Section Load'!I23,0))</f>
        <v>2902.7600000000093</v>
      </c>
      <c r="I20" s="294">
        <f>(IF('Section Load'!J23&gt;0,'Section Load'!J23,0))</f>
        <v>8734.1100000000151</v>
      </c>
      <c r="J20" s="294">
        <f>(IF('Section Load'!K23&gt;0,'Section Load'!K23,0))</f>
        <v>3069.3799999999756</v>
      </c>
      <c r="K20" s="294">
        <f>(IF('Section Load'!L23&gt;0,'Section Load'!L23,0))</f>
        <v>1786.3800000000047</v>
      </c>
      <c r="L20" s="294">
        <f>(IF('Section Load'!M23&gt;0,'Section Load'!M23,0))</f>
        <v>1238.1600000000035</v>
      </c>
      <c r="M20" s="294">
        <f>(IF('Section Load'!N23&gt;0,'Section Load'!N23,0))</f>
        <v>131</v>
      </c>
      <c r="N20" s="294">
        <f>(IF('Section Load'!O23&gt;0,'Section Load'!O23,0))</f>
        <v>146</v>
      </c>
      <c r="O20" s="294">
        <f>(IF('Section Load'!P23&gt;0,'Section Load'!P23,0))</f>
        <v>15.170000000000073</v>
      </c>
      <c r="P20" s="294">
        <f>(IF('Section Load'!Q23&gt;0,'Section Load'!Q23,0))</f>
        <v>194.63999999999942</v>
      </c>
      <c r="Q20" s="294">
        <f>(IF('Section Load'!R23&gt;0,'Section Load'!R23,0))</f>
        <v>34.900000000001455</v>
      </c>
      <c r="R20" s="294">
        <f>(IF('Section Load'!S23&gt;0,'Section Load'!S23,0))</f>
        <v>15.789999999999964</v>
      </c>
      <c r="S20" s="294">
        <f>(IF('Section Load'!T23&gt;0,'Section Load'!T23,0))</f>
        <v>30</v>
      </c>
      <c r="T20" s="294">
        <f>(IF('Section Load'!U23&gt;0,'Section Load'!U23,0))</f>
        <v>238</v>
      </c>
      <c r="U20" s="294">
        <f>(IF('Section Load'!V23&gt;0,'Section Load'!V23,0))</f>
        <v>417.8399999999674</v>
      </c>
      <c r="V20" s="294">
        <f>(IF('Section Load'!W23&gt;0,'Section Load'!W23,0))</f>
        <v>291.11999999999534</v>
      </c>
      <c r="W20" s="294">
        <f>(IF('Section Load'!X23&gt;0,'Section Load'!X23,0))</f>
        <v>32.219999999999345</v>
      </c>
      <c r="X20" s="294">
        <f>(IF('Section Load'!Y23&gt;0,'Section Load'!Y23,0))</f>
        <v>290.87000000000262</v>
      </c>
      <c r="Y20" s="294">
        <f>(IF('Section Load'!Z23&gt;0,'Section Load'!Z23,0))</f>
        <v>276</v>
      </c>
      <c r="Z20" s="294">
        <f>(IF('Section Load'!AA23&gt;0,'Section Load'!AA23,0))</f>
        <v>60.92000000004191</v>
      </c>
      <c r="AA20" s="294">
        <f>(IF('Section Load'!AB23&gt;0,'Section Load'!AB23,0))</f>
        <v>37.100000000005821</v>
      </c>
      <c r="AB20" s="294">
        <f>(IF('Section Load'!AC23&gt;0,'Section Load'!AC23,0))</f>
        <v>0</v>
      </c>
      <c r="AC20" s="294">
        <f>(IF('Section Load'!AD23&gt;0,'Section Load'!AD23,0))</f>
        <v>161.79999999999927</v>
      </c>
      <c r="AD20" s="294">
        <f>(IF('Section Load'!AE23&gt;0,'Section Load'!AE23,0))</f>
        <v>299.19999999999709</v>
      </c>
      <c r="AE20" s="294">
        <f>(IF('Section Load'!AF23&gt;0,'Section Load'!AF23,0))</f>
        <v>278.69000000000233</v>
      </c>
      <c r="AF20" s="294">
        <f>(IF('Section Load'!AG23&gt;0,'Section Load'!AG23,0))</f>
        <v>537.70000000000437</v>
      </c>
      <c r="AG20" s="294">
        <f>(IF('Section Load'!AH23&gt;0,'Section Load'!AH23,0))</f>
        <v>217.95699999999488</v>
      </c>
      <c r="AH20" s="294">
        <f>(IF('Section Load'!AI23&gt;0,'Section Load'!AI23,0))</f>
        <v>404.58999999999651</v>
      </c>
      <c r="AI20" s="294">
        <f>(IF('Section Load'!AJ23&gt;0,'Section Load'!AJ23,0))</f>
        <v>397.58999999999651</v>
      </c>
      <c r="AJ20" s="294">
        <f>(IF('Section Load'!AK23&gt;0,'Section Load'!AK23,0))</f>
        <v>283.7599999999984</v>
      </c>
      <c r="AK20" s="294">
        <f>(IF('Section Load'!AL23&gt;0,'Section Load'!AL23,0))</f>
        <v>312.41999999999825</v>
      </c>
      <c r="AL20" s="294">
        <f>(IF('Section Load'!AM23&gt;0,'Section Load'!AM23,0))</f>
        <v>0</v>
      </c>
      <c r="AM20" s="295">
        <f>(IF('Water Report'!$V$7&gt;0,'Water Report'!$V$7,0))</f>
        <v>125</v>
      </c>
      <c r="AN20" s="295">
        <f>(IF('Water Report'!$V$8&gt;0,'Water Report'!$V$8,0))</f>
        <v>111</v>
      </c>
      <c r="AO20" s="295">
        <f>(IF('Water Report'!$V$9&gt;0,'Water Report'!$V$9,0))</f>
        <v>136</v>
      </c>
      <c r="AP20" s="295">
        <f>(IF('Water Report'!$V$10&gt;0,'Water Report'!$V$10,0))</f>
        <v>19</v>
      </c>
      <c r="AQ20" s="295">
        <f>(IF('Water Report'!$V$11&gt;0,'Water Report'!$V$11,0))</f>
        <v>0</v>
      </c>
      <c r="AR20" s="295">
        <f>(IF('Water Report'!$V$13&gt;0,'Water Report'!$V$13,0))</f>
        <v>52</v>
      </c>
      <c r="AS20" s="295">
        <f>(IF('Water Report'!$V$14&gt;0,'Water Report'!$V$14,0))</f>
        <v>4</v>
      </c>
      <c r="AT20" s="295">
        <f>(IF('Water Report'!$V$15&gt;0,'Water Report'!$V$15,0))</f>
        <v>6</v>
      </c>
      <c r="AU20" s="295">
        <f>(IF('Water Report'!$V$17&gt;0,'Water Report'!$V$17,0))</f>
        <v>0</v>
      </c>
      <c r="AV20" s="295">
        <f>(IF('Water Report'!$V$18&gt;0,'Water Report'!$V$18,0))</f>
        <v>27</v>
      </c>
      <c r="AW20" s="295">
        <f>(IF('Water Report'!$V$19&gt;0,'Water Report'!$V$19,0))</f>
        <v>12</v>
      </c>
      <c r="AX20" s="301">
        <f>(IF('Water Report'!$V$21&gt;0,'Water Report'!$V$21,0))</f>
        <v>85</v>
      </c>
      <c r="AY20" s="301">
        <f>(IF('Water Report'!$V$22&gt;0,'Water Report'!$V$22,0))</f>
        <v>0</v>
      </c>
      <c r="AZ20" s="301">
        <f>(IF('Water Report'!$V$23&gt;0,'Water Report'!$V$23,0))</f>
        <v>10</v>
      </c>
      <c r="BA20" s="301">
        <f>(IF('Water Report'!$V$14&gt;0,'Water Report'!$V$14,0))</f>
        <v>4</v>
      </c>
      <c r="BB20" s="301">
        <f>(IF('Water Report'!$V$15&gt;0,'Water Report'!$V$15,0))</f>
        <v>6</v>
      </c>
      <c r="BC20" s="301">
        <f>(IF('Water Report'!$V$13&gt;0,'Water Report'!$V$13,0))</f>
        <v>52</v>
      </c>
      <c r="BD20" s="301">
        <f>(IF('Water Report'!$V$24&gt;0,'Water Report'!$V$24,0))</f>
        <v>226</v>
      </c>
      <c r="BE20" s="301">
        <f>(IF('Water Report'!$V$25&gt;0,'Water Report'!$V$25,0))</f>
        <v>165</v>
      </c>
      <c r="BF20" s="301">
        <f>(IF('Water Report'!$V$27&gt;0,'Water Report'!$V$27,0))</f>
        <v>147</v>
      </c>
      <c r="BG20" s="296">
        <f>(IF('Section Load'!AN23&gt;0,'Section Load'!AN23,0))</f>
        <v>1000</v>
      </c>
      <c r="BH20" s="296">
        <f>(IF('Section Load'!AO23&gt;0,'Section Load'!AO23,0))</f>
        <v>343.56000000005588</v>
      </c>
      <c r="BI20" s="296">
        <f>(IF('Section Load'!AP23&gt;0,'Section Load'!AP23,0))</f>
        <v>0</v>
      </c>
      <c r="BJ20" s="296">
        <f>(IF('Section Load'!AQ23&gt;0,'Section Load'!AQ23,0))</f>
        <v>96.989999999990687</v>
      </c>
      <c r="BK20" s="296">
        <f>(IF('Section Load'!AR23&gt;0,'Section Load'!AR23,0))</f>
        <v>42.30000000000291</v>
      </c>
      <c r="BL20" s="296">
        <f>(IF('Section Load'!AS23&gt;0,'Section Load'!AS23,0))</f>
        <v>0</v>
      </c>
      <c r="BM20" s="296">
        <f>(IF('Section Load'!AT23&gt;0,'Section Load'!AT23,0))</f>
        <v>517.14999999995052</v>
      </c>
    </row>
    <row r="21" spans="1:65">
      <c r="A21" s="287" t="s">
        <v>268</v>
      </c>
      <c r="B21" s="288">
        <f t="shared" si="0"/>
        <v>20</v>
      </c>
      <c r="C21" s="288">
        <v>8</v>
      </c>
      <c r="D21" s="288">
        <v>2022</v>
      </c>
      <c r="E21" s="294">
        <f>(IF('Section Load'!F24&gt;0,'Section Load'!F24,0))</f>
        <v>3725.8099999999977</v>
      </c>
      <c r="F21" s="294">
        <f>(IF('Section Load'!G24&gt;0,'Section Load'!G24,0))</f>
        <v>1550.5100000000093</v>
      </c>
      <c r="G21" s="294">
        <f>(IF('Section Load'!H24&gt;0,'Section Load'!H24,0))</f>
        <v>2246.609999999986</v>
      </c>
      <c r="H21" s="294">
        <f>(IF('Section Load'!I24&gt;0,'Section Load'!I24,0))</f>
        <v>2951.890000000014</v>
      </c>
      <c r="I21" s="294">
        <f>(IF('Section Load'!J24&gt;0,'Section Load'!J24,0))</f>
        <v>7199.1699999999983</v>
      </c>
      <c r="J21" s="294">
        <f>(IF('Section Load'!K24&gt;0,'Section Load'!K24,0))</f>
        <v>2990.2300000000105</v>
      </c>
      <c r="K21" s="294">
        <f>(IF('Section Load'!L24&gt;0,'Section Load'!L24,0))</f>
        <v>1834.8300000000163</v>
      </c>
      <c r="L21" s="294">
        <f>(IF('Section Load'!M24&gt;0,'Section Load'!M24,0))</f>
        <v>1180.6300000000047</v>
      </c>
      <c r="M21" s="294">
        <f>(IF('Section Load'!N24&gt;0,'Section Load'!N24,0))</f>
        <v>110</v>
      </c>
      <c r="N21" s="294">
        <f>(IF('Section Load'!O24&gt;0,'Section Load'!O24,0))</f>
        <v>177</v>
      </c>
      <c r="O21" s="294">
        <f>(IF('Section Load'!P24&gt;0,'Section Load'!P24,0))</f>
        <v>15.619999999999891</v>
      </c>
      <c r="P21" s="294">
        <f>(IF('Section Load'!Q24&gt;0,'Section Load'!Q24,0))</f>
        <v>190.80000000000291</v>
      </c>
      <c r="Q21" s="294">
        <f>(IF('Section Load'!R24&gt;0,'Section Load'!R24,0))</f>
        <v>92</v>
      </c>
      <c r="R21" s="294">
        <f>(IF('Section Load'!S24&gt;0,'Section Load'!S24,0))</f>
        <v>14.020000000000437</v>
      </c>
      <c r="S21" s="294">
        <f>(IF('Section Load'!T24&gt;0,'Section Load'!T24,0))</f>
        <v>37</v>
      </c>
      <c r="T21" s="294">
        <f>(IF('Section Load'!U24&gt;0,'Section Load'!U24,0))</f>
        <v>258</v>
      </c>
      <c r="U21" s="294">
        <f>(IF('Section Load'!V24&gt;0,'Section Load'!V24,0))</f>
        <v>414.35999999998603</v>
      </c>
      <c r="V21" s="294">
        <f>(IF('Section Load'!W24&gt;0,'Section Load'!W24,0))</f>
        <v>304</v>
      </c>
      <c r="W21" s="294">
        <f>(IF('Section Load'!X24&gt;0,'Section Load'!X24,0))</f>
        <v>28.579999999999927</v>
      </c>
      <c r="X21" s="294">
        <f>(IF('Section Load'!Y24&gt;0,'Section Load'!Y24,0))</f>
        <v>288.52999999999884</v>
      </c>
      <c r="Y21" s="294">
        <f>(IF('Section Load'!Z24&gt;0,'Section Load'!Z24,0))</f>
        <v>281</v>
      </c>
      <c r="Z21" s="294">
        <f>(IF('Section Load'!AA24&gt;0,'Section Load'!AA24,0))</f>
        <v>103.35999999998603</v>
      </c>
      <c r="AA21" s="294">
        <f>(IF('Section Load'!AB24&gt;0,'Section Load'!AB24,0))</f>
        <v>39.899999999994179</v>
      </c>
      <c r="AB21" s="294">
        <f>(IF('Section Load'!AC24&gt;0,'Section Load'!AC24,0))</f>
        <v>0</v>
      </c>
      <c r="AC21" s="294">
        <f>(IF('Section Load'!AD24&gt;0,'Section Load'!AD24,0))</f>
        <v>176.20000000000073</v>
      </c>
      <c r="AD21" s="294">
        <f>(IF('Section Load'!AE24&gt;0,'Section Load'!AE24,0))</f>
        <v>555</v>
      </c>
      <c r="AE21" s="294">
        <f>(IF('Section Load'!AF24&gt;0,'Section Load'!AF24,0))</f>
        <v>213.72000000000116</v>
      </c>
      <c r="AF21" s="294">
        <f>(IF('Section Load'!AG24&gt;0,'Section Load'!AG24,0))</f>
        <v>670.09999999999854</v>
      </c>
      <c r="AG21" s="294">
        <f>(IF('Section Load'!AH24&gt;0,'Section Load'!AH24,0))</f>
        <v>221.91000000000349</v>
      </c>
      <c r="AH21" s="294">
        <f>(IF('Section Load'!AI24&gt;0,'Section Load'!AI24,0))</f>
        <v>412.01000000000204</v>
      </c>
      <c r="AI21" s="294">
        <f>(IF('Section Load'!AJ24&gt;0,'Section Load'!AJ24,0))</f>
        <v>419.51000000000204</v>
      </c>
      <c r="AJ21" s="294">
        <f>(IF('Section Load'!AK24&gt;0,'Section Load'!AK24,0))</f>
        <v>285</v>
      </c>
      <c r="AK21" s="294">
        <f>(IF('Section Load'!AL24&gt;0,'Section Load'!AL24,0))</f>
        <v>321.08000000000175</v>
      </c>
      <c r="AL21" s="294">
        <f>(IF('Section Load'!AM24&gt;0,'Section Load'!AM24,0))</f>
        <v>0</v>
      </c>
      <c r="AM21" s="295">
        <f>(IF('Water Report'!$W$7&gt;0,'Water Report'!$W$7,0))</f>
        <v>124</v>
      </c>
      <c r="AN21" s="295">
        <f>(IF('Water Report'!$W$8&gt;0,'Water Report'!$W$8,0))</f>
        <v>128</v>
      </c>
      <c r="AO21" s="295">
        <f>(IF('Water Report'!$W$9&gt;0,'Water Report'!$W$9,0))</f>
        <v>112</v>
      </c>
      <c r="AP21" s="295">
        <f>(IF('Water Report'!$W$10&gt;0,'Water Report'!$W$10,0))</f>
        <v>22</v>
      </c>
      <c r="AQ21" s="295">
        <f>(IF('Water Report'!$W$11&gt;0,'Water Report'!$W$11,0))</f>
        <v>0</v>
      </c>
      <c r="AR21" s="295">
        <f>(IF('Water Report'!$W$13&gt;0,'Water Report'!$W$13,0))</f>
        <v>54</v>
      </c>
      <c r="AS21" s="295">
        <f>(IF('Water Report'!$W$14&gt;0,'Water Report'!$W$14,0))</f>
        <v>3</v>
      </c>
      <c r="AT21" s="295">
        <f>(IF('Water Report'!$W$15&gt;0,'Water Report'!$W$15,0))</f>
        <v>7</v>
      </c>
      <c r="AU21" s="295">
        <f>(IF('Water Report'!$W$17&gt;0,'Water Report'!$W$17,0))</f>
        <v>0</v>
      </c>
      <c r="AV21" s="295">
        <f>(IF('Water Report'!$W$18&gt;0,'Water Report'!$W$18,0))</f>
        <v>14</v>
      </c>
      <c r="AW21" s="295">
        <f>(IF('Water Report'!$W$19&gt;0,'Water Report'!$W$19,0))</f>
        <v>12</v>
      </c>
      <c r="AX21" s="301">
        <f>(IF('Water Report'!$W$21&gt;0,'Water Report'!$W$21,0))</f>
        <v>62</v>
      </c>
      <c r="AY21" s="301">
        <f>(IF('Water Report'!$W$22&gt;0,'Water Report'!$W$22,0))</f>
        <v>0</v>
      </c>
      <c r="AZ21" s="301">
        <f>(IF('Water Report'!$W$23&gt;0,'Water Report'!$W$23,0))</f>
        <v>0</v>
      </c>
      <c r="BA21" s="301">
        <f>(IF('Water Report'!$W$14&gt;0,'Water Report'!$W$14,0))</f>
        <v>3</v>
      </c>
      <c r="BB21" s="301">
        <f>(IF('Water Report'!$W$15&gt;0,'Water Report'!$W$15,0))</f>
        <v>7</v>
      </c>
      <c r="BC21" s="301">
        <f>(IF('Water Report'!$W$13&gt;0,'Water Report'!$W$13,0))</f>
        <v>54</v>
      </c>
      <c r="BD21" s="301">
        <f>(IF('Water Report'!$W$24&gt;0,'Water Report'!$W$24,0))</f>
        <v>273</v>
      </c>
      <c r="BE21" s="301">
        <f>(IF('Water Report'!$W$25&gt;0,'Water Report'!$W$25,0))</f>
        <v>144</v>
      </c>
      <c r="BF21" s="301">
        <f>(IF('Water Report'!$W$27&gt;0,'Water Report'!$W$27,0))</f>
        <v>116</v>
      </c>
      <c r="BG21" s="296">
        <f>(IF('Section Load'!AN24&gt;0,'Section Load'!AN24,0))</f>
        <v>1000</v>
      </c>
      <c r="BH21" s="296">
        <f>(IF('Section Load'!AO24&gt;0,'Section Load'!AO24,0))</f>
        <v>346.5</v>
      </c>
      <c r="BI21" s="296">
        <f>(IF('Section Load'!AP24&gt;0,'Section Load'!AP24,0))</f>
        <v>0</v>
      </c>
      <c r="BJ21" s="296">
        <f>(IF('Section Load'!AQ24&gt;0,'Section Load'!AQ24,0))</f>
        <v>114.60000000000582</v>
      </c>
      <c r="BK21" s="296">
        <f>(IF('Section Load'!AR24&gt;0,'Section Load'!AR24,0))</f>
        <v>48.099999999998545</v>
      </c>
      <c r="BL21" s="296">
        <f>(IF('Section Load'!AS24&gt;0,'Section Load'!AS24,0))</f>
        <v>0</v>
      </c>
      <c r="BM21" s="296">
        <f>(IF('Section Load'!AT24&gt;0,'Section Load'!AT24,0))</f>
        <v>490.79999999999563</v>
      </c>
    </row>
    <row r="22" spans="1:65">
      <c r="A22" s="287" t="s">
        <v>268</v>
      </c>
      <c r="B22" s="288">
        <f t="shared" si="0"/>
        <v>21</v>
      </c>
      <c r="C22" s="288">
        <v>8</v>
      </c>
      <c r="D22" s="288">
        <v>2022</v>
      </c>
      <c r="E22" s="294">
        <f>(IF('Section Load'!F25&gt;0,'Section Load'!F25,0))</f>
        <v>3627.9500000000116</v>
      </c>
      <c r="F22" s="294">
        <f>(IF('Section Load'!G25&gt;0,'Section Load'!G25,0))</f>
        <v>1563</v>
      </c>
      <c r="G22" s="294">
        <f>(IF('Section Load'!H25&gt;0,'Section Load'!H25,0))</f>
        <v>2209</v>
      </c>
      <c r="H22" s="294">
        <f>(IF('Section Load'!I25&gt;0,'Section Load'!I25,0))</f>
        <v>2860</v>
      </c>
      <c r="I22" s="294">
        <f>(IF('Section Load'!J25&gt;0,'Section Load'!J25,0))</f>
        <v>6568.7799999999988</v>
      </c>
      <c r="J22" s="294">
        <f>(IF('Section Load'!K25&gt;0,'Section Load'!K25,0))</f>
        <v>3140</v>
      </c>
      <c r="K22" s="294">
        <f>(IF('Section Load'!L25&gt;0,'Section Load'!L25,0))</f>
        <v>1434</v>
      </c>
      <c r="L22" s="294">
        <f>(IF('Section Load'!M25&gt;0,'Section Load'!M25,0))</f>
        <v>726</v>
      </c>
      <c r="M22" s="294">
        <f>(IF('Section Load'!N25&gt;0,'Section Load'!N25,0))</f>
        <v>91</v>
      </c>
      <c r="N22" s="294">
        <f>(IF('Section Load'!O25&gt;0,'Section Load'!O25,0))</f>
        <v>155</v>
      </c>
      <c r="O22" s="294">
        <f>(IF('Section Load'!P25&gt;0,'Section Load'!P25,0))</f>
        <v>16</v>
      </c>
      <c r="P22" s="294">
        <f>(IF('Section Load'!Q25&gt;0,'Section Load'!Q25,0))</f>
        <v>187</v>
      </c>
      <c r="Q22" s="294">
        <f>(IF('Section Load'!R25&gt;0,'Section Load'!R25,0))</f>
        <v>59</v>
      </c>
      <c r="R22" s="294">
        <f>(IF('Section Load'!S25&gt;0,'Section Load'!S25,0))</f>
        <v>21</v>
      </c>
      <c r="S22" s="294">
        <f>(IF('Section Load'!T25&gt;0,'Section Load'!T25,0))</f>
        <v>34</v>
      </c>
      <c r="T22" s="294">
        <f>(IF('Section Load'!U25&gt;0,'Section Load'!U25,0))</f>
        <v>245</v>
      </c>
      <c r="U22" s="294">
        <f>(IF('Section Load'!V25&gt;0,'Section Load'!V25,0))</f>
        <v>403</v>
      </c>
      <c r="V22" s="294">
        <f>(IF('Section Load'!W25&gt;0,'Section Load'!W25,0))</f>
        <v>273</v>
      </c>
      <c r="W22" s="294">
        <f>(IF('Section Load'!X25&gt;0,'Section Load'!X25,0))</f>
        <v>27</v>
      </c>
      <c r="X22" s="294">
        <f>(IF('Section Load'!Y25&gt;0,'Section Load'!Y25,0))</f>
        <v>286</v>
      </c>
      <c r="Y22" s="294">
        <f>(IF('Section Load'!Z25&gt;0,'Section Load'!Z25,0))</f>
        <v>293</v>
      </c>
      <c r="Z22" s="294">
        <f>(IF('Section Load'!AA25&gt;0,'Section Load'!AA25,0))</f>
        <v>117</v>
      </c>
      <c r="AA22" s="294">
        <f>(IF('Section Load'!AB25&gt;0,'Section Load'!AB25,0))</f>
        <v>39</v>
      </c>
      <c r="AB22" s="294">
        <f>(IF('Section Load'!AC25&gt;0,'Section Load'!AC25,0))</f>
        <v>0</v>
      </c>
      <c r="AC22" s="294">
        <f>(IF('Section Load'!AD25&gt;0,'Section Load'!AD25,0))</f>
        <v>147</v>
      </c>
      <c r="AD22" s="294">
        <f>(IF('Section Load'!AE25&gt;0,'Section Load'!AE25,0))</f>
        <v>345</v>
      </c>
      <c r="AE22" s="294">
        <f>(IF('Section Load'!AF25&gt;0,'Section Load'!AF25,0))</f>
        <v>206</v>
      </c>
      <c r="AF22" s="294">
        <f>(IF('Section Load'!AG25&gt;0,'Section Load'!AG25,0))</f>
        <v>645</v>
      </c>
      <c r="AG22" s="294">
        <f>(IF('Section Load'!AH25&gt;0,'Section Load'!AH25,0))</f>
        <v>216</v>
      </c>
      <c r="AH22" s="294">
        <f>(IF('Section Load'!AI25&gt;0,'Section Load'!AI25,0))</f>
        <v>410</v>
      </c>
      <c r="AI22" s="294">
        <f>(IF('Section Load'!AJ25&gt;0,'Section Load'!AJ25,0))</f>
        <v>429</v>
      </c>
      <c r="AJ22" s="294">
        <f>(IF('Section Load'!AK25&gt;0,'Section Load'!AK25,0))</f>
        <v>286</v>
      </c>
      <c r="AK22" s="294">
        <f>(IF('Section Load'!AL25&gt;0,'Section Load'!AL25,0))</f>
        <v>317</v>
      </c>
      <c r="AL22" s="294">
        <f>(IF('Section Load'!AM25&gt;0,'Section Load'!AM25,0))</f>
        <v>0.41000000000349246</v>
      </c>
      <c r="AM22" s="295">
        <f>(IF('Water Report'!$X$7&gt;0,'Water Report'!$X$7,0))</f>
        <v>105</v>
      </c>
      <c r="AN22" s="295">
        <f>(IF('Water Report'!$X$8&gt;0,'Water Report'!$X$8,0))</f>
        <v>143</v>
      </c>
      <c r="AO22" s="295">
        <f>(IF('Water Report'!$X$9&gt;0,'Water Report'!$X$9,0))</f>
        <v>99</v>
      </c>
      <c r="AP22" s="295">
        <f>(IF('Water Report'!$X$10&gt;0,'Water Report'!$X$10,0))</f>
        <v>21</v>
      </c>
      <c r="AQ22" s="295">
        <f>(IF('Water Report'!$X$11&gt;0,'Water Report'!$X$11,0))</f>
        <v>0</v>
      </c>
      <c r="AR22" s="295">
        <f>(IF('Water Report'!$X$13&gt;0,'Water Report'!$X$13,0))</f>
        <v>56</v>
      </c>
      <c r="AS22" s="295">
        <f>(IF('Water Report'!$X$14&gt;0,'Water Report'!$X$14,0))</f>
        <v>5</v>
      </c>
      <c r="AT22" s="295">
        <f>(IF('Water Report'!$X$15&gt;0,'Water Report'!$X$15,0))</f>
        <v>21</v>
      </c>
      <c r="AU22" s="295">
        <f>(IF('Water Report'!$X$17&gt;0,'Water Report'!$X$17,0))</f>
        <v>0</v>
      </c>
      <c r="AV22" s="295">
        <f>(IF('Water Report'!$X$18&gt;0,'Water Report'!$X$18,0))</f>
        <v>14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0</v>
      </c>
      <c r="AZ22" s="301">
        <f>(IF('Water Report'!$X$23&gt;0,'Water Report'!$X$23,0))</f>
        <v>9</v>
      </c>
      <c r="BA22" s="301">
        <f>(IF('Water Report'!$X$14&gt;0,'Water Report'!$X$14,0))</f>
        <v>5</v>
      </c>
      <c r="BB22" s="301">
        <f>(IF('Water Report'!$X$15&gt;0,'Water Report'!$X$15,0))</f>
        <v>21</v>
      </c>
      <c r="BC22" s="301">
        <f>(IF('Water Report'!$X$13&gt;0,'Water Report'!$X$13,0))</f>
        <v>56</v>
      </c>
      <c r="BD22" s="301">
        <f>(IF('Water Report'!$X$24&gt;0,'Water Report'!$X$24,0))</f>
        <v>220</v>
      </c>
      <c r="BE22" s="301">
        <f>(IF('Water Report'!$X$25&gt;0,'Water Report'!$X$25,0))</f>
        <v>146</v>
      </c>
      <c r="BF22" s="301">
        <f>(IF('Water Report'!$X$27&gt;0,'Water Report'!$X$27,0))</f>
        <v>126</v>
      </c>
      <c r="BG22" s="296">
        <f>(IF('Section Load'!AN25&gt;0,'Section Load'!AN25,0))</f>
        <v>1000</v>
      </c>
      <c r="BH22" s="296">
        <f>(IF('Section Load'!AO25&gt;0,'Section Load'!AO25,0))</f>
        <v>337</v>
      </c>
      <c r="BI22" s="296">
        <f>(IF('Section Load'!AP25&gt;0,'Section Load'!AP25,0))</f>
        <v>0</v>
      </c>
      <c r="BJ22" s="296">
        <f>(IF('Section Load'!AQ25&gt;0,'Section Load'!AQ25,0))</f>
        <v>107</v>
      </c>
      <c r="BK22" s="296">
        <f>(IF('Section Load'!AR25&gt;0,'Section Load'!AR25,0))</f>
        <v>49</v>
      </c>
      <c r="BL22" s="296">
        <f>(IF('Section Load'!AS25&gt;0,'Section Load'!AS25,0))</f>
        <v>0</v>
      </c>
      <c r="BM22" s="296">
        <f>(IF('Section Load'!AT25&gt;0,'Section Load'!AT25,0))</f>
        <v>507</v>
      </c>
    </row>
    <row r="23" spans="1:65">
      <c r="A23" s="287" t="s">
        <v>268</v>
      </c>
      <c r="B23" s="288">
        <f t="shared" si="0"/>
        <v>22</v>
      </c>
      <c r="C23" s="288">
        <v>8</v>
      </c>
      <c r="D23" s="288">
        <v>2022</v>
      </c>
      <c r="E23" s="294">
        <f>(IF('Section Load'!F26&gt;0,'Section Load'!F26,0))</f>
        <v>3430</v>
      </c>
      <c r="F23" s="294">
        <f>(IF('Section Load'!G26&gt;0,'Section Load'!G26,0))</f>
        <v>1495</v>
      </c>
      <c r="G23" s="294">
        <f>(IF('Section Load'!H26&gt;0,'Section Load'!H26,0))</f>
        <v>2195</v>
      </c>
      <c r="H23" s="294">
        <f>(IF('Section Load'!I26&gt;0,'Section Load'!I26,0))</f>
        <v>2882</v>
      </c>
      <c r="I23" s="294">
        <f>(IF('Section Load'!J26&gt;0,'Section Load'!J26,0))</f>
        <v>6343</v>
      </c>
      <c r="J23" s="294">
        <f>(IF('Section Load'!K26&gt;0,'Section Load'!K26,0))</f>
        <v>2737.0300000000279</v>
      </c>
      <c r="K23" s="294">
        <f>(IF('Section Load'!L26&gt;0,'Section Load'!L26,0))</f>
        <v>1163</v>
      </c>
      <c r="L23" s="294">
        <f>(IF('Section Load'!M26&gt;0,'Section Load'!M26,0))</f>
        <v>787</v>
      </c>
      <c r="M23" s="294">
        <f>(IF('Section Load'!N26&gt;0,'Section Load'!N26,0))</f>
        <v>125</v>
      </c>
      <c r="N23" s="294">
        <f>(IF('Section Load'!O26&gt;0,'Section Load'!O26,0))</f>
        <v>151</v>
      </c>
      <c r="O23" s="294">
        <f>(IF('Section Load'!P26&gt;0,'Section Load'!P26,0))</f>
        <v>16</v>
      </c>
      <c r="P23" s="294">
        <f>(IF('Section Load'!Q26&gt;0,'Section Load'!Q26,0))</f>
        <v>198</v>
      </c>
      <c r="Q23" s="294">
        <f>(IF('Section Load'!R26&gt;0,'Section Load'!R26,0))</f>
        <v>67</v>
      </c>
      <c r="R23" s="294">
        <f>(IF('Section Load'!S26&gt;0,'Section Load'!S26,0))</f>
        <v>12</v>
      </c>
      <c r="S23" s="294">
        <f>(IF('Section Load'!T26&gt;0,'Section Load'!T26,0))</f>
        <v>34</v>
      </c>
      <c r="T23" s="294">
        <f>(IF('Section Load'!U26&gt;0,'Section Load'!U26,0))</f>
        <v>247</v>
      </c>
      <c r="U23" s="294">
        <f>(IF('Section Load'!V26&gt;0,'Section Load'!V26,0))</f>
        <v>394</v>
      </c>
      <c r="V23" s="294">
        <f>(IF('Section Load'!W26&gt;0,'Section Load'!W26,0))</f>
        <v>285</v>
      </c>
      <c r="W23" s="294">
        <f>(IF('Section Load'!X26&gt;0,'Section Load'!X26,0))</f>
        <v>33</v>
      </c>
      <c r="X23" s="294">
        <f>(IF('Section Load'!Y26&gt;0,'Section Load'!Y26,0))</f>
        <v>288</v>
      </c>
      <c r="Y23" s="294">
        <f>(IF('Section Load'!Z26&gt;0,'Section Load'!Z26,0))</f>
        <v>301</v>
      </c>
      <c r="Z23" s="294">
        <f>(IF('Section Load'!AA26&gt;0,'Section Load'!AA26,0))</f>
        <v>131</v>
      </c>
      <c r="AA23" s="294">
        <f>(IF('Section Load'!AB26&gt;0,'Section Load'!AB26,0))</f>
        <v>40</v>
      </c>
      <c r="AB23" s="294">
        <f>(IF('Section Load'!AC26&gt;0,'Section Load'!AC26,0))</f>
        <v>0</v>
      </c>
      <c r="AC23" s="294">
        <f>(IF('Section Load'!AD26&gt;0,'Section Load'!AD26,0))</f>
        <v>161</v>
      </c>
      <c r="AD23" s="294">
        <f>(IF('Section Load'!AE26&gt;0,'Section Load'!AE26,0))</f>
        <v>339</v>
      </c>
      <c r="AE23" s="294">
        <f>(IF('Section Load'!AF26&gt;0,'Section Load'!AF26,0))</f>
        <v>199</v>
      </c>
      <c r="AF23" s="294">
        <f>(IF('Section Load'!AG26&gt;0,'Section Load'!AG26,0))</f>
        <v>694</v>
      </c>
      <c r="AG23" s="294">
        <f>(IF('Section Load'!AH26&gt;0,'Section Load'!AH26,0))</f>
        <v>224</v>
      </c>
      <c r="AH23" s="294">
        <f>(IF('Section Load'!AI26&gt;0,'Section Load'!AI26,0))</f>
        <v>414</v>
      </c>
      <c r="AI23" s="294">
        <f>(IF('Section Load'!AJ26&gt;0,'Section Load'!AJ26,0))</f>
        <v>437</v>
      </c>
      <c r="AJ23" s="294">
        <f>(IF('Section Load'!AK26&gt;0,'Section Load'!AK26,0))</f>
        <v>296</v>
      </c>
      <c r="AK23" s="294">
        <f>(IF('Section Load'!AL26&gt;0,'Section Load'!AL26,0))</f>
        <v>312</v>
      </c>
      <c r="AL23" s="294">
        <f>(IF('Section Load'!AM26&gt;0,'Section Load'!AM26,0))</f>
        <v>0</v>
      </c>
      <c r="AM23" s="295">
        <f>(IF('Water Report'!$Y$7&gt;0,'Water Report'!$Y$7,0))</f>
        <v>99</v>
      </c>
      <c r="AN23" s="295">
        <f>(IF('Water Report'!$Y$8&gt;0,'Water Report'!$Y$8,0))</f>
        <v>153</v>
      </c>
      <c r="AO23" s="295">
        <f>(IF('Water Report'!$Y$9&gt;0,'Water Report'!$Y$9,0))</f>
        <v>105</v>
      </c>
      <c r="AP23" s="295">
        <f>(IF('Water Report'!$Y$10&gt;0,'Water Report'!$Y$10,0))</f>
        <v>22</v>
      </c>
      <c r="AQ23" s="295">
        <f>(IF('Water Report'!$Y$11&gt;0,'Water Report'!$Y$11,0))</f>
        <v>0</v>
      </c>
      <c r="AR23" s="295">
        <f>(IF('Water Report'!$Y$13&gt;0,'Water Report'!$Y$13,0))</f>
        <v>26</v>
      </c>
      <c r="AS23" s="295">
        <f>(IF('Water Report'!$Y$14&gt;0,'Water Report'!$Y$14,0))</f>
        <v>3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14</v>
      </c>
      <c r="AW23" s="295">
        <f>(IF('Water Report'!$Y$19&gt;0,'Water Report'!$Y$19,0))</f>
        <v>12</v>
      </c>
      <c r="AX23" s="301">
        <f>(IF('Water Report'!$Y$21&gt;0,'Water Report'!$Y$21,0))</f>
        <v>63</v>
      </c>
      <c r="AY23" s="301">
        <f>(IF('Water Report'!$Y$22&gt;0,'Water Report'!$Y$22,0))</f>
        <v>0</v>
      </c>
      <c r="AZ23" s="301">
        <f>(IF('Water Report'!$Y$23&gt;0,'Water Report'!$Y$23,0))</f>
        <v>6</v>
      </c>
      <c r="BA23" s="301">
        <f>(IF('Water Report'!$Y$14&gt;0,'Water Report'!$Y$14,0))</f>
        <v>3</v>
      </c>
      <c r="BB23" s="301">
        <f>(IF('Water Report'!$Y$15&gt;0,'Water Report'!$Y$15,0))</f>
        <v>6</v>
      </c>
      <c r="BC23" s="301">
        <f>(IF('Water Report'!$Y$13&gt;0,'Water Report'!$Y$13,0))</f>
        <v>26</v>
      </c>
      <c r="BD23" s="301">
        <f>(IF('Water Report'!$Y$24&gt;0,'Water Report'!$Y$24,0))</f>
        <v>269</v>
      </c>
      <c r="BE23" s="301">
        <f>(IF('Water Report'!$Y$25&gt;0,'Water Report'!$Y$25,0))</f>
        <v>136</v>
      </c>
      <c r="BF23" s="301">
        <f>(IF('Water Report'!$Y$27&gt;0,'Water Report'!$Y$27,0))</f>
        <v>95</v>
      </c>
      <c r="BG23" s="296">
        <f>(IF('Section Load'!AN26&gt;0,'Section Load'!AN26,0))</f>
        <v>1000</v>
      </c>
      <c r="BH23" s="296">
        <f>(IF('Section Load'!AO26&gt;0,'Section Load'!AO26,0))</f>
        <v>329</v>
      </c>
      <c r="BI23" s="296">
        <f>(IF('Section Load'!AP26&gt;0,'Section Load'!AP26,0))</f>
        <v>0</v>
      </c>
      <c r="BJ23" s="296">
        <f>(IF('Section Load'!AQ26&gt;0,'Section Load'!AQ26,0))</f>
        <v>125</v>
      </c>
      <c r="BK23" s="296">
        <f>(IF('Section Load'!AR26&gt;0,'Section Load'!AR26,0))</f>
        <v>51</v>
      </c>
      <c r="BL23" s="296">
        <f>(IF('Section Load'!AS26&gt;0,'Section Load'!AS26,0))</f>
        <v>0</v>
      </c>
      <c r="BM23" s="296">
        <f>(IF('Section Load'!AT26&gt;0,'Section Load'!AT26,0))</f>
        <v>495</v>
      </c>
    </row>
    <row r="24" spans="1:65">
      <c r="A24" s="287" t="s">
        <v>268</v>
      </c>
      <c r="B24" s="288">
        <f t="shared" si="0"/>
        <v>23</v>
      </c>
      <c r="C24" s="288">
        <v>8</v>
      </c>
      <c r="D24" s="288">
        <v>2022</v>
      </c>
      <c r="E24" s="294">
        <f>(IF('Section Load'!F27&gt;0,'Section Load'!F27,0))</f>
        <v>3520</v>
      </c>
      <c r="F24" s="294">
        <f>(IF('Section Load'!G27&gt;0,'Section Load'!G27,0))</f>
        <v>1496</v>
      </c>
      <c r="G24" s="294">
        <f>(IF('Section Load'!H27&gt;0,'Section Load'!H27,0))</f>
        <v>2289</v>
      </c>
      <c r="H24" s="294">
        <f>(IF('Section Load'!I27&gt;0,'Section Load'!I27,0))</f>
        <v>2934</v>
      </c>
      <c r="I24" s="294">
        <f>(IF('Section Load'!J27&gt;0,'Section Load'!J27,0))</f>
        <v>7155</v>
      </c>
      <c r="J24" s="294">
        <f>(IF('Section Load'!K27&gt;0,'Section Load'!K27,0))</f>
        <v>3141</v>
      </c>
      <c r="K24" s="294">
        <f>(IF('Section Load'!L27&gt;0,'Section Load'!L27,0))</f>
        <v>1332</v>
      </c>
      <c r="L24" s="294">
        <f>(IF('Section Load'!M27&gt;0,'Section Load'!M27,0))</f>
        <v>1016</v>
      </c>
      <c r="M24" s="294">
        <f>(IF('Section Load'!N27&gt;0,'Section Load'!N27,0))</f>
        <v>105</v>
      </c>
      <c r="N24" s="294">
        <f>(IF('Section Load'!O27&gt;0,'Section Load'!O27,0))</f>
        <v>144</v>
      </c>
      <c r="O24" s="294">
        <f>(IF('Section Load'!P27&gt;0,'Section Load'!P27,0))</f>
        <v>16</v>
      </c>
      <c r="P24" s="294">
        <f>(IF('Section Load'!Q27&gt;0,'Section Load'!Q27,0))</f>
        <v>216</v>
      </c>
      <c r="Q24" s="294">
        <f>(IF('Section Load'!R27&gt;0,'Section Load'!R27,0))</f>
        <v>72</v>
      </c>
      <c r="R24" s="294">
        <f>(IF('Section Load'!S27&gt;0,'Section Load'!S27,0))</f>
        <v>12</v>
      </c>
      <c r="S24" s="294">
        <f>(IF('Section Load'!T27&gt;0,'Section Load'!T27,0))</f>
        <v>34</v>
      </c>
      <c r="T24" s="294">
        <f>(IF('Section Load'!U27&gt;0,'Section Load'!U27,0))</f>
        <v>249</v>
      </c>
      <c r="U24" s="294">
        <f>(IF('Section Load'!V27&gt;0,'Section Load'!V27,0))</f>
        <v>357</v>
      </c>
      <c r="V24" s="294">
        <f>(IF('Section Load'!W27&gt;0,'Section Load'!W27,0))</f>
        <v>323</v>
      </c>
      <c r="W24" s="294">
        <f>(IF('Section Load'!X27&gt;0,'Section Load'!X27,0))</f>
        <v>27</v>
      </c>
      <c r="X24" s="294">
        <f>(IF('Section Load'!Y27&gt;0,'Section Load'!Y27,0))</f>
        <v>261</v>
      </c>
      <c r="Y24" s="294">
        <f>(IF('Section Load'!Z27&gt;0,'Section Load'!Z27,0))</f>
        <v>315</v>
      </c>
      <c r="Z24" s="294">
        <f>(IF('Section Load'!AA27&gt;0,'Section Load'!AA27,0))</f>
        <v>70</v>
      </c>
      <c r="AA24" s="294">
        <f>(IF('Section Load'!AB27&gt;0,'Section Load'!AB27,0))</f>
        <v>31</v>
      </c>
      <c r="AB24" s="294">
        <f>(IF('Section Load'!AC27&gt;0,'Section Load'!AC27,0))</f>
        <v>0</v>
      </c>
      <c r="AC24" s="294">
        <f>(IF('Section Load'!AD27&gt;0,'Section Load'!AD27,0))</f>
        <v>152</v>
      </c>
      <c r="AD24" s="294">
        <f>(IF('Section Load'!AE27&gt;0,'Section Load'!AE27,0))</f>
        <v>383</v>
      </c>
      <c r="AE24" s="294">
        <f>(IF('Section Load'!AF27&gt;0,'Section Load'!AF27,0))</f>
        <v>209</v>
      </c>
      <c r="AF24" s="294">
        <f>(IF('Section Load'!AG27&gt;0,'Section Load'!AG27,0))</f>
        <v>603</v>
      </c>
      <c r="AG24" s="294">
        <f>(IF('Section Load'!AH27&gt;0,'Section Load'!AH27,0))</f>
        <v>233</v>
      </c>
      <c r="AH24" s="294">
        <f>(IF('Section Load'!AI27&gt;0,'Section Load'!AI27,0))</f>
        <v>426</v>
      </c>
      <c r="AI24" s="294">
        <f>(IF('Section Load'!AJ27&gt;0,'Section Load'!AJ27,0))</f>
        <v>441</v>
      </c>
      <c r="AJ24" s="294">
        <f>(IF('Section Load'!AK27&gt;0,'Section Load'!AK27,0))</f>
        <v>281</v>
      </c>
      <c r="AK24" s="294">
        <f>(IF('Section Load'!AL27&gt;0,'Section Load'!AL27,0))</f>
        <v>319</v>
      </c>
      <c r="AL24" s="294">
        <f>(IF('Section Load'!AM27&gt;0,'Section Load'!AM27,0))</f>
        <v>0</v>
      </c>
      <c r="AM24" s="295">
        <f>(IF('Water Report'!$Z$7&gt;0,'Water Report'!$Z$7,0))</f>
        <v>108</v>
      </c>
      <c r="AN24" s="295">
        <f>(IF('Water Report'!$Z$8&gt;0,'Water Report'!$Z$8,0))</f>
        <v>196</v>
      </c>
      <c r="AO24" s="295">
        <f>(IF('Water Report'!$Z$9&gt;0,'Water Report'!$Z$9,0))</f>
        <v>98</v>
      </c>
      <c r="AP24" s="295">
        <f>(IF('Water Report'!$Z$10&gt;0,'Water Report'!$Z$10,0))</f>
        <v>20</v>
      </c>
      <c r="AQ24" s="295">
        <f>(IF('Water Report'!$Z$11&gt;0,'Water Report'!$Z$11,0))</f>
        <v>0</v>
      </c>
      <c r="AR24" s="295">
        <f>(IF('Water Report'!$Z$13&gt;0,'Water Report'!$Z$13,0))</f>
        <v>48</v>
      </c>
      <c r="AS24" s="295">
        <f>(IF('Water Report'!$Z$14&gt;0,'Water Report'!$Z$14,0))</f>
        <v>4</v>
      </c>
      <c r="AT24" s="295">
        <f>(IF('Water Report'!$Z$15&gt;0,'Water Report'!$Z$15,0))</f>
        <v>17</v>
      </c>
      <c r="AU24" s="295">
        <f>(IF('Water Report'!$Z$17&gt;0,'Water Report'!$Z$17,0))</f>
        <v>0</v>
      </c>
      <c r="AV24" s="295">
        <f>(IF('Water Report'!$Z$18&gt;0,'Water Report'!$Z$18,0))</f>
        <v>14</v>
      </c>
      <c r="AW24" s="295">
        <f>(IF('Water Report'!$Z$19&gt;0,'Water Report'!$Z$19,0))</f>
        <v>10</v>
      </c>
      <c r="AX24" s="301">
        <f>(IF('Water Report'!$Z$21&gt;0,'Water Report'!$Z$21,0))</f>
        <v>160</v>
      </c>
      <c r="AY24" s="301">
        <f>(IF('Water Report'!$Z$22&gt;0,'Water Report'!$Z$22,0))</f>
        <v>0</v>
      </c>
      <c r="AZ24" s="301">
        <f>(IF('Water Report'!$Z$23&gt;0,'Water Report'!$Z$23,0))</f>
        <v>16</v>
      </c>
      <c r="BA24" s="301">
        <f>(IF('Water Report'!$Z$14&gt;0,'Water Report'!$Z$14,0))</f>
        <v>4</v>
      </c>
      <c r="BB24" s="301">
        <f>(IF('Water Report'!$Z$15&gt;0,'Water Report'!$Z$15,0))</f>
        <v>17</v>
      </c>
      <c r="BC24" s="301">
        <f>(IF('Water Report'!$Z$13&gt;0,'Water Report'!$Z$13,0))</f>
        <v>48</v>
      </c>
      <c r="BD24" s="301">
        <f>(IF('Water Report'!$Z$24&gt;0,'Water Report'!$Z$24,0))</f>
        <v>231</v>
      </c>
      <c r="BE24" s="301">
        <f>(IF('Water Report'!$Z$25&gt;0,'Water Report'!$Z$25,0))</f>
        <v>139</v>
      </c>
      <c r="BF24" s="301">
        <f>(IF('Water Report'!$Z$27&gt;0,'Water Report'!$Z$27,0))</f>
        <v>224</v>
      </c>
      <c r="BG24" s="296">
        <f>(IF('Section Load'!AN27&gt;0,'Section Load'!AN27,0))</f>
        <v>1000</v>
      </c>
      <c r="BH24" s="296">
        <f>(IF('Section Load'!AO27&gt;0,'Section Load'!AO27,0))</f>
        <v>338</v>
      </c>
      <c r="BI24" s="296">
        <f>(IF('Section Load'!AP27&gt;0,'Section Load'!AP27,0))</f>
        <v>0</v>
      </c>
      <c r="BJ24" s="296">
        <f>(IF('Section Load'!AQ27&gt;0,'Section Load'!AQ27,0))</f>
        <v>99</v>
      </c>
      <c r="BK24" s="296">
        <f>(IF('Section Load'!AR27&gt;0,'Section Load'!AR27,0))</f>
        <v>76</v>
      </c>
      <c r="BL24" s="296">
        <f>(IF('Section Load'!AS27&gt;0,'Section Load'!AS27,0))</f>
        <v>0</v>
      </c>
      <c r="BM24" s="296">
        <f>(IF('Section Load'!AT27&gt;0,'Section Load'!AT27,0))</f>
        <v>487</v>
      </c>
    </row>
    <row r="25" spans="1:65">
      <c r="A25" s="287" t="s">
        <v>268</v>
      </c>
      <c r="B25" s="288">
        <f t="shared" si="0"/>
        <v>24</v>
      </c>
      <c r="C25" s="288">
        <v>8</v>
      </c>
      <c r="D25" s="288">
        <v>2022</v>
      </c>
      <c r="E25" s="294">
        <f>(IF('Section Load'!F28&gt;0,'Section Load'!F28,0))</f>
        <v>3778.3499999999767</v>
      </c>
      <c r="F25" s="294">
        <f>(IF('Section Load'!G28&gt;0,'Section Load'!G28,0))</f>
        <v>1122.5700000000024</v>
      </c>
      <c r="G25" s="294">
        <f>(IF('Section Load'!H28&gt;0,'Section Load'!H28,0))</f>
        <v>2180.3099999999977</v>
      </c>
      <c r="H25" s="294">
        <f>(IF('Section Load'!I28&gt;0,'Section Load'!I28,0))</f>
        <v>4036.579999999944</v>
      </c>
      <c r="I25" s="294">
        <f>(IF('Section Load'!J28&gt;0,'Section Load'!J28,0))</f>
        <v>6692.9400000000169</v>
      </c>
      <c r="J25" s="294">
        <f>(IF('Section Load'!K28&gt;0,'Section Load'!K28,0))</f>
        <v>3087.109999999986</v>
      </c>
      <c r="K25" s="294">
        <f>(IF('Section Load'!L28&gt;0,'Section Load'!L28,0))</f>
        <v>1774.1300000000047</v>
      </c>
      <c r="L25" s="294">
        <f>(IF('Section Load'!M28&gt;0,'Section Load'!M28,0))</f>
        <v>949.36999999999534</v>
      </c>
      <c r="M25" s="294">
        <f>(IF('Section Load'!N28&gt;0,'Section Load'!N28,0))</f>
        <v>139</v>
      </c>
      <c r="N25" s="294">
        <f>(IF('Section Load'!O28&gt;0,'Section Load'!O28,0))</f>
        <v>151</v>
      </c>
      <c r="O25" s="294">
        <f>(IF('Section Load'!P28&gt;0,'Section Load'!P28,0))</f>
        <v>14.220000000000027</v>
      </c>
      <c r="P25" s="294">
        <f>(IF('Section Load'!Q28&gt;0,'Section Load'!Q28,0))</f>
        <v>211.92999999999302</v>
      </c>
      <c r="Q25" s="294">
        <f>(IF('Section Load'!R28&gt;0,'Section Load'!R28,0))</f>
        <v>71.190000000002328</v>
      </c>
      <c r="R25" s="294">
        <f>(IF('Section Load'!S28&gt;0,'Section Load'!S28,0))</f>
        <v>7.3900000000003274</v>
      </c>
      <c r="S25" s="294">
        <f>(IF('Section Load'!T28&gt;0,'Section Load'!T28,0))</f>
        <v>49</v>
      </c>
      <c r="T25" s="294">
        <f>(IF('Section Load'!U28&gt;0,'Section Load'!U28,0))</f>
        <v>244</v>
      </c>
      <c r="U25" s="294">
        <f>(IF('Section Load'!V28&gt;0,'Section Load'!V28,0))</f>
        <v>344</v>
      </c>
      <c r="V25" s="294">
        <f>(IF('Section Load'!W28&gt;0,'Section Load'!W28,0))</f>
        <v>405.47999999998137</v>
      </c>
      <c r="W25" s="294">
        <f>(IF('Section Load'!X28&gt;0,'Section Load'!X28,0))</f>
        <v>28.280000000000655</v>
      </c>
      <c r="X25" s="294">
        <f>(IF('Section Load'!Y28&gt;0,'Section Load'!Y28,0))</f>
        <v>257.70999999999913</v>
      </c>
      <c r="Y25" s="294">
        <f>(IF('Section Load'!Z28&gt;0,'Section Load'!Z28,0))</f>
        <v>292</v>
      </c>
      <c r="Z25" s="294">
        <f>(IF('Section Load'!AA28&gt;0,'Section Load'!AA28,0))</f>
        <v>46.760000000009313</v>
      </c>
      <c r="AA25" s="294">
        <f>(IF('Section Load'!AB28&gt;0,'Section Load'!AB28,0))</f>
        <v>26.899999999994179</v>
      </c>
      <c r="AB25" s="294">
        <f>(IF('Section Load'!AC28&gt;0,'Section Load'!AC28,0))</f>
        <v>0</v>
      </c>
      <c r="AC25" s="294">
        <f>(IF('Section Load'!AD28&gt;0,'Section Load'!AD28,0))</f>
        <v>156.19999999999982</v>
      </c>
      <c r="AD25" s="294">
        <f>(IF('Section Load'!AE28&gt;0,'Section Load'!AE28,0))</f>
        <v>344.30999999999767</v>
      </c>
      <c r="AE25" s="294">
        <f>(IF('Section Load'!AF28&gt;0,'Section Load'!AF28,0))</f>
        <v>277.34999999999854</v>
      </c>
      <c r="AF25" s="294">
        <f>(IF('Section Load'!AG28&gt;0,'Section Load'!AG28,0))</f>
        <v>634.29000000000087</v>
      </c>
      <c r="AG25" s="294">
        <f>(IF('Section Load'!AH28&gt;0,'Section Load'!AH28,0))</f>
        <v>238.13999999999942</v>
      </c>
      <c r="AH25" s="294">
        <f>(IF('Section Load'!AI28&gt;0,'Section Load'!AI28,0))</f>
        <v>411.54000000000087</v>
      </c>
      <c r="AI25" s="294">
        <f>(IF('Section Load'!AJ28&gt;0,'Section Load'!AJ28,0))</f>
        <v>446.86000000000058</v>
      </c>
      <c r="AJ25" s="294">
        <f>(IF('Section Load'!AK28&gt;0,'Section Load'!AK28,0))</f>
        <v>254.93000000000029</v>
      </c>
      <c r="AK25" s="294">
        <f>(IF('Section Load'!AL28&gt;0,'Section Load'!AL28,0))</f>
        <v>321.7400000000016</v>
      </c>
      <c r="AL25" s="294">
        <f>(IF('Section Load'!AM28&gt;0,'Section Load'!AM28,0))</f>
        <v>0</v>
      </c>
      <c r="AM25" s="295">
        <f>(IF('Water Report'!$AA$7&gt;0,'Water Report'!$AA$7,0))</f>
        <v>114</v>
      </c>
      <c r="AN25" s="295">
        <f>(IF('Water Report'!$AA$8&gt;0,'Water Report'!$AA$8,0))</f>
        <v>185</v>
      </c>
      <c r="AO25" s="295">
        <f>(IF('Water Report'!$AA$9&gt;0,'Water Report'!$AA$9,0))</f>
        <v>108</v>
      </c>
      <c r="AP25" s="295">
        <f>(IF('Water Report'!$AA$10&gt;0,'Water Report'!$AA$10,0))</f>
        <v>27</v>
      </c>
      <c r="AQ25" s="295">
        <f>(IF('Water Report'!$AA$11&gt;0,'Water Report'!$AA$11,0))</f>
        <v>0</v>
      </c>
      <c r="AR25" s="295">
        <f>(IF('Water Report'!$AA$13&gt;0,'Water Report'!$AA$13,0))</f>
        <v>40</v>
      </c>
      <c r="AS25" s="295">
        <f>(IF('Water Report'!$AA$14&gt;0,'Water Report'!$AA$14,0))</f>
        <v>4</v>
      </c>
      <c r="AT25" s="295">
        <f>(IF('Water Report'!$AA$15&gt;0,'Water Report'!$AA$15,0))</f>
        <v>9</v>
      </c>
      <c r="AU25" s="295">
        <f>(IF('Water Report'!$AA$17&gt;0,'Water Report'!$AA$17,0))</f>
        <v>0</v>
      </c>
      <c r="AV25" s="295">
        <f>(IF('Water Report'!$AA$18&gt;0,'Water Report'!$AA$18,0))</f>
        <v>12</v>
      </c>
      <c r="AW25" s="295">
        <f>(IF('Water Report'!$AA$19&gt;0,'Water Report'!$AA$19,0))</f>
        <v>10</v>
      </c>
      <c r="AX25" s="301">
        <f>(IF('Water Report'!$AA$21&gt;0,'Water Report'!$AA$21,0))</f>
        <v>110</v>
      </c>
      <c r="AY25" s="301">
        <f>(IF('Water Report'!$AA$22&gt;0,'Water Report'!$AA$22,0))</f>
        <v>0</v>
      </c>
      <c r="AZ25" s="301">
        <f>(IF('Water Report'!$AA$23&gt;0,'Water Report'!$AA$23,0))</f>
        <v>10</v>
      </c>
      <c r="BA25" s="301">
        <f>(IF('Water Report'!$AA$14&gt;0,'Water Report'!$AA$14,0))</f>
        <v>4</v>
      </c>
      <c r="BB25" s="301">
        <f>(IF('Water Report'!$AA$15&gt;0,'Water Report'!$AA$15,0))</f>
        <v>9</v>
      </c>
      <c r="BC25" s="301">
        <f>(IF('Water Report'!$AA$13&gt;0,'Water Report'!$AA$13,0))</f>
        <v>40</v>
      </c>
      <c r="BD25" s="301">
        <f>(IF('Water Report'!$AA$24&gt;0,'Water Report'!$AA$24,0))</f>
        <v>197</v>
      </c>
      <c r="BE25" s="301">
        <f>(IF('Water Report'!$AA$25&gt;0,'Water Report'!$AA$25,0))</f>
        <v>148</v>
      </c>
      <c r="BF25" s="301">
        <f>(IF('Water Report'!$AA$27&gt;0,'Water Report'!$AA$27,0))</f>
        <v>160</v>
      </c>
      <c r="BG25" s="296">
        <f>(IF('Section Load'!AN28&gt;0,'Section Load'!AN28,0))</f>
        <v>1000</v>
      </c>
      <c r="BH25" s="296">
        <f>(IF('Section Load'!AO28&gt;0,'Section Load'!AO28,0))</f>
        <v>331.48999999999069</v>
      </c>
      <c r="BI25" s="296">
        <f>(IF('Section Load'!AP28&gt;0,'Section Load'!AP28,0))</f>
        <v>0</v>
      </c>
      <c r="BJ25" s="296">
        <f>(IF('Section Load'!AQ28&gt;0,'Section Load'!AQ28,0))</f>
        <v>97</v>
      </c>
      <c r="BK25" s="296">
        <f>(IF('Section Load'!AR28&gt;0,'Section Load'!AR28,0))</f>
        <v>57.80000000000291</v>
      </c>
      <c r="BL25" s="296">
        <f>(IF('Section Load'!AS28&gt;0,'Section Load'!AS28,0))</f>
        <v>0</v>
      </c>
      <c r="BM25" s="296">
        <f>(IF('Section Load'!AT28&gt;0,'Section Load'!AT28,0))</f>
        <v>513.7100000000064</v>
      </c>
    </row>
    <row r="26" spans="1:65">
      <c r="A26" s="287" t="s">
        <v>268</v>
      </c>
      <c r="B26" s="288">
        <f>B25+1</f>
        <v>25</v>
      </c>
      <c r="C26" s="288">
        <v>8</v>
      </c>
      <c r="D26" s="288">
        <v>2022</v>
      </c>
      <c r="E26" s="294">
        <f>(IF('Section Load'!F29&gt;0,'Section Load'!F29,0))</f>
        <v>3700.0900000000256</v>
      </c>
      <c r="F26" s="294">
        <f>(IF('Section Load'!G29&gt;0,'Section Load'!G29,0))</f>
        <v>1084.4899999999998</v>
      </c>
      <c r="G26" s="294">
        <f>(IF('Section Load'!H29&gt;0,'Section Load'!H29,0))</f>
        <v>2167.1599999999744</v>
      </c>
      <c r="H26" s="294">
        <f>(IF('Section Load'!I29&gt;0,'Section Load'!I29,0))</f>
        <v>4235.25</v>
      </c>
      <c r="I26" s="294">
        <f>(IF('Section Load'!J29&gt;0,'Section Load'!J29,0))</f>
        <v>6807.7199999999721</v>
      </c>
      <c r="J26" s="294">
        <f>(IF('Section Load'!K29&gt;0,'Section Load'!K29,0))</f>
        <v>2956.3800000000047</v>
      </c>
      <c r="K26" s="294">
        <f>(IF('Section Load'!L29&gt;0,'Section Load'!L29,0))</f>
        <v>1584.7799999999697</v>
      </c>
      <c r="L26" s="294">
        <f>(IF('Section Load'!M29&gt;0,'Section Load'!M29,0))</f>
        <v>787.89999999999418</v>
      </c>
      <c r="M26" s="294">
        <f>(IF('Section Load'!N29&gt;0,'Section Load'!N29,0))</f>
        <v>115</v>
      </c>
      <c r="N26" s="294">
        <f>(IF('Section Load'!O29&gt;0,'Section Load'!O29,0))</f>
        <v>152</v>
      </c>
      <c r="O26" s="294">
        <f>(IF('Section Load'!P29&gt;0,'Section Load'!P29,0))</f>
        <v>15.069999999999936</v>
      </c>
      <c r="P26" s="294">
        <f>(IF('Section Load'!Q29&gt;0,'Section Load'!Q29,0))</f>
        <v>211.36000000000058</v>
      </c>
      <c r="Q26" s="294">
        <f>(IF('Section Load'!R29&gt;0,'Section Load'!R29,0))</f>
        <v>81.649999999994179</v>
      </c>
      <c r="R26" s="294">
        <f>(IF('Section Load'!S29&gt;0,'Section Load'!S29,0))</f>
        <v>1.9999999999527063E-2</v>
      </c>
      <c r="S26" s="294">
        <f>(IF('Section Load'!T29&gt;0,'Section Load'!T29,0))</f>
        <v>67</v>
      </c>
      <c r="T26" s="294">
        <f>(IF('Section Load'!U29&gt;0,'Section Load'!U29,0))</f>
        <v>241</v>
      </c>
      <c r="U26" s="294">
        <f>(IF('Section Load'!V29&gt;0,'Section Load'!V29,0))</f>
        <v>459.56000000005588</v>
      </c>
      <c r="V26" s="294">
        <f>(IF('Section Load'!W29&gt;0,'Section Load'!W29,0))</f>
        <v>259.67000000004191</v>
      </c>
      <c r="W26" s="294">
        <f>(IF('Section Load'!X29&gt;0,'Section Load'!X29,0))</f>
        <v>25.859999999998763</v>
      </c>
      <c r="X26" s="294">
        <f>(IF('Section Load'!Y29&gt;0,'Section Load'!Y29,0))</f>
        <v>288.81999999999971</v>
      </c>
      <c r="Y26" s="294">
        <f>(IF('Section Load'!Z29&gt;0,'Section Load'!Z29,0))</f>
        <v>269</v>
      </c>
      <c r="Z26" s="294">
        <f>(IF('Section Load'!AA29&gt;0,'Section Load'!AA29,0))</f>
        <v>46.959999999962747</v>
      </c>
      <c r="AA26" s="294">
        <f>(IF('Section Load'!AB29&gt;0,'Section Load'!AB29,0))</f>
        <v>35.30000000000291</v>
      </c>
      <c r="AB26" s="294">
        <f>(IF('Section Load'!AC29&gt;0,'Section Load'!AC29,0))</f>
        <v>0</v>
      </c>
      <c r="AC26" s="294">
        <f>(IF('Section Load'!AD29&gt;0,'Section Load'!AD29,0))</f>
        <v>139.30000000000018</v>
      </c>
      <c r="AD26" s="294">
        <f>(IF('Section Load'!AE29&gt;0,'Section Load'!AE29,0))</f>
        <v>409.02000000000407</v>
      </c>
      <c r="AE26" s="294">
        <f>(IF('Section Load'!AF29&gt;0,'Section Load'!AF29,0))</f>
        <v>207.66999999999825</v>
      </c>
      <c r="AF26" s="294">
        <f>(IF('Section Load'!AG29&gt;0,'Section Load'!AG29,0))</f>
        <v>625.51000000000204</v>
      </c>
      <c r="AG26" s="294">
        <f>(IF('Section Load'!AH29&gt;0,'Section Load'!AH29,0))</f>
        <v>233.16000000000349</v>
      </c>
      <c r="AH26" s="294">
        <f>(IF('Section Load'!AI29&gt;0,'Section Load'!AI29,0))</f>
        <v>375.41999999999825</v>
      </c>
      <c r="AI26" s="294">
        <f>(IF('Section Load'!AJ29&gt;0,'Section Load'!AJ29,0))</f>
        <v>438.37999999999738</v>
      </c>
      <c r="AJ26" s="294">
        <f>(IF('Section Load'!AK29&gt;0,'Section Load'!AK29,0))</f>
        <v>233.79000000000087</v>
      </c>
      <c r="AK26" s="294">
        <f>(IF('Section Load'!AL29&gt;0,'Section Load'!AL29,0))</f>
        <v>309.77999999999884</v>
      </c>
      <c r="AL26" s="294">
        <f>(IF('Section Load'!AM29&gt;0,'Section Load'!AM29,0))</f>
        <v>0</v>
      </c>
      <c r="AM26" s="295">
        <f>(IF('Water Report'!$AB$7&gt;0,'Water Report'!$AB$7,0))</f>
        <v>98</v>
      </c>
      <c r="AN26" s="295">
        <f>(IF('Water Report'!$AB$8&gt;0,'Water Report'!$AB$8,0))</f>
        <v>136</v>
      </c>
      <c r="AO26" s="295">
        <f>(IF('Water Report'!$AB$9&gt;0,'Water Report'!$AB$9,0))</f>
        <v>96</v>
      </c>
      <c r="AP26" s="295">
        <f>(IF('Water Report'!$AB$10&gt;0,'Water Report'!$AB$10,0))</f>
        <v>22</v>
      </c>
      <c r="AQ26" s="295">
        <f>(IF('Water Report'!$AB$11&gt;0,'Water Report'!$AB$11,0))</f>
        <v>0</v>
      </c>
      <c r="AR26" s="295">
        <f>(IF('Water Report'!$AB$13&gt;0,'Water Report'!$AB$13,0))</f>
        <v>17</v>
      </c>
      <c r="AS26" s="295">
        <f>(IF('Water Report'!$AB$14&gt;0,'Water Report'!$AB$14,0))</f>
        <v>4</v>
      </c>
      <c r="AT26" s="295">
        <f>(IF('Water Report'!$AB$15&gt;0,'Water Report'!$AB$15,0))</f>
        <v>7</v>
      </c>
      <c r="AU26" s="295">
        <f>(IF('Water Report'!$AB$17&gt;0,'Water Report'!$AB$17,0))</f>
        <v>0</v>
      </c>
      <c r="AV26" s="295">
        <f>(IF('Water Report'!$AB$18&gt;0,'Water Report'!$AB$18,0))</f>
        <v>14</v>
      </c>
      <c r="AW26" s="295">
        <f>(IF('Water Report'!$AB$19&gt;0,'Water Report'!$AB$19,0))</f>
        <v>11</v>
      </c>
      <c r="AX26" s="301">
        <f>(IF('Water Report'!$AB$21&gt;0,'Water Report'!$AB$21,0))</f>
        <v>88</v>
      </c>
      <c r="AY26" s="301">
        <f>(IF('Water Report'!$AB$22&gt;0,'Water Report'!$AB$22,0))</f>
        <v>0</v>
      </c>
      <c r="AZ26" s="301">
        <f>(IF('Water Report'!$AB$23&gt;0,'Water Report'!$AB$23,0))</f>
        <v>14</v>
      </c>
      <c r="BA26" s="301">
        <f>(IF('Water Report'!$AB$14&gt;0,'Water Report'!$AB$14,0))</f>
        <v>4</v>
      </c>
      <c r="BB26" s="301">
        <f>(IF('Water Report'!$AB$15&gt;0,'Water Report'!$AB$15,0))</f>
        <v>7</v>
      </c>
      <c r="BC26" s="301">
        <f>(IF('Water Report'!$AB$13&gt;0,'Water Report'!$AB$13,0))</f>
        <v>17</v>
      </c>
      <c r="BD26" s="301">
        <f>(IF('Water Report'!$AB$24&gt;0,'Water Report'!$AB$24,0))</f>
        <v>201</v>
      </c>
      <c r="BE26" s="301">
        <f>(IF('Water Report'!$AB$25&gt;0,'Water Report'!$AB$25,0))</f>
        <v>129</v>
      </c>
      <c r="BF26" s="301">
        <f>(IF('Water Report'!$AB$27&gt;0,'Water Report'!$AB$27,0))</f>
        <v>119</v>
      </c>
      <c r="BG26" s="296">
        <f>(IF('Section Load'!AN29&gt;0,'Section Load'!AN29,0))</f>
        <v>1000</v>
      </c>
      <c r="BH26" s="296">
        <f>(IF('Section Load'!AO29&gt;0,'Section Load'!AO29,0))</f>
        <v>340.29000000003725</v>
      </c>
      <c r="BI26" s="296">
        <f>(IF('Section Load'!AP29&gt;0,'Section Load'!AP29,0))</f>
        <v>0</v>
      </c>
      <c r="BJ26" s="296">
        <f>(IF('Section Load'!AQ29&gt;0,'Section Load'!AQ29,0))</f>
        <v>95</v>
      </c>
      <c r="BK26" s="296">
        <f>(IF('Section Load'!AR29&gt;0,'Section Load'!AR29,0))</f>
        <v>43.599999999998545</v>
      </c>
      <c r="BL26" s="296">
        <f>(IF('Section Load'!AS29&gt;0,'Section Load'!AS29,0))</f>
        <v>0</v>
      </c>
      <c r="BM26" s="296">
        <f>(IF('Section Load'!AT29&gt;0,'Section Load'!AT29,0))</f>
        <v>521.1099999999642</v>
      </c>
    </row>
    <row r="27" spans="1:65">
      <c r="A27" s="287" t="s">
        <v>268</v>
      </c>
      <c r="B27" s="288">
        <f t="shared" si="0"/>
        <v>26</v>
      </c>
      <c r="C27" s="288">
        <v>8</v>
      </c>
      <c r="D27" s="288">
        <v>2022</v>
      </c>
      <c r="E27" s="294">
        <f>(IF('Section Load'!F30&gt;0,'Section Load'!F30,0))</f>
        <v>3963.4400000000023</v>
      </c>
      <c r="F27" s="294">
        <f>(IF('Section Load'!G30&gt;0,'Section Load'!G30,0))</f>
        <v>1084.9700000000003</v>
      </c>
      <c r="G27" s="294">
        <f>(IF('Section Load'!H30&gt;0,'Section Load'!H30,0))</f>
        <v>2304.960000000021</v>
      </c>
      <c r="H27" s="294">
        <f>(IF('Section Load'!I30&gt;0,'Section Load'!I30,0))</f>
        <v>4264.3199999999988</v>
      </c>
      <c r="I27" s="294">
        <f>(IF('Section Load'!J30&gt;0,'Section Load'!J30,0))</f>
        <v>5676.3399999999674</v>
      </c>
      <c r="J27" s="294">
        <f>(IF('Section Load'!K30&gt;0,'Section Load'!K30,0))</f>
        <v>2656.960000000021</v>
      </c>
      <c r="K27" s="294">
        <f>(IF('Section Load'!L30&gt;0,'Section Load'!L30,0))</f>
        <v>1217.3600000000442</v>
      </c>
      <c r="L27" s="294">
        <f>(IF('Section Load'!M30&gt;0,'Section Load'!M30,0))</f>
        <v>828.90000000002328</v>
      </c>
      <c r="M27" s="294">
        <f>(IF('Section Load'!N30&gt;0,'Section Load'!N30,0))</f>
        <v>139</v>
      </c>
      <c r="N27" s="294">
        <f>(IF('Section Load'!O30&gt;0,'Section Load'!O30,0))</f>
        <v>147</v>
      </c>
      <c r="O27" s="294">
        <f>(IF('Section Load'!P30&gt;0,'Section Load'!P30,0))</f>
        <v>14.269999999999982</v>
      </c>
      <c r="P27" s="294">
        <f>(IF('Section Load'!Q30&gt;0,'Section Load'!Q30,0))</f>
        <v>204.94000000000233</v>
      </c>
      <c r="Q27" s="294">
        <f>(IF('Section Load'!R30&gt;0,'Section Load'!R30,0))</f>
        <v>79.110000000000582</v>
      </c>
      <c r="R27" s="294">
        <f>(IF('Section Load'!S30&gt;0,'Section Load'!S30,0))</f>
        <v>2.9999999999745341E-2</v>
      </c>
      <c r="S27" s="294">
        <f>(IF('Section Load'!T30&gt;0,'Section Load'!T30,0))</f>
        <v>74</v>
      </c>
      <c r="T27" s="294">
        <f>(IF('Section Load'!U30&gt;0,'Section Load'!U30,0))</f>
        <v>238</v>
      </c>
      <c r="U27" s="294">
        <f>(IF('Section Load'!V30&gt;0,'Section Load'!V30,0))</f>
        <v>373.27999999991152</v>
      </c>
      <c r="V27" s="294">
        <f>(IF('Section Load'!W30&gt;0,'Section Load'!W30,0))</f>
        <v>298.65000000002328</v>
      </c>
      <c r="W27" s="294">
        <f>(IF('Section Load'!X30&gt;0,'Section Load'!X30,0))</f>
        <v>28.489999999999782</v>
      </c>
      <c r="X27" s="294">
        <f>(IF('Section Load'!Y30&gt;0,'Section Load'!Y30,0))</f>
        <v>313.27999999999884</v>
      </c>
      <c r="Y27" s="294">
        <f>(IF('Section Load'!Z30&gt;0,'Section Load'!Z30,0))</f>
        <v>300</v>
      </c>
      <c r="Z27" s="294">
        <f>(IF('Section Load'!AA30&gt;0,'Section Load'!AA30,0))</f>
        <v>41.440000000002328</v>
      </c>
      <c r="AA27" s="294">
        <f>(IF('Section Load'!AB30&gt;0,'Section Load'!AB30,0))</f>
        <v>38.80000000000291</v>
      </c>
      <c r="AB27" s="294">
        <f>(IF('Section Load'!AC30&gt;0,'Section Load'!AC30,0))</f>
        <v>0</v>
      </c>
      <c r="AC27" s="294">
        <f>(IF('Section Load'!AD30&gt;0,'Section Load'!AD30,0))</f>
        <v>161.5</v>
      </c>
      <c r="AD27" s="294">
        <f>(IF('Section Load'!AE30&gt;0,'Section Load'!AE30,0))</f>
        <v>297.49000000000524</v>
      </c>
      <c r="AE27" s="294">
        <f>(IF('Section Load'!AF30&gt;0,'Section Load'!AF30,0))</f>
        <v>283.35000000000582</v>
      </c>
      <c r="AF27" s="294">
        <f>(IF('Section Load'!AG30&gt;0,'Section Load'!AG30,0))</f>
        <v>634.98999999999796</v>
      </c>
      <c r="AG27" s="294">
        <f>(IF('Section Load'!AH30&gt;0,'Section Load'!AH30,0))</f>
        <v>236.80999999999767</v>
      </c>
      <c r="AH27" s="294">
        <f>(IF('Section Load'!AI30&gt;0,'Section Load'!AI30,0))</f>
        <v>404.77000000000407</v>
      </c>
      <c r="AI27" s="294">
        <f>(IF('Section Load'!AJ30&gt;0,'Section Load'!AJ30,0))</f>
        <v>450.09999999999854</v>
      </c>
      <c r="AJ27" s="294">
        <f>(IF('Section Load'!AK30&gt;0,'Section Load'!AK30,0))</f>
        <v>231.61999999999898</v>
      </c>
      <c r="AK27" s="294">
        <f>(IF('Section Load'!AL30&gt;0,'Section Load'!AL30,0))</f>
        <v>315.82999999999811</v>
      </c>
      <c r="AL27" s="294">
        <f>(IF('Section Load'!AM30&gt;0,'Section Load'!AM30,0))</f>
        <v>0</v>
      </c>
      <c r="AM27" s="295">
        <f>(IF('Water Report'!$AC$7&gt;0,'Water Report'!$AC$7,0))</f>
        <v>130</v>
      </c>
      <c r="AN27" s="295">
        <f>(IF('Water Report'!$AC$8&gt;0,'Water Report'!$AC$8,0))</f>
        <v>165</v>
      </c>
      <c r="AO27" s="295">
        <f>(IF('Water Report'!$AC$9&gt;0,'Water Report'!$AC$9,0))</f>
        <v>98</v>
      </c>
      <c r="AP27" s="295">
        <f>(IF('Water Report'!$AC$10&gt;0,'Water Report'!$AC$10,0))</f>
        <v>25</v>
      </c>
      <c r="AQ27" s="295">
        <f>(IF('Water Report'!$AC$11&gt;0,'Water Report'!$AC$11,0))</f>
        <v>0</v>
      </c>
      <c r="AR27" s="295">
        <f>(IF('Water Report'!$AC$13&gt;0,'Water Report'!$AC$13,0))</f>
        <v>17</v>
      </c>
      <c r="AS27" s="295">
        <f>(IF('Water Report'!$AC$14&gt;0,'Water Report'!$AC$14,0))</f>
        <v>7</v>
      </c>
      <c r="AT27" s="295">
        <f>(IF('Water Report'!$AC$15&gt;0,'Water Report'!$AC$15,0))</f>
        <v>15</v>
      </c>
      <c r="AU27" s="295">
        <f>(IF('Water Report'!$AC$17&gt;0,'Water Report'!$AC$17,0))</f>
        <v>0</v>
      </c>
      <c r="AV27" s="295">
        <f>(IF('Water Report'!$AC$18&gt;0,'Water Report'!$AC$18,0))</f>
        <v>14</v>
      </c>
      <c r="AW27" s="295">
        <f>(IF('Water Report'!$AC$19&gt;0,'Water Report'!$AC$19,0))</f>
        <v>13</v>
      </c>
      <c r="AX27" s="301">
        <f>(IF('Water Report'!$AC$21&gt;0,'Water Report'!$AC$21,0))</f>
        <v>87</v>
      </c>
      <c r="AY27" s="301">
        <f>(IF('Water Report'!$AC$22&gt;0,'Water Report'!$AC$22,0))</f>
        <v>0</v>
      </c>
      <c r="AZ27" s="301">
        <f>(IF('Water Report'!$AC$23&gt;0,'Water Report'!$AC$23,0))</f>
        <v>9</v>
      </c>
      <c r="BA27" s="301">
        <f>(IF('Water Report'!$AC$14&gt;0,'Water Report'!$AC$14,0))</f>
        <v>7</v>
      </c>
      <c r="BB27" s="301">
        <f>(IF('Water Report'!$AC$15&gt;0,'Water Report'!$AC$15,0))</f>
        <v>15</v>
      </c>
      <c r="BC27" s="301">
        <f>(IF('Water Report'!$AC$13&gt;0,'Water Report'!$AC$13,0))</f>
        <v>17</v>
      </c>
      <c r="BD27" s="301">
        <f>(IF('Water Report'!$AC$24&gt;0,'Water Report'!$AC$24,0))</f>
        <v>231</v>
      </c>
      <c r="BE27" s="301">
        <f>(IF('Water Report'!$AC$25&gt;0,'Water Report'!$AC$25,0))</f>
        <v>145</v>
      </c>
      <c r="BF27" s="301">
        <f>(IF('Water Report'!$AC$27&gt;0,'Water Report'!$AC$27,0))</f>
        <v>113</v>
      </c>
      <c r="BG27" s="296">
        <f>(IF('Section Load'!AN30&gt;0,'Section Load'!AN30,0))</f>
        <v>1000</v>
      </c>
      <c r="BH27" s="296">
        <f>(IF('Section Load'!AO30&gt;0,'Section Load'!AO30,0))</f>
        <v>303.21999999997206</v>
      </c>
      <c r="BI27" s="296">
        <f>(IF('Section Load'!AP30&gt;0,'Section Load'!AP30,0))</f>
        <v>0</v>
      </c>
      <c r="BJ27" s="296">
        <f>(IF('Section Load'!AQ30&gt;0,'Section Load'!AQ30,0))</f>
        <v>96.730000000010477</v>
      </c>
      <c r="BK27" s="296">
        <f>(IF('Section Load'!AR30&gt;0,'Section Load'!AR30,0))</f>
        <v>47.799999999995634</v>
      </c>
      <c r="BL27" s="296">
        <f>(IF('Section Load'!AS30&gt;0,'Section Load'!AS30,0))</f>
        <v>0</v>
      </c>
      <c r="BM27" s="296">
        <f>(IF('Section Load'!AT30&gt;0,'Section Load'!AT30,0))</f>
        <v>552.25000000002183</v>
      </c>
    </row>
    <row r="28" spans="1:65">
      <c r="A28" s="287" t="s">
        <v>268</v>
      </c>
      <c r="B28" s="288">
        <f t="shared" si="0"/>
        <v>27</v>
      </c>
      <c r="C28" s="288">
        <v>8</v>
      </c>
      <c r="D28" s="288">
        <v>2022</v>
      </c>
      <c r="E28" s="294">
        <f>(IF('Section Load'!F31&gt;0,'Section Load'!F31,0))</f>
        <v>3526.7600000000093</v>
      </c>
      <c r="F28" s="294">
        <f>(IF('Section Load'!G31&gt;0,'Section Load'!G31,0))</f>
        <v>1102.3199999999997</v>
      </c>
      <c r="G28" s="294">
        <f>(IF('Section Load'!H31&gt;0,'Section Load'!H31,0))</f>
        <v>2277.7999999999884</v>
      </c>
      <c r="H28" s="294">
        <f>(IF('Section Load'!I31&gt;0,'Section Load'!I31,0))</f>
        <v>4078.9300000000003</v>
      </c>
      <c r="I28" s="294">
        <f>(IF('Section Load'!J31&gt;0,'Section Load'!J31,0))</f>
        <v>6053.4999999999709</v>
      </c>
      <c r="J28" s="294">
        <f>(IF('Section Load'!K31&gt;0,'Section Load'!K31,0))</f>
        <v>2809.8199999999779</v>
      </c>
      <c r="K28" s="294">
        <f>(IF('Section Load'!L31&gt;0,'Section Load'!L31,0))</f>
        <v>1118.3800000000047</v>
      </c>
      <c r="L28" s="294">
        <f>(IF('Section Load'!M31&gt;0,'Section Load'!M31,0))</f>
        <v>1191</v>
      </c>
      <c r="M28" s="294">
        <f>(IF('Section Load'!N31&gt;0,'Section Load'!N31,0))</f>
        <v>136</v>
      </c>
      <c r="N28" s="294">
        <f>(IF('Section Load'!O31&gt;0,'Section Load'!O31,0))</f>
        <v>159</v>
      </c>
      <c r="O28" s="294">
        <f>(IF('Section Load'!P31&gt;0,'Section Load'!P31,0))</f>
        <v>15.3900000000001</v>
      </c>
      <c r="P28" s="294">
        <f>(IF('Section Load'!Q31&gt;0,'Section Load'!Q31,0))</f>
        <v>213.7100000000064</v>
      </c>
      <c r="Q28" s="294">
        <f>(IF('Section Load'!R31&gt;0,'Section Load'!R31,0))</f>
        <v>81.569999999999709</v>
      </c>
      <c r="R28" s="294">
        <f>(IF('Section Load'!S31&gt;0,'Section Load'!S31,0))</f>
        <v>0</v>
      </c>
      <c r="S28" s="294">
        <f>(IF('Section Load'!T31&gt;0,'Section Load'!T31,0))</f>
        <v>70</v>
      </c>
      <c r="T28" s="294">
        <f>(IF('Section Load'!U31&gt;0,'Section Load'!U31,0))</f>
        <v>236</v>
      </c>
      <c r="U28" s="294">
        <f>(IF('Section Load'!V31&gt;0,'Section Load'!V31,0))</f>
        <v>391.04000000003725</v>
      </c>
      <c r="V28" s="294">
        <f>(IF('Section Load'!W31&gt;0,'Section Load'!W31,0))</f>
        <v>348.07999999995809</v>
      </c>
      <c r="W28" s="294">
        <f>(IF('Section Load'!X31&gt;0,'Section Load'!X31,0))</f>
        <v>26.940000000000509</v>
      </c>
      <c r="X28" s="294">
        <f>(IF('Section Load'!Y31&gt;0,'Section Load'!Y31,0))</f>
        <v>304.54000000000087</v>
      </c>
      <c r="Y28" s="294">
        <f>(IF('Section Load'!Z31&gt;0,'Section Load'!Z31,0))</f>
        <v>281</v>
      </c>
      <c r="Z28" s="294">
        <f>(IF('Section Load'!AA31&gt;0,'Section Load'!AA31,0))</f>
        <v>77.880000000004657</v>
      </c>
      <c r="AA28" s="294">
        <f>(IF('Section Load'!AB31&gt;0,'Section Load'!AB31,0))</f>
        <v>38.100000000005821</v>
      </c>
      <c r="AB28" s="294">
        <f>(IF('Section Load'!AC31&gt;0,'Section Load'!AC31,0))</f>
        <v>2.0200000000004366</v>
      </c>
      <c r="AC28" s="294">
        <f>(IF('Section Load'!AD31&gt;0,'Section Load'!AD31,0))</f>
        <v>131</v>
      </c>
      <c r="AD28" s="294">
        <f>(IF('Section Load'!AE31&gt;0,'Section Load'!AE31,0))</f>
        <v>231.84999999999127</v>
      </c>
      <c r="AE28" s="294">
        <f>(IF('Section Load'!AF31&gt;0,'Section Load'!AF31,0))</f>
        <v>212.39999999999418</v>
      </c>
      <c r="AF28" s="294">
        <f>(IF('Section Load'!AG31&gt;0,'Section Load'!AG31,0))</f>
        <v>620.12999999999738</v>
      </c>
      <c r="AG28" s="294">
        <f>(IF('Section Load'!AH31&gt;0,'Section Load'!AH31,0))</f>
        <v>227.37999999999738</v>
      </c>
      <c r="AH28" s="294">
        <f>(IF('Section Load'!AI31&gt;0,'Section Load'!AI31,0))</f>
        <v>395.95999999999913</v>
      </c>
      <c r="AI28" s="294">
        <f>(IF('Section Load'!AJ31&gt;0,'Section Load'!AJ31,0))</f>
        <v>438.41000000000349</v>
      </c>
      <c r="AJ28" s="294">
        <f>(IF('Section Load'!AK31&gt;0,'Section Load'!AK31,0))</f>
        <v>251.02000000000044</v>
      </c>
      <c r="AK28" s="294">
        <f>(IF('Section Load'!AL31&gt;0,'Section Load'!AL31,0))</f>
        <v>320.28000000000247</v>
      </c>
      <c r="AL28" s="294">
        <f>(IF('Section Load'!AM31&gt;0,'Section Load'!AM31,0))</f>
        <v>0</v>
      </c>
      <c r="AM28" s="295">
        <f>(IF('Water Report'!$AD$7&gt;0,'Water Report'!$AD$7,0))</f>
        <v>135</v>
      </c>
      <c r="AN28" s="295">
        <f>(IF('Water Report'!$AD$8&gt;0,'Water Report'!$AD$8,0))</f>
        <v>137</v>
      </c>
      <c r="AO28" s="295">
        <f>(IF('Water Report'!$AD$9&gt;0,'Water Report'!$AD$9,0))</f>
        <v>121</v>
      </c>
      <c r="AP28" s="295">
        <f>(IF('Water Report'!$AD$10&gt;0,'Water Report'!AD$10,0))</f>
        <v>32</v>
      </c>
      <c r="AQ28" s="295">
        <f>(IF('Water Report'!$AD$11&gt;0,'Water Report'!AE$11,0))</f>
        <v>0</v>
      </c>
      <c r="AR28" s="295">
        <f>(IF('Water Report'!$AD$13&gt;0,'Water Report'!AF$13,0))</f>
        <v>14</v>
      </c>
      <c r="AS28" s="295">
        <f>(IF('Water Report'!$AD$14&gt;0,'Water Report'!AG$14,0))</f>
        <v>3</v>
      </c>
      <c r="AT28" s="295">
        <f>(IF('Water Report'!$AD$15&gt;0,'Water Report'!AH$15,0))</f>
        <v>17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1000</v>
      </c>
      <c r="BH28" s="296">
        <f>(IF('Section Load'!AO31&gt;0,'Section Load'!AO31,0))</f>
        <v>306.55000000004657</v>
      </c>
      <c r="BI28" s="296">
        <f>(IF('Section Load'!AP31&gt;0,'Section Load'!AP31,0))</f>
        <v>0</v>
      </c>
      <c r="BJ28" s="296">
        <f>(IF('Section Load'!AQ31&gt;0,'Section Load'!AQ31,0))</f>
        <v>122.66000000000349</v>
      </c>
      <c r="BK28" s="296">
        <f>(IF('Section Load'!AR31&gt;0,'Section Load'!AR31,0))</f>
        <v>51.100000000005821</v>
      </c>
      <c r="BL28" s="296">
        <f>(IF('Section Load'!AS31&gt;0,'Section Load'!AS31,0))</f>
        <v>0</v>
      </c>
      <c r="BM28" s="296">
        <f>(IF('Section Load'!AT31&gt;0,'Section Load'!AT31,0))</f>
        <v>519.68999999994412</v>
      </c>
    </row>
    <row r="29" spans="1:65">
      <c r="A29" s="287" t="s">
        <v>268</v>
      </c>
      <c r="B29" s="288">
        <f t="shared" si="0"/>
        <v>28</v>
      </c>
      <c r="C29" s="288">
        <v>8</v>
      </c>
      <c r="D29" s="288">
        <v>2022</v>
      </c>
      <c r="E29" s="294">
        <f>(IF('Section Load'!F32&gt;0,'Section Load'!F32,0))</f>
        <v>4198.7799999999697</v>
      </c>
      <c r="F29" s="294">
        <f>(IF('Section Load'!G32&gt;0,'Section Load'!G32,0))</f>
        <v>1104.0200000000004</v>
      </c>
      <c r="G29" s="294">
        <f>(IF('Section Load'!H32&gt;0,'Section Load'!H32,0))</f>
        <v>2243.2800000000279</v>
      </c>
      <c r="H29" s="294">
        <f>(IF('Section Load'!I32&gt;0,'Section Load'!I32,0))</f>
        <v>4464.32</v>
      </c>
      <c r="I29" s="294">
        <f>(IF('Section Load'!J32&gt;0,'Section Load'!J32,0))</f>
        <v>5371.1000000000349</v>
      </c>
      <c r="J29" s="294">
        <f>(IF('Section Load'!K32&gt;0,'Section Load'!K32,0))</f>
        <v>3110.5499999999884</v>
      </c>
      <c r="K29" s="294">
        <f>(IF('Section Load'!L32&gt;0,'Section Load'!L32,0))</f>
        <v>1330.3299999999581</v>
      </c>
      <c r="L29" s="294">
        <f>(IF('Section Load'!M32&gt;0,'Section Load'!M32,0))</f>
        <v>893.37999999997555</v>
      </c>
      <c r="M29" s="294">
        <f>(IF('Section Load'!N32&gt;0,'Section Load'!N32,0))</f>
        <v>161</v>
      </c>
      <c r="N29" s="294">
        <f>(IF('Section Load'!O32&gt;0,'Section Load'!O32,0))</f>
        <v>153</v>
      </c>
      <c r="O29" s="294">
        <f>(IF('Section Load'!P32&gt;0,'Section Load'!P32,0))</f>
        <v>10.299999999999955</v>
      </c>
      <c r="P29" s="294">
        <f>(IF('Section Load'!Q32&gt;0,'Section Load'!Q32,0))</f>
        <v>194.55999999999767</v>
      </c>
      <c r="Q29" s="294">
        <f>(IF('Section Load'!R32&gt;0,'Section Load'!R32,0))</f>
        <v>79.080000000001746</v>
      </c>
      <c r="R29" s="294">
        <f>(IF('Section Load'!S32&gt;0,'Section Load'!S32,0))</f>
        <v>0</v>
      </c>
      <c r="S29" s="294">
        <f>(IF('Section Load'!T32&gt;0,'Section Load'!T32,0))</f>
        <v>86</v>
      </c>
      <c r="T29" s="294">
        <f>(IF('Section Load'!U32&gt;0,'Section Load'!U32,0))</f>
        <v>231</v>
      </c>
      <c r="U29" s="294">
        <f>(IF('Section Load'!V32&gt;0,'Section Load'!V32,0))</f>
        <v>389.11999999999534</v>
      </c>
      <c r="V29" s="294">
        <f>(IF('Section Load'!W32&gt;0,'Section Load'!W32,0))</f>
        <v>376.23999999999069</v>
      </c>
      <c r="W29" s="294">
        <f>(IF('Section Load'!X32&gt;0,'Section Load'!X32,0))</f>
        <v>28.530000000000655</v>
      </c>
      <c r="X29" s="294">
        <f>(IF('Section Load'!Y32&gt;0,'Section Load'!Y32,0))</f>
        <v>228.61000000000058</v>
      </c>
      <c r="Y29" s="294">
        <f>(IF('Section Load'!Z32&gt;0,'Section Load'!Z32,0))</f>
        <v>300</v>
      </c>
      <c r="Z29" s="294">
        <f>(IF('Section Load'!AA32&gt;0,'Section Load'!AA32,0))</f>
        <v>40.400000000023283</v>
      </c>
      <c r="AA29" s="294">
        <f>(IF('Section Load'!AB32&gt;0,'Section Load'!AB32,0))</f>
        <v>43.169999999998254</v>
      </c>
      <c r="AB29" s="294">
        <f>(IF('Section Load'!AC32&gt;0,'Section Load'!AC32,0))</f>
        <v>0</v>
      </c>
      <c r="AC29" s="294">
        <f>(IF('Section Load'!AD32&gt;0,'Section Load'!AD32,0))</f>
        <v>151.59999999999945</v>
      </c>
      <c r="AD29" s="294">
        <f>(IF('Section Load'!AE32&gt;0,'Section Load'!AE32,0))</f>
        <v>453.63000000000466</v>
      </c>
      <c r="AE29" s="294">
        <f>(IF('Section Load'!AF32&gt;0,'Section Load'!AF32,0))</f>
        <v>263.19000000000233</v>
      </c>
      <c r="AF29" s="294">
        <f>(IF('Section Load'!AG32&gt;0,'Section Load'!AG32,0))</f>
        <v>618.08000000000175</v>
      </c>
      <c r="AG29" s="294">
        <f>(IF('Section Load'!AH32&gt;0,'Section Load'!AH32,0))</f>
        <v>222.81000000000495</v>
      </c>
      <c r="AH29" s="294">
        <f>(IF('Section Load'!AI32&gt;0,'Section Load'!AI32,0))</f>
        <v>405.37999999999738</v>
      </c>
      <c r="AI29" s="294">
        <f>(IF('Section Load'!AJ32&gt;0,'Section Load'!AJ32,0))</f>
        <v>471.70999999999913</v>
      </c>
      <c r="AJ29" s="294">
        <f>(IF('Section Load'!AK32&gt;0,'Section Load'!AK32,0))</f>
        <v>286.34000000000015</v>
      </c>
      <c r="AK29" s="294">
        <f>(IF('Section Load'!AL32&gt;0,'Section Load'!AL32,0))</f>
        <v>319.46999999999753</v>
      </c>
      <c r="AL29" s="294">
        <f>(IF('Section Load'!AM32&gt;0,'Section Load'!AM32,0))</f>
        <v>0</v>
      </c>
      <c r="AM29" s="295">
        <f>(IF('Water Report'!$AE$7&gt;0,'Water Report'!$AE$7,0))</f>
        <v>115</v>
      </c>
      <c r="AN29" s="295">
        <f>(IF('Water Report'!$AE$8&gt;0,'Water Report'!$AE$8,0))</f>
        <v>145</v>
      </c>
      <c r="AO29" s="295">
        <f>(IF('Water Report'!$AE$9&gt;0,'Water Report'!$AE$9,0))</f>
        <v>102</v>
      </c>
      <c r="AP29" s="295">
        <f>(IF('Water Report'!$AE$10&gt;0,'Water Report'!$AE$10,0))</f>
        <v>20</v>
      </c>
      <c r="AQ29" s="295">
        <f>(IF('Water Report'!$AE$11&gt;0,'Water Report'!$AE$11,0))</f>
        <v>0</v>
      </c>
      <c r="AR29" s="295">
        <f>(IF('Water Report'!$AE$13&gt;0,'Water Report'!$AE$13,0))</f>
        <v>12</v>
      </c>
      <c r="AS29" s="295">
        <f>(IF('Water Report'!$AE$14&gt;0,'Water Report'!$AE$14,0))</f>
        <v>6</v>
      </c>
      <c r="AT29" s="295">
        <f>(IF('Water Report'!$AE$15&gt;0,'Water Report'!$AE$15,0))</f>
        <v>12</v>
      </c>
      <c r="AU29" s="295">
        <f>(IF('Water Report'!$AE$17&gt;0,'Water Report'!$AE$17,0))</f>
        <v>0</v>
      </c>
      <c r="AV29" s="295">
        <f>(IF('Water Report'!$AE$18&gt;0,'Water Report'!$AE$18,0))</f>
        <v>14</v>
      </c>
      <c r="AW29" s="295">
        <f>(IF('Water Report'!$AE$19&gt;0,'Water Report'!$AE$19,0))</f>
        <v>11</v>
      </c>
      <c r="AX29" s="301">
        <f>(IF('Water Report'!$AE$21&gt;0,'Water Report'!$AE$21,0))</f>
        <v>107</v>
      </c>
      <c r="AY29" s="301">
        <f>(IF('Water Report'!$AE$22&gt;0,'Water Report'!$AE$22,0))</f>
        <v>0</v>
      </c>
      <c r="AZ29" s="301">
        <f>(IF('Water Report'!$AE$23&gt;0,'Water Report'!$AE$23,0))</f>
        <v>28</v>
      </c>
      <c r="BA29" s="301">
        <f>(IF('Water Report'!$AE$14&gt;0,'Water Report'!$AE$14,0))</f>
        <v>6</v>
      </c>
      <c r="BB29" s="301">
        <f>(IF('Water Report'!$AE$15&gt;0,'Water Report'!$AE$15,0))</f>
        <v>12</v>
      </c>
      <c r="BC29" s="301">
        <f>(IF('Water Report'!$AE$13&gt;0,'Water Report'!$AE$13,0))</f>
        <v>12</v>
      </c>
      <c r="BD29" s="301">
        <f>(IF('Water Report'!$AE$24&gt;0,'Water Report'!$AE$24,0))</f>
        <v>190</v>
      </c>
      <c r="BE29" s="301">
        <f>(IF('Water Report'!$AE$25&gt;0,'Water Report'!$AE$25,0))</f>
        <v>139</v>
      </c>
      <c r="BF29" s="301">
        <f>(IF('Water Report'!$AE$27&gt;0,'Water Report'!$AE$27,0))</f>
        <v>147</v>
      </c>
      <c r="BG29" s="296">
        <f>(IF('Section Load'!AN32&gt;0,'Section Load'!AN32,0))</f>
        <v>1000</v>
      </c>
      <c r="BH29" s="296">
        <f>(IF('Section Load'!AO32&gt;0,'Section Load'!AO32,0))</f>
        <v>312.0899999999674</v>
      </c>
      <c r="BI29" s="296">
        <f>(IF('Section Load'!AP32&gt;0,'Section Load'!AP32,0))</f>
        <v>0</v>
      </c>
      <c r="BJ29" s="296">
        <f>(IF('Section Load'!AQ32&gt;0,'Section Load'!AQ32,0))</f>
        <v>101.60999999998603</v>
      </c>
      <c r="BK29" s="296">
        <f>(IF('Section Load'!AR32&gt;0,'Section Load'!AR32,0))</f>
        <v>45.69999999999709</v>
      </c>
      <c r="BL29" s="296">
        <f>(IF('Section Load'!AS32&gt;0,'Section Load'!AS32,0))</f>
        <v>0</v>
      </c>
      <c r="BM29" s="296">
        <f>(IF('Section Load'!AT32&gt;0,'Section Load'!AT32,0))</f>
        <v>541.40000000005239</v>
      </c>
    </row>
    <row r="30" spans="1:65">
      <c r="A30" s="287" t="s">
        <v>268</v>
      </c>
      <c r="B30" s="288">
        <f t="shared" si="0"/>
        <v>29</v>
      </c>
      <c r="C30" s="288">
        <v>8</v>
      </c>
      <c r="D30" s="288">
        <v>2022</v>
      </c>
      <c r="E30" s="294">
        <f>(IF('Section Load'!F33&gt;0,'Section Load'!F33,0))</f>
        <v>4229.460000000021</v>
      </c>
      <c r="F30" s="294">
        <f>(IF('Section Load'!G33&gt;0,'Section Load'!G33,0))</f>
        <v>1102.3800000000001</v>
      </c>
      <c r="G30" s="294">
        <f>(IF('Section Load'!H33&gt;0,'Section Load'!H33,0))</f>
        <v>2265.5599999999977</v>
      </c>
      <c r="H30" s="294">
        <f>(IF('Section Load'!I33&gt;0,'Section Load'!I33,0))</f>
        <v>4413.2299999999996</v>
      </c>
      <c r="I30" s="294">
        <f>(IF('Section Load'!J33&gt;0,'Section Load'!J33,0))</f>
        <v>5456.4499999999825</v>
      </c>
      <c r="J30" s="294">
        <f>(IF('Section Load'!K33&gt;0,'Section Load'!K33,0))</f>
        <v>3053.1399999999849</v>
      </c>
      <c r="K30" s="294">
        <f>(IF('Section Load'!L33&gt;0,'Section Load'!L33,0))</f>
        <v>1186.1900000000023</v>
      </c>
      <c r="L30" s="294">
        <f>(IF('Section Load'!M33&gt;0,'Section Load'!M33,0))</f>
        <v>742.22000000000116</v>
      </c>
      <c r="M30" s="294">
        <f>(IF('Section Load'!N33&gt;0,'Section Load'!N33,0))</f>
        <v>151</v>
      </c>
      <c r="N30" s="294">
        <f>(IF('Section Load'!O33&gt;0,'Section Load'!O33,0))</f>
        <v>140</v>
      </c>
      <c r="O30" s="294">
        <f>(IF('Section Load'!P33&gt;0,'Section Load'!P33,0))</f>
        <v>15.789999999999964</v>
      </c>
      <c r="P30" s="294">
        <f>(IF('Section Load'!Q33&gt;0,'Section Load'!Q33,0))</f>
        <v>204.10000000000582</v>
      </c>
      <c r="Q30" s="294">
        <f>(IF('Section Load'!R33&gt;0,'Section Load'!R33,0))</f>
        <v>77.400000000001455</v>
      </c>
      <c r="R30" s="294">
        <f>(IF('Section Load'!S33&gt;0,'Section Load'!S33,0))</f>
        <v>7.999999999992724E-2</v>
      </c>
      <c r="S30" s="294">
        <f>(IF('Section Load'!T33&gt;0,'Section Load'!T33,0))</f>
        <v>93</v>
      </c>
      <c r="T30" s="294">
        <f>(IF('Section Load'!U33&gt;0,'Section Load'!U33,0))</f>
        <v>219</v>
      </c>
      <c r="U30" s="294">
        <f>(IF('Section Load'!V33&gt;0,'Section Load'!V33,0))</f>
        <v>458.80000000004657</v>
      </c>
      <c r="V30" s="294">
        <f>(IF('Section Load'!W33&gt;0,'Section Load'!W33,0))</f>
        <v>309.04000000003725</v>
      </c>
      <c r="W30" s="294">
        <f>(IF('Section Load'!X33&gt;0,'Section Load'!X33,0))</f>
        <v>30.899999999999636</v>
      </c>
      <c r="X30" s="294">
        <f>(IF('Section Load'!Y33&gt;0,'Section Load'!Y33,0))</f>
        <v>300.77000000000407</v>
      </c>
      <c r="Y30" s="294">
        <f>(IF('Section Load'!Z33&gt;0,'Section Load'!Z33,0))</f>
        <v>302</v>
      </c>
      <c r="Z30" s="294">
        <f>(IF('Section Load'!AA33&gt;0,'Section Load'!AA33,0))</f>
        <v>35.71999999997206</v>
      </c>
      <c r="AA30" s="294">
        <f>(IF('Section Load'!AB33&gt;0,'Section Load'!AB33,0))</f>
        <v>39.729999999995925</v>
      </c>
      <c r="AB30" s="294">
        <f>(IF('Section Load'!AC33&gt;0,'Section Load'!AC33,0))</f>
        <v>2.0999999999985448</v>
      </c>
      <c r="AC30" s="294">
        <f>(IF('Section Load'!AD33&gt;0,'Section Load'!AD33,0))</f>
        <v>146.30000000000018</v>
      </c>
      <c r="AD30" s="294">
        <f>(IF('Section Load'!AE33&gt;0,'Section Load'!AE33,0))</f>
        <v>377.48999999999069</v>
      </c>
      <c r="AE30" s="294">
        <f>(IF('Section Load'!AF33&gt;0,'Section Load'!AF33,0))</f>
        <v>242.13999999999942</v>
      </c>
      <c r="AF30" s="294">
        <f>(IF('Section Load'!AG33&gt;0,'Section Load'!AG33,0))</f>
        <v>632.27999999999884</v>
      </c>
      <c r="AG30" s="294">
        <f>(IF('Section Load'!AH33&gt;0,'Section Load'!AH33,0))</f>
        <v>226.83999999999651</v>
      </c>
      <c r="AH30" s="294">
        <f>(IF('Section Load'!AI33&gt;0,'Section Load'!AI33,0))</f>
        <v>399.62999999999738</v>
      </c>
      <c r="AI30" s="294">
        <f>(IF('Section Load'!AJ33&gt;0,'Section Load'!AJ33,0))</f>
        <v>505.43000000000029</v>
      </c>
      <c r="AJ30" s="294">
        <f>(IF('Section Load'!AK33&gt;0,'Section Load'!AK33,0))</f>
        <v>295.70000000000073</v>
      </c>
      <c r="AK30" s="294">
        <f>(IF('Section Load'!AL33&gt;0,'Section Load'!AL33,0))</f>
        <v>314.89000000000306</v>
      </c>
      <c r="AL30" s="294">
        <f>(IF('Section Load'!AM33&gt;0,'Section Load'!AM33,0))</f>
        <v>0</v>
      </c>
      <c r="AM30" s="295">
        <f>(IF('Water Report'!$AF$7&gt;0,'Water Report'!$AF$7,0))</f>
        <v>128</v>
      </c>
      <c r="AN30" s="295">
        <f>(IF('Water Report'!$AF$8&gt;0,'Water Report'!$AF$8,0))</f>
        <v>157</v>
      </c>
      <c r="AO30" s="295">
        <f>(IF('Water Report'!$AF$9&gt;0,'Water Report'!$AF$9,0))</f>
        <v>117</v>
      </c>
      <c r="AP30" s="295">
        <f>(IF('Water Report'!$AF$10&gt;0,'Water Report'!$AF$10,0))</f>
        <v>29</v>
      </c>
      <c r="AQ30" s="295">
        <f>(IF('Water Report'!$AF$11&gt;0,'Water Report'!$AF$11,0))</f>
        <v>0</v>
      </c>
      <c r="AR30" s="295">
        <f>(IF('Water Report'!$AF$13&gt;0,'Water Report'!$AF$13,0))</f>
        <v>14</v>
      </c>
      <c r="AS30" s="295">
        <f>(IF('Water Report'!$AF$14&gt;0,'Water Report'!$AF$14,0))</f>
        <v>4</v>
      </c>
      <c r="AT30" s="295">
        <f>(IF('Water Report'!$AF$15&gt;0,'Water Report'!$AF$15,0))</f>
        <v>14</v>
      </c>
      <c r="AU30" s="295">
        <f>(IF('Water Report'!$AF$17&gt;0,'Water Report'!$AF$17,0))</f>
        <v>0</v>
      </c>
      <c r="AV30" s="295">
        <f>(IF('Water Report'!$AF$18&gt;0,'Water Report'!$AF$18,0))</f>
        <v>16</v>
      </c>
      <c r="AW30" s="295">
        <f>(IF('Water Report'!$AF$19&gt;0,'Water Report'!$AF$19,0))</f>
        <v>13</v>
      </c>
      <c r="AX30" s="301">
        <f>(IF('Water Report'!$AF$21&gt;0,'Water Report'!$AF$21,0))</f>
        <v>64</v>
      </c>
      <c r="AY30" s="301">
        <f>(IF('Water Report'!$AF$22&gt;0,'Water Report'!$AF$22,0))</f>
        <v>0</v>
      </c>
      <c r="AZ30" s="301">
        <f>(IF('Water Report'!$AF$23&gt;0,'Water Report'!$AF$23,0))</f>
        <v>3</v>
      </c>
      <c r="BA30" s="301">
        <f>(IF('Water Report'!$AF$14&gt;0,'Water Report'!$AF$14,0))</f>
        <v>4</v>
      </c>
      <c r="BB30" s="301">
        <f>(IF('Water Report'!$AF$15&gt;0,'Water Report'!$AF$15,0))</f>
        <v>14</v>
      </c>
      <c r="BC30" s="301">
        <f>(IF('Water Report'!$AF$13&gt;0,'Water Report'!$AF$13,0))</f>
        <v>14</v>
      </c>
      <c r="BD30" s="301">
        <f>(IF('Water Report'!$AF$24&gt;0,'Water Report'!$AF$24,0))</f>
        <v>231</v>
      </c>
      <c r="BE30" s="301">
        <f>(IF('Water Report'!$AF$25&gt;0,'Water Report'!$AF$25,0))</f>
        <v>164</v>
      </c>
      <c r="BF30" s="301">
        <f>(IF('Water Report'!$AF$27&gt;0,'Water Report'!$AF$27,0))</f>
        <v>81</v>
      </c>
      <c r="BG30" s="296">
        <f>(IF('Section Load'!AN33&gt;0,'Section Load'!AN33,0))</f>
        <v>1000</v>
      </c>
      <c r="BH30" s="296">
        <f>(IF('Section Load'!AO33&gt;0,'Section Load'!AO33,0))</f>
        <v>308.05999999993946</v>
      </c>
      <c r="BI30" s="296">
        <f>(IF('Section Load'!AP33&gt;0,'Section Load'!AP33,0))</f>
        <v>0</v>
      </c>
      <c r="BJ30" s="296">
        <f>(IF('Section Load'!AQ33&gt;0,'Section Load'!AQ33,0))</f>
        <v>108</v>
      </c>
      <c r="BK30" s="296">
        <f>(IF('Section Load'!AR33&gt;0,'Section Load'!AR33,0))</f>
        <v>63</v>
      </c>
      <c r="BL30" s="296">
        <f>(IF('Section Load'!AS33&gt;0,'Section Load'!AS33,0))</f>
        <v>0.3999999999996362</v>
      </c>
      <c r="BM30" s="296">
        <f>(IF('Section Load'!AT33&gt;0,'Section Load'!AT33,0))</f>
        <v>520.5400000000609</v>
      </c>
    </row>
    <row r="31" spans="1:65">
      <c r="A31" s="287" t="s">
        <v>268</v>
      </c>
      <c r="B31" s="288">
        <f t="shared" si="0"/>
        <v>30</v>
      </c>
      <c r="C31" s="288">
        <v>8</v>
      </c>
      <c r="D31" s="288">
        <v>2022</v>
      </c>
      <c r="E31" s="294">
        <f>(IF('Section Load'!F34&gt;0,'Section Load'!F34,0))</f>
        <v>4258.3999999999651</v>
      </c>
      <c r="F31" s="294">
        <f>(IF('Section Load'!G34&gt;0,'Section Load'!G34,0))</f>
        <v>1071.4399999999996</v>
      </c>
      <c r="G31" s="294">
        <f>(IF('Section Load'!H34&gt;0,'Section Load'!H34,0))</f>
        <v>2291.5999999999767</v>
      </c>
      <c r="H31" s="294">
        <f>(IF('Section Load'!I34&gt;0,'Section Load'!I34,0))</f>
        <v>4606.5600000000013</v>
      </c>
      <c r="I31" s="294">
        <f>(IF('Section Load'!J34&gt;0,'Section Load'!J34,0))</f>
        <v>6490.0100000000093</v>
      </c>
      <c r="J31" s="294">
        <f>(IF('Section Load'!K34&gt;0,'Section Load'!K34,0))</f>
        <v>3084.140000000014</v>
      </c>
      <c r="K31" s="294">
        <f>(IF('Section Load'!L34&gt;0,'Section Load'!L34,0))</f>
        <v>1094.1000000000349</v>
      </c>
      <c r="L31" s="294">
        <f>(IF('Section Load'!M34&gt;0,'Section Load'!M34,0))</f>
        <v>1023.8300000000163</v>
      </c>
      <c r="M31" s="294">
        <f>(IF('Section Load'!N34&gt;0,'Section Load'!N34,0))</f>
        <v>152</v>
      </c>
      <c r="N31" s="294">
        <f>(IF('Section Load'!O34&gt;0,'Section Load'!O34,0))</f>
        <v>134</v>
      </c>
      <c r="O31" s="294">
        <f>(IF('Section Load'!P34&gt;0,'Section Load'!P34,0))</f>
        <v>16.350000000000136</v>
      </c>
      <c r="P31" s="294">
        <f>(IF('Section Load'!Q34&gt;0,'Section Load'!Q34,0))</f>
        <v>204</v>
      </c>
      <c r="Q31" s="294">
        <f>(IF('Section Load'!R34&gt;0,'Section Load'!R34,0))</f>
        <v>68.980000000003201</v>
      </c>
      <c r="R31" s="294">
        <f>(IF('Section Load'!S34&gt;0,'Section Load'!S34,0))</f>
        <v>0.12000000000080036</v>
      </c>
      <c r="S31" s="294">
        <f>(IF('Section Load'!T34&gt;0,'Section Load'!T34,0))</f>
        <v>54</v>
      </c>
      <c r="T31" s="294">
        <f>(IF('Section Load'!U34&gt;0,'Section Load'!U34,0))</f>
        <v>226</v>
      </c>
      <c r="U31" s="294">
        <f>(IF('Section Load'!V34&gt;0,'Section Load'!V34,0))</f>
        <v>380.07999999995809</v>
      </c>
      <c r="V31" s="294">
        <f>(IF('Section Load'!W34&gt;0,'Section Load'!W34,0))</f>
        <v>316.31999999994878</v>
      </c>
      <c r="W31" s="294">
        <f>(IF('Section Load'!X34&gt;0,'Section Load'!X34,0))</f>
        <v>31.579999999999927</v>
      </c>
      <c r="X31" s="294">
        <f>(IF('Section Load'!Y34&gt;0,'Section Load'!Y34,0))</f>
        <v>278.96999999999389</v>
      </c>
      <c r="Y31" s="294">
        <f>(IF('Section Load'!Z34&gt;0,'Section Load'!Z34,0))</f>
        <v>329</v>
      </c>
      <c r="Z31" s="294">
        <f>(IF('Section Load'!AA34&gt;0,'Section Load'!AA34,0))</f>
        <v>29.520000000018626</v>
      </c>
      <c r="AA31" s="294">
        <f>(IF('Section Load'!AB34&gt;0,'Section Load'!AB34,0))</f>
        <v>38.100000000005821</v>
      </c>
      <c r="AB31" s="294">
        <f>(IF('Section Load'!AC34&gt;0,'Section Load'!AC34,0))</f>
        <v>2.3400000000001455</v>
      </c>
      <c r="AC31" s="294">
        <f>(IF('Section Load'!AD34&gt;0,'Section Load'!AD34,0))</f>
        <v>138.20000000000073</v>
      </c>
      <c r="AD31" s="294">
        <f>(IF('Section Load'!AE34&gt;0,'Section Load'!AE34,0))</f>
        <v>480.48000000001048</v>
      </c>
      <c r="AE31" s="294">
        <f>(IF('Section Load'!AF34&gt;0,'Section Load'!AF34,0))</f>
        <v>276.68000000000029</v>
      </c>
      <c r="AF31" s="294">
        <f>(IF('Section Load'!AG34&gt;0,'Section Load'!AG34,0))</f>
        <v>619.72000000000116</v>
      </c>
      <c r="AG31" s="294">
        <f>(IF('Section Load'!AH34&gt;0,'Section Load'!AH34,0))</f>
        <v>223.38999999999942</v>
      </c>
      <c r="AH31" s="294">
        <f>(IF('Section Load'!AI34&gt;0,'Section Load'!AI34,0))</f>
        <v>425.90000000000146</v>
      </c>
      <c r="AI31" s="294">
        <f>(IF('Section Load'!AJ34&gt;0,'Section Load'!AJ34,0))</f>
        <v>531.19000000000233</v>
      </c>
      <c r="AJ31" s="294">
        <f>(IF('Section Load'!AK34&gt;0,'Section Load'!AK34,0))</f>
        <v>287.29999999999927</v>
      </c>
      <c r="AK31" s="294">
        <f>(IF('Section Load'!AL34&gt;0,'Section Load'!AL34,0))</f>
        <v>340.73999999999796</v>
      </c>
      <c r="AL31" s="294">
        <f>(IF('Section Load'!AM34&gt;0,'Section Load'!AM34,0))</f>
        <v>0</v>
      </c>
      <c r="AM31" s="295">
        <f>(IF('Water Report'!$AG$7&gt;0,'Water Report'!$AG$7,0))</f>
        <v>116</v>
      </c>
      <c r="AN31" s="295">
        <f>(IF('Water Report'!$AG$8&gt;0,'Water Report'!$AG$8,0))</f>
        <v>130</v>
      </c>
      <c r="AO31" s="295">
        <f>(IF('Water Report'!$AG$9&gt;0,'Water Report'!$AG$9,0))</f>
        <v>108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1000</v>
      </c>
      <c r="BH31" s="296">
        <f>(IF('Section Load'!AO34&gt;0,'Section Load'!AO34,0))</f>
        <v>322.63000000000466</v>
      </c>
      <c r="BI31" s="296">
        <f>(IF('Section Load'!AP34&gt;0,'Section Load'!AP34,0))</f>
        <v>0</v>
      </c>
      <c r="BJ31" s="296">
        <f>(IF('Section Load'!AQ34&gt;0,'Section Load'!AQ34,0))</f>
        <v>108</v>
      </c>
      <c r="BK31" s="296">
        <f>(IF('Section Load'!AR34&gt;0,'Section Load'!AR34,0))</f>
        <v>50</v>
      </c>
      <c r="BL31" s="296">
        <f>(IF('Section Load'!AS34&gt;0,'Section Load'!AS34,0))</f>
        <v>0</v>
      </c>
      <c r="BM31" s="296">
        <f>(IF('Section Load'!AT34&gt;0,'Section Load'!AT34,0))</f>
        <v>519.76999999999498</v>
      </c>
    </row>
    <row r="32" spans="1:65">
      <c r="A32" s="287" t="s">
        <v>268</v>
      </c>
      <c r="B32" s="288">
        <f t="shared" si="0"/>
        <v>31</v>
      </c>
      <c r="C32" s="288">
        <v>8</v>
      </c>
      <c r="D32" s="288">
        <v>2022</v>
      </c>
      <c r="E32" s="294">
        <f>(IF('Section Load'!F35&gt;0,'Section Load'!F35,0))</f>
        <v>4304.7200000000303</v>
      </c>
      <c r="F32" s="294">
        <f>(IF('Section Load'!G35&gt;0,'Section Load'!G35,0))</f>
        <v>1033.8099999999977</v>
      </c>
      <c r="G32" s="294">
        <f>(IF('Section Load'!H35&gt;0,'Section Load'!H35,0))</f>
        <v>2270.3300000000163</v>
      </c>
      <c r="H32" s="294">
        <f>(IF('Section Load'!I35&gt;0,'Section Load'!I35,0))</f>
        <v>4358.8100000000559</v>
      </c>
      <c r="I32" s="294">
        <f>(IF('Section Load'!J35&gt;0,'Section Load'!J35,0))</f>
        <v>6404.940000000046</v>
      </c>
      <c r="J32" s="294">
        <f>(IF('Section Load'!K35&gt;0,'Section Load'!K35,0))</f>
        <v>2986.8699999999953</v>
      </c>
      <c r="K32" s="294">
        <f>(IF('Section Load'!L35&gt;0,'Section Load'!L35,0))</f>
        <v>982.72999999998137</v>
      </c>
      <c r="L32" s="294">
        <f>(IF('Section Load'!M35&gt;0,'Section Load'!M35,0))</f>
        <v>847.39999999999418</v>
      </c>
      <c r="M32" s="294">
        <f>(IF('Section Load'!N35&gt;0,'Section Load'!N35,0))</f>
        <v>136</v>
      </c>
      <c r="N32" s="294">
        <f>(IF('Section Load'!O35&gt;0,'Section Load'!O35,0))</f>
        <v>135</v>
      </c>
      <c r="O32" s="294">
        <f>(IF('Section Load'!P35&gt;0,'Section Load'!P35,0))</f>
        <v>15.6099999999999</v>
      </c>
      <c r="P32" s="294">
        <f>(IF('Section Load'!Q35&gt;0,'Section Load'!Q35,0))</f>
        <v>203.39999999999418</v>
      </c>
      <c r="Q32" s="294">
        <f>(IF('Section Load'!R35&gt;0,'Section Load'!R35,0))</f>
        <v>69.019999999996799</v>
      </c>
      <c r="R32" s="294">
        <f>(IF('Section Load'!S35&gt;0,'Section Load'!S35,0))</f>
        <v>8.3999999999996362</v>
      </c>
      <c r="S32" s="294">
        <f>(IF('Section Load'!T35&gt;0,'Section Load'!T35,0))</f>
        <v>61</v>
      </c>
      <c r="T32" s="294">
        <f>(IF('Section Load'!U35&gt;0,'Section Load'!U35,0))</f>
        <v>203</v>
      </c>
      <c r="U32" s="294">
        <f>(IF('Section Load'!V35&gt;0,'Section Load'!V35,0))</f>
        <v>384.11999999999534</v>
      </c>
      <c r="V32" s="294">
        <f>(IF('Section Load'!W35&gt;0,'Section Load'!W35,0))</f>
        <v>307.52000000001863</v>
      </c>
      <c r="W32" s="294">
        <f>(IF('Section Load'!X35&gt;0,'Section Load'!X35,0))</f>
        <v>27.420000000000073</v>
      </c>
      <c r="X32" s="294">
        <f>(IF('Section Load'!Y35&gt;0,'Section Load'!Y35,0))</f>
        <v>265.30000000000291</v>
      </c>
      <c r="Y32" s="294">
        <f>(IF('Section Load'!Z35&gt;0,'Section Load'!Z35,0))</f>
        <v>359</v>
      </c>
      <c r="Z32" s="294">
        <f>(IF('Section Load'!AA35&gt;0,'Section Load'!AA35,0))</f>
        <v>32.320000000006985</v>
      </c>
      <c r="AA32" s="294">
        <f>(IF('Section Load'!AB35&gt;0,'Section Load'!AB35,0))</f>
        <v>24.899999999994179</v>
      </c>
      <c r="AB32" s="294">
        <f>(IF('Section Load'!AC35&gt;0,'Section Load'!AC35,0))</f>
        <v>10.200000000000728</v>
      </c>
      <c r="AC32" s="294">
        <f>(IF('Section Load'!AD35&gt;0,'Section Load'!AD35,0))</f>
        <v>258.89999999999964</v>
      </c>
      <c r="AD32" s="294">
        <f>(IF('Section Load'!AE35&gt;0,'Section Load'!AE35,0))</f>
        <v>425.72999999999593</v>
      </c>
      <c r="AE32" s="294">
        <f>(IF('Section Load'!AF35&gt;0,'Section Load'!AF35,0))</f>
        <v>319.22000000000116</v>
      </c>
      <c r="AF32" s="294">
        <f>(IF('Section Load'!AG35&gt;0,'Section Load'!AG35,0))</f>
        <v>595</v>
      </c>
      <c r="AG32" s="294">
        <f>(IF('Section Load'!AH35&gt;0,'Section Load'!AH35,0))</f>
        <v>209.47000000000116</v>
      </c>
      <c r="AH32" s="294">
        <f>(IF('Section Load'!AI35&gt;0,'Section Load'!AI35,0))</f>
        <v>410.40000000000146</v>
      </c>
      <c r="AI32" s="294">
        <f>(IF('Section Load'!AJ35&gt;0,'Section Load'!AJ35,0))</f>
        <v>468.91999999999825</v>
      </c>
      <c r="AJ32" s="294">
        <f>(IF('Section Load'!AK35&gt;0,'Section Load'!AK35,0))</f>
        <v>271.29999999999927</v>
      </c>
      <c r="AK32" s="294">
        <f>(IF('Section Load'!AL35&gt;0,'Section Load'!AL35,0))</f>
        <v>294.27000000000044</v>
      </c>
      <c r="AL32" s="294">
        <f>(IF('Section Load'!AM35&gt;0,'Section Load'!AM35,0))</f>
        <v>0</v>
      </c>
      <c r="AM32" s="295">
        <f>(IF('Water Report'!$AH$7&gt;0,'Water Report'!$AH$7,0))</f>
        <v>123</v>
      </c>
      <c r="AN32" s="295">
        <f>(IF('Water Report'!$AH$8&gt;0,'Water Report'!$AH$8,0))</f>
        <v>171</v>
      </c>
      <c r="AO32" s="295">
        <f>(IF('Water Report'!$AH$9&gt;0,'Water Report'!$AH$9,0))</f>
        <v>111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1000</v>
      </c>
      <c r="BH32" s="296">
        <f>(IF('Section Load'!AO35&gt;0,'Section Load'!AO35,0))</f>
        <v>329.53000000002794</v>
      </c>
      <c r="BI32" s="296">
        <f>(IF('Section Load'!AP35&gt;0,'Section Load'!AP35,0))</f>
        <v>0.80000000000291038</v>
      </c>
      <c r="BJ32" s="296">
        <f>(IF('Section Load'!AQ35&gt;0,'Section Load'!AQ35,0))</f>
        <v>107</v>
      </c>
      <c r="BK32" s="296">
        <f>(IF('Section Load'!AR35&gt;0,'Section Load'!AR35,0))</f>
        <v>50</v>
      </c>
      <c r="BL32" s="296">
        <f>(IF('Section Load'!AS35&gt;0,'Section Load'!AS35,0))</f>
        <v>0</v>
      </c>
      <c r="BM32" s="296">
        <f>(IF('Section Load'!AT35&gt;0,'Section Load'!AT35,0))</f>
        <v>512.66999999996915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V10" sqref="V10:V1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67"/>
      <c r="B1" s="767"/>
      <c r="C1" s="767"/>
      <c r="D1" s="767"/>
      <c r="E1" s="767"/>
      <c r="F1" s="767"/>
      <c r="G1" s="767"/>
      <c r="H1" s="767"/>
      <c r="I1" s="767"/>
      <c r="J1" s="767"/>
      <c r="K1" s="767"/>
      <c r="L1" s="767"/>
      <c r="M1" s="767"/>
      <c r="N1" s="767"/>
      <c r="O1" s="767"/>
      <c r="P1" s="767"/>
      <c r="Q1" s="767"/>
      <c r="R1" s="767"/>
      <c r="S1" s="767"/>
      <c r="T1" s="767"/>
      <c r="U1" s="767"/>
      <c r="V1" s="767"/>
      <c r="W1" s="767"/>
      <c r="X1" s="767"/>
      <c r="Y1" s="767"/>
      <c r="Z1" s="767"/>
      <c r="AA1" s="767"/>
      <c r="AB1" s="767"/>
      <c r="AC1" s="767"/>
      <c r="AD1" s="767"/>
      <c r="AE1" s="767"/>
      <c r="AF1" s="767"/>
      <c r="AG1" s="767"/>
      <c r="AH1" s="767"/>
      <c r="AI1" s="767"/>
      <c r="AJ1" s="767"/>
      <c r="AK1" s="767"/>
      <c r="AL1" s="767"/>
      <c r="AM1" s="767"/>
      <c r="AN1" s="767"/>
      <c r="AO1" s="767"/>
      <c r="AP1" s="767"/>
      <c r="AQ1" s="767"/>
      <c r="AR1" s="767"/>
      <c r="AS1" s="767"/>
      <c r="AT1" s="767"/>
      <c r="AU1" s="767"/>
      <c r="AV1" s="767"/>
      <c r="AW1" s="767"/>
      <c r="AX1" s="767"/>
      <c r="AY1" s="767"/>
      <c r="AZ1" s="767"/>
      <c r="BA1" s="767"/>
      <c r="BB1" s="767"/>
      <c r="BC1" s="767"/>
      <c r="BD1" s="767"/>
      <c r="BE1" s="767"/>
      <c r="BF1" s="767"/>
      <c r="BG1" s="767"/>
      <c r="BH1" s="767"/>
      <c r="BI1" s="767"/>
      <c r="BJ1" s="767"/>
      <c r="BK1" s="767"/>
      <c r="BL1" s="767"/>
      <c r="BM1" s="767"/>
      <c r="BN1" s="767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8" t="s">
        <v>5</v>
      </c>
      <c r="I2" s="768"/>
      <c r="J2" s="768"/>
      <c r="K2" s="44"/>
      <c r="L2" s="769" t="s">
        <v>6</v>
      </c>
      <c r="M2" s="769"/>
      <c r="N2" s="769"/>
      <c r="O2" s="770" t="s">
        <v>7</v>
      </c>
      <c r="P2" s="770"/>
      <c r="Q2" s="770"/>
      <c r="R2" s="44" t="s">
        <v>8</v>
      </c>
      <c r="S2" s="771" t="s">
        <v>9</v>
      </c>
      <c r="T2" s="771"/>
      <c r="U2" s="771"/>
      <c r="V2" s="772" t="s">
        <v>10</v>
      </c>
      <c r="W2" s="773"/>
      <c r="X2" s="774"/>
      <c r="Y2" s="263"/>
      <c r="Z2" s="775" t="s">
        <v>11</v>
      </c>
      <c r="AA2" s="775"/>
      <c r="AB2" s="775"/>
      <c r="AC2" s="775"/>
      <c r="AD2" s="264"/>
      <c r="AE2" s="264" t="s">
        <v>12</v>
      </c>
      <c r="AF2" s="264" t="s">
        <v>13</v>
      </c>
      <c r="AG2" s="775" t="s">
        <v>14</v>
      </c>
      <c r="AH2" s="775"/>
      <c r="AI2" s="775"/>
      <c r="AJ2" s="264" t="s">
        <v>15</v>
      </c>
      <c r="AK2" s="775" t="s">
        <v>16</v>
      </c>
      <c r="AL2" s="775"/>
      <c r="AM2" s="775"/>
      <c r="AN2" s="264" t="s">
        <v>17</v>
      </c>
      <c r="AO2" s="5" t="s">
        <v>18</v>
      </c>
      <c r="AP2" s="776" t="s">
        <v>19</v>
      </c>
      <c r="AQ2" s="777"/>
      <c r="AR2" s="777"/>
      <c r="AS2" s="777"/>
      <c r="AT2" s="777"/>
      <c r="AU2" s="777"/>
      <c r="AV2" s="777"/>
      <c r="AW2" s="777"/>
      <c r="AX2" s="777"/>
      <c r="AY2" s="778"/>
      <c r="AZ2" s="776" t="s">
        <v>20</v>
      </c>
      <c r="BA2" s="777"/>
      <c r="BB2" s="777"/>
      <c r="BC2" s="777"/>
      <c r="BD2" s="777"/>
      <c r="BE2" s="777"/>
      <c r="BF2" s="777"/>
      <c r="BG2" s="777"/>
      <c r="BH2" s="777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29</v>
      </c>
      <c r="E4" s="50">
        <f>'1'!D4</f>
        <v>0.78</v>
      </c>
      <c r="F4" s="50">
        <f>'1'!D2</f>
        <v>0.88</v>
      </c>
      <c r="G4" s="19">
        <f>'1'!G7</f>
        <v>25437</v>
      </c>
      <c r="H4" s="19">
        <f>'1'!G8</f>
        <v>25783</v>
      </c>
      <c r="I4" s="19">
        <v>9</v>
      </c>
      <c r="J4" s="49">
        <f>H4*I4</f>
        <v>232047</v>
      </c>
      <c r="K4" s="45">
        <f>H4/202</f>
        <v>127.63861386138613</v>
      </c>
      <c r="L4" s="19">
        <f>'1'!G15</f>
        <v>1063.6000000000931</v>
      </c>
      <c r="M4" s="19">
        <v>56.2</v>
      </c>
      <c r="N4" s="45">
        <f>L4*M4</f>
        <v>59774.320000005238</v>
      </c>
      <c r="O4" s="19">
        <f>'1'!G20</f>
        <v>182</v>
      </c>
      <c r="P4" s="19">
        <v>108</v>
      </c>
      <c r="Q4" s="46">
        <f t="shared" ref="Q4:Q33" si="0">O4*P4</f>
        <v>19656</v>
      </c>
      <c r="R4" s="47">
        <f t="shared" ref="R4:R34" si="1">O4/(F4*202/100)</f>
        <v>102.38523852385239</v>
      </c>
      <c r="S4" s="19">
        <f>'1'!G24</f>
        <v>0</v>
      </c>
      <c r="T4" s="19">
        <v>69</v>
      </c>
      <c r="U4" s="48">
        <f>S4*T4</f>
        <v>0</v>
      </c>
      <c r="V4" s="22">
        <f>'1'!G65</f>
        <v>92</v>
      </c>
      <c r="W4" s="22">
        <f>'1'!G66</f>
        <v>25</v>
      </c>
      <c r="X4" s="22">
        <f>'1'!G67</f>
        <v>0</v>
      </c>
      <c r="Y4" s="22">
        <f>V4+W4+X4</f>
        <v>117</v>
      </c>
      <c r="Z4" s="19">
        <f>'1'!G84</f>
        <v>22.440000000002328</v>
      </c>
      <c r="AA4" s="19">
        <f>'1'!G85</f>
        <v>0</v>
      </c>
      <c r="AB4" s="19">
        <f>'1'!G86</f>
        <v>15.010000000002037</v>
      </c>
      <c r="AC4" s="19">
        <f>'1'!G87</f>
        <v>0</v>
      </c>
      <c r="AD4" s="19">
        <f>Z4+AA4+AB4+AC4</f>
        <v>37.450000000004366</v>
      </c>
      <c r="AE4" s="23">
        <f t="shared" ref="AE4:AE33" si="2">AU4+AV4+BE4+BF4</f>
        <v>6923.2999999999447</v>
      </c>
      <c r="AF4" s="23">
        <f>AE4/AD4</f>
        <v>184.86782376499701</v>
      </c>
      <c r="AG4" s="19">
        <f>'1'!G88</f>
        <v>0</v>
      </c>
      <c r="AH4" s="19">
        <f>'1'!G89</f>
        <v>9.6399999999994179</v>
      </c>
      <c r="AI4" s="19">
        <f>'1'!G90</f>
        <v>11.75</v>
      </c>
      <c r="AJ4" s="19">
        <f>AG4+AH4+AI4</f>
        <v>21.389999999999418</v>
      </c>
      <c r="AK4" s="19">
        <f>'1'!G91</f>
        <v>0</v>
      </c>
      <c r="AL4" s="19">
        <f>'1'!G92</f>
        <v>10.859999999999673</v>
      </c>
      <c r="AM4" s="19"/>
      <c r="AN4" s="19">
        <f>AK4+AL4</f>
        <v>10.859999999999673</v>
      </c>
      <c r="AO4" s="52">
        <f>'1'!G74</f>
        <v>308.04000000003725</v>
      </c>
      <c r="AP4" s="55">
        <f>'1'!G35</f>
        <v>0</v>
      </c>
      <c r="AQ4" s="19">
        <f>'1'!G37</f>
        <v>0</v>
      </c>
      <c r="AR4" s="19">
        <f>'1'!G38</f>
        <v>2260.2999999999884</v>
      </c>
      <c r="AS4" s="19">
        <f>'1'!G39</f>
        <v>0.18999999994412065</v>
      </c>
      <c r="AT4" s="19">
        <f>'1'!G40</f>
        <v>837.7100000000064</v>
      </c>
      <c r="AU4" s="19">
        <f>'1'!G41</f>
        <v>4943.2099999999919</v>
      </c>
      <c r="AV4" s="19">
        <f>'1'!G42</f>
        <v>6.9999999948777258E-2</v>
      </c>
      <c r="AW4" s="19">
        <f>'1'!G43</f>
        <v>0</v>
      </c>
      <c r="AX4" s="19">
        <f>'1'!G44</f>
        <v>0</v>
      </c>
      <c r="AY4" s="56">
        <f>'1'!G36</f>
        <v>620.19000000000233</v>
      </c>
      <c r="AZ4" s="55">
        <f>'1'!G49</f>
        <v>4229.3499999999767</v>
      </c>
      <c r="BA4" s="19">
        <f>'1'!G51</f>
        <v>1127.2000000000007</v>
      </c>
      <c r="BB4" s="19">
        <f>'1'!G52</f>
        <v>-0.24000000000000021</v>
      </c>
      <c r="BC4" s="19">
        <f>'1'!G53</f>
        <v>4348.6699999999983</v>
      </c>
      <c r="BD4" s="19">
        <f>'1'!G54</f>
        <v>341.7899999999936</v>
      </c>
      <c r="BE4" s="19">
        <f>'1'!G55</f>
        <v>1979.6300000000047</v>
      </c>
      <c r="BF4" s="19">
        <f>'1'!G56</f>
        <v>0.38999999999941792</v>
      </c>
      <c r="BG4" s="19">
        <f>'1'!G57</f>
        <v>3125.4500000000116</v>
      </c>
      <c r="BH4" s="56">
        <f>'1'!G50</f>
        <v>1020.390000000014</v>
      </c>
      <c r="BI4" s="60">
        <f>SUM(AU4,AV4,BE4,BF4)</f>
        <v>6923.2999999999447</v>
      </c>
      <c r="BJ4" s="60">
        <f>'1'!G133</f>
        <v>0</v>
      </c>
      <c r="BK4" s="23">
        <f>SUM(AP4,AU4,AV4,AW4,AZ4,BE4,BF4,BG4)/H4%</f>
        <v>55.377962223170051</v>
      </c>
      <c r="BL4" s="23">
        <f>SUM(AS4,BC4)/H4%</f>
        <v>16.867160532133354</v>
      </c>
      <c r="BM4" s="24">
        <f>(AR4+BB4)/H4</f>
        <v>8.765698328355849E-2</v>
      </c>
      <c r="BN4" s="25">
        <f>J4+N4+Q4+U4</f>
        <v>311477.32000000525</v>
      </c>
      <c r="BO4" s="38">
        <f>SUM(AU4,AV4,AW4,BE4,BF4,BG4,BJ4)</f>
        <v>10048.749999999956</v>
      </c>
      <c r="BP4">
        <f>BO4/(AD4*280)</f>
        <v>0.95830154491691633</v>
      </c>
      <c r="BQ4" s="38">
        <f>SUM(AU4,AV4,BE4,BF4)/(AD4*400)</f>
        <v>0.46216955941249249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0.98</v>
      </c>
      <c r="G5" s="19">
        <f>'2'!G7</f>
        <v>25517</v>
      </c>
      <c r="H5" s="19">
        <f>'2'!G8</f>
        <v>25845</v>
      </c>
      <c r="I5" s="19">
        <v>9</v>
      </c>
      <c r="J5" s="49">
        <f t="shared" ref="J5:J34" si="3">H5*I5</f>
        <v>232605</v>
      </c>
      <c r="K5" s="45">
        <f t="shared" ref="K5:K33" si="4">H5/202</f>
        <v>127.94554455445545</v>
      </c>
      <c r="L5" s="19">
        <f>'2'!G15</f>
        <v>1000.6999999997206</v>
      </c>
      <c r="M5" s="19">
        <v>56.2</v>
      </c>
      <c r="N5" s="45">
        <f t="shared" ref="N5:N33" si="5">L5*M5</f>
        <v>56239.339999984302</v>
      </c>
      <c r="O5" s="19">
        <f>'2'!G20</f>
        <v>231</v>
      </c>
      <c r="P5" s="19">
        <v>108</v>
      </c>
      <c r="Q5" s="46">
        <f t="shared" si="0"/>
        <v>24948</v>
      </c>
      <c r="R5" s="47">
        <f t="shared" si="1"/>
        <v>116.69024045261669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454905</v>
      </c>
      <c r="W5" s="22">
        <f>'2'!G66</f>
        <v>17</v>
      </c>
      <c r="X5" s="22">
        <f>'2'!G67</f>
        <v>0</v>
      </c>
      <c r="Y5" s="22">
        <f t="shared" ref="Y5:Y33" si="7">V5+W5+X5</f>
        <v>454922</v>
      </c>
      <c r="Z5" s="19">
        <f>'2'!G84</f>
        <v>11.680000000000291</v>
      </c>
      <c r="AA5" s="19">
        <f>'2'!G85</f>
        <v>0</v>
      </c>
      <c r="AB5" s="19">
        <f>'2'!G86</f>
        <v>23.989999999997963</v>
      </c>
      <c r="AC5" s="19">
        <f>'2'!G87</f>
        <v>0</v>
      </c>
      <c r="AD5" s="19">
        <f t="shared" ref="AD5:AD33" si="8">Z5+AA5+AB5+AC5</f>
        <v>35.669999999998254</v>
      </c>
      <c r="AE5" s="23">
        <f t="shared" si="2"/>
        <v>6103.4199999999837</v>
      </c>
      <c r="AF5" s="23">
        <f t="shared" ref="AF5:AF33" si="9">AE5/AD5</f>
        <v>171.10793383796698</v>
      </c>
      <c r="AG5" s="19">
        <f>'2'!G88</f>
        <v>0</v>
      </c>
      <c r="AH5" s="19">
        <f>'2'!G89</f>
        <v>9.3400000000001455</v>
      </c>
      <c r="AI5" s="19">
        <f>'2'!G90</f>
        <v>10.089999999996508</v>
      </c>
      <c r="AJ5" s="19">
        <f t="shared" ref="AJ5:AJ33" si="10">AG5+AH5+AI5</f>
        <v>19.429999999996653</v>
      </c>
      <c r="AK5" s="19">
        <f>'2'!G91</f>
        <v>0</v>
      </c>
      <c r="AL5" s="19">
        <f>'2'!G92</f>
        <v>10.289999999999964</v>
      </c>
      <c r="AM5" s="19"/>
      <c r="AN5" s="19">
        <f t="shared" ref="AN5:AN33" si="11">AK5+AL5</f>
        <v>10.289999999999964</v>
      </c>
      <c r="AO5" s="52">
        <f>'2'!G74</f>
        <v>286.32999999995809</v>
      </c>
      <c r="AP5" s="55">
        <f>'2'!G35</f>
        <v>4.9999999988358468E-2</v>
      </c>
      <c r="AQ5" s="19">
        <f>'2'!G37</f>
        <v>-0.30999999999767169</v>
      </c>
      <c r="AR5" s="19">
        <f>'2'!G38</f>
        <v>2221.0499999999884</v>
      </c>
      <c r="AS5" s="19">
        <f>'2'!G39</f>
        <v>0</v>
      </c>
      <c r="AT5" s="19">
        <f>'2'!G40</f>
        <v>856.22999999999593</v>
      </c>
      <c r="AU5" s="19">
        <f>'2'!G41</f>
        <v>2451.140000000014</v>
      </c>
      <c r="AV5" s="19">
        <f>'2'!G42</f>
        <v>0</v>
      </c>
      <c r="AW5" s="19">
        <f>'2'!G43</f>
        <v>0</v>
      </c>
      <c r="AX5" s="19">
        <f>'2'!G44</f>
        <v>0</v>
      </c>
      <c r="AY5" s="56">
        <f>'2'!G36</f>
        <v>775.66000000000349</v>
      </c>
      <c r="AZ5" s="55">
        <f>'2'!G49</f>
        <v>4402.6500000000233</v>
      </c>
      <c r="BA5" s="19">
        <f>'2'!G51</f>
        <v>1083.619999999999</v>
      </c>
      <c r="BB5" s="19">
        <f>'2'!G52</f>
        <v>0</v>
      </c>
      <c r="BC5" s="19">
        <f>'2'!G53</f>
        <v>4423.6300000000047</v>
      </c>
      <c r="BD5" s="19">
        <f>'2'!G54</f>
        <v>345.28000000001339</v>
      </c>
      <c r="BE5" s="19">
        <f>'2'!G55</f>
        <v>3652.2799999999697</v>
      </c>
      <c r="BF5" s="19">
        <f>'2'!G56</f>
        <v>0</v>
      </c>
      <c r="BG5" s="19">
        <f>'2'!G57</f>
        <v>2942.6199999999953</v>
      </c>
      <c r="BH5" s="56">
        <f>'2'!G50</f>
        <v>1053.8399999999674</v>
      </c>
      <c r="BI5" s="60">
        <f t="shared" ref="BI5:BI32" si="12">SUM(AU5,AV5,BE5,BF5)</f>
        <v>6103.4199999999837</v>
      </c>
      <c r="BJ5" s="60">
        <f>'2'!G133</f>
        <v>0</v>
      </c>
      <c r="BK5" s="23">
        <f t="shared" ref="BK5:BK33" si="13">SUM(AP5,AU5,AV5,AW5,AZ5,BE5,BF5,BG5)/H5%</f>
        <v>52.03613851808857</v>
      </c>
      <c r="BL5" s="23">
        <f t="shared" ref="BL5:BL33" si="14">SUM(AS5,BC5)/H5%</f>
        <v>17.115999226155949</v>
      </c>
      <c r="BM5" s="24">
        <f t="shared" ref="BM5:BM33" si="15">(AR5+BB5)/H5</f>
        <v>8.5937318630295551E-2</v>
      </c>
      <c r="BN5" s="25">
        <f t="shared" ref="BN5:BN33" si="16">J5+N5+Q5+U5</f>
        <v>313792.33999998431</v>
      </c>
      <c r="BO5" s="38">
        <f t="shared" ref="BO5:BO35" si="17">SUM(AU5,AV5,AW5,BE5,BF5,BG5,BJ5)</f>
        <v>9046.039999999979</v>
      </c>
      <c r="BP5">
        <f t="shared" ref="BP5:BP35" si="18">BO5/(AD5*280)</f>
        <v>0.90572710160603365</v>
      </c>
    </row>
    <row r="6" spans="1:69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0.98</v>
      </c>
      <c r="G6" s="19">
        <f>'3'!G7</f>
        <v>27628.190000000002</v>
      </c>
      <c r="H6" s="19">
        <f>'3'!G8</f>
        <v>28055</v>
      </c>
      <c r="I6" s="19">
        <v>9</v>
      </c>
      <c r="J6" s="49">
        <f t="shared" si="3"/>
        <v>252495</v>
      </c>
      <c r="K6" s="45">
        <f t="shared" si="4"/>
        <v>138.88613861386139</v>
      </c>
      <c r="L6" s="19">
        <f>'3'!G15</f>
        <v>979.20000000018626</v>
      </c>
      <c r="M6" s="19">
        <v>56.2</v>
      </c>
      <c r="N6" s="45">
        <f t="shared" si="5"/>
        <v>55031.040000010471</v>
      </c>
      <c r="O6" s="19">
        <f>'3'!G20</f>
        <v>155</v>
      </c>
      <c r="P6" s="19">
        <v>108</v>
      </c>
      <c r="Q6" s="46">
        <f t="shared" si="0"/>
        <v>16740</v>
      </c>
      <c r="R6" s="47">
        <f t="shared" si="1"/>
        <v>78.298646191149729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104</v>
      </c>
      <c r="W6" s="22">
        <f>'3'!G66</f>
        <v>20</v>
      </c>
      <c r="X6" s="22">
        <f>'3'!G67</f>
        <v>0</v>
      </c>
      <c r="Y6" s="22">
        <f>V6+W6+X6</f>
        <v>124</v>
      </c>
      <c r="Z6" s="19">
        <f>'3'!G84</f>
        <v>0</v>
      </c>
      <c r="AA6" s="19">
        <f>'3'!G85</f>
        <v>16.289999999999964</v>
      </c>
      <c r="AB6" s="19">
        <f>'3'!G86</f>
        <v>24.239999999997963</v>
      </c>
      <c r="AC6" s="19">
        <f>'3'!G87</f>
        <v>0</v>
      </c>
      <c r="AD6" s="19">
        <f t="shared" si="8"/>
        <v>40.529999999997926</v>
      </c>
      <c r="AE6" s="23">
        <f t="shared" si="2"/>
        <v>7359.4100000000326</v>
      </c>
      <c r="AF6" s="23">
        <f t="shared" si="9"/>
        <v>181.5793239575724</v>
      </c>
      <c r="AG6" s="19">
        <f>'3'!G88</f>
        <v>0</v>
      </c>
      <c r="AH6" s="19">
        <f>'3'!G89</f>
        <v>8.5499999999992724</v>
      </c>
      <c r="AI6" s="19">
        <f>'3'!G90</f>
        <v>10.729999999995925</v>
      </c>
      <c r="AJ6" s="19">
        <f t="shared" si="10"/>
        <v>19.279999999995198</v>
      </c>
      <c r="AK6" s="19">
        <f>'3'!G91</f>
        <v>2.0000000000436557E-2</v>
      </c>
      <c r="AL6" s="19">
        <f>'3'!G92</f>
        <v>10.080000000000837</v>
      </c>
      <c r="AM6" s="19"/>
      <c r="AN6" s="19">
        <f t="shared" si="11"/>
        <v>10.100000000001273</v>
      </c>
      <c r="AO6" s="52">
        <f>'3'!G74</f>
        <v>281.28000000002794</v>
      </c>
      <c r="AP6" s="55">
        <f>'3'!G35</f>
        <v>0</v>
      </c>
      <c r="AQ6" s="19">
        <f>'3'!G37</f>
        <v>0</v>
      </c>
      <c r="AR6" s="19">
        <f>'3'!G38</f>
        <v>2247.1199999999953</v>
      </c>
      <c r="AS6" s="19">
        <f>'3'!G39</f>
        <v>0</v>
      </c>
      <c r="AT6" s="19">
        <f>'3'!G40</f>
        <v>844</v>
      </c>
      <c r="AU6" s="19">
        <f>'3'!G41</f>
        <v>0</v>
      </c>
      <c r="AV6" s="19">
        <f>'3'!G42</f>
        <v>3841.7600000000093</v>
      </c>
      <c r="AW6" s="19">
        <f>'3'!G43</f>
        <v>0</v>
      </c>
      <c r="AX6" s="19">
        <f>'3'!G44</f>
        <v>0</v>
      </c>
      <c r="AY6" s="56">
        <f>'3'!G36</f>
        <v>1174.1199999999953</v>
      </c>
      <c r="AZ6" s="55">
        <f>'3'!G49</f>
        <v>4074.1900000000023</v>
      </c>
      <c r="BA6" s="19">
        <f>'3'!G51</f>
        <v>1091.6900000000005</v>
      </c>
      <c r="BB6" s="19">
        <f>'3'!G52</f>
        <v>0</v>
      </c>
      <c r="BC6" s="19">
        <f>'3'!G53</f>
        <v>4283.9599999999991</v>
      </c>
      <c r="BD6" s="19">
        <f>'3'!G54</f>
        <v>341.29999999998836</v>
      </c>
      <c r="BE6" s="19">
        <f>'3'!G55</f>
        <v>3517.6500000000233</v>
      </c>
      <c r="BF6" s="19">
        <f>'3'!G56</f>
        <v>0</v>
      </c>
      <c r="BG6" s="19">
        <f>'3'!G57</f>
        <v>3175.1199999999953</v>
      </c>
      <c r="BH6" s="56">
        <f>'3'!G50</f>
        <v>1586.5400000000373</v>
      </c>
      <c r="BI6" s="60">
        <f t="shared" si="12"/>
        <v>7359.4100000000326</v>
      </c>
      <c r="BJ6" s="60">
        <f>'3'!G133</f>
        <v>0</v>
      </c>
      <c r="BK6" s="23">
        <f t="shared" si="13"/>
        <v>52.071716271609446</v>
      </c>
      <c r="BL6" s="23">
        <f t="shared" si="14"/>
        <v>15.26986276955979</v>
      </c>
      <c r="BM6" s="24">
        <f t="shared" si="15"/>
        <v>8.0096952414899142E-2</v>
      </c>
      <c r="BN6" s="25">
        <f t="shared" si="16"/>
        <v>324266.04000001046</v>
      </c>
      <c r="BO6" s="38">
        <f t="shared" si="17"/>
        <v>10534.530000000028</v>
      </c>
      <c r="BP6">
        <f t="shared" si="18"/>
        <v>0.92828328222485701</v>
      </c>
    </row>
    <row r="7" spans="1:69">
      <c r="A7" s="16">
        <v>4</v>
      </c>
      <c r="B7" s="27">
        <v>4</v>
      </c>
      <c r="C7" s="27"/>
      <c r="D7" s="19">
        <f>'4'!D3</f>
        <v>27</v>
      </c>
      <c r="E7" s="50">
        <f>'4'!D4</f>
        <v>0.93</v>
      </c>
      <c r="F7" s="50">
        <f>'4'!D2</f>
        <v>0.53</v>
      </c>
      <c r="G7" s="19">
        <f>'4'!G7</f>
        <v>25466</v>
      </c>
      <c r="H7" s="19">
        <f>'4'!G8</f>
        <v>25892</v>
      </c>
      <c r="I7" s="19">
        <v>9</v>
      </c>
      <c r="J7" s="49">
        <f t="shared" si="3"/>
        <v>233028</v>
      </c>
      <c r="K7" s="45">
        <f t="shared" si="4"/>
        <v>128.17821782178217</v>
      </c>
      <c r="L7" s="19">
        <f>'4'!G15</f>
        <v>1002.2999999998137</v>
      </c>
      <c r="M7" s="19">
        <v>56.2</v>
      </c>
      <c r="N7" s="45">
        <f t="shared" si="5"/>
        <v>56329.259999989532</v>
      </c>
      <c r="O7" s="19">
        <f>'4'!G20</f>
        <v>183</v>
      </c>
      <c r="P7" s="19">
        <v>108</v>
      </c>
      <c r="Q7" s="46">
        <f t="shared" si="0"/>
        <v>19764</v>
      </c>
      <c r="R7" s="47">
        <f t="shared" si="1"/>
        <v>170.93218755837847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108</v>
      </c>
      <c r="W7" s="22">
        <f>'4'!G66</f>
        <v>22</v>
      </c>
      <c r="X7" s="22">
        <f>'4'!G67</f>
        <v>0</v>
      </c>
      <c r="Y7" s="22">
        <f t="shared" si="7"/>
        <v>130</v>
      </c>
      <c r="Z7" s="19">
        <f>'4'!G84</f>
        <v>12.469999999993888</v>
      </c>
      <c r="AA7" s="19">
        <f>'4'!G85</f>
        <v>0</v>
      </c>
      <c r="AB7" s="19">
        <f>'4'!G86</f>
        <v>24.330000000001746</v>
      </c>
      <c r="AC7" s="19">
        <f>'4'!G87</f>
        <v>0</v>
      </c>
      <c r="AD7" s="19">
        <f t="shared" si="8"/>
        <v>36.799999999995634</v>
      </c>
      <c r="AE7" s="23">
        <f t="shared" si="2"/>
        <v>6053.679999999993</v>
      </c>
      <c r="AF7" s="23">
        <f t="shared" si="9"/>
        <v>164.50217391306279</v>
      </c>
      <c r="AG7" s="19">
        <f>'4'!G88</f>
        <v>0.2000000000007276</v>
      </c>
      <c r="AH7" s="19">
        <f>'4'!G89</f>
        <v>9.1500000000014552</v>
      </c>
      <c r="AI7" s="19">
        <f>'4'!G90</f>
        <v>11.309999999997672</v>
      </c>
      <c r="AJ7" s="19">
        <f t="shared" si="10"/>
        <v>20.659999999999854</v>
      </c>
      <c r="AK7" s="19">
        <f>'4'!G91</f>
        <v>0</v>
      </c>
      <c r="AL7" s="19">
        <f>'4'!G92</f>
        <v>10.519999999999527</v>
      </c>
      <c r="AM7" s="19"/>
      <c r="AN7" s="19">
        <f t="shared" si="11"/>
        <v>10.519999999999527</v>
      </c>
      <c r="AO7" s="52">
        <f>'4'!G74</f>
        <v>292.34999999997672</v>
      </c>
      <c r="AP7" s="55">
        <f>'4'!G35</f>
        <v>-4.9999999988358468E-2</v>
      </c>
      <c r="AQ7" s="19">
        <f>'4'!G37</f>
        <v>0</v>
      </c>
      <c r="AR7" s="19">
        <f>'4'!G38</f>
        <v>2254.1600000000326</v>
      </c>
      <c r="AS7" s="19">
        <f>'4'!G39</f>
        <v>0</v>
      </c>
      <c r="AT7" s="19">
        <f>'4'!G40</f>
        <v>881.05999999999767</v>
      </c>
      <c r="AU7" s="19">
        <f>'4'!G41</f>
        <v>2428.4400000000023</v>
      </c>
      <c r="AV7" s="19">
        <f>'4'!G42</f>
        <v>0</v>
      </c>
      <c r="AW7" s="19">
        <f>'4'!G43</f>
        <v>0</v>
      </c>
      <c r="AX7" s="19">
        <f>'4'!G44</f>
        <v>0</v>
      </c>
      <c r="AY7" s="56">
        <f>'4'!G36</f>
        <v>810.57999999998719</v>
      </c>
      <c r="AZ7" s="55">
        <f>'4'!G49</f>
        <v>4185.7999999999884</v>
      </c>
      <c r="BA7" s="19">
        <f>'4'!G51</f>
        <v>1113.08</v>
      </c>
      <c r="BB7" s="19">
        <f>'4'!G52</f>
        <v>-9.9999999999997868E-3</v>
      </c>
      <c r="BC7" s="19">
        <f>'4'!G53</f>
        <v>4351.1299999999974</v>
      </c>
      <c r="BD7" s="19">
        <f>'4'!G54</f>
        <v>260.61000000000058</v>
      </c>
      <c r="BE7" s="19">
        <f>'4'!G55</f>
        <v>3625.2399999999907</v>
      </c>
      <c r="BF7" s="19">
        <f>'4'!G56</f>
        <v>0</v>
      </c>
      <c r="BG7" s="19">
        <f>'4'!G57</f>
        <v>3159</v>
      </c>
      <c r="BH7" s="56">
        <f>'4'!G50</f>
        <v>1123.2199999999721</v>
      </c>
      <c r="BI7" s="60">
        <f t="shared" si="12"/>
        <v>6053.679999999993</v>
      </c>
      <c r="BJ7" s="60">
        <f>'3'!G133</f>
        <v>0</v>
      </c>
      <c r="BK7" s="23">
        <f t="shared" si="13"/>
        <v>51.747373706164034</v>
      </c>
      <c r="BL7" s="23">
        <f t="shared" si="14"/>
        <v>16.804920438745548</v>
      </c>
      <c r="BM7" s="24">
        <f t="shared" si="15"/>
        <v>8.7059709562800569E-2</v>
      </c>
      <c r="BN7" s="25">
        <f t="shared" si="16"/>
        <v>309121.25999998953</v>
      </c>
      <c r="BO7" s="38">
        <f t="shared" si="17"/>
        <v>9212.679999999993</v>
      </c>
      <c r="BP7">
        <f t="shared" si="18"/>
        <v>0.89408773291936006</v>
      </c>
    </row>
    <row r="8" spans="1:69">
      <c r="A8" s="16">
        <v>5</v>
      </c>
      <c r="B8" s="27">
        <v>5</v>
      </c>
      <c r="C8" s="27"/>
      <c r="D8" s="19">
        <f>'5'!D3</f>
        <v>27</v>
      </c>
      <c r="E8" s="50">
        <f>'5'!D4</f>
        <v>0.78</v>
      </c>
      <c r="F8" s="50">
        <f>'5'!D2</f>
        <v>0.63</v>
      </c>
      <c r="G8" s="19">
        <f>'5'!G7</f>
        <v>26773.809999999998</v>
      </c>
      <c r="H8" s="19">
        <f>'5'!G8</f>
        <v>27118</v>
      </c>
      <c r="I8" s="19">
        <v>9</v>
      </c>
      <c r="J8" s="49">
        <f t="shared" si="3"/>
        <v>244062</v>
      </c>
      <c r="K8" s="45">
        <f t="shared" si="4"/>
        <v>134.24752475247524</v>
      </c>
      <c r="L8" s="19">
        <f>'5'!G15</f>
        <v>1047.2000000001863</v>
      </c>
      <c r="M8" s="19">
        <v>56.2</v>
      </c>
      <c r="N8" s="45">
        <f t="shared" si="5"/>
        <v>58852.64000001047</v>
      </c>
      <c r="O8" s="19">
        <f>'5'!G20</f>
        <v>192</v>
      </c>
      <c r="P8" s="19">
        <v>108</v>
      </c>
      <c r="Q8" s="46">
        <f t="shared" si="0"/>
        <v>20736</v>
      </c>
      <c r="R8" s="47">
        <f t="shared" si="1"/>
        <v>150.87223008015087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102</v>
      </c>
      <c r="W8" s="22">
        <f>'5'!G66</f>
        <v>25</v>
      </c>
      <c r="X8" s="22">
        <f>'5'!G67</f>
        <v>0</v>
      </c>
      <c r="Y8" s="22">
        <f t="shared" si="7"/>
        <v>127</v>
      </c>
      <c r="Z8" s="19">
        <f>'5'!G84</f>
        <v>13.960000000006403</v>
      </c>
      <c r="AA8" s="19">
        <f>'5'!G85</f>
        <v>0</v>
      </c>
      <c r="AB8" s="19">
        <f>'5'!G86</f>
        <v>24.430000000000291</v>
      </c>
      <c r="AC8" s="19">
        <f>'5'!G87</f>
        <v>0</v>
      </c>
      <c r="AD8" s="19">
        <f t="shared" si="8"/>
        <v>38.390000000006694</v>
      </c>
      <c r="AE8" s="23">
        <f t="shared" si="2"/>
        <v>6662.0200000000041</v>
      </c>
      <c r="AF8" s="23">
        <f t="shared" si="9"/>
        <v>173.53529564987869</v>
      </c>
      <c r="AG8" s="19">
        <f>'5'!G88</f>
        <v>-0.2000000000007276</v>
      </c>
      <c r="AH8" s="19">
        <f>'5'!G89</f>
        <v>9.0599999999976717</v>
      </c>
      <c r="AI8" s="19">
        <f>'5'!G90</f>
        <v>12.540000000008149</v>
      </c>
      <c r="AJ8" s="19">
        <f t="shared" si="10"/>
        <v>21.400000000005093</v>
      </c>
      <c r="AK8" s="19">
        <f>'5'!G91</f>
        <v>0</v>
      </c>
      <c r="AL8" s="19">
        <f>'5'!G92</f>
        <v>10.25</v>
      </c>
      <c r="AM8" s="19"/>
      <c r="AN8" s="19">
        <f t="shared" si="11"/>
        <v>10.25</v>
      </c>
      <c r="AO8" s="52">
        <f>'5'!G74</f>
        <v>286.14000000001397</v>
      </c>
      <c r="AP8" s="55">
        <f>'5'!G35</f>
        <v>0</v>
      </c>
      <c r="AQ8" s="19">
        <f>'5'!G37</f>
        <v>0</v>
      </c>
      <c r="AR8" s="19">
        <f>'5'!G38</f>
        <v>2239.3699999999953</v>
      </c>
      <c r="AS8" s="19">
        <f>'5'!G39</f>
        <v>-0.18999999994412065</v>
      </c>
      <c r="AT8" s="19">
        <f>'5'!G40</f>
        <v>861</v>
      </c>
      <c r="AU8" s="19">
        <f>'5'!G41</f>
        <v>3130.2099999999919</v>
      </c>
      <c r="AV8" s="19">
        <f>'5'!G42</f>
        <v>0</v>
      </c>
      <c r="AW8" s="19">
        <f>'5'!G43</f>
        <v>0</v>
      </c>
      <c r="AX8" s="19">
        <f>'5'!G44</f>
        <v>0</v>
      </c>
      <c r="AY8" s="56">
        <f>'5'!G36</f>
        <v>1153.4500000000116</v>
      </c>
      <c r="AZ8" s="55">
        <f>'5'!G49</f>
        <v>4350.0100000000093</v>
      </c>
      <c r="BA8" s="19">
        <f>'5'!G51</f>
        <v>1100.4099999999999</v>
      </c>
      <c r="BB8" s="19">
        <f>'5'!G52</f>
        <v>9.9999999999997868E-3</v>
      </c>
      <c r="BC8" s="19">
        <f>'5'!G53</f>
        <v>4215.6100000000006</v>
      </c>
      <c r="BD8" s="19">
        <f>'5'!G54</f>
        <v>432.02000000000407</v>
      </c>
      <c r="BE8" s="19">
        <f>'5'!G55</f>
        <v>3532.2000000000116</v>
      </c>
      <c r="BF8" s="19">
        <f>'5'!G56</f>
        <v>-0.38999999999941792</v>
      </c>
      <c r="BG8" s="19">
        <f>'5'!G57</f>
        <v>3388.8099999999977</v>
      </c>
      <c r="BH8" s="56">
        <f>'5'!G50</f>
        <v>1030.0100000000093</v>
      </c>
      <c r="BI8" s="60">
        <f t="shared" si="12"/>
        <v>6662.0200000000041</v>
      </c>
      <c r="BJ8" s="60">
        <f>'5'!G133</f>
        <v>0</v>
      </c>
      <c r="BK8" s="23">
        <f t="shared" si="13"/>
        <v>53.104358728519841</v>
      </c>
      <c r="BL8" s="23">
        <f t="shared" si="14"/>
        <v>15.544730437348095</v>
      </c>
      <c r="BM8" s="24">
        <f t="shared" si="15"/>
        <v>8.2579098753595231E-2</v>
      </c>
      <c r="BN8" s="25">
        <f t="shared" si="16"/>
        <v>323650.64000001049</v>
      </c>
      <c r="BO8" s="38">
        <f t="shared" si="17"/>
        <v>10050.830000000002</v>
      </c>
      <c r="BP8">
        <f t="shared" si="18"/>
        <v>0.93503051389854586</v>
      </c>
    </row>
    <row r="9" spans="1:69">
      <c r="A9" s="16">
        <v>6</v>
      </c>
      <c r="B9" s="17">
        <v>6</v>
      </c>
      <c r="C9" s="26"/>
      <c r="D9" s="19">
        <f>'6'!D3</f>
        <v>27</v>
      </c>
      <c r="E9" s="50">
        <f>'6'!D4</f>
        <v>0.79</v>
      </c>
      <c r="F9" s="50">
        <f>'6'!D2</f>
        <v>0.81</v>
      </c>
      <c r="G9" s="19">
        <f>'6'!G7</f>
        <v>25778</v>
      </c>
      <c r="H9" s="19">
        <f>'6'!G8</f>
        <v>26156</v>
      </c>
      <c r="I9" s="19">
        <v>9</v>
      </c>
      <c r="J9" s="49">
        <f t="shared" si="3"/>
        <v>235404</v>
      </c>
      <c r="K9" s="45">
        <f t="shared" si="4"/>
        <v>129.48514851485149</v>
      </c>
      <c r="L9" s="19">
        <f>'6'!G15</f>
        <v>981</v>
      </c>
      <c r="M9" s="19">
        <v>56.2</v>
      </c>
      <c r="N9" s="45">
        <f t="shared" si="5"/>
        <v>55132.200000000004</v>
      </c>
      <c r="O9" s="19">
        <f>'6'!G20</f>
        <v>247</v>
      </c>
      <c r="P9" s="19">
        <v>108</v>
      </c>
      <c r="Q9" s="46">
        <f t="shared" si="0"/>
        <v>26676</v>
      </c>
      <c r="R9" s="47">
        <f t="shared" si="1"/>
        <v>150.95954039848428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104</v>
      </c>
      <c r="W9" s="22">
        <f>'6'!G66</f>
        <v>23</v>
      </c>
      <c r="X9" s="22">
        <f>'6'!G67</f>
        <v>0</v>
      </c>
      <c r="Y9" s="22">
        <f t="shared" si="7"/>
        <v>127</v>
      </c>
      <c r="Z9" s="19">
        <f>'6'!G84</f>
        <v>13.44999999999709</v>
      </c>
      <c r="AA9" s="19">
        <f>'6'!G85</f>
        <v>0</v>
      </c>
      <c r="AB9" s="19">
        <f>'6'!G86</f>
        <v>24</v>
      </c>
      <c r="AC9" s="19">
        <f>'6'!G87</f>
        <v>0</v>
      </c>
      <c r="AD9" s="19">
        <f t="shared" si="8"/>
        <v>37.44999999999709</v>
      </c>
      <c r="AE9" s="23">
        <f t="shared" si="2"/>
        <v>6391.1700000000419</v>
      </c>
      <c r="AF9" s="23">
        <f t="shared" si="9"/>
        <v>170.65874499333881</v>
      </c>
      <c r="AG9" s="19">
        <f>'6'!G88</f>
        <v>10.540000000000873</v>
      </c>
      <c r="AH9" s="19">
        <f>'6'!G89</f>
        <v>0</v>
      </c>
      <c r="AI9" s="19">
        <f>'6'!G90</f>
        <v>11.029999999998836</v>
      </c>
      <c r="AJ9" s="19">
        <f t="shared" si="10"/>
        <v>21.569999999999709</v>
      </c>
      <c r="AK9" s="19">
        <f>'6'!G91</f>
        <v>0</v>
      </c>
      <c r="AL9" s="19">
        <f>'6'!G92</f>
        <v>11.230000000000473</v>
      </c>
      <c r="AM9" s="19"/>
      <c r="AN9" s="19">
        <f t="shared" si="11"/>
        <v>11.230000000000473</v>
      </c>
      <c r="AO9" s="52">
        <f>'6'!G74</f>
        <v>312</v>
      </c>
      <c r="AP9" s="55">
        <f>'6'!G35</f>
        <v>0</v>
      </c>
      <c r="AQ9" s="19">
        <f>'6'!G37</f>
        <v>0</v>
      </c>
      <c r="AR9" s="19">
        <f>'6'!G38</f>
        <v>2225</v>
      </c>
      <c r="AS9" s="19">
        <f>'6'!G39</f>
        <v>0</v>
      </c>
      <c r="AT9" s="19">
        <f>'6'!G40</f>
        <v>851.66999999999825</v>
      </c>
      <c r="AU9" s="19">
        <f>'6'!G41</f>
        <v>2883</v>
      </c>
      <c r="AV9" s="19">
        <f>'6'!G42</f>
        <v>0.17000000004190952</v>
      </c>
      <c r="AW9" s="19">
        <f>'6'!G43</f>
        <v>0</v>
      </c>
      <c r="AX9" s="19">
        <f>'6'!G44</f>
        <v>0</v>
      </c>
      <c r="AY9" s="56">
        <f>'6'!G36</f>
        <v>879</v>
      </c>
      <c r="AZ9" s="55">
        <f>'6'!G49</f>
        <v>4273</v>
      </c>
      <c r="BA9" s="19">
        <f>'6'!G51</f>
        <v>1116</v>
      </c>
      <c r="BB9" s="19">
        <f>'6'!G52</f>
        <v>0</v>
      </c>
      <c r="BC9" s="19">
        <f>'6'!G53</f>
        <v>4247</v>
      </c>
      <c r="BD9" s="19">
        <f>'6'!G54</f>
        <v>345</v>
      </c>
      <c r="BE9" s="19">
        <f>'6'!G55</f>
        <v>3508</v>
      </c>
      <c r="BF9" s="19">
        <f>'6'!G56</f>
        <v>0</v>
      </c>
      <c r="BG9" s="19">
        <f>'6'!G57</f>
        <v>3116</v>
      </c>
      <c r="BH9" s="56">
        <f>'6'!G50</f>
        <v>993</v>
      </c>
      <c r="BI9" s="60">
        <f t="shared" si="12"/>
        <v>6391.1700000000419</v>
      </c>
      <c r="BJ9" s="60">
        <f>'6'!G133</f>
        <v>0.41000000000349246</v>
      </c>
      <c r="BK9" s="23">
        <f t="shared" si="13"/>
        <v>52.684546566753482</v>
      </c>
      <c r="BL9" s="23">
        <f t="shared" si="14"/>
        <v>16.237192231228015</v>
      </c>
      <c r="BM9" s="24">
        <f t="shared" si="15"/>
        <v>8.5066523933323132E-2</v>
      </c>
      <c r="BN9" s="25">
        <f t="shared" si="16"/>
        <v>317212.2</v>
      </c>
      <c r="BO9" s="38">
        <f t="shared" si="17"/>
        <v>9507.5800000000454</v>
      </c>
      <c r="BP9">
        <f t="shared" si="18"/>
        <v>0.90669273316810839</v>
      </c>
    </row>
    <row r="10" spans="1:69">
      <c r="A10" s="16">
        <v>7</v>
      </c>
      <c r="B10" s="26">
        <v>7</v>
      </c>
      <c r="C10" s="27"/>
      <c r="D10" s="19">
        <f>'7'!D3</f>
        <v>28</v>
      </c>
      <c r="E10" s="50">
        <f>'7'!D4</f>
        <v>0.78</v>
      </c>
      <c r="F10" s="50">
        <f>'7'!D2</f>
        <v>0.82</v>
      </c>
      <c r="G10" s="19">
        <f>'7'!G7</f>
        <v>25498</v>
      </c>
      <c r="H10" s="19">
        <f>'7'!G8</f>
        <v>25917</v>
      </c>
      <c r="I10" s="19">
        <v>9</v>
      </c>
      <c r="J10" s="49">
        <f t="shared" si="3"/>
        <v>233253</v>
      </c>
      <c r="K10" s="45">
        <f t="shared" si="4"/>
        <v>128.30198019801981</v>
      </c>
      <c r="L10" s="19">
        <f>'7'!G15</f>
        <v>1066</v>
      </c>
      <c r="M10" s="19">
        <v>56.2</v>
      </c>
      <c r="N10" s="45">
        <f t="shared" si="5"/>
        <v>59909.200000000004</v>
      </c>
      <c r="O10" s="19">
        <f>'7'!G20</f>
        <v>287</v>
      </c>
      <c r="P10" s="19">
        <v>108</v>
      </c>
      <c r="Q10" s="46">
        <f t="shared" si="0"/>
        <v>30996</v>
      </c>
      <c r="R10" s="47">
        <f t="shared" si="1"/>
        <v>173.26732673267327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101</v>
      </c>
      <c r="W10" s="22">
        <f>'7'!G66</f>
        <v>31</v>
      </c>
      <c r="X10" s="22">
        <f>'7'!G67</f>
        <v>0</v>
      </c>
      <c r="Y10" s="22">
        <f t="shared" si="7"/>
        <v>132</v>
      </c>
      <c r="Z10" s="19">
        <f>'7'!G84</f>
        <v>14</v>
      </c>
      <c r="AA10" s="19">
        <f>'7'!G85</f>
        <v>0</v>
      </c>
      <c r="AB10" s="19">
        <f>'7'!G86</f>
        <v>24</v>
      </c>
      <c r="AC10" s="19">
        <f>'7'!G87</f>
        <v>-0.43000000000029104</v>
      </c>
      <c r="AD10" s="19">
        <f t="shared" si="8"/>
        <v>37.569999999999709</v>
      </c>
      <c r="AE10" s="23">
        <f t="shared" si="2"/>
        <v>6173</v>
      </c>
      <c r="AF10" s="23">
        <f t="shared" si="9"/>
        <v>164.3066276284282</v>
      </c>
      <c r="AG10" s="19">
        <f>'7'!G88</f>
        <v>4.9599999999991269</v>
      </c>
      <c r="AH10" s="19">
        <f>'7'!G89</f>
        <v>4.6500000000014552</v>
      </c>
      <c r="AI10" s="19">
        <f>'7'!G90</f>
        <v>11</v>
      </c>
      <c r="AJ10" s="19">
        <f t="shared" si="10"/>
        <v>20.610000000000582</v>
      </c>
      <c r="AK10" s="19">
        <f>'7'!G91</f>
        <v>0</v>
      </c>
      <c r="AL10" s="19">
        <f>'7'!G92</f>
        <v>12.889999999999418</v>
      </c>
      <c r="AM10" s="19"/>
      <c r="AN10" s="19">
        <f t="shared" si="11"/>
        <v>12.889999999999418</v>
      </c>
      <c r="AO10" s="52">
        <f>'7'!G74</f>
        <v>359</v>
      </c>
      <c r="AP10" s="55">
        <f>'7'!G35</f>
        <v>0</v>
      </c>
      <c r="AQ10" s="19">
        <f>'7'!G37</f>
        <v>0</v>
      </c>
      <c r="AR10" s="19">
        <f>'7'!G38</f>
        <v>2257</v>
      </c>
      <c r="AS10" s="19">
        <f>'7'!G39</f>
        <v>0</v>
      </c>
      <c r="AT10" s="19">
        <f>'7'!G40</f>
        <v>871.33000000000175</v>
      </c>
      <c r="AU10" s="19">
        <f>'7'!G41</f>
        <v>2682</v>
      </c>
      <c r="AV10" s="19">
        <f>'7'!G42</f>
        <v>0</v>
      </c>
      <c r="AW10" s="19">
        <f>'7'!G43</f>
        <v>0</v>
      </c>
      <c r="AX10" s="19">
        <f>'7'!G44</f>
        <v>0</v>
      </c>
      <c r="AY10" s="56">
        <f>'7'!G36</f>
        <v>801</v>
      </c>
      <c r="AZ10" s="55">
        <f>'7'!G49</f>
        <v>4335</v>
      </c>
      <c r="BA10" s="19">
        <f>'7'!G51</f>
        <v>1065</v>
      </c>
      <c r="BB10" s="19">
        <f>'7'!G52</f>
        <v>0</v>
      </c>
      <c r="BC10" s="19">
        <f>'7'!G53</f>
        <v>4343</v>
      </c>
      <c r="BD10" s="19">
        <f>'7'!G54</f>
        <v>350</v>
      </c>
      <c r="BE10" s="19">
        <f>'7'!G55</f>
        <v>3491</v>
      </c>
      <c r="BF10" s="19">
        <f>'7'!G56</f>
        <v>0</v>
      </c>
      <c r="BG10" s="19">
        <f>'7'!G57</f>
        <v>3091</v>
      </c>
      <c r="BH10" s="56">
        <f>'7'!G50</f>
        <v>1137</v>
      </c>
      <c r="BI10" s="60">
        <f t="shared" si="12"/>
        <v>6173</v>
      </c>
      <c r="BJ10" s="60">
        <f>'7'!G133</f>
        <v>0</v>
      </c>
      <c r="BK10" s="23">
        <f t="shared" si="13"/>
        <v>52.471350850792909</v>
      </c>
      <c r="BL10" s="23">
        <f t="shared" si="14"/>
        <v>16.757340741598178</v>
      </c>
      <c r="BM10" s="24">
        <f t="shared" si="15"/>
        <v>8.7085696646988467E-2</v>
      </c>
      <c r="BN10" s="25">
        <f t="shared" si="16"/>
        <v>324158.2</v>
      </c>
      <c r="BO10" s="38">
        <f t="shared" si="17"/>
        <v>9264</v>
      </c>
      <c r="BP10">
        <f t="shared" si="18"/>
        <v>0.88064184949998781</v>
      </c>
    </row>
    <row r="11" spans="1:69">
      <c r="A11" s="16">
        <v>8</v>
      </c>
      <c r="B11" s="26">
        <v>8</v>
      </c>
      <c r="C11" s="18"/>
      <c r="D11" s="19">
        <f>'8'!D3</f>
        <v>28</v>
      </c>
      <c r="E11" s="50">
        <f>'8'!D4</f>
        <v>0.78</v>
      </c>
      <c r="F11" s="50">
        <f>'8'!D2</f>
        <v>0.98</v>
      </c>
      <c r="G11" s="19">
        <f>'8'!G7</f>
        <v>26200</v>
      </c>
      <c r="H11" s="19">
        <f>'8'!G8</f>
        <v>26500</v>
      </c>
      <c r="I11" s="19">
        <v>9</v>
      </c>
      <c r="J11" s="49">
        <f t="shared" si="3"/>
        <v>238500</v>
      </c>
      <c r="K11" s="45">
        <f t="shared" si="4"/>
        <v>131.1881188118812</v>
      </c>
      <c r="L11" s="19">
        <f>'8'!G15</f>
        <v>1000</v>
      </c>
      <c r="M11" s="19">
        <v>56.2</v>
      </c>
      <c r="N11" s="45">
        <f t="shared" si="5"/>
        <v>56200</v>
      </c>
      <c r="O11" s="19">
        <f>'8'!G20</f>
        <v>-1308</v>
      </c>
      <c r="P11" s="19">
        <v>108</v>
      </c>
      <c r="Q11" s="46">
        <f t="shared" si="0"/>
        <v>-141264</v>
      </c>
      <c r="R11" s="47">
        <f t="shared" si="1"/>
        <v>-660.73954334208929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-3254</v>
      </c>
      <c r="W11" s="22">
        <f>'8'!G66</f>
        <v>-725</v>
      </c>
      <c r="X11" s="22">
        <f>'8'!G67</f>
        <v>0</v>
      </c>
      <c r="Y11" s="22">
        <f t="shared" si="7"/>
        <v>-3979</v>
      </c>
      <c r="Z11" s="19">
        <f>'8'!G84</f>
        <v>-361</v>
      </c>
      <c r="AA11" s="19">
        <f>'8'!G85</f>
        <v>-137.47999999999956</v>
      </c>
      <c r="AB11" s="19">
        <f>'8'!G86</f>
        <v>-604</v>
      </c>
      <c r="AC11" s="19">
        <f>'8'!G87</f>
        <v>-36</v>
      </c>
      <c r="AD11" s="19">
        <f t="shared" si="8"/>
        <v>-1138.4799999999996</v>
      </c>
      <c r="AE11" s="23">
        <f t="shared" si="2"/>
        <v>-202776</v>
      </c>
      <c r="AF11" s="23">
        <f t="shared" si="9"/>
        <v>178.11116576487956</v>
      </c>
      <c r="AG11" s="19">
        <f>'8'!G88</f>
        <v>-33.959999999999127</v>
      </c>
      <c r="AH11" s="19">
        <f>'8'!G89</f>
        <v>-253.43000000000029</v>
      </c>
      <c r="AI11" s="19">
        <f>'8'!G90</f>
        <v>-322.00999999999476</v>
      </c>
      <c r="AJ11" s="19">
        <f t="shared" si="10"/>
        <v>-609.39999999999418</v>
      </c>
      <c r="AK11" s="19">
        <f>'8'!G91</f>
        <v>-102.5600000000004</v>
      </c>
      <c r="AL11" s="19">
        <f>'8'!G92</f>
        <v>-239.44999999999982</v>
      </c>
      <c r="AM11" s="19"/>
      <c r="AN11" s="19">
        <f t="shared" si="11"/>
        <v>-342.01000000000022</v>
      </c>
      <c r="AO11" s="52">
        <f>'8'!G74</f>
        <v>-9643</v>
      </c>
      <c r="AP11" s="55">
        <f>'8'!G35</f>
        <v>0</v>
      </c>
      <c r="AQ11" s="19">
        <f>'8'!G37</f>
        <v>-23430.690000000002</v>
      </c>
      <c r="AR11" s="19">
        <f>'8'!G38</f>
        <v>-68479</v>
      </c>
      <c r="AS11" s="19">
        <f>'8'!G39</f>
        <v>-44357</v>
      </c>
      <c r="AT11" s="19">
        <f>'8'!G40</f>
        <v>-24353</v>
      </c>
      <c r="AU11" s="19">
        <f>'8'!G41</f>
        <v>-77527</v>
      </c>
      <c r="AV11" s="19">
        <f>'8'!G42</f>
        <v>-31008</v>
      </c>
      <c r="AW11" s="19">
        <f>'8'!G43</f>
        <v>0</v>
      </c>
      <c r="AX11" s="23">
        <f>'8'!G44</f>
        <v>0</v>
      </c>
      <c r="AY11" s="56">
        <f>'8'!G36</f>
        <v>-27407</v>
      </c>
      <c r="AZ11" s="55">
        <f>'8'!G49</f>
        <v>-115227</v>
      </c>
      <c r="BA11" s="19">
        <f>'8'!G51</f>
        <v>-16129.32</v>
      </c>
      <c r="BB11" s="19">
        <f>'8'!G52</f>
        <v>0</v>
      </c>
      <c r="BC11" s="19">
        <f>'8'!G53</f>
        <v>-64074</v>
      </c>
      <c r="BD11" s="19">
        <f>'8'!G54</f>
        <v>-10512</v>
      </c>
      <c r="BE11" s="19">
        <f>'8'!G55</f>
        <v>-89156</v>
      </c>
      <c r="BF11" s="19">
        <f>'8'!G56</f>
        <v>-5085</v>
      </c>
      <c r="BG11" s="19">
        <f>'8'!G57</f>
        <v>-91382</v>
      </c>
      <c r="BH11" s="56">
        <f>'8'!G50</f>
        <v>-37797</v>
      </c>
      <c r="BI11" s="60">
        <f t="shared" si="12"/>
        <v>-202776</v>
      </c>
      <c r="BJ11" s="60">
        <f>'8'!G133</f>
        <v>567211</v>
      </c>
      <c r="BK11" s="23">
        <f t="shared" si="13"/>
        <v>-1544.8490566037735</v>
      </c>
      <c r="BL11" s="23">
        <f t="shared" si="14"/>
        <v>-409.17358490566039</v>
      </c>
      <c r="BM11" s="24">
        <f t="shared" si="15"/>
        <v>-2.58411320754717</v>
      </c>
      <c r="BN11" s="25">
        <f t="shared" si="16"/>
        <v>153436</v>
      </c>
      <c r="BO11" s="38">
        <f t="shared" si="17"/>
        <v>273053</v>
      </c>
      <c r="BP11">
        <f t="shared" si="18"/>
        <v>-0.85657129305239088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26200</v>
      </c>
      <c r="H12" s="19">
        <f>'9'!G8</f>
        <v>26500</v>
      </c>
      <c r="I12" s="19">
        <v>9</v>
      </c>
      <c r="J12" s="49">
        <f t="shared" si="3"/>
        <v>238500</v>
      </c>
      <c r="K12" s="45">
        <f t="shared" si="4"/>
        <v>131.1881188118812</v>
      </c>
      <c r="L12" s="19">
        <f>'9'!G15</f>
        <v>1000</v>
      </c>
      <c r="M12" s="19">
        <v>56.2</v>
      </c>
      <c r="N12" s="45">
        <f t="shared" si="5"/>
        <v>56200</v>
      </c>
      <c r="O12" s="19">
        <f>'9'!G20</f>
        <v>270</v>
      </c>
      <c r="P12" s="19">
        <v>108</v>
      </c>
      <c r="Q12" s="46">
        <f t="shared" si="0"/>
        <v>29160</v>
      </c>
      <c r="R12" s="47">
        <f t="shared" si="1"/>
        <v>205.63594821020561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101</v>
      </c>
      <c r="W12" s="22">
        <f>'9'!G66</f>
        <v>27</v>
      </c>
      <c r="X12" s="22">
        <f>'9'!G67</f>
        <v>0</v>
      </c>
      <c r="Y12" s="22">
        <f t="shared" si="7"/>
        <v>128</v>
      </c>
      <c r="Z12" s="19">
        <f>'9'!G84</f>
        <v>23.410000000003492</v>
      </c>
      <c r="AA12" s="19">
        <f>'9'!G85</f>
        <v>0.47000000000025466</v>
      </c>
      <c r="AB12" s="19">
        <f>'9'!G86</f>
        <v>16.400000000001455</v>
      </c>
      <c r="AC12" s="19">
        <f>'9'!G87</f>
        <v>0</v>
      </c>
      <c r="AD12" s="19">
        <f t="shared" si="8"/>
        <v>40.280000000005202</v>
      </c>
      <c r="AE12" s="23">
        <f t="shared" si="2"/>
        <v>8124.6299999999901</v>
      </c>
      <c r="AF12" s="23">
        <f t="shared" si="9"/>
        <v>201.70382323731232</v>
      </c>
      <c r="AG12" s="19">
        <f>'9'!G88</f>
        <v>8.8800000000010186</v>
      </c>
      <c r="AH12" s="19">
        <f>'9'!G89</f>
        <v>1.3400000000001455</v>
      </c>
      <c r="AI12" s="19">
        <f>'9'!G90</f>
        <v>10.379999999990105</v>
      </c>
      <c r="AJ12" s="19">
        <f t="shared" si="10"/>
        <v>20.599999999991269</v>
      </c>
      <c r="AK12" s="19">
        <f>'9'!G91</f>
        <v>0</v>
      </c>
      <c r="AL12" s="19">
        <f>'9'!G92</f>
        <v>11.489999999999782</v>
      </c>
      <c r="AM12" s="19"/>
      <c r="AN12" s="19">
        <f t="shared" si="11"/>
        <v>11.489999999999782</v>
      </c>
      <c r="AO12" s="52">
        <f>'9'!G74</f>
        <v>328.44999999995343</v>
      </c>
      <c r="AP12" s="55">
        <f>'9'!G35</f>
        <v>4.9999999988358468E-2</v>
      </c>
      <c r="AQ12" s="19">
        <f>'9'!G37</f>
        <v>1573.75</v>
      </c>
      <c r="AR12" s="19">
        <f>'9'!G38</f>
        <v>2332.109999999986</v>
      </c>
      <c r="AS12" s="19">
        <f>'9'!G39</f>
        <v>3026.1500000000233</v>
      </c>
      <c r="AT12" s="19">
        <f>'9'!G40</f>
        <v>728.42999999999302</v>
      </c>
      <c r="AU12" s="19">
        <f>'9'!G41</f>
        <v>5644.7699999999895</v>
      </c>
      <c r="AV12" s="19">
        <f>'9'!G42</f>
        <v>0</v>
      </c>
      <c r="AW12" s="19">
        <f>'9'!G43</f>
        <v>0</v>
      </c>
      <c r="AX12" s="23">
        <f>'9'!G44</f>
        <v>0</v>
      </c>
      <c r="AY12" s="56">
        <f>'9'!G36</f>
        <v>1130.1700000000128</v>
      </c>
      <c r="AZ12" s="55">
        <f>'9'!G49</f>
        <v>759.75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357.35000000000582</v>
      </c>
      <c r="BE12" s="19">
        <f>'9'!G55</f>
        <v>2479.6300000000047</v>
      </c>
      <c r="BF12" s="19">
        <f>'9'!G56</f>
        <v>0.22999999999592546</v>
      </c>
      <c r="BG12" s="19">
        <f>'9'!G57</f>
        <v>3152.4500000000116</v>
      </c>
      <c r="BH12" s="56">
        <f>'9'!G50</f>
        <v>1278.6700000000128</v>
      </c>
      <c r="BI12" s="60">
        <f t="shared" si="12"/>
        <v>8124.6299999999901</v>
      </c>
      <c r="BJ12" s="60">
        <f>'8'!G133</f>
        <v>567211</v>
      </c>
      <c r="BK12" s="23">
        <f t="shared" si="13"/>
        <v>45.422188679245245</v>
      </c>
      <c r="BL12" s="23">
        <f t="shared" si="14"/>
        <v>11.41943396226424</v>
      </c>
      <c r="BM12" s="24">
        <f t="shared" si="15"/>
        <v>8.8004150943395698E-2</v>
      </c>
      <c r="BN12" s="25">
        <f t="shared" si="16"/>
        <v>323860</v>
      </c>
      <c r="BO12" s="38">
        <f t="shared" si="17"/>
        <v>578488.07999999996</v>
      </c>
      <c r="BP12">
        <f t="shared" si="18"/>
        <v>51.291679670868675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26200</v>
      </c>
      <c r="H13" s="19">
        <f>'10'!G8</f>
        <v>26500</v>
      </c>
      <c r="I13" s="19">
        <v>9</v>
      </c>
      <c r="J13" s="49">
        <f t="shared" si="3"/>
        <v>238500</v>
      </c>
      <c r="K13" s="45">
        <f t="shared" si="4"/>
        <v>131.1881188118812</v>
      </c>
      <c r="L13" s="19">
        <f>'10'!G15</f>
        <v>1000</v>
      </c>
      <c r="M13" s="19">
        <v>56.2</v>
      </c>
      <c r="N13" s="45">
        <f t="shared" si="5"/>
        <v>56200</v>
      </c>
      <c r="O13" s="19">
        <f>'10'!G20</f>
        <v>270</v>
      </c>
      <c r="P13" s="19">
        <v>108</v>
      </c>
      <c r="Q13" s="46">
        <f t="shared" si="0"/>
        <v>29160</v>
      </c>
      <c r="R13" s="47">
        <f t="shared" si="1"/>
        <v>146.8828201501469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102</v>
      </c>
      <c r="W13" s="22">
        <f>'10'!G66</f>
        <v>25</v>
      </c>
      <c r="X13" s="22">
        <f>'10'!G67</f>
        <v>0</v>
      </c>
      <c r="Y13" s="22">
        <f t="shared" si="7"/>
        <v>127</v>
      </c>
      <c r="Z13" s="19">
        <f>'10'!G84</f>
        <v>0.63999999999941792</v>
      </c>
      <c r="AA13" s="19">
        <f>'10'!G85</f>
        <v>0</v>
      </c>
      <c r="AB13" s="19">
        <f>'10'!G86</f>
        <v>24.44999999999709</v>
      </c>
      <c r="AC13" s="19">
        <f>'10'!G87</f>
        <v>12.010000000002037</v>
      </c>
      <c r="AD13" s="19">
        <f t="shared" si="8"/>
        <v>37.099999999998545</v>
      </c>
      <c r="AE13" s="23">
        <f t="shared" si="2"/>
        <v>5749.1899999999732</v>
      </c>
      <c r="AF13" s="23">
        <f t="shared" si="9"/>
        <v>154.96469002695954</v>
      </c>
      <c r="AG13" s="19">
        <f>'10'!G88</f>
        <v>0</v>
      </c>
      <c r="AH13" s="19">
        <f>'10'!G89</f>
        <v>9.6899999999986903</v>
      </c>
      <c r="AI13" s="19">
        <f>'10'!G90</f>
        <v>10.900000000008731</v>
      </c>
      <c r="AJ13" s="19">
        <f t="shared" si="10"/>
        <v>20.590000000007421</v>
      </c>
      <c r="AK13" s="19">
        <f>'10'!G91</f>
        <v>0.56999999999970896</v>
      </c>
      <c r="AL13" s="19">
        <f>'10'!G92</f>
        <v>9.2600000000002183</v>
      </c>
      <c r="AM13" s="19"/>
      <c r="AN13" s="19">
        <f t="shared" si="11"/>
        <v>9.8299999999999272</v>
      </c>
      <c r="AO13" s="52">
        <f>'10'!G74</f>
        <v>265.84000000008382</v>
      </c>
      <c r="AP13" s="55">
        <f>'10'!G35</f>
        <v>0</v>
      </c>
      <c r="AQ13" s="19">
        <f>'10'!G37</f>
        <v>1524.5</v>
      </c>
      <c r="AR13" s="19">
        <f>'10'!G38</f>
        <v>2285.2800000000279</v>
      </c>
      <c r="AS13" s="19">
        <f>'10'!G39</f>
        <v>2907.9599999999627</v>
      </c>
      <c r="AT13" s="19">
        <f>'10'!G40</f>
        <v>729.08300000001327</v>
      </c>
      <c r="AU13" s="19">
        <f>'10'!G41</f>
        <v>0</v>
      </c>
      <c r="AV13" s="19">
        <f>'10'!G42</f>
        <v>0</v>
      </c>
      <c r="AW13" s="19">
        <f>'10'!G43</f>
        <v>0</v>
      </c>
      <c r="AX13" s="23">
        <f>'10'!G44</f>
        <v>0</v>
      </c>
      <c r="AY13" s="56">
        <f>'10'!G36</f>
        <v>928.53999999997905</v>
      </c>
      <c r="AZ13" s="55">
        <f>'10'!G49</f>
        <v>3679.1199999999953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347.00999999999476</v>
      </c>
      <c r="BE13" s="19">
        <f>'10'!G55</f>
        <v>3666.2799999999697</v>
      </c>
      <c r="BF13" s="19">
        <f>'10'!G56</f>
        <v>2082.9100000000035</v>
      </c>
      <c r="BG13" s="19">
        <f>'10'!G57</f>
        <v>3210.359999999986</v>
      </c>
      <c r="BH13" s="56">
        <f>'10'!G50</f>
        <v>1219.3399999999965</v>
      </c>
      <c r="BI13" s="60">
        <f t="shared" si="12"/>
        <v>5749.1899999999732</v>
      </c>
      <c r="BJ13" s="60">
        <f>'8'!G133</f>
        <v>567211</v>
      </c>
      <c r="BK13" s="23">
        <f t="shared" si="13"/>
        <v>47.693094339622469</v>
      </c>
      <c r="BL13" s="23">
        <f t="shared" si="14"/>
        <v>10.973433962264011</v>
      </c>
      <c r="BM13" s="24">
        <f t="shared" si="15"/>
        <v>8.6236981132076521E-2</v>
      </c>
      <c r="BN13" s="25">
        <f t="shared" si="16"/>
        <v>323860</v>
      </c>
      <c r="BO13" s="38">
        <f t="shared" si="17"/>
        <v>576170.54999999993</v>
      </c>
      <c r="BP13">
        <f t="shared" si="18"/>
        <v>55.465012514441909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26200</v>
      </c>
      <c r="H14" s="19">
        <f>'11'!G8</f>
        <v>26500</v>
      </c>
      <c r="I14" s="19">
        <v>9</v>
      </c>
      <c r="J14" s="49">
        <f t="shared" si="3"/>
        <v>238500</v>
      </c>
      <c r="K14" s="45">
        <f t="shared" si="4"/>
        <v>131.1881188118812</v>
      </c>
      <c r="L14" s="19">
        <f>'11'!G15</f>
        <v>1000</v>
      </c>
      <c r="M14" s="19">
        <v>56.2</v>
      </c>
      <c r="N14" s="45">
        <f t="shared" si="5"/>
        <v>56200</v>
      </c>
      <c r="O14" s="19">
        <f>'11'!G20</f>
        <v>221</v>
      </c>
      <c r="P14" s="19">
        <v>108</v>
      </c>
      <c r="Q14" s="46">
        <f t="shared" si="0"/>
        <v>23868</v>
      </c>
      <c r="R14" s="47">
        <f t="shared" si="1"/>
        <v>151.95269526952697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102</v>
      </c>
      <c r="W14" s="22">
        <f>'11'!G66</f>
        <v>19</v>
      </c>
      <c r="X14" s="22">
        <f>'11'!G67</f>
        <v>0</v>
      </c>
      <c r="Y14" s="22">
        <f t="shared" si="7"/>
        <v>121</v>
      </c>
      <c r="Z14" s="19">
        <f>'11'!G84</f>
        <v>0</v>
      </c>
      <c r="AA14" s="19">
        <f>'11'!G85</f>
        <v>14.75</v>
      </c>
      <c r="AB14" s="19">
        <f>'11'!G86</f>
        <v>24.470000000001164</v>
      </c>
      <c r="AC14" s="19">
        <f>'11'!G87</f>
        <v>0</v>
      </c>
      <c r="AD14" s="19">
        <f t="shared" si="8"/>
        <v>39.220000000001164</v>
      </c>
      <c r="AE14" s="23">
        <f t="shared" si="2"/>
        <v>6949.2699999999604</v>
      </c>
      <c r="AF14" s="23">
        <f t="shared" si="9"/>
        <v>177.18689444160515</v>
      </c>
      <c r="AG14" s="19">
        <f>'11'!G88</f>
        <v>0</v>
      </c>
      <c r="AH14" s="19">
        <f>'11'!G89</f>
        <v>9.430000000000291</v>
      </c>
      <c r="AI14" s="19">
        <f>'11'!G90</f>
        <v>10.220000000001164</v>
      </c>
      <c r="AJ14" s="19">
        <f t="shared" si="10"/>
        <v>19.650000000001455</v>
      </c>
      <c r="AK14" s="19">
        <f>'11'!G91</f>
        <v>6.5799999999999272</v>
      </c>
      <c r="AL14" s="19">
        <f>'11'!G92</f>
        <v>3.1199999999998909</v>
      </c>
      <c r="AM14" s="19"/>
      <c r="AN14" s="19">
        <f t="shared" si="11"/>
        <v>9.6999999999998181</v>
      </c>
      <c r="AO14" s="52">
        <f>'11'!G74</f>
        <v>270.43999999994412</v>
      </c>
      <c r="AP14" s="55">
        <f>'11'!G35</f>
        <v>0</v>
      </c>
      <c r="AQ14" s="19">
        <f>'11'!G37</f>
        <v>1487.140000000014</v>
      </c>
      <c r="AR14" s="19">
        <f>'11'!G38</f>
        <v>2304.1599999999744</v>
      </c>
      <c r="AS14" s="19">
        <f>'11'!G39</f>
        <v>2848.8000000000466</v>
      </c>
      <c r="AT14" s="19">
        <f>'11'!G40</f>
        <v>717.99699999998847</v>
      </c>
      <c r="AU14" s="19">
        <f>'11'!G41</f>
        <v>0</v>
      </c>
      <c r="AV14" s="19">
        <f>'11'!G42</f>
        <v>3243.8299999999581</v>
      </c>
      <c r="AW14" s="19">
        <f>'11'!G43</f>
        <v>0</v>
      </c>
      <c r="AX14" s="23">
        <f>'11'!G44</f>
        <v>0</v>
      </c>
      <c r="AY14" s="56">
        <f>'11'!G36</f>
        <v>696.83999999999651</v>
      </c>
      <c r="AZ14" s="55">
        <f>'11'!G49</f>
        <v>3790.7200000000303</v>
      </c>
      <c r="BA14" s="19">
        <f>'11'!G51</f>
        <v>0.31999999999999318</v>
      </c>
      <c r="BB14" s="19">
        <f>'11'!G52</f>
        <v>0</v>
      </c>
      <c r="BC14" s="19">
        <f>'11'!G53</f>
        <v>0</v>
      </c>
      <c r="BD14" s="19">
        <f>'11'!G54</f>
        <v>353.16000000000349</v>
      </c>
      <c r="BE14" s="19">
        <f>'11'!G55</f>
        <v>3705.4400000000023</v>
      </c>
      <c r="BF14" s="19">
        <f>'11'!G56</f>
        <v>0</v>
      </c>
      <c r="BG14" s="19">
        <f>'11'!G57</f>
        <v>2943.320000000007</v>
      </c>
      <c r="BH14" s="56">
        <f>'11'!G50</f>
        <v>1058</v>
      </c>
      <c r="BI14" s="60">
        <f t="shared" si="12"/>
        <v>6949.2699999999604</v>
      </c>
      <c r="BJ14" s="60">
        <f>'11'!G133</f>
        <v>824</v>
      </c>
      <c r="BK14" s="23">
        <f t="shared" si="13"/>
        <v>51.635132075471688</v>
      </c>
      <c r="BL14" s="23">
        <f t="shared" si="14"/>
        <v>10.75018867924546</v>
      </c>
      <c r="BM14" s="24">
        <f t="shared" si="15"/>
        <v>8.6949433962263178E-2</v>
      </c>
      <c r="BN14" s="25">
        <f t="shared" si="16"/>
        <v>318568</v>
      </c>
      <c r="BO14" s="38">
        <f t="shared" si="17"/>
        <v>10716.589999999967</v>
      </c>
      <c r="BP14">
        <f t="shared" si="18"/>
        <v>0.97586781525457578</v>
      </c>
    </row>
    <row r="15" spans="1:69">
      <c r="A15" s="16">
        <v>12</v>
      </c>
      <c r="B15" s="26">
        <v>12</v>
      </c>
      <c r="C15" s="27"/>
      <c r="D15" s="19">
        <f>'12'!D3</f>
        <v>30</v>
      </c>
      <c r="E15" s="50">
        <f>'12'!D4</f>
        <v>0.77</v>
      </c>
      <c r="F15" s="50">
        <f>'12'!D2</f>
        <v>0.6</v>
      </c>
      <c r="G15" s="19">
        <f>'12'!G7</f>
        <v>26200</v>
      </c>
      <c r="H15" s="19">
        <f>'12'!G8</f>
        <v>26500</v>
      </c>
      <c r="I15" s="19">
        <v>9</v>
      </c>
      <c r="J15" s="49">
        <f t="shared" si="3"/>
        <v>238500</v>
      </c>
      <c r="K15" s="45">
        <f t="shared" si="4"/>
        <v>131.1881188118812</v>
      </c>
      <c r="L15" s="19">
        <f>'12'!G15</f>
        <v>1000</v>
      </c>
      <c r="M15" s="19">
        <v>56.2</v>
      </c>
      <c r="N15" s="41">
        <f t="shared" si="5"/>
        <v>56200</v>
      </c>
      <c r="O15" s="19">
        <f>'12'!G20</f>
        <v>254</v>
      </c>
      <c r="P15" s="19">
        <v>108</v>
      </c>
      <c r="Q15" s="46">
        <f t="shared" si="0"/>
        <v>27432</v>
      </c>
      <c r="R15" s="47">
        <f t="shared" si="1"/>
        <v>209.57095709570959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104</v>
      </c>
      <c r="W15" s="22">
        <f>'12'!G66</f>
        <v>24</v>
      </c>
      <c r="X15" s="22">
        <f>'12'!G67</f>
        <v>0</v>
      </c>
      <c r="Y15" s="22">
        <f t="shared" si="7"/>
        <v>128</v>
      </c>
      <c r="Z15" s="19">
        <f>'12'!G84</f>
        <v>15.360000000000582</v>
      </c>
      <c r="AA15" s="19">
        <f>'12'!G85</f>
        <v>0</v>
      </c>
      <c r="AB15" s="19">
        <f>'12'!G86</f>
        <v>24.099999999998545</v>
      </c>
      <c r="AC15" s="19">
        <f>'12'!G87</f>
        <v>0</v>
      </c>
      <c r="AD15" s="19">
        <f t="shared" si="8"/>
        <v>39.459999999999127</v>
      </c>
      <c r="AE15" s="23">
        <f t="shared" si="2"/>
        <v>6974.600000000064</v>
      </c>
      <c r="AF15" s="23">
        <f t="shared" si="9"/>
        <v>176.75114039534259</v>
      </c>
      <c r="AG15" s="19">
        <f>'12'!G88</f>
        <v>-4.9999999999272404E-2</v>
      </c>
      <c r="AH15" s="19">
        <f>'12'!G89</f>
        <v>8.8100000000013097</v>
      </c>
      <c r="AI15" s="19">
        <f>'12'!G90</f>
        <v>10.989999999990687</v>
      </c>
      <c r="AJ15" s="19">
        <f t="shared" si="10"/>
        <v>19.749999999992724</v>
      </c>
      <c r="AK15" s="19">
        <f>'12'!G91</f>
        <v>12.470000000000255</v>
      </c>
      <c r="AL15" s="19">
        <f>'12'!G92</f>
        <v>0</v>
      </c>
      <c r="AM15" s="19"/>
      <c r="AN15" s="19">
        <f t="shared" si="11"/>
        <v>12.470000000000255</v>
      </c>
      <c r="AO15" s="52">
        <f>'12'!G74</f>
        <v>339.29000000003725</v>
      </c>
      <c r="AP15" s="55">
        <f>'12'!G35</f>
        <v>-4.9999999988358468E-2</v>
      </c>
      <c r="AQ15" s="19">
        <f>'12'!G37</f>
        <v>1552.640000000014</v>
      </c>
      <c r="AR15" s="19">
        <f>'12'!G38</f>
        <v>2246.320000000007</v>
      </c>
      <c r="AS15" s="19">
        <f>'12'!G39</f>
        <v>2839.7999999999302</v>
      </c>
      <c r="AT15" s="19">
        <f>'12'!G40</f>
        <v>721.86000000000058</v>
      </c>
      <c r="AU15" s="19">
        <f>'12'!G41</f>
        <v>3320.6200000000244</v>
      </c>
      <c r="AV15" s="19">
        <f>'12'!G42</f>
        <v>0</v>
      </c>
      <c r="AW15" s="19">
        <f>'12'!G43</f>
        <v>0</v>
      </c>
      <c r="AX15" s="23">
        <f>'12'!G44</f>
        <v>0</v>
      </c>
      <c r="AY15" s="56">
        <f>'12'!G36</f>
        <v>704.22000000000116</v>
      </c>
      <c r="AZ15" s="55">
        <f>'12'!G49</f>
        <v>3619.679999999993</v>
      </c>
      <c r="BA15" s="19">
        <f>'12'!G51</f>
        <v>-0.31999999999999318</v>
      </c>
      <c r="BB15" s="19">
        <f>'12'!G52</f>
        <v>0</v>
      </c>
      <c r="BC15" s="19">
        <f>'12'!G53</f>
        <v>0</v>
      </c>
      <c r="BD15" s="19">
        <f>'12'!G54</f>
        <v>349.95999999999185</v>
      </c>
      <c r="BE15" s="19">
        <f>'12'!G55</f>
        <v>3653.9800000000396</v>
      </c>
      <c r="BF15" s="19">
        <f>'12'!G56</f>
        <v>0</v>
      </c>
      <c r="BG15" s="19">
        <f>'12'!G57</f>
        <v>3131.1000000000058</v>
      </c>
      <c r="BH15" s="56">
        <f>'12'!G50</f>
        <v>1060.5199999999895</v>
      </c>
      <c r="BI15" s="60">
        <f t="shared" si="12"/>
        <v>6974.600000000064</v>
      </c>
      <c r="BJ15" s="60">
        <f>'12'!G133</f>
        <v>785</v>
      </c>
      <c r="BK15" s="23">
        <f t="shared" si="13"/>
        <v>51.793698113207832</v>
      </c>
      <c r="BL15" s="23">
        <f t="shared" si="14"/>
        <v>10.716226415094075</v>
      </c>
      <c r="BM15" s="24">
        <f t="shared" si="15"/>
        <v>8.4766792452830447E-2</v>
      </c>
      <c r="BN15" s="25">
        <f t="shared" si="16"/>
        <v>322132</v>
      </c>
      <c r="BO15" s="38">
        <f t="shared" si="17"/>
        <v>10890.70000000007</v>
      </c>
      <c r="BP15">
        <f t="shared" si="18"/>
        <v>0.9856907537470414</v>
      </c>
    </row>
    <row r="16" spans="1:69">
      <c r="A16" s="16">
        <v>13</v>
      </c>
      <c r="B16" s="26">
        <v>13</v>
      </c>
      <c r="C16" s="26"/>
      <c r="D16" s="19">
        <f>'13'!D3</f>
        <v>30</v>
      </c>
      <c r="E16" s="50">
        <f>'13'!D4</f>
        <v>0.77</v>
      </c>
      <c r="F16" s="50">
        <f>'13'!D2</f>
        <v>0.66</v>
      </c>
      <c r="G16" s="19">
        <f>'13'!G7</f>
        <v>26200</v>
      </c>
      <c r="H16" s="19">
        <f>'13'!G8</f>
        <v>26500</v>
      </c>
      <c r="I16" s="19">
        <v>9</v>
      </c>
      <c r="J16" s="49">
        <f t="shared" si="3"/>
        <v>238500</v>
      </c>
      <c r="K16" s="45">
        <f t="shared" si="4"/>
        <v>131.1881188118812</v>
      </c>
      <c r="L16" s="19">
        <f>'13'!G15</f>
        <v>1000</v>
      </c>
      <c r="M16" s="19">
        <v>56.2</v>
      </c>
      <c r="N16" s="41">
        <f t="shared" si="5"/>
        <v>56200</v>
      </c>
      <c r="O16" s="19">
        <f>'13'!G20</f>
        <v>170</v>
      </c>
      <c r="P16" s="19">
        <v>108</v>
      </c>
      <c r="Q16" s="46">
        <f t="shared" si="0"/>
        <v>18360</v>
      </c>
      <c r="R16" s="47">
        <f t="shared" si="1"/>
        <v>127.51275127512751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99</v>
      </c>
      <c r="W16" s="22">
        <f>'13'!G66</f>
        <v>23</v>
      </c>
      <c r="X16" s="22">
        <f>'13'!G67</f>
        <v>0</v>
      </c>
      <c r="Y16" s="22">
        <f t="shared" si="7"/>
        <v>122</v>
      </c>
      <c r="Z16" s="19">
        <f>'13'!G84</f>
        <v>0</v>
      </c>
      <c r="AA16" s="19">
        <f>'13'!G85</f>
        <v>15.329999999999927</v>
      </c>
      <c r="AB16" s="19">
        <f>'13'!G86</f>
        <v>24.020000000004075</v>
      </c>
      <c r="AC16" s="19">
        <f>'13'!G87</f>
        <v>0</v>
      </c>
      <c r="AD16" s="19">
        <f t="shared" si="8"/>
        <v>39.350000000004002</v>
      </c>
      <c r="AE16" s="23">
        <f t="shared" si="2"/>
        <v>7606.6199999999953</v>
      </c>
      <c r="AF16" s="23">
        <f t="shared" si="9"/>
        <v>193.30673443454185</v>
      </c>
      <c r="AG16" s="19">
        <f>'13'!G88</f>
        <v>4.9999999999272404E-2</v>
      </c>
      <c r="AH16" s="19">
        <f>'13'!G89</f>
        <v>9.5799999999981083</v>
      </c>
      <c r="AI16" s="19">
        <f>'13'!G90</f>
        <v>10.410000000003492</v>
      </c>
      <c r="AJ16" s="19">
        <f t="shared" si="10"/>
        <v>20.040000000000873</v>
      </c>
      <c r="AK16" s="19">
        <f>'13'!G91</f>
        <v>13.420000000000073</v>
      </c>
      <c r="AL16" s="19">
        <f>'13'!G92</f>
        <v>0</v>
      </c>
      <c r="AM16" s="19"/>
      <c r="AN16" s="19">
        <f t="shared" si="11"/>
        <v>13.420000000000073</v>
      </c>
      <c r="AO16" s="52">
        <f>'13'!G74</f>
        <v>375.9100000000326</v>
      </c>
      <c r="AP16" s="55">
        <f>'13'!G35</f>
        <v>0</v>
      </c>
      <c r="AQ16" s="19">
        <f>'13'!G37</f>
        <v>1540.1399999999558</v>
      </c>
      <c r="AR16" s="19">
        <f>'13'!G38</f>
        <v>2289.2399999999907</v>
      </c>
      <c r="AS16" s="19">
        <f>'13'!G39</f>
        <v>2983.359999999986</v>
      </c>
      <c r="AT16" s="19">
        <f>'13'!G40</f>
        <v>754.05999999999767</v>
      </c>
      <c r="AU16" s="19">
        <f>'13'!G41</f>
        <v>0</v>
      </c>
      <c r="AV16" s="19">
        <f>'13'!G42</f>
        <v>3672.1600000000326</v>
      </c>
      <c r="AW16" s="19">
        <f>'13'!G43</f>
        <v>0</v>
      </c>
      <c r="AX16" s="23">
        <f>'13'!G44</f>
        <v>0</v>
      </c>
      <c r="AY16" s="56">
        <f>'13'!G36</f>
        <v>743.05999999999767</v>
      </c>
      <c r="AZ16" s="55">
        <f>'13'!G49</f>
        <v>3392.039999999979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353.59000000001106</v>
      </c>
      <c r="BE16" s="19">
        <f>'13'!G55</f>
        <v>3934.4599999999627</v>
      </c>
      <c r="BF16" s="19">
        <f>'13'!G56</f>
        <v>0</v>
      </c>
      <c r="BG16" s="19">
        <f>'13'!G57</f>
        <v>2999.539999999979</v>
      </c>
      <c r="BH16" s="56">
        <f>'13'!G50</f>
        <v>1455.0799999999872</v>
      </c>
      <c r="BI16" s="60">
        <f t="shared" si="12"/>
        <v>7606.6199999999953</v>
      </c>
      <c r="BJ16" s="60">
        <f>'13'!G133</f>
        <v>686.67999999999302</v>
      </c>
      <c r="BK16" s="23">
        <f t="shared" si="13"/>
        <v>52.823396226414921</v>
      </c>
      <c r="BL16" s="23">
        <f t="shared" si="14"/>
        <v>11.257962264150891</v>
      </c>
      <c r="BM16" s="24">
        <f t="shared" si="15"/>
        <v>8.6386415094339267E-2</v>
      </c>
      <c r="BN16" s="25">
        <f t="shared" si="16"/>
        <v>313060</v>
      </c>
      <c r="BO16" s="38">
        <f t="shared" si="17"/>
        <v>11292.839999999967</v>
      </c>
      <c r="BP16">
        <f t="shared" si="18"/>
        <v>1.0249446360499928</v>
      </c>
    </row>
    <row r="17" spans="1:68">
      <c r="A17" s="16">
        <v>14</v>
      </c>
      <c r="B17" s="17">
        <v>14</v>
      </c>
      <c r="C17" s="27"/>
      <c r="D17" s="19">
        <f>'14'!D3</f>
        <v>30</v>
      </c>
      <c r="E17" s="50">
        <f>'14'!D4</f>
        <v>0.77</v>
      </c>
      <c r="F17" s="50">
        <f>'14'!D2</f>
        <v>0.56999999999999995</v>
      </c>
      <c r="G17" s="19">
        <f>'14'!G7</f>
        <v>26200</v>
      </c>
      <c r="H17" s="19">
        <f>'14'!G8</f>
        <v>26500</v>
      </c>
      <c r="I17" s="19">
        <v>9</v>
      </c>
      <c r="J17" s="49">
        <f t="shared" si="3"/>
        <v>238500</v>
      </c>
      <c r="K17" s="45">
        <f t="shared" si="4"/>
        <v>131.1881188118812</v>
      </c>
      <c r="L17" s="19">
        <f>'14'!G15</f>
        <v>1000</v>
      </c>
      <c r="M17" s="19">
        <v>56.2</v>
      </c>
      <c r="N17" s="41">
        <f t="shared" si="5"/>
        <v>56200</v>
      </c>
      <c r="O17" s="19">
        <f>'14'!G20</f>
        <v>192</v>
      </c>
      <c r="P17" s="19">
        <v>108</v>
      </c>
      <c r="Q17" s="46">
        <f t="shared" si="0"/>
        <v>20736</v>
      </c>
      <c r="R17" s="47">
        <f t="shared" si="1"/>
        <v>166.75351745700888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106</v>
      </c>
      <c r="W17" s="22">
        <f>'14'!G66</f>
        <v>27</v>
      </c>
      <c r="X17" s="22">
        <f>'14'!G67</f>
        <v>0</v>
      </c>
      <c r="Y17" s="22">
        <f>V17+W17+X17</f>
        <v>133</v>
      </c>
      <c r="Z17" s="19">
        <f>'14'!G84</f>
        <v>15.75</v>
      </c>
      <c r="AA17" s="19">
        <f>'14'!G85</f>
        <v>-5.0000000000181899E-2</v>
      </c>
      <c r="AB17" s="19">
        <f>'14'!G86</f>
        <v>23.559999999997672</v>
      </c>
      <c r="AC17" s="19">
        <f>'14'!G87</f>
        <v>0</v>
      </c>
      <c r="AD17" s="19">
        <f t="shared" si="8"/>
        <v>39.25999999999749</v>
      </c>
      <c r="AE17" s="23">
        <f t="shared" si="2"/>
        <v>7562.2250000000349</v>
      </c>
      <c r="AF17" s="23">
        <f t="shared" si="9"/>
        <v>192.61907794193883</v>
      </c>
      <c r="AG17" s="19">
        <f>'14'!G88</f>
        <v>0</v>
      </c>
      <c r="AH17" s="19">
        <f>'14'!G89</f>
        <v>9.1100000000005821</v>
      </c>
      <c r="AI17" s="19">
        <f>'14'!G90</f>
        <v>9.7100000000064028</v>
      </c>
      <c r="AJ17" s="19">
        <f t="shared" si="10"/>
        <v>18.820000000006985</v>
      </c>
      <c r="AK17" s="19">
        <f>'14'!G91</f>
        <v>13.590000000000146</v>
      </c>
      <c r="AL17" s="19">
        <f>'14'!G92</f>
        <v>0</v>
      </c>
      <c r="AM17" s="19"/>
      <c r="AN17" s="19">
        <f t="shared" si="11"/>
        <v>13.590000000000146</v>
      </c>
      <c r="AO17" s="52">
        <f>'14'!G44</f>
        <v>0</v>
      </c>
      <c r="AP17" s="55">
        <f>'14'!G35</f>
        <v>0</v>
      </c>
      <c r="AQ17" s="19">
        <f>'14'!G37</f>
        <v>1526.5599999999977</v>
      </c>
      <c r="AR17" s="19">
        <f>'14'!G38</f>
        <v>2266.359999999986</v>
      </c>
      <c r="AS17" s="19">
        <f>'14'!G39</f>
        <v>2924.2000000000698</v>
      </c>
      <c r="AT17" s="19">
        <f>'14'!G40</f>
        <v>742.3700000000099</v>
      </c>
      <c r="AU17" s="19">
        <f>'14'!G41</f>
        <v>3705.859999999986</v>
      </c>
      <c r="AV17" s="19">
        <f>'14'!G42</f>
        <v>0</v>
      </c>
      <c r="AW17" s="19">
        <f>'14'!G43</f>
        <v>0</v>
      </c>
      <c r="AX17" s="23">
        <f>'14'!G44</f>
        <v>0</v>
      </c>
      <c r="AY17" s="56">
        <f>'14'!G36</f>
        <v>881.90000000002328</v>
      </c>
      <c r="AZ17" s="55">
        <f>'14'!G49</f>
        <v>3084.5200000000186</v>
      </c>
      <c r="BA17" s="19">
        <f>'14'!G51</f>
        <v>0.31999999999999318</v>
      </c>
      <c r="BB17" s="19">
        <f>'14'!G52</f>
        <v>0.24000000000000021</v>
      </c>
      <c r="BC17" s="19">
        <f>'14'!G53</f>
        <v>0</v>
      </c>
      <c r="BD17" s="19">
        <f>'14'!G54</f>
        <v>347.91999999999825</v>
      </c>
      <c r="BE17" s="19">
        <f>'14'!G55</f>
        <v>3856.3600000000442</v>
      </c>
      <c r="BF17" s="19">
        <f>'14'!G56</f>
        <v>5.0000000046566129E-3</v>
      </c>
      <c r="BG17" s="19">
        <f>'14'!G57</f>
        <v>3165</v>
      </c>
      <c r="BH17" s="56">
        <f>'14'!G50</f>
        <v>1325.9800000000105</v>
      </c>
      <c r="BI17" s="60">
        <f t="shared" si="12"/>
        <v>7562.2250000000349</v>
      </c>
      <c r="BJ17" s="60">
        <f>'14'!G133</f>
        <v>607.55999999999767</v>
      </c>
      <c r="BK17" s="23">
        <f t="shared" si="13"/>
        <v>52.119792452830389</v>
      </c>
      <c r="BL17" s="23">
        <f t="shared" si="14"/>
        <v>11.034716981132339</v>
      </c>
      <c r="BM17" s="24">
        <f t="shared" si="15"/>
        <v>8.5532075471697583E-2</v>
      </c>
      <c r="BN17" s="25">
        <f t="shared" si="16"/>
        <v>315436</v>
      </c>
      <c r="BO17" s="38">
        <f t="shared" si="17"/>
        <v>11334.785000000033</v>
      </c>
      <c r="BP17">
        <f t="shared" si="18"/>
        <v>1.0311099083036859</v>
      </c>
    </row>
    <row r="18" spans="1:68">
      <c r="A18" s="16">
        <v>15</v>
      </c>
      <c r="B18" s="26">
        <v>15</v>
      </c>
      <c r="C18" s="18"/>
      <c r="D18" s="19">
        <f>'15'!D3</f>
        <v>30</v>
      </c>
      <c r="E18" s="50">
        <f>'15'!D4</f>
        <v>0.77</v>
      </c>
      <c r="F18" s="50">
        <f>'15'!D2</f>
        <v>0.6</v>
      </c>
      <c r="G18" s="19">
        <f>'15'!G7</f>
        <v>26200</v>
      </c>
      <c r="H18" s="19">
        <f>'15'!G8</f>
        <v>26499.999999999993</v>
      </c>
      <c r="I18" s="19">
        <v>9</v>
      </c>
      <c r="J18" s="49">
        <f t="shared" si="3"/>
        <v>238499.99999999994</v>
      </c>
      <c r="K18" s="45">
        <f t="shared" si="4"/>
        <v>131.18811881188114</v>
      </c>
      <c r="L18" s="19">
        <f>'15'!G15</f>
        <v>1000</v>
      </c>
      <c r="M18" s="19">
        <v>56.2</v>
      </c>
      <c r="N18" s="41">
        <f t="shared" si="5"/>
        <v>56200</v>
      </c>
      <c r="O18" s="19">
        <f>'15'!G20</f>
        <v>243</v>
      </c>
      <c r="P18" s="19">
        <v>108</v>
      </c>
      <c r="Q18" s="46">
        <f t="shared" si="0"/>
        <v>26244</v>
      </c>
      <c r="R18" s="47">
        <f t="shared" si="1"/>
        <v>200.49504950495049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139</v>
      </c>
      <c r="W18" s="22">
        <f>'15'!G66</f>
        <v>34</v>
      </c>
      <c r="X18" s="22">
        <f>'15'!G67</f>
        <v>0</v>
      </c>
      <c r="Y18" s="22">
        <f t="shared" si="7"/>
        <v>173</v>
      </c>
      <c r="Z18" s="19">
        <f>'15'!G84</f>
        <v>16.279999999998836</v>
      </c>
      <c r="AA18" s="19">
        <f>'15'!G85</f>
        <v>0</v>
      </c>
      <c r="AB18" s="19">
        <f>'15'!G86</f>
        <v>24.05000000000291</v>
      </c>
      <c r="AC18" s="19">
        <f>'15'!G87</f>
        <v>0</v>
      </c>
      <c r="AD18" s="19">
        <f t="shared" si="8"/>
        <v>40.330000000001746</v>
      </c>
      <c r="AE18" s="23">
        <f t="shared" si="2"/>
        <v>7325.4749999999476</v>
      </c>
      <c r="AF18" s="23">
        <f t="shared" si="9"/>
        <v>181.63835854201909</v>
      </c>
      <c r="AG18" s="19">
        <f>'15'!G88</f>
        <v>1.5900000000001455</v>
      </c>
      <c r="AH18" s="19">
        <f>'15'!G89</f>
        <v>8.4200000000018917</v>
      </c>
      <c r="AI18" s="19">
        <f>'15'!G90</f>
        <v>10.959999999991851</v>
      </c>
      <c r="AJ18" s="19">
        <f t="shared" si="10"/>
        <v>20.969999999993888</v>
      </c>
      <c r="AK18" s="19">
        <f>'15'!G91</f>
        <v>11.970000000000255</v>
      </c>
      <c r="AL18" s="19">
        <f>'15'!G92</f>
        <v>0</v>
      </c>
      <c r="AM18" s="19"/>
      <c r="AN18" s="19">
        <f t="shared" si="11"/>
        <v>11.970000000000255</v>
      </c>
      <c r="AO18" s="52">
        <f>'15'!G74</f>
        <v>328.42000000004191</v>
      </c>
      <c r="AP18" s="55">
        <f>'15'!G35</f>
        <v>4.9999999988358468E-2</v>
      </c>
      <c r="AQ18" s="19">
        <f>'15'!G37</f>
        <v>1566.4000000000233</v>
      </c>
      <c r="AR18" s="19">
        <f>'15'!G38</f>
        <v>2416.640000000014</v>
      </c>
      <c r="AS18" s="19">
        <f>'15'!G39</f>
        <v>2885.7199999999721</v>
      </c>
      <c r="AT18" s="19">
        <f>'15'!G40</f>
        <v>745.58999999999651</v>
      </c>
      <c r="AU18" s="19">
        <f>'15'!G41</f>
        <v>3626.8999999999942</v>
      </c>
      <c r="AV18" s="19">
        <f>'15'!G42</f>
        <v>0</v>
      </c>
      <c r="AW18" s="19">
        <f>'15'!G43</f>
        <v>0</v>
      </c>
      <c r="AX18" s="23">
        <f>'15'!G44</f>
        <v>0</v>
      </c>
      <c r="AY18" s="56">
        <f>'15'!G36</f>
        <v>1122.9199999999837</v>
      </c>
      <c r="AZ18" s="55">
        <f>'15'!G49</f>
        <v>3477.039999999979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348.3799999999901</v>
      </c>
      <c r="BE18" s="19">
        <f>'15'!G55</f>
        <v>3698.5799999999581</v>
      </c>
      <c r="BF18" s="19">
        <f>'15'!G56</f>
        <v>-5.0000000046566129E-3</v>
      </c>
      <c r="BG18" s="19">
        <f>'15'!G57</f>
        <v>3004.8800000000047</v>
      </c>
      <c r="BH18" s="56">
        <f>'15'!G50</f>
        <v>1019.7000000000116</v>
      </c>
      <c r="BI18" s="60">
        <f t="shared" si="12"/>
        <v>7325.4749999999476</v>
      </c>
      <c r="BJ18" s="60">
        <f>'15'!G133</f>
        <v>337.77999999999884</v>
      </c>
      <c r="BK18" s="23">
        <f t="shared" si="13"/>
        <v>52.103566037735554</v>
      </c>
      <c r="BL18" s="23">
        <f t="shared" si="14"/>
        <v>10.889509433962161</v>
      </c>
      <c r="BM18" s="24">
        <f t="shared" si="15"/>
        <v>9.1193962264151496E-2</v>
      </c>
      <c r="BN18" s="25">
        <f t="shared" si="16"/>
        <v>320943.99999999994</v>
      </c>
      <c r="BO18" s="38">
        <f t="shared" si="17"/>
        <v>10668.134999999951</v>
      </c>
      <c r="BP18">
        <f t="shared" si="18"/>
        <v>0.94471812900707464</v>
      </c>
    </row>
    <row r="19" spans="1:68">
      <c r="A19" s="16">
        <v>16</v>
      </c>
      <c r="B19" s="26">
        <v>16</v>
      </c>
      <c r="C19" s="26"/>
      <c r="D19" s="19">
        <f>'16'!D3</f>
        <v>30</v>
      </c>
      <c r="E19" s="50">
        <f>'16'!D4</f>
        <v>0.77</v>
      </c>
      <c r="F19" s="50">
        <f>'16'!D2</f>
        <v>0.6</v>
      </c>
      <c r="G19" s="19">
        <f>'16'!G7</f>
        <v>26200</v>
      </c>
      <c r="H19" s="19">
        <f>'16'!G8</f>
        <v>26500</v>
      </c>
      <c r="I19" s="19">
        <v>9</v>
      </c>
      <c r="J19" s="49">
        <f t="shared" si="3"/>
        <v>238500</v>
      </c>
      <c r="K19" s="45">
        <f t="shared" si="4"/>
        <v>131.1881188118812</v>
      </c>
      <c r="L19" s="19">
        <f>'16'!G15</f>
        <v>1000</v>
      </c>
      <c r="M19" s="19">
        <v>56.2</v>
      </c>
      <c r="N19" s="41">
        <f t="shared" si="5"/>
        <v>56200</v>
      </c>
      <c r="O19" s="19">
        <f>'16'!G20</f>
        <v>272</v>
      </c>
      <c r="P19" s="19">
        <v>108</v>
      </c>
      <c r="Q19" s="46">
        <f t="shared" si="0"/>
        <v>29376</v>
      </c>
      <c r="R19" s="47">
        <f t="shared" si="1"/>
        <v>224.42244224422444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109</v>
      </c>
      <c r="W19" s="22">
        <f>'16'!G66</f>
        <v>26</v>
      </c>
      <c r="X19" s="22">
        <f>'16'!G67</f>
        <v>0</v>
      </c>
      <c r="Y19" s="22">
        <f t="shared" si="7"/>
        <v>135</v>
      </c>
      <c r="Z19" s="19">
        <f>'16'!G84</f>
        <v>24.059999999997672</v>
      </c>
      <c r="AA19" s="19">
        <f>'16'!G85</f>
        <v>0</v>
      </c>
      <c r="AB19" s="19">
        <f>'16'!G86</f>
        <v>15.509999999994761</v>
      </c>
      <c r="AC19" s="19">
        <f>'16'!G87</f>
        <v>0</v>
      </c>
      <c r="AD19" s="19">
        <f t="shared" si="8"/>
        <v>39.569999999992433</v>
      </c>
      <c r="AE19" s="23">
        <f t="shared" si="2"/>
        <v>7993.4800000000105</v>
      </c>
      <c r="AF19" s="23">
        <f t="shared" si="9"/>
        <v>202.00859236799442</v>
      </c>
      <c r="AG19" s="19">
        <f>'16'!G88</f>
        <v>1.9499999999970896</v>
      </c>
      <c r="AH19" s="19">
        <f>'16'!G89</f>
        <v>8.6199999999989814</v>
      </c>
      <c r="AI19" s="19">
        <f>'16'!G90</f>
        <v>10.650000000008731</v>
      </c>
      <c r="AJ19" s="19">
        <f t="shared" si="10"/>
        <v>21.220000000004802</v>
      </c>
      <c r="AK19" s="19">
        <f>'16'!G91</f>
        <v>11.319999999999709</v>
      </c>
      <c r="AL19" s="19">
        <f>'16'!G92</f>
        <v>0</v>
      </c>
      <c r="AM19" s="19"/>
      <c r="AN19" s="19">
        <f t="shared" si="11"/>
        <v>11.319999999999709</v>
      </c>
      <c r="AO19" s="52">
        <f>'16'!G74</f>
        <v>309.15000000002328</v>
      </c>
      <c r="AP19" s="55">
        <f>'16'!G35</f>
        <v>0</v>
      </c>
      <c r="AQ19" s="19">
        <f>'16'!G37</f>
        <v>1601.5800000000163</v>
      </c>
      <c r="AR19" s="19">
        <f>'16'!G38</f>
        <v>2437.4800000000396</v>
      </c>
      <c r="AS19" s="19">
        <f>'16'!G39</f>
        <v>2960.6800000000512</v>
      </c>
      <c r="AT19" s="19">
        <f>'16'!G40</f>
        <v>824.61000000000058</v>
      </c>
      <c r="AU19" s="19">
        <f>'16'!G41</f>
        <v>5665.0400000000081</v>
      </c>
      <c r="AV19" s="19">
        <f>'16'!G42</f>
        <v>0</v>
      </c>
      <c r="AW19" s="19">
        <f>'16'!G43</f>
        <v>0</v>
      </c>
      <c r="AX19" s="23">
        <f>'16'!G44</f>
        <v>0</v>
      </c>
      <c r="AY19" s="56">
        <f>'16'!G36</f>
        <v>901.55999999999767</v>
      </c>
      <c r="AZ19" s="55">
        <f>'16'!G49</f>
        <v>3597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359.18000000000757</v>
      </c>
      <c r="BE19" s="19">
        <f>'16'!G55</f>
        <v>2328.4400000000023</v>
      </c>
      <c r="BF19" s="19">
        <f>'16'!G56</f>
        <v>0</v>
      </c>
      <c r="BG19" s="19">
        <f>'16'!G57</f>
        <v>3083.6600000000035</v>
      </c>
      <c r="BH19" s="56">
        <f>'16'!G50</f>
        <v>1357.7099999999919</v>
      </c>
      <c r="BI19" s="60">
        <f t="shared" si="12"/>
        <v>7993.4800000000105</v>
      </c>
      <c r="BJ19" s="60">
        <f>'16'!G133</f>
        <v>-0.69000000000232831</v>
      </c>
      <c r="BK19" s="23">
        <f t="shared" si="13"/>
        <v>55.374113207547225</v>
      </c>
      <c r="BL19" s="23">
        <f t="shared" si="14"/>
        <v>11.17237735849076</v>
      </c>
      <c r="BM19" s="24">
        <f t="shared" si="15"/>
        <v>9.1980377358492058E-2</v>
      </c>
      <c r="BN19" s="25">
        <f t="shared" si="16"/>
        <v>324076</v>
      </c>
      <c r="BO19" s="38">
        <f t="shared" si="17"/>
        <v>11076.450000000012</v>
      </c>
      <c r="BP19">
        <f t="shared" si="18"/>
        <v>0.99971569370754632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0.79</v>
      </c>
      <c r="F20" s="50">
        <f>'17'!D2</f>
        <v>0.91</v>
      </c>
      <c r="G20" s="19">
        <f>'17'!G7</f>
        <v>26200</v>
      </c>
      <c r="H20" s="19">
        <f>'17'!G8</f>
        <v>26500</v>
      </c>
      <c r="I20" s="19">
        <v>9</v>
      </c>
      <c r="J20" s="49">
        <f t="shared" si="3"/>
        <v>238500</v>
      </c>
      <c r="K20" s="45">
        <f t="shared" si="4"/>
        <v>131.1881188118812</v>
      </c>
      <c r="L20" s="19">
        <f>'17'!G15</f>
        <v>1000</v>
      </c>
      <c r="M20" s="19">
        <v>56.2</v>
      </c>
      <c r="N20" s="41">
        <f t="shared" si="5"/>
        <v>56200</v>
      </c>
      <c r="O20" s="19">
        <f>'17'!G20</f>
        <v>320</v>
      </c>
      <c r="P20" s="19">
        <v>108</v>
      </c>
      <c r="Q20" s="46">
        <f t="shared" si="0"/>
        <v>34560</v>
      </c>
      <c r="R20" s="47">
        <f t="shared" si="1"/>
        <v>174.0833424001741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136</v>
      </c>
      <c r="W20" s="22">
        <f>'17'!G66</f>
        <v>28</v>
      </c>
      <c r="X20" s="22">
        <f>'17'!G67</f>
        <v>1</v>
      </c>
      <c r="Y20" s="22">
        <f t="shared" si="7"/>
        <v>165</v>
      </c>
      <c r="Z20" s="19">
        <f>'17'!G84</f>
        <v>18.5</v>
      </c>
      <c r="AA20" s="19">
        <f>'17'!G85</f>
        <v>0</v>
      </c>
      <c r="AB20" s="19">
        <f>'17'!G86</f>
        <v>21.790000000000873</v>
      </c>
      <c r="AC20" s="19">
        <f>'17'!G87</f>
        <v>0</v>
      </c>
      <c r="AD20" s="19">
        <f t="shared" si="8"/>
        <v>40.290000000000873</v>
      </c>
      <c r="AE20" s="23">
        <f t="shared" si="2"/>
        <v>7072.2200000000012</v>
      </c>
      <c r="AF20" s="23">
        <f t="shared" si="9"/>
        <v>175.53288657234668</v>
      </c>
      <c r="AG20" s="19">
        <f>'17'!G88</f>
        <v>1.0000000002037268E-2</v>
      </c>
      <c r="AH20" s="19">
        <f>'17'!G89</f>
        <v>9.4399999999986903</v>
      </c>
      <c r="AI20" s="19">
        <f>'17'!G90</f>
        <v>9.8359999999956926</v>
      </c>
      <c r="AJ20" s="19">
        <f t="shared" si="10"/>
        <v>19.28599999999642</v>
      </c>
      <c r="AK20" s="19">
        <f>'17'!G91</f>
        <v>12.319999999999709</v>
      </c>
      <c r="AL20" s="19">
        <f>'17'!G92</f>
        <v>0</v>
      </c>
      <c r="AM20" s="19"/>
      <c r="AN20" s="19">
        <f t="shared" si="11"/>
        <v>12.319999999999709</v>
      </c>
      <c r="AO20" s="52">
        <f>'17'!G74</f>
        <v>335.57999999995809</v>
      </c>
      <c r="AP20" s="55">
        <f>'17'!G35</f>
        <v>0</v>
      </c>
      <c r="AQ20" s="19">
        <f>'17'!G37</f>
        <v>1544.5999999999767</v>
      </c>
      <c r="AR20" s="19">
        <f>'17'!G38</f>
        <v>2458.8799999999464</v>
      </c>
      <c r="AS20" s="19">
        <f>'17'!G39</f>
        <v>2887.640000000014</v>
      </c>
      <c r="AT20" s="19">
        <f>'17'!G40</f>
        <v>758.30000000000291</v>
      </c>
      <c r="AU20" s="19">
        <f>'17'!G41</f>
        <v>3809.4800000000105</v>
      </c>
      <c r="AV20" s="19">
        <f>'17'!G42</f>
        <v>0</v>
      </c>
      <c r="AW20" s="19">
        <f>'17'!G43</f>
        <v>0</v>
      </c>
      <c r="AX20" s="23">
        <f>'17'!G44</f>
        <v>0</v>
      </c>
      <c r="AY20" s="56">
        <f>'17'!G36</f>
        <v>765.32000000000698</v>
      </c>
      <c r="AZ20" s="55">
        <f>'17'!G49</f>
        <v>3485.3300000000163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357.48999999999069</v>
      </c>
      <c r="BE20" s="19">
        <f>'17'!G55</f>
        <v>3262.7399999999907</v>
      </c>
      <c r="BF20" s="19">
        <f>'17'!G56</f>
        <v>0</v>
      </c>
      <c r="BG20" s="19">
        <f>'17'!G57</f>
        <v>2989.2000000000116</v>
      </c>
      <c r="BH20" s="56">
        <f>'17'!G50</f>
        <v>1077.6500000000233</v>
      </c>
      <c r="BI20" s="60">
        <f t="shared" si="12"/>
        <v>7072.2200000000012</v>
      </c>
      <c r="BJ20" s="60">
        <f>'17'!G133</f>
        <v>-0.30999999999767169</v>
      </c>
      <c r="BK20" s="23">
        <f t="shared" si="13"/>
        <v>51.119811320754827</v>
      </c>
      <c r="BL20" s="23">
        <f t="shared" si="14"/>
        <v>10.896754716981185</v>
      </c>
      <c r="BM20" s="24">
        <f t="shared" si="15"/>
        <v>9.278792452829987E-2</v>
      </c>
      <c r="BN20" s="25">
        <f t="shared" si="16"/>
        <v>329260</v>
      </c>
      <c r="BO20" s="38">
        <f t="shared" si="17"/>
        <v>10061.110000000015</v>
      </c>
      <c r="BP20">
        <f t="shared" si="18"/>
        <v>0.89184749849305012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0.78</v>
      </c>
      <c r="F21" s="50">
        <f>'18 '!D2</f>
        <v>0.98</v>
      </c>
      <c r="G21" s="19">
        <f>'18 '!G7</f>
        <v>25260.899999999994</v>
      </c>
      <c r="H21" s="19">
        <f>'18 '!G8</f>
        <v>26500</v>
      </c>
      <c r="I21" s="19">
        <v>9</v>
      </c>
      <c r="J21" s="49">
        <f t="shared" si="3"/>
        <v>238500</v>
      </c>
      <c r="K21" s="45">
        <f t="shared" si="4"/>
        <v>131.1881188118812</v>
      </c>
      <c r="L21" s="19">
        <f>'18 '!G15</f>
        <v>1000</v>
      </c>
      <c r="M21" s="19">
        <v>56.2</v>
      </c>
      <c r="N21" s="41">
        <f t="shared" si="5"/>
        <v>56200</v>
      </c>
      <c r="O21" s="19">
        <f>'18 '!G20</f>
        <v>274</v>
      </c>
      <c r="P21" s="19">
        <v>108</v>
      </c>
      <c r="Q21" s="46">
        <f t="shared" si="0"/>
        <v>29592</v>
      </c>
      <c r="R21" s="47">
        <f t="shared" si="1"/>
        <v>138.41180036370983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131</v>
      </c>
      <c r="W21" s="22">
        <f>'18 '!G66</f>
        <v>24</v>
      </c>
      <c r="X21" s="22">
        <f>'18 '!G67</f>
        <v>0</v>
      </c>
      <c r="Y21" s="22">
        <f t="shared" si="7"/>
        <v>155</v>
      </c>
      <c r="Z21" s="19">
        <f>'18 '!G84</f>
        <v>24</v>
      </c>
      <c r="AA21" s="19">
        <f>'18 '!G85</f>
        <v>0</v>
      </c>
      <c r="AB21" s="19">
        <f>'18 '!G86</f>
        <v>14.849999999998545</v>
      </c>
      <c r="AC21" s="19">
        <f>'18 '!G87</f>
        <v>0</v>
      </c>
      <c r="AD21" s="19">
        <f t="shared" si="8"/>
        <v>38.849999999998545</v>
      </c>
      <c r="AE21" s="23">
        <f t="shared" si="2"/>
        <v>6799.2300000000105</v>
      </c>
      <c r="AF21" s="23">
        <f t="shared" si="9"/>
        <v>175.01235521236202</v>
      </c>
      <c r="AG21" s="19">
        <f>'18 '!G88</f>
        <v>4.0000000000873115E-2</v>
      </c>
      <c r="AH21" s="19">
        <f>'18 '!G89</f>
        <v>8.930000000000291</v>
      </c>
      <c r="AI21" s="19">
        <f>'18 '!G90</f>
        <v>12.623999999996158</v>
      </c>
      <c r="AJ21" s="19">
        <f t="shared" si="10"/>
        <v>21.593999999997322</v>
      </c>
      <c r="AK21" s="19">
        <f>'18 '!G91</f>
        <v>12.920000000000073</v>
      </c>
      <c r="AL21" s="19">
        <f>'18 '!G92</f>
        <v>0</v>
      </c>
      <c r="AM21" s="19"/>
      <c r="AN21" s="19">
        <f t="shared" si="11"/>
        <v>12.920000000000073</v>
      </c>
      <c r="AO21" s="52">
        <f>'18 '!G74</f>
        <v>352.70999999996275</v>
      </c>
      <c r="AP21" s="55">
        <f>'18 '!G35</f>
        <v>0.95000000001164153</v>
      </c>
      <c r="AQ21" s="19">
        <f>'18 '!G37</f>
        <v>1599.0599999999977</v>
      </c>
      <c r="AR21" s="19">
        <f>'18 '!G38</f>
        <v>2493.710000000021</v>
      </c>
      <c r="AS21" s="19">
        <f>'18 '!G39</f>
        <v>2965.0399999999208</v>
      </c>
      <c r="AT21" s="19">
        <f>'18 '!G40</f>
        <v>782.89999999999418</v>
      </c>
      <c r="AU21" s="19">
        <f>'18 '!G41</f>
        <v>4892.1399999999849</v>
      </c>
      <c r="AV21" s="19">
        <f>'18 '!G42</f>
        <v>0</v>
      </c>
      <c r="AW21" s="19">
        <f>'18 '!G43</f>
        <v>0</v>
      </c>
      <c r="AX21" s="23">
        <f>'18 '!G44</f>
        <v>0</v>
      </c>
      <c r="AY21" s="56">
        <f>'18 '!G36</f>
        <v>1106.679999999993</v>
      </c>
      <c r="AZ21" s="55">
        <f>'18 '!G49</f>
        <v>3521.0100000000093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363.52000000000407</v>
      </c>
      <c r="BE21" s="19">
        <f>'18 '!G55</f>
        <v>1907.0900000000256</v>
      </c>
      <c r="BF21" s="19">
        <f>'18 '!G56</f>
        <v>0</v>
      </c>
      <c r="BG21" s="19">
        <f>'18 '!G57</f>
        <v>2881.8800000000047</v>
      </c>
      <c r="BH21" s="56">
        <f>'18 '!G50</f>
        <v>1162.1399999999558</v>
      </c>
      <c r="BI21" s="60">
        <f t="shared" si="12"/>
        <v>6799.2300000000105</v>
      </c>
      <c r="BJ21" s="60">
        <f>'18 '!G133</f>
        <v>0</v>
      </c>
      <c r="BK21" s="23">
        <f t="shared" si="13"/>
        <v>49.822905660377494</v>
      </c>
      <c r="BL21" s="23">
        <f t="shared" si="14"/>
        <v>11.188830188678947</v>
      </c>
      <c r="BM21" s="24">
        <f t="shared" si="15"/>
        <v>9.4102264150944193E-2</v>
      </c>
      <c r="BN21" s="25">
        <f t="shared" si="16"/>
        <v>324292</v>
      </c>
      <c r="BO21" s="38">
        <f t="shared" si="17"/>
        <v>9681.1100000000151</v>
      </c>
      <c r="BP21">
        <f t="shared" si="18"/>
        <v>0.88997150211439402</v>
      </c>
    </row>
    <row r="22" spans="1:68">
      <c r="A22" s="16">
        <v>19</v>
      </c>
      <c r="B22" s="17">
        <v>19</v>
      </c>
      <c r="C22" s="27"/>
      <c r="D22" s="19">
        <f>'19'!D3</f>
        <v>27</v>
      </c>
      <c r="E22" s="50">
        <f>'19'!D4</f>
        <v>0.78</v>
      </c>
      <c r="F22" s="50">
        <f>'19'!D2</f>
        <v>0.94</v>
      </c>
      <c r="G22" s="19">
        <f>'19'!G7</f>
        <v>26200</v>
      </c>
      <c r="H22" s="19">
        <f>'19'!G8</f>
        <v>26500</v>
      </c>
      <c r="I22" s="19">
        <v>9</v>
      </c>
      <c r="J22" s="49">
        <f t="shared" si="3"/>
        <v>238500</v>
      </c>
      <c r="K22" s="45">
        <f t="shared" si="4"/>
        <v>131.1881188118812</v>
      </c>
      <c r="L22" s="19">
        <f>'19'!G15</f>
        <v>1000</v>
      </c>
      <c r="M22" s="19">
        <v>56.2</v>
      </c>
      <c r="N22" s="41">
        <f t="shared" si="5"/>
        <v>56200</v>
      </c>
      <c r="O22" s="19">
        <f>'19'!G20</f>
        <v>226</v>
      </c>
      <c r="P22" s="19">
        <v>108</v>
      </c>
      <c r="Q22" s="46">
        <f t="shared" si="0"/>
        <v>24408</v>
      </c>
      <c r="R22" s="47">
        <f t="shared" si="1"/>
        <v>119.02254055192753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136</v>
      </c>
      <c r="W22" s="22">
        <f>'19'!G66</f>
        <v>19</v>
      </c>
      <c r="X22" s="22">
        <f>'19'!G67</f>
        <v>0</v>
      </c>
      <c r="Y22" s="22">
        <f t="shared" si="7"/>
        <v>155</v>
      </c>
      <c r="Z22" s="19">
        <f>'19'!G84</f>
        <v>22</v>
      </c>
      <c r="AA22" s="19">
        <f>'19'!G85</f>
        <v>17.520000000000437</v>
      </c>
      <c r="AB22" s="19">
        <f>'19'!G86</f>
        <v>1.9900000000052387</v>
      </c>
      <c r="AC22" s="19">
        <f>'19'!G87</f>
        <v>0</v>
      </c>
      <c r="AD22" s="19">
        <f t="shared" si="8"/>
        <v>41.510000000005675</v>
      </c>
      <c r="AE22" s="23">
        <f t="shared" si="2"/>
        <v>8734.1100000000151</v>
      </c>
      <c r="AF22" s="23">
        <f t="shared" si="9"/>
        <v>210.40978077568829</v>
      </c>
      <c r="AG22" s="19">
        <f>'19'!G88</f>
        <v>0</v>
      </c>
      <c r="AH22" s="19">
        <f>'19'!G89</f>
        <v>9.1900000000023283</v>
      </c>
      <c r="AI22" s="19">
        <f>'19'!G90</f>
        <v>10.930000000007567</v>
      </c>
      <c r="AJ22" s="19">
        <f t="shared" si="10"/>
        <v>20.120000000009895</v>
      </c>
      <c r="AK22" s="19">
        <f>'19'!G91</f>
        <v>10</v>
      </c>
      <c r="AL22" s="19">
        <f>'19'!G92</f>
        <v>4.9200000000000728</v>
      </c>
      <c r="AM22" s="19"/>
      <c r="AN22" s="19">
        <f t="shared" si="11"/>
        <v>14.920000000000073</v>
      </c>
      <c r="AO22" s="52">
        <f>'19'!G74</f>
        <v>343.56000000005588</v>
      </c>
      <c r="AP22" s="55">
        <f>'19'!G35</f>
        <v>-0.95000000001164153</v>
      </c>
      <c r="AQ22" s="19">
        <f>'19'!G37</f>
        <v>1536.1199999999953</v>
      </c>
      <c r="AR22" s="19">
        <f>'19'!G38</f>
        <v>2304.210000000021</v>
      </c>
      <c r="AS22" s="19">
        <f>'19'!G39</f>
        <v>2902.7600000000093</v>
      </c>
      <c r="AT22" s="19">
        <f>'19'!G40</f>
        <v>725.90000000000873</v>
      </c>
      <c r="AU22" s="19">
        <f>'19'!G41</f>
        <v>4645.8999999999942</v>
      </c>
      <c r="AV22" s="19">
        <f>'19'!G42</f>
        <v>3844.640000000014</v>
      </c>
      <c r="AW22" s="19">
        <f>'19'!G43</f>
        <v>0</v>
      </c>
      <c r="AX22" s="23">
        <f>'19'!G44</f>
        <v>0</v>
      </c>
      <c r="AY22" s="56">
        <f>'19'!G36</f>
        <v>1238.1600000000035</v>
      </c>
      <c r="AZ22" s="55">
        <f>'19'!G49</f>
        <v>3706.9799999999814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347.88999999999942</v>
      </c>
      <c r="BE22" s="19">
        <f>'19'!G55</f>
        <v>243.57000000000698</v>
      </c>
      <c r="BF22" s="19">
        <f>'19'!G56</f>
        <v>0</v>
      </c>
      <c r="BG22" s="19">
        <f>'19'!G57</f>
        <v>3069.3799999999756</v>
      </c>
      <c r="BH22" s="56">
        <f>'19'!G50</f>
        <v>1786.3800000000047</v>
      </c>
      <c r="BI22" s="60">
        <f t="shared" si="12"/>
        <v>8734.1100000000151</v>
      </c>
      <c r="BJ22" s="60">
        <f>'19'!G133</f>
        <v>0</v>
      </c>
      <c r="BK22" s="23">
        <f t="shared" si="13"/>
        <v>58.526490566037587</v>
      </c>
      <c r="BL22" s="23">
        <f t="shared" si="14"/>
        <v>10.953811320754753</v>
      </c>
      <c r="BM22" s="24">
        <f t="shared" si="15"/>
        <v>8.6951320754717773E-2</v>
      </c>
      <c r="BN22" s="25">
        <f t="shared" si="16"/>
        <v>319108</v>
      </c>
      <c r="BO22" s="38">
        <f t="shared" si="17"/>
        <v>11803.489999999991</v>
      </c>
      <c r="BP22">
        <f t="shared" si="18"/>
        <v>1.0155461678767919</v>
      </c>
    </row>
    <row r="23" spans="1:68">
      <c r="A23" s="16">
        <v>20</v>
      </c>
      <c r="B23" s="26">
        <v>20</v>
      </c>
      <c r="C23" s="26"/>
      <c r="D23" s="19">
        <f>'20'!D3</f>
        <v>27</v>
      </c>
      <c r="E23" s="50">
        <f>'20'!D4</f>
        <v>0.78</v>
      </c>
      <c r="F23" s="50">
        <f>'20'!D2</f>
        <v>0.81</v>
      </c>
      <c r="G23" s="19">
        <f>'20'!G7</f>
        <v>26200</v>
      </c>
      <c r="H23" s="19">
        <f>'20'!G8</f>
        <v>26500</v>
      </c>
      <c r="I23" s="19">
        <v>9</v>
      </c>
      <c r="J23" s="49">
        <f t="shared" si="3"/>
        <v>238500</v>
      </c>
      <c r="K23" s="45">
        <f t="shared" si="4"/>
        <v>131.1881188118812</v>
      </c>
      <c r="L23" s="19">
        <f>'20'!G15</f>
        <v>1000</v>
      </c>
      <c r="M23" s="19">
        <v>56.2</v>
      </c>
      <c r="N23" s="41">
        <f t="shared" si="5"/>
        <v>56200</v>
      </c>
      <c r="O23" s="19">
        <f>'20'!G20</f>
        <v>273</v>
      </c>
      <c r="P23" s="19">
        <v>108</v>
      </c>
      <c r="Q23" s="46">
        <f t="shared" si="0"/>
        <v>29484</v>
      </c>
      <c r="R23" s="47">
        <f t="shared" si="1"/>
        <v>166.85001833516685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112</v>
      </c>
      <c r="W23" s="22">
        <f>'20'!G66</f>
        <v>22</v>
      </c>
      <c r="X23" s="22">
        <f>'20'!G67</f>
        <v>0</v>
      </c>
      <c r="Y23" s="22">
        <f t="shared" si="7"/>
        <v>134</v>
      </c>
      <c r="Z23" s="19">
        <f>'20'!G84</f>
        <v>0</v>
      </c>
      <c r="AA23" s="19">
        <f>'20'!G85</f>
        <v>23.979999999999563</v>
      </c>
      <c r="AB23" s="19">
        <f>'20'!G86</f>
        <v>-0.19000000000232831</v>
      </c>
      <c r="AC23" s="19">
        <f>'20'!G87</f>
        <v>13.559999999997672</v>
      </c>
      <c r="AD23" s="19">
        <f t="shared" si="8"/>
        <v>37.349999999994907</v>
      </c>
      <c r="AE23" s="23">
        <f t="shared" si="2"/>
        <v>7199.1699999999983</v>
      </c>
      <c r="AF23" s="23">
        <f t="shared" si="9"/>
        <v>192.7488621151534</v>
      </c>
      <c r="AG23" s="19">
        <f>'20'!G88</f>
        <v>-0.47000000000116415</v>
      </c>
      <c r="AH23" s="19">
        <f>'20'!G89</f>
        <v>8.8699999999989814</v>
      </c>
      <c r="AI23" s="19">
        <f>'20'!G90</f>
        <v>10.399999999994179</v>
      </c>
      <c r="AJ23" s="19">
        <f t="shared" si="10"/>
        <v>18.799999999991996</v>
      </c>
      <c r="AK23" s="19">
        <f>'20'!G91</f>
        <v>0</v>
      </c>
      <c r="AL23" s="19">
        <f>'20'!G92</f>
        <v>12.109999999999673</v>
      </c>
      <c r="AM23" s="19"/>
      <c r="AN23" s="19">
        <f t="shared" si="11"/>
        <v>12.109999999999673</v>
      </c>
      <c r="AO23" s="52">
        <f>'20'!G74</f>
        <v>346.5</v>
      </c>
      <c r="AP23" s="55">
        <f>'20'!G35</f>
        <v>0</v>
      </c>
      <c r="AQ23" s="19">
        <f>'20'!G37</f>
        <v>1550.5100000000093</v>
      </c>
      <c r="AR23" s="19">
        <f>'20'!G38</f>
        <v>2246.609999999986</v>
      </c>
      <c r="AS23" s="19">
        <f>'20'!G39</f>
        <v>2951.890000000014</v>
      </c>
      <c r="AT23" s="19">
        <f>'20'!G40</f>
        <v>838.89999999999418</v>
      </c>
      <c r="AU23" s="19">
        <f>'20'!G41</f>
        <v>0</v>
      </c>
      <c r="AV23" s="19">
        <f>'20'!G42</f>
        <v>5518.3699999999953</v>
      </c>
      <c r="AW23" s="19">
        <f>'20'!G43</f>
        <v>0</v>
      </c>
      <c r="AX23" s="23">
        <f>'20'!G44</f>
        <v>0</v>
      </c>
      <c r="AY23" s="56">
        <f>'20'!G36</f>
        <v>1180.6300000000047</v>
      </c>
      <c r="AZ23" s="55">
        <f>'20'!G49</f>
        <v>3725.8099999999977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355.55000000000291</v>
      </c>
      <c r="BE23" s="19">
        <f>'20'!G55</f>
        <v>-5.9999999997671694E-2</v>
      </c>
      <c r="BF23" s="19">
        <f>'20'!G56</f>
        <v>1680.8600000000006</v>
      </c>
      <c r="BG23" s="19">
        <f>'20'!G57</f>
        <v>2990.2300000000105</v>
      </c>
      <c r="BH23" s="56">
        <f>'20'!G50</f>
        <v>1834.8300000000163</v>
      </c>
      <c r="BI23" s="60">
        <f t="shared" si="12"/>
        <v>7199.1699999999983</v>
      </c>
      <c r="BJ23" s="60">
        <f>'20'!G133</f>
        <v>0</v>
      </c>
      <c r="BK23" s="23">
        <f t="shared" si="13"/>
        <v>52.510226415094365</v>
      </c>
      <c r="BL23" s="23">
        <f t="shared" si="14"/>
        <v>11.139207547169864</v>
      </c>
      <c r="BM23" s="24">
        <f t="shared" si="15"/>
        <v>8.4777735849056082E-2</v>
      </c>
      <c r="BN23" s="25">
        <f t="shared" si="16"/>
        <v>324184</v>
      </c>
      <c r="BO23" s="38">
        <f t="shared" si="17"/>
        <v>10189.400000000009</v>
      </c>
      <c r="BP23">
        <f t="shared" si="18"/>
        <v>0.97431631287066345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0.95</v>
      </c>
      <c r="G24" s="19">
        <f>'21'!G7</f>
        <v>26200</v>
      </c>
      <c r="H24" s="19">
        <f>'21'!G8</f>
        <v>26500</v>
      </c>
      <c r="I24" s="19">
        <v>9</v>
      </c>
      <c r="J24" s="49">
        <f t="shared" si="3"/>
        <v>238500</v>
      </c>
      <c r="K24" s="45">
        <f t="shared" si="4"/>
        <v>131.1881188118812</v>
      </c>
      <c r="L24" s="19">
        <f>'21'!G15</f>
        <v>1000</v>
      </c>
      <c r="M24" s="19">
        <v>56.2</v>
      </c>
      <c r="N24" s="41">
        <f t="shared" si="5"/>
        <v>56200</v>
      </c>
      <c r="O24" s="19">
        <f>'21'!G20</f>
        <v>220</v>
      </c>
      <c r="P24" s="19">
        <v>108</v>
      </c>
      <c r="Q24" s="46">
        <f t="shared" si="0"/>
        <v>23760</v>
      </c>
      <c r="R24" s="47">
        <f t="shared" si="1"/>
        <v>114.6430432516936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99</v>
      </c>
      <c r="W24" s="22">
        <f>'21'!G66</f>
        <v>21</v>
      </c>
      <c r="X24" s="22">
        <f>'21'!G67</f>
        <v>0</v>
      </c>
      <c r="Y24" s="22">
        <f t="shared" si="7"/>
        <v>120</v>
      </c>
      <c r="Z24" s="19">
        <f>'21'!G84</f>
        <v>0</v>
      </c>
      <c r="AA24" s="19">
        <f>'21'!G85</f>
        <v>21</v>
      </c>
      <c r="AB24" s="19">
        <f>'21'!G86</f>
        <v>15.480000000003201</v>
      </c>
      <c r="AC24" s="19">
        <f>'21'!G87</f>
        <v>0</v>
      </c>
      <c r="AD24" s="19">
        <f t="shared" si="8"/>
        <v>36.480000000003201</v>
      </c>
      <c r="AE24" s="23">
        <f t="shared" si="2"/>
        <v>6568.7799999999988</v>
      </c>
      <c r="AF24" s="23">
        <f t="shared" si="9"/>
        <v>180.06524122805433</v>
      </c>
      <c r="AG24" s="19">
        <f>'21'!G88</f>
        <v>0</v>
      </c>
      <c r="AH24" s="19">
        <f>'21'!G89</f>
        <v>9</v>
      </c>
      <c r="AI24" s="19">
        <f>'21'!G90</f>
        <v>10</v>
      </c>
      <c r="AJ24" s="19">
        <f t="shared" si="10"/>
        <v>19</v>
      </c>
      <c r="AK24" s="19">
        <f>'21'!G91</f>
        <v>0</v>
      </c>
      <c r="AL24" s="19">
        <f>'21'!G92</f>
        <v>11.100000000000364</v>
      </c>
      <c r="AM24" s="19"/>
      <c r="AN24" s="19">
        <f t="shared" si="11"/>
        <v>11.100000000000364</v>
      </c>
      <c r="AO24" s="52">
        <f>'21'!G74</f>
        <v>337</v>
      </c>
      <c r="AP24" s="55">
        <f>'21'!G35</f>
        <v>-4.9999999988358468E-2</v>
      </c>
      <c r="AQ24" s="19">
        <f>'21'!G37</f>
        <v>1563</v>
      </c>
      <c r="AR24" s="19">
        <f>'21'!G38</f>
        <v>2209</v>
      </c>
      <c r="AS24" s="19">
        <f>'21'!G39</f>
        <v>2860</v>
      </c>
      <c r="AT24" s="19">
        <f>'21'!G40</f>
        <v>838</v>
      </c>
      <c r="AU24" s="19">
        <f>'21'!G41</f>
        <v>0.29000000000814907</v>
      </c>
      <c r="AV24" s="19">
        <f>'21'!G42</f>
        <v>4511</v>
      </c>
      <c r="AW24" s="19">
        <f>'21'!G43</f>
        <v>0</v>
      </c>
      <c r="AX24" s="23">
        <f>'21'!G44</f>
        <v>0</v>
      </c>
      <c r="AY24" s="56">
        <f>'21'!G36</f>
        <v>726</v>
      </c>
      <c r="AZ24" s="55">
        <f>'21'!G49</f>
        <v>3628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355</v>
      </c>
      <c r="BE24" s="19">
        <f>'21'!G55</f>
        <v>2057.4899999999907</v>
      </c>
      <c r="BF24" s="19">
        <f>'21'!G56</f>
        <v>0</v>
      </c>
      <c r="BG24" s="19">
        <f>'21'!G57</f>
        <v>3140</v>
      </c>
      <c r="BH24" s="56">
        <f>'21'!G50</f>
        <v>1434</v>
      </c>
      <c r="BI24" s="60">
        <f t="shared" si="12"/>
        <v>6568.7799999999988</v>
      </c>
      <c r="BJ24" s="60">
        <f>'21'!G133</f>
        <v>0.41000000000349246</v>
      </c>
      <c r="BK24" s="23">
        <f t="shared" si="13"/>
        <v>50.327283018867966</v>
      </c>
      <c r="BL24" s="23">
        <f t="shared" si="14"/>
        <v>10.79245283018868</v>
      </c>
      <c r="BM24" s="24">
        <f t="shared" si="15"/>
        <v>8.3358490566037738E-2</v>
      </c>
      <c r="BN24" s="25">
        <f t="shared" si="16"/>
        <v>318460</v>
      </c>
      <c r="BO24" s="38">
        <f t="shared" si="17"/>
        <v>9709.1900000000023</v>
      </c>
      <c r="BP24">
        <f t="shared" si="18"/>
        <v>0.95053943452372636</v>
      </c>
    </row>
    <row r="25" spans="1:68">
      <c r="A25" s="16">
        <v>22</v>
      </c>
      <c r="B25" s="27">
        <v>22</v>
      </c>
      <c r="C25" s="28"/>
      <c r="D25" s="19">
        <f>'22'!D3</f>
        <v>28</v>
      </c>
      <c r="E25" s="50">
        <f>'22'!D4</f>
        <v>0.79</v>
      </c>
      <c r="F25" s="50">
        <f>'22'!D2</f>
        <v>0.87</v>
      </c>
      <c r="G25" s="19">
        <f>'22'!G7</f>
        <v>26200</v>
      </c>
      <c r="H25" s="19">
        <f>'22'!G8</f>
        <v>26500</v>
      </c>
      <c r="I25" s="19">
        <v>9</v>
      </c>
      <c r="J25" s="49">
        <f t="shared" si="3"/>
        <v>238500</v>
      </c>
      <c r="K25" s="45">
        <f t="shared" si="4"/>
        <v>131.1881188118812</v>
      </c>
      <c r="L25" s="19">
        <f>'22'!G15</f>
        <v>1000</v>
      </c>
      <c r="M25" s="19">
        <v>56.2</v>
      </c>
      <c r="N25" s="41">
        <f t="shared" si="5"/>
        <v>56200</v>
      </c>
      <c r="O25" s="19">
        <f>'22'!G20</f>
        <v>269</v>
      </c>
      <c r="P25" s="19">
        <v>108</v>
      </c>
      <c r="Q25" s="46">
        <f t="shared" si="0"/>
        <v>29052</v>
      </c>
      <c r="R25" s="47">
        <f t="shared" si="1"/>
        <v>153.06703084101514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105</v>
      </c>
      <c r="W25" s="22">
        <f>'22'!G66</f>
        <v>22</v>
      </c>
      <c r="X25" s="22">
        <f>'22'!G67</f>
        <v>0</v>
      </c>
      <c r="Y25" s="22">
        <f t="shared" si="7"/>
        <v>127</v>
      </c>
      <c r="Z25" s="19">
        <f>'22'!G84</f>
        <v>14</v>
      </c>
      <c r="AA25" s="19">
        <f>'22'!G85</f>
        <v>0</v>
      </c>
      <c r="AB25" s="19">
        <f>'22'!G86</f>
        <v>20.519999999996799</v>
      </c>
      <c r="AC25" s="19">
        <f>'22'!G87</f>
        <v>0</v>
      </c>
      <c r="AD25" s="19">
        <f t="shared" si="8"/>
        <v>34.519999999996799</v>
      </c>
      <c r="AE25" s="23">
        <f t="shared" si="2"/>
        <v>6343</v>
      </c>
      <c r="AF25" s="23">
        <f t="shared" si="9"/>
        <v>183.74855156432758</v>
      </c>
      <c r="AG25" s="19">
        <f>'22'!G88</f>
        <v>0</v>
      </c>
      <c r="AH25" s="19">
        <f>'22'!G89</f>
        <v>10</v>
      </c>
      <c r="AI25" s="19">
        <f>'22'!G90</f>
        <v>11</v>
      </c>
      <c r="AJ25" s="19">
        <f t="shared" si="10"/>
        <v>21</v>
      </c>
      <c r="AK25" s="19">
        <f>'22'!G91</f>
        <v>0</v>
      </c>
      <c r="AL25" s="19">
        <f>'22'!G92</f>
        <v>12</v>
      </c>
      <c r="AM25" s="19"/>
      <c r="AN25" s="19">
        <f t="shared" si="11"/>
        <v>12</v>
      </c>
      <c r="AO25" s="52">
        <f>'22'!G74</f>
        <v>329</v>
      </c>
      <c r="AP25" s="55">
        <f>'22'!G35</f>
        <v>0</v>
      </c>
      <c r="AQ25" s="19">
        <f>'22'!G37</f>
        <v>1495</v>
      </c>
      <c r="AR25" s="19">
        <f>'22'!G38</f>
        <v>2195</v>
      </c>
      <c r="AS25" s="19">
        <f>'22'!G39</f>
        <v>2882</v>
      </c>
      <c r="AT25" s="19">
        <f>'22'!G40</f>
        <v>829</v>
      </c>
      <c r="AU25" s="19">
        <f>'22'!G41</f>
        <v>3232</v>
      </c>
      <c r="AV25" s="19">
        <f>'22'!G42</f>
        <v>0</v>
      </c>
      <c r="AW25" s="19">
        <f>'22'!G43</f>
        <v>3.0000000027939677E-2</v>
      </c>
      <c r="AX25" s="23">
        <f>'22'!G44</f>
        <v>0</v>
      </c>
      <c r="AY25" s="56">
        <f>'22'!G36</f>
        <v>787</v>
      </c>
      <c r="AZ25" s="55">
        <f>'22'!G49</f>
        <v>3430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352</v>
      </c>
      <c r="BE25" s="19">
        <f>'22'!G55</f>
        <v>3111</v>
      </c>
      <c r="BF25" s="19">
        <f>'22'!G56</f>
        <v>0</v>
      </c>
      <c r="BG25" s="19">
        <f>'22'!G57</f>
        <v>2737</v>
      </c>
      <c r="BH25" s="56">
        <f>'22'!G50</f>
        <v>1163</v>
      </c>
      <c r="BI25" s="60">
        <f t="shared" si="12"/>
        <v>6343</v>
      </c>
      <c r="BJ25" s="60">
        <f>'22'!G133</f>
        <v>0</v>
      </c>
      <c r="BK25" s="23">
        <f t="shared" si="13"/>
        <v>47.207660377358593</v>
      </c>
      <c r="BL25" s="23">
        <f t="shared" si="14"/>
        <v>10.875471698113207</v>
      </c>
      <c r="BM25" s="24">
        <f t="shared" si="15"/>
        <v>8.2830188679245284E-2</v>
      </c>
      <c r="BN25" s="25">
        <f t="shared" si="16"/>
        <v>323752</v>
      </c>
      <c r="BO25" s="38">
        <f t="shared" si="17"/>
        <v>9080.0300000000279</v>
      </c>
      <c r="BP25">
        <f t="shared" si="18"/>
        <v>0.9394171080947763</v>
      </c>
    </row>
    <row r="26" spans="1:68">
      <c r="A26" s="16">
        <v>23</v>
      </c>
      <c r="B26" s="27">
        <v>23</v>
      </c>
      <c r="C26" s="28"/>
      <c r="D26" s="19">
        <f>'23'!D3</f>
        <v>27</v>
      </c>
      <c r="E26" s="50">
        <f>'23'!D4</f>
        <v>0.79</v>
      </c>
      <c r="F26" s="50">
        <f>'23'!D2</f>
        <v>0.91</v>
      </c>
      <c r="G26" s="19">
        <f>'23'!G7</f>
        <v>26200</v>
      </c>
      <c r="H26" s="19">
        <f>'23'!G8</f>
        <v>26500.000000000029</v>
      </c>
      <c r="I26" s="19">
        <v>9</v>
      </c>
      <c r="J26" s="49">
        <f t="shared" si="3"/>
        <v>238500.00000000026</v>
      </c>
      <c r="K26" s="45">
        <f t="shared" si="4"/>
        <v>131.18811881188134</v>
      </c>
      <c r="L26" s="19">
        <f>'23'!G15</f>
        <v>1000</v>
      </c>
      <c r="M26" s="19">
        <v>56.2</v>
      </c>
      <c r="N26" s="41">
        <f t="shared" si="5"/>
        <v>56200</v>
      </c>
      <c r="O26" s="19">
        <f>'23'!G20</f>
        <v>231</v>
      </c>
      <c r="P26" s="19">
        <v>108</v>
      </c>
      <c r="Q26" s="46">
        <f t="shared" si="0"/>
        <v>24948</v>
      </c>
      <c r="R26" s="47">
        <f t="shared" si="1"/>
        <v>125.66641279512568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98</v>
      </c>
      <c r="W26" s="22">
        <f>'23'!G66</f>
        <v>20</v>
      </c>
      <c r="X26" s="22">
        <f>'23'!G67</f>
        <v>0</v>
      </c>
      <c r="Y26" s="22">
        <f t="shared" si="7"/>
        <v>118</v>
      </c>
      <c r="Z26" s="19">
        <f>'23'!G84</f>
        <v>24</v>
      </c>
      <c r="AA26" s="19">
        <f>'23'!G85</f>
        <v>0</v>
      </c>
      <c r="AB26" s="19">
        <f>'23'!G86</f>
        <v>15</v>
      </c>
      <c r="AC26" s="19">
        <f>'23'!G87</f>
        <v>0</v>
      </c>
      <c r="AD26" s="19">
        <f t="shared" si="8"/>
        <v>39</v>
      </c>
      <c r="AE26" s="23">
        <f t="shared" si="2"/>
        <v>7155</v>
      </c>
      <c r="AF26" s="23">
        <f t="shared" si="9"/>
        <v>183.46153846153845</v>
      </c>
      <c r="AG26" s="19">
        <f>'23'!G88</f>
        <v>0</v>
      </c>
      <c r="AH26" s="19">
        <f>'23'!G89</f>
        <v>9</v>
      </c>
      <c r="AI26" s="19">
        <f>'23'!G90</f>
        <v>9.7299999999959255</v>
      </c>
      <c r="AJ26" s="19">
        <f t="shared" si="10"/>
        <v>18.729999999995925</v>
      </c>
      <c r="AK26" s="19">
        <f>'23'!G91</f>
        <v>0</v>
      </c>
      <c r="AL26" s="19">
        <f>'23'!G92</f>
        <v>11</v>
      </c>
      <c r="AM26" s="19"/>
      <c r="AN26" s="19">
        <f t="shared" si="11"/>
        <v>11</v>
      </c>
      <c r="AO26" s="52">
        <f>'23'!G74</f>
        <v>338</v>
      </c>
      <c r="AP26" s="55">
        <f>'23'!G35</f>
        <v>0</v>
      </c>
      <c r="AQ26" s="19">
        <f>'23'!G37</f>
        <v>1496</v>
      </c>
      <c r="AR26" s="19">
        <f>'23'!G38</f>
        <v>2289</v>
      </c>
      <c r="AS26" s="19">
        <f>'23'!G39</f>
        <v>2934</v>
      </c>
      <c r="AT26" s="19">
        <f>'23'!G40</f>
        <v>845</v>
      </c>
      <c r="AU26" s="19">
        <f>'23'!G41</f>
        <v>5144</v>
      </c>
      <c r="AV26" s="19">
        <f>'23'!G42</f>
        <v>0</v>
      </c>
      <c r="AW26" s="19">
        <f>'23'!G43</f>
        <v>0</v>
      </c>
      <c r="AX26" s="23">
        <f>'23'!G44</f>
        <v>0</v>
      </c>
      <c r="AY26" s="56">
        <f>'23'!G36</f>
        <v>1016</v>
      </c>
      <c r="AZ26" s="55">
        <f>'23'!G49</f>
        <v>3520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352</v>
      </c>
      <c r="BE26" s="19">
        <f>'23'!G55</f>
        <v>2011</v>
      </c>
      <c r="BF26" s="19">
        <f>'23'!G56</f>
        <v>0</v>
      </c>
      <c r="BG26" s="19">
        <f>'23'!G57</f>
        <v>3141</v>
      </c>
      <c r="BH26" s="56">
        <f>'23'!G50</f>
        <v>1332</v>
      </c>
      <c r="BI26" s="60">
        <f t="shared" si="12"/>
        <v>7155</v>
      </c>
      <c r="BJ26" s="60">
        <f>'23'!G133</f>
        <v>0</v>
      </c>
      <c r="BK26" s="23">
        <f t="shared" si="13"/>
        <v>52.135849056603718</v>
      </c>
      <c r="BL26" s="23">
        <f t="shared" si="14"/>
        <v>11.071698113207535</v>
      </c>
      <c r="BM26" s="24">
        <f t="shared" si="15"/>
        <v>8.6377358490565936E-2</v>
      </c>
      <c r="BN26" s="25">
        <f t="shared" si="16"/>
        <v>319648.00000000023</v>
      </c>
      <c r="BO26" s="38">
        <f t="shared" si="17"/>
        <v>10296</v>
      </c>
      <c r="BP26">
        <f t="shared" si="18"/>
        <v>0.94285714285714284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0.43</v>
      </c>
      <c r="G27" s="19">
        <f>'24'!G7</f>
        <v>26200</v>
      </c>
      <c r="H27" s="19">
        <f>'24'!G8</f>
        <v>26500</v>
      </c>
      <c r="I27" s="19">
        <v>9</v>
      </c>
      <c r="J27" s="49">
        <f t="shared" si="3"/>
        <v>238500</v>
      </c>
      <c r="K27" s="45">
        <f t="shared" si="4"/>
        <v>131.1881188118812</v>
      </c>
      <c r="L27" s="19">
        <f>'24'!G15</f>
        <v>1000</v>
      </c>
      <c r="M27" s="19">
        <v>56.2</v>
      </c>
      <c r="N27" s="41">
        <f t="shared" si="5"/>
        <v>56200</v>
      </c>
      <c r="O27" s="19">
        <f>'24'!G20</f>
        <v>197</v>
      </c>
      <c r="P27" s="19">
        <v>108</v>
      </c>
      <c r="Q27" s="46">
        <f t="shared" si="0"/>
        <v>21276</v>
      </c>
      <c r="R27" s="47">
        <f t="shared" si="1"/>
        <v>226.80174994243609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108</v>
      </c>
      <c r="W27" s="22">
        <f>'24'!G66</f>
        <v>27</v>
      </c>
      <c r="X27" s="22">
        <f>'24'!G67</f>
        <v>0</v>
      </c>
      <c r="Y27" s="22">
        <f t="shared" si="7"/>
        <v>135</v>
      </c>
      <c r="Z27" s="19">
        <f>'24'!G84</f>
        <v>0</v>
      </c>
      <c r="AA27" s="19">
        <f>'24'!G85</f>
        <v>13.359999999999673</v>
      </c>
      <c r="AB27" s="19">
        <f>'24'!G86</f>
        <v>24.309999999997672</v>
      </c>
      <c r="AC27" s="19">
        <f>'24'!G87</f>
        <v>0</v>
      </c>
      <c r="AD27" s="19">
        <f t="shared" si="8"/>
        <v>37.669999999997344</v>
      </c>
      <c r="AE27" s="23">
        <f t="shared" si="2"/>
        <v>6692.9400000000169</v>
      </c>
      <c r="AF27" s="23">
        <f t="shared" si="9"/>
        <v>177.67294929653539</v>
      </c>
      <c r="AG27" s="19">
        <f>'24'!G88</f>
        <v>0</v>
      </c>
      <c r="AH27" s="19">
        <f>'24'!G89</f>
        <v>8.6399999999994179</v>
      </c>
      <c r="AI27" s="19">
        <f>'24'!G90</f>
        <v>9.5400000000081491</v>
      </c>
      <c r="AJ27" s="19">
        <f t="shared" si="10"/>
        <v>18.180000000007567</v>
      </c>
      <c r="AK27" s="19">
        <f>'24'!G91</f>
        <v>0</v>
      </c>
      <c r="AL27" s="19">
        <f>'24'!G92</f>
        <v>11.680000000000291</v>
      </c>
      <c r="AM27" s="19"/>
      <c r="AN27" s="19">
        <f t="shared" si="11"/>
        <v>11.680000000000291</v>
      </c>
      <c r="AO27" s="52">
        <f>'24'!G74</f>
        <v>331.48999999999069</v>
      </c>
      <c r="AP27" s="55">
        <f>'24'!G35</f>
        <v>0</v>
      </c>
      <c r="AQ27" s="19">
        <f>'24'!G37</f>
        <v>273.69000000000233</v>
      </c>
      <c r="AR27" s="19">
        <f>'24'!G38</f>
        <v>2180.3099999999977</v>
      </c>
      <c r="AS27" s="19">
        <f>'24'!G39</f>
        <v>597.18999999994412</v>
      </c>
      <c r="AT27" s="19">
        <f>'24'!G40</f>
        <v>868.2100000000064</v>
      </c>
      <c r="AU27" s="19">
        <f>'24'!G41</f>
        <v>0.17000000001280569</v>
      </c>
      <c r="AV27" s="19">
        <f>'24'!G42</f>
        <v>3080.6300000000047</v>
      </c>
      <c r="AW27" s="19">
        <f>'24'!G43</f>
        <v>0</v>
      </c>
      <c r="AX27" s="23">
        <f>'24'!G44</f>
        <v>0</v>
      </c>
      <c r="AY27" s="56">
        <f>'24'!G36</f>
        <v>949.36999999999534</v>
      </c>
      <c r="AZ27" s="55">
        <f>'24'!G49</f>
        <v>3778.3499999999767</v>
      </c>
      <c r="BA27" s="19">
        <f>'24'!G51</f>
        <v>848.88</v>
      </c>
      <c r="BB27" s="19">
        <f>'24'!G52</f>
        <v>0</v>
      </c>
      <c r="BC27" s="19">
        <f>'24'!G53</f>
        <v>3439.39</v>
      </c>
      <c r="BD27" s="19">
        <f>'24'!G54</f>
        <v>360.89999999999418</v>
      </c>
      <c r="BE27" s="19">
        <f>'24'!G55</f>
        <v>3611.8699999999953</v>
      </c>
      <c r="BF27" s="19">
        <f>'24'!G56</f>
        <v>0.27000000000407454</v>
      </c>
      <c r="BG27" s="19">
        <f>'24'!G57</f>
        <v>3087.109999999986</v>
      </c>
      <c r="BH27" s="56">
        <f>'24'!G50</f>
        <v>1774.1300000000047</v>
      </c>
      <c r="BI27" s="60">
        <f t="shared" si="12"/>
        <v>6692.9400000000169</v>
      </c>
      <c r="BJ27" s="60">
        <f>'24'!G133</f>
        <v>-0.41000000000349246</v>
      </c>
      <c r="BK27" s="23">
        <f t="shared" si="13"/>
        <v>51.163773584905584</v>
      </c>
      <c r="BL27" s="23">
        <f t="shared" si="14"/>
        <v>15.232377358490355</v>
      </c>
      <c r="BM27" s="24">
        <f t="shared" si="15"/>
        <v>8.2275849056603692E-2</v>
      </c>
      <c r="BN27" s="25">
        <f t="shared" si="16"/>
        <v>315976</v>
      </c>
      <c r="BO27" s="38">
        <f t="shared" si="17"/>
        <v>9779.64</v>
      </c>
      <c r="BP27">
        <f t="shared" si="18"/>
        <v>0.92719101975811458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26200</v>
      </c>
      <c r="H28" s="19">
        <f>'25'!G8</f>
        <v>26500</v>
      </c>
      <c r="I28" s="19">
        <v>9</v>
      </c>
      <c r="J28" s="49">
        <f t="shared" si="3"/>
        <v>238500</v>
      </c>
      <c r="K28" s="45">
        <f t="shared" si="4"/>
        <v>131.1881188118812</v>
      </c>
      <c r="L28" s="19">
        <f>'25'!G15</f>
        <v>1000</v>
      </c>
      <c r="M28" s="19">
        <v>56.2</v>
      </c>
      <c r="N28" s="41">
        <f t="shared" si="5"/>
        <v>56200</v>
      </c>
      <c r="O28" s="19">
        <f>'25'!G20</f>
        <v>201</v>
      </c>
      <c r="P28" s="19">
        <v>108</v>
      </c>
      <c r="Q28" s="46">
        <f t="shared" si="0"/>
        <v>21708</v>
      </c>
      <c r="R28" s="47">
        <f t="shared" si="1"/>
        <v>101.53566377045868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96</v>
      </c>
      <c r="W28" s="22">
        <f>'25'!G66</f>
        <v>22</v>
      </c>
      <c r="X28" s="22">
        <f>'25'!G67</f>
        <v>0</v>
      </c>
      <c r="Y28" s="22">
        <f t="shared" si="7"/>
        <v>118</v>
      </c>
      <c r="Z28" s="19">
        <f>'25'!G84</f>
        <v>-0.43000000000029104</v>
      </c>
      <c r="AA28" s="19">
        <f>'25'!G85</f>
        <v>14.829999999999927</v>
      </c>
      <c r="AB28" s="19">
        <f>'25'!G86</f>
        <v>24.150000000001455</v>
      </c>
      <c r="AC28" s="19">
        <f>'25'!G87</f>
        <v>0</v>
      </c>
      <c r="AD28" s="19">
        <f t="shared" si="8"/>
        <v>38.550000000001091</v>
      </c>
      <c r="AE28" s="23">
        <f t="shared" si="2"/>
        <v>3512.2800000000279</v>
      </c>
      <c r="AF28" s="23">
        <f t="shared" si="9"/>
        <v>91.109727626457286</v>
      </c>
      <c r="AG28" s="19">
        <f>'25'!G88</f>
        <v>0</v>
      </c>
      <c r="AH28" s="19">
        <f>'25'!G89</f>
        <v>9.2700000000004366</v>
      </c>
      <c r="AI28" s="19">
        <f>'25'!G90</f>
        <v>11.139999999999418</v>
      </c>
      <c r="AJ28" s="19">
        <f t="shared" si="10"/>
        <v>20.409999999999854</v>
      </c>
      <c r="AK28" s="19">
        <f>'25'!G91</f>
        <v>0</v>
      </c>
      <c r="AL28" s="19">
        <f>'25'!G92</f>
        <v>11.75</v>
      </c>
      <c r="AM28" s="19"/>
      <c r="AN28" s="19">
        <f t="shared" si="11"/>
        <v>11.75</v>
      </c>
      <c r="AO28" s="52">
        <f>'25'!G74</f>
        <v>340.29000000003725</v>
      </c>
      <c r="AP28" s="55">
        <f>'25'!G35</f>
        <v>4.9999999988358468E-2</v>
      </c>
      <c r="AQ28" s="19">
        <f>'25'!G37</f>
        <v>0</v>
      </c>
      <c r="AR28" s="19">
        <f>'25'!G38</f>
        <v>2167.1599999999744</v>
      </c>
      <c r="AS28" s="19">
        <f>'25'!G39</f>
        <v>0</v>
      </c>
      <c r="AT28" s="19">
        <f>'25'!G40</f>
        <v>856.80999999999767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787.89999999999418</v>
      </c>
      <c r="AZ28" s="55">
        <f>'25'!G49</f>
        <v>3700.0400000000373</v>
      </c>
      <c r="BA28" s="19">
        <f>'25'!G51</f>
        <v>1084.4899999999998</v>
      </c>
      <c r="BB28" s="19">
        <f>'25'!G52</f>
        <v>0</v>
      </c>
      <c r="BC28" s="19">
        <f>'25'!G53</f>
        <v>4235.25</v>
      </c>
      <c r="BD28" s="19">
        <f>'24'!G54</f>
        <v>360.89999999999418</v>
      </c>
      <c r="BE28" s="19">
        <f>'25'!G55</f>
        <v>3512.2800000000279</v>
      </c>
      <c r="BF28" s="19">
        <f>'25'!G56</f>
        <v>0</v>
      </c>
      <c r="BG28" s="19">
        <f>'25'!G57</f>
        <v>2956.3800000000047</v>
      </c>
      <c r="BH28" s="56">
        <f>'25'!G50</f>
        <v>1584.7799999999697</v>
      </c>
      <c r="BI28" s="60">
        <f t="shared" si="12"/>
        <v>3512.2800000000279</v>
      </c>
      <c r="BJ28" s="60">
        <f>'25'!G133</f>
        <v>0</v>
      </c>
      <c r="BK28" s="23">
        <f t="shared" si="13"/>
        <v>38.372641509434182</v>
      </c>
      <c r="BL28" s="23">
        <f t="shared" si="14"/>
        <v>15.982075471698113</v>
      </c>
      <c r="BM28" s="24">
        <f t="shared" si="15"/>
        <v>8.1779622641508468E-2</v>
      </c>
      <c r="BN28" s="25">
        <f t="shared" si="16"/>
        <v>316408</v>
      </c>
      <c r="BO28" s="38">
        <f t="shared" si="17"/>
        <v>6468.6600000000326</v>
      </c>
      <c r="BP28">
        <f t="shared" si="18"/>
        <v>0.59928293496385487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0.54449999999999998</v>
      </c>
      <c r="G29" s="19">
        <f>'26'!G7</f>
        <v>26200</v>
      </c>
      <c r="H29" s="19">
        <f>'26'!G8</f>
        <v>26500</v>
      </c>
      <c r="I29" s="19">
        <v>9</v>
      </c>
      <c r="J29" s="49">
        <f t="shared" si="3"/>
        <v>238500</v>
      </c>
      <c r="K29" s="45">
        <f t="shared" si="4"/>
        <v>131.1881188118812</v>
      </c>
      <c r="L29" s="19">
        <f>'26'!G15</f>
        <v>1000</v>
      </c>
      <c r="M29" s="19">
        <v>56.2</v>
      </c>
      <c r="N29" s="41">
        <f t="shared" si="5"/>
        <v>56200</v>
      </c>
      <c r="O29" s="19">
        <f>'26'!G20</f>
        <v>231</v>
      </c>
      <c r="P29" s="19">
        <v>108</v>
      </c>
      <c r="Q29" s="46">
        <f t="shared" si="0"/>
        <v>24948</v>
      </c>
      <c r="R29" s="47">
        <f t="shared" si="1"/>
        <v>210.02100210021007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98</v>
      </c>
      <c r="W29" s="22">
        <f>'26'!G66</f>
        <v>25</v>
      </c>
      <c r="X29" s="22">
        <f>'26'!G67</f>
        <v>0</v>
      </c>
      <c r="Y29" s="22">
        <f t="shared" si="7"/>
        <v>123</v>
      </c>
      <c r="Z29" s="19">
        <f>'26'!G84</f>
        <v>13.970000000001164</v>
      </c>
      <c r="AA29" s="19">
        <f>'26'!G85</f>
        <v>0</v>
      </c>
      <c r="AB29" s="19">
        <f>'26'!G86</f>
        <v>19.819999999999709</v>
      </c>
      <c r="AC29" s="19">
        <f>'26'!G87</f>
        <v>0</v>
      </c>
      <c r="AD29" s="19">
        <f t="shared" si="8"/>
        <v>33.790000000000873</v>
      </c>
      <c r="AE29" s="23">
        <f t="shared" si="2"/>
        <v>5676.3399999999674</v>
      </c>
      <c r="AF29" s="23">
        <f t="shared" si="9"/>
        <v>167.98875406924594</v>
      </c>
      <c r="AG29" s="19">
        <f>'26'!G88</f>
        <v>0</v>
      </c>
      <c r="AH29" s="19">
        <f>'26'!G89</f>
        <v>10.049999999999272</v>
      </c>
      <c r="AI29" s="19">
        <f>'26'!G90</f>
        <v>13.220000000001164</v>
      </c>
      <c r="AJ29" s="19">
        <f t="shared" si="10"/>
        <v>23.270000000000437</v>
      </c>
      <c r="AK29" s="19">
        <f>'26'!G91</f>
        <v>0</v>
      </c>
      <c r="AL29" s="19">
        <f>'26'!G92</f>
        <v>10.529999999999745</v>
      </c>
      <c r="AM29" s="19"/>
      <c r="AN29" s="19">
        <f t="shared" si="11"/>
        <v>10.529999999999745</v>
      </c>
      <c r="AO29" s="52">
        <f>'26'!G74</f>
        <v>303.21999999997206</v>
      </c>
      <c r="AP29" s="55">
        <f>'26'!G35</f>
        <v>0</v>
      </c>
      <c r="AQ29" s="19">
        <f>'26'!G37</f>
        <v>0</v>
      </c>
      <c r="AR29" s="19">
        <f>'26'!G38</f>
        <v>2304.960000000021</v>
      </c>
      <c r="AS29" s="19">
        <f>'26'!G39</f>
        <v>0</v>
      </c>
      <c r="AT29" s="19">
        <f>'26'!G40</f>
        <v>835.67999999999302</v>
      </c>
      <c r="AU29" s="19">
        <f>'26'!G41</f>
        <v>2759.6199999999953</v>
      </c>
      <c r="AV29" s="19">
        <f>'26'!G42</f>
        <v>0</v>
      </c>
      <c r="AW29" s="19">
        <f>'26'!G43</f>
        <v>0</v>
      </c>
      <c r="AX29" s="23">
        <f>'26'!G44</f>
        <v>0</v>
      </c>
      <c r="AY29" s="56">
        <f>'26'!G36</f>
        <v>828.90000000002328</v>
      </c>
      <c r="AZ29" s="55">
        <f>'26'!G49</f>
        <v>3963.4400000000023</v>
      </c>
      <c r="BA29" s="19">
        <f>'26'!G51</f>
        <v>1084.9700000000003</v>
      </c>
      <c r="BB29" s="19">
        <f>'26'!G52</f>
        <v>0</v>
      </c>
      <c r="BC29" s="19">
        <f>'26'!G53</f>
        <v>4264.3199999999988</v>
      </c>
      <c r="BD29" s="19">
        <f>'26'!G54</f>
        <v>350.86999999999534</v>
      </c>
      <c r="BE29" s="19">
        <f>'26'!G55</f>
        <v>2916.7199999999721</v>
      </c>
      <c r="BF29" s="19">
        <f>'26'!G56</f>
        <v>0</v>
      </c>
      <c r="BG29" s="19">
        <f>'26'!G57</f>
        <v>2656.960000000021</v>
      </c>
      <c r="BH29" s="56">
        <f>'26'!G50</f>
        <v>1217.3600000000442</v>
      </c>
      <c r="BI29" s="60">
        <f t="shared" si="12"/>
        <v>5676.3399999999674</v>
      </c>
      <c r="BJ29" s="60">
        <f>'26'!G133</f>
        <v>0</v>
      </c>
      <c r="BK29" s="23">
        <f t="shared" si="13"/>
        <v>46.402792452830155</v>
      </c>
      <c r="BL29" s="23">
        <f t="shared" si="14"/>
        <v>16.091773584905656</v>
      </c>
      <c r="BM29" s="24">
        <f t="shared" si="15"/>
        <v>8.6979622641510226E-2</v>
      </c>
      <c r="BN29" s="25">
        <f t="shared" si="16"/>
        <v>319648</v>
      </c>
      <c r="BO29" s="38">
        <f t="shared" si="17"/>
        <v>8333.2999999999884</v>
      </c>
      <c r="BP29">
        <f t="shared" si="18"/>
        <v>0.88078679237303648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26200</v>
      </c>
      <c r="H30" s="19">
        <f>'27'!G8</f>
        <v>26500</v>
      </c>
      <c r="I30" s="19">
        <v>9</v>
      </c>
      <c r="J30" s="49">
        <f t="shared" si="3"/>
        <v>238500</v>
      </c>
      <c r="K30" s="45">
        <f t="shared" si="4"/>
        <v>131.1881188118812</v>
      </c>
      <c r="L30" s="19">
        <f>'27'!G15</f>
        <v>1000</v>
      </c>
      <c r="M30" s="19">
        <v>56.2</v>
      </c>
      <c r="N30" s="41">
        <f t="shared" si="5"/>
        <v>56200</v>
      </c>
      <c r="O30" s="19">
        <f>'27'!G20</f>
        <v>260</v>
      </c>
      <c r="P30" s="19">
        <v>108</v>
      </c>
      <c r="Q30" s="46">
        <f t="shared" si="0"/>
        <v>28080</v>
      </c>
      <c r="R30" s="47">
        <f t="shared" si="1"/>
        <v>169.3590411672746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121</v>
      </c>
      <c r="W30" s="22">
        <f>'27'!G66</f>
        <v>32</v>
      </c>
      <c r="X30" s="22">
        <f>'27'!G67</f>
        <v>0</v>
      </c>
      <c r="Y30" s="22">
        <f t="shared" si="7"/>
        <v>153</v>
      </c>
      <c r="Z30" s="19">
        <f>'27'!G84</f>
        <v>20.909999999996217</v>
      </c>
      <c r="AA30" s="19">
        <f>'27'!G85</f>
        <v>0</v>
      </c>
      <c r="AB30" s="19">
        <f>'27'!G86</f>
        <v>15.209999999999127</v>
      </c>
      <c r="AC30" s="19">
        <f>'27'!G87</f>
        <v>0</v>
      </c>
      <c r="AD30" s="19">
        <f t="shared" si="8"/>
        <v>36.119999999995343</v>
      </c>
      <c r="AE30" s="23">
        <f t="shared" si="2"/>
        <v>6053.4999999999709</v>
      </c>
      <c r="AF30" s="23">
        <f t="shared" si="9"/>
        <v>167.59413067554684</v>
      </c>
      <c r="AG30" s="19">
        <f>'27'!G88</f>
        <v>2.0200000000004366</v>
      </c>
      <c r="AH30" s="19">
        <f>'27'!G89</f>
        <v>9.1900000000023283</v>
      </c>
      <c r="AI30" s="19">
        <f>'27'!G90</f>
        <v>8.569999999992433</v>
      </c>
      <c r="AJ30" s="19">
        <f t="shared" si="10"/>
        <v>19.779999999995198</v>
      </c>
      <c r="AK30" s="19">
        <f>'27'!G91</f>
        <v>0</v>
      </c>
      <c r="AL30" s="19">
        <f>'27'!G92</f>
        <v>10.539999999999964</v>
      </c>
      <c r="AM30" s="19"/>
      <c r="AN30" s="19">
        <f t="shared" si="11"/>
        <v>10.539999999999964</v>
      </c>
      <c r="AO30" s="52">
        <f>'27'!G74</f>
        <v>306.55000000004657</v>
      </c>
      <c r="AP30" s="55">
        <f>'27'!G35</f>
        <v>0</v>
      </c>
      <c r="AQ30" s="19">
        <f>'27'!G37</f>
        <v>0</v>
      </c>
      <c r="AR30" s="19">
        <f>'27'!G38</f>
        <v>2277.7999999999884</v>
      </c>
      <c r="AS30" s="19">
        <f>'27'!G39</f>
        <v>0</v>
      </c>
      <c r="AT30" s="19">
        <f>'27'!G40</f>
        <v>819.1200000000099</v>
      </c>
      <c r="AU30" s="19">
        <f>'27'!G41</f>
        <v>4069.1399999999849</v>
      </c>
      <c r="AV30" s="19">
        <f>'27'!G42</f>
        <v>0</v>
      </c>
      <c r="AW30" s="19">
        <f>'27'!G43</f>
        <v>0</v>
      </c>
      <c r="AX30" s="23">
        <f>'27'!G44</f>
        <v>0</v>
      </c>
      <c r="AY30" s="56">
        <f>'27'!G36</f>
        <v>1191</v>
      </c>
      <c r="AZ30" s="55">
        <f>'27'!G49</f>
        <v>3526.7600000000093</v>
      </c>
      <c r="BA30" s="19">
        <f>'27'!G51</f>
        <v>1102.3199999999997</v>
      </c>
      <c r="BB30" s="19">
        <f>'27'!G52</f>
        <v>0</v>
      </c>
      <c r="BC30" s="19">
        <f>'27'!G53</f>
        <v>4078.9300000000003</v>
      </c>
      <c r="BD30" s="19">
        <f>'27'!G54</f>
        <v>350.89000000001397</v>
      </c>
      <c r="BE30" s="19">
        <f>'27'!G55</f>
        <v>1984.359999999986</v>
      </c>
      <c r="BF30" s="19">
        <f>'27'!G56</f>
        <v>0</v>
      </c>
      <c r="BG30" s="19">
        <f>'27'!G57</f>
        <v>2809.8199999999779</v>
      </c>
      <c r="BH30" s="56">
        <f>'27'!G50</f>
        <v>1118.3800000000047</v>
      </c>
      <c r="BI30" s="60">
        <f t="shared" si="12"/>
        <v>6053.4999999999709</v>
      </c>
      <c r="BJ30" s="60">
        <f>'27'!G133</f>
        <v>0</v>
      </c>
      <c r="BK30" s="23">
        <f t="shared" si="13"/>
        <v>46.75501886792437</v>
      </c>
      <c r="BL30" s="23">
        <f t="shared" si="14"/>
        <v>15.392188679245285</v>
      </c>
      <c r="BM30" s="24">
        <f t="shared" si="15"/>
        <v>8.5954716981131635E-2</v>
      </c>
      <c r="BN30" s="25">
        <f t="shared" si="16"/>
        <v>322780</v>
      </c>
      <c r="BO30" s="38">
        <f t="shared" si="17"/>
        <v>8863.3199999999488</v>
      </c>
      <c r="BP30">
        <f t="shared" si="18"/>
        <v>0.87637636449939604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26200</v>
      </c>
      <c r="H31" s="19">
        <f>'28'!G8</f>
        <v>26500</v>
      </c>
      <c r="I31" s="19">
        <v>9</v>
      </c>
      <c r="J31" s="49">
        <f t="shared" si="3"/>
        <v>238500</v>
      </c>
      <c r="K31" s="45">
        <f t="shared" si="4"/>
        <v>131.1881188118812</v>
      </c>
      <c r="L31" s="19">
        <f>'28'!G15</f>
        <v>1000</v>
      </c>
      <c r="M31" s="19">
        <v>56.2</v>
      </c>
      <c r="N31" s="41">
        <f t="shared" si="5"/>
        <v>56200</v>
      </c>
      <c r="O31" s="19">
        <f>'28'!G20</f>
        <v>190</v>
      </c>
      <c r="P31" s="19">
        <v>108</v>
      </c>
      <c r="Q31" s="46">
        <f t="shared" si="0"/>
        <v>20520</v>
      </c>
      <c r="R31" s="47">
        <f t="shared" si="1"/>
        <v>117.57425742574254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102</v>
      </c>
      <c r="W31" s="22">
        <f>'28'!G66</f>
        <v>20</v>
      </c>
      <c r="X31" s="22">
        <f>'28'!G67</f>
        <v>-1</v>
      </c>
      <c r="Y31" s="22">
        <f t="shared" si="7"/>
        <v>121</v>
      </c>
      <c r="Z31" s="19">
        <f>'28'!G84</f>
        <v>0</v>
      </c>
      <c r="AA31" s="19">
        <f>'28'!G85</f>
        <v>0</v>
      </c>
      <c r="AB31" s="19">
        <f>'28'!G86</f>
        <v>24.540000000000873</v>
      </c>
      <c r="AC31" s="19">
        <f>'28'!G87</f>
        <v>10.860000000000582</v>
      </c>
      <c r="AD31" s="19">
        <f t="shared" si="8"/>
        <v>35.400000000001455</v>
      </c>
      <c r="AE31" s="23">
        <f t="shared" si="2"/>
        <v>5371.1000000000349</v>
      </c>
      <c r="AF31" s="23">
        <f t="shared" si="9"/>
        <v>151.72598870055972</v>
      </c>
      <c r="AG31" s="19">
        <f>'28'!G88</f>
        <v>0</v>
      </c>
      <c r="AH31" s="19">
        <f>'28'!G89</f>
        <v>9.4599999999991269</v>
      </c>
      <c r="AI31" s="19">
        <f>'28'!G90</f>
        <v>10.639999999999418</v>
      </c>
      <c r="AJ31" s="19">
        <f t="shared" si="10"/>
        <v>20.099999999998545</v>
      </c>
      <c r="AK31" s="19">
        <f>'28'!G91</f>
        <v>0</v>
      </c>
      <c r="AL31" s="19">
        <f>'28'!G92</f>
        <v>10.779999999999745</v>
      </c>
      <c r="AM31" s="19"/>
      <c r="AN31" s="19">
        <f t="shared" si="11"/>
        <v>10.779999999999745</v>
      </c>
      <c r="AO31" s="52">
        <f>'28'!G74</f>
        <v>312.0899999999674</v>
      </c>
      <c r="AP31" s="55">
        <f>'28'!G35</f>
        <v>0</v>
      </c>
      <c r="AQ31" s="19">
        <f>'28'!G37</f>
        <v>0</v>
      </c>
      <c r="AR31" s="19">
        <f>'28'!G38</f>
        <v>2243.2800000000279</v>
      </c>
      <c r="AS31" s="19">
        <f>'28'!G39</f>
        <v>0</v>
      </c>
      <c r="AT31" s="19">
        <f>'28'!G40</f>
        <v>841.8799999999901</v>
      </c>
      <c r="AU31" s="19">
        <f>'28'!G41</f>
        <v>657.26000000000931</v>
      </c>
      <c r="AV31" s="19">
        <f>'28'!G42</f>
        <v>0</v>
      </c>
      <c r="AW31" s="86">
        <f>'28'!G43</f>
        <v>-3.0000000027939677E-2</v>
      </c>
      <c r="AX31" s="23">
        <f>'28'!G44</f>
        <v>0</v>
      </c>
      <c r="AY31" s="56">
        <f>'28'!G36</f>
        <v>893.37999999997555</v>
      </c>
      <c r="AZ31" s="55">
        <f>'28'!G49</f>
        <v>4198.7799999999697</v>
      </c>
      <c r="BA31" s="19">
        <f>'28'!G51</f>
        <v>1104.0200000000004</v>
      </c>
      <c r="BB31" s="19">
        <f>'28'!G52</f>
        <v>0</v>
      </c>
      <c r="BC31" s="19">
        <f>'28'!G53</f>
        <v>4464.32</v>
      </c>
      <c r="BD31" s="19">
        <f>'28'!G54</f>
        <v>345.1299999999901</v>
      </c>
      <c r="BE31" s="19">
        <f>'28'!G55</f>
        <v>3392.7200000000303</v>
      </c>
      <c r="BF31" s="19">
        <f>'28'!G56</f>
        <v>1321.1199999999953</v>
      </c>
      <c r="BG31" s="19">
        <f>'28'!G57</f>
        <v>3110.5800000000163</v>
      </c>
      <c r="BH31" s="56">
        <f>'28'!G50</f>
        <v>1330.3299999999581</v>
      </c>
      <c r="BI31" s="60">
        <f t="shared" si="12"/>
        <v>5371.1000000000349</v>
      </c>
      <c r="BJ31" s="60">
        <f>'28'!G133</f>
        <v>0</v>
      </c>
      <c r="BK31" s="23">
        <f>SUM(AP31,AU31,AV31,AW31,AZ31,BE31,BF31,BG31)/H31%</f>
        <v>47.85067924528299</v>
      </c>
      <c r="BL31" s="23">
        <f t="shared" si="14"/>
        <v>16.846490566037733</v>
      </c>
      <c r="BM31" s="24">
        <f t="shared" si="15"/>
        <v>8.4652075471699173E-2</v>
      </c>
      <c r="BN31" s="25">
        <f t="shared" si="16"/>
        <v>315220</v>
      </c>
      <c r="BO31" s="38">
        <f t="shared" si="17"/>
        <v>8481.6500000000233</v>
      </c>
      <c r="BP31">
        <f t="shared" si="18"/>
        <v>0.85569511702982992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26200</v>
      </c>
      <c r="H32" s="19">
        <f>'29'!G8</f>
        <v>26500</v>
      </c>
      <c r="I32" s="19">
        <v>9</v>
      </c>
      <c r="J32" s="49">
        <f t="shared" si="3"/>
        <v>238500</v>
      </c>
      <c r="K32" s="45">
        <f t="shared" si="4"/>
        <v>131.1881188118812</v>
      </c>
      <c r="L32" s="19">
        <f>'29'!G15</f>
        <v>1000</v>
      </c>
      <c r="M32" s="19">
        <v>56.2</v>
      </c>
      <c r="N32" s="41">
        <f t="shared" si="5"/>
        <v>56200</v>
      </c>
      <c r="O32" s="19">
        <f>'29'!G20</f>
        <v>231</v>
      </c>
      <c r="P32" s="19">
        <v>108</v>
      </c>
      <c r="Q32" s="46">
        <f t="shared" si="0"/>
        <v>24948</v>
      </c>
      <c r="R32" s="47">
        <f t="shared" si="1"/>
        <v>114.35643564356435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117</v>
      </c>
      <c r="W32" s="22">
        <f>'29'!G66</f>
        <v>29</v>
      </c>
      <c r="X32" s="22">
        <f>'29'!G67</f>
        <v>0</v>
      </c>
      <c r="Y32" s="22">
        <f t="shared" si="7"/>
        <v>146</v>
      </c>
      <c r="Z32" s="19">
        <f>'29'!G84</f>
        <v>0</v>
      </c>
      <c r="AA32" s="19">
        <f>'29'!G85</f>
        <v>0</v>
      </c>
      <c r="AB32" s="19">
        <f>'29'!G86</f>
        <v>23.970000000001164</v>
      </c>
      <c r="AC32" s="19">
        <f>'29'!G87</f>
        <v>0</v>
      </c>
      <c r="AD32" s="19">
        <f t="shared" si="8"/>
        <v>23.970000000001164</v>
      </c>
      <c r="AE32" s="23">
        <f t="shared" si="2"/>
        <v>5456.4499999999825</v>
      </c>
      <c r="AF32" s="23">
        <f t="shared" si="9"/>
        <v>227.63662911972122</v>
      </c>
      <c r="AG32" s="19">
        <f>'29'!G88</f>
        <v>2.0999999999985448</v>
      </c>
      <c r="AH32" s="19">
        <f>'29'!G89</f>
        <v>9.0799999999981083</v>
      </c>
      <c r="AI32" s="19">
        <f>'29'!G90</f>
        <v>7.4600000000064028</v>
      </c>
      <c r="AJ32" s="19">
        <f t="shared" si="10"/>
        <v>18.640000000003056</v>
      </c>
      <c r="AK32" s="19">
        <f>'29'!G91</f>
        <v>0</v>
      </c>
      <c r="AL32" s="19">
        <f>'29'!G92</f>
        <v>10.659999999999854</v>
      </c>
      <c r="AM32" s="19"/>
      <c r="AN32" s="19">
        <f t="shared" si="11"/>
        <v>10.659999999999854</v>
      </c>
      <c r="AO32" s="52">
        <f>'29'!G74</f>
        <v>308.05999999993946</v>
      </c>
      <c r="AP32" s="55">
        <f>'29'!G35</f>
        <v>0</v>
      </c>
      <c r="AQ32" s="19">
        <f>'29'!G37</f>
        <v>0</v>
      </c>
      <c r="AR32" s="19">
        <f>'29'!G38</f>
        <v>2265.5599999999977</v>
      </c>
      <c r="AS32" s="19">
        <f>'29'!G39</f>
        <v>3</v>
      </c>
      <c r="AT32" s="19">
        <f>'29'!G40</f>
        <v>839.76000000000931</v>
      </c>
      <c r="AU32" s="19">
        <f>'29'!G41</f>
        <v>1753.8999999999942</v>
      </c>
      <c r="AV32" s="19">
        <f>'29'!G42</f>
        <v>0</v>
      </c>
      <c r="AW32" s="19">
        <f>'29'!G43</f>
        <v>0</v>
      </c>
      <c r="AX32" s="23">
        <f>'29'!G44</f>
        <v>0</v>
      </c>
      <c r="AY32" s="56">
        <f>'29'!G36</f>
        <v>742.22000000000116</v>
      </c>
      <c r="AZ32" s="55">
        <f>'29'!G49</f>
        <v>4229.460000000021</v>
      </c>
      <c r="BA32" s="19">
        <f>'29'!G51</f>
        <v>1102.3800000000001</v>
      </c>
      <c r="BB32" s="19">
        <f>'29'!G52</f>
        <v>0</v>
      </c>
      <c r="BC32" s="19">
        <f>'29'!G53</f>
        <v>4410.2299999999996</v>
      </c>
      <c r="BD32" s="19">
        <f>'29'!G54</f>
        <v>343.75</v>
      </c>
      <c r="BE32" s="19">
        <f>'29'!G55</f>
        <v>3702.5499999999884</v>
      </c>
      <c r="BF32" s="19">
        <f>'29'!G56</f>
        <v>0</v>
      </c>
      <c r="BG32" s="19">
        <f>'29'!G57</f>
        <v>3053.1399999999849</v>
      </c>
      <c r="BH32" s="56">
        <f>'29'!G50</f>
        <v>1186.1900000000023</v>
      </c>
      <c r="BI32" s="60">
        <f t="shared" si="12"/>
        <v>5456.4499999999825</v>
      </c>
      <c r="BJ32" s="60">
        <f>'29'!G133</f>
        <v>0</v>
      </c>
      <c r="BK32" s="23">
        <f t="shared" si="13"/>
        <v>48.071886792452787</v>
      </c>
      <c r="BL32" s="23">
        <f t="shared" si="14"/>
        <v>16.653698113207547</v>
      </c>
      <c r="BM32" s="24">
        <f t="shared" si="15"/>
        <v>8.5492830188679161E-2</v>
      </c>
      <c r="BN32" s="25">
        <f t="shared" si="16"/>
        <v>319648</v>
      </c>
      <c r="BO32" s="38">
        <f t="shared" si="17"/>
        <v>8509.5899999999674</v>
      </c>
      <c r="BP32">
        <f t="shared" si="18"/>
        <v>1.2678929018415213</v>
      </c>
    </row>
    <row r="33" spans="1:68">
      <c r="A33" s="16">
        <v>30</v>
      </c>
      <c r="B33" s="27">
        <v>30</v>
      </c>
      <c r="C33" s="28"/>
      <c r="D33" s="19">
        <f>'30'!D3</f>
        <v>31</v>
      </c>
      <c r="E33" s="50">
        <f>'30'!D4</f>
        <v>0.78</v>
      </c>
      <c r="F33" s="50">
        <f>'30'!D2</f>
        <v>0.73</v>
      </c>
      <c r="G33" s="19">
        <f>'30'!G7</f>
        <v>26200</v>
      </c>
      <c r="H33" s="19">
        <f>'30'!G8</f>
        <v>26500</v>
      </c>
      <c r="I33" s="19">
        <v>9</v>
      </c>
      <c r="J33" s="49">
        <f t="shared" si="3"/>
        <v>238500</v>
      </c>
      <c r="K33" s="45">
        <f t="shared" si="4"/>
        <v>131.1881188118812</v>
      </c>
      <c r="L33" s="19">
        <f>'30'!G15</f>
        <v>1000</v>
      </c>
      <c r="M33" s="19">
        <v>56.2</v>
      </c>
      <c r="N33" s="41">
        <f t="shared" si="5"/>
        <v>56200</v>
      </c>
      <c r="O33" s="19">
        <f>'30'!G20</f>
        <v>181</v>
      </c>
      <c r="P33" s="19">
        <v>108</v>
      </c>
      <c r="Q33" s="46">
        <f t="shared" si="0"/>
        <v>19548</v>
      </c>
      <c r="R33" s="47">
        <f t="shared" si="1"/>
        <v>122.7451512274515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108</v>
      </c>
      <c r="W33" s="22">
        <f>'30'!G66</f>
        <v>26</v>
      </c>
      <c r="X33" s="22">
        <f>'30'!G67</f>
        <v>0</v>
      </c>
      <c r="Y33" s="22">
        <f t="shared" si="7"/>
        <v>134</v>
      </c>
      <c r="Z33" s="19">
        <f>'30'!G84</f>
        <v>23.55000000000291</v>
      </c>
      <c r="AA33" s="19">
        <f>'30'!G85</f>
        <v>0</v>
      </c>
      <c r="AB33" s="19">
        <f>'30'!G86</f>
        <v>24.30000000000291</v>
      </c>
      <c r="AC33" s="19">
        <f>'30'!G87</f>
        <v>0</v>
      </c>
      <c r="AD33" s="19">
        <f t="shared" si="8"/>
        <v>47.850000000005821</v>
      </c>
      <c r="AE33" s="23">
        <f t="shared" si="2"/>
        <v>6490.0100000000093</v>
      </c>
      <c r="AF33" s="23">
        <f t="shared" si="9"/>
        <v>135.63239289444556</v>
      </c>
      <c r="AG33" s="19">
        <f>'30'!G88</f>
        <v>2.3400000000001455</v>
      </c>
      <c r="AH33" s="19">
        <f>'30'!G89</f>
        <v>7.7200000000011642</v>
      </c>
      <c r="AI33" s="19">
        <f>'30'!G90</f>
        <v>12.099999999991269</v>
      </c>
      <c r="AJ33" s="19">
        <f t="shared" si="10"/>
        <v>22.159999999992579</v>
      </c>
      <c r="AK33" s="19">
        <f>'30'!G91</f>
        <v>0</v>
      </c>
      <c r="AL33" s="19">
        <f>'30'!G92</f>
        <v>11.080000000000837</v>
      </c>
      <c r="AM33" s="19"/>
      <c r="AN33" s="19">
        <f t="shared" si="11"/>
        <v>11.080000000000837</v>
      </c>
      <c r="AO33" s="52">
        <f>'30'!G74</f>
        <v>322.63000000000466</v>
      </c>
      <c r="AP33" s="55">
        <f>'30'!G35</f>
        <v>0</v>
      </c>
      <c r="AQ33" s="19">
        <f>'30'!G37</f>
        <v>0</v>
      </c>
      <c r="AR33" s="19">
        <f>'30'!G38</f>
        <v>2291.5999999999767</v>
      </c>
      <c r="AS33" s="19">
        <f>'30'!G39</f>
        <v>-3</v>
      </c>
      <c r="AT33" s="19">
        <f>'30'!G40</f>
        <v>856.09999999999127</v>
      </c>
      <c r="AU33" s="19">
        <f>'30'!G41</f>
        <v>2843.5599999999977</v>
      </c>
      <c r="AV33" s="19">
        <f>'30'!G42</f>
        <v>0</v>
      </c>
      <c r="AW33" s="19">
        <f>'30'!G43</f>
        <v>0</v>
      </c>
      <c r="AX33" s="23">
        <f>'30'!G44</f>
        <v>0</v>
      </c>
      <c r="AY33" s="56">
        <f>'30'!G36</f>
        <v>1023.8300000000163</v>
      </c>
      <c r="AZ33" s="55">
        <f>'30'!G49</f>
        <v>4258.3999999999651</v>
      </c>
      <c r="BA33" s="19">
        <f>'30'!G51</f>
        <v>1071.4399999999996</v>
      </c>
      <c r="BB33" s="19">
        <f>'30'!G52</f>
        <v>0</v>
      </c>
      <c r="BC33" s="19">
        <f>'30'!G53</f>
        <v>4609.5600000000013</v>
      </c>
      <c r="BD33" s="19">
        <f>'30'!G54</f>
        <v>349.10000000000582</v>
      </c>
      <c r="BE33" s="19">
        <f>'30'!G55</f>
        <v>3646.4500000000116</v>
      </c>
      <c r="BF33" s="19">
        <f>'30'!G56</f>
        <v>0</v>
      </c>
      <c r="BG33" s="19">
        <f>'30'!G57</f>
        <v>3084.140000000014</v>
      </c>
      <c r="BH33" s="56">
        <f>'30'!G50</f>
        <v>1094.1000000000349</v>
      </c>
      <c r="BI33" s="60">
        <f t="shared" ref="BI33" si="19">SUM(AU33,AV33,BE33,BF33)</f>
        <v>6490.0100000000093</v>
      </c>
      <c r="BJ33" s="60">
        <f>'30'!G133</f>
        <v>0</v>
      </c>
      <c r="BK33" s="23">
        <f t="shared" si="13"/>
        <v>52.198301886792407</v>
      </c>
      <c r="BL33" s="23">
        <f t="shared" si="14"/>
        <v>17.383245283018873</v>
      </c>
      <c r="BM33" s="24">
        <f t="shared" si="15"/>
        <v>8.647547169811233E-2</v>
      </c>
      <c r="BN33" s="25">
        <f t="shared" si="16"/>
        <v>314248</v>
      </c>
      <c r="BO33" s="38">
        <f t="shared" si="17"/>
        <v>9574.1500000000233</v>
      </c>
      <c r="BP33">
        <f t="shared" si="18"/>
        <v>0.7145954620091699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31</v>
      </c>
      <c r="G34" s="19">
        <f>'31'!G7</f>
        <v>26200</v>
      </c>
      <c r="H34" s="19">
        <f>'31'!G8</f>
        <v>26500</v>
      </c>
      <c r="I34" s="19">
        <v>9</v>
      </c>
      <c r="J34" s="49">
        <f t="shared" si="3"/>
        <v>238500</v>
      </c>
      <c r="K34" s="45">
        <f t="shared" ref="K34" si="20">H34/202</f>
        <v>131.1881188118812</v>
      </c>
      <c r="L34" s="19">
        <f>'31'!G15</f>
        <v>1000</v>
      </c>
      <c r="M34" s="19">
        <v>56.2</v>
      </c>
      <c r="N34" s="41">
        <f t="shared" ref="N34" si="21">L34*M34</f>
        <v>56200</v>
      </c>
      <c r="O34" s="19">
        <f>'31'!G20</f>
        <v>321</v>
      </c>
      <c r="P34" s="19">
        <v>108</v>
      </c>
      <c r="Q34" s="46">
        <f t="shared" ref="Q34" si="22">O34*P34</f>
        <v>34668</v>
      </c>
      <c r="R34" s="47">
        <f t="shared" si="1"/>
        <v>5.1261577770680296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111</v>
      </c>
      <c r="W34" s="22">
        <f>'31'!G66</f>
        <v>20</v>
      </c>
      <c r="X34" s="22">
        <f>'31'!G67</f>
        <v>0</v>
      </c>
      <c r="Y34" s="22">
        <f t="shared" ref="Y34" si="24">V34+W34+X34</f>
        <v>131</v>
      </c>
      <c r="Z34" s="19">
        <f>'31'!G84</f>
        <v>17</v>
      </c>
      <c r="AA34" s="19">
        <f>'31'!G85</f>
        <v>0</v>
      </c>
      <c r="AB34" s="19">
        <f>'31'!G86</f>
        <v>21.69999999999709</v>
      </c>
      <c r="AC34" s="19">
        <f>'31'!G87</f>
        <v>0</v>
      </c>
      <c r="AD34" s="19">
        <f t="shared" ref="AD34" si="25">Z34+AA34+AB34+AC34</f>
        <v>38.69999999999709</v>
      </c>
      <c r="AE34" s="23">
        <f t="shared" ref="AE34" si="26">AU34+AV34+BE34+BF34</f>
        <v>6404.940000000046</v>
      </c>
      <c r="AF34" s="23">
        <f t="shared" ref="AF34" si="27">AE34/AD34</f>
        <v>165.502325581409</v>
      </c>
      <c r="AG34" s="19">
        <f>'31'!G88</f>
        <v>0</v>
      </c>
      <c r="AH34" s="19">
        <f>'31'!G89</f>
        <v>10.200000000000728</v>
      </c>
      <c r="AI34" s="19">
        <f>'31'!G90</f>
        <v>12.150000000008731</v>
      </c>
      <c r="AJ34" s="19">
        <f t="shared" ref="AJ34" si="28">AG34+AH34+AI34</f>
        <v>22.350000000009459</v>
      </c>
      <c r="AK34" s="19">
        <f>'31'!G91</f>
        <v>0</v>
      </c>
      <c r="AL34" s="19">
        <f>'31'!G92</f>
        <v>11.309999999999491</v>
      </c>
      <c r="AM34" s="19"/>
      <c r="AN34" s="19">
        <f t="shared" ref="AN34" si="29">AK34+AL34</f>
        <v>11.309999999999491</v>
      </c>
      <c r="AO34" s="52">
        <f>'31'!G74</f>
        <v>329.53000000002794</v>
      </c>
      <c r="AP34" s="55">
        <f>'31'!G35</f>
        <v>-4.9999999988358468E-2</v>
      </c>
      <c r="AQ34" s="19">
        <f>'31'!G37</f>
        <v>0.30999999999767169</v>
      </c>
      <c r="AR34" s="19">
        <f>'31'!G38</f>
        <v>2270.3300000000163</v>
      </c>
      <c r="AS34" s="19">
        <f>'31'!G39</f>
        <v>-0.18999999994412065</v>
      </c>
      <c r="AT34" s="19">
        <f>'31'!G40</f>
        <v>850.44000000000233</v>
      </c>
      <c r="AU34" s="19">
        <f>'31'!G41</f>
        <v>3238.3500000000058</v>
      </c>
      <c r="AV34" s="19">
        <f>'31'!G42</f>
        <v>-6.9999999948777258E-2</v>
      </c>
      <c r="AW34" s="19">
        <f>'31'!G43</f>
        <v>0</v>
      </c>
      <c r="AX34" s="23">
        <f>'31'!G44</f>
        <v>0</v>
      </c>
      <c r="AY34" s="56">
        <f>'31'!G36</f>
        <v>847.39999999999418</v>
      </c>
      <c r="AZ34" s="55">
        <f>'31'!G49</f>
        <v>4304.7700000000186</v>
      </c>
      <c r="BA34" s="19">
        <f>'31'!G51</f>
        <v>1033.5</v>
      </c>
      <c r="BB34" s="19">
        <f>'31'!G52</f>
        <v>0</v>
      </c>
      <c r="BC34" s="19">
        <f>'31'!G53</f>
        <v>4359</v>
      </c>
      <c r="BD34" s="19">
        <f>'31'!G54</f>
        <v>344.44999999999709</v>
      </c>
      <c r="BE34" s="19">
        <f>'31'!G55</f>
        <v>3167.0499999999884</v>
      </c>
      <c r="BF34" s="19">
        <f>'31'!G56</f>
        <v>-0.38999999999941792</v>
      </c>
      <c r="BG34" s="19">
        <f>'31'!G57</f>
        <v>2986.8699999999953</v>
      </c>
      <c r="BH34" s="56">
        <f>'31'!G50</f>
        <v>982.72999999998137</v>
      </c>
      <c r="BI34" s="60">
        <f t="shared" ref="BI34" si="30">SUM(AU34,AV34,BE34,BF34)</f>
        <v>6404.940000000046</v>
      </c>
      <c r="BJ34" s="60">
        <f>'31'!G133</f>
        <v>0</v>
      </c>
      <c r="BK34" s="23">
        <f t="shared" ref="BK34" si="31">SUM(AP34,AU34,AV34,AW34,AZ34,BE34,BF34,BG34)/H34%</f>
        <v>51.685018867924796</v>
      </c>
      <c r="BL34" s="23">
        <f t="shared" ref="BL34" si="32">SUM(AS34,BC34)/H34%</f>
        <v>16.448339622641722</v>
      </c>
      <c r="BM34" s="24">
        <f t="shared" ref="BM34" si="33">(AR34+BB34)/H34</f>
        <v>8.5672830188679855E-2</v>
      </c>
      <c r="BN34" s="25">
        <f t="shared" ref="BN34" si="34">J34+N34+Q34+U34</f>
        <v>329368</v>
      </c>
      <c r="BO34" s="38">
        <f t="shared" ref="BO34" si="35">SUM(AU34,AV34,AW34,BE34,BF34,BG34,BJ34)</f>
        <v>9391.8100000000413</v>
      </c>
      <c r="BP34">
        <f t="shared" ref="BP34" si="36">BO34/(AD34*280)</f>
        <v>0.86672296050209929</v>
      </c>
    </row>
    <row r="35" spans="1:68">
      <c r="A35" s="16" t="s">
        <v>196</v>
      </c>
      <c r="B35" s="30"/>
      <c r="C35" s="31"/>
      <c r="D35" s="32">
        <f>AVERAGE(D4:D34)</f>
        <v>28.516129032258064</v>
      </c>
      <c r="E35" s="33"/>
      <c r="F35" s="73">
        <f>AVERAGE(F4:F34)</f>
        <v>1.7591774193548391</v>
      </c>
      <c r="G35" s="34">
        <f>SUM(G4:G34)</f>
        <v>809958.9</v>
      </c>
      <c r="H35" s="34">
        <f t="shared" ref="H35:BN35" si="37">SUM(H4:H34)</f>
        <v>820766</v>
      </c>
      <c r="I35" s="19">
        <v>9</v>
      </c>
      <c r="J35" s="34">
        <f t="shared" si="37"/>
        <v>7386894</v>
      </c>
      <c r="K35" s="34">
        <f t="shared" si="37"/>
        <v>4063.1980198019833</v>
      </c>
      <c r="L35" s="34">
        <f t="shared" si="37"/>
        <v>31140</v>
      </c>
      <c r="M35" s="34">
        <f t="shared" si="37"/>
        <v>1742.200000000001</v>
      </c>
      <c r="N35" s="34">
        <f t="shared" si="37"/>
        <v>1750068</v>
      </c>
      <c r="O35" s="34">
        <f t="shared" si="37"/>
        <v>5686</v>
      </c>
      <c r="P35" s="34">
        <f t="shared" si="37"/>
        <v>3348</v>
      </c>
      <c r="Q35" s="34">
        <f t="shared" si="37"/>
        <v>614088</v>
      </c>
      <c r="R35" s="34">
        <f t="shared" si="37"/>
        <v>3775.1556953951344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454802</v>
      </c>
      <c r="W35" s="34">
        <f t="shared" si="37"/>
        <v>0</v>
      </c>
      <c r="X35" s="34">
        <f t="shared" si="37"/>
        <v>0</v>
      </c>
      <c r="Y35" s="34">
        <f t="shared" si="37"/>
        <v>454802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-3295.4399999999296</v>
      </c>
      <c r="AF35" s="34">
        <f t="shared" si="37"/>
        <v>5454.6905147912294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2.6199999999998909</v>
      </c>
      <c r="AL35" s="34">
        <f t="shared" si="37"/>
        <v>0</v>
      </c>
      <c r="AM35" s="34">
        <f t="shared" si="37"/>
        <v>0</v>
      </c>
      <c r="AN35" s="34">
        <f t="shared" si="37"/>
        <v>2.6199999999998909</v>
      </c>
      <c r="AO35" s="34">
        <f t="shared" si="37"/>
        <v>-364.14999999990687</v>
      </c>
      <c r="AP35" s="34">
        <f t="shared" si="37"/>
        <v>0</v>
      </c>
      <c r="AQ35" s="34">
        <f t="shared" si="37"/>
        <v>0</v>
      </c>
      <c r="AR35" s="34">
        <f t="shared" si="37"/>
        <v>0</v>
      </c>
      <c r="AS35" s="34">
        <f t="shared" si="37"/>
        <v>0</v>
      </c>
      <c r="AT35" s="34">
        <f t="shared" si="37"/>
        <v>0</v>
      </c>
      <c r="AU35" s="34">
        <f t="shared" si="37"/>
        <v>0</v>
      </c>
      <c r="AV35" s="34">
        <f t="shared" si="37"/>
        <v>-3295.4399999999441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-3000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9.9899999999906868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-3295.4399999999296</v>
      </c>
      <c r="BJ35" s="34">
        <f t="shared" si="37"/>
        <v>1704873.4300000002</v>
      </c>
      <c r="BK35" s="34">
        <f t="shared" si="37"/>
        <v>-22.240288983957967</v>
      </c>
      <c r="BL35" s="34">
        <f t="shared" si="37"/>
        <v>0.5858856220518156</v>
      </c>
      <c r="BM35" s="34">
        <f t="shared" si="37"/>
        <v>2.8875662443277189E-3</v>
      </c>
      <c r="BN35" s="34">
        <f t="shared" si="37"/>
        <v>9751050</v>
      </c>
      <c r="BO35" s="38">
        <f t="shared" si="17"/>
        <v>1701577.9900000002</v>
      </c>
      <c r="BP35" t="e">
        <f t="shared" si="18"/>
        <v>#DIV/0!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0</v>
      </c>
      <c r="F36" s="35">
        <f t="shared" si="38"/>
        <v>3.0000000000000027E-2</v>
      </c>
      <c r="G36" s="35"/>
      <c r="H36" s="35">
        <f t="shared" ref="H36:AN36" si="39">H18-H17</f>
        <v>0</v>
      </c>
      <c r="I36" s="35">
        <f t="shared" si="39"/>
        <v>0</v>
      </c>
      <c r="J36" s="42">
        <f t="shared" si="39"/>
        <v>0</v>
      </c>
      <c r="K36" s="42">
        <f t="shared" si="39"/>
        <v>0</v>
      </c>
      <c r="L36" s="35">
        <f t="shared" si="39"/>
        <v>0</v>
      </c>
      <c r="M36" s="35">
        <f t="shared" si="39"/>
        <v>0</v>
      </c>
      <c r="N36" s="42">
        <f t="shared" si="39"/>
        <v>0</v>
      </c>
      <c r="O36" s="35">
        <f t="shared" si="39"/>
        <v>51</v>
      </c>
      <c r="P36" s="35">
        <f t="shared" si="39"/>
        <v>0</v>
      </c>
      <c r="Q36" s="42">
        <f t="shared" si="39"/>
        <v>5508</v>
      </c>
      <c r="R36" s="42">
        <f t="shared" si="39"/>
        <v>33.741532047941604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33</v>
      </c>
      <c r="W36" s="35">
        <f t="shared" si="39"/>
        <v>7</v>
      </c>
      <c r="X36" s="35">
        <f t="shared" si="39"/>
        <v>0</v>
      </c>
      <c r="Y36" s="35">
        <f t="shared" si="39"/>
        <v>40</v>
      </c>
      <c r="Z36" s="35">
        <f t="shared" si="39"/>
        <v>0.52999999999883585</v>
      </c>
      <c r="AA36" s="35">
        <f t="shared" si="39"/>
        <v>5.0000000000181899E-2</v>
      </c>
      <c r="AB36" s="35">
        <f t="shared" si="39"/>
        <v>0.49000000000523869</v>
      </c>
      <c r="AC36" s="35">
        <f t="shared" si="39"/>
        <v>0</v>
      </c>
      <c r="AD36" s="35">
        <f t="shared" si="39"/>
        <v>1.0700000000042564</v>
      </c>
      <c r="AE36" s="35">
        <f t="shared" si="39"/>
        <v>-236.75000000008731</v>
      </c>
      <c r="AF36" s="35">
        <f t="shared" si="39"/>
        <v>-10.980719399919735</v>
      </c>
      <c r="AG36" s="35">
        <f t="shared" si="39"/>
        <v>1.5900000000001455</v>
      </c>
      <c r="AH36" s="35">
        <f t="shared" si="39"/>
        <v>-0.68999999999869033</v>
      </c>
      <c r="AI36" s="35">
        <f t="shared" si="39"/>
        <v>1.2499999999854481</v>
      </c>
      <c r="AJ36" s="35">
        <f t="shared" si="39"/>
        <v>2.1499999999869033</v>
      </c>
      <c r="AK36" s="35">
        <f t="shared" si="39"/>
        <v>-1.6199999999998909</v>
      </c>
      <c r="AL36" s="35">
        <f t="shared" si="39"/>
        <v>0</v>
      </c>
      <c r="AM36" s="35">
        <f t="shared" si="39"/>
        <v>0</v>
      </c>
      <c r="AN36" s="35">
        <f t="shared" si="39"/>
        <v>-1.6199999999998909</v>
      </c>
      <c r="AO36" s="35"/>
      <c r="AP36" s="35">
        <f t="shared" ref="AP36:AW36" si="40">AP18-AP17</f>
        <v>4.9999999988358468E-2</v>
      </c>
      <c r="AQ36" s="35">
        <f t="shared" si="40"/>
        <v>39.840000000025611</v>
      </c>
      <c r="AR36" s="35">
        <f t="shared" si="40"/>
        <v>150.28000000002794</v>
      </c>
      <c r="AS36" s="35">
        <f t="shared" si="40"/>
        <v>-38.480000000097789</v>
      </c>
      <c r="AT36" s="35">
        <f t="shared" si="40"/>
        <v>3.2199999999866122</v>
      </c>
      <c r="AU36" s="35">
        <f t="shared" si="40"/>
        <v>-78.959999999991851</v>
      </c>
      <c r="AV36" s="35">
        <f t="shared" si="40"/>
        <v>0</v>
      </c>
      <c r="AW36" s="35">
        <f t="shared" si="40"/>
        <v>0</v>
      </c>
      <c r="AX36" s="35"/>
      <c r="AY36" s="35"/>
      <c r="AZ36" s="35">
        <f t="shared" ref="AZ36:BG36" si="41">AZ18-AZ17</f>
        <v>392.51999999996042</v>
      </c>
      <c r="BA36" s="35">
        <f t="shared" si="41"/>
        <v>-0.31999999999999318</v>
      </c>
      <c r="BB36" s="35">
        <f t="shared" si="41"/>
        <v>-0.24000000000000021</v>
      </c>
      <c r="BC36" s="35">
        <f t="shared" si="41"/>
        <v>0</v>
      </c>
      <c r="BD36" s="35">
        <f t="shared" si="41"/>
        <v>0.45999999999185093</v>
      </c>
      <c r="BE36" s="35">
        <f t="shared" si="41"/>
        <v>-157.78000000008615</v>
      </c>
      <c r="BF36" s="35">
        <f t="shared" si="41"/>
        <v>-1.0000000009313226E-2</v>
      </c>
      <c r="BG36" s="35">
        <f t="shared" si="41"/>
        <v>-160.11999999999534</v>
      </c>
      <c r="BH36" s="35"/>
      <c r="BI36" s="35"/>
      <c r="BJ36" s="35"/>
      <c r="BK36" s="35">
        <f>BK18-BK17</f>
        <v>-1.6226415094834579E-2</v>
      </c>
      <c r="BL36" s="35">
        <f>BL18-BL17</f>
        <v>-0.14520754717017859</v>
      </c>
      <c r="BM36" s="35"/>
      <c r="BN36" s="35">
        <f>BN18-BN17</f>
        <v>5507.9999999999418</v>
      </c>
      <c r="BO36" s="35">
        <f>BO18-BO17</f>
        <v>-666.65000000008149</v>
      </c>
    </row>
    <row r="37" spans="1:68">
      <c r="F37" s="38">
        <f>AVERAGE(F4:F35)</f>
        <v>1.7591774193548391</v>
      </c>
      <c r="G37" s="38"/>
      <c r="H37" s="38">
        <f>AVERAGE(H4:H35)</f>
        <v>51297.875</v>
      </c>
    </row>
    <row r="38" spans="1:68">
      <c r="B38" s="36" t="s">
        <v>66</v>
      </c>
      <c r="F38" s="72">
        <f>AVERAGE(F4:F35)</f>
        <v>1.7591774193548391</v>
      </c>
      <c r="G38" s="72"/>
    </row>
    <row r="41" spans="1:68">
      <c r="BI41">
        <f>(BI31+BJ31)/400</f>
        <v>13.427750000000087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L5" sqref="L5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353</v>
      </c>
    </row>
    <row r="2" spans="1:17">
      <c r="A2" s="248">
        <v>1</v>
      </c>
      <c r="B2" s="381">
        <f>C2/202%</f>
        <v>57.920792079207921</v>
      </c>
      <c r="C2" s="381">
        <v>117</v>
      </c>
      <c r="D2" s="381">
        <v>2</v>
      </c>
      <c r="E2" s="381">
        <f>(C2+D2)/202%</f>
        <v>58.910891089108908</v>
      </c>
      <c r="F2" s="382">
        <v>306</v>
      </c>
      <c r="G2" s="382">
        <f>C2+D2</f>
        <v>119</v>
      </c>
      <c r="H2" s="383">
        <f>C2/202%</f>
        <v>57.920792079207921</v>
      </c>
      <c r="I2" s="384"/>
      <c r="J2" s="383">
        <f>'Section Load'!C5/G2</f>
        <v>216.66386554621849</v>
      </c>
      <c r="K2">
        <f>10/202</f>
        <v>4.9504950495049507E-2</v>
      </c>
    </row>
    <row r="3" spans="1:17">
      <c r="A3" s="248">
        <v>2</v>
      </c>
      <c r="B3" s="381">
        <f t="shared" ref="B3:B32" si="0">C3/202%</f>
        <v>63.366336633663366</v>
      </c>
      <c r="C3" s="381">
        <v>128</v>
      </c>
      <c r="D3" s="381">
        <v>2</v>
      </c>
      <c r="E3" s="381">
        <f t="shared" ref="E3:E32" si="1">(C3+D3)/202%</f>
        <v>64.356435643564353</v>
      </c>
      <c r="F3" s="382">
        <v>406</v>
      </c>
      <c r="G3" s="382">
        <f t="shared" ref="G3:G31" si="2">C3+D3</f>
        <v>130</v>
      </c>
      <c r="H3" s="383">
        <f t="shared" ref="H3:H32" si="3">C3/202%</f>
        <v>63.366336633663366</v>
      </c>
      <c r="I3" s="384"/>
      <c r="J3" s="383">
        <f>'Section Load'!C6/G3</f>
        <v>198.80769230769232</v>
      </c>
    </row>
    <row r="4" spans="1:17">
      <c r="A4" s="248">
        <v>3</v>
      </c>
      <c r="B4" s="381">
        <f t="shared" si="0"/>
        <v>67.821782178217816</v>
      </c>
      <c r="C4" s="381">
        <v>137</v>
      </c>
      <c r="D4" s="381">
        <v>3</v>
      </c>
      <c r="E4" s="381">
        <f t="shared" si="1"/>
        <v>69.306930693069305</v>
      </c>
      <c r="F4" s="382">
        <v>744</v>
      </c>
      <c r="G4" s="382">
        <f t="shared" si="2"/>
        <v>140</v>
      </c>
      <c r="H4" s="383">
        <f t="shared" si="3"/>
        <v>67.821782178217816</v>
      </c>
      <c r="I4" s="384"/>
      <c r="J4" s="383">
        <f>'Section Load'!C7/G4</f>
        <v>200.39285714285714</v>
      </c>
      <c r="Q4" s="403">
        <f>C2/202</f>
        <v>0.57920792079207917</v>
      </c>
    </row>
    <row r="5" spans="1:17">
      <c r="A5" s="248">
        <v>4</v>
      </c>
      <c r="B5" s="381">
        <f t="shared" si="0"/>
        <v>70.792079207920793</v>
      </c>
      <c r="C5" s="381">
        <v>143</v>
      </c>
      <c r="D5" s="381">
        <v>4</v>
      </c>
      <c r="E5" s="381">
        <f t="shared" si="1"/>
        <v>72.772277227722768</v>
      </c>
      <c r="F5" s="382">
        <v>534</v>
      </c>
      <c r="G5" s="382">
        <f t="shared" si="2"/>
        <v>147</v>
      </c>
      <c r="H5" s="383">
        <f t="shared" si="3"/>
        <v>70.792079207920793</v>
      </c>
      <c r="I5" s="384"/>
      <c r="J5" s="383">
        <f>'Section Load'!C8/G5</f>
        <v>176.1360544217687</v>
      </c>
    </row>
    <row r="6" spans="1:17">
      <c r="A6" s="248">
        <v>5</v>
      </c>
      <c r="B6" s="381">
        <f t="shared" si="0"/>
        <v>68.316831683168317</v>
      </c>
      <c r="C6" s="381">
        <v>138</v>
      </c>
      <c r="D6" s="381">
        <v>5</v>
      </c>
      <c r="E6" s="381">
        <f t="shared" si="1"/>
        <v>70.792079207920793</v>
      </c>
      <c r="F6" s="382">
        <v>428</v>
      </c>
      <c r="G6" s="382">
        <f t="shared" si="2"/>
        <v>143</v>
      </c>
      <c r="H6" s="383">
        <f t="shared" si="3"/>
        <v>68.316831683168317</v>
      </c>
      <c r="I6" s="384"/>
      <c r="J6" s="383">
        <f>'Section Load'!C9/G6</f>
        <v>189.63636363636363</v>
      </c>
    </row>
    <row r="7" spans="1:17">
      <c r="A7" s="248">
        <v>6</v>
      </c>
      <c r="B7" s="381">
        <f t="shared" si="0"/>
        <v>67.32673267326733</v>
      </c>
      <c r="C7" s="381">
        <v>136</v>
      </c>
      <c r="D7" s="381">
        <v>2</v>
      </c>
      <c r="E7" s="381">
        <f t="shared" si="1"/>
        <v>68.316831683168317</v>
      </c>
      <c r="F7" s="382">
        <v>596</v>
      </c>
      <c r="G7" s="382">
        <f t="shared" si="2"/>
        <v>138</v>
      </c>
      <c r="H7" s="383">
        <f t="shared" si="3"/>
        <v>67.32673267326733</v>
      </c>
      <c r="I7" s="384"/>
      <c r="J7" s="383">
        <f>'Section Load'!C10/G7</f>
        <v>189.53623188405797</v>
      </c>
    </row>
    <row r="8" spans="1:17">
      <c r="A8" s="248">
        <v>7</v>
      </c>
      <c r="B8" s="381">
        <f t="shared" si="0"/>
        <v>60.396039603960396</v>
      </c>
      <c r="C8" s="381">
        <v>122</v>
      </c>
      <c r="D8" s="381">
        <v>3</v>
      </c>
      <c r="E8" s="381">
        <f t="shared" si="1"/>
        <v>61.881188118811878</v>
      </c>
      <c r="F8" s="382">
        <v>315</v>
      </c>
      <c r="G8" s="382">
        <f t="shared" si="2"/>
        <v>125</v>
      </c>
      <c r="H8" s="383">
        <f t="shared" si="3"/>
        <v>60.396039603960396</v>
      </c>
      <c r="I8" s="384"/>
      <c r="J8" s="383">
        <f>'Section Load'!C11/G8</f>
        <v>207.33600000000001</v>
      </c>
      <c r="K8" s="533"/>
    </row>
    <row r="9" spans="1:17">
      <c r="A9" s="248">
        <v>8</v>
      </c>
      <c r="B9" s="381">
        <f t="shared" si="0"/>
        <v>0</v>
      </c>
      <c r="C9" s="381"/>
      <c r="D9" s="381"/>
      <c r="E9" s="381">
        <f t="shared" si="1"/>
        <v>0</v>
      </c>
      <c r="F9" s="382"/>
      <c r="G9" s="382">
        <f t="shared" si="2"/>
        <v>0</v>
      </c>
      <c r="H9" s="383">
        <f t="shared" si="3"/>
        <v>0</v>
      </c>
      <c r="I9" s="384"/>
      <c r="J9" s="383" t="e">
        <f>'Section Load'!C12/G9</f>
        <v>#DIV/0!</v>
      </c>
    </row>
    <row r="10" spans="1:17">
      <c r="A10" s="248">
        <v>9</v>
      </c>
      <c r="B10" s="381">
        <f t="shared" si="0"/>
        <v>0</v>
      </c>
      <c r="C10" s="381"/>
      <c r="D10" s="381"/>
      <c r="E10" s="381">
        <f t="shared" si="1"/>
        <v>0</v>
      </c>
      <c r="F10" s="382"/>
      <c r="G10" s="382">
        <f t="shared" si="2"/>
        <v>0</v>
      </c>
      <c r="H10" s="383">
        <f t="shared" si="3"/>
        <v>0</v>
      </c>
      <c r="I10" s="384"/>
      <c r="J10" s="383" t="e">
        <f>'Section Load'!C13/G10</f>
        <v>#DIV/0!</v>
      </c>
      <c r="K10" s="751"/>
      <c r="L10" s="751"/>
    </row>
    <row r="11" spans="1:17">
      <c r="A11" s="248">
        <v>10</v>
      </c>
      <c r="B11" s="381">
        <f t="shared" si="0"/>
        <v>0</v>
      </c>
      <c r="C11" s="381"/>
      <c r="D11" s="381"/>
      <c r="E11" s="381">
        <f t="shared" si="1"/>
        <v>0</v>
      </c>
      <c r="F11" s="382"/>
      <c r="G11" s="382">
        <f t="shared" si="2"/>
        <v>0</v>
      </c>
      <c r="H11" s="383">
        <f t="shared" si="3"/>
        <v>0</v>
      </c>
      <c r="I11" s="384"/>
      <c r="J11" s="383" t="e">
        <f>'Section Load'!C14/G11</f>
        <v>#DIV/0!</v>
      </c>
      <c r="K11" s="751"/>
      <c r="L11" s="751"/>
    </row>
    <row r="12" spans="1:17">
      <c r="A12" s="248">
        <v>11</v>
      </c>
      <c r="B12" s="381">
        <f t="shared" si="0"/>
        <v>0</v>
      </c>
      <c r="C12" s="381"/>
      <c r="D12" s="381"/>
      <c r="E12" s="381">
        <f t="shared" si="1"/>
        <v>0</v>
      </c>
      <c r="F12" s="382"/>
      <c r="G12" s="382">
        <f t="shared" si="2"/>
        <v>0</v>
      </c>
      <c r="H12" s="383">
        <f t="shared" si="3"/>
        <v>0</v>
      </c>
      <c r="I12" s="384"/>
      <c r="J12" s="383" t="e">
        <f>'Section Load'!C15/G12</f>
        <v>#DIV/0!</v>
      </c>
      <c r="K12" s="751"/>
      <c r="L12" s="751"/>
    </row>
    <row r="13" spans="1:17">
      <c r="A13" s="248">
        <v>12</v>
      </c>
      <c r="B13" s="381">
        <f t="shared" si="0"/>
        <v>0</v>
      </c>
      <c r="C13" s="381"/>
      <c r="D13" s="381"/>
      <c r="E13" s="381">
        <f t="shared" si="1"/>
        <v>0</v>
      </c>
      <c r="F13" s="381"/>
      <c r="G13" s="382">
        <f t="shared" si="2"/>
        <v>0</v>
      </c>
      <c r="H13" s="383">
        <f t="shared" si="3"/>
        <v>0</v>
      </c>
      <c r="I13" s="384"/>
      <c r="J13" s="383" t="e">
        <f>'Section Load'!C16/G13</f>
        <v>#DIV/0!</v>
      </c>
    </row>
    <row r="14" spans="1:17">
      <c r="A14" s="248">
        <v>13</v>
      </c>
      <c r="B14" s="381">
        <f t="shared" si="0"/>
        <v>0</v>
      </c>
      <c r="C14" s="381"/>
      <c r="D14" s="381"/>
      <c r="E14" s="381">
        <f t="shared" si="1"/>
        <v>0</v>
      </c>
      <c r="F14" s="381"/>
      <c r="G14" s="382">
        <f t="shared" si="2"/>
        <v>0</v>
      </c>
      <c r="H14" s="383">
        <f t="shared" si="3"/>
        <v>0</v>
      </c>
      <c r="I14" s="384"/>
      <c r="J14" s="383" t="e">
        <f>'Section Load'!C17/G14</f>
        <v>#DIV/0!</v>
      </c>
    </row>
    <row r="15" spans="1:17">
      <c r="A15" s="248">
        <v>14</v>
      </c>
      <c r="B15" s="381">
        <f t="shared" si="0"/>
        <v>0</v>
      </c>
      <c r="C15" s="381"/>
      <c r="D15" s="381"/>
      <c r="E15" s="381">
        <f t="shared" si="1"/>
        <v>0</v>
      </c>
      <c r="F15" s="381"/>
      <c r="G15" s="382">
        <f t="shared" si="2"/>
        <v>0</v>
      </c>
      <c r="H15" s="383">
        <f t="shared" si="3"/>
        <v>0</v>
      </c>
      <c r="I15" s="384"/>
      <c r="J15" s="383" t="e">
        <f>'Section Load'!C18/G15</f>
        <v>#DIV/0!</v>
      </c>
    </row>
    <row r="16" spans="1:17">
      <c r="A16" s="248">
        <v>15</v>
      </c>
      <c r="B16" s="381">
        <f t="shared" si="0"/>
        <v>0</v>
      </c>
      <c r="C16" s="381"/>
      <c r="D16" s="381"/>
      <c r="E16" s="381">
        <f t="shared" si="1"/>
        <v>0</v>
      </c>
      <c r="F16" s="381"/>
      <c r="G16" s="382">
        <f t="shared" si="2"/>
        <v>0</v>
      </c>
      <c r="H16" s="383">
        <f t="shared" si="3"/>
        <v>0</v>
      </c>
      <c r="I16" s="384"/>
      <c r="J16" s="383" t="e">
        <f>'Section Load'!C19/G16</f>
        <v>#DIV/0!</v>
      </c>
    </row>
    <row r="17" spans="1:10">
      <c r="A17" s="248">
        <v>16</v>
      </c>
      <c r="B17" s="381">
        <f t="shared" si="0"/>
        <v>0</v>
      </c>
      <c r="C17" s="381"/>
      <c r="D17" s="381"/>
      <c r="E17" s="381">
        <f t="shared" si="1"/>
        <v>0</v>
      </c>
      <c r="F17" s="381"/>
      <c r="G17" s="382">
        <f t="shared" si="2"/>
        <v>0</v>
      </c>
      <c r="H17" s="383">
        <f t="shared" si="3"/>
        <v>0</v>
      </c>
      <c r="I17" s="384"/>
      <c r="J17" s="383" t="e">
        <f>'Section Load'!C20/G17</f>
        <v>#DIV/0!</v>
      </c>
    </row>
    <row r="18" spans="1:10">
      <c r="A18" s="248">
        <v>17</v>
      </c>
      <c r="B18" s="381">
        <f t="shared" si="0"/>
        <v>0</v>
      </c>
      <c r="C18" s="381"/>
      <c r="D18" s="381"/>
      <c r="E18" s="381">
        <f t="shared" si="1"/>
        <v>0</v>
      </c>
      <c r="F18" s="381"/>
      <c r="G18" s="382">
        <f t="shared" si="2"/>
        <v>0</v>
      </c>
      <c r="H18" s="383">
        <f t="shared" si="3"/>
        <v>0</v>
      </c>
      <c r="I18" s="384"/>
      <c r="J18" s="383" t="e">
        <f>'Section Load'!C21/G18</f>
        <v>#DIV/0!</v>
      </c>
    </row>
    <row r="19" spans="1:10">
      <c r="A19" s="248">
        <v>18</v>
      </c>
      <c r="B19" s="381">
        <f t="shared" si="0"/>
        <v>0</v>
      </c>
      <c r="C19" s="385"/>
      <c r="D19" s="385"/>
      <c r="E19" s="381">
        <f t="shared" si="1"/>
        <v>0</v>
      </c>
      <c r="F19" s="385"/>
      <c r="G19" s="382">
        <f t="shared" si="2"/>
        <v>0</v>
      </c>
      <c r="H19" s="383">
        <f t="shared" si="3"/>
        <v>0</v>
      </c>
      <c r="I19" s="384"/>
      <c r="J19" s="383" t="e">
        <f>'Section Load'!C22/G19</f>
        <v>#DIV/0!</v>
      </c>
    </row>
    <row r="20" spans="1:10">
      <c r="A20" s="248">
        <v>19</v>
      </c>
      <c r="B20" s="381">
        <f t="shared" si="0"/>
        <v>0</v>
      </c>
      <c r="C20" s="381"/>
      <c r="D20" s="381"/>
      <c r="E20" s="381">
        <f t="shared" si="1"/>
        <v>0</v>
      </c>
      <c r="F20" s="381"/>
      <c r="G20" s="382">
        <f t="shared" si="2"/>
        <v>0</v>
      </c>
      <c r="H20" s="383">
        <f t="shared" si="3"/>
        <v>0</v>
      </c>
      <c r="I20" s="384"/>
      <c r="J20" s="383" t="e">
        <f>'Section Load'!C23/G20</f>
        <v>#DIV/0!</v>
      </c>
    </row>
    <row r="21" spans="1:10">
      <c r="A21" s="248">
        <v>20</v>
      </c>
      <c r="B21" s="381">
        <f t="shared" si="0"/>
        <v>0</v>
      </c>
      <c r="C21" s="381"/>
      <c r="D21" s="381"/>
      <c r="E21" s="381">
        <f t="shared" si="1"/>
        <v>0</v>
      </c>
      <c r="F21" s="381"/>
      <c r="G21" s="382">
        <f t="shared" si="2"/>
        <v>0</v>
      </c>
      <c r="H21" s="383">
        <f t="shared" si="3"/>
        <v>0</v>
      </c>
      <c r="I21" s="384"/>
      <c r="J21" s="383" t="e">
        <f>'Section Load'!C24/G21</f>
        <v>#DIV/0!</v>
      </c>
    </row>
    <row r="22" spans="1:10">
      <c r="A22" s="248">
        <v>21</v>
      </c>
      <c r="B22" s="381">
        <f t="shared" si="0"/>
        <v>0</v>
      </c>
      <c r="C22" s="381"/>
      <c r="D22" s="381"/>
      <c r="E22" s="381">
        <f t="shared" si="1"/>
        <v>0</v>
      </c>
      <c r="F22" s="381"/>
      <c r="G22" s="382">
        <f t="shared" si="2"/>
        <v>0</v>
      </c>
      <c r="H22" s="383">
        <f t="shared" si="3"/>
        <v>0</v>
      </c>
      <c r="I22" s="384"/>
      <c r="J22" s="383" t="e">
        <f>'Section Load'!C25/G22</f>
        <v>#DIV/0!</v>
      </c>
    </row>
    <row r="23" spans="1:10">
      <c r="A23" s="248">
        <v>22</v>
      </c>
      <c r="B23" s="381">
        <v>83</v>
      </c>
      <c r="C23" s="381"/>
      <c r="D23" s="381"/>
      <c r="E23" s="381">
        <f t="shared" si="1"/>
        <v>0</v>
      </c>
      <c r="F23" s="381"/>
      <c r="G23" s="382">
        <f t="shared" si="2"/>
        <v>0</v>
      </c>
      <c r="H23" s="383">
        <f t="shared" si="3"/>
        <v>0</v>
      </c>
      <c r="I23" s="384"/>
      <c r="J23" s="383" t="e">
        <f>'Section Load'!C26/G23</f>
        <v>#DIV/0!</v>
      </c>
    </row>
    <row r="24" spans="1:10">
      <c r="A24" s="248">
        <v>23</v>
      </c>
      <c r="B24" s="381">
        <v>98</v>
      </c>
      <c r="C24" s="381"/>
      <c r="D24" s="381"/>
      <c r="E24" s="381">
        <f t="shared" si="1"/>
        <v>0</v>
      </c>
      <c r="F24" s="381"/>
      <c r="G24" s="382">
        <f t="shared" si="2"/>
        <v>0</v>
      </c>
      <c r="H24" s="383">
        <f t="shared" si="3"/>
        <v>0</v>
      </c>
      <c r="I24" s="384"/>
      <c r="J24" s="383" t="e">
        <f>'Section Load'!C27/G24</f>
        <v>#DIV/0!</v>
      </c>
    </row>
    <row r="25" spans="1:10">
      <c r="A25" s="248">
        <v>24</v>
      </c>
      <c r="B25" s="381">
        <f t="shared" si="0"/>
        <v>0</v>
      </c>
      <c r="C25" s="381"/>
      <c r="D25" s="381"/>
      <c r="E25" s="381">
        <f t="shared" si="1"/>
        <v>0</v>
      </c>
      <c r="F25" s="381"/>
      <c r="G25" s="382">
        <f t="shared" si="2"/>
        <v>0</v>
      </c>
      <c r="H25" s="383">
        <f t="shared" si="3"/>
        <v>0</v>
      </c>
      <c r="I25" s="384"/>
      <c r="J25" s="383" t="e">
        <f>'Section Load'!C28/G25</f>
        <v>#DIV/0!</v>
      </c>
    </row>
    <row r="26" spans="1:10">
      <c r="A26" s="248">
        <v>25</v>
      </c>
      <c r="B26" s="381">
        <f t="shared" si="0"/>
        <v>0</v>
      </c>
      <c r="C26" s="381"/>
      <c r="D26" s="381"/>
      <c r="E26" s="381">
        <f t="shared" si="1"/>
        <v>0</v>
      </c>
      <c r="F26" s="381"/>
      <c r="G26" s="382">
        <f t="shared" si="2"/>
        <v>0</v>
      </c>
      <c r="H26" s="383">
        <f t="shared" si="3"/>
        <v>0</v>
      </c>
      <c r="I26" s="384"/>
      <c r="J26" s="383" t="e">
        <f>'Section Load'!C29/G26</f>
        <v>#DIV/0!</v>
      </c>
    </row>
    <row r="27" spans="1:10">
      <c r="A27" s="248">
        <v>26</v>
      </c>
      <c r="B27" s="381">
        <f t="shared" si="0"/>
        <v>0</v>
      </c>
      <c r="C27" s="381"/>
      <c r="D27" s="381"/>
      <c r="E27" s="381">
        <f t="shared" si="1"/>
        <v>0</v>
      </c>
      <c r="F27" s="381"/>
      <c r="G27" s="382">
        <f t="shared" si="2"/>
        <v>0</v>
      </c>
      <c r="H27" s="383">
        <f t="shared" si="3"/>
        <v>0</v>
      </c>
      <c r="I27" s="384"/>
      <c r="J27" s="383" t="e">
        <f>'Section Load'!C30/G27</f>
        <v>#DIV/0!</v>
      </c>
    </row>
    <row r="28" spans="1:10">
      <c r="A28" s="248">
        <v>27</v>
      </c>
      <c r="B28" s="381">
        <f t="shared" si="0"/>
        <v>0</v>
      </c>
      <c r="C28" s="381"/>
      <c r="D28" s="381"/>
      <c r="E28" s="381">
        <f t="shared" si="1"/>
        <v>0</v>
      </c>
      <c r="F28" s="381"/>
      <c r="G28" s="382">
        <f t="shared" si="2"/>
        <v>0</v>
      </c>
      <c r="H28" s="383">
        <f t="shared" si="3"/>
        <v>0</v>
      </c>
      <c r="I28" s="384"/>
      <c r="J28" s="383" t="e">
        <f>'Section Load'!C31/G28</f>
        <v>#DIV/0!</v>
      </c>
    </row>
    <row r="29" spans="1:10">
      <c r="A29" s="248">
        <v>28</v>
      </c>
      <c r="B29" s="381">
        <f t="shared" si="0"/>
        <v>0</v>
      </c>
      <c r="C29" s="381"/>
      <c r="D29" s="381"/>
      <c r="E29" s="381">
        <f t="shared" si="1"/>
        <v>0</v>
      </c>
      <c r="F29" s="381"/>
      <c r="G29" s="382">
        <f t="shared" si="2"/>
        <v>0</v>
      </c>
      <c r="H29" s="383">
        <f t="shared" si="3"/>
        <v>0</v>
      </c>
      <c r="I29" s="384"/>
      <c r="J29" s="383" t="e">
        <f>'Section Load'!C32/G29</f>
        <v>#DIV/0!</v>
      </c>
    </row>
    <row r="30" spans="1:10">
      <c r="A30" s="248">
        <v>29</v>
      </c>
      <c r="B30" s="381">
        <f>C30/202%</f>
        <v>0</v>
      </c>
      <c r="C30" s="381"/>
      <c r="D30" s="381"/>
      <c r="E30" s="381">
        <f t="shared" si="1"/>
        <v>0</v>
      </c>
      <c r="F30" s="381"/>
      <c r="G30" s="382">
        <f t="shared" si="2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>
      <c r="A31" s="248">
        <v>30</v>
      </c>
      <c r="B31" s="381">
        <f t="shared" si="0"/>
        <v>0</v>
      </c>
      <c r="C31" s="381"/>
      <c r="D31" s="381"/>
      <c r="E31" s="381">
        <f t="shared" si="1"/>
        <v>0</v>
      </c>
      <c r="F31" s="381"/>
      <c r="G31" s="386">
        <f t="shared" si="2"/>
        <v>0</v>
      </c>
      <c r="H31" s="383">
        <f t="shared" si="3"/>
        <v>0</v>
      </c>
      <c r="I31" s="384"/>
      <c r="J31" s="383" t="e">
        <f>'Section Load'!C34/G31</f>
        <v>#DIV/0!</v>
      </c>
    </row>
    <row r="32" spans="1:10">
      <c r="A32" s="248">
        <v>31</v>
      </c>
      <c r="B32" s="381">
        <f t="shared" si="0"/>
        <v>0</v>
      </c>
      <c r="C32" s="381"/>
      <c r="D32" s="381"/>
      <c r="E32" s="381">
        <f t="shared" si="1"/>
        <v>0</v>
      </c>
      <c r="F32" s="381"/>
      <c r="G32" s="386"/>
      <c r="H32" s="383">
        <f t="shared" si="3"/>
        <v>0</v>
      </c>
      <c r="I32" s="384"/>
      <c r="J32" s="383" t="e">
        <f>'Section Load'!C35/G32</f>
        <v>#DIV/0!</v>
      </c>
    </row>
    <row r="33" spans="1:8">
      <c r="A33" t="s">
        <v>316</v>
      </c>
      <c r="B33" s="275">
        <f>AVERAGE(B2:B31)</f>
        <v>21.231353135313533</v>
      </c>
      <c r="C33" s="275">
        <v>154</v>
      </c>
      <c r="D33" s="275">
        <f t="shared" ref="D33:H33" si="4">AVERAGE(D2:D31)</f>
        <v>3</v>
      </c>
      <c r="E33" s="275">
        <f t="shared" si="4"/>
        <v>15.544554455445544</v>
      </c>
      <c r="F33" s="275">
        <f t="shared" si="4"/>
        <v>475.57142857142856</v>
      </c>
      <c r="G33" s="275">
        <f t="shared" si="4"/>
        <v>31.4</v>
      </c>
      <c r="H33" s="275">
        <f t="shared" si="4"/>
        <v>15.198019801980198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M5" sqref="M5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57.920792079207921</v>
      </c>
      <c r="E4" s="91">
        <f>Occupancy!B3</f>
        <v>63.366336633663366</v>
      </c>
      <c r="F4" s="91">
        <f>Occupancy!C3</f>
        <v>128</v>
      </c>
      <c r="G4" s="91">
        <f>Occupancy!D3</f>
        <v>2</v>
      </c>
      <c r="H4" s="91">
        <f>Occupancy!E3</f>
        <v>64.356435643564353</v>
      </c>
      <c r="I4" s="91">
        <f>Occupancy!F3</f>
        <v>406</v>
      </c>
      <c r="J4" s="91">
        <f>Occupancy!G3</f>
        <v>130</v>
      </c>
      <c r="K4" s="91">
        <f>Occupancy!H3</f>
        <v>63.366336633663366</v>
      </c>
      <c r="L4" s="91">
        <f>Occupancy!I3</f>
        <v>0</v>
      </c>
      <c r="M4" s="91">
        <f>Occupancy!J3</f>
        <v>198.80769230769232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130</v>
      </c>
      <c r="E5" s="91">
        <f>'2'!G18</f>
        <v>180</v>
      </c>
      <c r="F5" s="91">
        <f>'3'!G18</f>
        <v>100</v>
      </c>
      <c r="G5" s="91">
        <f>'4'!G18</f>
        <v>130</v>
      </c>
      <c r="H5" s="91">
        <f>'5'!G18</f>
        <v>140</v>
      </c>
      <c r="I5" s="91">
        <f>'6'!G18</f>
        <v>200</v>
      </c>
      <c r="J5" s="91">
        <f>'7'!G18</f>
        <v>240</v>
      </c>
      <c r="K5" s="91">
        <f>'8'!G18</f>
        <v>170</v>
      </c>
      <c r="L5" s="91">
        <f>'9'!G18</f>
        <v>220</v>
      </c>
      <c r="M5" s="91">
        <f>'10'!G18</f>
        <v>220</v>
      </c>
      <c r="N5" s="91">
        <f>'11'!G18</f>
        <v>170</v>
      </c>
      <c r="O5" s="91">
        <f>'12'!G18</f>
        <v>200</v>
      </c>
      <c r="P5" s="91">
        <f>'13'!G18</f>
        <v>120</v>
      </c>
      <c r="Q5" s="91">
        <f>'14'!G18</f>
        <v>140</v>
      </c>
      <c r="R5" s="91">
        <f>'15'!G18</f>
        <v>200</v>
      </c>
      <c r="S5" s="91">
        <f>'16'!G18</f>
        <v>220</v>
      </c>
      <c r="T5" s="91">
        <f>'17'!G18</f>
        <v>270</v>
      </c>
      <c r="U5" s="91">
        <f>'18 '!G18</f>
        <v>230</v>
      </c>
      <c r="V5" s="91">
        <f>'19'!G18</f>
        <v>180</v>
      </c>
      <c r="W5" s="91">
        <f>'20'!G18</f>
        <v>230</v>
      </c>
      <c r="X5" s="91">
        <f>'21'!G18</f>
        <v>170</v>
      </c>
      <c r="Y5" s="91">
        <f>'22'!G18</f>
        <v>220</v>
      </c>
      <c r="Z5" s="91">
        <f>'23'!G18</f>
        <v>190</v>
      </c>
      <c r="AA5" s="91">
        <f>'24'!G18</f>
        <v>150</v>
      </c>
      <c r="AB5" s="91">
        <f>'25'!G18</f>
        <v>150</v>
      </c>
      <c r="AC5" s="91">
        <f>'26'!G18</f>
        <v>180</v>
      </c>
      <c r="AD5" s="91">
        <f>'27'!G18</f>
        <v>210</v>
      </c>
      <c r="AE5" s="91">
        <f>'28'!G18</f>
        <v>140</v>
      </c>
      <c r="AF5" s="91">
        <f>'29'!G18</f>
        <v>180</v>
      </c>
      <c r="AG5" s="91">
        <f>'30'!G18</f>
        <v>130</v>
      </c>
      <c r="AH5" s="91">
        <f>'31'!G18</f>
        <v>270</v>
      </c>
      <c r="AI5" s="90"/>
    </row>
    <row r="6" spans="2:35">
      <c r="B6" s="93"/>
      <c r="C6" s="90" t="s">
        <v>69</v>
      </c>
      <c r="D6" s="91">
        <f>'1'!G19</f>
        <v>52</v>
      </c>
      <c r="E6" s="91">
        <f>'2'!G19</f>
        <v>51</v>
      </c>
      <c r="F6" s="91">
        <f>'3'!G19</f>
        <v>55</v>
      </c>
      <c r="G6" s="91">
        <f>'4'!G19</f>
        <v>53</v>
      </c>
      <c r="H6" s="91">
        <f>'5'!G19</f>
        <v>52</v>
      </c>
      <c r="I6" s="91">
        <f>'6'!G19</f>
        <v>47</v>
      </c>
      <c r="J6" s="91">
        <f>'7'!G19</f>
        <v>47</v>
      </c>
      <c r="K6" s="91">
        <f>'8'!G19</f>
        <v>-1478</v>
      </c>
      <c r="L6" s="91">
        <f>'9'!G19</f>
        <v>50</v>
      </c>
      <c r="M6" s="91">
        <f>'10'!G19</f>
        <v>50</v>
      </c>
      <c r="N6" s="91">
        <f>'11'!G19</f>
        <v>51</v>
      </c>
      <c r="O6" s="91">
        <f>'12'!G19</f>
        <v>54</v>
      </c>
      <c r="P6" s="91">
        <f>'13'!G19</f>
        <v>50</v>
      </c>
      <c r="Q6" s="91">
        <f>'14'!G19</f>
        <v>52</v>
      </c>
      <c r="R6" s="91">
        <f>'15'!G19</f>
        <v>43</v>
      </c>
      <c r="S6" s="91">
        <f>'16'!G19</f>
        <v>52</v>
      </c>
      <c r="T6" s="91">
        <f>'17'!G19</f>
        <v>50</v>
      </c>
      <c r="U6" s="91">
        <f>'18 '!G19</f>
        <v>44</v>
      </c>
      <c r="V6" s="91">
        <f>'19'!G19</f>
        <v>46</v>
      </c>
      <c r="W6" s="91">
        <f>'20'!G19</f>
        <v>43</v>
      </c>
      <c r="X6" s="91">
        <f>'21'!G19</f>
        <v>50</v>
      </c>
      <c r="Y6" s="91">
        <f>'22'!G19</f>
        <v>49</v>
      </c>
      <c r="Z6" s="91">
        <f>'23'!G19</f>
        <v>41</v>
      </c>
      <c r="AA6" s="91">
        <f>'24'!G19</f>
        <v>47</v>
      </c>
      <c r="AB6" s="91">
        <f>'25'!G19</f>
        <v>51</v>
      </c>
      <c r="AC6" s="91">
        <f>'26'!G19</f>
        <v>51</v>
      </c>
      <c r="AD6" s="91">
        <f>'27'!G19</f>
        <v>50</v>
      </c>
      <c r="AE6" s="91">
        <f>'28'!G19</f>
        <v>50</v>
      </c>
      <c r="AF6" s="91">
        <f>'29'!G19</f>
        <v>51</v>
      </c>
      <c r="AG6" s="91">
        <f>'30'!G19</f>
        <v>51</v>
      </c>
      <c r="AH6" s="91">
        <f>'31'!G19</f>
        <v>51</v>
      </c>
      <c r="AI6" s="90"/>
    </row>
    <row r="7" spans="2:35">
      <c r="B7" s="93"/>
      <c r="C7" s="90" t="s">
        <v>70</v>
      </c>
      <c r="D7" s="91">
        <f>'1'!G62</f>
        <v>97</v>
      </c>
      <c r="E7" s="91">
        <f>'2'!G62</f>
        <v>97</v>
      </c>
      <c r="F7" s="91">
        <f>'3'!G62</f>
        <v>101</v>
      </c>
      <c r="G7" s="91">
        <f>'4'!G62</f>
        <v>95</v>
      </c>
      <c r="H7" s="91">
        <f>'5'!G62</f>
        <v>106</v>
      </c>
      <c r="I7" s="91">
        <f>'6'!G62</f>
        <v>130</v>
      </c>
      <c r="J7" s="91">
        <f>'7'!G62</f>
        <v>144</v>
      </c>
      <c r="K7" s="91">
        <f>'8'!G62</f>
        <v>-3553</v>
      </c>
      <c r="L7" s="91">
        <f>'9'!G62</f>
        <v>121</v>
      </c>
      <c r="M7" s="91">
        <f>'10'!G62</f>
        <v>113</v>
      </c>
      <c r="N7" s="91">
        <f>'11'!G62</f>
        <v>122</v>
      </c>
      <c r="O7" s="91">
        <f>'12'!G62</f>
        <v>97</v>
      </c>
      <c r="P7" s="91">
        <f>'13'!G62</f>
        <v>97</v>
      </c>
      <c r="Q7" s="91">
        <f>'14'!G62</f>
        <v>103</v>
      </c>
      <c r="R7" s="91">
        <f>'15'!G62</f>
        <v>157</v>
      </c>
      <c r="S7" s="91">
        <f>'16'!G62</f>
        <v>137</v>
      </c>
      <c r="T7" s="91">
        <f>'17'!G62</f>
        <v>166</v>
      </c>
      <c r="U7" s="91">
        <f>'18 '!G62</f>
        <v>150</v>
      </c>
      <c r="V7" s="91">
        <f>'19'!G62</f>
        <v>125</v>
      </c>
      <c r="W7" s="91">
        <f>'20'!G62</f>
        <v>124</v>
      </c>
      <c r="X7" s="91">
        <f>'21'!G62</f>
        <v>105</v>
      </c>
      <c r="Y7" s="91">
        <f>'22'!G62</f>
        <v>99</v>
      </c>
      <c r="Z7" s="91">
        <f>'23'!G62</f>
        <v>108</v>
      </c>
      <c r="AA7" s="91">
        <f>'24'!G62</f>
        <v>114</v>
      </c>
      <c r="AB7" s="91">
        <f>'25'!G62</f>
        <v>98</v>
      </c>
      <c r="AC7" s="91">
        <f>'26'!G62</f>
        <v>130</v>
      </c>
      <c r="AD7" s="91">
        <f>'27'!G62</f>
        <v>135</v>
      </c>
      <c r="AE7" s="91">
        <f>'28'!G62</f>
        <v>115</v>
      </c>
      <c r="AF7" s="91">
        <f>'29'!G62</f>
        <v>128</v>
      </c>
      <c r="AG7" s="91">
        <f>'30'!G62</f>
        <v>116</v>
      </c>
      <c r="AH7" s="91">
        <f>'31'!G62</f>
        <v>123</v>
      </c>
      <c r="AI7" s="90"/>
    </row>
    <row r="8" spans="2:35">
      <c r="B8" s="93"/>
      <c r="C8" s="90" t="s">
        <v>299</v>
      </c>
      <c r="D8" s="91">
        <f>'1'!G63</f>
        <v>177</v>
      </c>
      <c r="E8" s="91">
        <f>'2'!G63</f>
        <v>147</v>
      </c>
      <c r="F8" s="91">
        <f>'3'!G63</f>
        <v>116</v>
      </c>
      <c r="G8" s="91">
        <f>'4'!G63</f>
        <v>144</v>
      </c>
      <c r="H8" s="91">
        <f>'5'!G63</f>
        <v>137</v>
      </c>
      <c r="I8" s="91">
        <f>'6'!G63</f>
        <v>98</v>
      </c>
      <c r="J8" s="91">
        <f>'7'!G63</f>
        <v>106</v>
      </c>
      <c r="K8" s="91">
        <f>'8'!G63</f>
        <v>-4121</v>
      </c>
      <c r="L8" s="91">
        <f>'9'!G63</f>
        <v>129</v>
      </c>
      <c r="M8" s="91">
        <f>'10'!G63</f>
        <v>105</v>
      </c>
      <c r="N8" s="91">
        <f>'11'!G63</f>
        <v>94</v>
      </c>
      <c r="O8" s="91">
        <f>'12'!G63</f>
        <v>87</v>
      </c>
      <c r="P8" s="91">
        <f>'13'!G63</f>
        <v>155</v>
      </c>
      <c r="Q8" s="91">
        <f>'14'!G63</f>
        <v>133</v>
      </c>
      <c r="R8" s="91">
        <f>'15'!G63</f>
        <v>145</v>
      </c>
      <c r="S8" s="91">
        <f>'16'!G63</f>
        <v>120</v>
      </c>
      <c r="T8" s="91">
        <f>'17'!G63</f>
        <v>137</v>
      </c>
      <c r="U8" s="91">
        <f>'18 '!G63</f>
        <v>134</v>
      </c>
      <c r="V8" s="91">
        <f>'19'!G63</f>
        <v>111</v>
      </c>
      <c r="W8" s="91">
        <f>'20'!G63</f>
        <v>128</v>
      </c>
      <c r="X8" s="91">
        <f>'21'!G63</f>
        <v>143</v>
      </c>
      <c r="Y8" s="91">
        <f>'22'!G63</f>
        <v>153</v>
      </c>
      <c r="Z8" s="91">
        <f>'23'!G63</f>
        <v>196</v>
      </c>
      <c r="AA8" s="91">
        <f>'24'!G63</f>
        <v>185</v>
      </c>
      <c r="AB8" s="91">
        <f>'25'!G63</f>
        <v>136</v>
      </c>
      <c r="AC8" s="91">
        <f>'26'!G63</f>
        <v>165</v>
      </c>
      <c r="AD8" s="91">
        <f>'27'!G63</f>
        <v>137</v>
      </c>
      <c r="AE8" s="91">
        <f>'28'!G63</f>
        <v>145</v>
      </c>
      <c r="AF8" s="91">
        <f>'29'!G63</f>
        <v>157</v>
      </c>
      <c r="AG8" s="91">
        <f>'30'!G63</f>
        <v>130</v>
      </c>
      <c r="AH8" s="91">
        <f>'31'!G63</f>
        <v>171</v>
      </c>
      <c r="AI8" s="90"/>
    </row>
    <row r="9" spans="2:35">
      <c r="B9" s="779" t="s">
        <v>71</v>
      </c>
      <c r="C9" s="90" t="s">
        <v>31</v>
      </c>
      <c r="D9" s="91">
        <f>'1'!G65</f>
        <v>92</v>
      </c>
      <c r="E9" s="91">
        <f>'2'!G65</f>
        <v>103</v>
      </c>
      <c r="F9" s="91">
        <f>'3'!G65</f>
        <v>104</v>
      </c>
      <c r="G9" s="91">
        <f>'4'!G65</f>
        <v>108</v>
      </c>
      <c r="H9" s="91">
        <f>'5'!G65</f>
        <v>102</v>
      </c>
      <c r="I9" s="91">
        <f>'6'!G65</f>
        <v>104</v>
      </c>
      <c r="J9" s="91">
        <f>'7'!G65</f>
        <v>101</v>
      </c>
      <c r="K9" s="91">
        <f>'8'!G65</f>
        <v>-3254</v>
      </c>
      <c r="L9" s="91">
        <f>'9'!G65</f>
        <v>101</v>
      </c>
      <c r="M9" s="91">
        <f>'10'!G65</f>
        <v>102</v>
      </c>
      <c r="N9" s="91">
        <f>'11'!G65</f>
        <v>102</v>
      </c>
      <c r="O9" s="91">
        <f>'12'!G65</f>
        <v>104</v>
      </c>
      <c r="P9" s="91">
        <f>'13'!G65</f>
        <v>99</v>
      </c>
      <c r="Q9" s="91">
        <f>'14'!G65</f>
        <v>106</v>
      </c>
      <c r="R9" s="91">
        <f>'15'!G65</f>
        <v>139</v>
      </c>
      <c r="S9" s="91">
        <f>'16'!G65</f>
        <v>109</v>
      </c>
      <c r="T9" s="91">
        <f>'17'!G65</f>
        <v>136</v>
      </c>
      <c r="U9" s="91">
        <f>'18 '!G65</f>
        <v>131</v>
      </c>
      <c r="V9" s="91">
        <f>'19'!G65</f>
        <v>136</v>
      </c>
      <c r="W9" s="91">
        <f>'20'!G65</f>
        <v>112</v>
      </c>
      <c r="X9" s="91">
        <f>'21'!G65</f>
        <v>99</v>
      </c>
      <c r="Y9" s="91">
        <f>'22'!G65</f>
        <v>105</v>
      </c>
      <c r="Z9" s="91">
        <f>'23'!G65</f>
        <v>98</v>
      </c>
      <c r="AA9" s="91">
        <f>'24'!G65</f>
        <v>108</v>
      </c>
      <c r="AB9" s="91">
        <f>'25'!G65</f>
        <v>96</v>
      </c>
      <c r="AC9" s="91">
        <f>'26'!G65</f>
        <v>98</v>
      </c>
      <c r="AD9" s="91">
        <f>'27'!G65</f>
        <v>121</v>
      </c>
      <c r="AE9" s="91">
        <f>'28'!G65</f>
        <v>102</v>
      </c>
      <c r="AF9" s="91">
        <f>'29'!G65</f>
        <v>117</v>
      </c>
      <c r="AG9" s="91">
        <f>'30'!G65</f>
        <v>108</v>
      </c>
      <c r="AH9" s="91">
        <f>'31'!G65</f>
        <v>111</v>
      </c>
      <c r="AI9" s="90"/>
    </row>
    <row r="10" spans="2:35">
      <c r="B10" s="779"/>
      <c r="C10" s="90" t="s">
        <v>32</v>
      </c>
      <c r="D10" s="91">
        <f>'1'!G66</f>
        <v>25</v>
      </c>
      <c r="E10" s="91">
        <f>'2'!G66</f>
        <v>17</v>
      </c>
      <c r="F10" s="91">
        <f>'3'!G66</f>
        <v>20</v>
      </c>
      <c r="G10" s="91">
        <f>'4'!G66</f>
        <v>22</v>
      </c>
      <c r="H10" s="91">
        <f>'5'!G66</f>
        <v>25</v>
      </c>
      <c r="I10" s="91">
        <f>'6'!G66</f>
        <v>23</v>
      </c>
      <c r="J10" s="91">
        <f>'7'!G66</f>
        <v>31</v>
      </c>
      <c r="K10" s="91">
        <f>'8'!G66</f>
        <v>-725</v>
      </c>
      <c r="L10" s="91">
        <f>'9'!G66</f>
        <v>27</v>
      </c>
      <c r="M10" s="91">
        <f>'10'!G66</f>
        <v>25</v>
      </c>
      <c r="N10" s="91">
        <f>'11'!G66</f>
        <v>19</v>
      </c>
      <c r="O10" s="91">
        <f>'12'!G66</f>
        <v>24</v>
      </c>
      <c r="P10" s="91">
        <f>'13'!G66</f>
        <v>23</v>
      </c>
      <c r="Q10" s="91">
        <f>'14'!G66</f>
        <v>27</v>
      </c>
      <c r="R10" s="91">
        <f>'15'!G66</f>
        <v>34</v>
      </c>
      <c r="S10" s="91">
        <f>'16'!G66</f>
        <v>26</v>
      </c>
      <c r="T10" s="91">
        <f>'17'!G66</f>
        <v>28</v>
      </c>
      <c r="U10" s="91">
        <f>'18 '!G66</f>
        <v>24</v>
      </c>
      <c r="V10" s="91">
        <f>'19'!G66</f>
        <v>19</v>
      </c>
      <c r="W10" s="91">
        <f>'20'!G66</f>
        <v>22</v>
      </c>
      <c r="X10" s="91">
        <f>'21'!G66</f>
        <v>21</v>
      </c>
      <c r="Y10" s="91">
        <f>'22'!G66</f>
        <v>22</v>
      </c>
      <c r="Z10" s="91">
        <f>'23'!G66</f>
        <v>20</v>
      </c>
      <c r="AA10" s="91">
        <f>'24'!G66</f>
        <v>27</v>
      </c>
      <c r="AB10" s="91">
        <f>'25'!G66</f>
        <v>22</v>
      </c>
      <c r="AC10" s="91">
        <f>'26'!G66</f>
        <v>25</v>
      </c>
      <c r="AD10" s="91">
        <f>'27'!G66</f>
        <v>32</v>
      </c>
      <c r="AE10" s="91">
        <f>'28'!G66</f>
        <v>20</v>
      </c>
      <c r="AF10" s="91">
        <f>'29'!G66</f>
        <v>29</v>
      </c>
      <c r="AG10" s="91">
        <f>'30'!G66</f>
        <v>26</v>
      </c>
      <c r="AH10" s="91">
        <f>'31'!G66</f>
        <v>20</v>
      </c>
      <c r="AI10" s="90"/>
    </row>
    <row r="11" spans="2:35">
      <c r="B11" s="779"/>
      <c r="C11" s="90" t="s">
        <v>33</v>
      </c>
      <c r="D11" s="91">
        <f>'1'!G67</f>
        <v>0</v>
      </c>
      <c r="E11" s="91">
        <f>'2'!G67</f>
        <v>0</v>
      </c>
      <c r="F11" s="91">
        <f>'3'!G67</f>
        <v>0</v>
      </c>
      <c r="G11" s="91">
        <f>'4'!G67</f>
        <v>0</v>
      </c>
      <c r="H11" s="91">
        <f>'5'!G67</f>
        <v>0</v>
      </c>
      <c r="I11" s="91">
        <f>'6'!G67</f>
        <v>0</v>
      </c>
      <c r="J11" s="91">
        <f>'7'!G67</f>
        <v>0</v>
      </c>
      <c r="K11" s="91">
        <f>'8'!G67</f>
        <v>0</v>
      </c>
      <c r="L11" s="91">
        <f>'9'!G67</f>
        <v>0</v>
      </c>
      <c r="M11" s="91">
        <f>'10'!G67</f>
        <v>0</v>
      </c>
      <c r="N11" s="91">
        <f>'11'!G67</f>
        <v>0</v>
      </c>
      <c r="O11" s="91">
        <f>'12'!G67</f>
        <v>0</v>
      </c>
      <c r="P11" s="91">
        <f>'13'!G67</f>
        <v>0</v>
      </c>
      <c r="Q11" s="91">
        <f>'14'!G67</f>
        <v>0</v>
      </c>
      <c r="R11" s="91">
        <f>'15'!G67</f>
        <v>0</v>
      </c>
      <c r="S11" s="91">
        <f>'16'!G67</f>
        <v>0</v>
      </c>
      <c r="T11" s="91">
        <f>'17'!G67</f>
        <v>1</v>
      </c>
      <c r="U11" s="91">
        <f>'18 '!G67</f>
        <v>0</v>
      </c>
      <c r="V11" s="91">
        <f>'19'!G67</f>
        <v>0</v>
      </c>
      <c r="W11" s="91">
        <f>'20'!G67</f>
        <v>0</v>
      </c>
      <c r="X11" s="91">
        <f>'21'!G67</f>
        <v>0</v>
      </c>
      <c r="Y11" s="91">
        <f>'22'!G67</f>
        <v>0</v>
      </c>
      <c r="Z11" s="91">
        <f>'23'!G67</f>
        <v>0</v>
      </c>
      <c r="AA11" s="91">
        <f>'24'!G67</f>
        <v>0</v>
      </c>
      <c r="AB11" s="91">
        <f>'25'!G67</f>
        <v>0</v>
      </c>
      <c r="AC11" s="91">
        <f>'26'!G67</f>
        <v>0</v>
      </c>
      <c r="AD11" s="91">
        <f>'27'!G67</f>
        <v>0</v>
      </c>
      <c r="AE11" s="91">
        <f>'28'!G67</f>
        <v>-1</v>
      </c>
      <c r="AF11" s="91">
        <f>'29'!G67</f>
        <v>0</v>
      </c>
      <c r="AG11" s="91">
        <f>'30'!G67</f>
        <v>0</v>
      </c>
      <c r="AH11" s="91">
        <f>'31'!G67</f>
        <v>0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9" t="s">
        <v>72</v>
      </c>
      <c r="C13" s="90" t="s">
        <v>31</v>
      </c>
      <c r="D13" s="91">
        <f>'1'!G68</f>
        <v>18</v>
      </c>
      <c r="E13" s="91">
        <f>'2'!G68</f>
        <v>34</v>
      </c>
      <c r="F13" s="91">
        <f>'3'!G68</f>
        <v>17</v>
      </c>
      <c r="G13" s="91">
        <f>'4'!G68</f>
        <v>19</v>
      </c>
      <c r="H13" s="91">
        <f>'5'!G68</f>
        <v>17</v>
      </c>
      <c r="I13" s="91">
        <f>'6'!G68</f>
        <v>19</v>
      </c>
      <c r="J13" s="91">
        <f>'7'!G68</f>
        <v>35</v>
      </c>
      <c r="K13" s="91">
        <f>'8'!G68</f>
        <v>-937</v>
      </c>
      <c r="L13" s="91">
        <f>'9'!G68</f>
        <v>40</v>
      </c>
      <c r="M13" s="91">
        <f>'10'!G68</f>
        <v>42</v>
      </c>
      <c r="N13" s="91">
        <f>'11'!G68</f>
        <v>25</v>
      </c>
      <c r="O13" s="91">
        <f>'12'!G68</f>
        <v>41</v>
      </c>
      <c r="P13" s="91">
        <f>'13'!G68</f>
        <v>24</v>
      </c>
      <c r="Q13" s="91">
        <f>'14'!G68</f>
        <v>40</v>
      </c>
      <c r="R13" s="91">
        <f>'15'!G68</f>
        <v>38</v>
      </c>
      <c r="S13" s="91">
        <f>'16'!G68</f>
        <v>38</v>
      </c>
      <c r="T13" s="91">
        <f>'17'!G68</f>
        <v>47</v>
      </c>
      <c r="U13" s="91">
        <f>'18 '!G68</f>
        <v>59</v>
      </c>
      <c r="V13" s="91">
        <f>'19'!G68</f>
        <v>52</v>
      </c>
      <c r="W13" s="91">
        <f>'20'!G68</f>
        <v>54</v>
      </c>
      <c r="X13" s="91">
        <f>'21'!G68</f>
        <v>56</v>
      </c>
      <c r="Y13" s="91">
        <f>'22'!G68</f>
        <v>26</v>
      </c>
      <c r="Z13" s="91">
        <f>'23'!G68</f>
        <v>48</v>
      </c>
      <c r="AA13" s="420">
        <f>'24'!G68</f>
        <v>40</v>
      </c>
      <c r="AB13" s="91">
        <f>'25'!G68</f>
        <v>17</v>
      </c>
      <c r="AC13" s="91">
        <f>'26'!G68</f>
        <v>17</v>
      </c>
      <c r="AD13" s="91">
        <f>'27'!G68</f>
        <v>14</v>
      </c>
      <c r="AE13" s="91">
        <f>'28'!G68</f>
        <v>12</v>
      </c>
      <c r="AF13" s="91">
        <f>'29'!G68</f>
        <v>14</v>
      </c>
      <c r="AG13" s="91">
        <f>'30'!G68</f>
        <v>17</v>
      </c>
      <c r="AH13" s="91">
        <f>'31'!G68</f>
        <v>17</v>
      </c>
      <c r="AI13" s="90"/>
    </row>
    <row r="14" spans="2:35">
      <c r="B14" s="779"/>
      <c r="C14" s="90" t="s">
        <v>32</v>
      </c>
      <c r="D14" s="91">
        <f>'1'!G69</f>
        <v>10</v>
      </c>
      <c r="E14" s="91">
        <f>'2'!G69</f>
        <v>3</v>
      </c>
      <c r="F14" s="91">
        <f>'3'!G69</f>
        <v>3</v>
      </c>
      <c r="G14" s="91">
        <f>'4'!G69</f>
        <v>2</v>
      </c>
      <c r="H14" s="91">
        <f>'5'!G69</f>
        <v>12</v>
      </c>
      <c r="I14" s="91">
        <f>'6'!G69</f>
        <v>6</v>
      </c>
      <c r="J14" s="91">
        <f>'7'!G69</f>
        <v>6</v>
      </c>
      <c r="K14" s="91">
        <f>'8'!G69</f>
        <v>-150</v>
      </c>
      <c r="L14" s="91">
        <f>'9'!G69</f>
        <v>5</v>
      </c>
      <c r="M14" s="91">
        <f>'10'!G69</f>
        <v>6</v>
      </c>
      <c r="N14" s="91">
        <f>'11'!G69</f>
        <v>3</v>
      </c>
      <c r="O14" s="91">
        <f>'12'!G69</f>
        <v>4</v>
      </c>
      <c r="P14" s="91">
        <f>'13'!G69</f>
        <v>3</v>
      </c>
      <c r="Q14" s="91">
        <f>'14'!G69</f>
        <v>5</v>
      </c>
      <c r="R14" s="91">
        <f>'15'!G69</f>
        <v>5</v>
      </c>
      <c r="S14" s="91">
        <f>'16'!G69</f>
        <v>6</v>
      </c>
      <c r="T14" s="91">
        <f>'17'!G69</f>
        <v>5</v>
      </c>
      <c r="U14" s="91">
        <f>'18 '!G69</f>
        <v>6</v>
      </c>
      <c r="V14" s="91">
        <f>'19'!G69</f>
        <v>4</v>
      </c>
      <c r="W14" s="91">
        <f>'20'!G69</f>
        <v>3</v>
      </c>
      <c r="X14" s="91">
        <f>'21'!G69</f>
        <v>5</v>
      </c>
      <c r="Y14" s="91">
        <f>'22'!G69</f>
        <v>3</v>
      </c>
      <c r="Z14" s="91">
        <f>'23'!G69</f>
        <v>4</v>
      </c>
      <c r="AA14" s="91">
        <f>'24'!G69</f>
        <v>4</v>
      </c>
      <c r="AB14" s="91">
        <f>'25'!G69</f>
        <v>4</v>
      </c>
      <c r="AC14" s="91">
        <f>'26'!G69</f>
        <v>7</v>
      </c>
      <c r="AD14" s="91">
        <f>'27'!G69</f>
        <v>7</v>
      </c>
      <c r="AE14" s="91">
        <f>'28'!G69</f>
        <v>6</v>
      </c>
      <c r="AF14" s="91">
        <f>'29'!G69</f>
        <v>4</v>
      </c>
      <c r="AG14" s="91">
        <f>'30'!G69</f>
        <v>3</v>
      </c>
      <c r="AH14" s="91">
        <f>'31'!G69</f>
        <v>6</v>
      </c>
      <c r="AI14" s="90"/>
    </row>
    <row r="15" spans="2:35">
      <c r="B15" s="779"/>
      <c r="C15" s="90" t="s">
        <v>33</v>
      </c>
      <c r="D15" s="91">
        <f>'1'!G70</f>
        <v>6</v>
      </c>
      <c r="E15" s="91">
        <f>'2'!G70</f>
        <v>11</v>
      </c>
      <c r="F15" s="91">
        <f>'3'!G70</f>
        <v>6</v>
      </c>
      <c r="G15" s="91">
        <f>'4'!G70</f>
        <v>14</v>
      </c>
      <c r="H15" s="91">
        <f>'5'!G70</f>
        <v>11</v>
      </c>
      <c r="I15" s="91">
        <f>'6'!G70</f>
        <v>8</v>
      </c>
      <c r="J15" s="91">
        <f>'7'!G70</f>
        <v>8</v>
      </c>
      <c r="K15" s="91">
        <f>'8'!G70</f>
        <v>-318</v>
      </c>
      <c r="L15" s="91">
        <f>'9'!G70</f>
        <v>6</v>
      </c>
      <c r="M15" s="91">
        <f>'10'!G70</f>
        <v>9</v>
      </c>
      <c r="N15" s="91">
        <f>'11'!G70</f>
        <v>14</v>
      </c>
      <c r="O15" s="91">
        <f>'12'!G70</f>
        <v>8</v>
      </c>
      <c r="P15" s="91">
        <f>'13'!G70</f>
        <v>9</v>
      </c>
      <c r="Q15" s="91">
        <f>'14'!G70</f>
        <v>7</v>
      </c>
      <c r="R15" s="91">
        <f>'15'!G70</f>
        <v>14</v>
      </c>
      <c r="S15" s="91">
        <f>'16'!G70</f>
        <v>13</v>
      </c>
      <c r="T15" s="91">
        <f>'17'!G70</f>
        <v>19</v>
      </c>
      <c r="U15" s="91">
        <f>'18 '!G70</f>
        <v>9</v>
      </c>
      <c r="V15" s="91">
        <f>'19'!G70</f>
        <v>6</v>
      </c>
      <c r="W15" s="91">
        <f>'20'!G70</f>
        <v>7</v>
      </c>
      <c r="X15" s="91">
        <f>'21'!G70</f>
        <v>21</v>
      </c>
      <c r="Y15" s="91">
        <f>'22'!G70</f>
        <v>6</v>
      </c>
      <c r="Z15" s="91">
        <f>'23'!G70</f>
        <v>17</v>
      </c>
      <c r="AA15" s="91">
        <f>'24'!G70</f>
        <v>9</v>
      </c>
      <c r="AB15" s="91">
        <f>'25'!G70</f>
        <v>7</v>
      </c>
      <c r="AC15" s="91">
        <f>'26'!G70</f>
        <v>15</v>
      </c>
      <c r="AD15" s="91">
        <f>'27'!G70</f>
        <v>12</v>
      </c>
      <c r="AE15" s="91">
        <f>'28'!G70</f>
        <v>12</v>
      </c>
      <c r="AF15" s="91">
        <f>'29'!G70</f>
        <v>14</v>
      </c>
      <c r="AG15" s="91">
        <f>'30'!G70</f>
        <v>3</v>
      </c>
      <c r="AH15" s="91">
        <f>'31'!G70</f>
        <v>17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9" t="s">
        <v>73</v>
      </c>
      <c r="C17" s="90" t="s">
        <v>74</v>
      </c>
      <c r="D17" s="90">
        <f>'1'!G173</f>
        <v>0</v>
      </c>
      <c r="E17" s="91">
        <f>'2'!G173</f>
        <v>5</v>
      </c>
      <c r="F17" s="91">
        <f>'3'!G173</f>
        <v>0</v>
      </c>
      <c r="G17" s="91">
        <f>'4'!G173</f>
        <v>5</v>
      </c>
      <c r="H17" s="91">
        <f>'5'!G173</f>
        <v>0</v>
      </c>
      <c r="I17" s="91">
        <f>'6'!G173</f>
        <v>2</v>
      </c>
      <c r="J17" s="91">
        <f>'7'!G173</f>
        <v>0</v>
      </c>
      <c r="K17" s="91">
        <f>'8'!G173</f>
        <v>20</v>
      </c>
      <c r="L17" s="91">
        <f>'9'!G173</f>
        <v>0</v>
      </c>
      <c r="M17" s="91">
        <f>'10'!G173</f>
        <v>0</v>
      </c>
      <c r="N17" s="91">
        <f>'11'!G173</f>
        <v>9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6</v>
      </c>
      <c r="AH17" s="91">
        <f>'31'!G173</f>
        <v>0</v>
      </c>
      <c r="AI17" s="90"/>
    </row>
    <row r="18" spans="2:35">
      <c r="B18" s="779"/>
      <c r="C18" s="90" t="s">
        <v>75</v>
      </c>
      <c r="D18" s="90">
        <f>'1'!G174</f>
        <v>13</v>
      </c>
      <c r="E18" s="91">
        <f>'2'!G174</f>
        <v>13</v>
      </c>
      <c r="F18" s="91">
        <f>'3'!G174</f>
        <v>13</v>
      </c>
      <c r="G18" s="91">
        <f>'4'!G174</f>
        <v>15</v>
      </c>
      <c r="H18" s="91">
        <f>'5'!G174</f>
        <v>14</v>
      </c>
      <c r="I18" s="91">
        <f>'6'!G174</f>
        <v>14</v>
      </c>
      <c r="J18" s="91">
        <f>'7'!G174</f>
        <v>12</v>
      </c>
      <c r="K18" s="91">
        <f>'8'!G174</f>
        <v>-410</v>
      </c>
      <c r="L18" s="91">
        <f>'9'!G174</f>
        <v>14</v>
      </c>
      <c r="M18" s="91">
        <f>'10'!G174</f>
        <v>14</v>
      </c>
      <c r="N18" s="91">
        <f>'11'!G174</f>
        <v>16</v>
      </c>
      <c r="O18" s="91">
        <f>'12'!G174</f>
        <v>11</v>
      </c>
      <c r="P18" s="91">
        <f>'13'!G174</f>
        <v>10</v>
      </c>
      <c r="Q18" s="91">
        <f>'14'!G174</f>
        <v>15</v>
      </c>
      <c r="R18" s="91">
        <f>'15'!G174</f>
        <v>13</v>
      </c>
      <c r="S18" s="91">
        <f>'16'!G174</f>
        <v>13</v>
      </c>
      <c r="T18" s="91">
        <f>'17'!G174</f>
        <v>15</v>
      </c>
      <c r="U18" s="91">
        <f>'18 '!G174</f>
        <v>0</v>
      </c>
      <c r="V18" s="91">
        <f>'19'!G174</f>
        <v>27</v>
      </c>
      <c r="W18" s="91">
        <f>'20'!G174</f>
        <v>14</v>
      </c>
      <c r="X18" s="91">
        <f>'21'!G174</f>
        <v>14</v>
      </c>
      <c r="Y18" s="91">
        <f>'22'!G174</f>
        <v>14</v>
      </c>
      <c r="Z18" s="91">
        <f>'23'!G174</f>
        <v>14</v>
      </c>
      <c r="AA18" s="91">
        <f>'24'!G174</f>
        <v>12</v>
      </c>
      <c r="AB18" s="91">
        <f>'25'!G174</f>
        <v>14</v>
      </c>
      <c r="AC18" s="91">
        <f>'26'!G174</f>
        <v>14</v>
      </c>
      <c r="AD18" s="91">
        <f>'27'!G174</f>
        <v>13</v>
      </c>
      <c r="AE18" s="91">
        <f>'28'!G174</f>
        <v>14</v>
      </c>
      <c r="AF18" s="91">
        <f>'29'!G174</f>
        <v>16</v>
      </c>
      <c r="AG18" s="91">
        <f>'30'!G174</f>
        <v>13</v>
      </c>
      <c r="AH18" s="91">
        <f>'31'!G174</f>
        <v>16</v>
      </c>
      <c r="AI18" s="90"/>
    </row>
    <row r="19" spans="2:35">
      <c r="B19" s="779"/>
      <c r="C19" s="90" t="s">
        <v>76</v>
      </c>
      <c r="D19" s="90">
        <f>'1'!G175</f>
        <v>11</v>
      </c>
      <c r="E19" s="91">
        <f>'2'!G175</f>
        <v>12</v>
      </c>
      <c r="F19" s="91">
        <f>'3'!G175</f>
        <v>12</v>
      </c>
      <c r="G19" s="91">
        <f>'4'!G175</f>
        <v>12</v>
      </c>
      <c r="H19" s="91">
        <f>'5'!G175</f>
        <v>11</v>
      </c>
      <c r="I19" s="91">
        <f>'6'!G175</f>
        <v>14</v>
      </c>
      <c r="J19" s="91">
        <f>'7'!G175</f>
        <v>12</v>
      </c>
      <c r="K19" s="91">
        <f>'8'!G175</f>
        <v>-357</v>
      </c>
      <c r="L19" s="91">
        <f>'9'!G175</f>
        <v>13</v>
      </c>
      <c r="M19" s="91">
        <f>'10'!G175</f>
        <v>12</v>
      </c>
      <c r="N19" s="91">
        <f>'11'!G175</f>
        <v>11</v>
      </c>
      <c r="O19" s="91">
        <f>'12'!G175</f>
        <v>12</v>
      </c>
      <c r="P19" s="91">
        <f>'13'!G175</f>
        <v>10</v>
      </c>
      <c r="Q19" s="91">
        <f>'14'!G175</f>
        <v>11</v>
      </c>
      <c r="R19" s="91">
        <f>'15'!G175</f>
        <v>12</v>
      </c>
      <c r="S19" s="91">
        <f>'16'!G175</f>
        <v>19</v>
      </c>
      <c r="T19" s="91">
        <f>'17'!G175</f>
        <v>12</v>
      </c>
      <c r="U19" s="91">
        <f>'18 '!G175</f>
        <v>12</v>
      </c>
      <c r="V19" s="91">
        <f>'19'!G175</f>
        <v>12</v>
      </c>
      <c r="W19" s="91">
        <f>'20'!G175</f>
        <v>12</v>
      </c>
      <c r="X19" s="91">
        <f>'21'!G175</f>
        <v>10</v>
      </c>
      <c r="Y19" s="91">
        <f>'22'!G175</f>
        <v>12</v>
      </c>
      <c r="Z19" s="91">
        <f>'23'!G175</f>
        <v>10</v>
      </c>
      <c r="AA19" s="91">
        <f>'24'!G175</f>
        <v>10</v>
      </c>
      <c r="AB19" s="91">
        <f>'25'!G175</f>
        <v>11</v>
      </c>
      <c r="AC19" s="91">
        <f>'26'!G175</f>
        <v>13</v>
      </c>
      <c r="AD19" s="91">
        <f>'27'!G175</f>
        <v>11</v>
      </c>
      <c r="AE19" s="91">
        <f>'28'!G175</f>
        <v>11</v>
      </c>
      <c r="AF19" s="91">
        <f>'29'!G175</f>
        <v>13</v>
      </c>
      <c r="AG19" s="91">
        <f>'30'!G175</f>
        <v>12</v>
      </c>
      <c r="AH19" s="91">
        <f>'31'!G175</f>
        <v>12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9" t="s">
        <v>77</v>
      </c>
      <c r="C21" s="90" t="s">
        <v>78</v>
      </c>
      <c r="D21" s="90">
        <f>'1'!G178</f>
        <v>109</v>
      </c>
      <c r="E21" s="91">
        <f>'2'!G178</f>
        <v>85</v>
      </c>
      <c r="F21" s="91">
        <f>'3'!G178</f>
        <v>110</v>
      </c>
      <c r="G21" s="91">
        <f>'4'!G178</f>
        <v>65</v>
      </c>
      <c r="H21" s="91">
        <f>'5'!G178</f>
        <v>94</v>
      </c>
      <c r="I21" s="91">
        <f>'6'!G178</f>
        <v>54</v>
      </c>
      <c r="J21" s="91">
        <f>'7'!G178</f>
        <v>66</v>
      </c>
      <c r="K21" s="91">
        <f>'8'!G178</f>
        <v>-2853</v>
      </c>
      <c r="L21" s="91">
        <f>'9'!G178</f>
        <v>110</v>
      </c>
      <c r="M21" s="91">
        <f>'10'!G178</f>
        <v>86</v>
      </c>
      <c r="N21" s="91">
        <f>'11'!G178</f>
        <v>108</v>
      </c>
      <c r="O21" s="91">
        <f>'12'!G178</f>
        <v>107</v>
      </c>
      <c r="P21" s="91">
        <f>'13'!G178</f>
        <v>109</v>
      </c>
      <c r="Q21" s="91">
        <f>'14'!G178</f>
        <v>132</v>
      </c>
      <c r="R21" s="91">
        <f>'15'!G178</f>
        <v>108</v>
      </c>
      <c r="S21" s="91">
        <f>'16'!G178</f>
        <v>110</v>
      </c>
      <c r="T21" s="91">
        <f>'17'!G178</f>
        <v>84</v>
      </c>
      <c r="U21" s="91">
        <f>'18 '!G178</f>
        <v>130</v>
      </c>
      <c r="V21" s="91">
        <f>'19'!G178</f>
        <v>85</v>
      </c>
      <c r="W21" s="91">
        <f>'20'!G178</f>
        <v>62</v>
      </c>
      <c r="X21" s="91">
        <f>'21'!G178</f>
        <v>61</v>
      </c>
      <c r="Y21" s="91">
        <f>'22'!G178</f>
        <v>63</v>
      </c>
      <c r="Z21" s="91">
        <f>'23'!G178</f>
        <v>160</v>
      </c>
      <c r="AA21" s="91">
        <f>'24'!G178</f>
        <v>110</v>
      </c>
      <c r="AB21" s="91">
        <f>'25'!G178</f>
        <v>88</v>
      </c>
      <c r="AC21" s="91">
        <f>'26'!G178</f>
        <v>87</v>
      </c>
      <c r="AD21" s="91">
        <f>'27'!G178</f>
        <v>86</v>
      </c>
      <c r="AE21" s="91">
        <f>'28'!G178</f>
        <v>107</v>
      </c>
      <c r="AF21" s="91">
        <f>'29'!G178</f>
        <v>64</v>
      </c>
      <c r="AG21" s="91">
        <f>'30'!G178</f>
        <v>104</v>
      </c>
      <c r="AH21" s="91">
        <f>'31'!G178</f>
        <v>109</v>
      </c>
      <c r="AI21" s="90"/>
    </row>
    <row r="22" spans="2:35">
      <c r="B22" s="779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0</v>
      </c>
      <c r="AI22" s="90"/>
    </row>
    <row r="23" spans="2:35">
      <c r="B23" s="779"/>
      <c r="C23" s="90" t="s">
        <v>80</v>
      </c>
      <c r="D23" s="90">
        <f>'1'!G180</f>
        <v>7</v>
      </c>
      <c r="E23" s="91">
        <f>'2'!G180</f>
        <v>0</v>
      </c>
      <c r="F23" s="91">
        <f>'3'!G180</f>
        <v>0</v>
      </c>
      <c r="G23" s="91">
        <f>'4'!G180</f>
        <v>0</v>
      </c>
      <c r="H23" s="91">
        <f>'5'!G180</f>
        <v>0</v>
      </c>
      <c r="I23" s="91">
        <f>'6'!G180</f>
        <v>2</v>
      </c>
      <c r="J23" s="91">
        <f>'7'!G180</f>
        <v>5</v>
      </c>
      <c r="K23" s="91">
        <f>'8'!G180</f>
        <v>-249</v>
      </c>
      <c r="L23" s="91">
        <f>'9'!G180</f>
        <v>8</v>
      </c>
      <c r="M23" s="91">
        <f>'10'!G180</f>
        <v>11</v>
      </c>
      <c r="N23" s="91">
        <f>'11'!G180</f>
        <v>7</v>
      </c>
      <c r="O23" s="91">
        <f>'12'!G180</f>
        <v>5</v>
      </c>
      <c r="P23" s="91">
        <f>'13'!G180</f>
        <v>17</v>
      </c>
      <c r="Q23" s="91">
        <f>'14'!G180</f>
        <v>28</v>
      </c>
      <c r="R23" s="91">
        <f>'15'!G180</f>
        <v>5</v>
      </c>
      <c r="S23" s="91">
        <f>'16'!G180</f>
        <v>8</v>
      </c>
      <c r="T23" s="91">
        <f>'17'!G180</f>
        <v>15</v>
      </c>
      <c r="U23" s="91">
        <f>'18 '!G180</f>
        <v>8</v>
      </c>
      <c r="V23" s="91">
        <f>'19'!G180</f>
        <v>10</v>
      </c>
      <c r="W23" s="91">
        <f>'20'!G180</f>
        <v>0</v>
      </c>
      <c r="X23" s="91">
        <f>'21'!G180</f>
        <v>9</v>
      </c>
      <c r="Y23" s="91">
        <f>'22'!G180</f>
        <v>6</v>
      </c>
      <c r="Z23" s="91">
        <f>'23'!G180</f>
        <v>16</v>
      </c>
      <c r="AA23" s="91">
        <f>'24'!G180</f>
        <v>10</v>
      </c>
      <c r="AB23" s="91">
        <f>'25'!G180</f>
        <v>14</v>
      </c>
      <c r="AC23" s="91">
        <f>'26'!G180</f>
        <v>9</v>
      </c>
      <c r="AD23" s="91">
        <f>'27'!G180</f>
        <v>18</v>
      </c>
      <c r="AE23" s="91">
        <f>'28'!G180</f>
        <v>28</v>
      </c>
      <c r="AF23" s="91">
        <f>'29'!G180</f>
        <v>3</v>
      </c>
      <c r="AG23" s="91">
        <f>'30'!G180</f>
        <v>0</v>
      </c>
      <c r="AH23" s="91">
        <f>'31'!G180</f>
        <v>0</v>
      </c>
      <c r="AI23" s="90"/>
    </row>
    <row r="24" spans="2:35" ht="30">
      <c r="B24" s="93" t="s">
        <v>301</v>
      </c>
      <c r="C24" s="90"/>
      <c r="D24" s="91">
        <f>SUM(D5:D6)</f>
        <v>182</v>
      </c>
      <c r="E24" s="91">
        <f t="shared" ref="E24:AH24" si="0">SUM(E5:E6)</f>
        <v>231</v>
      </c>
      <c r="F24" s="91">
        <f t="shared" si="0"/>
        <v>155</v>
      </c>
      <c r="G24" s="91">
        <f t="shared" si="0"/>
        <v>183</v>
      </c>
      <c r="H24" s="91">
        <f t="shared" si="0"/>
        <v>192</v>
      </c>
      <c r="I24" s="91">
        <f t="shared" si="0"/>
        <v>247</v>
      </c>
      <c r="J24" s="91">
        <f t="shared" si="0"/>
        <v>287</v>
      </c>
      <c r="K24" s="91">
        <f t="shared" si="0"/>
        <v>-1308</v>
      </c>
      <c r="L24" s="91">
        <f t="shared" si="0"/>
        <v>270</v>
      </c>
      <c r="M24" s="91">
        <f t="shared" si="0"/>
        <v>270</v>
      </c>
      <c r="N24" s="91">
        <f t="shared" si="0"/>
        <v>221</v>
      </c>
      <c r="O24" s="91">
        <f t="shared" si="0"/>
        <v>254</v>
      </c>
      <c r="P24" s="91">
        <f t="shared" si="0"/>
        <v>170</v>
      </c>
      <c r="Q24" s="91">
        <f t="shared" si="0"/>
        <v>192</v>
      </c>
      <c r="R24" s="91">
        <f t="shared" si="0"/>
        <v>243</v>
      </c>
      <c r="S24" s="91">
        <f t="shared" si="0"/>
        <v>272</v>
      </c>
      <c r="T24" s="91">
        <f t="shared" si="0"/>
        <v>320</v>
      </c>
      <c r="U24" s="91">
        <f t="shared" si="0"/>
        <v>274</v>
      </c>
      <c r="V24" s="91">
        <f t="shared" si="0"/>
        <v>226</v>
      </c>
      <c r="W24" s="91">
        <f t="shared" si="0"/>
        <v>273</v>
      </c>
      <c r="X24" s="91">
        <f t="shared" si="0"/>
        <v>220</v>
      </c>
      <c r="Y24" s="91">
        <f t="shared" si="0"/>
        <v>269</v>
      </c>
      <c r="Z24" s="91">
        <f t="shared" si="0"/>
        <v>231</v>
      </c>
      <c r="AA24" s="91">
        <f>SUM(AA5:AA6)</f>
        <v>197</v>
      </c>
      <c r="AB24" s="91">
        <f t="shared" si="0"/>
        <v>201</v>
      </c>
      <c r="AC24" s="91">
        <f t="shared" si="0"/>
        <v>231</v>
      </c>
      <c r="AD24" s="91">
        <f t="shared" si="0"/>
        <v>260</v>
      </c>
      <c r="AE24" s="91">
        <f t="shared" si="0"/>
        <v>190</v>
      </c>
      <c r="AF24" s="91">
        <f t="shared" si="0"/>
        <v>231</v>
      </c>
      <c r="AG24" s="91">
        <f t="shared" si="0"/>
        <v>181</v>
      </c>
      <c r="AH24" s="91">
        <f t="shared" si="0"/>
        <v>321</v>
      </c>
      <c r="AI24" s="90"/>
    </row>
    <row r="25" spans="2:35" ht="30">
      <c r="B25" s="93" t="s">
        <v>81</v>
      </c>
      <c r="C25" s="90"/>
      <c r="D25" s="91">
        <f>SUM(D9:D11,D14:D15,)</f>
        <v>133</v>
      </c>
      <c r="E25" s="91">
        <f t="shared" ref="E25:AI25" si="1">SUM(E9:E11,E14:E15,)</f>
        <v>134</v>
      </c>
      <c r="F25" s="91">
        <f t="shared" si="1"/>
        <v>133</v>
      </c>
      <c r="G25" s="91">
        <f t="shared" si="1"/>
        <v>146</v>
      </c>
      <c r="H25" s="91">
        <f t="shared" si="1"/>
        <v>150</v>
      </c>
      <c r="I25" s="91">
        <f t="shared" si="1"/>
        <v>141</v>
      </c>
      <c r="J25" s="91">
        <f t="shared" si="1"/>
        <v>146</v>
      </c>
      <c r="K25" s="91">
        <f>SUM(K9:K11,K14:K15,)</f>
        <v>-4447</v>
      </c>
      <c r="L25" s="91">
        <f t="shared" si="1"/>
        <v>139</v>
      </c>
      <c r="M25" s="91">
        <f t="shared" si="1"/>
        <v>142</v>
      </c>
      <c r="N25" s="91">
        <f t="shared" si="1"/>
        <v>138</v>
      </c>
      <c r="O25" s="91">
        <f t="shared" si="1"/>
        <v>140</v>
      </c>
      <c r="P25" s="91">
        <f t="shared" si="1"/>
        <v>134</v>
      </c>
      <c r="Q25" s="91">
        <f t="shared" si="1"/>
        <v>145</v>
      </c>
      <c r="R25" s="91">
        <f t="shared" si="1"/>
        <v>192</v>
      </c>
      <c r="S25" s="91">
        <f t="shared" si="1"/>
        <v>154</v>
      </c>
      <c r="T25" s="91">
        <f>SUM(T9:T11,T14:T15,)</f>
        <v>189</v>
      </c>
      <c r="U25" s="91">
        <f t="shared" si="1"/>
        <v>170</v>
      </c>
      <c r="V25" s="91">
        <f t="shared" si="1"/>
        <v>165</v>
      </c>
      <c r="W25" s="91">
        <f t="shared" si="1"/>
        <v>144</v>
      </c>
      <c r="X25" s="91">
        <f t="shared" si="1"/>
        <v>146</v>
      </c>
      <c r="Y25" s="91">
        <f t="shared" si="1"/>
        <v>136</v>
      </c>
      <c r="Z25" s="91">
        <f t="shared" si="1"/>
        <v>139</v>
      </c>
      <c r="AA25" s="91">
        <f t="shared" si="1"/>
        <v>148</v>
      </c>
      <c r="AB25" s="91">
        <f t="shared" si="1"/>
        <v>129</v>
      </c>
      <c r="AC25" s="91">
        <f t="shared" si="1"/>
        <v>145</v>
      </c>
      <c r="AD25" s="91">
        <f t="shared" si="1"/>
        <v>172</v>
      </c>
      <c r="AE25" s="91">
        <f t="shared" si="1"/>
        <v>139</v>
      </c>
      <c r="AF25" s="91">
        <f t="shared" si="1"/>
        <v>164</v>
      </c>
      <c r="AG25" s="91">
        <f t="shared" si="1"/>
        <v>140</v>
      </c>
      <c r="AH25" s="91">
        <f t="shared" si="1"/>
        <v>154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134</v>
      </c>
      <c r="E27" s="91">
        <f t="shared" ref="E27:AH27" si="2">SUM(E13,E21,E23)</f>
        <v>119</v>
      </c>
      <c r="F27" s="91">
        <f>SUM(F13,F21,F23)</f>
        <v>127</v>
      </c>
      <c r="G27" s="91">
        <f t="shared" si="2"/>
        <v>84</v>
      </c>
      <c r="H27" s="91">
        <f t="shared" si="2"/>
        <v>111</v>
      </c>
      <c r="I27" s="91">
        <f t="shared" si="2"/>
        <v>75</v>
      </c>
      <c r="J27" s="91">
        <f t="shared" si="2"/>
        <v>106</v>
      </c>
      <c r="K27" s="91">
        <f t="shared" si="2"/>
        <v>-4039</v>
      </c>
      <c r="L27" s="91">
        <f t="shared" si="2"/>
        <v>158</v>
      </c>
      <c r="M27" s="91">
        <f t="shared" si="2"/>
        <v>139</v>
      </c>
      <c r="N27" s="91">
        <f t="shared" si="2"/>
        <v>140</v>
      </c>
      <c r="O27" s="91">
        <f t="shared" si="2"/>
        <v>153</v>
      </c>
      <c r="P27" s="91">
        <f t="shared" si="2"/>
        <v>150</v>
      </c>
      <c r="Q27" s="91">
        <f t="shared" si="2"/>
        <v>200</v>
      </c>
      <c r="R27" s="91">
        <f t="shared" si="2"/>
        <v>151</v>
      </c>
      <c r="S27" s="91">
        <f t="shared" si="2"/>
        <v>156</v>
      </c>
      <c r="T27" s="91">
        <f t="shared" si="2"/>
        <v>146</v>
      </c>
      <c r="U27" s="91">
        <f t="shared" si="2"/>
        <v>197</v>
      </c>
      <c r="V27" s="91">
        <f t="shared" si="2"/>
        <v>147</v>
      </c>
      <c r="W27" s="91">
        <f t="shared" si="2"/>
        <v>116</v>
      </c>
      <c r="X27" s="91">
        <f t="shared" si="2"/>
        <v>126</v>
      </c>
      <c r="Y27" s="91">
        <f t="shared" si="2"/>
        <v>95</v>
      </c>
      <c r="Z27" s="91">
        <f t="shared" si="2"/>
        <v>224</v>
      </c>
      <c r="AA27" s="91">
        <f t="shared" si="2"/>
        <v>160</v>
      </c>
      <c r="AB27" s="91">
        <f t="shared" si="2"/>
        <v>119</v>
      </c>
      <c r="AC27" s="91">
        <f t="shared" si="2"/>
        <v>113</v>
      </c>
      <c r="AD27" s="91">
        <f t="shared" si="2"/>
        <v>118</v>
      </c>
      <c r="AE27" s="91">
        <f t="shared" si="2"/>
        <v>147</v>
      </c>
      <c r="AF27" s="91">
        <f t="shared" si="2"/>
        <v>81</v>
      </c>
      <c r="AG27" s="91">
        <f t="shared" si="2"/>
        <v>121</v>
      </c>
      <c r="AH27" s="91">
        <f t="shared" si="2"/>
        <v>126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92</v>
      </c>
      <c r="E29" s="249">
        <f t="shared" ref="E29:AH29" si="4">E9</f>
        <v>103</v>
      </c>
      <c r="F29" s="249">
        <f t="shared" si="4"/>
        <v>104</v>
      </c>
      <c r="G29" s="249">
        <f t="shared" si="4"/>
        <v>108</v>
      </c>
      <c r="H29" s="249">
        <f t="shared" si="4"/>
        <v>102</v>
      </c>
      <c r="I29" s="249">
        <f t="shared" si="4"/>
        <v>104</v>
      </c>
      <c r="J29" s="249">
        <f t="shared" si="4"/>
        <v>101</v>
      </c>
      <c r="K29" s="249">
        <f t="shared" si="4"/>
        <v>-3254</v>
      </c>
      <c r="L29" s="249">
        <f t="shared" si="4"/>
        <v>101</v>
      </c>
      <c r="M29" s="249">
        <f t="shared" si="4"/>
        <v>102</v>
      </c>
      <c r="N29" s="249">
        <f t="shared" si="4"/>
        <v>102</v>
      </c>
      <c r="O29" s="249">
        <f t="shared" si="4"/>
        <v>104</v>
      </c>
      <c r="P29" s="249">
        <f t="shared" si="4"/>
        <v>99</v>
      </c>
      <c r="Q29" s="249">
        <f t="shared" si="4"/>
        <v>106</v>
      </c>
      <c r="R29" s="249">
        <f t="shared" si="4"/>
        <v>139</v>
      </c>
      <c r="S29" s="249">
        <f t="shared" si="4"/>
        <v>109</v>
      </c>
      <c r="T29" s="249">
        <f t="shared" si="4"/>
        <v>136</v>
      </c>
      <c r="U29" s="249">
        <f t="shared" si="4"/>
        <v>131</v>
      </c>
      <c r="V29" s="249">
        <f t="shared" si="4"/>
        <v>136</v>
      </c>
      <c r="W29" s="249">
        <f t="shared" si="4"/>
        <v>112</v>
      </c>
      <c r="X29" s="249">
        <f t="shared" si="4"/>
        <v>99</v>
      </c>
      <c r="Y29" s="249">
        <f t="shared" si="4"/>
        <v>105</v>
      </c>
      <c r="Z29" s="249">
        <f t="shared" si="4"/>
        <v>98</v>
      </c>
      <c r="AA29" s="249">
        <f t="shared" si="4"/>
        <v>108</v>
      </c>
      <c r="AB29" s="249">
        <f t="shared" si="4"/>
        <v>96</v>
      </c>
      <c r="AC29" s="249">
        <f t="shared" si="4"/>
        <v>98</v>
      </c>
      <c r="AD29" s="249">
        <f t="shared" si="4"/>
        <v>121</v>
      </c>
      <c r="AE29" s="249">
        <f t="shared" si="4"/>
        <v>102</v>
      </c>
      <c r="AF29" s="249">
        <f t="shared" si="4"/>
        <v>117</v>
      </c>
      <c r="AG29" s="249">
        <f t="shared" si="4"/>
        <v>108</v>
      </c>
      <c r="AH29" s="249">
        <f t="shared" si="4"/>
        <v>111</v>
      </c>
      <c r="AI29" s="248"/>
    </row>
    <row r="30" spans="2:35">
      <c r="B30" s="247" t="s">
        <v>84</v>
      </c>
      <c r="C30" s="248"/>
      <c r="D30" s="249">
        <f>SUM(D10:D11,D14:D15)</f>
        <v>41</v>
      </c>
      <c r="E30" s="249">
        <f t="shared" ref="E30:AH30" si="5">SUM(E10:E11,E14:E15)</f>
        <v>31</v>
      </c>
      <c r="F30" s="249">
        <f t="shared" si="5"/>
        <v>29</v>
      </c>
      <c r="G30" s="249">
        <f t="shared" si="5"/>
        <v>38</v>
      </c>
      <c r="H30" s="249">
        <f t="shared" si="5"/>
        <v>48</v>
      </c>
      <c r="I30" s="249">
        <f t="shared" si="5"/>
        <v>37</v>
      </c>
      <c r="J30" s="249">
        <f t="shared" si="5"/>
        <v>45</v>
      </c>
      <c r="K30" s="249">
        <f t="shared" si="5"/>
        <v>-1193</v>
      </c>
      <c r="L30" s="249">
        <f t="shared" si="5"/>
        <v>38</v>
      </c>
      <c r="M30" s="249">
        <f t="shared" si="5"/>
        <v>40</v>
      </c>
      <c r="N30" s="249">
        <f t="shared" si="5"/>
        <v>36</v>
      </c>
      <c r="O30" s="249">
        <f t="shared" si="5"/>
        <v>36</v>
      </c>
      <c r="P30" s="249">
        <f t="shared" si="5"/>
        <v>35</v>
      </c>
      <c r="Q30" s="249">
        <f t="shared" si="5"/>
        <v>39</v>
      </c>
      <c r="R30" s="249">
        <f t="shared" si="5"/>
        <v>53</v>
      </c>
      <c r="S30" s="249">
        <f t="shared" si="5"/>
        <v>45</v>
      </c>
      <c r="T30" s="249">
        <f t="shared" si="5"/>
        <v>53</v>
      </c>
      <c r="U30" s="249">
        <f t="shared" si="5"/>
        <v>39</v>
      </c>
      <c r="V30" s="249">
        <f t="shared" si="5"/>
        <v>29</v>
      </c>
      <c r="W30" s="249">
        <f t="shared" si="5"/>
        <v>32</v>
      </c>
      <c r="X30" s="249">
        <f t="shared" si="5"/>
        <v>47</v>
      </c>
      <c r="Y30" s="249">
        <f t="shared" si="5"/>
        <v>31</v>
      </c>
      <c r="Z30" s="249">
        <f t="shared" si="5"/>
        <v>41</v>
      </c>
      <c r="AA30" s="249">
        <f t="shared" si="5"/>
        <v>40</v>
      </c>
      <c r="AB30" s="249">
        <f t="shared" si="5"/>
        <v>33</v>
      </c>
      <c r="AC30" s="249">
        <f t="shared" si="5"/>
        <v>47</v>
      </c>
      <c r="AD30" s="249">
        <f t="shared" si="5"/>
        <v>51</v>
      </c>
      <c r="AE30" s="249">
        <f t="shared" si="5"/>
        <v>37</v>
      </c>
      <c r="AF30" s="249">
        <f t="shared" si="5"/>
        <v>47</v>
      </c>
      <c r="AG30" s="249">
        <f t="shared" si="5"/>
        <v>32</v>
      </c>
      <c r="AH30" s="249">
        <f t="shared" si="5"/>
        <v>43</v>
      </c>
      <c r="AI30" s="248"/>
    </row>
    <row r="31" spans="2:35">
      <c r="B31" s="247" t="s">
        <v>85</v>
      </c>
      <c r="C31" s="248"/>
      <c r="D31" s="248">
        <f>D30/SUM(D29:D30)%</f>
        <v>30.82706766917293</v>
      </c>
      <c r="E31" s="248">
        <f t="shared" ref="E31:AH31" si="6">E30/SUM(E29:E30)%</f>
        <v>23.134328358208954</v>
      </c>
      <c r="F31" s="248">
        <f t="shared" si="6"/>
        <v>21.804511278195488</v>
      </c>
      <c r="G31" s="248">
        <f t="shared" si="6"/>
        <v>26.027397260273972</v>
      </c>
      <c r="H31" s="248">
        <f t="shared" si="6"/>
        <v>32</v>
      </c>
      <c r="I31" s="248">
        <f t="shared" si="6"/>
        <v>26.24113475177305</v>
      </c>
      <c r="J31" s="248">
        <f t="shared" si="6"/>
        <v>30.82191780821918</v>
      </c>
      <c r="K31" s="248">
        <f t="shared" si="6"/>
        <v>26.827074432201485</v>
      </c>
      <c r="L31" s="248">
        <f t="shared" si="6"/>
        <v>27.338129496402878</v>
      </c>
      <c r="M31" s="248">
        <f t="shared" si="6"/>
        <v>28.169014084507044</v>
      </c>
      <c r="N31" s="248">
        <f t="shared" si="6"/>
        <v>26.086956521739133</v>
      </c>
      <c r="O31" s="248">
        <f t="shared" si="6"/>
        <v>25.714285714285715</v>
      </c>
      <c r="P31" s="248">
        <f t="shared" si="6"/>
        <v>26.119402985074625</v>
      </c>
      <c r="Q31" s="248">
        <f t="shared" si="6"/>
        <v>26.896551724137932</v>
      </c>
      <c r="R31" s="248">
        <f t="shared" si="6"/>
        <v>27.604166666666668</v>
      </c>
      <c r="S31" s="248">
        <f t="shared" si="6"/>
        <v>29.220779220779221</v>
      </c>
      <c r="T31" s="248">
        <f t="shared" si="6"/>
        <v>28.042328042328045</v>
      </c>
      <c r="U31" s="248">
        <f t="shared" si="6"/>
        <v>22.941176470588236</v>
      </c>
      <c r="V31" s="248">
        <f t="shared" si="6"/>
        <v>17.575757575757578</v>
      </c>
      <c r="W31" s="248">
        <f t="shared" si="6"/>
        <v>22.222222222222221</v>
      </c>
      <c r="X31" s="248">
        <f t="shared" si="6"/>
        <v>32.19178082191781</v>
      </c>
      <c r="Y31" s="248">
        <f t="shared" si="6"/>
        <v>22.794117647058822</v>
      </c>
      <c r="Z31" s="248">
        <f t="shared" si="6"/>
        <v>29.496402877697843</v>
      </c>
      <c r="AA31" s="248">
        <f t="shared" si="6"/>
        <v>27.027027027027028</v>
      </c>
      <c r="AB31" s="248">
        <f t="shared" si="6"/>
        <v>25.581395348837209</v>
      </c>
      <c r="AC31" s="248">
        <f t="shared" si="6"/>
        <v>32.413793103448278</v>
      </c>
      <c r="AD31" s="248">
        <f t="shared" si="6"/>
        <v>29.651162790697676</v>
      </c>
      <c r="AE31" s="248">
        <f t="shared" si="6"/>
        <v>26.618705035971225</v>
      </c>
      <c r="AF31" s="248">
        <f t="shared" si="6"/>
        <v>28.658536585365855</v>
      </c>
      <c r="AG31" s="248">
        <f t="shared" si="6"/>
        <v>22.857142857142858</v>
      </c>
      <c r="AH31" s="248">
        <f t="shared" si="6"/>
        <v>27.922077922077921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4" zoomScale="70" zoomScaleNormal="70" workbookViewId="0">
      <pane xSplit="1" topLeftCell="B1" activePane="topRight" state="frozen"/>
      <selection activeCell="A4" sqref="A4"/>
      <selection pane="topRight" activeCell="C5" sqref="C5:C11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83" t="s">
        <v>308</v>
      </c>
      <c r="G2" s="784"/>
      <c r="H2" s="784"/>
      <c r="I2" s="784"/>
      <c r="J2" s="784"/>
      <c r="K2" s="784"/>
      <c r="L2" s="784"/>
      <c r="M2" s="785"/>
      <c r="N2" s="782" t="s">
        <v>86</v>
      </c>
      <c r="O2" s="782"/>
      <c r="P2" s="782"/>
      <c r="Q2" s="782"/>
      <c r="R2" s="782"/>
      <c r="S2" s="782"/>
      <c r="T2" s="782"/>
      <c r="U2" s="782"/>
      <c r="V2" s="782"/>
      <c r="W2" s="782"/>
      <c r="X2" s="782"/>
      <c r="Y2" s="782"/>
      <c r="Z2" s="782"/>
      <c r="AA2" s="782"/>
      <c r="AB2" s="782"/>
      <c r="AC2" s="782"/>
      <c r="AD2" s="782"/>
      <c r="AE2" s="782"/>
      <c r="AF2" s="782"/>
      <c r="AG2" s="782"/>
      <c r="AH2" s="782"/>
      <c r="AI2" s="782"/>
      <c r="AJ2" s="782"/>
      <c r="AK2" s="782"/>
      <c r="AL2" s="782"/>
      <c r="AM2" s="782"/>
      <c r="AN2" s="781"/>
      <c r="AO2" s="781"/>
      <c r="AP2" s="781"/>
      <c r="AQ2" s="781"/>
      <c r="AR2" s="781"/>
      <c r="AS2" s="781"/>
      <c r="AT2" s="781"/>
      <c r="AU2" s="503"/>
      <c r="AV2" s="780" t="s">
        <v>87</v>
      </c>
      <c r="AW2" s="780"/>
      <c r="AX2" s="780"/>
      <c r="AY2" s="780"/>
      <c r="BB2" s="318" t="s">
        <v>334</v>
      </c>
      <c r="BC2" s="318" t="s">
        <v>335</v>
      </c>
    </row>
    <row r="3" spans="1:55">
      <c r="F3" s="505"/>
      <c r="G3" s="506"/>
      <c r="H3" s="506"/>
      <c r="I3" s="506"/>
      <c r="J3" s="506"/>
      <c r="K3" s="506"/>
      <c r="L3" s="506"/>
      <c r="M3" s="507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4"/>
      <c r="AN3" s="786" t="s">
        <v>138</v>
      </c>
      <c r="AO3" s="786"/>
      <c r="AP3" s="786"/>
      <c r="AQ3" s="786"/>
      <c r="AR3" s="786"/>
      <c r="AS3" s="786"/>
      <c r="AT3" s="786"/>
      <c r="AU3" s="787" t="s">
        <v>283</v>
      </c>
      <c r="AV3" s="787"/>
      <c r="AW3" s="787"/>
      <c r="AX3" s="787"/>
      <c r="AY3" s="787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8" t="s">
        <v>284</v>
      </c>
      <c r="G4" s="509" t="s">
        <v>285</v>
      </c>
      <c r="H4" s="509" t="s">
        <v>286</v>
      </c>
      <c r="I4" s="509" t="s">
        <v>287</v>
      </c>
      <c r="J4" s="509" t="s">
        <v>282</v>
      </c>
      <c r="K4" s="509" t="s">
        <v>51</v>
      </c>
      <c r="L4" s="510" t="s">
        <v>60</v>
      </c>
      <c r="M4" s="510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1">
        <f>'1'!G7</f>
        <v>25437</v>
      </c>
      <c r="C5" s="511">
        <f>'1'!G8</f>
        <v>25783</v>
      </c>
      <c r="D5" s="511">
        <f>'1'!G15</f>
        <v>1063.6000000000931</v>
      </c>
      <c r="E5" s="511">
        <f>'1'!G20</f>
        <v>182</v>
      </c>
      <c r="F5" s="511">
        <f>SUM('1'!G35,'1'!G49)</f>
        <v>4229.3499999999767</v>
      </c>
      <c r="G5" s="511">
        <f>SUM('1'!H37,'1'!H51)</f>
        <v>1127.2000000000007</v>
      </c>
      <c r="H5" s="511">
        <f>SUM('1'!G38,'1'!G52)</f>
        <v>2260.0599999999886</v>
      </c>
      <c r="I5" s="511">
        <f>SUM('1'!G39,'1'!G53)</f>
        <v>4348.8599999999424</v>
      </c>
      <c r="J5" s="511">
        <f>SUM('1'!G41,'1'!G42,'1'!G55,'1'!G56)</f>
        <v>6923.2999999999447</v>
      </c>
      <c r="K5" s="511">
        <f>SUM('1'!G43,'1'!G57)</f>
        <v>3125.4500000000116</v>
      </c>
      <c r="L5" s="254">
        <f>'1'!G50</f>
        <v>1020.390000000014</v>
      </c>
      <c r="M5" s="254">
        <f>'1'!G36</f>
        <v>620.19000000000233</v>
      </c>
      <c r="N5" s="254">
        <f>'1'!G138</f>
        <v>168</v>
      </c>
      <c r="O5" s="254">
        <f>'1'!G139</f>
        <v>139</v>
      </c>
      <c r="P5" s="254">
        <f>'1'!G140</f>
        <v>15</v>
      </c>
      <c r="Q5" s="254">
        <f>'1'!G141</f>
        <v>185.55999999999767</v>
      </c>
      <c r="R5" s="254">
        <f>'1'!G142</f>
        <v>63.400000000001455</v>
      </c>
      <c r="S5" s="254">
        <f>'1'!$G$145</f>
        <v>32</v>
      </c>
      <c r="T5" s="254">
        <f>'1'!$G$146</f>
        <v>139</v>
      </c>
      <c r="U5" s="254">
        <f>'1'!$G$144</f>
        <v>207</v>
      </c>
      <c r="V5" s="254">
        <f>'1'!$G$147</f>
        <v>365.31999999994878</v>
      </c>
      <c r="W5" s="254">
        <f>'1'!$G$148</f>
        <v>323.43999999994412</v>
      </c>
      <c r="X5" s="254">
        <f>'1'!$G$143</f>
        <v>24.8799999999992</v>
      </c>
      <c r="Y5" s="254">
        <f>'1'!$G$58</f>
        <v>277.2699999999968</v>
      </c>
      <c r="Z5" s="254">
        <f>'1'!$G$151</f>
        <v>337</v>
      </c>
      <c r="AA5" s="254">
        <f>'1'!G161</f>
        <v>17.64000000001397</v>
      </c>
      <c r="AB5" s="254">
        <f>'1'!G162</f>
        <v>41.30000000000291</v>
      </c>
      <c r="AC5" s="254"/>
      <c r="AD5" s="254">
        <f>'1'!G163+'1'!G164</f>
        <v>161.10000000000036</v>
      </c>
      <c r="AE5" s="254">
        <f>'1'!$G$116</f>
        <v>418.74000000000524</v>
      </c>
      <c r="AF5" s="254">
        <f>'1'!$G$117</f>
        <v>225.51900000000023</v>
      </c>
      <c r="AG5" s="254">
        <f>'1'!$G$118</f>
        <v>632.98999999999796</v>
      </c>
      <c r="AH5" s="254">
        <f>'1'!$G$119</f>
        <v>224.40000000000146</v>
      </c>
      <c r="AI5" s="254">
        <f>'1'!$G$120</f>
        <v>412.90000000000146</v>
      </c>
      <c r="AJ5" s="254">
        <f>'1'!$G$121</f>
        <v>477.12000000000262</v>
      </c>
      <c r="AK5" s="254">
        <f>'1'!$G$122</f>
        <v>270</v>
      </c>
      <c r="AL5" s="254">
        <f>'1'!$G$123</f>
        <v>315.90000000000146</v>
      </c>
      <c r="AM5" s="254">
        <f>'1'!$G$133</f>
        <v>0</v>
      </c>
      <c r="AN5" s="254">
        <f>'1'!$G$15</f>
        <v>1063.6000000000931</v>
      </c>
      <c r="AO5" s="254">
        <f>'1'!$G$74</f>
        <v>308.04000000003725</v>
      </c>
      <c r="AP5" s="254">
        <f>'1'!$G$75</f>
        <v>-0.80000000000291038</v>
      </c>
      <c r="AQ5" s="254">
        <f>'1'!$G$76</f>
        <v>116.70000000001164</v>
      </c>
      <c r="AR5" s="254">
        <f>'1'!$G$77</f>
        <v>43</v>
      </c>
      <c r="AS5" s="254">
        <f>'1'!$G$78</f>
        <v>0</v>
      </c>
      <c r="AT5" s="254">
        <f>AN5-SUM(AO5:AS5)</f>
        <v>596.66000000004715</v>
      </c>
      <c r="AU5" s="254">
        <f>SUM('1'!G91:G92)</f>
        <v>10.859999999999673</v>
      </c>
      <c r="AV5" s="254">
        <f>'1'!$G$88</f>
        <v>0</v>
      </c>
      <c r="AW5" s="254">
        <f>'1'!$G$89</f>
        <v>9.6399999999994179</v>
      </c>
      <c r="AX5" s="254">
        <f>'1'!$G$90</f>
        <v>11.75</v>
      </c>
      <c r="AY5" s="252">
        <f>SUM(AV5:AX5)</f>
        <v>21.389999999999418</v>
      </c>
      <c r="AZ5" s="311">
        <f>AO5/AU5</f>
        <v>28.364640883982187</v>
      </c>
      <c r="BA5" s="311">
        <f>AT5/AY5</f>
        <v>27.894343151008105</v>
      </c>
      <c r="BB5" s="351">
        <f>C5-SUM(F5:K5,Y5)</f>
        <v>3491.5100000001403</v>
      </c>
      <c r="BC5" s="351">
        <f>BB5/B5%</f>
        <v>13.726107638479931</v>
      </c>
    </row>
    <row r="6" spans="1:55">
      <c r="A6" s="359">
        <v>2</v>
      </c>
      <c r="B6" s="511">
        <f>'2'!G7</f>
        <v>25517</v>
      </c>
      <c r="C6" s="511">
        <f>'2'!G8</f>
        <v>25845</v>
      </c>
      <c r="D6" s="511">
        <f>'2'!G15</f>
        <v>1000.6999999997206</v>
      </c>
      <c r="E6" s="511">
        <f>'2'!G20</f>
        <v>231</v>
      </c>
      <c r="F6" s="511">
        <f>SUM('2'!G35,'2'!G49)</f>
        <v>4402.7000000000116</v>
      </c>
      <c r="G6" s="511">
        <f>SUM('2'!G37,'2'!G51)</f>
        <v>1083.3100000000013</v>
      </c>
      <c r="H6" s="511">
        <f>SUM('2'!G38,'2'!G52)</f>
        <v>2221.0499999999884</v>
      </c>
      <c r="I6" s="511">
        <f>SUM('2'!G39,'2'!G53)</f>
        <v>4423.6300000000047</v>
      </c>
      <c r="J6" s="511">
        <f>SUM('2'!G41,'2'!G42,'2'!G55,'2'!G56)</f>
        <v>6103.4199999999837</v>
      </c>
      <c r="K6" s="511">
        <f>SUM('2'!G43,'2'!G57)</f>
        <v>2942.6199999999953</v>
      </c>
      <c r="L6" s="254">
        <f>'2'!G50</f>
        <v>1053.8399999999674</v>
      </c>
      <c r="M6" s="254">
        <f>'2'!G36</f>
        <v>775.66000000000349</v>
      </c>
      <c r="N6" s="254">
        <f>'2'!G138</f>
        <v>141</v>
      </c>
      <c r="O6" s="254">
        <f>'2'!$G$139</f>
        <v>140</v>
      </c>
      <c r="P6" s="254">
        <f>'2'!$G$140</f>
        <v>15.200000000000045</v>
      </c>
      <c r="Q6" s="254">
        <f>'2'!$G$141</f>
        <v>190.60000000000582</v>
      </c>
      <c r="R6" s="254">
        <f>'2'!$G$142</f>
        <v>64.129999999997381</v>
      </c>
      <c r="S6" s="254">
        <f>'2'!$G$145</f>
        <v>36.739999999999782</v>
      </c>
      <c r="T6" s="254">
        <f>'2'!$G$146</f>
        <v>80</v>
      </c>
      <c r="U6" s="254">
        <f>'2'!$G$144</f>
        <v>213</v>
      </c>
      <c r="V6" s="254">
        <f>'2'!$G$147</f>
        <v>364.68000000005122</v>
      </c>
      <c r="W6" s="251">
        <f>'2'!$G$148</f>
        <v>249.52000000001863</v>
      </c>
      <c r="X6" s="251">
        <f>'2'!$G$143</f>
        <v>29.020000000000437</v>
      </c>
      <c r="Y6" s="251">
        <f>'2'!$G$58</f>
        <v>251.67000000000553</v>
      </c>
      <c r="Z6" s="251">
        <f>'2'!$G$151</f>
        <v>331</v>
      </c>
      <c r="AA6" s="251">
        <f>'2'!G161</f>
        <v>39.07999999995809</v>
      </c>
      <c r="AB6" s="254">
        <f>'2'!G162</f>
        <v>46</v>
      </c>
      <c r="AC6" s="254"/>
      <c r="AD6" s="254">
        <f>'2'!G163+'2'!G164</f>
        <v>146.39999999999964</v>
      </c>
      <c r="AE6" s="254">
        <f>'2'!$G$116</f>
        <v>406.83999999999651</v>
      </c>
      <c r="AF6" s="254">
        <f>'2'!$G$117</f>
        <v>262.65099999999802</v>
      </c>
      <c r="AG6" s="254">
        <f>'2'!$G$118</f>
        <v>629.99999999999272</v>
      </c>
      <c r="AH6" s="254">
        <f>'2'!$G$119</f>
        <v>232.15999999999622</v>
      </c>
      <c r="AI6" s="254">
        <f>'2'!$G$120</f>
        <v>395.47000000000116</v>
      </c>
      <c r="AJ6" s="254">
        <f>'2'!$G$121</f>
        <v>481.5</v>
      </c>
      <c r="AK6" s="254">
        <f>'2'!$G$122</f>
        <v>278.86000000000058</v>
      </c>
      <c r="AL6" s="254">
        <f>'2'!$G$123</f>
        <v>319.93000000000029</v>
      </c>
      <c r="AM6" s="254">
        <f>'2'!$G$133</f>
        <v>0</v>
      </c>
      <c r="AN6" s="254">
        <f>'2'!$G$15</f>
        <v>1000.6999999997206</v>
      </c>
      <c r="AO6" s="254">
        <f>'2'!$G$74</f>
        <v>286.32999999995809</v>
      </c>
      <c r="AP6" s="254">
        <f>'2'!$G$75</f>
        <v>0.80000000000291038</v>
      </c>
      <c r="AQ6" s="254">
        <f>'2'!$G$76</f>
        <v>112.29999999998836</v>
      </c>
      <c r="AR6" s="254">
        <f>'2'!$G$77</f>
        <v>50.80000000000291</v>
      </c>
      <c r="AS6" s="254">
        <f>'2'!$G$78</f>
        <v>0</v>
      </c>
      <c r="AT6" s="254">
        <f t="shared" ref="AT6:AT34" si="0">AN6-SUM(AO6:AS6)</f>
        <v>550.46999999976833</v>
      </c>
      <c r="AU6" s="254">
        <f>SUM('2'!G91:G92)</f>
        <v>10.289999999999964</v>
      </c>
      <c r="AV6" s="254">
        <f>'2'!$G$88</f>
        <v>0</v>
      </c>
      <c r="AW6" s="254">
        <f>'2'!$G$89</f>
        <v>9.3400000000001455</v>
      </c>
      <c r="AX6" s="254">
        <f>'2'!$G$90</f>
        <v>10.089999999996508</v>
      </c>
      <c r="AY6" s="252">
        <f t="shared" ref="AY6:AY34" si="1">SUM(AV6:AX6)</f>
        <v>19.429999999996653</v>
      </c>
      <c r="AZ6" s="311">
        <f t="shared" ref="AZ6:AZ8" si="2">AO6/AU6</f>
        <v>27.826044703591748</v>
      </c>
      <c r="BA6" s="311">
        <f t="shared" ref="BA6:BA35" si="3">AT6/AY6</f>
        <v>28.330931549143756</v>
      </c>
      <c r="BB6" s="351">
        <f t="shared" ref="BB6:BB35" si="4">C6-SUM(F6:K6,Y6)</f>
        <v>4416.6000000000095</v>
      </c>
      <c r="BC6" s="351">
        <f t="shared" ref="BC6:BC35" si="5">BB6/B6%</f>
        <v>17.308461025982716</v>
      </c>
    </row>
    <row r="7" spans="1:55" s="313" customFormat="1">
      <c r="A7" s="359">
        <v>3</v>
      </c>
      <c r="B7" s="511">
        <f>'3'!G7</f>
        <v>27628.190000000002</v>
      </c>
      <c r="C7" s="511">
        <f>'3'!G8</f>
        <v>28055</v>
      </c>
      <c r="D7" s="511">
        <f>'3'!G15</f>
        <v>979.20000000018626</v>
      </c>
      <c r="E7" s="511">
        <f>'3'!G20</f>
        <v>155</v>
      </c>
      <c r="F7" s="511">
        <f>SUM('3'!G35,'3'!G49)</f>
        <v>4074.1900000000023</v>
      </c>
      <c r="G7" s="511">
        <f>SUM('3'!G37,'3'!G51)</f>
        <v>1091.6900000000005</v>
      </c>
      <c r="H7" s="511">
        <f>SUM('3'!G38,'3'!G52)</f>
        <v>2247.1199999999953</v>
      </c>
      <c r="I7" s="511">
        <f>SUM('3'!G39,'3'!G53)</f>
        <v>4283.9599999999991</v>
      </c>
      <c r="J7" s="511">
        <f>SUM('3'!G41,'3'!G42,'3'!G55,'3'!G56)</f>
        <v>7359.4100000000326</v>
      </c>
      <c r="K7" s="511">
        <f>SUM('3'!G43,'3'!G57)</f>
        <v>3175.1199999999953</v>
      </c>
      <c r="L7" s="251">
        <f>'3'!G50</f>
        <v>1586.5400000000373</v>
      </c>
      <c r="M7" s="251">
        <f>'3'!G36</f>
        <v>1174.1199999999953</v>
      </c>
      <c r="N7" s="251">
        <f>'3'!G138</f>
        <v>145</v>
      </c>
      <c r="O7" s="251">
        <f>'3'!$G$139</f>
        <v>184</v>
      </c>
      <c r="P7" s="251">
        <f>'3'!$G$140</f>
        <v>13.799999999999955</v>
      </c>
      <c r="Q7" s="251">
        <f>'3'!$G$141</f>
        <v>196.26999999998952</v>
      </c>
      <c r="R7" s="251">
        <f>'3'!$G$142</f>
        <v>70.169999999998254</v>
      </c>
      <c r="S7" s="251">
        <f>'3'!$G$145</f>
        <v>36.260000000000218</v>
      </c>
      <c r="T7" s="251">
        <f>'3'!$G$146</f>
        <v>72</v>
      </c>
      <c r="U7" s="251">
        <f>'3'!$G$144</f>
        <v>213</v>
      </c>
      <c r="V7" s="251">
        <f>'3'!$G$147</f>
        <v>395.64000000001397</v>
      </c>
      <c r="W7" s="251">
        <f>'3'!$G$148</f>
        <v>292.32000000006519</v>
      </c>
      <c r="X7" s="251">
        <f>'3'!$G$143</f>
        <v>24.530000000000655</v>
      </c>
      <c r="Y7" s="251">
        <f>'3'!$G$58</f>
        <v>233.45999999999913</v>
      </c>
      <c r="Z7" s="251">
        <f>'3'!$G$151</f>
        <v>319</v>
      </c>
      <c r="AA7" s="254">
        <f>'3'!G161</f>
        <v>30.92000000004191</v>
      </c>
      <c r="AB7" s="254">
        <f>'3'!G162</f>
        <v>46.69999999999709</v>
      </c>
      <c r="AC7" s="254"/>
      <c r="AD7" s="254">
        <f>'3'!G163+'3'!G164</f>
        <v>109.89999999999964</v>
      </c>
      <c r="AE7" s="251">
        <f>'3'!$G$116</f>
        <v>410.02000000000407</v>
      </c>
      <c r="AF7" s="251">
        <f>'3'!$G$117</f>
        <v>177.12000000000262</v>
      </c>
      <c r="AG7" s="251">
        <f>'3'!$G$118</f>
        <v>591.16000000000349</v>
      </c>
      <c r="AH7" s="251">
        <f>'3'!$G$119</f>
        <v>227.63999999999942</v>
      </c>
      <c r="AI7" s="251">
        <f>'3'!$G$120</f>
        <v>412.15999999999622</v>
      </c>
      <c r="AJ7" s="251">
        <f>'3'!$G$121</f>
        <v>478.70999999999913</v>
      </c>
      <c r="AK7" s="251">
        <f>'3'!$G$122</f>
        <v>288.02999999999884</v>
      </c>
      <c r="AL7" s="251">
        <f>'3'!$G$123</f>
        <v>367.16999999999825</v>
      </c>
      <c r="AM7" s="251">
        <f>'3'!$G$133</f>
        <v>0</v>
      </c>
      <c r="AN7" s="251">
        <f>'3'!$G$15</f>
        <v>979.20000000018626</v>
      </c>
      <c r="AO7" s="251">
        <f>'3'!$G$74</f>
        <v>281.28000000002794</v>
      </c>
      <c r="AP7" s="251">
        <f>'3'!$G$75</f>
        <v>-0.80000000000291038</v>
      </c>
      <c r="AQ7" s="251">
        <f>'3'!$G$76</f>
        <v>108</v>
      </c>
      <c r="AR7" s="251">
        <f>'3'!$G$77</f>
        <v>48.19999999999709</v>
      </c>
      <c r="AS7" s="251">
        <f>'3'!$G$78</f>
        <v>0</v>
      </c>
      <c r="AT7" s="251">
        <f t="shared" si="0"/>
        <v>542.52000000016415</v>
      </c>
      <c r="AU7" s="254">
        <f>SUM('3'!G91:G92)</f>
        <v>10.100000000001273</v>
      </c>
      <c r="AV7" s="251">
        <f>'3'!$G$88</f>
        <v>0</v>
      </c>
      <c r="AW7" s="251">
        <f>'3'!$G$89</f>
        <v>8.5499999999992724</v>
      </c>
      <c r="AX7" s="251">
        <f>'3'!$G$90</f>
        <v>10.729999999995925</v>
      </c>
      <c r="AY7" s="255">
        <f t="shared" si="1"/>
        <v>19.279999999995198</v>
      </c>
      <c r="AZ7" s="311">
        <f t="shared" si="2"/>
        <v>27.849504950494303</v>
      </c>
      <c r="BA7" s="311">
        <f t="shared" si="3"/>
        <v>28.139004149393116</v>
      </c>
      <c r="BB7" s="351">
        <f t="shared" si="4"/>
        <v>5590.0499999999738</v>
      </c>
      <c r="BC7" s="351">
        <f t="shared" si="5"/>
        <v>20.233138689143132</v>
      </c>
    </row>
    <row r="8" spans="1:55">
      <c r="A8" s="359">
        <v>4</v>
      </c>
      <c r="B8" s="511">
        <f>'4'!G7</f>
        <v>25466</v>
      </c>
      <c r="C8" s="511">
        <f>'4'!G8</f>
        <v>25892</v>
      </c>
      <c r="D8" s="511">
        <f>'4'!G15</f>
        <v>1002.2999999998137</v>
      </c>
      <c r="E8" s="511">
        <f>'4'!G20</f>
        <v>183</v>
      </c>
      <c r="F8" s="511">
        <f>SUM('4'!G35,'4'!G49)</f>
        <v>4185.75</v>
      </c>
      <c r="G8" s="511">
        <f>SUM('4'!G37,'4'!G51)</f>
        <v>1113.08</v>
      </c>
      <c r="H8" s="511">
        <f>SUM('4'!G38,'4'!G52)</f>
        <v>2254.1500000000324</v>
      </c>
      <c r="I8" s="511">
        <f>SUM('4'!G39,'4'!G53)</f>
        <v>4351.1299999999974</v>
      </c>
      <c r="J8" s="511">
        <f>SUM('4'!G41,'4'!G42,'4'!G55,'4'!G56)</f>
        <v>6053.679999999993</v>
      </c>
      <c r="K8" s="511">
        <f>SUM('4'!G43,'4'!G57)</f>
        <v>3159</v>
      </c>
      <c r="L8" s="254">
        <f>'4'!G50</f>
        <v>1123.2199999999721</v>
      </c>
      <c r="M8" s="254">
        <f>'4'!G36</f>
        <v>810.57999999998719</v>
      </c>
      <c r="N8" s="254">
        <f>'4'!G138</f>
        <v>142</v>
      </c>
      <c r="O8" s="254">
        <f>'4'!$G$139</f>
        <v>152</v>
      </c>
      <c r="P8" s="254">
        <f>'4'!$G$140</f>
        <v>16.700000000000045</v>
      </c>
      <c r="Q8" s="254">
        <f>'4'!$G$141</f>
        <v>199.08000000000175</v>
      </c>
      <c r="R8" s="254">
        <f>'4'!$G$142</f>
        <v>86.55000000000291</v>
      </c>
      <c r="S8" s="254">
        <f>'4'!$G$145</f>
        <v>39.819999999999709</v>
      </c>
      <c r="T8" s="254">
        <f>'4'!$G$146</f>
        <v>73</v>
      </c>
      <c r="U8" s="254">
        <f>'4'!$G$144</f>
        <v>221</v>
      </c>
      <c r="V8" s="251">
        <f>'4'!$G$147</f>
        <v>374.79999999993015</v>
      </c>
      <c r="W8" s="251">
        <f>'4'!$G$148</f>
        <v>245.76000000000931</v>
      </c>
      <c r="X8" s="254">
        <f>'4'!$G$143</f>
        <v>24.529999999998836</v>
      </c>
      <c r="Y8" s="254">
        <f>'4'!$G$58</f>
        <v>261.16999999999825</v>
      </c>
      <c r="Z8" s="254">
        <f>'4'!$G$151</f>
        <v>250</v>
      </c>
      <c r="AA8" s="254">
        <f>'4'!G161</f>
        <v>25.799999999988358</v>
      </c>
      <c r="AB8" s="254">
        <f>'4'!G162</f>
        <v>43.899999999994179</v>
      </c>
      <c r="AC8" s="254"/>
      <c r="AD8" s="254">
        <f>'4'!G163+'4'!G164</f>
        <v>109.80000000000018</v>
      </c>
      <c r="AE8" s="254">
        <f>'4'!$G$116</f>
        <v>387.18999999998778</v>
      </c>
      <c r="AF8" s="254">
        <f>'4'!$G$117</f>
        <v>238.83999999999651</v>
      </c>
      <c r="AG8" s="254">
        <f>'4'!$G$118</f>
        <v>0.38000000000465661</v>
      </c>
      <c r="AH8" s="254">
        <f>'4'!$G$119</f>
        <v>230.13999999999942</v>
      </c>
      <c r="AI8" s="254">
        <f>'4'!$G$120</f>
        <v>413.59999999999854</v>
      </c>
      <c r="AJ8" s="254">
        <f>'4'!$G$121</f>
        <v>474.81999999999971</v>
      </c>
      <c r="AK8" s="254">
        <f>'4'!$G$122</f>
        <v>276.20000000000073</v>
      </c>
      <c r="AL8" s="254">
        <f>'4'!$G$123</f>
        <v>285.15000000000146</v>
      </c>
      <c r="AM8" s="254">
        <f>'4'!$G$133</f>
        <v>0</v>
      </c>
      <c r="AN8" s="254">
        <f>'4'!$G$15</f>
        <v>1002.2999999998137</v>
      </c>
      <c r="AO8" s="254">
        <f>'4'!$G$74</f>
        <v>292.34999999997672</v>
      </c>
      <c r="AP8" s="254">
        <f>'4'!$G$75</f>
        <v>0</v>
      </c>
      <c r="AQ8" s="254">
        <f>'4'!$G$76</f>
        <v>106</v>
      </c>
      <c r="AR8" s="254">
        <f>'4'!$G$77</f>
        <v>44</v>
      </c>
      <c r="AS8" s="254">
        <f>'4'!$G$78</f>
        <v>0</v>
      </c>
      <c r="AT8" s="254">
        <f t="shared" si="0"/>
        <v>559.94999999983702</v>
      </c>
      <c r="AU8" s="254">
        <f>SUM('4'!G91:G92)</f>
        <v>10.519999999999527</v>
      </c>
      <c r="AV8" s="254">
        <f>'4'!$G$88</f>
        <v>0.2000000000007276</v>
      </c>
      <c r="AW8" s="254">
        <f>'4'!$G$89</f>
        <v>9.1500000000014552</v>
      </c>
      <c r="AX8" s="254">
        <f>'4'!$G$90</f>
        <v>11.309999999997672</v>
      </c>
      <c r="AY8" s="252">
        <f t="shared" si="1"/>
        <v>20.659999999999854</v>
      </c>
      <c r="AZ8" s="311">
        <f t="shared" si="2"/>
        <v>27.789923954371659</v>
      </c>
      <c r="BA8" s="311">
        <f t="shared" si="3"/>
        <v>27.103097773467617</v>
      </c>
      <c r="BB8" s="351">
        <f t="shared" si="4"/>
        <v>4514.039999999979</v>
      </c>
      <c r="BC8" s="351">
        <f t="shared" si="5"/>
        <v>17.725751983036123</v>
      </c>
    </row>
    <row r="9" spans="1:55">
      <c r="A9" s="359">
        <v>5</v>
      </c>
      <c r="B9" s="511">
        <f>'5'!G7</f>
        <v>26773.809999999998</v>
      </c>
      <c r="C9" s="511">
        <f>'5'!G8</f>
        <v>27118</v>
      </c>
      <c r="D9" s="511">
        <f>'5'!G15</f>
        <v>1047.2000000001863</v>
      </c>
      <c r="E9" s="511">
        <f>'5'!G20</f>
        <v>192</v>
      </c>
      <c r="F9" s="511">
        <f>SUM('5'!G35,'5'!G49)</f>
        <v>4350.0100000000093</v>
      </c>
      <c r="G9" s="511">
        <f>SUM('5'!G37,'5'!G51)</f>
        <v>1100.4099999999999</v>
      </c>
      <c r="H9" s="511">
        <f>SUM('5'!G38,'5'!G52)</f>
        <v>2239.3799999999956</v>
      </c>
      <c r="I9" s="511">
        <f>SUM('5'!G39,'5'!G53)</f>
        <v>4215.4200000000565</v>
      </c>
      <c r="J9" s="511">
        <f>SUM('5'!G41,'5'!G42,'5'!G55,'5'!G56)</f>
        <v>6662.0200000000041</v>
      </c>
      <c r="K9" s="511">
        <f>SUM('5'!G43,'5'!G57)</f>
        <v>3388.8099999999977</v>
      </c>
      <c r="L9" s="254">
        <f>'5'!G50</f>
        <v>1030.0100000000093</v>
      </c>
      <c r="M9" s="254">
        <f>'5'!G36</f>
        <v>1153.4500000000116</v>
      </c>
      <c r="N9" s="254">
        <f>'5'!G138</f>
        <v>150</v>
      </c>
      <c r="O9" s="254">
        <f>'5'!$G$139</f>
        <v>150</v>
      </c>
      <c r="P9" s="254">
        <f>'5'!$G$140</f>
        <v>15.299999999999955</v>
      </c>
      <c r="Q9" s="258">
        <f>'5'!$G$141</f>
        <v>190.49000000000524</v>
      </c>
      <c r="R9" s="254">
        <f>'5'!$G$142</f>
        <v>87.75</v>
      </c>
      <c r="S9" s="251">
        <f>'5'!$G$145</f>
        <v>29.180000000000291</v>
      </c>
      <c r="T9" s="254">
        <f>'5'!$G$146</f>
        <v>78</v>
      </c>
      <c r="U9" s="254">
        <f>'5'!$G$144</f>
        <v>217</v>
      </c>
      <c r="V9" s="256">
        <f>'5'!$G$147</f>
        <v>378.56000000005588</v>
      </c>
      <c r="W9" s="254">
        <f>'5'!$G$148</f>
        <v>350.95999999996275</v>
      </c>
      <c r="X9" s="254">
        <f>'5'!$G$143</f>
        <v>26.040000000000873</v>
      </c>
      <c r="Y9" s="254">
        <f>'5'!$G$58</f>
        <v>257.43000000000029</v>
      </c>
      <c r="Z9" s="254">
        <f>'5'!$G$151</f>
        <v>263</v>
      </c>
      <c r="AA9" s="254">
        <f>'5'!G161</f>
        <v>24.559999999997672</v>
      </c>
      <c r="AB9" s="254">
        <f>'5'!G162</f>
        <v>51.100000000005821</v>
      </c>
      <c r="AC9" s="254"/>
      <c r="AD9" s="254">
        <f>'5'!G163+'5'!G164</f>
        <v>92.800000000000182</v>
      </c>
      <c r="AE9" s="254">
        <f>'5'!$G$116</f>
        <v>286.2100000000064</v>
      </c>
      <c r="AF9" s="254">
        <f>'5'!$G$117</f>
        <v>239.87000000000262</v>
      </c>
      <c r="AG9" s="254">
        <f>'5'!$G$118</f>
        <v>1158.4700000000012</v>
      </c>
      <c r="AH9" s="254">
        <f>'5'!$G$119</f>
        <v>232.66000000000349</v>
      </c>
      <c r="AI9" s="254">
        <f>'5'!$G$120</f>
        <v>416.87000000000262</v>
      </c>
      <c r="AJ9" s="254">
        <f>'5'!$G$121</f>
        <v>467.84999999999854</v>
      </c>
      <c r="AK9" s="254">
        <f>'5'!$G$122</f>
        <v>280.90999999999985</v>
      </c>
      <c r="AL9" s="254">
        <f>'5'!$G$123</f>
        <v>321.84999999999854</v>
      </c>
      <c r="AM9" s="254">
        <f>'5'!$G$133</f>
        <v>0</v>
      </c>
      <c r="AN9" s="254">
        <f>'5'!$G$15</f>
        <v>1047.2000000001863</v>
      </c>
      <c r="AO9" s="256">
        <f>'5'!$G$74</f>
        <v>286.14000000001397</v>
      </c>
      <c r="AP9" s="256">
        <f>'5'!$G$75</f>
        <v>0</v>
      </c>
      <c r="AQ9" s="256">
        <f>'5'!$G$76</f>
        <v>116</v>
      </c>
      <c r="AR9" s="256">
        <f>'5'!$G$77</f>
        <v>93</v>
      </c>
      <c r="AS9" s="256">
        <f>'5'!$G$78</f>
        <v>0</v>
      </c>
      <c r="AT9" s="256">
        <f t="shared" si="0"/>
        <v>552.06000000017229</v>
      </c>
      <c r="AU9" s="254">
        <f>SUM('5'!G91:G92)</f>
        <v>10.25</v>
      </c>
      <c r="AV9" s="254">
        <f>'5'!$G$88</f>
        <v>-0.2000000000007276</v>
      </c>
      <c r="AW9" s="254">
        <f>'5'!$G$89</f>
        <v>9.0599999999976717</v>
      </c>
      <c r="AX9" s="254">
        <f>'5'!$G$90</f>
        <v>12.540000000008149</v>
      </c>
      <c r="AY9" s="252">
        <f t="shared" si="1"/>
        <v>21.400000000005093</v>
      </c>
      <c r="AZ9" s="311">
        <f>AO9/AU9</f>
        <v>27.916097560976972</v>
      </c>
      <c r="BA9" s="311">
        <f t="shared" si="3"/>
        <v>25.797196261684153</v>
      </c>
      <c r="BB9" s="351">
        <f t="shared" si="4"/>
        <v>4904.5199999999386</v>
      </c>
      <c r="BC9" s="351">
        <f t="shared" si="5"/>
        <v>18.318349162857057</v>
      </c>
    </row>
    <row r="10" spans="1:55">
      <c r="A10" s="359">
        <v>6</v>
      </c>
      <c r="B10" s="511">
        <f>'6'!G7</f>
        <v>25778</v>
      </c>
      <c r="C10" s="511">
        <f>'6'!G8</f>
        <v>26156</v>
      </c>
      <c r="D10" s="511">
        <f>'6'!G15</f>
        <v>981</v>
      </c>
      <c r="E10" s="511">
        <f>'6'!G20</f>
        <v>247</v>
      </c>
      <c r="F10" s="511">
        <f>SUM('6'!G35,'6'!G49)</f>
        <v>4273</v>
      </c>
      <c r="G10" s="511">
        <f>SUM('6'!G37,'6'!G51)</f>
        <v>1116</v>
      </c>
      <c r="H10" s="511">
        <f>SUM('6'!G38,'6'!G52)</f>
        <v>2225</v>
      </c>
      <c r="I10" s="511">
        <f>SUM('6'!G39,'6'!G53)</f>
        <v>4247</v>
      </c>
      <c r="J10" s="511">
        <f>SUM('6'!G41,'6'!G42,'6'!G55,'6'!G56)</f>
        <v>6391.1700000000419</v>
      </c>
      <c r="K10" s="511">
        <f>SUM('6'!G43,'6'!G57)</f>
        <v>3116</v>
      </c>
      <c r="L10" s="254">
        <f>'6'!G50</f>
        <v>993</v>
      </c>
      <c r="M10" s="254">
        <f>'6'!G36</f>
        <v>879</v>
      </c>
      <c r="N10" s="254">
        <f>'6'!G138</f>
        <v>147</v>
      </c>
      <c r="O10" s="254">
        <f>'6'!$G$139</f>
        <v>157</v>
      </c>
      <c r="P10" s="254">
        <f>'6'!$G$140</f>
        <v>14</v>
      </c>
      <c r="Q10" s="254">
        <f>'6'!$G$141</f>
        <v>195</v>
      </c>
      <c r="R10" s="254">
        <f>'6'!$G$142</f>
        <v>89</v>
      </c>
      <c r="S10" s="254">
        <f>'6'!$G$145</f>
        <v>27</v>
      </c>
      <c r="T10" s="251">
        <f>'6'!$G$146</f>
        <v>72</v>
      </c>
      <c r="U10" s="251">
        <f>'6'!$G$144</f>
        <v>226</v>
      </c>
      <c r="V10" s="251">
        <f>'6'!$G$147</f>
        <v>379</v>
      </c>
      <c r="W10" s="251">
        <f>'6'!$G$148</f>
        <v>300</v>
      </c>
      <c r="X10" s="251">
        <f>'6'!$G$143</f>
        <v>25</v>
      </c>
      <c r="Y10" s="251">
        <f>'6'!$G$58</f>
        <v>283</v>
      </c>
      <c r="Z10" s="251">
        <f>'6'!$G$151</f>
        <v>247</v>
      </c>
      <c r="AA10" s="251">
        <f>'6'!G161</f>
        <v>30</v>
      </c>
      <c r="AB10" s="251">
        <f>'6'!G162</f>
        <v>44</v>
      </c>
      <c r="AC10" s="251"/>
      <c r="AD10" s="251">
        <f>'6'!G163+'6'!G164</f>
        <v>58</v>
      </c>
      <c r="AE10" s="254">
        <f>'6'!$G$116</f>
        <v>319</v>
      </c>
      <c r="AF10" s="254">
        <f>'6'!$G$117</f>
        <v>216</v>
      </c>
      <c r="AG10" s="254">
        <f>'6'!$G$118</f>
        <v>540</v>
      </c>
      <c r="AH10" s="254">
        <f>'6'!$G$119</f>
        <v>248</v>
      </c>
      <c r="AI10" s="254">
        <f>'6'!$G$120</f>
        <v>424</v>
      </c>
      <c r="AJ10" s="254">
        <f>'6'!$G$121</f>
        <v>470</v>
      </c>
      <c r="AK10" s="254">
        <f>'6'!$G$122</f>
        <v>328</v>
      </c>
      <c r="AL10" s="254">
        <f>'6'!$G$123</f>
        <v>331</v>
      </c>
      <c r="AM10" s="254">
        <f>'6'!$G$133</f>
        <v>0.41000000000349246</v>
      </c>
      <c r="AN10" s="254">
        <f>'6'!$G$15</f>
        <v>981</v>
      </c>
      <c r="AO10" s="256">
        <f>'6'!$G$74</f>
        <v>312</v>
      </c>
      <c r="AP10" s="256">
        <f>'6'!$G$75</f>
        <v>0</v>
      </c>
      <c r="AQ10" s="256">
        <f>'6'!$G$76</f>
        <v>114</v>
      </c>
      <c r="AR10" s="256">
        <f>'6'!$G$77</f>
        <v>3</v>
      </c>
      <c r="AS10" s="256">
        <f>'6'!$G$78</f>
        <v>0.3999999999996362</v>
      </c>
      <c r="AT10" s="256">
        <f t="shared" si="0"/>
        <v>551.60000000000036</v>
      </c>
      <c r="AU10" s="254">
        <f>SUM('6'!G91:G92)</f>
        <v>11.230000000000473</v>
      </c>
      <c r="AV10" s="254">
        <f>'6'!$G$88</f>
        <v>10.540000000000873</v>
      </c>
      <c r="AW10" s="254">
        <f>'6'!$G$89</f>
        <v>0</v>
      </c>
      <c r="AX10" s="254">
        <f>'6'!$G$90</f>
        <v>11.029999999998836</v>
      </c>
      <c r="AY10" s="252">
        <f t="shared" si="1"/>
        <v>21.569999999999709</v>
      </c>
      <c r="AZ10" s="311">
        <f t="shared" ref="AZ10:AZ28" si="6">AO10/AU10</f>
        <v>27.782724844166239</v>
      </c>
      <c r="BA10" s="311">
        <f t="shared" si="3"/>
        <v>25.572554473806573</v>
      </c>
      <c r="BB10" s="351">
        <f t="shared" si="4"/>
        <v>4504.8299999999581</v>
      </c>
      <c r="BC10" s="351">
        <f t="shared" si="5"/>
        <v>17.475482969974237</v>
      </c>
    </row>
    <row r="11" spans="1:55">
      <c r="A11" s="359">
        <v>7</v>
      </c>
      <c r="B11" s="511">
        <f>'7'!G7</f>
        <v>25498</v>
      </c>
      <c r="C11" s="511">
        <f>'7'!G8</f>
        <v>25917</v>
      </c>
      <c r="D11" s="511">
        <f>'7'!G15</f>
        <v>1066</v>
      </c>
      <c r="E11" s="511">
        <f>'7'!G20</f>
        <v>287</v>
      </c>
      <c r="F11" s="511">
        <f>SUM('7'!G35,'7'!G49)</f>
        <v>4335</v>
      </c>
      <c r="G11" s="511">
        <f>SUM('7'!G37,'7'!G51)</f>
        <v>1065</v>
      </c>
      <c r="H11" s="511">
        <f>SUM('7'!G38,'7'!G52)</f>
        <v>2257</v>
      </c>
      <c r="I11" s="511">
        <f>SUM('7'!G39,'7'!G53)</f>
        <v>4343</v>
      </c>
      <c r="J11" s="511">
        <f>SUM('7'!G41,'7'!G42,'7'!G55,'7'!G56)</f>
        <v>6173</v>
      </c>
      <c r="K11" s="511">
        <f>SUM('7'!G43,'7'!G57)</f>
        <v>3091</v>
      </c>
      <c r="L11" s="254">
        <f>'7'!G50</f>
        <v>1137</v>
      </c>
      <c r="M11" s="254">
        <f>'7'!G36</f>
        <v>801</v>
      </c>
      <c r="N11" s="254">
        <f>'7'!G138</f>
        <v>134</v>
      </c>
      <c r="O11" s="254">
        <f>'7'!$G$139</f>
        <v>133</v>
      </c>
      <c r="P11" s="254">
        <f>'7'!$G$140</f>
        <v>14</v>
      </c>
      <c r="Q11" s="254">
        <f>'7'!$G$141</f>
        <v>206</v>
      </c>
      <c r="R11" s="254">
        <f>'7'!$G$142</f>
        <v>81</v>
      </c>
      <c r="S11" s="254">
        <f>'7'!$G$145</f>
        <v>25</v>
      </c>
      <c r="T11" s="251">
        <f>'7'!$G$146</f>
        <v>75</v>
      </c>
      <c r="U11" s="251">
        <f>'7'!$G$144</f>
        <v>226</v>
      </c>
      <c r="V11" s="251">
        <f>'7'!$G$147</f>
        <v>374</v>
      </c>
      <c r="W11" s="251">
        <f>'7'!$G$148</f>
        <v>294</v>
      </c>
      <c r="X11" s="251">
        <f>'7'!$G$143</f>
        <v>25</v>
      </c>
      <c r="Y11" s="251">
        <f>'7'!$G$58</f>
        <v>264</v>
      </c>
      <c r="Z11" s="256">
        <f>'7'!$G$151</f>
        <v>245</v>
      </c>
      <c r="AA11" s="256">
        <f>'7'!G161</f>
        <v>28</v>
      </c>
      <c r="AB11" s="251">
        <f>'7'!G162</f>
        <v>26</v>
      </c>
      <c r="AC11" s="251"/>
      <c r="AD11" s="251">
        <f>'7'!G163+'7'!G164</f>
        <v>80</v>
      </c>
      <c r="AE11" s="254">
        <f>'7'!$G$116</f>
        <v>390</v>
      </c>
      <c r="AF11" s="254">
        <f>'7'!$G$117</f>
        <v>187</v>
      </c>
      <c r="AG11" s="254">
        <f>'7'!$G$118</f>
        <v>550</v>
      </c>
      <c r="AH11" s="254">
        <f>'7'!$G$119</f>
        <v>254</v>
      </c>
      <c r="AI11" s="254">
        <f>'7'!$G$120</f>
        <v>431</v>
      </c>
      <c r="AJ11" s="254">
        <f>'7'!$G$121</f>
        <v>474</v>
      </c>
      <c r="AK11" s="256">
        <f>'7'!$G$122</f>
        <v>330</v>
      </c>
      <c r="AL11" s="254">
        <f>'7'!$G$123</f>
        <v>331</v>
      </c>
      <c r="AM11" s="254">
        <f>'7'!$G$133</f>
        <v>0</v>
      </c>
      <c r="AN11" s="254">
        <f>'7'!$G$15</f>
        <v>1066</v>
      </c>
      <c r="AO11" s="256">
        <f>'7'!$G$74</f>
        <v>359</v>
      </c>
      <c r="AP11" s="256">
        <f>'7'!$G$75</f>
        <v>0</v>
      </c>
      <c r="AQ11" s="256">
        <f>'7'!$G$76</f>
        <v>111</v>
      </c>
      <c r="AR11" s="256">
        <f>'7'!$G$77</f>
        <v>47</v>
      </c>
      <c r="AS11" s="256">
        <f>'7'!$G$78</f>
        <v>0</v>
      </c>
      <c r="AT11" s="256">
        <f t="shared" si="0"/>
        <v>549</v>
      </c>
      <c r="AU11" s="254">
        <f>SUM('7'!G91:G92)</f>
        <v>12.889999999999418</v>
      </c>
      <c r="AV11" s="254">
        <f>'7'!$G$88</f>
        <v>4.9599999999991269</v>
      </c>
      <c r="AW11" s="254">
        <f>'7'!$G$89</f>
        <v>4.6500000000014552</v>
      </c>
      <c r="AX11" s="254">
        <f>'7'!$G$90</f>
        <v>11</v>
      </c>
      <c r="AY11" s="252">
        <f t="shared" si="1"/>
        <v>20.610000000000582</v>
      </c>
      <c r="AZ11" s="311">
        <f>AO11/AU11</f>
        <v>27.851047323507853</v>
      </c>
      <c r="BA11" s="311">
        <f t="shared" si="3"/>
        <v>26.637554585152085</v>
      </c>
      <c r="BB11" s="351">
        <f t="shared" si="4"/>
        <v>4389</v>
      </c>
      <c r="BC11" s="351">
        <f t="shared" si="5"/>
        <v>17.21311475409836</v>
      </c>
    </row>
    <row r="12" spans="1:55">
      <c r="A12" s="359">
        <v>8</v>
      </c>
      <c r="B12" s="511">
        <f>'8'!G7</f>
        <v>26200</v>
      </c>
      <c r="C12" s="511">
        <f>'8'!G8</f>
        <v>26500</v>
      </c>
      <c r="D12" s="511">
        <f>'8'!G15</f>
        <v>1000</v>
      </c>
      <c r="E12" s="511">
        <f>'8'!G20</f>
        <v>-1308</v>
      </c>
      <c r="F12" s="511">
        <f>SUM('8'!G35,'8'!G49)</f>
        <v>-115227</v>
      </c>
      <c r="G12" s="511">
        <f>SUM('8'!G37,'8'!G51)</f>
        <v>-39560.01</v>
      </c>
      <c r="H12" s="511">
        <f>SUM('8'!G38,'8'!G52)</f>
        <v>-68479</v>
      </c>
      <c r="I12" s="511">
        <f>SUM('8'!G39,'8'!G53)</f>
        <v>-108431</v>
      </c>
      <c r="J12" s="511">
        <f>SUM('8'!G41,'8'!G42,'8'!G55,'8'!G56)</f>
        <v>-202776</v>
      </c>
      <c r="K12" s="511">
        <f>SUM('8'!G43,'8'!G57)</f>
        <v>-91382</v>
      </c>
      <c r="L12" s="254">
        <f>'8'!G50</f>
        <v>-37797</v>
      </c>
      <c r="M12" s="254">
        <f>'8'!G36</f>
        <v>-27407</v>
      </c>
      <c r="N12" s="254">
        <f>'8'!G138</f>
        <v>-3843</v>
      </c>
      <c r="O12" s="254">
        <f>'8'!$G$139</f>
        <v>-4580</v>
      </c>
      <c r="P12" s="254">
        <f>'8'!$G$140</f>
        <v>-452</v>
      </c>
      <c r="Q12" s="254">
        <f>'8'!$G$141</f>
        <v>-6056</v>
      </c>
      <c r="R12" s="254">
        <f>'8'!$G$142</f>
        <v>-2232</v>
      </c>
      <c r="S12" s="254">
        <f>'8'!$G$145</f>
        <v>-366</v>
      </c>
      <c r="T12" s="251">
        <f>'8'!$G$146</f>
        <v>-1689</v>
      </c>
      <c r="U12" s="251">
        <f>'8'!$G$144</f>
        <v>-7074</v>
      </c>
      <c r="V12" s="251">
        <f>'8'!$G$147</f>
        <v>-11787</v>
      </c>
      <c r="W12" s="251">
        <f>'8'!$G$148</f>
        <v>-9213</v>
      </c>
      <c r="X12" s="251">
        <f>'8'!$G$143</f>
        <v>-830</v>
      </c>
      <c r="Y12" s="251">
        <f>'8'!$G$58</f>
        <v>-8286</v>
      </c>
      <c r="Z12" s="251">
        <f>'8'!$G$151</f>
        <v>-8769</v>
      </c>
      <c r="AA12" s="251">
        <f>'8'!G161</f>
        <v>-1842</v>
      </c>
      <c r="AB12" s="251">
        <f>'8'!G162</f>
        <v>-1115</v>
      </c>
      <c r="AC12" s="251"/>
      <c r="AD12" s="251">
        <f>'8'!G163+'8'!G164</f>
        <v>-4329</v>
      </c>
      <c r="AE12" s="254">
        <f>'8'!$G$116</f>
        <v>-11065</v>
      </c>
      <c r="AF12" s="254">
        <f>'8'!$G$117</f>
        <v>-7368</v>
      </c>
      <c r="AG12" s="254">
        <f>'8'!$G$118</f>
        <v>-18696</v>
      </c>
      <c r="AH12" s="254">
        <f>'8'!$G$119</f>
        <v>-6894</v>
      </c>
      <c r="AI12" s="254">
        <f>'8'!$G$120</f>
        <v>-12630</v>
      </c>
      <c r="AJ12" s="254">
        <f>'8'!$G$121</f>
        <v>-13650</v>
      </c>
      <c r="AK12" s="254">
        <f>'8'!$G$122</f>
        <v>-8378</v>
      </c>
      <c r="AL12" s="254">
        <f>'8'!$G$123</f>
        <v>-9595</v>
      </c>
      <c r="AM12" s="254">
        <f>'8'!$G$133</f>
        <v>567211</v>
      </c>
      <c r="AN12" s="254">
        <f>'8'!$G$15</f>
        <v>1000</v>
      </c>
      <c r="AO12" s="256">
        <f>'8'!$G$74</f>
        <v>-9643</v>
      </c>
      <c r="AP12" s="256">
        <f>'8'!$G$75</f>
        <v>0.80000000000291038</v>
      </c>
      <c r="AQ12" s="256">
        <f>'8'!$G$76</f>
        <v>-3205</v>
      </c>
      <c r="AR12" s="256">
        <f>'8'!$G$77</f>
        <v>-1574</v>
      </c>
      <c r="AS12" s="256">
        <f>'8'!$G$78</f>
        <v>0</v>
      </c>
      <c r="AT12" s="256">
        <f t="shared" si="0"/>
        <v>15421.199999999997</v>
      </c>
      <c r="AU12" s="254">
        <f>SUM('8'!G91:G92)</f>
        <v>-342.01000000000022</v>
      </c>
      <c r="AV12" s="254">
        <f>'8'!$G$88</f>
        <v>-33.959999999999127</v>
      </c>
      <c r="AW12" s="254">
        <f>'8'!$G$89</f>
        <v>-253.43000000000029</v>
      </c>
      <c r="AX12" s="254">
        <f>'8'!$G$90</f>
        <v>-322.00999999999476</v>
      </c>
      <c r="AY12" s="252">
        <f t="shared" si="1"/>
        <v>-609.39999999999418</v>
      </c>
      <c r="AZ12" s="311">
        <f t="shared" si="6"/>
        <v>28.195082015145736</v>
      </c>
      <c r="BA12" s="311">
        <f t="shared" si="3"/>
        <v>-25.305546439120683</v>
      </c>
      <c r="BB12" s="351">
        <f t="shared" si="4"/>
        <v>660641.01</v>
      </c>
      <c r="BC12" s="351">
        <f t="shared" si="5"/>
        <v>2521.5305725190842</v>
      </c>
    </row>
    <row r="13" spans="1:55">
      <c r="A13" s="359">
        <v>9</v>
      </c>
      <c r="B13" s="511">
        <f>'9'!G7</f>
        <v>26200</v>
      </c>
      <c r="C13" s="511">
        <f>'9'!G8</f>
        <v>26500</v>
      </c>
      <c r="D13" s="511">
        <f>'9'!G15</f>
        <v>1000</v>
      </c>
      <c r="E13" s="511">
        <f>'9'!G20</f>
        <v>270</v>
      </c>
      <c r="F13" s="511">
        <f>SUM('9'!G35,'9'!G49)</f>
        <v>759.79999999998836</v>
      </c>
      <c r="G13" s="511">
        <f>SUM('9'!G37,'9'!G51)</f>
        <v>1573.75</v>
      </c>
      <c r="H13" s="511">
        <f>SUM('9'!G38,'9'!G52)</f>
        <v>2332.109999999986</v>
      </c>
      <c r="I13" s="511">
        <f>SUM('9'!G39,'9'!G53)</f>
        <v>3026.1500000000233</v>
      </c>
      <c r="J13" s="511">
        <f>SUM('9'!G41,'9'!G42,'9'!G55,'9'!G56)</f>
        <v>8124.6299999999901</v>
      </c>
      <c r="K13" s="511">
        <f>SUM('9'!G43,'9'!G57)</f>
        <v>3152.4500000000116</v>
      </c>
      <c r="L13" s="254">
        <f>'9'!G50</f>
        <v>1278.6700000000128</v>
      </c>
      <c r="M13" s="254">
        <f>'9'!G36</f>
        <v>1130.1700000000128</v>
      </c>
      <c r="N13" s="254">
        <f>'9'!G138</f>
        <v>125</v>
      </c>
      <c r="O13" s="254">
        <f>'9'!$G$139</f>
        <v>155</v>
      </c>
      <c r="P13" s="254">
        <f>'9'!$G$140</f>
        <v>84</v>
      </c>
      <c r="Q13" s="254">
        <f>'9'!$G$141</f>
        <v>211.7899999999936</v>
      </c>
      <c r="R13" s="254">
        <f>'9'!$G$142</f>
        <v>77.80000000000291</v>
      </c>
      <c r="S13" s="254">
        <f>'9'!$G$145</f>
        <v>0</v>
      </c>
      <c r="T13" s="251">
        <f>'9'!$G$146</f>
        <v>42</v>
      </c>
      <c r="U13" s="251">
        <f>'9'!$G$144</f>
        <v>254</v>
      </c>
      <c r="V13" s="251">
        <f>'9'!$G$147</f>
        <v>399</v>
      </c>
      <c r="W13" s="251">
        <f>'9'!$G$148</f>
        <v>422</v>
      </c>
      <c r="X13" s="251">
        <f>'9'!$G$143</f>
        <v>27.319999999999709</v>
      </c>
      <c r="Y13" s="251">
        <f>'9'!$G$58</f>
        <v>290.16999999999825</v>
      </c>
      <c r="Z13" s="251">
        <f>'9'!$G$151</f>
        <v>291</v>
      </c>
      <c r="AA13" s="251">
        <f>'9'!G161</f>
        <v>173.20000000001164</v>
      </c>
      <c r="AB13" s="251">
        <f>'9'!G162</f>
        <v>24</v>
      </c>
      <c r="AC13" s="251"/>
      <c r="AD13" s="251">
        <f>'9'!G163+'9'!G164</f>
        <v>150.60000000000036</v>
      </c>
      <c r="AE13" s="254">
        <f>'9'!$G$116</f>
        <v>434.23999999999796</v>
      </c>
      <c r="AF13" s="254">
        <f>'9'!$G$117</f>
        <v>303.41000000000349</v>
      </c>
      <c r="AG13" s="254">
        <f>'9'!$G$118</f>
        <v>642.45999999999913</v>
      </c>
      <c r="AH13" s="254">
        <f>'9'!$G$119</f>
        <v>245</v>
      </c>
      <c r="AI13" s="254">
        <f>'9'!$G$120</f>
        <v>444.94000000000233</v>
      </c>
      <c r="AJ13" s="254">
        <f>'9'!$G$121</f>
        <v>439.20999999999913</v>
      </c>
      <c r="AK13" s="254">
        <f>'9'!$G$122</f>
        <v>275.38999999999942</v>
      </c>
      <c r="AL13" s="254">
        <f>'9'!$G$123</f>
        <v>324.86000000000058</v>
      </c>
      <c r="AM13" s="254">
        <f>'9'!$G$133</f>
        <v>0</v>
      </c>
      <c r="AN13" s="254">
        <f>'9'!$G$15</f>
        <v>1000</v>
      </c>
      <c r="AO13" s="256">
        <f>'9'!$G$74</f>
        <v>328.44999999995343</v>
      </c>
      <c r="AP13" s="256">
        <f>'9'!$G$75</f>
        <v>0</v>
      </c>
      <c r="AQ13" s="256">
        <f>'9'!$G$76</f>
        <v>107.5</v>
      </c>
      <c r="AR13" s="256">
        <f>'9'!$G$77</f>
        <v>122</v>
      </c>
      <c r="AS13" s="256">
        <f>'9'!$G$78</f>
        <v>-0.3999999999996362</v>
      </c>
      <c r="AT13" s="256">
        <f t="shared" si="0"/>
        <v>442.4500000000462</v>
      </c>
      <c r="AU13" s="254">
        <f>SUM('9'!G91:G92)</f>
        <v>11.489999999999782</v>
      </c>
      <c r="AV13" s="254">
        <f>'9'!$G$88</f>
        <v>8.8800000000010186</v>
      </c>
      <c r="AW13" s="254">
        <f>'9'!$G$89</f>
        <v>1.3400000000001455</v>
      </c>
      <c r="AX13" s="254">
        <f>'9'!$G$90</f>
        <v>10.379999999990105</v>
      </c>
      <c r="AY13" s="252">
        <f t="shared" si="1"/>
        <v>20.599999999991269</v>
      </c>
      <c r="AZ13" s="311">
        <f t="shared" si="6"/>
        <v>28.585726718882476</v>
      </c>
      <c r="BA13" s="311">
        <f t="shared" si="3"/>
        <v>21.478155339817171</v>
      </c>
      <c r="BB13" s="351">
        <f t="shared" si="4"/>
        <v>7240.9400000000023</v>
      </c>
      <c r="BC13" s="351">
        <f t="shared" si="5"/>
        <v>27.637175572519094</v>
      </c>
    </row>
    <row r="14" spans="1:55">
      <c r="A14" s="359">
        <v>10</v>
      </c>
      <c r="B14" s="511">
        <f>'10'!G7</f>
        <v>26200</v>
      </c>
      <c r="C14" s="511">
        <f>'10'!G8</f>
        <v>26500</v>
      </c>
      <c r="D14" s="511">
        <f>'10'!G15</f>
        <v>1000</v>
      </c>
      <c r="E14" s="511">
        <f>'10'!G20</f>
        <v>270</v>
      </c>
      <c r="F14" s="511">
        <f>SUM('10'!G35,'10'!G49)</f>
        <v>3679.1199999999953</v>
      </c>
      <c r="G14" s="511">
        <f>SUM('10'!G37,'10'!G51)</f>
        <v>1524.5</v>
      </c>
      <c r="H14" s="511">
        <f>SUM('10'!G38,'10'!G52)</f>
        <v>2285.2800000000279</v>
      </c>
      <c r="I14" s="511">
        <f>SUM('10'!G39,'10'!G53)</f>
        <v>2907.9599999999627</v>
      </c>
      <c r="J14" s="511">
        <f>SUM('10'!G41,'10'!G42,'10'!G55,'10'!G56)</f>
        <v>5749.1899999999732</v>
      </c>
      <c r="K14" s="511">
        <f>SUM('10'!G43,'10'!G57)</f>
        <v>3210.359999999986</v>
      </c>
      <c r="L14" s="254">
        <f>'10'!G50</f>
        <v>1219.3399999999965</v>
      </c>
      <c r="M14" s="254">
        <f>'10'!G36</f>
        <v>928.53999999997905</v>
      </c>
      <c r="N14" s="254">
        <f>'10'!G138</f>
        <v>135</v>
      </c>
      <c r="O14" s="254">
        <f>'10'!$G$139</f>
        <v>149</v>
      </c>
      <c r="P14" s="254">
        <f>'10'!$G$140</f>
        <v>83.399999999994179</v>
      </c>
      <c r="Q14" s="254">
        <f>'10'!$G$141</f>
        <v>205.56000000001222</v>
      </c>
      <c r="R14" s="254">
        <f>'10'!$G$142</f>
        <v>70.099999999998545</v>
      </c>
      <c r="S14" s="254">
        <f>'10'!$G$145</f>
        <v>0</v>
      </c>
      <c r="T14" s="251">
        <f>'10'!$G$146</f>
        <v>39</v>
      </c>
      <c r="U14" s="251">
        <f>'10'!$G$144</f>
        <v>230</v>
      </c>
      <c r="V14" s="257">
        <f>'10'!$G$147</f>
        <v>378</v>
      </c>
      <c r="W14" s="257">
        <f>'10'!$G$148</f>
        <v>302.68000000005122</v>
      </c>
      <c r="X14" s="251">
        <f>'10'!$G$143</f>
        <v>29.139999999999418</v>
      </c>
      <c r="Y14" s="251">
        <f>'10'!$G$58</f>
        <v>293.06000000000495</v>
      </c>
      <c r="Z14" s="251">
        <f>'10'!$G$151</f>
        <v>263</v>
      </c>
      <c r="AA14" s="251">
        <f>'10'!G161</f>
        <v>151.03999999997905</v>
      </c>
      <c r="AB14" s="251">
        <f>'10'!G162</f>
        <v>14.30000000000291</v>
      </c>
      <c r="AC14" s="251"/>
      <c r="AD14" s="251">
        <f>'10'!G163+'10'!G164</f>
        <v>150.69999999999982</v>
      </c>
      <c r="AE14" s="254">
        <f>'10'!$G$116</f>
        <v>479.88000000000466</v>
      </c>
      <c r="AF14" s="254">
        <f>'10'!$G$117</f>
        <v>214.33999999999651</v>
      </c>
      <c r="AG14" s="254">
        <f>'10'!$G$118</f>
        <v>617.20000000000437</v>
      </c>
      <c r="AH14" s="254">
        <f>'10'!$G$119</f>
        <v>236.34999999999854</v>
      </c>
      <c r="AI14" s="254">
        <f>'10'!$G$120</f>
        <v>433.29999999999563</v>
      </c>
      <c r="AJ14" s="254">
        <f>'10'!$G$121</f>
        <v>423.76000000000204</v>
      </c>
      <c r="AK14" s="254">
        <f>'10'!$G$122</f>
        <v>252.88999999999942</v>
      </c>
      <c r="AL14" s="254">
        <f>'10'!$G$123</f>
        <v>320.38000000000102</v>
      </c>
      <c r="AM14" s="254">
        <f>'10'!$G$133</f>
        <v>782</v>
      </c>
      <c r="AN14" s="254">
        <f>'10'!$G$15</f>
        <v>1000</v>
      </c>
      <c r="AO14" s="256">
        <f>'10'!$G$74</f>
        <v>265.84000000008382</v>
      </c>
      <c r="AP14" s="256">
        <f>'10'!$G$75</f>
        <v>0</v>
      </c>
      <c r="AQ14" s="256">
        <f>'10'!$G$76</f>
        <v>98.5</v>
      </c>
      <c r="AR14" s="256">
        <f>'10'!$G$77</f>
        <v>42</v>
      </c>
      <c r="AS14" s="256">
        <f>'10'!$G$78</f>
        <v>0</v>
      </c>
      <c r="AT14" s="256">
        <f t="shared" si="0"/>
        <v>593.65999999991618</v>
      </c>
      <c r="AU14" s="254">
        <f>SUM('10'!G91:G92)</f>
        <v>9.8299999999999272</v>
      </c>
      <c r="AV14" s="254">
        <f>'10'!$G$88</f>
        <v>0</v>
      </c>
      <c r="AW14" s="254">
        <f>'10'!$G$89</f>
        <v>9.6899999999986903</v>
      </c>
      <c r="AX14" s="254">
        <f>'10'!$G$90</f>
        <v>10.900000000008731</v>
      </c>
      <c r="AY14" s="252">
        <f t="shared" si="1"/>
        <v>20.590000000007421</v>
      </c>
      <c r="AZ14" s="311">
        <f t="shared" si="6"/>
        <v>27.043743641921239</v>
      </c>
      <c r="BA14" s="311">
        <f t="shared" si="3"/>
        <v>28.832442933448384</v>
      </c>
      <c r="BB14" s="351">
        <f t="shared" si="4"/>
        <v>6850.5300000000498</v>
      </c>
      <c r="BC14" s="351">
        <f t="shared" si="5"/>
        <v>26.147061068702481</v>
      </c>
    </row>
    <row r="15" spans="1:55">
      <c r="A15" s="359">
        <v>11</v>
      </c>
      <c r="B15" s="511">
        <f>'11'!G7</f>
        <v>26200</v>
      </c>
      <c r="C15" s="511">
        <f>'11'!G8</f>
        <v>26500</v>
      </c>
      <c r="D15" s="511">
        <f>'11'!G15</f>
        <v>1000</v>
      </c>
      <c r="E15" s="511">
        <f>'11'!G20</f>
        <v>221</v>
      </c>
      <c r="F15" s="511">
        <f>SUM('11'!G35,'11'!G49)</f>
        <v>3790.7200000000303</v>
      </c>
      <c r="G15" s="511">
        <f>SUM('11'!G37,'11'!G51)</f>
        <v>1487.4600000000139</v>
      </c>
      <c r="H15" s="511">
        <f>SUM('11'!G38,'11'!G52)</f>
        <v>2304.1599999999744</v>
      </c>
      <c r="I15" s="511">
        <f>SUM('11'!G39,'11'!G53)</f>
        <v>2848.8000000000466</v>
      </c>
      <c r="J15" s="511">
        <f>SUM('11'!G41,'11'!G42,'11'!G55,'11'!G56)</f>
        <v>6949.2699999999604</v>
      </c>
      <c r="K15" s="511">
        <f>SUM('11'!G43,'11'!G57)</f>
        <v>2943.320000000007</v>
      </c>
      <c r="L15" s="254">
        <f>'11'!G50</f>
        <v>1058</v>
      </c>
      <c r="M15" s="254">
        <f>'11'!G36</f>
        <v>696.83999999999651</v>
      </c>
      <c r="N15" s="254">
        <f>'11'!G138</f>
        <v>109</v>
      </c>
      <c r="O15" s="254">
        <f>'11'!$G$139</f>
        <v>172</v>
      </c>
      <c r="P15" s="254">
        <f>'11'!$G$140</f>
        <v>216</v>
      </c>
      <c r="Q15" s="254">
        <f>'11'!$G$141</f>
        <v>191.31999999999243</v>
      </c>
      <c r="R15" s="254">
        <f>'11'!$G$142</f>
        <v>71.319999999999709</v>
      </c>
      <c r="S15" s="254">
        <f>'11'!$G$145</f>
        <v>0</v>
      </c>
      <c r="T15" s="251">
        <f>'11'!$G$146</f>
        <v>38</v>
      </c>
      <c r="U15" s="251">
        <f>'11'!$G$144</f>
        <v>254</v>
      </c>
      <c r="V15" s="251">
        <f>'11'!$G$147</f>
        <v>377.23999999999069</v>
      </c>
      <c r="W15" s="251">
        <f>'11'!$G$148</f>
        <v>258.71999999997206</v>
      </c>
      <c r="X15" s="251">
        <f>'11'!$G$143</f>
        <v>28.540000000000873</v>
      </c>
      <c r="Y15" s="251">
        <f>'11'!$G$58</f>
        <v>278.21999999999389</v>
      </c>
      <c r="Z15" s="251">
        <f>'11'!$G$151</f>
        <v>270</v>
      </c>
      <c r="AA15" s="251">
        <f>'11'!G161</f>
        <v>137.9199999999837</v>
      </c>
      <c r="AB15" s="251">
        <f>'11'!G162</f>
        <v>38.399999999994179</v>
      </c>
      <c r="AC15" s="251">
        <f>'11'!G88</f>
        <v>0</v>
      </c>
      <c r="AD15" s="251">
        <f>'11'!G163+'11'!G164</f>
        <v>153.59999999999945</v>
      </c>
      <c r="AE15" s="254">
        <f>'11'!$G$116</f>
        <v>386.66999999999825</v>
      </c>
      <c r="AF15" s="254">
        <f>'11'!$G$117</f>
        <v>213.83999999999651</v>
      </c>
      <c r="AG15" s="254">
        <f>'11'!$G$118</f>
        <v>631.73999999999796</v>
      </c>
      <c r="AH15" s="254">
        <f>'11'!$G$119</f>
        <v>225.19000000000233</v>
      </c>
      <c r="AI15" s="254">
        <f>'11'!$G$120</f>
        <v>427.15000000000146</v>
      </c>
      <c r="AJ15" s="254">
        <f>'11'!$G$121</f>
        <v>463.98999999999796</v>
      </c>
      <c r="AK15" s="254">
        <f>'11'!$G$122</f>
        <v>286.85000000000218</v>
      </c>
      <c r="AL15" s="254">
        <f>'11'!$G$123</f>
        <v>338.15999999999985</v>
      </c>
      <c r="AM15" s="254">
        <f>'11'!$G$133</f>
        <v>824</v>
      </c>
      <c r="AN15" s="254">
        <f>'11'!$G$15</f>
        <v>1000</v>
      </c>
      <c r="AO15" s="256">
        <f>'11'!$G$74</f>
        <v>270.43999999994412</v>
      </c>
      <c r="AP15" s="256">
        <f>'11'!$G$75</f>
        <v>0</v>
      </c>
      <c r="AQ15" s="256">
        <f>'11'!$G$76</f>
        <v>98</v>
      </c>
      <c r="AR15" s="256">
        <f>'11'!$G$77</f>
        <v>35</v>
      </c>
      <c r="AS15" s="256">
        <f>'11'!$G$78</f>
        <v>0</v>
      </c>
      <c r="AT15" s="256">
        <f t="shared" si="0"/>
        <v>596.56000000005588</v>
      </c>
      <c r="AU15" s="254">
        <f>SUM('11'!G91:G92)</f>
        <v>9.6999999999998181</v>
      </c>
      <c r="AV15" s="254">
        <f>'11'!$G$88</f>
        <v>0</v>
      </c>
      <c r="AW15" s="254">
        <f>'11'!$G$89</f>
        <v>9.430000000000291</v>
      </c>
      <c r="AX15" s="254">
        <f>'11'!$G$90</f>
        <v>10.220000000001164</v>
      </c>
      <c r="AY15" s="252">
        <f t="shared" si="1"/>
        <v>19.650000000001455</v>
      </c>
      <c r="AZ15" s="311">
        <f t="shared" si="6"/>
        <v>27.880412371128784</v>
      </c>
      <c r="BA15" s="311">
        <f t="shared" si="3"/>
        <v>30.359287531807212</v>
      </c>
      <c r="BB15" s="351">
        <f t="shared" si="4"/>
        <v>5898.0499999999738</v>
      </c>
      <c r="BC15" s="351">
        <f t="shared" si="5"/>
        <v>22.511641221373946</v>
      </c>
    </row>
    <row r="16" spans="1:55">
      <c r="A16" s="359">
        <v>12</v>
      </c>
      <c r="B16" s="511">
        <f>'12'!G7</f>
        <v>26200</v>
      </c>
      <c r="C16" s="511">
        <f>'12'!G8</f>
        <v>26500</v>
      </c>
      <c r="D16" s="511">
        <f>'12'!G15</f>
        <v>1000</v>
      </c>
      <c r="E16" s="511">
        <f>'12'!G20</f>
        <v>254</v>
      </c>
      <c r="F16" s="511">
        <f>SUM('12'!G35,'12'!G49)</f>
        <v>3619.6300000000047</v>
      </c>
      <c r="G16" s="511">
        <f>SUM('12'!G37,'12'!G51)</f>
        <v>1552.320000000014</v>
      </c>
      <c r="H16" s="511">
        <f>SUM('12'!G38,'12'!G52)</f>
        <v>2246.320000000007</v>
      </c>
      <c r="I16" s="511">
        <f>SUM('12'!G39,'12'!G53)</f>
        <v>2839.7999999999302</v>
      </c>
      <c r="J16" s="511">
        <f>SUM('12'!G41,'12'!G42,'12'!G55,'12'!G56)</f>
        <v>6974.600000000064</v>
      </c>
      <c r="K16" s="511">
        <f>SUM('12'!G43,'12'!G57)</f>
        <v>3131.1000000000058</v>
      </c>
      <c r="L16" s="254">
        <f>'12'!G50</f>
        <v>1060.5199999999895</v>
      </c>
      <c r="M16" s="254">
        <f>'12'!G36</f>
        <v>704.22000000000116</v>
      </c>
      <c r="N16" s="254">
        <f>'12'!G138</f>
        <v>114</v>
      </c>
      <c r="O16" s="254">
        <f>'12'!$G$139</f>
        <v>154</v>
      </c>
      <c r="P16" s="254">
        <f>'12'!$G$140</f>
        <v>214</v>
      </c>
      <c r="Q16" s="254">
        <f>'12'!$G$141</f>
        <v>206.33000000000175</v>
      </c>
      <c r="R16" s="254">
        <f>'12'!$G$142</f>
        <v>74.049999999995634</v>
      </c>
      <c r="S16" s="254">
        <f>'12'!$G$145</f>
        <v>0</v>
      </c>
      <c r="T16" s="251">
        <f>'12'!$G$146</f>
        <v>37</v>
      </c>
      <c r="U16" s="251">
        <f>'12'!$G$144</f>
        <v>238</v>
      </c>
      <c r="V16" s="251">
        <f>'12'!$G$147</f>
        <v>377.92000000004191</v>
      </c>
      <c r="W16" s="251">
        <f>'12'!$G$148</f>
        <v>284.07999999995809</v>
      </c>
      <c r="X16" s="251">
        <f>'12'!$G$143</f>
        <v>22.479999999999563</v>
      </c>
      <c r="Y16" s="251">
        <f>'12'!$G$58</f>
        <v>273.27000000000407</v>
      </c>
      <c r="Z16" s="251">
        <f>'12'!$G$151</f>
        <v>257</v>
      </c>
      <c r="AA16" s="251">
        <f>'12'!G161</f>
        <v>66.680000000051223</v>
      </c>
      <c r="AB16" s="251">
        <f>'12'!G162</f>
        <v>39.5</v>
      </c>
      <c r="AC16" s="251">
        <f>'12'!G88</f>
        <v>-4.9999999999272404E-2</v>
      </c>
      <c r="AD16" s="251">
        <f>'12'!G163+'12'!G164</f>
        <v>164.19999999999982</v>
      </c>
      <c r="AE16" s="254">
        <f>'12'!$G$116</f>
        <v>378.69999999999709</v>
      </c>
      <c r="AF16" s="254">
        <f>'12'!$G$117</f>
        <v>213.12000000000262</v>
      </c>
      <c r="AG16" s="254">
        <f>'12'!$G$118</f>
        <v>628.26000000000204</v>
      </c>
      <c r="AH16" s="254">
        <f>'12'!$G$119</f>
        <v>224.58999999999651</v>
      </c>
      <c r="AI16" s="254">
        <f>'12'!$G$120</f>
        <v>427.90000000000146</v>
      </c>
      <c r="AJ16" s="254">
        <f>'12'!$G$121</f>
        <v>438.04000000000087</v>
      </c>
      <c r="AK16" s="254">
        <f>'12'!$G$122</f>
        <v>306.03999999999724</v>
      </c>
      <c r="AL16" s="254">
        <f>'12'!$G$123</f>
        <v>293.5199999999968</v>
      </c>
      <c r="AM16" s="254">
        <f>'12'!$G$133</f>
        <v>785</v>
      </c>
      <c r="AN16" s="254">
        <f>'12'!$G$15</f>
        <v>1000</v>
      </c>
      <c r="AO16" s="256">
        <f>'12'!$G$74</f>
        <v>339.29000000003725</v>
      </c>
      <c r="AP16" s="256">
        <f>'12'!$G$75</f>
        <v>0</v>
      </c>
      <c r="AQ16" s="256">
        <f>'12'!$G$76</f>
        <v>88</v>
      </c>
      <c r="AR16" s="256">
        <f>'12'!$G$77</f>
        <v>41</v>
      </c>
      <c r="AS16" s="256">
        <f>'12'!$G$78</f>
        <v>0.3999999999996362</v>
      </c>
      <c r="AT16" s="256">
        <f t="shared" si="0"/>
        <v>531.30999999996311</v>
      </c>
      <c r="AU16" s="254">
        <f>SUM('12'!G91:G92)</f>
        <v>12.470000000000255</v>
      </c>
      <c r="AV16" s="254">
        <f>'12'!$G$88</f>
        <v>-4.9999999999272404E-2</v>
      </c>
      <c r="AW16" s="254">
        <f>'12'!$G$89</f>
        <v>8.8100000000013097</v>
      </c>
      <c r="AX16" s="254">
        <f>'12'!$G$90</f>
        <v>10.989999999990687</v>
      </c>
      <c r="AY16" s="252">
        <f t="shared" si="1"/>
        <v>19.749999999992724</v>
      </c>
      <c r="AZ16" s="311">
        <f t="shared" si="6"/>
        <v>27.208500400964741</v>
      </c>
      <c r="BA16" s="311">
        <f t="shared" si="3"/>
        <v>26.901772151906776</v>
      </c>
      <c r="BB16" s="351">
        <f t="shared" si="4"/>
        <v>5862.95999999997</v>
      </c>
      <c r="BC16" s="351">
        <f t="shared" si="5"/>
        <v>22.377709923664007</v>
      </c>
    </row>
    <row r="17" spans="1:55">
      <c r="A17" s="359">
        <v>13</v>
      </c>
      <c r="B17" s="511">
        <f>'13'!G7</f>
        <v>26200</v>
      </c>
      <c r="C17" s="511">
        <f>'13'!G8</f>
        <v>26500</v>
      </c>
      <c r="D17" s="511">
        <f>'13'!G15</f>
        <v>1000</v>
      </c>
      <c r="E17" s="511">
        <f>'13'!G20</f>
        <v>170</v>
      </c>
      <c r="F17" s="511">
        <f>SUM('13'!G35,'13'!G49)</f>
        <v>3392.039999999979</v>
      </c>
      <c r="G17" s="511">
        <f>SUM('13'!G37,'13'!G51)</f>
        <v>1540.1399999999558</v>
      </c>
      <c r="H17" s="511">
        <f>SUM('13'!G38,'13'!G52)</f>
        <v>2289.2399999999907</v>
      </c>
      <c r="I17" s="511">
        <f>SUM('13'!G39,'13'!G53)</f>
        <v>2983.359999999986</v>
      </c>
      <c r="J17" s="511">
        <f>SUM('13'!G41,'13'!G42,'13'!G55,'13'!G56)</f>
        <v>7606.6199999999953</v>
      </c>
      <c r="K17" s="511">
        <f>SUM('13'!G43,'13'!G57)</f>
        <v>2999.539999999979</v>
      </c>
      <c r="L17" s="254">
        <f>'13'!G50</f>
        <v>1455.0799999999872</v>
      </c>
      <c r="M17" s="254">
        <f>'13'!G36</f>
        <v>743.05999999999767</v>
      </c>
      <c r="N17" s="254">
        <f>'13'!G138</f>
        <v>84</v>
      </c>
      <c r="O17" s="254">
        <f>'13'!$G$139</f>
        <v>162</v>
      </c>
      <c r="P17" s="254">
        <f>'13'!$G$140</f>
        <v>90</v>
      </c>
      <c r="Q17" s="254">
        <f>'13'!$G$141</f>
        <v>205.35000000000582</v>
      </c>
      <c r="R17" s="254">
        <f>'13'!$G$142</f>
        <v>72.520000000004075</v>
      </c>
      <c r="S17" s="254">
        <f>'13'!$G$145</f>
        <v>-2</v>
      </c>
      <c r="T17" s="251">
        <f>'13'!$G$146</f>
        <v>32</v>
      </c>
      <c r="U17" s="251">
        <f>'13'!$G$144</f>
        <v>285</v>
      </c>
      <c r="V17" s="251">
        <f>'13'!$G$147</f>
        <v>388.8399999999674</v>
      </c>
      <c r="W17" s="251">
        <f>'13'!$G$148</f>
        <v>255.52000000001863</v>
      </c>
      <c r="X17" s="251">
        <f>'13'!$G$143</f>
        <v>25.399999999999636</v>
      </c>
      <c r="Y17" s="251">
        <f>'13'!$G$58</f>
        <v>274.91999999999825</v>
      </c>
      <c r="Z17" s="251">
        <f>'13'!$G$151</f>
        <v>313</v>
      </c>
      <c r="AA17" s="251">
        <f>'13'!G161</f>
        <v>96.119999999995343</v>
      </c>
      <c r="AB17" s="251">
        <f>'13'!G162</f>
        <v>37.80000000000291</v>
      </c>
      <c r="AC17" s="251">
        <f>'13'!G88</f>
        <v>4.9999999999272404E-2</v>
      </c>
      <c r="AD17" s="251">
        <f>'13'!G163+'13'!G164</f>
        <v>165.70000000000073</v>
      </c>
      <c r="AE17" s="254">
        <f>'13'!$G$116</f>
        <v>411.12000000000262</v>
      </c>
      <c r="AF17" s="254">
        <f>'13'!$G$117</f>
        <v>282.41000000000349</v>
      </c>
      <c r="AG17" s="254">
        <f>'13'!$G$118</f>
        <v>641.84999999999854</v>
      </c>
      <c r="AH17" s="254">
        <f>'13'!$G$119</f>
        <v>227.86000000000058</v>
      </c>
      <c r="AI17" s="254">
        <f>'13'!$G$120</f>
        <v>452.04000000000087</v>
      </c>
      <c r="AJ17" s="254">
        <f>'13'!$G$121</f>
        <v>450</v>
      </c>
      <c r="AK17" s="254">
        <f>'13'!$G$122</f>
        <v>279.05000000000291</v>
      </c>
      <c r="AL17" s="254">
        <f>'13'!$G$123</f>
        <v>314.12000000000262</v>
      </c>
      <c r="AM17" s="254">
        <f>'13'!$G$133</f>
        <v>686.67999999999302</v>
      </c>
      <c r="AN17" s="254">
        <f>'13'!$G$15</f>
        <v>1000</v>
      </c>
      <c r="AO17" s="256">
        <f>'13'!$G$74</f>
        <v>375.9100000000326</v>
      </c>
      <c r="AP17" s="256">
        <f>'13'!$G$75</f>
        <v>0</v>
      </c>
      <c r="AQ17" s="256">
        <f>'13'!$G$76</f>
        <v>116.94000000000233</v>
      </c>
      <c r="AR17" s="256">
        <f>'13'!$G$77</f>
        <v>57.5</v>
      </c>
      <c r="AS17" s="256">
        <f>'13'!$G$78</f>
        <v>-0.3999999999996362</v>
      </c>
      <c r="AT17" s="256">
        <f t="shared" si="0"/>
        <v>450.04999999996471</v>
      </c>
      <c r="AU17" s="254">
        <f>SUM('13'!G91:G92)</f>
        <v>13.420000000000073</v>
      </c>
      <c r="AV17" s="254">
        <f>'13'!$G$88</f>
        <v>4.9999999999272404E-2</v>
      </c>
      <c r="AW17" s="254">
        <f>'13'!$G$89</f>
        <v>9.5799999999981083</v>
      </c>
      <c r="AX17" s="254">
        <f>'13'!$G$90</f>
        <v>10.410000000003492</v>
      </c>
      <c r="AY17" s="252">
        <f t="shared" si="1"/>
        <v>20.040000000000873</v>
      </c>
      <c r="AZ17" s="311">
        <f t="shared" si="6"/>
        <v>28.011177347245198</v>
      </c>
      <c r="BA17" s="311">
        <f t="shared" si="3"/>
        <v>22.457584830336582</v>
      </c>
      <c r="BB17" s="351">
        <f t="shared" si="4"/>
        <v>5414.1400000001158</v>
      </c>
      <c r="BC17" s="351">
        <f t="shared" si="5"/>
        <v>20.664656488550062</v>
      </c>
    </row>
    <row r="18" spans="1:55">
      <c r="A18" s="359">
        <v>14</v>
      </c>
      <c r="B18" s="511">
        <f>'14'!G7</f>
        <v>26200</v>
      </c>
      <c r="C18" s="511">
        <f>'14'!G8</f>
        <v>26500</v>
      </c>
      <c r="D18" s="511">
        <f>'14'!G15</f>
        <v>1000</v>
      </c>
      <c r="E18" s="511">
        <f>'14'!G20</f>
        <v>192</v>
      </c>
      <c r="F18" s="511">
        <f>SUM('14'!G35,'14'!G49)</f>
        <v>3084.5200000000186</v>
      </c>
      <c r="G18" s="511">
        <f>SUM('14'!G37,'14'!G51)</f>
        <v>1526.8799999999976</v>
      </c>
      <c r="H18" s="511">
        <f>SUM('14'!G38,'14'!G52)</f>
        <v>2266.5999999999858</v>
      </c>
      <c r="I18" s="511">
        <f>SUM('14'!G39,'14'!G53)</f>
        <v>2924.2000000000698</v>
      </c>
      <c r="J18" s="511">
        <f>SUM('14'!G41,'14'!G42,'14'!G55,'14'!G56)</f>
        <v>7562.2250000000349</v>
      </c>
      <c r="K18" s="511">
        <f>SUM('14'!G43,'14'!G57)</f>
        <v>3165</v>
      </c>
      <c r="L18" s="254">
        <f>'14'!G50</f>
        <v>1325.9800000000105</v>
      </c>
      <c r="M18" s="254">
        <f>'14'!G36</f>
        <v>881.90000000002328</v>
      </c>
      <c r="N18" s="254">
        <f>'14'!G138</f>
        <v>102</v>
      </c>
      <c r="O18" s="254">
        <f>'14'!$G$139</f>
        <v>171</v>
      </c>
      <c r="P18" s="254">
        <f>'14'!$G$140</f>
        <v>0</v>
      </c>
      <c r="Q18" s="254">
        <f>'14'!$G$141</f>
        <v>194.40999999998894</v>
      </c>
      <c r="R18" s="254">
        <f>'14'!$G$142</f>
        <v>75.19999999999709</v>
      </c>
      <c r="S18" s="254">
        <f>'14'!$G$145</f>
        <v>0</v>
      </c>
      <c r="T18" s="251">
        <f>'14'!$G$146</f>
        <v>36</v>
      </c>
      <c r="U18" s="251">
        <f>'14'!$G$144</f>
        <v>260</v>
      </c>
      <c r="V18" s="251">
        <f>'14'!$G$147</f>
        <v>417.80000000004657</v>
      </c>
      <c r="W18" s="251">
        <f>'14'!$G$148</f>
        <v>289.28000000002794</v>
      </c>
      <c r="X18" s="251">
        <f>'14'!$G$143</f>
        <v>22.660000000001673</v>
      </c>
      <c r="Y18" s="251">
        <f>'14'!$G$58</f>
        <v>265.70999999999913</v>
      </c>
      <c r="Z18" s="251">
        <f>'14'!$G$151</f>
        <v>305</v>
      </c>
      <c r="AA18" s="251">
        <f>'14'!G161</f>
        <v>52.07999999995809</v>
      </c>
      <c r="AB18" s="251">
        <f>'14'!G162</f>
        <v>45</v>
      </c>
      <c r="AC18" s="251">
        <f>'14'!G88</f>
        <v>0</v>
      </c>
      <c r="AD18" s="251">
        <f>'14'!G163+'14'!G164</f>
        <v>166.30000000000018</v>
      </c>
      <c r="AE18" s="254">
        <f>'14'!$G$116</f>
        <v>331.97999999999593</v>
      </c>
      <c r="AF18" s="254">
        <f>'14'!$G$117</f>
        <v>298.79999999999563</v>
      </c>
      <c r="AG18" s="254">
        <f>'14'!$G$118</f>
        <v>634.44999999999709</v>
      </c>
      <c r="AH18" s="254">
        <f>'14'!$G$119</f>
        <v>226.91000000000349</v>
      </c>
      <c r="AI18" s="254">
        <f>'14'!$G$120</f>
        <v>433.87999999999738</v>
      </c>
      <c r="AJ18" s="254">
        <f>'14'!$G$121</f>
        <v>438.12999999999738</v>
      </c>
      <c r="AK18" s="254">
        <f>'14'!$G$122</f>
        <v>276.37999999999738</v>
      </c>
      <c r="AL18" s="254">
        <f>'14'!$G$123</f>
        <v>316.93999999999869</v>
      </c>
      <c r="AM18" s="254">
        <f>'14'!$G$133</f>
        <v>607.55999999999767</v>
      </c>
      <c r="AN18" s="254">
        <f>'14'!$G$15</f>
        <v>1000</v>
      </c>
      <c r="AO18" s="256">
        <f>'14'!$G$74</f>
        <v>364.14999999990687</v>
      </c>
      <c r="AP18" s="256">
        <f>'14'!$G$75</f>
        <v>0</v>
      </c>
      <c r="AQ18" s="256">
        <f>'14'!$G$76</f>
        <v>116.05999999999767</v>
      </c>
      <c r="AR18" s="256">
        <f>'14'!$G$77</f>
        <v>50.5</v>
      </c>
      <c r="AS18" s="256">
        <f>'14'!$G$78</f>
        <v>-1</v>
      </c>
      <c r="AT18" s="256">
        <f t="shared" si="0"/>
        <v>470.29000000009546</v>
      </c>
      <c r="AU18" s="254">
        <f>SUM('14'!G91:G92)</f>
        <v>13.590000000000146</v>
      </c>
      <c r="AV18" s="254">
        <f>'14'!$G$88</f>
        <v>0</v>
      </c>
      <c r="AW18" s="254">
        <f>'14'!$G$89</f>
        <v>9.1100000000005821</v>
      </c>
      <c r="AX18" s="254">
        <f>'14'!$G$90</f>
        <v>9.7100000000064028</v>
      </c>
      <c r="AY18" s="252">
        <f t="shared" si="1"/>
        <v>18.820000000006985</v>
      </c>
      <c r="AZ18" s="311">
        <f t="shared" si="6"/>
        <v>26.79543782192075</v>
      </c>
      <c r="BA18" s="311">
        <f t="shared" si="3"/>
        <v>24.988841657806638</v>
      </c>
      <c r="BB18" s="351">
        <f t="shared" si="4"/>
        <v>5704.8649999998961</v>
      </c>
      <c r="BC18" s="351">
        <f t="shared" si="5"/>
        <v>21.774293893129375</v>
      </c>
    </row>
    <row r="19" spans="1:55">
      <c r="A19" s="359">
        <v>15</v>
      </c>
      <c r="B19" s="511">
        <f>'15'!G7</f>
        <v>26200</v>
      </c>
      <c r="C19" s="511">
        <f>'15'!G8</f>
        <v>26499.999999999993</v>
      </c>
      <c r="D19" s="511">
        <f>'15'!G15</f>
        <v>1000</v>
      </c>
      <c r="E19" s="511">
        <f>'15'!G20</f>
        <v>243</v>
      </c>
      <c r="F19" s="511">
        <f>SUM('15'!G35,'15'!G49)</f>
        <v>3477.0899999999674</v>
      </c>
      <c r="G19" s="511">
        <f>SUM('15'!G37,'15'!G51)</f>
        <v>1566.4000000000233</v>
      </c>
      <c r="H19" s="511">
        <f>SUM('15'!G38,'15'!G52)</f>
        <v>2416.640000000014</v>
      </c>
      <c r="I19" s="511">
        <f>SUM('15'!G39,'15'!G53)</f>
        <v>2885.7199999999721</v>
      </c>
      <c r="J19" s="511">
        <f>SUM('15'!G41,'15'!G42,'15'!G55,'15'!G56)</f>
        <v>7325.4749999999476</v>
      </c>
      <c r="K19" s="511">
        <f>SUM('15'!G43,'15'!G57)</f>
        <v>3004.8800000000047</v>
      </c>
      <c r="L19" s="254">
        <f>'15'!G50</f>
        <v>1019.7000000000116</v>
      </c>
      <c r="M19" s="254">
        <f>'15'!G36</f>
        <v>1122.9199999999837</v>
      </c>
      <c r="N19" s="254">
        <f>'15'!G138</f>
        <v>76</v>
      </c>
      <c r="O19" s="254">
        <f>'15'!$G$139</f>
        <v>150</v>
      </c>
      <c r="P19" s="254">
        <f>'15'!$G$140</f>
        <v>0</v>
      </c>
      <c r="Q19" s="254">
        <f>'15'!$G$141</f>
        <v>211.24000000000524</v>
      </c>
      <c r="R19" s="254">
        <f>'15'!$G$142</f>
        <v>76.05000000000291</v>
      </c>
      <c r="S19" s="254">
        <f>'15'!$G$145</f>
        <v>13.5</v>
      </c>
      <c r="T19" s="251">
        <f>'15'!$G$146</f>
        <v>41</v>
      </c>
      <c r="U19" s="251">
        <f>'15'!$G$144</f>
        <v>244</v>
      </c>
      <c r="V19" s="251">
        <f>'15'!$G$147</f>
        <v>419.19999999995343</v>
      </c>
      <c r="W19" s="251">
        <f>'15'!$G$148</f>
        <v>328.15999999991618</v>
      </c>
      <c r="X19" s="251">
        <f>'15'!$G$143</f>
        <v>29.909999999999854</v>
      </c>
      <c r="Y19" s="251">
        <f>'15'!$G$58</f>
        <v>296.63999999999942</v>
      </c>
      <c r="Z19" s="251">
        <f>'15'!$G$151</f>
        <v>280</v>
      </c>
      <c r="AA19" s="251">
        <f>'15'!G161</f>
        <v>23.400000000023283</v>
      </c>
      <c r="AB19" s="251">
        <f>'15'!G162</f>
        <v>48</v>
      </c>
      <c r="AC19" s="251">
        <f>'15'!G88</f>
        <v>1.5900000000001455</v>
      </c>
      <c r="AD19" s="251">
        <f>'15'!G163+'15'!G164</f>
        <v>151.59999999999945</v>
      </c>
      <c r="AE19" s="254">
        <f>'15'!$G$116</f>
        <v>188.14000000000669</v>
      </c>
      <c r="AF19" s="254">
        <f>'15'!$G$117</f>
        <v>311.55000000000291</v>
      </c>
      <c r="AG19" s="254">
        <f>'15'!$G$118</f>
        <v>627.88999999999942</v>
      </c>
      <c r="AH19" s="254">
        <f>'15'!$G$119</f>
        <v>226.29999999999563</v>
      </c>
      <c r="AI19" s="254">
        <f>'15'!$G$120</f>
        <v>455.59000000000378</v>
      </c>
      <c r="AJ19" s="254">
        <f>'15'!$G$121</f>
        <v>452.87000000000262</v>
      </c>
      <c r="AK19" s="254">
        <f>'15'!$G$122</f>
        <v>273.30000000000291</v>
      </c>
      <c r="AL19" s="254">
        <f>'15'!$G$123</f>
        <v>317.17499999999927</v>
      </c>
      <c r="AM19" s="254">
        <f>'15'!$G$133</f>
        <v>337.77999999999884</v>
      </c>
      <c r="AN19" s="254">
        <f>'15'!$G$15</f>
        <v>1000</v>
      </c>
      <c r="AO19" s="256">
        <f>'15'!$G$74</f>
        <v>328.42000000004191</v>
      </c>
      <c r="AP19" s="256">
        <f>'15'!$G$75</f>
        <v>0</v>
      </c>
      <c r="AQ19" s="256">
        <f>'15'!$G$76</f>
        <v>114</v>
      </c>
      <c r="AR19" s="256">
        <f>'15'!$G$77</f>
        <v>51</v>
      </c>
      <c r="AS19" s="256">
        <f>'15'!$G$78</f>
        <v>1</v>
      </c>
      <c r="AT19" s="256">
        <f t="shared" si="0"/>
        <v>505.57999999995809</v>
      </c>
      <c r="AU19" s="254">
        <f>SUM('15'!G91:G92)</f>
        <v>11.970000000000255</v>
      </c>
      <c r="AV19" s="254">
        <f>'15'!$G$88</f>
        <v>1.5900000000001455</v>
      </c>
      <c r="AW19" s="254">
        <f>'15'!$G$89</f>
        <v>8.4200000000018917</v>
      </c>
      <c r="AX19" s="254">
        <f>'15'!$G$90</f>
        <v>10.959999999991851</v>
      </c>
      <c r="AY19" s="252">
        <f t="shared" si="1"/>
        <v>20.969999999993888</v>
      </c>
      <c r="AZ19" s="311">
        <f t="shared" si="6"/>
        <v>27.436925647454881</v>
      </c>
      <c r="BA19" s="311">
        <f t="shared" si="3"/>
        <v>24.109680495951618</v>
      </c>
      <c r="BB19" s="351">
        <f t="shared" si="4"/>
        <v>5527.1550000000643</v>
      </c>
      <c r="BC19" s="351">
        <f t="shared" si="5"/>
        <v>21.096011450381926</v>
      </c>
    </row>
    <row r="20" spans="1:55">
      <c r="A20" s="359">
        <v>16</v>
      </c>
      <c r="B20" s="511">
        <f>'16'!G7</f>
        <v>26200</v>
      </c>
      <c r="C20" s="511">
        <f>'16'!G8</f>
        <v>26500</v>
      </c>
      <c r="D20" s="511">
        <f>'16'!G15</f>
        <v>1000</v>
      </c>
      <c r="E20" s="511">
        <f>'16'!G20</f>
        <v>272</v>
      </c>
      <c r="F20" s="511">
        <f>SUM('16'!G35,'16'!G49)</f>
        <v>3597</v>
      </c>
      <c r="G20" s="511">
        <f>SUM('16'!G37,'16'!G51)</f>
        <v>1601.5800000000163</v>
      </c>
      <c r="H20" s="511">
        <f>SUM('16'!G38,'16'!G52)</f>
        <v>2437.4800000000396</v>
      </c>
      <c r="I20" s="511">
        <f>SUM('16'!G39,'16'!G53)</f>
        <v>2960.6800000000512</v>
      </c>
      <c r="J20" s="511">
        <f>SUM('16'!G41,'16'!G42,'16'!G55,'16'!G56)</f>
        <v>7993.4800000000105</v>
      </c>
      <c r="K20" s="511">
        <f>SUM('16'!G43,'16'!G57)</f>
        <v>3083.6600000000035</v>
      </c>
      <c r="L20" s="254">
        <f>'16'!G50</f>
        <v>1357.7099999999919</v>
      </c>
      <c r="M20" s="254">
        <f>'16'!G36</f>
        <v>901.55999999999767</v>
      </c>
      <c r="N20" s="254">
        <f>'16'!G138</f>
        <v>105</v>
      </c>
      <c r="O20" s="254">
        <f>'16'!$G$139</f>
        <v>166</v>
      </c>
      <c r="P20" s="254">
        <f>'16'!$G$140</f>
        <v>29.369999999999891</v>
      </c>
      <c r="Q20" s="254">
        <f>'16'!$G$141</f>
        <v>210</v>
      </c>
      <c r="R20" s="254">
        <f>'16'!$G$142</f>
        <v>81.120000000002619</v>
      </c>
      <c r="S20" s="254">
        <f>'16'!$G$145</f>
        <v>9.0900000000001455</v>
      </c>
      <c r="T20" s="251">
        <f>'16'!$G$146</f>
        <v>40</v>
      </c>
      <c r="U20" s="251">
        <f>'16'!$G$144</f>
        <v>236</v>
      </c>
      <c r="V20" s="251">
        <f>'16'!$G$147</f>
        <v>399.76000000000931</v>
      </c>
      <c r="W20" s="251">
        <f>'16'!$G$148</f>
        <v>333.04000000003725</v>
      </c>
      <c r="X20" s="251">
        <f>'16'!$G$143</f>
        <v>31.1299999999992</v>
      </c>
      <c r="Y20" s="251">
        <f>'16'!$G$58</f>
        <v>282.80000000000291</v>
      </c>
      <c r="Z20" s="251">
        <f>'16'!$G$151</f>
        <v>301</v>
      </c>
      <c r="AA20" s="251">
        <f>'16'!G161</f>
        <v>35.960000000020955</v>
      </c>
      <c r="AB20" s="251">
        <f>'16'!G162</f>
        <v>31</v>
      </c>
      <c r="AC20" s="251">
        <f>'16'!G88</f>
        <v>1.9499999999970896</v>
      </c>
      <c r="AD20" s="251">
        <f>'16'!G163+'16'!G164</f>
        <v>153.90000000000055</v>
      </c>
      <c r="AE20" s="254">
        <f>'16'!$G$116</f>
        <v>272.06999999999971</v>
      </c>
      <c r="AF20" s="254">
        <f>'16'!$G$117</f>
        <v>301.02999999999884</v>
      </c>
      <c r="AG20" s="254">
        <f>'16'!$G$118</f>
        <v>646.23999999999796</v>
      </c>
      <c r="AH20" s="254">
        <f>'16'!$G$119</f>
        <v>233.70000000000437</v>
      </c>
      <c r="AI20" s="254">
        <f>'16'!$G$120</f>
        <v>470.68000000000029</v>
      </c>
      <c r="AJ20" s="254">
        <f>'16'!$G$121</f>
        <v>459.19999999999709</v>
      </c>
      <c r="AK20" s="254">
        <f>'16'!$G$122</f>
        <v>257.59999999999854</v>
      </c>
      <c r="AL20" s="254">
        <f>'16'!$G$123</f>
        <v>326.80500000000029</v>
      </c>
      <c r="AM20" s="254">
        <f>'16'!$G$133</f>
        <v>-0.69000000000232831</v>
      </c>
      <c r="AN20" s="254">
        <f>'16'!$G$15</f>
        <v>1000</v>
      </c>
      <c r="AO20" s="256">
        <f>'16'!$G$74</f>
        <v>309.15000000002328</v>
      </c>
      <c r="AP20" s="256">
        <f>'16'!$G$75</f>
        <v>0</v>
      </c>
      <c r="AQ20" s="256">
        <f>'16'!$G$76</f>
        <v>104</v>
      </c>
      <c r="AR20" s="256">
        <f>'16'!$G$77</f>
        <v>57</v>
      </c>
      <c r="AS20" s="256">
        <f>'16'!$G$78</f>
        <v>0</v>
      </c>
      <c r="AT20" s="256">
        <f t="shared" si="0"/>
        <v>529.84999999997672</v>
      </c>
      <c r="AU20" s="254">
        <f>SUM('16'!G91:G92)</f>
        <v>11.319999999999709</v>
      </c>
      <c r="AV20" s="254">
        <f>'16'!$G$88</f>
        <v>1.9499999999970896</v>
      </c>
      <c r="AW20" s="254">
        <f>'16'!$G$89</f>
        <v>8.6199999999989814</v>
      </c>
      <c r="AX20" s="254">
        <f>'16'!$G$90</f>
        <v>10.650000000008731</v>
      </c>
      <c r="AY20" s="252">
        <f t="shared" si="1"/>
        <v>21.220000000004802</v>
      </c>
      <c r="AZ20" s="311">
        <f t="shared" si="6"/>
        <v>27.310070671380849</v>
      </c>
      <c r="BA20" s="311">
        <f t="shared" si="3"/>
        <v>24.969368520257156</v>
      </c>
      <c r="BB20" s="351">
        <f t="shared" si="4"/>
        <v>4543.319999999876</v>
      </c>
      <c r="BC20" s="351">
        <f t="shared" si="5"/>
        <v>17.340916030533879</v>
      </c>
    </row>
    <row r="21" spans="1:55">
      <c r="A21" s="359">
        <v>17</v>
      </c>
      <c r="B21" s="511">
        <f>'17'!G7</f>
        <v>26200</v>
      </c>
      <c r="C21" s="511">
        <f>'17'!G8</f>
        <v>26500</v>
      </c>
      <c r="D21" s="511">
        <f>'17'!G15</f>
        <v>1000</v>
      </c>
      <c r="E21" s="511">
        <f>'17'!G20</f>
        <v>320</v>
      </c>
      <c r="F21" s="511">
        <f>SUM('17'!G35,'17'!G49)</f>
        <v>3485.3300000000163</v>
      </c>
      <c r="G21" s="511">
        <f>SUM('17'!G37,'17'!G51)</f>
        <v>1544.5999999999767</v>
      </c>
      <c r="H21" s="511">
        <f>SUM('17'!G38,'17'!G52)</f>
        <v>2458.8799999999464</v>
      </c>
      <c r="I21" s="511">
        <f>SUM('17'!G39,'17'!G53)</f>
        <v>2887.640000000014</v>
      </c>
      <c r="J21" s="511">
        <f>SUM('17'!G41,'17'!G42,'17'!G55,'17'!G56)</f>
        <v>7072.2200000000012</v>
      </c>
      <c r="K21" s="511">
        <f>SUM('17'!G43,'17'!G57)</f>
        <v>2989.2000000000116</v>
      </c>
      <c r="L21" s="254">
        <f>'17'!G50</f>
        <v>1077.6500000000233</v>
      </c>
      <c r="M21" s="254">
        <f>'17'!G36</f>
        <v>765.32000000000698</v>
      </c>
      <c r="N21" s="254">
        <f>'18 '!G138</f>
        <v>136</v>
      </c>
      <c r="O21" s="254">
        <f>'17'!$G$139</f>
        <v>153</v>
      </c>
      <c r="P21" s="254">
        <f>'17'!$G$140</f>
        <v>15.200000000000045</v>
      </c>
      <c r="Q21" s="254">
        <f>'17'!$G$141</f>
        <v>219</v>
      </c>
      <c r="R21" s="254">
        <f>'17'!$G$142</f>
        <v>81.899999999994179</v>
      </c>
      <c r="S21" s="254">
        <f>'17'!$G$145</f>
        <v>8.1099999999996726</v>
      </c>
      <c r="T21" s="251">
        <f>'17'!$G$146</f>
        <v>50</v>
      </c>
      <c r="U21" s="251">
        <f>'17'!$G$144</f>
        <v>245</v>
      </c>
      <c r="V21" s="251">
        <f>'17'!$G$147</f>
        <v>415.8399999999674</v>
      </c>
      <c r="W21" s="251">
        <f>'17'!$G$148</f>
        <v>310.08000000007451</v>
      </c>
      <c r="X21" s="251">
        <f>'17'!$G$143</f>
        <v>30.020000000000437</v>
      </c>
      <c r="Y21" s="251">
        <f>'17'!$G$58</f>
        <v>270.76000000000204</v>
      </c>
      <c r="Z21" s="251">
        <f>'17'!$G$151</f>
        <v>296</v>
      </c>
      <c r="AA21" s="251">
        <f>'17'!G161</f>
        <v>38.880000000004657</v>
      </c>
      <c r="AB21" s="251">
        <f>'17'!G162</f>
        <v>26.19999999999709</v>
      </c>
      <c r="AC21" s="251">
        <f>'17'!G88</f>
        <v>1.0000000002037268E-2</v>
      </c>
      <c r="AD21" s="251">
        <f>'17'!G163+'17'!G164</f>
        <v>162.19999999999891</v>
      </c>
      <c r="AE21" s="254">
        <f>'17'!$G$116</f>
        <v>322.09999999999854</v>
      </c>
      <c r="AF21" s="254">
        <f>'17'!$G$117</f>
        <v>248.19999999999709</v>
      </c>
      <c r="AG21" s="254">
        <f>'17'!$G$118</f>
        <v>637.41000000000349</v>
      </c>
      <c r="AH21" s="254">
        <f>'17'!$G$119</f>
        <v>232</v>
      </c>
      <c r="AI21" s="254">
        <f>'17'!$G$120</f>
        <v>434.71999999999389</v>
      </c>
      <c r="AJ21" s="254">
        <f>'17'!$G$121</f>
        <v>435.20000000000437</v>
      </c>
      <c r="AK21" s="254">
        <f>'17'!$G$122</f>
        <v>276.20000000000073</v>
      </c>
      <c r="AL21" s="254">
        <f>'17'!$G$123</f>
        <v>324.54000000000087</v>
      </c>
      <c r="AM21" s="254">
        <f>'17'!$G$133</f>
        <v>-0.30999999999767169</v>
      </c>
      <c r="AN21" s="254">
        <f>'17'!$G$15</f>
        <v>1000</v>
      </c>
      <c r="AO21" s="256">
        <f>'17'!$G$74</f>
        <v>335.57999999995809</v>
      </c>
      <c r="AP21" s="256">
        <f>'17'!$G$75</f>
        <v>0</v>
      </c>
      <c r="AQ21" s="256">
        <f>'17'!$G$76</f>
        <v>114</v>
      </c>
      <c r="AR21" s="256">
        <f>'17'!$G$77</f>
        <v>59.30000000000291</v>
      </c>
      <c r="AS21" s="256">
        <f>'17'!$G$78</f>
        <v>0</v>
      </c>
      <c r="AT21" s="256">
        <f t="shared" si="0"/>
        <v>491.120000000039</v>
      </c>
      <c r="AU21" s="254">
        <f>SUM('17'!G91:G92)</f>
        <v>12.319999999999709</v>
      </c>
      <c r="AV21" s="254">
        <f>'17'!$G$88</f>
        <v>1.0000000002037268E-2</v>
      </c>
      <c r="AW21" s="254">
        <f>'17'!$G$89</f>
        <v>9.4399999999986903</v>
      </c>
      <c r="AX21" s="254">
        <f>'17'!$G$90</f>
        <v>9.8359999999956926</v>
      </c>
      <c r="AY21" s="252">
        <f t="shared" si="1"/>
        <v>19.28599999999642</v>
      </c>
      <c r="AZ21" s="311">
        <f t="shared" si="6"/>
        <v>27.238636363633606</v>
      </c>
      <c r="BA21" s="311">
        <f t="shared" si="3"/>
        <v>25.46510422068496</v>
      </c>
      <c r="BB21" s="351">
        <f t="shared" si="4"/>
        <v>5791.3700000000317</v>
      </c>
      <c r="BC21" s="351">
        <f t="shared" si="5"/>
        <v>22.104465648855083</v>
      </c>
    </row>
    <row r="22" spans="1:55">
      <c r="A22" s="359">
        <v>18</v>
      </c>
      <c r="B22" s="511">
        <f>'18 '!G7</f>
        <v>25260.899999999994</v>
      </c>
      <c r="C22" s="511">
        <f>'18 '!G8</f>
        <v>26500</v>
      </c>
      <c r="D22" s="511">
        <f>'18 '!G15</f>
        <v>1000</v>
      </c>
      <c r="E22" s="511">
        <f>'18 '!G20</f>
        <v>274</v>
      </c>
      <c r="F22" s="511">
        <f>SUM('18 '!G35,'18 '!G49)</f>
        <v>3521.960000000021</v>
      </c>
      <c r="G22" s="511">
        <f>SUM('18 '!G37,'18 '!G51)</f>
        <v>1599.0599999999977</v>
      </c>
      <c r="H22" s="511">
        <f>SUM('18 '!G38,'18 '!G52)</f>
        <v>2493.710000000021</v>
      </c>
      <c r="I22" s="511">
        <f>SUM('18 '!G39,'18 '!G53)</f>
        <v>2965.0399999999208</v>
      </c>
      <c r="J22" s="511">
        <f>SUM('18 '!G41,'18 '!G42,'18 '!G55,'18 '!G56)</f>
        <v>6799.2300000000105</v>
      </c>
      <c r="K22" s="511">
        <f>SUM('18 '!G43,'18 '!G57)</f>
        <v>2881.8800000000047</v>
      </c>
      <c r="L22" s="254">
        <f>'18 '!G50</f>
        <v>1162.1399999999558</v>
      </c>
      <c r="M22" s="254">
        <f>'18 '!G36</f>
        <v>1106.679999999993</v>
      </c>
      <c r="N22" s="254">
        <f>'18 '!G138</f>
        <v>136</v>
      </c>
      <c r="O22" s="254">
        <f>'18 '!$G$139</f>
        <v>149</v>
      </c>
      <c r="P22" s="254">
        <f>'18 '!$G$140</f>
        <v>16.009999999999991</v>
      </c>
      <c r="Q22" s="254">
        <f>'18 '!$G$141</f>
        <v>203.55999999999767</v>
      </c>
      <c r="R22" s="254">
        <f>'18 '!$G$142</f>
        <v>77.040000000000873</v>
      </c>
      <c r="S22" s="254">
        <f>'18 '!$G$145</f>
        <v>20.489999999999782</v>
      </c>
      <c r="T22" s="251">
        <f>'18 '!$G$146</f>
        <v>22</v>
      </c>
      <c r="U22" s="251">
        <f>'18 '!$G$144</f>
        <v>230</v>
      </c>
      <c r="V22" s="256">
        <f>'18 '!$G$147</f>
        <v>415.20000000006985</v>
      </c>
      <c r="W22" s="256">
        <f>'18 '!$G$148</f>
        <v>276.31999999994878</v>
      </c>
      <c r="X22" s="256">
        <f>'18 '!$G$143</f>
        <v>28.600000000000364</v>
      </c>
      <c r="Y22" s="256">
        <f>'18 '!$G$58</f>
        <v>280.04999999999563</v>
      </c>
      <c r="Z22" s="256">
        <f>'18 '!$G$151</f>
        <v>303</v>
      </c>
      <c r="AA22" s="256">
        <f>'18 '!G161</f>
        <v>37.439999999944121</v>
      </c>
      <c r="AB22" s="251">
        <f>'18 '!G162</f>
        <v>39.80000000000291</v>
      </c>
      <c r="AC22" s="251">
        <f>'18 '!G88</f>
        <v>4.0000000000873115E-2</v>
      </c>
      <c r="AD22" s="251">
        <f>'18 '!G163+'18 '!G164</f>
        <v>186.20000000000073</v>
      </c>
      <c r="AE22" s="254">
        <f>'18 '!$G$116</f>
        <v>300.90000000000146</v>
      </c>
      <c r="AF22" s="254">
        <f>'18 '!$G$117</f>
        <v>245.88999999999942</v>
      </c>
      <c r="AG22" s="254">
        <f>'18 '!$G$118</f>
        <v>755.69999999999709</v>
      </c>
      <c r="AH22" s="254">
        <f>'18 '!$G$119</f>
        <v>236.23300000000017</v>
      </c>
      <c r="AI22" s="254">
        <f>'18 '!$G$120</f>
        <v>448.20000000000437</v>
      </c>
      <c r="AJ22" s="254">
        <f>'18 '!$G$121</f>
        <v>450.5</v>
      </c>
      <c r="AK22" s="254">
        <f>'18 '!$G$122</f>
        <v>298.54000000000087</v>
      </c>
      <c r="AL22" s="254">
        <f>'18 '!$G$123</f>
        <v>328</v>
      </c>
      <c r="AM22" s="254">
        <f>'18 '!$G$133</f>
        <v>0</v>
      </c>
      <c r="AN22" s="254">
        <f>'18 '!$G$15</f>
        <v>1000</v>
      </c>
      <c r="AO22" s="256">
        <f>'18 '!$G$74</f>
        <v>352.70999999996275</v>
      </c>
      <c r="AP22" s="256">
        <f>'18 '!$G$75</f>
        <v>0</v>
      </c>
      <c r="AQ22" s="256">
        <f>'18 '!$G$76</f>
        <v>85.410000000003492</v>
      </c>
      <c r="AR22" s="256">
        <f>'18 '!$G$77</f>
        <v>54.299999999995634</v>
      </c>
      <c r="AS22" s="256">
        <f>'18 '!$G$78</f>
        <v>0</v>
      </c>
      <c r="AT22" s="256">
        <f t="shared" si="0"/>
        <v>507.58000000003813</v>
      </c>
      <c r="AU22" s="254">
        <f>SUM('18 '!G91:G92)</f>
        <v>12.920000000000073</v>
      </c>
      <c r="AV22" s="254">
        <f>'18 '!$G$88</f>
        <v>4.0000000000873115E-2</v>
      </c>
      <c r="AW22" s="254">
        <f>'18 '!$G$89</f>
        <v>8.930000000000291</v>
      </c>
      <c r="AX22" s="254">
        <f>'18 '!$G$90</f>
        <v>12.623999999996158</v>
      </c>
      <c r="AY22" s="252">
        <f t="shared" si="1"/>
        <v>21.593999999997322</v>
      </c>
      <c r="AZ22" s="311">
        <f t="shared" si="6"/>
        <v>27.299535603712133</v>
      </c>
      <c r="BA22" s="311">
        <f t="shared" si="3"/>
        <v>23.505603408358851</v>
      </c>
      <c r="BB22" s="351">
        <f t="shared" si="4"/>
        <v>5959.0700000000288</v>
      </c>
      <c r="BC22" s="351">
        <f t="shared" si="5"/>
        <v>23.590093781298489</v>
      </c>
    </row>
    <row r="23" spans="1:55" s="313" customFormat="1">
      <c r="A23" s="359">
        <v>19</v>
      </c>
      <c r="B23" s="511">
        <f>'19'!G7</f>
        <v>26200</v>
      </c>
      <c r="C23" s="511">
        <f>'19'!G8</f>
        <v>26500</v>
      </c>
      <c r="D23" s="511">
        <f>'19'!G15</f>
        <v>1000</v>
      </c>
      <c r="E23" s="511">
        <f>'19'!G20</f>
        <v>226</v>
      </c>
      <c r="F23" s="511">
        <f>SUM('19'!G35,'19'!G49)</f>
        <v>3706.0299999999697</v>
      </c>
      <c r="G23" s="511">
        <f>SUM('19'!G37,'19'!G51)</f>
        <v>1536.1199999999953</v>
      </c>
      <c r="H23" s="511">
        <f>SUM('19'!G38,'19'!G52)</f>
        <v>2304.210000000021</v>
      </c>
      <c r="I23" s="511">
        <f>SUM('19'!G39,'19'!G53)</f>
        <v>2902.7600000000093</v>
      </c>
      <c r="J23" s="511">
        <f>SUM('19'!G41,'19'!G42,'19'!G55,'19'!G56)</f>
        <v>8734.1100000000151</v>
      </c>
      <c r="K23" s="511">
        <f>SUM('19'!G43,'19'!G57)</f>
        <v>3069.3799999999756</v>
      </c>
      <c r="L23" s="251">
        <f>'19'!G50</f>
        <v>1786.3800000000047</v>
      </c>
      <c r="M23" s="251">
        <f>'19'!G36</f>
        <v>1238.1600000000035</v>
      </c>
      <c r="N23" s="251">
        <f>'19'!G138</f>
        <v>131</v>
      </c>
      <c r="O23" s="251">
        <f>'19'!$G$139</f>
        <v>146</v>
      </c>
      <c r="P23" s="251">
        <f>'19'!$G$140</f>
        <v>15.170000000000073</v>
      </c>
      <c r="Q23" s="251">
        <f>'19'!$G$141</f>
        <v>194.63999999999942</v>
      </c>
      <c r="R23" s="254">
        <f>'19'!G142</f>
        <v>34.900000000001455</v>
      </c>
      <c r="S23" s="251">
        <f>'19'!$G$145</f>
        <v>15.789999999999964</v>
      </c>
      <c r="T23" s="251">
        <f>'19'!$G$146</f>
        <v>30</v>
      </c>
      <c r="U23" s="251">
        <f>'19'!$G$144</f>
        <v>238</v>
      </c>
      <c r="V23" s="251">
        <f>'19'!$G$147</f>
        <v>417.8399999999674</v>
      </c>
      <c r="W23" s="251">
        <f>'19'!$G$148</f>
        <v>291.11999999999534</v>
      </c>
      <c r="X23" s="251">
        <f>'19'!$G$143</f>
        <v>32.219999999999345</v>
      </c>
      <c r="Y23" s="251">
        <f>'19'!$G$58</f>
        <v>290.87000000000262</v>
      </c>
      <c r="Z23" s="251">
        <f>'19'!$G$151</f>
        <v>276</v>
      </c>
      <c r="AA23" s="251">
        <f>'19'!G161</f>
        <v>60.92000000004191</v>
      </c>
      <c r="AB23" s="251">
        <f>'19'!G162</f>
        <v>37.100000000005821</v>
      </c>
      <c r="AC23" s="251">
        <f>'19'!G88</f>
        <v>0</v>
      </c>
      <c r="AD23" s="251">
        <f>'19'!G163+'19'!G164</f>
        <v>161.79999999999927</v>
      </c>
      <c r="AE23" s="251">
        <f>'19'!$G$116</f>
        <v>299.19999999999709</v>
      </c>
      <c r="AF23" s="251">
        <f>'19'!$G$117</f>
        <v>278.69000000000233</v>
      </c>
      <c r="AG23" s="251">
        <f>'19'!$G$118</f>
        <v>537.70000000000437</v>
      </c>
      <c r="AH23" s="251">
        <f>'19'!$G$119</f>
        <v>217.95699999999488</v>
      </c>
      <c r="AI23" s="251">
        <f>'19'!$G$120</f>
        <v>404.58999999999651</v>
      </c>
      <c r="AJ23" s="251">
        <f>'19'!$G$121</f>
        <v>397.58999999999651</v>
      </c>
      <c r="AK23" s="251">
        <f>'19'!$G$122</f>
        <v>283.7599999999984</v>
      </c>
      <c r="AL23" s="251">
        <f>'19'!$G$123</f>
        <v>312.41999999999825</v>
      </c>
      <c r="AM23" s="251">
        <f>'19'!$G$133</f>
        <v>0</v>
      </c>
      <c r="AN23" s="251">
        <f>'19'!$G$15</f>
        <v>1000</v>
      </c>
      <c r="AO23" s="256">
        <f>'19'!$G$74</f>
        <v>343.56000000005588</v>
      </c>
      <c r="AP23" s="256">
        <f>'19'!$G$75</f>
        <v>0</v>
      </c>
      <c r="AQ23" s="256">
        <f>'19'!$G$76</f>
        <v>96.989999999990687</v>
      </c>
      <c r="AR23" s="256">
        <f>'19'!$G$77</f>
        <v>42.30000000000291</v>
      </c>
      <c r="AS23" s="256">
        <f>'19'!$G$78</f>
        <v>0</v>
      </c>
      <c r="AT23" s="256">
        <f t="shared" si="0"/>
        <v>517.14999999995052</v>
      </c>
      <c r="AU23" s="251">
        <f>SUM('19'!G91:G92)</f>
        <v>14.920000000000073</v>
      </c>
      <c r="AV23" s="251">
        <f>'19'!$G$88</f>
        <v>0</v>
      </c>
      <c r="AW23" s="251">
        <f>'19'!$G$89</f>
        <v>9.1900000000023283</v>
      </c>
      <c r="AX23" s="251">
        <f>'19'!$G$90</f>
        <v>10.930000000007567</v>
      </c>
      <c r="AY23" s="255">
        <f t="shared" si="1"/>
        <v>20.120000000009895</v>
      </c>
      <c r="AZ23" s="311">
        <f t="shared" si="6"/>
        <v>23.026809651478164</v>
      </c>
      <c r="BA23" s="311">
        <f t="shared" si="3"/>
        <v>25.703280318076352</v>
      </c>
      <c r="BB23" s="351">
        <f t="shared" si="4"/>
        <v>3956.5200000000114</v>
      </c>
      <c r="BC23" s="351">
        <f t="shared" si="5"/>
        <v>15.101221374045846</v>
      </c>
    </row>
    <row r="24" spans="1:55">
      <c r="A24" s="359">
        <v>20</v>
      </c>
      <c r="B24" s="511">
        <f>'20'!G7</f>
        <v>26200</v>
      </c>
      <c r="C24" s="511">
        <f>'20'!G8</f>
        <v>26500</v>
      </c>
      <c r="D24" s="511">
        <f>'20'!G15</f>
        <v>1000</v>
      </c>
      <c r="E24" s="511">
        <f>'20'!G20</f>
        <v>273</v>
      </c>
      <c r="F24" s="511">
        <f>SUM('20'!G35,'20'!G49)</f>
        <v>3725.8099999999977</v>
      </c>
      <c r="G24" s="511">
        <f>SUM('20'!G37,'20'!G51)</f>
        <v>1550.5100000000093</v>
      </c>
      <c r="H24" s="511">
        <f>SUM('20'!G38,'20'!G52)</f>
        <v>2246.609999999986</v>
      </c>
      <c r="I24" s="511">
        <f>SUM('20'!G39,'20'!G53)</f>
        <v>2951.890000000014</v>
      </c>
      <c r="J24" s="511">
        <f>SUM('20'!G41,'20'!G42,'20'!G55,'20'!G56)</f>
        <v>7199.1699999999983</v>
      </c>
      <c r="K24" s="511">
        <f>SUM('20'!G43,'20'!G57)</f>
        <v>2990.2300000000105</v>
      </c>
      <c r="L24" s="254">
        <f>'20'!G50</f>
        <v>1834.8300000000163</v>
      </c>
      <c r="M24" s="254">
        <f>'20'!G36</f>
        <v>1180.6300000000047</v>
      </c>
      <c r="N24" s="254">
        <f>'20'!G138</f>
        <v>110</v>
      </c>
      <c r="O24" s="254">
        <f>'20'!$G$139</f>
        <v>177</v>
      </c>
      <c r="P24" s="254">
        <f>'20'!$G$140</f>
        <v>15.619999999999891</v>
      </c>
      <c r="Q24" s="254">
        <f>'20'!$G$141</f>
        <v>190.80000000000291</v>
      </c>
      <c r="R24" s="254">
        <f>'20'!$G$142</f>
        <v>92</v>
      </c>
      <c r="S24" s="254">
        <f>'20'!$G$145</f>
        <v>14.020000000000437</v>
      </c>
      <c r="T24" s="251">
        <f>'20'!$G$146</f>
        <v>37</v>
      </c>
      <c r="U24" s="251">
        <f>'20'!$G$144</f>
        <v>258</v>
      </c>
      <c r="V24" s="251">
        <f>'20'!$G$147</f>
        <v>414.35999999998603</v>
      </c>
      <c r="W24" s="251">
        <f>'20'!$G$148</f>
        <v>304</v>
      </c>
      <c r="X24" s="251">
        <f>'20'!$G$143</f>
        <v>28.579999999999927</v>
      </c>
      <c r="Y24" s="251">
        <f>'20'!$G$58</f>
        <v>288.52999999999884</v>
      </c>
      <c r="Z24" s="251">
        <f>'20'!$G$151</f>
        <v>281</v>
      </c>
      <c r="AA24" s="251">
        <f>'20'!G161</f>
        <v>103.35999999998603</v>
      </c>
      <c r="AB24" s="251">
        <f>'20'!G162</f>
        <v>39.899999999994179</v>
      </c>
      <c r="AC24" s="251">
        <f>'20'!G88</f>
        <v>-0.47000000000116415</v>
      </c>
      <c r="AD24" s="251">
        <f>'20'!G163+'20'!G164</f>
        <v>176.20000000000073</v>
      </c>
      <c r="AE24" s="254">
        <f>'20'!$G$116</f>
        <v>555</v>
      </c>
      <c r="AF24" s="254">
        <f>'20'!$G$117</f>
        <v>213.72000000000116</v>
      </c>
      <c r="AG24" s="254">
        <f>'20'!$G$118</f>
        <v>670.09999999999854</v>
      </c>
      <c r="AH24" s="254">
        <f>'20'!$G$119</f>
        <v>221.91000000000349</v>
      </c>
      <c r="AI24" s="254">
        <f>'20'!$G$120</f>
        <v>412.01000000000204</v>
      </c>
      <c r="AJ24" s="254">
        <f>'20'!$G$121</f>
        <v>419.51000000000204</v>
      </c>
      <c r="AK24" s="254">
        <f>'20'!$G$122</f>
        <v>285</v>
      </c>
      <c r="AL24" s="254">
        <f>'20'!$G$123</f>
        <v>321.08000000000175</v>
      </c>
      <c r="AM24" s="254">
        <f>'20'!$G$133</f>
        <v>0</v>
      </c>
      <c r="AN24" s="254">
        <f>'20'!$G$15</f>
        <v>1000</v>
      </c>
      <c r="AO24" s="256">
        <f>'20'!$G$74</f>
        <v>346.5</v>
      </c>
      <c r="AP24" s="256">
        <f>'20'!$G$75</f>
        <v>0</v>
      </c>
      <c r="AQ24" s="256">
        <f>'20'!$G$76</f>
        <v>114.60000000000582</v>
      </c>
      <c r="AR24" s="256">
        <f>'20'!$G$77</f>
        <v>48.099999999998545</v>
      </c>
      <c r="AS24" s="256">
        <f>'20'!$G$78</f>
        <v>0</v>
      </c>
      <c r="AT24" s="256">
        <f t="shared" si="0"/>
        <v>490.79999999999563</v>
      </c>
      <c r="AU24" s="254">
        <f>SUM('20'!G91:G92)</f>
        <v>12.109999999999673</v>
      </c>
      <c r="AV24" s="254">
        <f>'20'!$G$88</f>
        <v>-0.47000000000116415</v>
      </c>
      <c r="AW24" s="254">
        <f>'20'!$G$89</f>
        <v>8.8699999999989814</v>
      </c>
      <c r="AX24" s="254">
        <f>'20'!$G$90</f>
        <v>10.399999999994179</v>
      </c>
      <c r="AY24" s="252">
        <f t="shared" si="1"/>
        <v>18.799999999991996</v>
      </c>
      <c r="AZ24" s="311">
        <f t="shared" si="6"/>
        <v>28.612716763006553</v>
      </c>
      <c r="BA24" s="311">
        <f t="shared" si="3"/>
        <v>26.106382978734285</v>
      </c>
      <c r="BB24" s="351">
        <f t="shared" si="4"/>
        <v>5547.2499999999854</v>
      </c>
      <c r="BC24" s="351">
        <f t="shared" si="5"/>
        <v>21.172709923664065</v>
      </c>
    </row>
    <row r="25" spans="1:55">
      <c r="A25" s="359">
        <v>21</v>
      </c>
      <c r="B25" s="511">
        <f>'21'!G7</f>
        <v>26200</v>
      </c>
      <c r="C25" s="511">
        <f>'21'!G8</f>
        <v>26500</v>
      </c>
      <c r="D25" s="511">
        <f>'21'!G15</f>
        <v>1000</v>
      </c>
      <c r="E25" s="511">
        <f>'21'!G20</f>
        <v>220</v>
      </c>
      <c r="F25" s="511">
        <f>SUM('21'!G35,'21'!G49)</f>
        <v>3627.9500000000116</v>
      </c>
      <c r="G25" s="511">
        <f>SUM('21'!G37,'21'!G51)</f>
        <v>1563</v>
      </c>
      <c r="H25" s="511">
        <f>SUM('21'!G38,'21'!G52)</f>
        <v>2209</v>
      </c>
      <c r="I25" s="511">
        <f>SUM('21'!G39,'21'!G53)</f>
        <v>2860</v>
      </c>
      <c r="J25" s="511">
        <f>SUM('21'!G41,'21'!G42,'21'!G55,'21'!G56)</f>
        <v>6568.7799999999988</v>
      </c>
      <c r="K25" s="511">
        <f>SUM('21'!G43,'21'!G57)</f>
        <v>3140</v>
      </c>
      <c r="L25" s="254">
        <f>'21'!G50</f>
        <v>1434</v>
      </c>
      <c r="M25" s="254">
        <f>'21'!G36</f>
        <v>726</v>
      </c>
      <c r="N25" s="254">
        <f>'21'!G138</f>
        <v>91</v>
      </c>
      <c r="O25" s="254">
        <f>'21'!$G$139</f>
        <v>155</v>
      </c>
      <c r="P25" s="254">
        <f>'21'!$G$140</f>
        <v>16</v>
      </c>
      <c r="Q25" s="254">
        <f>'21'!$G$141</f>
        <v>187</v>
      </c>
      <c r="R25" s="254">
        <f>'21'!$G$142</f>
        <v>59</v>
      </c>
      <c r="S25" s="254">
        <f>'21'!$G$145</f>
        <v>21</v>
      </c>
      <c r="T25" s="251">
        <f>'21'!$G$146</f>
        <v>34</v>
      </c>
      <c r="U25" s="251">
        <f>'21'!$G$144</f>
        <v>245</v>
      </c>
      <c r="V25" s="251">
        <f>'21'!$G$147</f>
        <v>403</v>
      </c>
      <c r="W25" s="251">
        <f>'21'!$G$148</f>
        <v>273</v>
      </c>
      <c r="X25" s="251">
        <f>'21'!$G$143</f>
        <v>27</v>
      </c>
      <c r="Y25" s="251">
        <f>'21'!$G$58</f>
        <v>286</v>
      </c>
      <c r="Z25" s="251">
        <f>'21'!$G$151</f>
        <v>293</v>
      </c>
      <c r="AA25" s="251">
        <f>'21'!G161</f>
        <v>117</v>
      </c>
      <c r="AB25" s="251">
        <f>'21'!G162</f>
        <v>39</v>
      </c>
      <c r="AC25" s="251">
        <f>'21'!G88</f>
        <v>0</v>
      </c>
      <c r="AD25" s="251">
        <f>'21'!G163+'21'!G164</f>
        <v>147</v>
      </c>
      <c r="AE25" s="254">
        <f>'21'!$G$116</f>
        <v>345</v>
      </c>
      <c r="AF25" s="254">
        <f>'21'!$G$117</f>
        <v>206</v>
      </c>
      <c r="AG25" s="254">
        <f>'21'!$G$118</f>
        <v>645</v>
      </c>
      <c r="AH25" s="254">
        <f>'21'!$G$119</f>
        <v>216</v>
      </c>
      <c r="AI25" s="254">
        <f>'21'!$G$120</f>
        <v>410</v>
      </c>
      <c r="AJ25" s="254">
        <f>'21'!$G$121</f>
        <v>429</v>
      </c>
      <c r="AK25" s="254">
        <f>'21'!$G$122</f>
        <v>286</v>
      </c>
      <c r="AL25" s="254">
        <f>'21'!$G$123</f>
        <v>317</v>
      </c>
      <c r="AM25" s="254">
        <f>'21'!$G$133</f>
        <v>0.41000000000349246</v>
      </c>
      <c r="AN25" s="254">
        <f>'21'!$G$15</f>
        <v>1000</v>
      </c>
      <c r="AO25" s="256">
        <f>'21'!$G$74</f>
        <v>337</v>
      </c>
      <c r="AP25" s="256">
        <f>'21'!$G$75</f>
        <v>0</v>
      </c>
      <c r="AQ25" s="256">
        <f>'21'!$G$76</f>
        <v>107</v>
      </c>
      <c r="AR25" s="256">
        <f>'21'!$G$77</f>
        <v>49</v>
      </c>
      <c r="AS25" s="256">
        <f>'21'!$G$78</f>
        <v>0</v>
      </c>
      <c r="AT25" s="256">
        <f t="shared" si="0"/>
        <v>507</v>
      </c>
      <c r="AU25" s="254">
        <f>SUM('21'!G91:G92)</f>
        <v>11.100000000000364</v>
      </c>
      <c r="AV25" s="254">
        <f>'21'!$G$88</f>
        <v>0</v>
      </c>
      <c r="AW25" s="254">
        <f>'21'!$G$89</f>
        <v>9</v>
      </c>
      <c r="AX25" s="254">
        <f>'21'!$G$90</f>
        <v>10</v>
      </c>
      <c r="AY25" s="252">
        <f t="shared" si="1"/>
        <v>19</v>
      </c>
      <c r="AZ25" s="311">
        <f t="shared" si="6"/>
        <v>30.360360360359365</v>
      </c>
      <c r="BA25" s="311">
        <f t="shared" si="3"/>
        <v>26.684210526315791</v>
      </c>
      <c r="BB25" s="351">
        <f t="shared" si="4"/>
        <v>6245.2699999999895</v>
      </c>
      <c r="BC25" s="351">
        <f t="shared" si="5"/>
        <v>23.836908396946527</v>
      </c>
    </row>
    <row r="26" spans="1:55">
      <c r="A26" s="359">
        <v>22</v>
      </c>
      <c r="B26" s="511">
        <f>'22'!G7</f>
        <v>26200</v>
      </c>
      <c r="C26" s="511">
        <f>'22'!G8</f>
        <v>26500</v>
      </c>
      <c r="D26" s="511">
        <f>'22'!G15</f>
        <v>1000</v>
      </c>
      <c r="E26" s="511">
        <f>'22'!G20</f>
        <v>269</v>
      </c>
      <c r="F26" s="511">
        <f>SUM('22'!G35,'22'!G49)</f>
        <v>3430</v>
      </c>
      <c r="G26" s="511">
        <f>SUM('22'!G37,'22'!G51)</f>
        <v>1495</v>
      </c>
      <c r="H26" s="511">
        <f>SUM('22'!G38,'22'!G52)</f>
        <v>2195</v>
      </c>
      <c r="I26" s="511">
        <f>SUM('22'!G39,'22'!G53)</f>
        <v>2882</v>
      </c>
      <c r="J26" s="511">
        <f>SUM('22'!G41,'22'!G42,'22'!G55,'22'!G56)</f>
        <v>6343</v>
      </c>
      <c r="K26" s="511">
        <f>SUM('22'!G43,'22'!G57)</f>
        <v>2737.0300000000279</v>
      </c>
      <c r="L26" s="254">
        <f>'22'!G50</f>
        <v>1163</v>
      </c>
      <c r="M26" s="254">
        <f>'22'!G36</f>
        <v>787</v>
      </c>
      <c r="N26" s="254">
        <f>'22'!G138</f>
        <v>125</v>
      </c>
      <c r="O26" s="254">
        <f>'22'!$G$139</f>
        <v>151</v>
      </c>
      <c r="P26" s="254">
        <f>'22'!$G$140</f>
        <v>16</v>
      </c>
      <c r="Q26" s="254">
        <f>'22'!$G$141</f>
        <v>198</v>
      </c>
      <c r="R26" s="254">
        <f>'22'!$G$142</f>
        <v>67</v>
      </c>
      <c r="S26" s="254">
        <f>'22'!$G$145</f>
        <v>12</v>
      </c>
      <c r="T26" s="251">
        <f>'22'!$G$146</f>
        <v>34</v>
      </c>
      <c r="U26" s="251">
        <f>'22'!$G$144</f>
        <v>247</v>
      </c>
      <c r="V26" s="251">
        <f>'22'!$G$147</f>
        <v>394</v>
      </c>
      <c r="W26" s="251">
        <f>'22'!$G$148</f>
        <v>285</v>
      </c>
      <c r="X26" s="251">
        <f>'22'!$G$143</f>
        <v>33</v>
      </c>
      <c r="Y26" s="251">
        <f>'22'!$G$58</f>
        <v>288</v>
      </c>
      <c r="Z26" s="251">
        <f>'22'!$G$151</f>
        <v>301</v>
      </c>
      <c r="AA26" s="251">
        <f>'22'!G161</f>
        <v>131</v>
      </c>
      <c r="AB26" s="251">
        <f>'22'!G162</f>
        <v>40</v>
      </c>
      <c r="AC26" s="251">
        <f>'22'!G88</f>
        <v>0</v>
      </c>
      <c r="AD26" s="251">
        <f>'22'!G163+'22'!G164</f>
        <v>161</v>
      </c>
      <c r="AE26" s="254">
        <f>'22'!$G$116</f>
        <v>339</v>
      </c>
      <c r="AF26" s="254">
        <f>'22'!$G$117</f>
        <v>199</v>
      </c>
      <c r="AG26" s="254">
        <f>'22'!$G$118</f>
        <v>694</v>
      </c>
      <c r="AH26" s="254">
        <f>'22'!$G$119</f>
        <v>224</v>
      </c>
      <c r="AI26" s="254">
        <f>'22'!$G$120</f>
        <v>414</v>
      </c>
      <c r="AJ26" s="254">
        <f>'22'!$G$121</f>
        <v>437</v>
      </c>
      <c r="AK26" s="254">
        <f>'22'!$G$122</f>
        <v>296</v>
      </c>
      <c r="AL26" s="254">
        <f>'22'!$G$123</f>
        <v>312</v>
      </c>
      <c r="AM26" s="254">
        <f>'22'!$G$133</f>
        <v>0</v>
      </c>
      <c r="AN26" s="254">
        <f>'22'!$G$15</f>
        <v>1000</v>
      </c>
      <c r="AO26" s="256">
        <f>'22'!$G$74</f>
        <v>329</v>
      </c>
      <c r="AP26" s="256">
        <f>'22'!$G$75</f>
        <v>0</v>
      </c>
      <c r="AQ26" s="256">
        <f>'22'!$G$76</f>
        <v>125</v>
      </c>
      <c r="AR26" s="256">
        <f>'22'!$G$77</f>
        <v>51</v>
      </c>
      <c r="AS26" s="256">
        <f>'22'!$G$78</f>
        <v>0</v>
      </c>
      <c r="AT26" s="256">
        <f t="shared" si="0"/>
        <v>495</v>
      </c>
      <c r="AU26" s="254">
        <f>SUM('22'!G91:G92)</f>
        <v>12</v>
      </c>
      <c r="AV26" s="254">
        <f>'22'!$G$88</f>
        <v>0</v>
      </c>
      <c r="AW26" s="254">
        <f>'22'!$G$89</f>
        <v>10</v>
      </c>
      <c r="AX26" s="254">
        <f>'22'!$G$90</f>
        <v>11</v>
      </c>
      <c r="AY26" s="252">
        <f t="shared" si="1"/>
        <v>21</v>
      </c>
      <c r="AZ26" s="311">
        <f t="shared" si="6"/>
        <v>27.416666666666668</v>
      </c>
      <c r="BA26" s="311">
        <f t="shared" si="3"/>
        <v>23.571428571428573</v>
      </c>
      <c r="BB26" s="351">
        <f t="shared" si="4"/>
        <v>7129.9699999999721</v>
      </c>
      <c r="BC26" s="351">
        <f t="shared" si="5"/>
        <v>27.213625954198367</v>
      </c>
    </row>
    <row r="27" spans="1:55">
      <c r="A27" s="359">
        <v>23</v>
      </c>
      <c r="B27" s="511">
        <f>'23'!G7</f>
        <v>26200</v>
      </c>
      <c r="C27" s="511">
        <f>'23'!G8</f>
        <v>26500.000000000029</v>
      </c>
      <c r="D27" s="511">
        <f>'23'!G15</f>
        <v>1000</v>
      </c>
      <c r="E27" s="511">
        <f>'23'!G20</f>
        <v>231</v>
      </c>
      <c r="F27" s="511">
        <f>SUM('23'!G35,'23'!G49)</f>
        <v>3520</v>
      </c>
      <c r="G27" s="511">
        <f>SUM('23'!G37,'23'!G51)</f>
        <v>1496</v>
      </c>
      <c r="H27" s="511">
        <f>SUM('23'!G38,'23'!G52)</f>
        <v>2289</v>
      </c>
      <c r="I27" s="511">
        <f>SUM('23'!G39,'23'!G53)</f>
        <v>2934</v>
      </c>
      <c r="J27" s="511">
        <f>SUM('23'!G41,'23'!G42,'23'!G55,'23'!G56)</f>
        <v>7155</v>
      </c>
      <c r="K27" s="511">
        <f>SUM('23'!G43,'23'!G57)</f>
        <v>3141</v>
      </c>
      <c r="L27" s="254">
        <f>'23'!G50</f>
        <v>1332</v>
      </c>
      <c r="M27" s="254">
        <f>'23'!G36</f>
        <v>1016</v>
      </c>
      <c r="N27" s="254">
        <f>'23'!G138</f>
        <v>105</v>
      </c>
      <c r="O27" s="254">
        <f>'23'!G139</f>
        <v>144</v>
      </c>
      <c r="P27" s="254">
        <f>'23'!$G$140</f>
        <v>16</v>
      </c>
      <c r="Q27" s="254">
        <f>'23'!$G$141</f>
        <v>216</v>
      </c>
      <c r="R27" s="254">
        <f>'23'!$G$142</f>
        <v>72</v>
      </c>
      <c r="S27" s="254">
        <f>'23'!$G$145</f>
        <v>12</v>
      </c>
      <c r="T27" s="251">
        <f>'23'!$G$146</f>
        <v>34</v>
      </c>
      <c r="U27" s="251">
        <f>'23'!$G$144</f>
        <v>249</v>
      </c>
      <c r="V27" s="251">
        <f>'23'!$G$147</f>
        <v>357</v>
      </c>
      <c r="W27" s="251">
        <f>'23'!$G$148</f>
        <v>323</v>
      </c>
      <c r="X27" s="251">
        <f>'23'!$G$143</f>
        <v>27</v>
      </c>
      <c r="Y27" s="251">
        <f>'23'!$G$58</f>
        <v>261</v>
      </c>
      <c r="Z27" s="251">
        <f>'23'!$G$151</f>
        <v>315</v>
      </c>
      <c r="AA27" s="251">
        <f>'23'!$G$161</f>
        <v>70</v>
      </c>
      <c r="AB27" s="251">
        <f>'23'!G162</f>
        <v>31</v>
      </c>
      <c r="AC27" s="251">
        <f>'23'!G88</f>
        <v>0</v>
      </c>
      <c r="AD27" s="251">
        <f>'23'!G163+'23'!G164</f>
        <v>152</v>
      </c>
      <c r="AE27" s="254">
        <f>'23'!$G$116</f>
        <v>383</v>
      </c>
      <c r="AF27" s="254">
        <f>'23'!$G$117</f>
        <v>209</v>
      </c>
      <c r="AG27" s="254">
        <f>'23'!$G$118</f>
        <v>603</v>
      </c>
      <c r="AH27" s="254">
        <f>'23'!$G$119</f>
        <v>233</v>
      </c>
      <c r="AI27" s="254">
        <f>'23'!$G$120</f>
        <v>426</v>
      </c>
      <c r="AJ27" s="254">
        <f>'23'!$G$121</f>
        <v>441</v>
      </c>
      <c r="AK27" s="254">
        <f>'23'!$G$122</f>
        <v>281</v>
      </c>
      <c r="AL27" s="254">
        <f>'23'!$G$123</f>
        <v>319</v>
      </c>
      <c r="AM27" s="254">
        <f>'23'!$G$133</f>
        <v>0</v>
      </c>
      <c r="AN27" s="254">
        <f>'23'!$G$15</f>
        <v>1000</v>
      </c>
      <c r="AO27" s="256">
        <f>'23'!$G$74</f>
        <v>338</v>
      </c>
      <c r="AP27" s="256">
        <f>'23'!$G$75</f>
        <v>0</v>
      </c>
      <c r="AQ27" s="256">
        <f>'23'!$G$76</f>
        <v>99</v>
      </c>
      <c r="AR27" s="256">
        <f>'23'!$G$77</f>
        <v>76</v>
      </c>
      <c r="AS27" s="256">
        <f>'23'!$G$78</f>
        <v>0</v>
      </c>
      <c r="AT27" s="256">
        <f t="shared" si="0"/>
        <v>487</v>
      </c>
      <c r="AU27" s="254">
        <f>SUM('23'!G91:G92)</f>
        <v>11</v>
      </c>
      <c r="AV27" s="254">
        <f>'23'!$G$88</f>
        <v>0</v>
      </c>
      <c r="AW27" s="254">
        <f>'23'!$G$89</f>
        <v>9</v>
      </c>
      <c r="AX27" s="254">
        <f>'23'!$G$90</f>
        <v>9.7299999999959255</v>
      </c>
      <c r="AY27" s="252">
        <f t="shared" si="1"/>
        <v>18.729999999995925</v>
      </c>
      <c r="AZ27" s="311">
        <f t="shared" si="6"/>
        <v>30.727272727272727</v>
      </c>
      <c r="BA27" s="311">
        <f t="shared" si="3"/>
        <v>26.001067805665027</v>
      </c>
      <c r="BB27" s="351">
        <f t="shared" si="4"/>
        <v>5704.0000000000291</v>
      </c>
      <c r="BC27" s="351">
        <f t="shared" si="5"/>
        <v>21.770992366412326</v>
      </c>
    </row>
    <row r="28" spans="1:55" s="315" customFormat="1">
      <c r="A28" s="359">
        <v>24</v>
      </c>
      <c r="B28" s="511">
        <f>'24'!G7</f>
        <v>26200</v>
      </c>
      <c r="C28" s="511">
        <f>'24'!G8</f>
        <v>26500</v>
      </c>
      <c r="D28" s="511">
        <f>'24'!G15</f>
        <v>1000</v>
      </c>
      <c r="E28" s="511">
        <f>'24'!G20</f>
        <v>197</v>
      </c>
      <c r="F28" s="511">
        <f>SUM('24'!G35,'24'!G49)</f>
        <v>3778.3499999999767</v>
      </c>
      <c r="G28" s="511">
        <f>SUM('24'!G37,'24'!G51)</f>
        <v>1122.5700000000024</v>
      </c>
      <c r="H28" s="511">
        <f>SUM('24'!G38,'24'!G52)</f>
        <v>2180.3099999999977</v>
      </c>
      <c r="I28" s="511">
        <f>SUM('24'!G39,'24'!G53)</f>
        <v>4036.579999999944</v>
      </c>
      <c r="J28" s="511">
        <f>SUM('24'!G41,'24'!G42,'24'!G55,'24'!G56)</f>
        <v>6692.9400000000169</v>
      </c>
      <c r="K28" s="511">
        <f>SUM('24'!G43,'24'!G57)</f>
        <v>3087.109999999986</v>
      </c>
      <c r="L28" s="254">
        <f>'24'!G50</f>
        <v>1774.1300000000047</v>
      </c>
      <c r="M28" s="251">
        <f>'24'!G36</f>
        <v>949.36999999999534</v>
      </c>
      <c r="N28" s="251">
        <f>'24'!G138</f>
        <v>139</v>
      </c>
      <c r="O28" s="251">
        <f>'24'!G139</f>
        <v>151</v>
      </c>
      <c r="P28" s="251">
        <f>'24'!$G$140</f>
        <v>14.220000000000027</v>
      </c>
      <c r="Q28" s="251">
        <f>'24'!$G$141</f>
        <v>211.92999999999302</v>
      </c>
      <c r="R28" s="251">
        <f>'24'!$G$142</f>
        <v>71.190000000002328</v>
      </c>
      <c r="S28" s="251">
        <f>'24'!$G$145</f>
        <v>7.3900000000003274</v>
      </c>
      <c r="T28" s="251">
        <f>'24'!$G$146</f>
        <v>49</v>
      </c>
      <c r="U28" s="251">
        <f>'24'!$G$144</f>
        <v>244</v>
      </c>
      <c r="V28" s="251">
        <f>'24'!$G$147</f>
        <v>344</v>
      </c>
      <c r="W28" s="251">
        <f>'24'!$G$148</f>
        <v>405.47999999998137</v>
      </c>
      <c r="X28" s="251">
        <f>'24'!$G$143</f>
        <v>28.280000000000655</v>
      </c>
      <c r="Y28" s="251">
        <f>'24'!$G$58</f>
        <v>257.70999999999913</v>
      </c>
      <c r="Z28" s="251">
        <f>'24'!$G$151</f>
        <v>292</v>
      </c>
      <c r="AA28" s="251">
        <f>'24'!G161</f>
        <v>46.760000000009313</v>
      </c>
      <c r="AB28" s="251">
        <f>'24'!G162</f>
        <v>26.899999999994179</v>
      </c>
      <c r="AC28" s="251">
        <f>'24'!G88</f>
        <v>0</v>
      </c>
      <c r="AD28" s="251">
        <f>'24'!G163+'24'!G164</f>
        <v>156.19999999999982</v>
      </c>
      <c r="AE28" s="251">
        <f>'24'!$G$116</f>
        <v>344.30999999999767</v>
      </c>
      <c r="AF28" s="251">
        <f>'24'!$G$117</f>
        <v>277.34999999999854</v>
      </c>
      <c r="AG28" s="251">
        <f>'24'!$G$118</f>
        <v>634.29000000000087</v>
      </c>
      <c r="AH28" s="251">
        <f>'24'!$G$119</f>
        <v>238.13999999999942</v>
      </c>
      <c r="AI28" s="251">
        <f>'24'!$G$120</f>
        <v>411.54000000000087</v>
      </c>
      <c r="AJ28" s="251">
        <f>'24'!$G$121</f>
        <v>446.86000000000058</v>
      </c>
      <c r="AK28" s="251">
        <f>'24'!$G$122</f>
        <v>254.93000000000029</v>
      </c>
      <c r="AL28" s="251">
        <f>'24'!$G$123</f>
        <v>321.7400000000016</v>
      </c>
      <c r="AM28" s="251">
        <f>'24'!$G$133</f>
        <v>-0.41000000000349246</v>
      </c>
      <c r="AN28" s="251">
        <f>'24'!$G$15</f>
        <v>1000</v>
      </c>
      <c r="AO28" s="256">
        <f>'24'!$G$74</f>
        <v>331.48999999999069</v>
      </c>
      <c r="AP28" s="256">
        <f>'24'!$G$75</f>
        <v>0</v>
      </c>
      <c r="AQ28" s="256">
        <f>'24'!$G$76</f>
        <v>97</v>
      </c>
      <c r="AR28" s="256">
        <f>'24'!$G$77</f>
        <v>57.80000000000291</v>
      </c>
      <c r="AS28" s="256">
        <f>'24'!$G$78</f>
        <v>0</v>
      </c>
      <c r="AT28" s="256">
        <f>AN28-SUM(AO28:AS28)</f>
        <v>513.7100000000064</v>
      </c>
      <c r="AU28" s="251">
        <f>SUM('24'!G91:G92)</f>
        <v>11.680000000000291</v>
      </c>
      <c r="AV28" s="251">
        <f>'24'!$G$88</f>
        <v>0</v>
      </c>
      <c r="AW28" s="251">
        <f>'24'!$G$89</f>
        <v>8.6399999999994179</v>
      </c>
      <c r="AX28" s="251">
        <f>'24'!$G$90</f>
        <v>9.5400000000081491</v>
      </c>
      <c r="AY28" s="255">
        <f t="shared" si="1"/>
        <v>18.180000000007567</v>
      </c>
      <c r="AZ28" s="311">
        <f t="shared" si="6"/>
        <v>28.380993150683427</v>
      </c>
      <c r="BA28" s="311">
        <f t="shared" si="3"/>
        <v>28.256875687557347</v>
      </c>
      <c r="BB28" s="351">
        <f t="shared" si="4"/>
        <v>5344.4300000000767</v>
      </c>
      <c r="BC28" s="351">
        <f t="shared" si="5"/>
        <v>20.398587786259835</v>
      </c>
    </row>
    <row r="29" spans="1:55">
      <c r="A29" s="359">
        <v>25</v>
      </c>
      <c r="B29" s="511">
        <f>'25'!G7</f>
        <v>26200</v>
      </c>
      <c r="C29" s="511">
        <f>'25'!G8</f>
        <v>26500</v>
      </c>
      <c r="D29" s="511">
        <f>'25'!G15</f>
        <v>1000</v>
      </c>
      <c r="E29" s="511">
        <f>'25'!G20</f>
        <v>201</v>
      </c>
      <c r="F29" s="511">
        <f>SUM('25'!G35,'25'!G49)</f>
        <v>3700.0900000000256</v>
      </c>
      <c r="G29" s="511">
        <f>SUM('25'!G37,'25'!G51)</f>
        <v>1084.4899999999998</v>
      </c>
      <c r="H29" s="511">
        <f>SUM('25'!G38,'25'!G52)</f>
        <v>2167.1599999999744</v>
      </c>
      <c r="I29" s="511">
        <f>SUM('25'!G39,'25'!G53)</f>
        <v>4235.25</v>
      </c>
      <c r="J29" s="511">
        <f>SUM('25'!G41,'25'!G42,'25'!G55,'25'!G56)</f>
        <v>6807.7199999999721</v>
      </c>
      <c r="K29" s="511">
        <f>SUM('25'!G43,'25'!G57)</f>
        <v>2956.3800000000047</v>
      </c>
      <c r="L29" s="254">
        <f>'25'!G50</f>
        <v>1584.7799999999697</v>
      </c>
      <c r="M29" s="254">
        <f>'25'!G36</f>
        <v>787.89999999999418</v>
      </c>
      <c r="N29" s="254">
        <f>'25'!G138</f>
        <v>115</v>
      </c>
      <c r="O29" s="254">
        <f>'25'!$G$139</f>
        <v>152</v>
      </c>
      <c r="P29" s="254">
        <f>'25'!$G$140</f>
        <v>15.069999999999936</v>
      </c>
      <c r="Q29" s="254">
        <f>'25'!$G$141</f>
        <v>211.36000000000058</v>
      </c>
      <c r="R29" s="254">
        <f>'25'!$G$142</f>
        <v>81.649999999994179</v>
      </c>
      <c r="S29" s="254">
        <f>'25'!$G$145</f>
        <v>1.9999999999527063E-2</v>
      </c>
      <c r="T29" s="251">
        <f>'25'!$G$146</f>
        <v>67</v>
      </c>
      <c r="U29" s="251">
        <f>'25'!$G$144</f>
        <v>241</v>
      </c>
      <c r="V29" s="251">
        <f>'25'!$G$147</f>
        <v>459.56000000005588</v>
      </c>
      <c r="W29" s="251">
        <f>'25'!$G$148</f>
        <v>259.67000000004191</v>
      </c>
      <c r="X29" s="251">
        <f>'25'!$G$143</f>
        <v>25.859999999998763</v>
      </c>
      <c r="Y29" s="251">
        <f>'25'!$G$58</f>
        <v>288.81999999999971</v>
      </c>
      <c r="Z29" s="251">
        <f>'25'!$G$151</f>
        <v>269</v>
      </c>
      <c r="AA29" s="251">
        <f>'25'!G161</f>
        <v>46.959999999962747</v>
      </c>
      <c r="AB29" s="251">
        <f>'25'!G162</f>
        <v>35.30000000000291</v>
      </c>
      <c r="AC29" s="251">
        <f>'25'!G88</f>
        <v>0</v>
      </c>
      <c r="AD29" s="251">
        <f>'25'!G163+'25'!G164</f>
        <v>139.30000000000018</v>
      </c>
      <c r="AE29" s="254">
        <f>'25'!$G$116</f>
        <v>409.02000000000407</v>
      </c>
      <c r="AF29" s="254">
        <f>'25'!$G$117</f>
        <v>207.66999999999825</v>
      </c>
      <c r="AG29" s="254">
        <f>'25'!$G$118</f>
        <v>625.51000000000204</v>
      </c>
      <c r="AH29" s="254">
        <f>'25'!$G$119</f>
        <v>233.16000000000349</v>
      </c>
      <c r="AI29" s="254">
        <f>'25'!$G$120</f>
        <v>375.41999999999825</v>
      </c>
      <c r="AJ29" s="254">
        <f>'25'!$G$121</f>
        <v>438.37999999999738</v>
      </c>
      <c r="AK29" s="254">
        <f>'25'!$G$122</f>
        <v>233.79000000000087</v>
      </c>
      <c r="AL29" s="254">
        <f>'25'!$G$123</f>
        <v>309.77999999999884</v>
      </c>
      <c r="AM29" s="254">
        <f>'25'!$G$133</f>
        <v>0</v>
      </c>
      <c r="AN29" s="254">
        <f>'25'!$G$15</f>
        <v>1000</v>
      </c>
      <c r="AO29" s="256">
        <f>'25'!$G$74</f>
        <v>340.29000000003725</v>
      </c>
      <c r="AP29" s="256">
        <f>'25'!$G$75</f>
        <v>0</v>
      </c>
      <c r="AQ29" s="256">
        <f>'25'!$G$76</f>
        <v>95</v>
      </c>
      <c r="AR29" s="256">
        <f>'25'!$G$77</f>
        <v>43.599999999998545</v>
      </c>
      <c r="AS29" s="256">
        <f>'25'!$G$78</f>
        <v>0</v>
      </c>
      <c r="AT29" s="256">
        <f t="shared" si="0"/>
        <v>521.1099999999642</v>
      </c>
      <c r="AU29" s="254">
        <f>SUM('25'!G91:G92)</f>
        <v>11.75</v>
      </c>
      <c r="AV29" s="254">
        <f>'25'!$G$88</f>
        <v>0</v>
      </c>
      <c r="AW29" s="254">
        <f>'25'!$G$89</f>
        <v>9.2700000000004366</v>
      </c>
      <c r="AX29" s="254">
        <f>'25'!$G$90</f>
        <v>11.139999999999418</v>
      </c>
      <c r="AY29" s="252">
        <f t="shared" si="1"/>
        <v>20.409999999999854</v>
      </c>
      <c r="BA29" s="311">
        <f t="shared" si="3"/>
        <v>25.532092111708373</v>
      </c>
      <c r="BB29" s="351">
        <f t="shared" si="4"/>
        <v>5260.0900000000256</v>
      </c>
      <c r="BC29" s="351">
        <f t="shared" si="5"/>
        <v>20.076679389313075</v>
      </c>
    </row>
    <row r="30" spans="1:55">
      <c r="A30" s="359">
        <v>26</v>
      </c>
      <c r="B30" s="511">
        <f>'26'!G7</f>
        <v>26200</v>
      </c>
      <c r="C30" s="511">
        <f>'26'!G8</f>
        <v>26500</v>
      </c>
      <c r="D30" s="511">
        <f>'26'!G15</f>
        <v>1000</v>
      </c>
      <c r="E30" s="511">
        <f>'26'!G20</f>
        <v>231</v>
      </c>
      <c r="F30" s="511">
        <f>SUM('26'!G35,'26'!G49)</f>
        <v>3963.4400000000023</v>
      </c>
      <c r="G30" s="511">
        <f>SUM('26'!G37,'26'!G51)</f>
        <v>1084.9700000000003</v>
      </c>
      <c r="H30" s="511">
        <f>SUM('26'!G38,'26'!G52)</f>
        <v>2304.960000000021</v>
      </c>
      <c r="I30" s="511">
        <f>SUM('26'!G39,'26'!G53)</f>
        <v>4264.3199999999988</v>
      </c>
      <c r="J30" s="511">
        <f>SUM('26'!G41,'26'!G42,'26'!G55,'26'!G56)</f>
        <v>5676.3399999999674</v>
      </c>
      <c r="K30" s="511">
        <f>SUM('26'!G43,'26'!G57)</f>
        <v>2656.960000000021</v>
      </c>
      <c r="L30" s="254">
        <f>'26'!G50</f>
        <v>1217.3600000000442</v>
      </c>
      <c r="M30" s="254">
        <f>'26'!G36</f>
        <v>828.90000000002328</v>
      </c>
      <c r="N30" s="254">
        <f>'26'!G138</f>
        <v>139</v>
      </c>
      <c r="O30" s="254">
        <f>'26'!$G$139</f>
        <v>147</v>
      </c>
      <c r="P30" s="254">
        <f>'26'!$G$140</f>
        <v>14.269999999999982</v>
      </c>
      <c r="Q30" s="254">
        <f>'26'!$G$141</f>
        <v>204.94000000000233</v>
      </c>
      <c r="R30" s="254">
        <f>'26'!$G$142</f>
        <v>79.110000000000582</v>
      </c>
      <c r="S30" s="254">
        <f>'26'!$G$145</f>
        <v>2.9999999999745341E-2</v>
      </c>
      <c r="T30" s="251">
        <f>'26'!$G$146</f>
        <v>74</v>
      </c>
      <c r="U30" s="251">
        <f>'26'!$G$144</f>
        <v>238</v>
      </c>
      <c r="V30" s="251">
        <f>'26'!$G$147</f>
        <v>373.27999999991152</v>
      </c>
      <c r="W30" s="251">
        <f>'26'!$G$148</f>
        <v>298.65000000002328</v>
      </c>
      <c r="X30" s="251">
        <f>'26'!$G$143</f>
        <v>28.489999999999782</v>
      </c>
      <c r="Y30" s="251">
        <f>'26'!$G$58</f>
        <v>313.27999999999884</v>
      </c>
      <c r="Z30" s="251">
        <f>'26'!$G$151</f>
        <v>300</v>
      </c>
      <c r="AA30" s="251">
        <f>'26'!G161</f>
        <v>41.440000000002328</v>
      </c>
      <c r="AB30" s="251">
        <f>'26'!G162</f>
        <v>38.80000000000291</v>
      </c>
      <c r="AC30" s="251">
        <f>'26'!G88</f>
        <v>0</v>
      </c>
      <c r="AD30" s="251">
        <f>'26'!G163+'26'!G164</f>
        <v>161.5</v>
      </c>
      <c r="AE30" s="254">
        <f>'26'!$G$116</f>
        <v>297.49000000000524</v>
      </c>
      <c r="AF30" s="254">
        <f>'26'!$G$117</f>
        <v>283.35000000000582</v>
      </c>
      <c r="AG30" s="254">
        <f>'26'!$G$118</f>
        <v>634.98999999999796</v>
      </c>
      <c r="AH30" s="254">
        <f>'26'!$G$119</f>
        <v>236.80999999999767</v>
      </c>
      <c r="AI30" s="254">
        <f>'26'!$G$120</f>
        <v>404.77000000000407</v>
      </c>
      <c r="AJ30" s="254">
        <f>'26'!$G$121</f>
        <v>450.09999999999854</v>
      </c>
      <c r="AK30" s="254">
        <f>'26'!$G$122</f>
        <v>231.61999999999898</v>
      </c>
      <c r="AL30" s="254">
        <f>'26'!$G$123</f>
        <v>315.82999999999811</v>
      </c>
      <c r="AM30" s="254">
        <f>'26'!$G$133</f>
        <v>0</v>
      </c>
      <c r="AN30" s="254">
        <f>'26'!$G$15</f>
        <v>1000</v>
      </c>
      <c r="AO30" s="256">
        <f>'26'!$G$74</f>
        <v>303.21999999997206</v>
      </c>
      <c r="AP30" s="256">
        <f>'26'!$G$75</f>
        <v>0</v>
      </c>
      <c r="AQ30" s="256">
        <f>'26'!$G$76</f>
        <v>96.730000000010477</v>
      </c>
      <c r="AR30" s="256">
        <f>'26'!$G$77</f>
        <v>47.799999999995634</v>
      </c>
      <c r="AS30" s="256">
        <f>'26'!$G$78</f>
        <v>0</v>
      </c>
      <c r="AT30" s="256">
        <f t="shared" si="0"/>
        <v>552.25000000002183</v>
      </c>
      <c r="AU30" s="254">
        <f>SUM('26'!G91:G92)</f>
        <v>10.529999999999745</v>
      </c>
      <c r="AV30" s="254">
        <f>'26'!$G$88</f>
        <v>0</v>
      </c>
      <c r="AW30" s="254">
        <f>'26'!$G$89</f>
        <v>10.049999999999272</v>
      </c>
      <c r="AX30" s="254">
        <f>'26'!$G$90</f>
        <v>13.220000000001164</v>
      </c>
      <c r="AY30" s="252">
        <f t="shared" si="1"/>
        <v>23.270000000000437</v>
      </c>
      <c r="BA30" s="311">
        <f t="shared" si="3"/>
        <v>23.732273313279393</v>
      </c>
      <c r="BB30" s="351">
        <f t="shared" si="4"/>
        <v>6235.7299999999886</v>
      </c>
      <c r="BC30" s="351">
        <f t="shared" si="5"/>
        <v>23.800496183206064</v>
      </c>
    </row>
    <row r="31" spans="1:55">
      <c r="A31" s="359">
        <v>27</v>
      </c>
      <c r="B31" s="511">
        <f>'27'!G7</f>
        <v>26200</v>
      </c>
      <c r="C31" s="511">
        <f>'27'!G8</f>
        <v>26500</v>
      </c>
      <c r="D31" s="511">
        <f>'27'!G15</f>
        <v>1000</v>
      </c>
      <c r="E31" s="511">
        <f>'27'!G20</f>
        <v>260</v>
      </c>
      <c r="F31" s="511">
        <f>SUM('27'!G35,'27'!G49)</f>
        <v>3526.7600000000093</v>
      </c>
      <c r="G31" s="511">
        <f>SUM('27'!G37,'27'!G51)</f>
        <v>1102.3199999999997</v>
      </c>
      <c r="H31" s="511">
        <f>SUM('27'!G38,'27'!G52)</f>
        <v>2277.7999999999884</v>
      </c>
      <c r="I31" s="511">
        <f>SUM('27'!G39,'27'!G53)</f>
        <v>4078.9300000000003</v>
      </c>
      <c r="J31" s="511">
        <f>SUM('27'!G41,'27'!G42,'27'!G55,'27'!G56)</f>
        <v>6053.4999999999709</v>
      </c>
      <c r="K31" s="511">
        <f>SUM('27'!G43,'27'!G57)</f>
        <v>2809.8199999999779</v>
      </c>
      <c r="L31" s="254">
        <f>'27'!G50</f>
        <v>1118.3800000000047</v>
      </c>
      <c r="M31" s="254">
        <f>'27'!G36</f>
        <v>1191</v>
      </c>
      <c r="N31" s="254">
        <f>'27'!G138</f>
        <v>136</v>
      </c>
      <c r="O31" s="254">
        <f>'27'!$G$139</f>
        <v>159</v>
      </c>
      <c r="P31" s="254">
        <f>'27'!$G$140</f>
        <v>15.3900000000001</v>
      </c>
      <c r="Q31" s="254">
        <f>'27'!$G$141</f>
        <v>213.7100000000064</v>
      </c>
      <c r="R31" s="254">
        <f>'27'!$G$142</f>
        <v>81.569999999999709</v>
      </c>
      <c r="S31" s="254">
        <f>'27'!$G$145</f>
        <v>0</v>
      </c>
      <c r="T31" s="251">
        <f>'27'!$G$146</f>
        <v>70</v>
      </c>
      <c r="U31" s="251">
        <f>'27'!$G$144</f>
        <v>236</v>
      </c>
      <c r="V31" s="251">
        <f>'27'!$G$147</f>
        <v>391.04000000003725</v>
      </c>
      <c r="W31" s="251">
        <f>'27'!$G$148</f>
        <v>348.07999999995809</v>
      </c>
      <c r="X31" s="251">
        <f>'27'!$G$143</f>
        <v>26.940000000000509</v>
      </c>
      <c r="Y31" s="251">
        <f>'27'!$G$58</f>
        <v>304.54000000000087</v>
      </c>
      <c r="Z31" s="251">
        <f>'27'!$G$151</f>
        <v>281</v>
      </c>
      <c r="AA31" s="251">
        <f>'27'!G161</f>
        <v>77.880000000004657</v>
      </c>
      <c r="AB31" s="251">
        <f>'27'!G162</f>
        <v>38.100000000005821</v>
      </c>
      <c r="AC31" s="251">
        <f>'27'!G88</f>
        <v>2.0200000000004366</v>
      </c>
      <c r="AD31" s="251">
        <f>'27'!G163+'27'!G164</f>
        <v>131</v>
      </c>
      <c r="AE31" s="254">
        <f>'27'!$G$116</f>
        <v>231.84999999999127</v>
      </c>
      <c r="AF31" s="254">
        <f>'27'!$G$117</f>
        <v>212.39999999999418</v>
      </c>
      <c r="AG31" s="254">
        <f>'27'!$G$118</f>
        <v>620.12999999999738</v>
      </c>
      <c r="AH31" s="254">
        <f>'27'!$G$119</f>
        <v>227.37999999999738</v>
      </c>
      <c r="AI31" s="254">
        <f>'27'!$G$120</f>
        <v>395.95999999999913</v>
      </c>
      <c r="AJ31" s="254">
        <f>'27'!$G$121</f>
        <v>438.41000000000349</v>
      </c>
      <c r="AK31" s="254">
        <f>'27'!$G$122</f>
        <v>251.02000000000044</v>
      </c>
      <c r="AL31" s="254">
        <f>'27'!$G$123</f>
        <v>320.28000000000247</v>
      </c>
      <c r="AM31" s="254">
        <f>'27'!$G$133</f>
        <v>0</v>
      </c>
      <c r="AN31" s="254">
        <f>'27'!$G$15</f>
        <v>1000</v>
      </c>
      <c r="AO31" s="254">
        <f>'27'!$G$74</f>
        <v>306.55000000004657</v>
      </c>
      <c r="AP31" s="254">
        <f>'27'!$G$75</f>
        <v>0</v>
      </c>
      <c r="AQ31" s="254">
        <f>'27'!$G$76</f>
        <v>122.66000000000349</v>
      </c>
      <c r="AR31" s="254">
        <f>'27'!$G$77</f>
        <v>51.100000000005821</v>
      </c>
      <c r="AS31" s="254">
        <f>'27'!$G$78</f>
        <v>0</v>
      </c>
      <c r="AT31" s="254">
        <f t="shared" si="0"/>
        <v>519.68999999994412</v>
      </c>
      <c r="AU31" s="254">
        <f>SUM('27'!G91:G92)</f>
        <v>10.539999999999964</v>
      </c>
      <c r="AV31" s="254">
        <f>'27'!$G$88</f>
        <v>2.0200000000004366</v>
      </c>
      <c r="AW31" s="254">
        <f>'27'!$G$89</f>
        <v>9.1900000000023283</v>
      </c>
      <c r="AX31" s="254">
        <f>'27'!$G$90</f>
        <v>8.569999999992433</v>
      </c>
      <c r="AY31" s="252">
        <f t="shared" si="1"/>
        <v>19.779999999995198</v>
      </c>
      <c r="BA31" s="311">
        <f t="shared" si="3"/>
        <v>26.273508594543493</v>
      </c>
      <c r="BB31" s="351">
        <f t="shared" si="4"/>
        <v>6346.3300000000527</v>
      </c>
      <c r="BC31" s="351">
        <f t="shared" si="5"/>
        <v>24.222633587786461</v>
      </c>
    </row>
    <row r="32" spans="1:55">
      <c r="A32" s="359">
        <v>28</v>
      </c>
      <c r="B32" s="511">
        <f>'28'!G7</f>
        <v>26200</v>
      </c>
      <c r="C32" s="511">
        <f>'28'!G8</f>
        <v>26500</v>
      </c>
      <c r="D32" s="511">
        <f>'28'!G15</f>
        <v>1000</v>
      </c>
      <c r="E32" s="511">
        <f>'28'!G20</f>
        <v>190</v>
      </c>
      <c r="F32" s="511">
        <f>SUM('28'!G35,'28'!G49)</f>
        <v>4198.7799999999697</v>
      </c>
      <c r="G32" s="511">
        <f>SUM('28'!G37,'28'!G51)</f>
        <v>1104.0200000000004</v>
      </c>
      <c r="H32" s="511">
        <f>SUM('28'!G38,'28'!G52)</f>
        <v>2243.2800000000279</v>
      </c>
      <c r="I32" s="511">
        <f>SUM('28'!G39,'28'!G53)</f>
        <v>4464.32</v>
      </c>
      <c r="J32" s="511">
        <f>SUM('28'!G41,'28'!G42,'28'!G55,'28'!G56)</f>
        <v>5371.1000000000349</v>
      </c>
      <c r="K32" s="511">
        <f>SUM('28'!G43,'28'!G57)</f>
        <v>3110.5499999999884</v>
      </c>
      <c r="L32" s="254">
        <f>'28'!G50</f>
        <v>1330.3299999999581</v>
      </c>
      <c r="M32" s="254">
        <f>'28'!G36</f>
        <v>893.37999999997555</v>
      </c>
      <c r="N32" s="254">
        <f>'28'!G138</f>
        <v>161</v>
      </c>
      <c r="O32" s="254">
        <f>'28'!$G$139</f>
        <v>153</v>
      </c>
      <c r="P32" s="254">
        <f>'28'!$G$140</f>
        <v>10.299999999999955</v>
      </c>
      <c r="Q32" s="254">
        <f>'28'!$G$141</f>
        <v>194.55999999999767</v>
      </c>
      <c r="R32" s="254">
        <f>'28'!$G$142</f>
        <v>79.080000000001746</v>
      </c>
      <c r="S32" s="254">
        <f>'28'!$G$145</f>
        <v>-3.999999999996362E-2</v>
      </c>
      <c r="T32" s="251">
        <f>'28'!$G$146</f>
        <v>86</v>
      </c>
      <c r="U32" s="251">
        <f>'28'!$G$144</f>
        <v>231</v>
      </c>
      <c r="V32" s="251">
        <f>'28'!$G$147</f>
        <v>389.11999999999534</v>
      </c>
      <c r="W32" s="251">
        <f>'28'!$G$148</f>
        <v>376.23999999999069</v>
      </c>
      <c r="X32" s="251">
        <f>'28'!$G$143</f>
        <v>28.530000000000655</v>
      </c>
      <c r="Y32" s="251">
        <f>'28'!$G$58</f>
        <v>228.61000000000058</v>
      </c>
      <c r="Z32" s="251">
        <f>'28'!$G$151</f>
        <v>300</v>
      </c>
      <c r="AA32" s="251">
        <f>'28'!G161</f>
        <v>40.400000000023283</v>
      </c>
      <c r="AB32" s="251">
        <f>'28'!G162</f>
        <v>43.169999999998254</v>
      </c>
      <c r="AC32" s="251">
        <f>'28'!G88</f>
        <v>0</v>
      </c>
      <c r="AD32" s="251">
        <f>'28'!G163+'28'!G164</f>
        <v>151.59999999999945</v>
      </c>
      <c r="AE32" s="254">
        <f>'28'!$G$116</f>
        <v>453.63000000000466</v>
      </c>
      <c r="AF32" s="254">
        <f>'28'!$G$117</f>
        <v>263.19000000000233</v>
      </c>
      <c r="AG32" s="254">
        <f>'28'!$G$118</f>
        <v>618.08000000000175</v>
      </c>
      <c r="AH32" s="254">
        <f>'28'!$G$119</f>
        <v>222.81000000000495</v>
      </c>
      <c r="AI32" s="254">
        <f>'28'!$G$120</f>
        <v>405.37999999999738</v>
      </c>
      <c r="AJ32" s="254">
        <f>'28'!$G$121</f>
        <v>471.70999999999913</v>
      </c>
      <c r="AK32" s="254">
        <f>'28'!$G$122</f>
        <v>286.34000000000015</v>
      </c>
      <c r="AL32" s="254">
        <f>'28'!$G$123</f>
        <v>319.46999999999753</v>
      </c>
      <c r="AM32" s="254">
        <f>'28'!$G$133</f>
        <v>0</v>
      </c>
      <c r="AN32" s="254">
        <f>'28'!$G$15</f>
        <v>1000</v>
      </c>
      <c r="AO32" s="254">
        <f>'28'!$G$74</f>
        <v>312.0899999999674</v>
      </c>
      <c r="AP32" s="254">
        <f>'28'!$G$75</f>
        <v>-0.80000000000291038</v>
      </c>
      <c r="AQ32" s="254">
        <f>'28'!$G$76</f>
        <v>101.60999999998603</v>
      </c>
      <c r="AR32" s="254">
        <f>'28'!$G$77</f>
        <v>45.69999999999709</v>
      </c>
      <c r="AS32" s="254">
        <f>'28'!$G$78</f>
        <v>0</v>
      </c>
      <c r="AT32" s="254">
        <f t="shared" si="0"/>
        <v>541.40000000005239</v>
      </c>
      <c r="AU32" s="254">
        <f>SUM('28'!G91:G92)</f>
        <v>10.779999999999745</v>
      </c>
      <c r="AV32" s="254">
        <f>'28'!$G$88</f>
        <v>0</v>
      </c>
      <c r="AW32" s="254">
        <f>'28'!$G$89</f>
        <v>9.4599999999991269</v>
      </c>
      <c r="AX32" s="254">
        <f>'28'!$G$90</f>
        <v>10.639999999999418</v>
      </c>
      <c r="AY32" s="252">
        <f t="shared" si="1"/>
        <v>20.099999999998545</v>
      </c>
      <c r="BA32" s="311">
        <f t="shared" si="3"/>
        <v>26.935323383089134</v>
      </c>
      <c r="BB32" s="351">
        <f t="shared" si="4"/>
        <v>5779.3399999999783</v>
      </c>
      <c r="BC32" s="351">
        <f t="shared" si="5"/>
        <v>22.058549618320527</v>
      </c>
    </row>
    <row r="33" spans="1:55">
      <c r="A33" s="359">
        <v>29</v>
      </c>
      <c r="B33" s="511">
        <f>'29'!G7</f>
        <v>26200</v>
      </c>
      <c r="C33" s="511">
        <f>'29'!G8</f>
        <v>26500</v>
      </c>
      <c r="D33" s="511">
        <f>'29'!G15</f>
        <v>1000</v>
      </c>
      <c r="E33" s="511">
        <f>'29'!G20</f>
        <v>231</v>
      </c>
      <c r="F33" s="511">
        <f>SUM('29'!G35,'29'!G49)</f>
        <v>4229.460000000021</v>
      </c>
      <c r="G33" s="511">
        <f>SUM('29'!G37,'29'!G51)</f>
        <v>1102.3800000000001</v>
      </c>
      <c r="H33" s="511">
        <f>SUM('29'!G38,'29'!G52)</f>
        <v>2265.5599999999977</v>
      </c>
      <c r="I33" s="511">
        <f>SUM('29'!G39,'29'!G53)</f>
        <v>4413.2299999999996</v>
      </c>
      <c r="J33" s="511">
        <f>SUM('29'!G41,'29'!G42,'29'!G55,'29'!G56)</f>
        <v>5456.4499999999825</v>
      </c>
      <c r="K33" s="511">
        <f>SUM('29'!G43,'29'!G57)</f>
        <v>3053.1399999999849</v>
      </c>
      <c r="L33" s="254">
        <f>'29'!G50</f>
        <v>1186.1900000000023</v>
      </c>
      <c r="M33" s="254">
        <f>'29'!G36</f>
        <v>742.22000000000116</v>
      </c>
      <c r="N33" s="254">
        <f>'29'!G138</f>
        <v>151</v>
      </c>
      <c r="O33" s="254">
        <f>'29'!$G$139</f>
        <v>140</v>
      </c>
      <c r="P33" s="254">
        <f>'29'!$G$140</f>
        <v>15.789999999999964</v>
      </c>
      <c r="Q33" s="254">
        <f>'29'!$G$141</f>
        <v>204.10000000000582</v>
      </c>
      <c r="R33" s="254">
        <f>'29'!$G$142</f>
        <v>77.400000000001455</v>
      </c>
      <c r="S33" s="254">
        <f>'29'!$G$145</f>
        <v>7.999999999992724E-2</v>
      </c>
      <c r="T33" s="254">
        <f>'29'!$G$146</f>
        <v>93</v>
      </c>
      <c r="U33" s="254">
        <f>'29'!$G$144</f>
        <v>219</v>
      </c>
      <c r="V33" s="254">
        <f>'29'!$G$147</f>
        <v>458.80000000004657</v>
      </c>
      <c r="W33" s="254">
        <f>'29'!$G$148</f>
        <v>309.04000000003725</v>
      </c>
      <c r="X33" s="254">
        <f>'29'!$G$143</f>
        <v>30.899999999999636</v>
      </c>
      <c r="Y33" s="254">
        <f>'29'!$G$58</f>
        <v>300.77000000000407</v>
      </c>
      <c r="Z33" s="254">
        <f>'29'!$G$151</f>
        <v>302</v>
      </c>
      <c r="AA33" s="254">
        <f>'29'!G161</f>
        <v>35.71999999997206</v>
      </c>
      <c r="AB33" s="254">
        <f>'29'!G162</f>
        <v>39.729999999995925</v>
      </c>
      <c r="AC33" s="254">
        <f>'29'!G88</f>
        <v>2.0999999999985448</v>
      </c>
      <c r="AD33" s="254">
        <f>'29'!G163+'29'!G164</f>
        <v>146.30000000000018</v>
      </c>
      <c r="AE33" s="254">
        <f>'29'!$G$116</f>
        <v>377.48999999999069</v>
      </c>
      <c r="AF33" s="254">
        <f>'29'!$G$117</f>
        <v>242.13999999999942</v>
      </c>
      <c r="AG33" s="254">
        <f>'29'!$G$118</f>
        <v>632.27999999999884</v>
      </c>
      <c r="AH33" s="254">
        <f>'29'!$G$119</f>
        <v>226.83999999999651</v>
      </c>
      <c r="AI33" s="254">
        <f>'29'!$G$120</f>
        <v>399.62999999999738</v>
      </c>
      <c r="AJ33" s="254">
        <f>'29'!$G$121</f>
        <v>505.43000000000029</v>
      </c>
      <c r="AK33" s="254">
        <f>'29'!$G$122</f>
        <v>295.70000000000073</v>
      </c>
      <c r="AL33" s="254">
        <f>'29'!$G$123</f>
        <v>314.89000000000306</v>
      </c>
      <c r="AM33" s="254">
        <f>'29'!$G$133</f>
        <v>0</v>
      </c>
      <c r="AN33" s="254">
        <f>'29'!$G$15</f>
        <v>1000</v>
      </c>
      <c r="AO33" s="254">
        <f>'29'!$G$74</f>
        <v>308.05999999993946</v>
      </c>
      <c r="AP33" s="254">
        <f>'29'!$G$75</f>
        <v>0</v>
      </c>
      <c r="AQ33" s="254">
        <f>'29'!$G$76</f>
        <v>108</v>
      </c>
      <c r="AR33" s="254">
        <f>'29'!$G$77</f>
        <v>63</v>
      </c>
      <c r="AS33" s="254">
        <f>'29'!$G$78</f>
        <v>0.3999999999996362</v>
      </c>
      <c r="AT33" s="254">
        <f t="shared" si="0"/>
        <v>520.5400000000609</v>
      </c>
      <c r="AU33" s="254">
        <f>SUM('29'!G91:G92)</f>
        <v>10.659999999999854</v>
      </c>
      <c r="AV33" s="254">
        <f>'29'!$G$88</f>
        <v>2.0999999999985448</v>
      </c>
      <c r="AW33" s="254">
        <f>'29'!$G$89</f>
        <v>9.0799999999981083</v>
      </c>
      <c r="AX33" s="254">
        <f>'29'!$G$90</f>
        <v>7.4600000000064028</v>
      </c>
      <c r="AY33" s="252">
        <f t="shared" si="1"/>
        <v>18.640000000003056</v>
      </c>
      <c r="BA33" s="311">
        <f t="shared" si="3"/>
        <v>27.925965665234742</v>
      </c>
      <c r="BB33" s="351">
        <f t="shared" si="4"/>
        <v>5679.0100000000093</v>
      </c>
      <c r="BC33" s="351">
        <f t="shared" si="5"/>
        <v>21.675610687022935</v>
      </c>
    </row>
    <row r="34" spans="1:55" s="313" customFormat="1">
      <c r="A34" s="359">
        <v>30</v>
      </c>
      <c r="B34" s="511">
        <f>'30'!G7</f>
        <v>26200</v>
      </c>
      <c r="C34" s="511">
        <f>'30'!G8</f>
        <v>26500</v>
      </c>
      <c r="D34" s="511">
        <f>'30'!G15</f>
        <v>1000</v>
      </c>
      <c r="E34" s="511">
        <f>'30'!G20</f>
        <v>181</v>
      </c>
      <c r="F34" s="511">
        <f>SUM('30'!G35,'30'!G49)</f>
        <v>4258.3999999999651</v>
      </c>
      <c r="G34" s="511">
        <f>SUM('30'!G37,'30'!G51)</f>
        <v>1071.4399999999996</v>
      </c>
      <c r="H34" s="511">
        <f>SUM('30'!G38,'30'!G52)</f>
        <v>2291.5999999999767</v>
      </c>
      <c r="I34" s="511">
        <f>SUM('30'!G39,'30'!G53)</f>
        <v>4606.5600000000013</v>
      </c>
      <c r="J34" s="511">
        <f>SUM('30'!G41,'30'!G42,'30'!G55,'30'!G56)</f>
        <v>6490.0100000000093</v>
      </c>
      <c r="K34" s="511">
        <f>SUM('30'!G43,'30'!G57)</f>
        <v>3084.140000000014</v>
      </c>
      <c r="L34" s="251">
        <f>'30'!G50</f>
        <v>1094.1000000000349</v>
      </c>
      <c r="M34" s="251">
        <f>'30'!G36</f>
        <v>1023.8300000000163</v>
      </c>
      <c r="N34" s="251">
        <f>'30'!G138</f>
        <v>152</v>
      </c>
      <c r="O34" s="251">
        <f>'30'!$G$139</f>
        <v>134</v>
      </c>
      <c r="P34" s="251">
        <f>'30'!$G$140</f>
        <v>16.350000000000136</v>
      </c>
      <c r="Q34" s="251">
        <f>'30'!$G$141</f>
        <v>204</v>
      </c>
      <c r="R34" s="251">
        <f>'30'!$G$142</f>
        <v>68.980000000003201</v>
      </c>
      <c r="S34" s="251">
        <f>'30'!$G$145</f>
        <v>0.12000000000080036</v>
      </c>
      <c r="T34" s="251">
        <f>'30'!$G$146</f>
        <v>54</v>
      </c>
      <c r="U34" s="251">
        <f>'30'!$G$144</f>
        <v>226</v>
      </c>
      <c r="V34" s="251">
        <f>'30'!$G$147</f>
        <v>380.07999999995809</v>
      </c>
      <c r="W34" s="251">
        <f>'30'!$G$148</f>
        <v>316.31999999994878</v>
      </c>
      <c r="X34" s="251">
        <f>'30'!$G$143</f>
        <v>31.579999999999927</v>
      </c>
      <c r="Y34" s="251">
        <f>'30'!$G$58</f>
        <v>278.96999999999389</v>
      </c>
      <c r="Z34" s="251">
        <f>'30'!$G$151</f>
        <v>329</v>
      </c>
      <c r="AA34" s="251">
        <f>'30'!G161</f>
        <v>29.520000000018626</v>
      </c>
      <c r="AB34" s="251">
        <f>'30'!G162</f>
        <v>38.100000000005821</v>
      </c>
      <c r="AC34" s="251">
        <f>'30'!G88</f>
        <v>2.3400000000001455</v>
      </c>
      <c r="AD34" s="251">
        <f>'30'!G163+'30'!G164</f>
        <v>138.20000000000073</v>
      </c>
      <c r="AE34" s="251">
        <f>'30'!$G$116</f>
        <v>480.48000000001048</v>
      </c>
      <c r="AF34" s="251">
        <f>'30'!$G$117</f>
        <v>276.68000000000029</v>
      </c>
      <c r="AG34" s="251">
        <f>'30'!$G$118</f>
        <v>619.72000000000116</v>
      </c>
      <c r="AH34" s="251">
        <f>'30'!$G$119</f>
        <v>223.38999999999942</v>
      </c>
      <c r="AI34" s="251">
        <f>'30'!$G$120</f>
        <v>425.90000000000146</v>
      </c>
      <c r="AJ34" s="251">
        <f>'30'!$G$121</f>
        <v>531.19000000000233</v>
      </c>
      <c r="AK34" s="251">
        <f>'30'!$G$122</f>
        <v>287.29999999999927</v>
      </c>
      <c r="AL34" s="251">
        <f>'30'!$G$123</f>
        <v>340.73999999999796</v>
      </c>
      <c r="AM34" s="251">
        <f>'30'!$G$133</f>
        <v>0</v>
      </c>
      <c r="AN34" s="251">
        <f>'30'!$G$15</f>
        <v>1000</v>
      </c>
      <c r="AO34" s="251">
        <f>'30'!$G$74</f>
        <v>322.63000000000466</v>
      </c>
      <c r="AP34" s="251">
        <f>'30'!$G$75</f>
        <v>0</v>
      </c>
      <c r="AQ34" s="251">
        <f>'30'!$G$76</f>
        <v>108</v>
      </c>
      <c r="AR34" s="251">
        <f>'30'!$G$77</f>
        <v>50</v>
      </c>
      <c r="AS34" s="251">
        <f>'30'!$G$78</f>
        <v>-0.3999999999996362</v>
      </c>
      <c r="AT34" s="251">
        <f t="shared" si="0"/>
        <v>519.76999999999498</v>
      </c>
      <c r="AU34" s="251">
        <f>SUM('30'!G91:G92)</f>
        <v>11.080000000000837</v>
      </c>
      <c r="AV34" s="251">
        <f>'30'!$G$88</f>
        <v>2.3400000000001455</v>
      </c>
      <c r="AW34" s="251">
        <f>'30'!$G$89</f>
        <v>7.7200000000011642</v>
      </c>
      <c r="AX34" s="251">
        <f>'30'!$G$90</f>
        <v>12.099999999991269</v>
      </c>
      <c r="AY34" s="255">
        <f t="shared" si="1"/>
        <v>22.159999999992579</v>
      </c>
      <c r="BA34" s="311">
        <f t="shared" si="3"/>
        <v>23.455324909754921</v>
      </c>
      <c r="BB34" s="351">
        <f t="shared" si="4"/>
        <v>4418.880000000041</v>
      </c>
      <c r="BC34" s="351">
        <f t="shared" si="5"/>
        <v>16.865954198473439</v>
      </c>
    </row>
    <row r="35" spans="1:55">
      <c r="A35" s="359">
        <v>31</v>
      </c>
      <c r="B35" s="511">
        <f>'31'!G7</f>
        <v>26200</v>
      </c>
      <c r="C35" s="511">
        <f>'31'!G8</f>
        <v>26500</v>
      </c>
      <c r="D35" s="511">
        <f>'31'!G15</f>
        <v>1000</v>
      </c>
      <c r="E35" s="511">
        <f>'31'!G20</f>
        <v>321</v>
      </c>
      <c r="F35" s="511">
        <f>SUM('31'!G35,'31'!G49)</f>
        <v>4304.7200000000303</v>
      </c>
      <c r="G35" s="511">
        <f>SUM('31'!G37,'31'!G51)</f>
        <v>1033.8099999999977</v>
      </c>
      <c r="H35" s="511">
        <f>SUM('31'!G38,'31'!G52)</f>
        <v>2270.3300000000163</v>
      </c>
      <c r="I35" s="511">
        <f>SUM('31'!G39,'31'!G53)</f>
        <v>4358.8100000000559</v>
      </c>
      <c r="J35" s="511">
        <f>SUM('31'!G41,'31'!G42,'31'!G55,'31'!G56)</f>
        <v>6404.940000000046</v>
      </c>
      <c r="K35" s="511">
        <f>SUM('31'!G43,'31'!G57)</f>
        <v>2986.8699999999953</v>
      </c>
      <c r="L35" s="251">
        <f>'31'!G50</f>
        <v>982.72999999998137</v>
      </c>
      <c r="M35" s="251">
        <f>'31'!G36</f>
        <v>847.39999999999418</v>
      </c>
      <c r="N35" s="251">
        <f>'31'!G138</f>
        <v>136</v>
      </c>
      <c r="O35" s="251">
        <f>'31'!$G$139</f>
        <v>135</v>
      </c>
      <c r="P35" s="251">
        <f>'31'!$G$140</f>
        <v>15.6099999999999</v>
      </c>
      <c r="Q35" s="251">
        <f>'31'!$G$141</f>
        <v>203.39999999999418</v>
      </c>
      <c r="R35" s="251">
        <f>'31'!$G$142</f>
        <v>69.019999999996799</v>
      </c>
      <c r="S35" s="251">
        <f>'31'!$G$145</f>
        <v>8.3999999999996362</v>
      </c>
      <c r="T35" s="251">
        <f>'31'!$G$146</f>
        <v>61</v>
      </c>
      <c r="U35" s="251">
        <f>'31'!$G$144</f>
        <v>203</v>
      </c>
      <c r="V35" s="251">
        <f>'31'!$G$147</f>
        <v>384.11999999999534</v>
      </c>
      <c r="W35" s="251">
        <f>'31'!$G$148</f>
        <v>307.52000000001863</v>
      </c>
      <c r="X35" s="251">
        <f>'31'!$G$143</f>
        <v>27.420000000000073</v>
      </c>
      <c r="Y35" s="251">
        <f>'31'!$G$58</f>
        <v>265.30000000000291</v>
      </c>
      <c r="Z35" s="251">
        <f>'31'!$G$151</f>
        <v>359</v>
      </c>
      <c r="AA35" s="251">
        <f>'31'!G161</f>
        <v>32.320000000006985</v>
      </c>
      <c r="AB35" s="251">
        <f>'31'!G162</f>
        <v>24.899999999994179</v>
      </c>
      <c r="AC35" s="251">
        <f>'31'!G89</f>
        <v>10.200000000000728</v>
      </c>
      <c r="AD35" s="251">
        <f>'31'!G163+'31'!G164</f>
        <v>258.89999999999964</v>
      </c>
      <c r="AE35" s="251">
        <f>'31'!$G$116</f>
        <v>425.72999999999593</v>
      </c>
      <c r="AF35" s="251">
        <f>'31'!$G$117</f>
        <v>319.22000000000116</v>
      </c>
      <c r="AG35" s="251">
        <f>'31'!$G$118</f>
        <v>595</v>
      </c>
      <c r="AH35" s="251">
        <f>'31'!$G$119</f>
        <v>209.47000000000116</v>
      </c>
      <c r="AI35" s="251">
        <f>'31'!$G$120</f>
        <v>410.40000000000146</v>
      </c>
      <c r="AJ35" s="251">
        <f>'31'!$G$121</f>
        <v>468.91999999999825</v>
      </c>
      <c r="AK35" s="251">
        <f>'31'!$G$122</f>
        <v>271.29999999999927</v>
      </c>
      <c r="AL35" s="251">
        <f>'31'!$G$123</f>
        <v>294.27000000000044</v>
      </c>
      <c r="AM35" s="251">
        <f>'31'!$G$133</f>
        <v>0</v>
      </c>
      <c r="AN35" s="251">
        <f>'31'!$G$15</f>
        <v>1000</v>
      </c>
      <c r="AO35" s="251">
        <f>'31'!$G$74</f>
        <v>329.53000000002794</v>
      </c>
      <c r="AP35" s="251">
        <f>'31'!$G$75</f>
        <v>0.80000000000291038</v>
      </c>
      <c r="AQ35" s="251">
        <f>'31'!$G$76</f>
        <v>107</v>
      </c>
      <c r="AR35" s="251">
        <f>'31'!$G$77</f>
        <v>50</v>
      </c>
      <c r="AS35" s="251">
        <f>'31'!$G$78</f>
        <v>0</v>
      </c>
      <c r="AT35" s="251">
        <f t="shared" ref="AT35" si="7">AN35-SUM(AO35:AS35)</f>
        <v>512.66999999996915</v>
      </c>
      <c r="AU35" s="251">
        <f>SUM('31'!G92:G142)</f>
        <v>35439.815099618434</v>
      </c>
      <c r="AV35" s="251">
        <f>'31'!$G$88</f>
        <v>0</v>
      </c>
      <c r="AW35" s="251">
        <f>'31'!$G$89</f>
        <v>10.200000000000728</v>
      </c>
      <c r="AX35" s="251">
        <f>'30'!$G$90</f>
        <v>12.099999999991269</v>
      </c>
      <c r="AY35" s="255">
        <f t="shared" ref="AY35" si="8">SUM(AV35:AX35)</f>
        <v>22.299999999991996</v>
      </c>
      <c r="BA35" s="311">
        <f t="shared" si="3"/>
        <v>22.989686098661576</v>
      </c>
      <c r="BB35" s="351">
        <f t="shared" si="4"/>
        <v>4875.2199999998556</v>
      </c>
      <c r="BC35" s="351">
        <f t="shared" si="5"/>
        <v>18.60770992366357</v>
      </c>
    </row>
    <row r="36" spans="1:55" s="316" customFormat="1">
      <c r="A36" s="304" t="s">
        <v>357</v>
      </c>
      <c r="B36" s="305">
        <f>AVERAGE(B5:B35)</f>
        <v>26127.706451612903</v>
      </c>
      <c r="C36" s="305">
        <f t="shared" ref="C36:BC36" si="9">AVERAGE(C5:C35)</f>
        <v>26476.322580645163</v>
      </c>
      <c r="D36" s="305">
        <f t="shared" si="9"/>
        <v>1004.516129032258</v>
      </c>
      <c r="E36" s="305">
        <f t="shared" si="9"/>
        <v>183.41935483870967</v>
      </c>
      <c r="F36" s="305">
        <f t="shared" si="9"/>
        <v>-96.774193548387103</v>
      </c>
      <c r="G36" s="305">
        <f t="shared" si="9"/>
        <v>0</v>
      </c>
      <c r="H36" s="305">
        <f t="shared" si="9"/>
        <v>0</v>
      </c>
      <c r="I36" s="305">
        <f t="shared" si="9"/>
        <v>0</v>
      </c>
      <c r="J36" s="305">
        <f t="shared" si="9"/>
        <v>4.6941662026989843E-13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-9.6774193548387094E-2</v>
      </c>
      <c r="O36" s="305">
        <f t="shared" si="9"/>
        <v>0</v>
      </c>
      <c r="P36" s="305">
        <f t="shared" si="9"/>
        <v>19.218387096774002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0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0.94190476190470651</v>
      </c>
      <c r="AD36" s="305">
        <f t="shared" si="9"/>
        <v>3.7096774193548385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18426.884838709684</v>
      </c>
      <c r="AN36" s="305">
        <f t="shared" si="9"/>
        <v>1004.516129032258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>
        <f t="shared" si="9"/>
        <v>1004.516129032258</v>
      </c>
      <c r="AU36" s="305">
        <f t="shared" si="9"/>
        <v>1142.93951934253</v>
      </c>
      <c r="AV36" s="305">
        <f t="shared" si="9"/>
        <v>0</v>
      </c>
      <c r="AW36" s="305">
        <f t="shared" si="9"/>
        <v>0</v>
      </c>
      <c r="AX36" s="305">
        <f t="shared" si="9"/>
        <v>-1.6129032263697515E-3</v>
      </c>
      <c r="AY36" s="305">
        <f t="shared" si="9"/>
        <v>-1.6129032263697515E-3</v>
      </c>
      <c r="AZ36" s="305">
        <f t="shared" si="9"/>
        <v>27.78791883933118</v>
      </c>
      <c r="BA36" s="305">
        <f t="shared" si="9"/>
        <v>24.206593437385774</v>
      </c>
      <c r="BB36" s="305">
        <f t="shared" si="9"/>
        <v>26573.096774193546</v>
      </c>
      <c r="BC36" s="305">
        <f t="shared" si="9"/>
        <v>101.47021558745088</v>
      </c>
    </row>
    <row r="37" spans="1:55">
      <c r="A37" s="261" t="s">
        <v>196</v>
      </c>
      <c r="B37" s="305">
        <f>SUM(B5:B35)</f>
        <v>809958.9</v>
      </c>
      <c r="C37" s="305">
        <f t="shared" ref="C37:BC37" si="10">SUM(C5:C35)</f>
        <v>820766</v>
      </c>
      <c r="D37" s="305">
        <f t="shared" si="10"/>
        <v>31140</v>
      </c>
      <c r="E37" s="305">
        <f t="shared" si="10"/>
        <v>5686</v>
      </c>
      <c r="F37" s="305">
        <f>SUM(F5:F35)</f>
        <v>-3000</v>
      </c>
      <c r="G37" s="305">
        <f t="shared" si="10"/>
        <v>0</v>
      </c>
      <c r="H37" s="305">
        <f t="shared" si="10"/>
        <v>0</v>
      </c>
      <c r="I37" s="305">
        <f t="shared" si="10"/>
        <v>0</v>
      </c>
      <c r="J37" s="305">
        <f t="shared" si="10"/>
        <v>1.4551915228366852E-11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-3</v>
      </c>
      <c r="O37" s="305">
        <f t="shared" si="10"/>
        <v>0</v>
      </c>
      <c r="P37" s="305">
        <f t="shared" si="10"/>
        <v>595.76999999999407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0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19.779999999998836</v>
      </c>
      <c r="AD37" s="305">
        <f t="shared" si="10"/>
        <v>115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571233.43000000017</v>
      </c>
      <c r="AN37" s="305">
        <f t="shared" si="10"/>
        <v>31140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>
        <f t="shared" si="10"/>
        <v>31140</v>
      </c>
      <c r="AU37" s="305">
        <f t="shared" si="10"/>
        <v>35431.125099618432</v>
      </c>
      <c r="AV37" s="305">
        <f t="shared" si="10"/>
        <v>0</v>
      </c>
      <c r="AW37" s="305">
        <f t="shared" si="10"/>
        <v>0</v>
      </c>
      <c r="AX37" s="305">
        <f t="shared" si="10"/>
        <v>-5.0000000017462298E-2</v>
      </c>
      <c r="AY37" s="305">
        <f t="shared" si="10"/>
        <v>-5.0000000017462298E-2</v>
      </c>
      <c r="AZ37" s="305">
        <f t="shared" si="10"/>
        <v>666.91005214394829</v>
      </c>
      <c r="BA37" s="305">
        <f t="shared" si="10"/>
        <v>750.40439655895898</v>
      </c>
      <c r="BB37" s="305">
        <f t="shared" si="10"/>
        <v>823765.99999999988</v>
      </c>
      <c r="BC37" s="305">
        <f t="shared" si="10"/>
        <v>3145.5766832109771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2">
        <f t="shared" ref="F39:K39" si="11">F19-F18</f>
        <v>392.56999999994878</v>
      </c>
      <c r="G39" s="512">
        <f t="shared" si="11"/>
        <v>39.520000000025675</v>
      </c>
      <c r="H39" s="512">
        <f t="shared" si="11"/>
        <v>150.04000000002816</v>
      </c>
      <c r="I39" s="512">
        <f t="shared" si="11"/>
        <v>-38.480000000097789</v>
      </c>
      <c r="J39" s="512">
        <f t="shared" si="11"/>
        <v>-236.75000000008731</v>
      </c>
      <c r="K39" s="512">
        <f t="shared" si="11"/>
        <v>-160.11999999999534</v>
      </c>
      <c r="L39" s="512"/>
      <c r="M39" s="512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100" zoomScale="60" zoomScaleNormal="61" zoomScalePageLayoutView="70" workbookViewId="0">
      <selection activeCell="A118" sqref="A118:XFD118"/>
    </sheetView>
  </sheetViews>
  <sheetFormatPr defaultColWidth="22.33203125" defaultRowHeight="21.95" customHeight="1"/>
  <cols>
    <col min="1" max="1" width="50.21875" style="558" customWidth="1"/>
    <col min="2" max="2" width="22.6640625" style="542" customWidth="1"/>
    <col min="3" max="3" width="14.44140625" style="542" customWidth="1"/>
    <col min="4" max="4" width="13.6640625" style="542" customWidth="1"/>
    <col min="5" max="5" width="30" style="414" customWidth="1"/>
    <col min="6" max="6" width="19.44140625" style="592" customWidth="1"/>
    <col min="7" max="7" width="28.88671875" style="593" customWidth="1"/>
    <col min="8" max="8" width="24.6640625" style="594" customWidth="1"/>
    <col min="9" max="9" width="23.5546875" style="592" customWidth="1"/>
    <col min="10" max="10" width="24" style="594" customWidth="1"/>
    <col min="11" max="11" width="43.21875" style="542" hidden="1" customWidth="1"/>
    <col min="12" max="13" width="0" style="542" hidden="1" customWidth="1"/>
    <col min="14" max="14" width="25.109375" style="542" customWidth="1"/>
    <col min="15" max="16" width="22.33203125" style="542"/>
    <col min="17" max="17" width="44.77734375" style="542" customWidth="1"/>
    <col min="18" max="16384" width="22.33203125" style="542"/>
  </cols>
  <sheetData>
    <row r="1" spans="1:15" ht="26.25">
      <c r="A1" s="850" t="s">
        <v>115</v>
      </c>
      <c r="B1" s="851"/>
      <c r="C1" s="851"/>
      <c r="D1" s="851"/>
      <c r="E1" s="851"/>
      <c r="F1" s="851"/>
      <c r="G1" s="851"/>
      <c r="H1" s="851"/>
      <c r="I1" s="851"/>
      <c r="J1" s="852"/>
    </row>
    <row r="2" spans="1:15" ht="26.25">
      <c r="A2" s="543" t="s">
        <v>349</v>
      </c>
      <c r="B2" s="740">
        <v>44774</v>
      </c>
      <c r="C2" s="741" t="s">
        <v>67</v>
      </c>
      <c r="D2" s="742">
        <v>0.88</v>
      </c>
      <c r="E2" s="100"/>
      <c r="F2" s="741"/>
      <c r="G2" s="743" t="s">
        <v>116</v>
      </c>
      <c r="H2" s="741" t="s">
        <v>5</v>
      </c>
      <c r="I2" s="741" t="s">
        <v>7</v>
      </c>
      <c r="J2" s="744" t="s">
        <v>117</v>
      </c>
    </row>
    <row r="3" spans="1:15" ht="26.25">
      <c r="A3" s="544"/>
      <c r="B3" s="745"/>
      <c r="C3" s="741" t="s">
        <v>118</v>
      </c>
      <c r="D3" s="746">
        <v>29</v>
      </c>
      <c r="E3" s="859" t="s">
        <v>119</v>
      </c>
      <c r="F3" s="860"/>
      <c r="G3" s="743"/>
      <c r="H3" s="747"/>
      <c r="I3" s="747"/>
      <c r="J3" s="744"/>
      <c r="K3" s="545"/>
      <c r="L3" s="546"/>
    </row>
    <row r="4" spans="1:15" ht="26.25">
      <c r="A4" s="547"/>
      <c r="B4" s="748"/>
      <c r="C4" s="741" t="s">
        <v>120</v>
      </c>
      <c r="D4" s="742">
        <v>0.78</v>
      </c>
      <c r="E4" s="103"/>
      <c r="F4" s="749"/>
      <c r="G4" s="743"/>
      <c r="H4" s="749"/>
      <c r="I4" s="750"/>
      <c r="J4" s="744"/>
      <c r="K4" s="548"/>
      <c r="L4" s="546"/>
    </row>
    <row r="5" spans="1:15" s="558" customFormat="1" ht="26.25">
      <c r="A5" s="549" t="s">
        <v>121</v>
      </c>
      <c r="B5" s="550"/>
      <c r="C5" s="550"/>
      <c r="D5" s="550" t="s">
        <v>122</v>
      </c>
      <c r="E5" s="106" t="s">
        <v>123</v>
      </c>
      <c r="F5" s="551" t="s">
        <v>110</v>
      </c>
      <c r="G5" s="552" t="s">
        <v>124</v>
      </c>
      <c r="H5" s="553" t="s">
        <v>125</v>
      </c>
      <c r="I5" s="554" t="s">
        <v>126</v>
      </c>
      <c r="J5" s="555" t="s">
        <v>127</v>
      </c>
      <c r="K5" s="556"/>
      <c r="L5" s="557"/>
    </row>
    <row r="6" spans="1:15" s="558" customFormat="1" ht="26.25">
      <c r="A6" s="853" t="s">
        <v>128</v>
      </c>
      <c r="B6" s="854"/>
      <c r="C6" s="855"/>
      <c r="D6" s="559"/>
      <c r="E6" s="110"/>
      <c r="F6" s="560"/>
      <c r="G6" s="561"/>
      <c r="H6" s="560"/>
      <c r="I6" s="560"/>
      <c r="J6" s="562"/>
      <c r="K6" s="563"/>
      <c r="L6" s="557"/>
    </row>
    <row r="7" spans="1:15" ht="27" thickBot="1">
      <c r="A7" s="564" t="s">
        <v>129</v>
      </c>
      <c r="B7" s="615"/>
      <c r="C7" s="615"/>
      <c r="D7" s="565" t="s">
        <v>130</v>
      </c>
      <c r="E7" s="95">
        <v>337130</v>
      </c>
      <c r="F7" s="554">
        <v>362567</v>
      </c>
      <c r="G7" s="616">
        <f>F7-E7</f>
        <v>25437</v>
      </c>
      <c r="H7" s="554">
        <f>G7</f>
        <v>25437</v>
      </c>
      <c r="I7" s="617">
        <v>12000</v>
      </c>
      <c r="J7" s="618">
        <f>H7/DAY(B2)</f>
        <v>25437</v>
      </c>
      <c r="K7" s="566">
        <v>1375467</v>
      </c>
      <c r="L7" s="546"/>
      <c r="N7" s="567"/>
      <c r="O7" s="568"/>
    </row>
    <row r="8" spans="1:15" ht="27" thickBot="1">
      <c r="A8" s="569" t="s">
        <v>131</v>
      </c>
      <c r="B8" s="619"/>
      <c r="C8" s="620"/>
      <c r="D8" s="570" t="s">
        <v>24</v>
      </c>
      <c r="E8" s="95">
        <v>488587</v>
      </c>
      <c r="F8" s="554">
        <v>514370</v>
      </c>
      <c r="G8" s="616">
        <f>F8-E8</f>
        <v>25783</v>
      </c>
      <c r="H8" s="554">
        <f>G8</f>
        <v>25783</v>
      </c>
      <c r="I8" s="621">
        <v>12000</v>
      </c>
      <c r="J8" s="618">
        <f>H8/DAY(B2)</f>
        <v>25783</v>
      </c>
      <c r="K8" s="566">
        <v>1715917</v>
      </c>
      <c r="L8" s="571">
        <v>1728480</v>
      </c>
      <c r="M8" s="567">
        <f>L8-K8</f>
        <v>12563</v>
      </c>
      <c r="N8" s="567"/>
      <c r="O8" s="568"/>
    </row>
    <row r="9" spans="1:15" ht="26.25">
      <c r="A9" s="572" t="s">
        <v>132</v>
      </c>
      <c r="B9" s="622"/>
      <c r="C9" s="622"/>
      <c r="D9" s="565" t="s">
        <v>130</v>
      </c>
      <c r="E9" s="469">
        <v>3279066</v>
      </c>
      <c r="F9" s="623">
        <v>3286708.7</v>
      </c>
      <c r="G9" s="624">
        <f>F9-E9</f>
        <v>7642.7000000001863</v>
      </c>
      <c r="H9" s="554">
        <f t="shared" ref="H9:H13" si="0">G9</f>
        <v>7642.7000000001863</v>
      </c>
      <c r="I9" s="617">
        <f>I8-J8</f>
        <v>-13783</v>
      </c>
      <c r="J9" s="618">
        <f>H9/DAY(B2)</f>
        <v>7642.7000000001863</v>
      </c>
      <c r="K9" s="573">
        <f>K8-100</f>
        <v>1715817</v>
      </c>
      <c r="L9" s="546"/>
      <c r="N9" s="567"/>
      <c r="O9" s="568"/>
    </row>
    <row r="10" spans="1:15" ht="26.25">
      <c r="A10" s="564" t="s">
        <v>133</v>
      </c>
      <c r="B10" s="615"/>
      <c r="C10" s="615"/>
      <c r="D10" s="565" t="s">
        <v>130</v>
      </c>
      <c r="E10" s="353">
        <v>1667158</v>
      </c>
      <c r="F10" s="623">
        <v>1684289.7</v>
      </c>
      <c r="G10" s="624">
        <f t="shared" ref="G10:G11" si="1">F10-E10</f>
        <v>17131.699999999953</v>
      </c>
      <c r="H10" s="554">
        <f t="shared" si="0"/>
        <v>17131.699999999953</v>
      </c>
      <c r="I10" s="554"/>
      <c r="J10" s="618">
        <f>H10/DAY(B2)</f>
        <v>17131.699999999953</v>
      </c>
      <c r="K10" s="573"/>
      <c r="L10" s="546"/>
      <c r="N10" s="567"/>
      <c r="O10" s="568"/>
    </row>
    <row r="11" spans="1:15" ht="26.25">
      <c r="A11" s="564" t="s">
        <v>134</v>
      </c>
      <c r="B11" s="615"/>
      <c r="C11" s="615"/>
      <c r="D11" s="565" t="s">
        <v>130</v>
      </c>
      <c r="E11" s="95">
        <v>37560</v>
      </c>
      <c r="F11" s="554">
        <v>37560</v>
      </c>
      <c r="G11" s="624">
        <f t="shared" si="1"/>
        <v>0</v>
      </c>
      <c r="H11" s="554">
        <f t="shared" si="0"/>
        <v>0</v>
      </c>
      <c r="I11" s="554"/>
      <c r="J11" s="618">
        <f>H11/DAY(B2)</f>
        <v>0</v>
      </c>
      <c r="K11" s="573"/>
      <c r="L11" s="546"/>
      <c r="N11" s="567"/>
      <c r="O11" s="568">
        <f>142-18</f>
        <v>124</v>
      </c>
    </row>
    <row r="12" spans="1:15" ht="26.25">
      <c r="A12" s="564" t="s">
        <v>135</v>
      </c>
      <c r="B12" s="615"/>
      <c r="C12" s="615"/>
      <c r="D12" s="565" t="s">
        <v>130</v>
      </c>
      <c r="E12" s="117">
        <v>40380</v>
      </c>
      <c r="F12" s="623">
        <v>40380</v>
      </c>
      <c r="G12" s="624">
        <f>F12-E12</f>
        <v>0</v>
      </c>
      <c r="H12" s="554">
        <f t="shared" si="0"/>
        <v>0</v>
      </c>
      <c r="I12" s="554"/>
      <c r="J12" s="618">
        <f>H12/DAY(B2)</f>
        <v>0</v>
      </c>
      <c r="K12" s="573"/>
      <c r="L12" s="546"/>
      <c r="N12" s="567"/>
      <c r="O12" s="568"/>
    </row>
    <row r="13" spans="1:15" ht="26.25">
      <c r="A13" s="574" t="s">
        <v>136</v>
      </c>
      <c r="B13" s="625"/>
      <c r="C13" s="625"/>
      <c r="D13" s="565"/>
      <c r="E13" s="95"/>
      <c r="F13" s="554"/>
      <c r="G13" s="624">
        <v>26109</v>
      </c>
      <c r="H13" s="554">
        <f t="shared" si="0"/>
        <v>26109</v>
      </c>
      <c r="I13" s="617">
        <f>G7-G13</f>
        <v>-672</v>
      </c>
      <c r="J13" s="618">
        <f>H13/DAY(B2)</f>
        <v>26109</v>
      </c>
      <c r="K13" s="573"/>
      <c r="L13" s="546"/>
      <c r="N13" s="567"/>
      <c r="O13" s="568"/>
    </row>
    <row r="14" spans="1:15" ht="26.25">
      <c r="A14" s="856" t="s">
        <v>137</v>
      </c>
      <c r="B14" s="857"/>
      <c r="C14" s="858"/>
      <c r="D14" s="560"/>
      <c r="E14" s="111"/>
      <c r="F14" s="626"/>
      <c r="G14" s="627"/>
      <c r="H14" s="626"/>
      <c r="I14" s="626"/>
      <c r="J14" s="628"/>
      <c r="K14" s="575"/>
      <c r="L14" s="546"/>
      <c r="N14" s="567"/>
      <c r="O14" s="568"/>
    </row>
    <row r="15" spans="1:15" ht="26.25">
      <c r="A15" s="576" t="s">
        <v>138</v>
      </c>
      <c r="B15" s="629"/>
      <c r="C15" s="629"/>
      <c r="D15" s="565" t="s">
        <v>139</v>
      </c>
      <c r="E15" s="469">
        <v>2100868</v>
      </c>
      <c r="F15" s="630">
        <v>2101931.6</v>
      </c>
      <c r="G15" s="631">
        <f>(F15-E15)</f>
        <v>1063.6000000000931</v>
      </c>
      <c r="H15" s="617">
        <f>G15</f>
        <v>1063.6000000000931</v>
      </c>
      <c r="I15" s="617">
        <v>800</v>
      </c>
      <c r="J15" s="618">
        <f>H15/DAY(B2)</f>
        <v>1063.6000000000931</v>
      </c>
      <c r="K15" s="573"/>
      <c r="L15" s="546"/>
      <c r="N15" s="567"/>
      <c r="O15" s="568"/>
    </row>
    <row r="16" spans="1:15" ht="26.25">
      <c r="A16" s="577"/>
      <c r="B16" s="632"/>
      <c r="C16" s="632"/>
      <c r="D16" s="633"/>
      <c r="E16" s="123"/>
      <c r="F16" s="634"/>
      <c r="G16" s="624"/>
      <c r="H16" s="617"/>
      <c r="I16" s="617">
        <f>I15-J15</f>
        <v>-263.60000000009313</v>
      </c>
      <c r="J16" s="635"/>
      <c r="K16" s="573"/>
      <c r="L16" s="546"/>
      <c r="N16" s="567"/>
      <c r="O16" s="568"/>
    </row>
    <row r="17" spans="1:15" ht="26.25">
      <c r="A17" s="856" t="s">
        <v>140</v>
      </c>
      <c r="B17" s="857"/>
      <c r="C17" s="858"/>
      <c r="D17" s="560"/>
      <c r="E17" s="111"/>
      <c r="F17" s="626"/>
      <c r="G17" s="627"/>
      <c r="H17" s="626"/>
      <c r="I17" s="626"/>
      <c r="J17" s="628"/>
      <c r="K17" s="573"/>
      <c r="L17" s="546"/>
      <c r="N17" s="567"/>
      <c r="O17" s="568"/>
    </row>
    <row r="18" spans="1:15" ht="26.25">
      <c r="A18" s="824" t="s">
        <v>141</v>
      </c>
      <c r="B18" s="825"/>
      <c r="C18" s="826"/>
      <c r="D18" s="565" t="s">
        <v>142</v>
      </c>
      <c r="E18" s="164">
        <v>27</v>
      </c>
      <c r="F18" s="636">
        <v>13</v>
      </c>
      <c r="G18" s="600">
        <f>F18*10</f>
        <v>130</v>
      </c>
      <c r="H18" s="554">
        <f>G18</f>
        <v>130</v>
      </c>
      <c r="I18" s="617">
        <v>65</v>
      </c>
      <c r="J18" s="618">
        <f>H18/DAY(B2)</f>
        <v>130</v>
      </c>
      <c r="K18" s="573"/>
      <c r="L18" s="546"/>
      <c r="N18" s="567"/>
      <c r="O18" s="568"/>
    </row>
    <row r="19" spans="1:15" ht="26.25">
      <c r="A19" s="824" t="s">
        <v>69</v>
      </c>
      <c r="B19" s="825"/>
      <c r="C19" s="826"/>
      <c r="D19" s="565" t="s">
        <v>142</v>
      </c>
      <c r="E19" s="122">
        <v>162335</v>
      </c>
      <c r="F19" s="636">
        <v>162387</v>
      </c>
      <c r="G19" s="624">
        <f t="shared" ref="G19" si="2">F19-E19</f>
        <v>52</v>
      </c>
      <c r="H19" s="554">
        <f t="shared" ref="H19" si="3">G19</f>
        <v>52</v>
      </c>
      <c r="I19" s="623"/>
      <c r="J19" s="618">
        <f>H19/DAY(B2)</f>
        <v>52</v>
      </c>
      <c r="K19" s="573"/>
      <c r="L19" s="546"/>
      <c r="N19" s="567"/>
      <c r="O19" s="568"/>
    </row>
    <row r="20" spans="1:15" ht="26.25">
      <c r="A20" s="574" t="s">
        <v>143</v>
      </c>
      <c r="B20" s="625"/>
      <c r="C20" s="625"/>
      <c r="D20" s="637"/>
      <c r="E20" s="126"/>
      <c r="F20" s="638"/>
      <c r="G20" s="639">
        <f>G18+G19</f>
        <v>182</v>
      </c>
      <c r="H20" s="554">
        <f>G20</f>
        <v>182</v>
      </c>
      <c r="I20" s="640">
        <f>I18-J20</f>
        <v>-117</v>
      </c>
      <c r="J20" s="618">
        <f>H20/DAY(B2)</f>
        <v>182</v>
      </c>
      <c r="K20" s="573"/>
      <c r="L20" s="546"/>
      <c r="N20" s="567"/>
      <c r="O20" s="568"/>
    </row>
    <row r="21" spans="1:15" ht="26.25">
      <c r="A21" s="856" t="s">
        <v>144</v>
      </c>
      <c r="B21" s="857"/>
      <c r="C21" s="858"/>
      <c r="D21" s="560"/>
      <c r="E21" s="111"/>
      <c r="F21" s="626"/>
      <c r="G21" s="627"/>
      <c r="H21" s="626"/>
      <c r="I21" s="626"/>
      <c r="J21" s="628"/>
      <c r="K21" s="573"/>
      <c r="L21" s="546"/>
      <c r="N21" s="567"/>
      <c r="O21" s="568"/>
    </row>
    <row r="22" spans="1:15" ht="26.25">
      <c r="A22" s="576" t="s">
        <v>145</v>
      </c>
      <c r="B22" s="629"/>
      <c r="C22" s="629"/>
      <c r="D22" s="565" t="s">
        <v>146</v>
      </c>
      <c r="E22" s="122">
        <v>2970</v>
      </c>
      <c r="F22" s="636">
        <v>2970</v>
      </c>
      <c r="G22" s="600">
        <f>(F22-E22)</f>
        <v>0</v>
      </c>
      <c r="H22" s="554">
        <f>G22</f>
        <v>0</v>
      </c>
      <c r="I22" s="554"/>
      <c r="J22" s="618">
        <f>H22/DAY(B2)</f>
        <v>0</v>
      </c>
      <c r="K22" s="573"/>
      <c r="L22" s="546"/>
      <c r="N22" s="567"/>
      <c r="O22" s="568"/>
    </row>
    <row r="23" spans="1:15" ht="26.25">
      <c r="A23" s="576" t="s">
        <v>147</v>
      </c>
      <c r="B23" s="629"/>
      <c r="C23" s="629"/>
      <c r="D23" s="565" t="s">
        <v>146</v>
      </c>
      <c r="E23" s="122">
        <v>2000</v>
      </c>
      <c r="F23" s="636">
        <v>2000</v>
      </c>
      <c r="G23" s="600">
        <f t="shared" ref="G23" si="4">(F23-E23)</f>
        <v>0</v>
      </c>
      <c r="H23" s="554">
        <f t="shared" ref="H23:H24" si="5">G23</f>
        <v>0</v>
      </c>
      <c r="I23" s="554"/>
      <c r="J23" s="618">
        <f>H23/DAY(B2)</f>
        <v>0</v>
      </c>
      <c r="K23" s="573"/>
      <c r="L23" s="546"/>
      <c r="N23" s="567"/>
      <c r="O23" s="568"/>
    </row>
    <row r="24" spans="1:15" ht="26.25">
      <c r="A24" s="578" t="s">
        <v>148</v>
      </c>
      <c r="B24" s="641"/>
      <c r="C24" s="641"/>
      <c r="D24" s="550" t="s">
        <v>146</v>
      </c>
      <c r="E24" s="128">
        <v>4970</v>
      </c>
      <c r="F24" s="642">
        <v>4970</v>
      </c>
      <c r="G24" s="600">
        <f>SUM(G22:G23)</f>
        <v>0</v>
      </c>
      <c r="H24" s="554">
        <f t="shared" si="5"/>
        <v>0</v>
      </c>
      <c r="I24" s="554"/>
      <c r="J24" s="618">
        <f>H24/DAY(B2)</f>
        <v>0</v>
      </c>
      <c r="K24" s="573"/>
      <c r="L24" s="546"/>
      <c r="N24" s="567"/>
      <c r="O24" s="568"/>
    </row>
    <row r="25" spans="1:15" ht="26.25">
      <c r="A25" s="853" t="s">
        <v>149</v>
      </c>
      <c r="B25" s="854"/>
      <c r="C25" s="855"/>
      <c r="D25" s="559"/>
      <c r="E25" s="110"/>
      <c r="F25" s="626"/>
      <c r="G25" s="627"/>
      <c r="H25" s="626"/>
      <c r="I25" s="643"/>
      <c r="J25" s="628"/>
      <c r="K25" s="573"/>
      <c r="L25" s="546"/>
      <c r="N25" s="567"/>
      <c r="O25" s="568"/>
    </row>
    <row r="26" spans="1:15" ht="26.25">
      <c r="A26" s="579" t="s">
        <v>150</v>
      </c>
      <c r="B26" s="644"/>
      <c r="C26" s="645"/>
      <c r="D26" s="646" t="s">
        <v>151</v>
      </c>
      <c r="E26" s="132"/>
      <c r="F26" s="647"/>
      <c r="G26" s="648"/>
      <c r="H26" s="554"/>
      <c r="I26" s="649"/>
      <c r="J26" s="618"/>
      <c r="K26" s="575"/>
      <c r="L26" s="546"/>
      <c r="N26" s="567"/>
      <c r="O26" s="568"/>
    </row>
    <row r="27" spans="1:15" ht="26.25">
      <c r="A27" s="579" t="s">
        <v>5</v>
      </c>
      <c r="B27" s="644"/>
      <c r="C27" s="645"/>
      <c r="D27" s="650" t="s">
        <v>24</v>
      </c>
      <c r="E27" s="136">
        <f>G8</f>
        <v>25783</v>
      </c>
      <c r="F27" s="136">
        <v>9</v>
      </c>
      <c r="G27" s="651">
        <f>E27*F27</f>
        <v>232047</v>
      </c>
      <c r="H27" s="554">
        <f t="shared" ref="H27:H32" si="6">G27</f>
        <v>232047</v>
      </c>
      <c r="I27" s="652"/>
      <c r="J27" s="618">
        <f>H27/DAY(B2)</f>
        <v>232047</v>
      </c>
      <c r="K27" s="573"/>
      <c r="L27" s="546"/>
      <c r="N27" s="567"/>
      <c r="O27" s="568"/>
    </row>
    <row r="28" spans="1:15" ht="26.25">
      <c r="A28" s="579" t="s">
        <v>152</v>
      </c>
      <c r="B28" s="644"/>
      <c r="C28" s="645"/>
      <c r="D28" s="650" t="s">
        <v>153</v>
      </c>
      <c r="E28" s="136">
        <f>G15</f>
        <v>1063.6000000000931</v>
      </c>
      <c r="F28" s="136">
        <v>70</v>
      </c>
      <c r="G28" s="651">
        <f>E28*F28</f>
        <v>74452.000000006519</v>
      </c>
      <c r="H28" s="554">
        <f t="shared" si="6"/>
        <v>74452.000000006519</v>
      </c>
      <c r="I28" s="649"/>
      <c r="J28" s="618">
        <f>H28/DAY(B2)</f>
        <v>74452.000000006519</v>
      </c>
      <c r="K28" s="573"/>
      <c r="L28" s="546"/>
      <c r="N28" s="567"/>
      <c r="O28" s="568"/>
    </row>
    <row r="29" spans="1:15" ht="26.25">
      <c r="A29" s="579" t="s">
        <v>154</v>
      </c>
      <c r="B29" s="644"/>
      <c r="C29" s="645"/>
      <c r="D29" s="650" t="s">
        <v>155</v>
      </c>
      <c r="E29" s="136">
        <f>G24</f>
        <v>0</v>
      </c>
      <c r="F29" s="136">
        <v>69</v>
      </c>
      <c r="G29" s="651">
        <f>E29*F29</f>
        <v>0</v>
      </c>
      <c r="H29" s="554">
        <f t="shared" si="6"/>
        <v>0</v>
      </c>
      <c r="I29" s="649"/>
      <c r="J29" s="618">
        <f>H29/DAY(B2)</f>
        <v>0</v>
      </c>
      <c r="K29" s="573"/>
      <c r="L29" s="546"/>
      <c r="N29" s="567"/>
      <c r="O29" s="568"/>
    </row>
    <row r="30" spans="1:15" ht="26.25">
      <c r="A30" s="579" t="s">
        <v>156</v>
      </c>
      <c r="B30" s="644"/>
      <c r="C30" s="645"/>
      <c r="D30" s="650" t="s">
        <v>157</v>
      </c>
      <c r="E30" s="136">
        <f>G19</f>
        <v>52</v>
      </c>
      <c r="F30" s="136">
        <v>151</v>
      </c>
      <c r="G30" s="651">
        <f>E30*F30</f>
        <v>7852</v>
      </c>
      <c r="H30" s="554">
        <f t="shared" si="6"/>
        <v>7852</v>
      </c>
      <c r="I30" s="649"/>
      <c r="J30" s="618">
        <f>H30/DAY(B2)</f>
        <v>7852</v>
      </c>
      <c r="K30" s="573"/>
      <c r="L30" s="546"/>
      <c r="N30" s="567"/>
      <c r="O30" s="568"/>
    </row>
    <row r="31" spans="1:15" ht="26.25">
      <c r="A31" s="579" t="s">
        <v>158</v>
      </c>
      <c r="B31" s="644"/>
      <c r="C31" s="645"/>
      <c r="D31" s="650" t="s">
        <v>142</v>
      </c>
      <c r="E31" s="136">
        <f>G18</f>
        <v>130</v>
      </c>
      <c r="F31" s="136">
        <v>80</v>
      </c>
      <c r="G31" s="651">
        <f>E31*F31</f>
        <v>10400</v>
      </c>
      <c r="H31" s="554">
        <f t="shared" si="6"/>
        <v>10400</v>
      </c>
      <c r="I31" s="649"/>
      <c r="J31" s="618">
        <f>H31/DAY(B2)</f>
        <v>10400</v>
      </c>
      <c r="K31" s="573"/>
      <c r="L31" s="546"/>
      <c r="N31" s="567"/>
      <c r="O31" s="568"/>
    </row>
    <row r="32" spans="1:15" ht="26.25">
      <c r="A32" s="580" t="s">
        <v>159</v>
      </c>
      <c r="B32" s="653"/>
      <c r="C32" s="654"/>
      <c r="D32" s="655"/>
      <c r="E32" s="142"/>
      <c r="F32" s="656"/>
      <c r="G32" s="763">
        <f>G27+G28+G29+G30+G31</f>
        <v>324751.00000000652</v>
      </c>
      <c r="H32" s="657">
        <f t="shared" si="6"/>
        <v>324751.00000000652</v>
      </c>
      <c r="I32" s="658"/>
      <c r="J32" s="659">
        <f>H32/DAY(B2)</f>
        <v>324751.00000000652</v>
      </c>
      <c r="K32" s="573"/>
      <c r="L32" s="546"/>
      <c r="N32" s="567"/>
      <c r="O32" s="568"/>
    </row>
    <row r="33" spans="1:15" ht="25.5" customHeight="1">
      <c r="A33" s="861" t="s">
        <v>331</v>
      </c>
      <c r="B33" s="862"/>
      <c r="C33" s="862"/>
      <c r="D33" s="660"/>
      <c r="E33" s="527"/>
      <c r="F33" s="661"/>
      <c r="G33" s="661"/>
      <c r="H33" s="661"/>
      <c r="I33" s="661"/>
      <c r="J33" s="662"/>
      <c r="K33" s="573"/>
      <c r="L33" s="546"/>
      <c r="N33" s="567"/>
      <c r="O33" s="568"/>
    </row>
    <row r="34" spans="1:15" ht="26.25">
      <c r="A34" s="581" t="s">
        <v>160</v>
      </c>
      <c r="B34" s="663"/>
      <c r="C34" s="663"/>
      <c r="D34" s="560"/>
      <c r="E34" s="110"/>
      <c r="F34" s="626"/>
      <c r="G34" s="626"/>
      <c r="H34" s="626"/>
      <c r="I34" s="626"/>
      <c r="J34" s="628"/>
      <c r="K34" s="573"/>
      <c r="L34" s="546"/>
      <c r="N34" s="567"/>
      <c r="O34" s="568"/>
    </row>
    <row r="35" spans="1:15" ht="26.25">
      <c r="A35" s="564" t="s">
        <v>161</v>
      </c>
      <c r="B35" s="615"/>
      <c r="C35" s="615"/>
      <c r="D35" s="565" t="s">
        <v>130</v>
      </c>
      <c r="E35" s="145">
        <v>238713</v>
      </c>
      <c r="F35" s="623">
        <v>238713</v>
      </c>
      <c r="G35" s="624">
        <f t="shared" ref="G35:G46" si="7">F35-E35</f>
        <v>0</v>
      </c>
      <c r="H35" s="554">
        <f t="shared" ref="H35:H47" si="8">G35</f>
        <v>0</v>
      </c>
      <c r="I35" s="554"/>
      <c r="J35" s="618">
        <f>H35/DAY(B2)</f>
        <v>0</v>
      </c>
      <c r="K35" s="573"/>
      <c r="L35" s="546"/>
      <c r="N35" s="567"/>
      <c r="O35" s="568"/>
    </row>
    <row r="36" spans="1:15" ht="26.25">
      <c r="A36" s="564" t="s">
        <v>162</v>
      </c>
      <c r="B36" s="615"/>
      <c r="C36" s="615"/>
      <c r="D36" s="565" t="s">
        <v>130</v>
      </c>
      <c r="E36" s="145">
        <v>215530</v>
      </c>
      <c r="F36" s="623">
        <v>216150.19</v>
      </c>
      <c r="G36" s="624">
        <f t="shared" si="7"/>
        <v>620.19000000000233</v>
      </c>
      <c r="H36" s="554">
        <f t="shared" si="8"/>
        <v>620.19000000000233</v>
      </c>
      <c r="I36" s="554"/>
      <c r="J36" s="618">
        <f>H36/DAY(B2)</f>
        <v>620.19000000000233</v>
      </c>
      <c r="K36" s="573"/>
      <c r="L36" s="546"/>
      <c r="N36" s="567"/>
      <c r="O36" s="582"/>
    </row>
    <row r="37" spans="1:15" ht="26.25">
      <c r="A37" s="564" t="s">
        <v>163</v>
      </c>
      <c r="B37" s="615"/>
      <c r="C37" s="615"/>
      <c r="D37" s="565" t="s">
        <v>130</v>
      </c>
      <c r="E37" s="145">
        <v>322999</v>
      </c>
      <c r="F37" s="623">
        <v>322999</v>
      </c>
      <c r="G37" s="624">
        <f t="shared" si="7"/>
        <v>0</v>
      </c>
      <c r="H37" s="554">
        <f t="shared" si="8"/>
        <v>0</v>
      </c>
      <c r="I37" s="554"/>
      <c r="J37" s="618">
        <f>H37/DAY(B2)</f>
        <v>0</v>
      </c>
      <c r="K37" s="573"/>
      <c r="L37" s="546"/>
      <c r="N37" s="567"/>
      <c r="O37" s="583"/>
    </row>
    <row r="38" spans="1:15" ht="26.25">
      <c r="A38" s="564" t="s">
        <v>164</v>
      </c>
      <c r="B38" s="615"/>
      <c r="C38" s="615"/>
      <c r="D38" s="565" t="s">
        <v>130</v>
      </c>
      <c r="E38" s="108">
        <v>457361</v>
      </c>
      <c r="F38" s="554">
        <v>459621.3</v>
      </c>
      <c r="G38" s="624">
        <f t="shared" si="7"/>
        <v>2260.2999999999884</v>
      </c>
      <c r="H38" s="554">
        <f t="shared" si="8"/>
        <v>2260.2999999999884</v>
      </c>
      <c r="I38" s="554"/>
      <c r="J38" s="618">
        <f>H38/DAY(B2)</f>
        <v>2260.2999999999884</v>
      </c>
      <c r="K38" s="573"/>
      <c r="L38" s="546"/>
      <c r="N38" s="567"/>
      <c r="O38" s="568"/>
    </row>
    <row r="39" spans="1:15" ht="26.25">
      <c r="A39" s="564" t="s">
        <v>165</v>
      </c>
      <c r="B39" s="615"/>
      <c r="C39" s="615"/>
      <c r="D39" s="565" t="s">
        <v>130</v>
      </c>
      <c r="E39" s="145">
        <v>591584</v>
      </c>
      <c r="F39" s="623">
        <v>591584.18999999994</v>
      </c>
      <c r="G39" s="624">
        <f t="shared" si="7"/>
        <v>0.18999999994412065</v>
      </c>
      <c r="H39" s="554">
        <f t="shared" si="8"/>
        <v>0.18999999994412065</v>
      </c>
      <c r="I39" s="554"/>
      <c r="J39" s="618">
        <f>H39/DAY(B2)</f>
        <v>0.18999999994412065</v>
      </c>
      <c r="K39" s="573"/>
      <c r="L39" s="546"/>
      <c r="N39" s="567"/>
      <c r="O39" s="568"/>
    </row>
    <row r="40" spans="1:15" ht="26.25">
      <c r="A40" s="584" t="s">
        <v>166</v>
      </c>
      <c r="B40" s="664"/>
      <c r="C40" s="664"/>
      <c r="D40" s="565" t="s">
        <v>130</v>
      </c>
      <c r="E40" s="145">
        <v>106776</v>
      </c>
      <c r="F40" s="623">
        <v>107613.71</v>
      </c>
      <c r="G40" s="624">
        <f t="shared" si="7"/>
        <v>837.7100000000064</v>
      </c>
      <c r="H40" s="554">
        <f t="shared" si="8"/>
        <v>837.7100000000064</v>
      </c>
      <c r="I40" s="554"/>
      <c r="J40" s="618">
        <f>H40/DAY(B2)</f>
        <v>837.7100000000064</v>
      </c>
      <c r="K40" s="575"/>
      <c r="L40" s="546"/>
      <c r="N40" s="567"/>
      <c r="O40" s="568"/>
    </row>
    <row r="41" spans="1:15" ht="26.25">
      <c r="A41" s="564" t="s">
        <v>167</v>
      </c>
      <c r="B41" s="615"/>
      <c r="C41" s="615"/>
      <c r="D41" s="565" t="s">
        <v>130</v>
      </c>
      <c r="E41" s="145">
        <v>211703</v>
      </c>
      <c r="F41" s="623">
        <v>216646.21</v>
      </c>
      <c r="G41" s="624">
        <f t="shared" si="7"/>
        <v>4943.2099999999919</v>
      </c>
      <c r="H41" s="554">
        <f t="shared" si="8"/>
        <v>4943.2099999999919</v>
      </c>
      <c r="I41" s="554"/>
      <c r="J41" s="618">
        <f>H41/DAY(B2)</f>
        <v>4943.2099999999919</v>
      </c>
      <c r="K41" s="573"/>
      <c r="L41" s="546"/>
      <c r="N41" s="567"/>
      <c r="O41" s="568"/>
    </row>
    <row r="42" spans="1:15" ht="26.25">
      <c r="A42" s="564" t="s">
        <v>168</v>
      </c>
      <c r="B42" s="615"/>
      <c r="C42" s="615"/>
      <c r="D42" s="565" t="s">
        <v>130</v>
      </c>
      <c r="E42" s="145">
        <v>748364</v>
      </c>
      <c r="F42" s="623">
        <v>748364.07</v>
      </c>
      <c r="G42" s="624">
        <f t="shared" si="7"/>
        <v>6.9999999948777258E-2</v>
      </c>
      <c r="H42" s="554">
        <f t="shared" si="8"/>
        <v>6.9999999948777258E-2</v>
      </c>
      <c r="I42" s="554"/>
      <c r="J42" s="618">
        <f>H42/DAY(B2)</f>
        <v>6.9999999948777258E-2</v>
      </c>
      <c r="K42" s="573"/>
      <c r="L42" s="546"/>
      <c r="N42" s="567"/>
      <c r="O42" s="568"/>
    </row>
    <row r="43" spans="1:15" ht="26.25">
      <c r="A43" s="564" t="s">
        <v>169</v>
      </c>
      <c r="B43" s="615"/>
      <c r="C43" s="615"/>
      <c r="D43" s="565" t="s">
        <v>130</v>
      </c>
      <c r="E43" s="145">
        <v>407028</v>
      </c>
      <c r="F43" s="623">
        <v>407028</v>
      </c>
      <c r="G43" s="624">
        <f t="shared" si="7"/>
        <v>0</v>
      </c>
      <c r="H43" s="554">
        <f t="shared" si="8"/>
        <v>0</v>
      </c>
      <c r="I43" s="554"/>
      <c r="J43" s="618">
        <f>H43/DAY(B2)</f>
        <v>0</v>
      </c>
      <c r="K43" s="573"/>
      <c r="L43" s="546"/>
      <c r="N43" s="567"/>
      <c r="O43" s="568"/>
    </row>
    <row r="44" spans="1:15" ht="26.25">
      <c r="A44" s="564" t="s">
        <v>170</v>
      </c>
      <c r="B44" s="615"/>
      <c r="C44" s="615"/>
      <c r="D44" s="565" t="s">
        <v>130</v>
      </c>
      <c r="E44" s="145">
        <v>0</v>
      </c>
      <c r="F44" s="623">
        <v>0</v>
      </c>
      <c r="G44" s="624">
        <f t="shared" si="7"/>
        <v>0</v>
      </c>
      <c r="H44" s="554">
        <f t="shared" si="8"/>
        <v>0</v>
      </c>
      <c r="I44" s="554"/>
      <c r="J44" s="618">
        <f>H44/DAY(B2)</f>
        <v>0</v>
      </c>
      <c r="K44" s="573"/>
      <c r="L44" s="546"/>
      <c r="N44" s="567"/>
      <c r="O44" s="568"/>
    </row>
    <row r="45" spans="1:15" ht="26.25">
      <c r="A45" s="564" t="s">
        <v>171</v>
      </c>
      <c r="B45" s="615"/>
      <c r="C45" s="615"/>
      <c r="D45" s="565" t="s">
        <v>130</v>
      </c>
      <c r="E45" s="145">
        <v>0</v>
      </c>
      <c r="F45" s="623">
        <v>0</v>
      </c>
      <c r="G45" s="624">
        <f t="shared" si="7"/>
        <v>0</v>
      </c>
      <c r="H45" s="554">
        <f t="shared" si="8"/>
        <v>0</v>
      </c>
      <c r="I45" s="554"/>
      <c r="J45" s="618">
        <f>H45/DAY(B2)</f>
        <v>0</v>
      </c>
      <c r="K45" s="573"/>
      <c r="L45" s="546"/>
      <c r="N45" s="567"/>
      <c r="O45" s="568"/>
    </row>
    <row r="46" spans="1:15" ht="26.25">
      <c r="A46" s="564" t="s">
        <v>172</v>
      </c>
      <c r="B46" s="615"/>
      <c r="C46" s="615"/>
      <c r="D46" s="565" t="s">
        <v>130</v>
      </c>
      <c r="E46" s="145">
        <v>0</v>
      </c>
      <c r="F46" s="623">
        <v>0</v>
      </c>
      <c r="G46" s="624">
        <f t="shared" si="7"/>
        <v>0</v>
      </c>
      <c r="H46" s="554">
        <f t="shared" si="8"/>
        <v>0</v>
      </c>
      <c r="I46" s="554"/>
      <c r="J46" s="618">
        <f>H46/DAY(B2)</f>
        <v>0</v>
      </c>
      <c r="K46" s="573"/>
      <c r="L46" s="546"/>
      <c r="N46" s="567"/>
      <c r="O46" s="568"/>
    </row>
    <row r="47" spans="1:15" ht="26.25">
      <c r="A47" s="574" t="s">
        <v>173</v>
      </c>
      <c r="B47" s="625"/>
      <c r="C47" s="625"/>
      <c r="D47" s="665"/>
      <c r="E47" s="146"/>
      <c r="F47" s="554"/>
      <c r="G47" s="600">
        <f>G35+G36+G37+G38+G39+G40+G41+G42+G43+G44+G45+G46</f>
        <v>8661.6699999998818</v>
      </c>
      <c r="H47" s="554">
        <f t="shared" si="8"/>
        <v>8661.6699999998818</v>
      </c>
      <c r="I47" s="554"/>
      <c r="J47" s="618">
        <f>H47/DAY(B2)</f>
        <v>8661.6699999998818</v>
      </c>
      <c r="K47" s="573"/>
      <c r="L47" s="546"/>
      <c r="N47" s="567"/>
      <c r="O47" s="568"/>
    </row>
    <row r="48" spans="1:15" ht="26.25">
      <c r="A48" s="581" t="s">
        <v>174</v>
      </c>
      <c r="B48" s="663"/>
      <c r="C48" s="663"/>
      <c r="D48" s="560"/>
      <c r="E48" s="110"/>
      <c r="F48" s="626"/>
      <c r="G48" s="626"/>
      <c r="H48" s="626"/>
      <c r="I48" s="626"/>
      <c r="J48" s="628"/>
      <c r="K48" s="573"/>
      <c r="L48" s="546"/>
      <c r="N48" s="567"/>
      <c r="O48" s="568"/>
    </row>
    <row r="49" spans="1:15" ht="26.25">
      <c r="A49" s="564" t="s">
        <v>161</v>
      </c>
      <c r="B49" s="666"/>
      <c r="C49" s="666"/>
      <c r="D49" s="565" t="s">
        <v>130</v>
      </c>
      <c r="E49" s="145">
        <v>482054</v>
      </c>
      <c r="F49" s="623">
        <v>486283.35</v>
      </c>
      <c r="G49" s="624">
        <f t="shared" ref="G49:G58" si="9">F49-E49</f>
        <v>4229.3499999999767</v>
      </c>
      <c r="H49" s="554">
        <f t="shared" ref="H49:H60" si="10">G49</f>
        <v>4229.3499999999767</v>
      </c>
      <c r="I49" s="554"/>
      <c r="J49" s="618">
        <f>H49/DAY(B2)</f>
        <v>4229.3499999999767</v>
      </c>
      <c r="K49" s="573"/>
      <c r="L49" s="546"/>
      <c r="N49" s="567"/>
      <c r="O49" s="568"/>
    </row>
    <row r="50" spans="1:15" ht="26.25">
      <c r="A50" s="564" t="s">
        <v>175</v>
      </c>
      <c r="B50" s="666"/>
      <c r="C50" s="666"/>
      <c r="D50" s="565" t="s">
        <v>130</v>
      </c>
      <c r="E50" s="145">
        <v>282750</v>
      </c>
      <c r="F50" s="623">
        <v>283770.39</v>
      </c>
      <c r="G50" s="624">
        <f t="shared" si="9"/>
        <v>1020.390000000014</v>
      </c>
      <c r="H50" s="554">
        <f t="shared" si="10"/>
        <v>1020.390000000014</v>
      </c>
      <c r="I50" s="554"/>
      <c r="J50" s="618">
        <f>H50/DAY(B2)</f>
        <v>1020.390000000014</v>
      </c>
      <c r="K50" s="573"/>
      <c r="L50" s="546"/>
      <c r="N50" s="567"/>
      <c r="O50" s="568"/>
    </row>
    <row r="51" spans="1:15" ht="26.25">
      <c r="A51" s="564" t="s">
        <v>163</v>
      </c>
      <c r="B51" s="666"/>
      <c r="C51" s="666"/>
      <c r="D51" s="565" t="s">
        <v>130</v>
      </c>
      <c r="E51" s="145">
        <v>8508</v>
      </c>
      <c r="F51" s="623">
        <v>9635.2000000000007</v>
      </c>
      <c r="G51" s="624">
        <f t="shared" si="9"/>
        <v>1127.2000000000007</v>
      </c>
      <c r="H51" s="554">
        <f t="shared" si="10"/>
        <v>1127.2000000000007</v>
      </c>
      <c r="I51" s="554"/>
      <c r="J51" s="618">
        <f>H51/DAY(B2)</f>
        <v>1127.2000000000007</v>
      </c>
      <c r="K51" s="573"/>
      <c r="L51" s="546"/>
      <c r="N51" s="567"/>
      <c r="O51" s="568"/>
    </row>
    <row r="52" spans="1:15" ht="26.25">
      <c r="A52" s="564" t="s">
        <v>176</v>
      </c>
      <c r="B52" s="666"/>
      <c r="C52" s="666"/>
      <c r="D52" s="565" t="s">
        <v>130</v>
      </c>
      <c r="E52" s="145">
        <v>10</v>
      </c>
      <c r="F52" s="623">
        <v>9.76</v>
      </c>
      <c r="G52" s="624">
        <f t="shared" si="9"/>
        <v>-0.24000000000000021</v>
      </c>
      <c r="H52" s="554">
        <f t="shared" si="10"/>
        <v>-0.24000000000000021</v>
      </c>
      <c r="I52" s="554"/>
      <c r="J52" s="618">
        <f>H52/DAY(B2)</f>
        <v>-0.24000000000000021</v>
      </c>
      <c r="K52" s="573"/>
      <c r="L52" s="546"/>
      <c r="N52" s="567"/>
      <c r="O52" s="568"/>
    </row>
    <row r="53" spans="1:15" ht="26.25">
      <c r="A53" s="564" t="s">
        <v>165</v>
      </c>
      <c r="B53" s="666"/>
      <c r="C53" s="666"/>
      <c r="D53" s="565" t="s">
        <v>130</v>
      </c>
      <c r="E53" s="145">
        <v>33861</v>
      </c>
      <c r="F53" s="623">
        <v>38209.67</v>
      </c>
      <c r="G53" s="624">
        <f t="shared" si="9"/>
        <v>4348.6699999999983</v>
      </c>
      <c r="H53" s="554">
        <f t="shared" si="10"/>
        <v>4348.6699999999983</v>
      </c>
      <c r="I53" s="554"/>
      <c r="J53" s="618">
        <f>H53/DAY(B2)</f>
        <v>4348.6699999999983</v>
      </c>
      <c r="K53" s="573"/>
      <c r="L53" s="546"/>
      <c r="N53" s="567"/>
      <c r="O53" s="568"/>
    </row>
    <row r="54" spans="1:15" ht="26.25">
      <c r="A54" s="564" t="s">
        <v>177</v>
      </c>
      <c r="B54" s="666"/>
      <c r="C54" s="666"/>
      <c r="D54" s="565" t="s">
        <v>130</v>
      </c>
      <c r="E54" s="145">
        <v>87943</v>
      </c>
      <c r="F54" s="623">
        <v>88284.79</v>
      </c>
      <c r="G54" s="624">
        <f t="shared" si="9"/>
        <v>341.7899999999936</v>
      </c>
      <c r="H54" s="554">
        <f t="shared" si="10"/>
        <v>341.7899999999936</v>
      </c>
      <c r="I54" s="554"/>
      <c r="J54" s="618">
        <f>H54/DAY(B2)</f>
        <v>341.7899999999936</v>
      </c>
      <c r="K54" s="573"/>
      <c r="L54" s="546"/>
      <c r="N54" s="567"/>
      <c r="O54" s="568"/>
    </row>
    <row r="55" spans="1:15" ht="26.25">
      <c r="A55" s="564" t="s">
        <v>178</v>
      </c>
      <c r="B55" s="666"/>
      <c r="C55" s="666"/>
      <c r="D55" s="565" t="s">
        <v>130</v>
      </c>
      <c r="E55" s="145">
        <v>362777</v>
      </c>
      <c r="F55" s="623">
        <v>364756.63</v>
      </c>
      <c r="G55" s="624">
        <f t="shared" si="9"/>
        <v>1979.6300000000047</v>
      </c>
      <c r="H55" s="554">
        <f t="shared" si="10"/>
        <v>1979.6300000000047</v>
      </c>
      <c r="I55" s="554"/>
      <c r="J55" s="618">
        <f>H55/DAY(B2)</f>
        <v>1979.6300000000047</v>
      </c>
      <c r="K55" s="573"/>
      <c r="L55" s="546"/>
      <c r="N55" s="567"/>
      <c r="O55" s="568"/>
    </row>
    <row r="56" spans="1:15" ht="26.25">
      <c r="A56" s="564" t="s">
        <v>179</v>
      </c>
      <c r="B56" s="666"/>
      <c r="C56" s="666"/>
      <c r="D56" s="565" t="s">
        <v>180</v>
      </c>
      <c r="E56" s="145">
        <v>123882</v>
      </c>
      <c r="F56" s="623">
        <v>123882.39</v>
      </c>
      <c r="G56" s="624">
        <f t="shared" si="9"/>
        <v>0.38999999999941792</v>
      </c>
      <c r="H56" s="554">
        <f t="shared" si="10"/>
        <v>0.38999999999941792</v>
      </c>
      <c r="I56" s="554"/>
      <c r="J56" s="618">
        <f>H56/DAY(B2)</f>
        <v>0.38999999999941792</v>
      </c>
      <c r="K56" s="585"/>
      <c r="L56" s="546"/>
      <c r="N56" s="567"/>
      <c r="O56" s="568"/>
    </row>
    <row r="57" spans="1:15" ht="26.25">
      <c r="A57" s="564" t="s">
        <v>169</v>
      </c>
      <c r="B57" s="666"/>
      <c r="C57" s="666"/>
      <c r="D57" s="565" t="s">
        <v>130</v>
      </c>
      <c r="E57" s="145">
        <v>226170</v>
      </c>
      <c r="F57" s="634">
        <v>229295.45</v>
      </c>
      <c r="G57" s="624">
        <f t="shared" si="9"/>
        <v>3125.4500000000116</v>
      </c>
      <c r="H57" s="554">
        <f t="shared" si="10"/>
        <v>3125.4500000000116</v>
      </c>
      <c r="I57" s="554"/>
      <c r="J57" s="618">
        <f>H57/DAY(B2)</f>
        <v>3125.4500000000116</v>
      </c>
      <c r="K57" s="573"/>
      <c r="L57" s="546"/>
      <c r="N57" s="567"/>
      <c r="O57" s="568"/>
    </row>
    <row r="58" spans="1:15" ht="26.25">
      <c r="A58" s="564" t="s">
        <v>181</v>
      </c>
      <c r="B58" s="666"/>
      <c r="C58" s="666"/>
      <c r="D58" s="565" t="s">
        <v>130</v>
      </c>
      <c r="E58" s="145">
        <v>49109</v>
      </c>
      <c r="F58" s="623">
        <v>49386.27</v>
      </c>
      <c r="G58" s="624">
        <f t="shared" si="9"/>
        <v>277.2699999999968</v>
      </c>
      <c r="H58" s="554">
        <f t="shared" si="10"/>
        <v>277.2699999999968</v>
      </c>
      <c r="I58" s="554"/>
      <c r="J58" s="618">
        <f>H58/DAY(B2)</f>
        <v>277.2699999999968</v>
      </c>
      <c r="K58" s="573"/>
      <c r="L58" s="546"/>
      <c r="N58" s="567"/>
      <c r="O58" s="568"/>
    </row>
    <row r="59" spans="1:15" ht="26.25">
      <c r="A59" s="574" t="s">
        <v>173</v>
      </c>
      <c r="B59" s="625"/>
      <c r="C59" s="625"/>
      <c r="D59" s="550"/>
      <c r="E59" s="146"/>
      <c r="F59" s="554"/>
      <c r="G59" s="600">
        <f>G49+G50+G51+G52+G53+G54+G55+G56+G57+G58</f>
        <v>16449.899999999994</v>
      </c>
      <c r="H59" s="554">
        <f t="shared" si="10"/>
        <v>16449.899999999994</v>
      </c>
      <c r="I59" s="554">
        <f>G7-G60</f>
        <v>325.43000000012398</v>
      </c>
      <c r="J59" s="618">
        <f>H59/DAY(B2)</f>
        <v>16449.899999999994</v>
      </c>
      <c r="K59" s="573"/>
      <c r="L59" s="546"/>
      <c r="N59" s="567"/>
      <c r="O59" s="568"/>
    </row>
    <row r="60" spans="1:15" ht="26.25">
      <c r="A60" s="564"/>
      <c r="B60" s="615"/>
      <c r="C60" s="615"/>
      <c r="D60" s="550" t="s">
        <v>182</v>
      </c>
      <c r="E60" s="146"/>
      <c r="F60" s="554"/>
      <c r="G60" s="600">
        <f>G47+G59</f>
        <v>25111.569999999876</v>
      </c>
      <c r="H60" s="554">
        <f t="shared" si="10"/>
        <v>25111.569999999876</v>
      </c>
      <c r="I60" s="554">
        <f>G13-G60</f>
        <v>997.43000000012398</v>
      </c>
      <c r="J60" s="618">
        <f>H60/DAY(B2)</f>
        <v>25111.569999999876</v>
      </c>
      <c r="K60" s="573"/>
      <c r="L60" s="546"/>
      <c r="N60" s="567"/>
      <c r="O60" s="568"/>
    </row>
    <row r="61" spans="1:15" s="588" customFormat="1" ht="26.25">
      <c r="A61" s="844" t="s">
        <v>332</v>
      </c>
      <c r="B61" s="845"/>
      <c r="C61" s="846"/>
      <c r="D61" s="667"/>
      <c r="E61" s="339"/>
      <c r="F61" s="668"/>
      <c r="G61" s="669"/>
      <c r="H61" s="668"/>
      <c r="I61" s="668"/>
      <c r="J61" s="670"/>
      <c r="K61" s="586"/>
      <c r="L61" s="587"/>
      <c r="N61" s="567"/>
      <c r="O61" s="568"/>
    </row>
    <row r="62" spans="1:15" ht="26.25">
      <c r="A62" s="824" t="s">
        <v>198</v>
      </c>
      <c r="B62" s="825"/>
      <c r="C62" s="826"/>
      <c r="D62" s="565" t="s">
        <v>142</v>
      </c>
      <c r="E62" s="122">
        <v>296275</v>
      </c>
      <c r="F62" s="636">
        <v>296372</v>
      </c>
      <c r="G62" s="624">
        <f t="shared" ref="G62:G63" si="11">F62-E62</f>
        <v>97</v>
      </c>
      <c r="H62" s="554">
        <f t="shared" ref="H62:H71" si="12">G62</f>
        <v>97</v>
      </c>
      <c r="I62" s="554"/>
      <c r="J62" s="618">
        <f>H62/DAY(B2)</f>
        <v>97</v>
      </c>
      <c r="K62" s="575"/>
      <c r="L62" s="546"/>
      <c r="N62" s="567"/>
      <c r="O62" s="568"/>
    </row>
    <row r="63" spans="1:15" ht="26.25">
      <c r="A63" s="824" t="s">
        <v>199</v>
      </c>
      <c r="B63" s="825"/>
      <c r="C63" s="826"/>
      <c r="D63" s="565" t="s">
        <v>142</v>
      </c>
      <c r="E63" s="164">
        <v>239133</v>
      </c>
      <c r="F63" s="636">
        <v>239310</v>
      </c>
      <c r="G63" s="624">
        <f t="shared" si="11"/>
        <v>177</v>
      </c>
      <c r="H63" s="554">
        <f t="shared" si="12"/>
        <v>177</v>
      </c>
      <c r="I63" s="554"/>
      <c r="J63" s="618">
        <f>H63/DAY(B2)</f>
        <v>177</v>
      </c>
      <c r="K63" s="586"/>
      <c r="L63" s="546"/>
      <c r="N63" s="567"/>
      <c r="O63" s="568"/>
    </row>
    <row r="64" spans="1:15" ht="26.25">
      <c r="A64" s="818" t="s">
        <v>200</v>
      </c>
      <c r="B64" s="819"/>
      <c r="C64" s="820"/>
      <c r="D64" s="565"/>
      <c r="E64" s="122"/>
      <c r="F64" s="636"/>
      <c r="G64" s="624">
        <f>G62+G63</f>
        <v>274</v>
      </c>
      <c r="H64" s="554">
        <f t="shared" si="12"/>
        <v>274</v>
      </c>
      <c r="I64" s="554"/>
      <c r="J64" s="618">
        <f>H64/DAY(B2)</f>
        <v>274</v>
      </c>
      <c r="K64" s="586"/>
      <c r="L64" s="546"/>
      <c r="N64" s="567"/>
      <c r="O64" s="568"/>
    </row>
    <row r="65" spans="1:15" ht="26.25">
      <c r="A65" s="824" t="s">
        <v>201</v>
      </c>
      <c r="B65" s="825"/>
      <c r="C65" s="826"/>
      <c r="D65" s="565" t="s">
        <v>142</v>
      </c>
      <c r="E65" s="122">
        <v>454710</v>
      </c>
      <c r="F65" s="636">
        <v>454802</v>
      </c>
      <c r="G65" s="624">
        <f t="shared" ref="G65:G70" si="13">F65-E65</f>
        <v>92</v>
      </c>
      <c r="H65" s="554">
        <f t="shared" si="12"/>
        <v>92</v>
      </c>
      <c r="I65" s="554"/>
      <c r="J65" s="618">
        <f>H65/DAY(B2)</f>
        <v>92</v>
      </c>
      <c r="K65" s="586"/>
      <c r="L65" s="546"/>
      <c r="N65" s="567"/>
      <c r="O65" s="568"/>
    </row>
    <row r="66" spans="1:15" ht="26.25">
      <c r="A66" s="576" t="s">
        <v>202</v>
      </c>
      <c r="B66" s="629"/>
      <c r="C66" s="629"/>
      <c r="D66" s="565" t="s">
        <v>142</v>
      </c>
      <c r="E66" s="122">
        <v>111722</v>
      </c>
      <c r="F66" s="636">
        <v>111747</v>
      </c>
      <c r="G66" s="624">
        <f t="shared" si="13"/>
        <v>25</v>
      </c>
      <c r="H66" s="554">
        <f t="shared" si="12"/>
        <v>25</v>
      </c>
      <c r="I66" s="554"/>
      <c r="J66" s="618">
        <f>H66/DAY(B2)</f>
        <v>25</v>
      </c>
      <c r="K66" s="585"/>
      <c r="L66" s="546"/>
      <c r="N66" s="567"/>
      <c r="O66" s="568"/>
    </row>
    <row r="67" spans="1:15" ht="26.25">
      <c r="A67" s="576" t="s">
        <v>203</v>
      </c>
      <c r="B67" s="629"/>
      <c r="C67" s="629"/>
      <c r="D67" s="565" t="s">
        <v>142</v>
      </c>
      <c r="E67" s="122">
        <v>113680</v>
      </c>
      <c r="F67" s="636">
        <v>113680</v>
      </c>
      <c r="G67" s="624">
        <f t="shared" si="13"/>
        <v>0</v>
      </c>
      <c r="H67" s="554">
        <f t="shared" si="12"/>
        <v>0</v>
      </c>
      <c r="I67" s="554"/>
      <c r="J67" s="618">
        <f>H67/DAY(B2)</f>
        <v>0</v>
      </c>
      <c r="K67" s="589"/>
      <c r="L67" s="546"/>
      <c r="N67" s="567"/>
      <c r="O67" s="568"/>
    </row>
    <row r="68" spans="1:15" ht="26.25">
      <c r="A68" s="576" t="s">
        <v>204</v>
      </c>
      <c r="B68" s="629"/>
      <c r="C68" s="629"/>
      <c r="D68" s="565" t="s">
        <v>142</v>
      </c>
      <c r="E68" s="122">
        <v>164662</v>
      </c>
      <c r="F68" s="636">
        <v>164680</v>
      </c>
      <c r="G68" s="624">
        <f t="shared" si="13"/>
        <v>18</v>
      </c>
      <c r="H68" s="554">
        <f t="shared" si="12"/>
        <v>18</v>
      </c>
      <c r="I68" s="554"/>
      <c r="J68" s="618">
        <f>H68/DAY(B2)</f>
        <v>18</v>
      </c>
      <c r="K68" s="586"/>
      <c r="L68" s="546"/>
      <c r="N68" s="567"/>
      <c r="O68" s="568"/>
    </row>
    <row r="69" spans="1:15" ht="26.25">
      <c r="A69" s="576" t="s">
        <v>205</v>
      </c>
      <c r="B69" s="629"/>
      <c r="C69" s="629"/>
      <c r="D69" s="565" t="s">
        <v>142</v>
      </c>
      <c r="E69" s="122">
        <v>12275</v>
      </c>
      <c r="F69" s="636">
        <v>12285</v>
      </c>
      <c r="G69" s="624">
        <f t="shared" si="13"/>
        <v>10</v>
      </c>
      <c r="H69" s="554">
        <f t="shared" si="12"/>
        <v>10</v>
      </c>
      <c r="I69" s="554"/>
      <c r="J69" s="618">
        <f>H69/DAY(B2)</f>
        <v>10</v>
      </c>
      <c r="K69" s="586"/>
      <c r="L69" s="546"/>
      <c r="N69" s="567"/>
      <c r="O69" s="568"/>
    </row>
    <row r="70" spans="1:15" ht="26.25">
      <c r="A70" s="576" t="s">
        <v>206</v>
      </c>
      <c r="B70" s="629"/>
      <c r="C70" s="629"/>
      <c r="D70" s="565" t="s">
        <v>142</v>
      </c>
      <c r="E70" s="122">
        <v>9827</v>
      </c>
      <c r="F70" s="671">
        <v>9833</v>
      </c>
      <c r="G70" s="672">
        <f t="shared" si="13"/>
        <v>6</v>
      </c>
      <c r="H70" s="554">
        <f t="shared" si="12"/>
        <v>6</v>
      </c>
      <c r="I70" s="553"/>
      <c r="J70" s="618">
        <f>H70/DAY(B2)</f>
        <v>6</v>
      </c>
      <c r="K70" s="586"/>
      <c r="L70" s="546"/>
      <c r="N70" s="567"/>
      <c r="O70" s="568"/>
    </row>
    <row r="71" spans="1:15" ht="26.25">
      <c r="A71" s="818" t="s">
        <v>208</v>
      </c>
      <c r="B71" s="819"/>
      <c r="C71" s="820"/>
      <c r="D71" s="633"/>
      <c r="E71" s="152"/>
      <c r="F71" s="633"/>
      <c r="G71" s="673">
        <f>SUM(G65:G70)</f>
        <v>151</v>
      </c>
      <c r="H71" s="554">
        <f t="shared" si="12"/>
        <v>151</v>
      </c>
      <c r="I71" s="674"/>
      <c r="J71" s="618">
        <f>H71/DAY(B2)</f>
        <v>151</v>
      </c>
      <c r="K71" s="586"/>
      <c r="L71" s="546"/>
      <c r="N71" s="567"/>
      <c r="O71" s="568"/>
    </row>
    <row r="72" spans="1:15" ht="26.25">
      <c r="A72" s="863"/>
      <c r="B72" s="816"/>
      <c r="C72" s="675"/>
      <c r="D72" s="557"/>
      <c r="E72" s="412"/>
      <c r="F72" s="676"/>
      <c r="G72" s="677"/>
      <c r="H72" s="678"/>
      <c r="I72" s="676"/>
      <c r="J72" s="679"/>
      <c r="N72" s="567"/>
      <c r="O72" s="568"/>
    </row>
    <row r="73" spans="1:15" ht="26.25">
      <c r="A73" s="844" t="s">
        <v>333</v>
      </c>
      <c r="B73" s="845"/>
      <c r="C73" s="846"/>
      <c r="D73" s="667"/>
      <c r="E73" s="339"/>
      <c r="F73" s="667"/>
      <c r="G73" s="680"/>
      <c r="H73" s="681"/>
      <c r="I73" s="681"/>
      <c r="J73" s="682"/>
      <c r="K73" s="586"/>
      <c r="L73" s="546"/>
      <c r="N73" s="567"/>
      <c r="O73" s="568"/>
    </row>
    <row r="74" spans="1:15" ht="26.25">
      <c r="A74" s="824" t="s">
        <v>220</v>
      </c>
      <c r="B74" s="825"/>
      <c r="C74" s="826"/>
      <c r="D74" s="565" t="s">
        <v>139</v>
      </c>
      <c r="E74" s="123">
        <v>957657.86</v>
      </c>
      <c r="F74" s="683">
        <v>957965.9</v>
      </c>
      <c r="G74" s="672">
        <f t="shared" ref="G74:G78" si="14">F74-E74</f>
        <v>308.04000000003725</v>
      </c>
      <c r="H74" s="554">
        <f t="shared" ref="H74:H79" si="15">G74</f>
        <v>308.04000000003725</v>
      </c>
      <c r="I74" s="674"/>
      <c r="J74" s="618">
        <f>H74/DAY(B2)</f>
        <v>308.04000000003725</v>
      </c>
      <c r="K74" s="586"/>
      <c r="L74" s="546"/>
      <c r="N74" s="567"/>
      <c r="O74" s="568"/>
    </row>
    <row r="75" spans="1:15" ht="26.25">
      <c r="A75" s="824" t="s">
        <v>221</v>
      </c>
      <c r="B75" s="825"/>
      <c r="C75" s="826"/>
      <c r="D75" s="565" t="s">
        <v>139</v>
      </c>
      <c r="E75" s="123">
        <v>73586.8</v>
      </c>
      <c r="F75" s="683">
        <v>73586</v>
      </c>
      <c r="G75" s="672">
        <f t="shared" si="14"/>
        <v>-0.80000000000291038</v>
      </c>
      <c r="H75" s="554">
        <f t="shared" si="15"/>
        <v>-0.80000000000291038</v>
      </c>
      <c r="I75" s="674"/>
      <c r="J75" s="618">
        <f>H75/DAY(B2)</f>
        <v>-0.80000000000291038</v>
      </c>
      <c r="K75" s="586"/>
      <c r="L75" s="546"/>
      <c r="N75" s="567"/>
      <c r="O75" s="568"/>
    </row>
    <row r="76" spans="1:15" ht="26.25">
      <c r="A76" s="847" t="s">
        <v>222</v>
      </c>
      <c r="B76" s="848"/>
      <c r="C76" s="849"/>
      <c r="D76" s="565" t="s">
        <v>139</v>
      </c>
      <c r="E76" s="123">
        <v>190172</v>
      </c>
      <c r="F76" s="683">
        <v>190288.7</v>
      </c>
      <c r="G76" s="672">
        <f t="shared" si="14"/>
        <v>116.70000000001164</v>
      </c>
      <c r="H76" s="554">
        <f t="shared" si="15"/>
        <v>116.70000000001164</v>
      </c>
      <c r="I76" s="674"/>
      <c r="J76" s="618">
        <f>H76/DAY(B2)</f>
        <v>116.70000000001164</v>
      </c>
      <c r="K76" s="586"/>
      <c r="L76" s="546"/>
      <c r="N76" s="567"/>
      <c r="O76" s="568"/>
    </row>
    <row r="77" spans="1:15" ht="26.25">
      <c r="A77" s="847" t="s">
        <v>223</v>
      </c>
      <c r="B77" s="848"/>
      <c r="C77" s="849"/>
      <c r="D77" s="565" t="s">
        <v>139</v>
      </c>
      <c r="E77" s="410">
        <v>50313</v>
      </c>
      <c r="F77" s="683">
        <v>50356</v>
      </c>
      <c r="G77" s="672">
        <f t="shared" si="14"/>
        <v>43</v>
      </c>
      <c r="H77" s="554">
        <f t="shared" si="15"/>
        <v>43</v>
      </c>
      <c r="I77" s="674"/>
      <c r="J77" s="618">
        <f>H77/DAY(B2)</f>
        <v>43</v>
      </c>
      <c r="K77" s="586"/>
      <c r="L77" s="546"/>
      <c r="N77" s="567"/>
      <c r="O77" s="568"/>
    </row>
    <row r="78" spans="1:15" ht="26.25">
      <c r="A78" s="847" t="s">
        <v>224</v>
      </c>
      <c r="B78" s="848"/>
      <c r="C78" s="849"/>
      <c r="D78" s="565" t="s">
        <v>139</v>
      </c>
      <c r="E78" s="410">
        <v>9563</v>
      </c>
      <c r="F78" s="683">
        <v>9563</v>
      </c>
      <c r="G78" s="672">
        <f t="shared" si="14"/>
        <v>0</v>
      </c>
      <c r="H78" s="554">
        <f t="shared" si="15"/>
        <v>0</v>
      </c>
      <c r="I78" s="553"/>
      <c r="J78" s="618">
        <f>H78/DAY(B2)</f>
        <v>0</v>
      </c>
      <c r="K78" s="586"/>
      <c r="L78" s="546"/>
      <c r="N78" s="567"/>
      <c r="O78" s="568"/>
    </row>
    <row r="79" spans="1:15" ht="26.25">
      <c r="A79" s="847" t="s">
        <v>225</v>
      </c>
      <c r="B79" s="848"/>
      <c r="C79" s="849"/>
      <c r="D79" s="565"/>
      <c r="E79" s="123"/>
      <c r="F79" s="683"/>
      <c r="G79" s="672">
        <f>G15-SUM(G74:G78)</f>
        <v>596.66000000004715</v>
      </c>
      <c r="H79" s="554">
        <f t="shared" si="15"/>
        <v>596.66000000004715</v>
      </c>
      <c r="I79" s="553"/>
      <c r="J79" s="618"/>
      <c r="K79" s="586"/>
      <c r="L79" s="546"/>
      <c r="N79" s="567"/>
      <c r="O79" s="568"/>
    </row>
    <row r="80" spans="1:15" ht="26.25">
      <c r="A80" s="818" t="s">
        <v>329</v>
      </c>
      <c r="B80" s="819"/>
      <c r="C80" s="820"/>
      <c r="D80" s="565"/>
      <c r="E80" s="117"/>
      <c r="F80" s="684"/>
      <c r="G80" s="672">
        <f>SUM(G74:G79)</f>
        <v>1063.6000000000931</v>
      </c>
      <c r="H80" s="554"/>
      <c r="I80" s="553"/>
      <c r="J80" s="618"/>
      <c r="K80" s="586"/>
      <c r="L80" s="546"/>
      <c r="N80" s="567"/>
      <c r="O80" s="568"/>
    </row>
    <row r="81" spans="1:15" ht="26.25">
      <c r="A81" s="838" t="s">
        <v>226</v>
      </c>
      <c r="B81" s="839"/>
      <c r="C81" s="840"/>
      <c r="D81" s="559"/>
      <c r="E81" s="110"/>
      <c r="F81" s="560"/>
      <c r="G81" s="685"/>
      <c r="H81" s="686"/>
      <c r="I81" s="686"/>
      <c r="J81" s="687"/>
      <c r="O81" s="568"/>
    </row>
    <row r="82" spans="1:15" ht="26.25">
      <c r="A82" s="576" t="s">
        <v>227</v>
      </c>
      <c r="B82" s="629"/>
      <c r="C82" s="629"/>
      <c r="D82" s="565" t="s">
        <v>228</v>
      </c>
      <c r="E82" s="122">
        <v>0</v>
      </c>
      <c r="F82" s="671">
        <v>0</v>
      </c>
      <c r="G82" s="672">
        <f t="shared" ref="G82:G92" si="16">F82-E82</f>
        <v>0</v>
      </c>
      <c r="H82" s="554">
        <f t="shared" ref="H82:H92" si="17">G82</f>
        <v>0</v>
      </c>
      <c r="I82" s="553"/>
      <c r="J82" s="618">
        <f>H82/DAY(B2)</f>
        <v>0</v>
      </c>
      <c r="O82" s="568"/>
    </row>
    <row r="83" spans="1:15" ht="26.25">
      <c r="A83" s="576" t="s">
        <v>229</v>
      </c>
      <c r="B83" s="629"/>
      <c r="C83" s="629"/>
      <c r="D83" s="565" t="s">
        <v>228</v>
      </c>
      <c r="E83" s="122">
        <v>0</v>
      </c>
      <c r="F83" s="671">
        <v>0</v>
      </c>
      <c r="G83" s="672">
        <f t="shared" si="16"/>
        <v>0</v>
      </c>
      <c r="H83" s="554">
        <f t="shared" si="17"/>
        <v>0</v>
      </c>
      <c r="I83" s="553"/>
      <c r="J83" s="618">
        <f>H83/DAY(B2)</f>
        <v>0</v>
      </c>
      <c r="O83" s="568"/>
    </row>
    <row r="84" spans="1:15" ht="26.25">
      <c r="A84" s="576" t="s">
        <v>230</v>
      </c>
      <c r="B84" s="629"/>
      <c r="C84" s="629"/>
      <c r="D84" s="565" t="s">
        <v>228</v>
      </c>
      <c r="E84" s="164">
        <v>42589</v>
      </c>
      <c r="F84" s="688">
        <v>42611.44</v>
      </c>
      <c r="G84" s="672">
        <f t="shared" si="16"/>
        <v>22.440000000002328</v>
      </c>
      <c r="H84" s="554">
        <f t="shared" si="17"/>
        <v>22.440000000002328</v>
      </c>
      <c r="I84" s="553"/>
      <c r="J84" s="618">
        <f>H84/DAY(B2)</f>
        <v>22.440000000002328</v>
      </c>
      <c r="O84" s="568"/>
    </row>
    <row r="85" spans="1:15" ht="26.25">
      <c r="A85" s="576" t="s">
        <v>231</v>
      </c>
      <c r="B85" s="629"/>
      <c r="C85" s="629"/>
      <c r="D85" s="565" t="s">
        <v>228</v>
      </c>
      <c r="E85" s="164">
        <v>5140.1899999999996</v>
      </c>
      <c r="F85" s="688">
        <v>5140.1899999999996</v>
      </c>
      <c r="G85" s="672">
        <f t="shared" si="16"/>
        <v>0</v>
      </c>
      <c r="H85" s="554">
        <f t="shared" si="17"/>
        <v>0</v>
      </c>
      <c r="I85" s="553"/>
      <c r="J85" s="618">
        <f>H85/DAY(B2)</f>
        <v>0</v>
      </c>
      <c r="O85" s="568"/>
    </row>
    <row r="86" spans="1:15" ht="26.25">
      <c r="A86" s="576" t="s">
        <v>232</v>
      </c>
      <c r="B86" s="629"/>
      <c r="C86" s="629"/>
      <c r="D86" s="565" t="s">
        <v>228</v>
      </c>
      <c r="E86" s="164">
        <v>45379</v>
      </c>
      <c r="F86" s="688">
        <v>45394.01</v>
      </c>
      <c r="G86" s="689">
        <f t="shared" si="16"/>
        <v>15.010000000002037</v>
      </c>
      <c r="H86" s="554">
        <f t="shared" si="17"/>
        <v>15.010000000002037</v>
      </c>
      <c r="I86" s="553"/>
      <c r="J86" s="618">
        <f>H86/DAY(B2)</f>
        <v>15.010000000002037</v>
      </c>
      <c r="O86" s="568"/>
    </row>
    <row r="87" spans="1:15" ht="26.25">
      <c r="A87" s="576" t="s">
        <v>233</v>
      </c>
      <c r="B87" s="629"/>
      <c r="C87" s="629"/>
      <c r="D87" s="565" t="s">
        <v>228</v>
      </c>
      <c r="E87" s="164">
        <v>35457.43</v>
      </c>
      <c r="F87" s="688">
        <v>35457.43</v>
      </c>
      <c r="G87" s="672">
        <f t="shared" si="16"/>
        <v>0</v>
      </c>
      <c r="H87" s="554">
        <f t="shared" si="17"/>
        <v>0</v>
      </c>
      <c r="I87" s="553">
        <f>G84+G85+G86+G87</f>
        <v>37.450000000004366</v>
      </c>
      <c r="J87" s="618">
        <f>H87/DAY(B2)</f>
        <v>0</v>
      </c>
      <c r="O87" s="568"/>
    </row>
    <row r="88" spans="1:15" ht="26.25">
      <c r="A88" s="576" t="s">
        <v>234</v>
      </c>
      <c r="B88" s="629"/>
      <c r="C88" s="629"/>
      <c r="D88" s="565" t="s">
        <v>228</v>
      </c>
      <c r="E88" s="164">
        <v>24303.46</v>
      </c>
      <c r="F88" s="688">
        <v>24303.46</v>
      </c>
      <c r="G88" s="672">
        <f t="shared" si="16"/>
        <v>0</v>
      </c>
      <c r="H88" s="554">
        <f t="shared" si="17"/>
        <v>0</v>
      </c>
      <c r="I88" s="553"/>
      <c r="J88" s="618">
        <f>H88/DAY(B2)</f>
        <v>0</v>
      </c>
      <c r="O88" s="568"/>
    </row>
    <row r="89" spans="1:15" ht="26.25">
      <c r="A89" s="576" t="s">
        <v>235</v>
      </c>
      <c r="B89" s="629"/>
      <c r="C89" s="629"/>
      <c r="D89" s="565" t="s">
        <v>228</v>
      </c>
      <c r="E89" s="164">
        <v>27566.61</v>
      </c>
      <c r="F89" s="688">
        <v>27576.25</v>
      </c>
      <c r="G89" s="672">
        <f t="shared" si="16"/>
        <v>9.6399999999994179</v>
      </c>
      <c r="H89" s="554">
        <f t="shared" si="17"/>
        <v>9.6399999999994179</v>
      </c>
      <c r="I89" s="553">
        <f>G88+G89</f>
        <v>9.6399999999994179</v>
      </c>
      <c r="J89" s="618">
        <f>H89/DAY(B2)</f>
        <v>9.6399999999994179</v>
      </c>
      <c r="O89" s="568"/>
    </row>
    <row r="90" spans="1:15" ht="26.25">
      <c r="A90" s="576" t="s">
        <v>236</v>
      </c>
      <c r="B90" s="629"/>
      <c r="C90" s="629"/>
      <c r="D90" s="565" t="s">
        <v>228</v>
      </c>
      <c r="E90" s="164">
        <v>72606.55</v>
      </c>
      <c r="F90" s="688">
        <v>72618.3</v>
      </c>
      <c r="G90" s="672">
        <f t="shared" si="16"/>
        <v>11.75</v>
      </c>
      <c r="H90" s="554">
        <f t="shared" si="17"/>
        <v>11.75</v>
      </c>
      <c r="I90" s="553">
        <f>G90</f>
        <v>11.75</v>
      </c>
      <c r="J90" s="618">
        <f>H90/DAY(B2)</f>
        <v>11.75</v>
      </c>
      <c r="O90" s="568"/>
    </row>
    <row r="91" spans="1:15" ht="26.25">
      <c r="A91" s="576" t="s">
        <v>237</v>
      </c>
      <c r="B91" s="629"/>
      <c r="C91" s="629"/>
      <c r="D91" s="565" t="s">
        <v>228</v>
      </c>
      <c r="E91" s="122">
        <v>4289.54</v>
      </c>
      <c r="F91" s="671">
        <v>4289.54</v>
      </c>
      <c r="G91" s="672">
        <f t="shared" si="16"/>
        <v>0</v>
      </c>
      <c r="H91" s="554">
        <f t="shared" si="17"/>
        <v>0</v>
      </c>
      <c r="I91" s="613"/>
      <c r="J91" s="618">
        <f>H91/DAY(B2)</f>
        <v>0</v>
      </c>
      <c r="O91" s="568"/>
    </row>
    <row r="92" spans="1:15" ht="26.25">
      <c r="A92" s="576" t="s">
        <v>238</v>
      </c>
      <c r="B92" s="629"/>
      <c r="C92" s="629"/>
      <c r="D92" s="565" t="s">
        <v>228</v>
      </c>
      <c r="E92" s="122">
        <v>6717.33</v>
      </c>
      <c r="F92" s="671">
        <v>6728.19</v>
      </c>
      <c r="G92" s="672">
        <f t="shared" si="16"/>
        <v>10.859999999999673</v>
      </c>
      <c r="H92" s="554">
        <f t="shared" si="17"/>
        <v>10.859999999999673</v>
      </c>
      <c r="I92" s="614">
        <f>G91+G92</f>
        <v>10.859999999999673</v>
      </c>
      <c r="J92" s="618">
        <f>H92/DAY(B2)</f>
        <v>10.859999999999673</v>
      </c>
      <c r="O92" s="568"/>
    </row>
    <row r="93" spans="1:15" ht="26.25">
      <c r="A93" s="841" t="s">
        <v>239</v>
      </c>
      <c r="B93" s="842"/>
      <c r="C93" s="843"/>
      <c r="D93" s="560"/>
      <c r="E93" s="111"/>
      <c r="F93" s="560"/>
      <c r="G93" s="690"/>
      <c r="H93" s="691"/>
      <c r="I93" s="691"/>
      <c r="J93" s="692"/>
      <c r="K93" s="586"/>
      <c r="L93" s="546"/>
      <c r="O93" s="568"/>
    </row>
    <row r="94" spans="1:15" ht="26.25">
      <c r="A94" s="824" t="s">
        <v>240</v>
      </c>
      <c r="B94" s="825"/>
      <c r="C94" s="826"/>
      <c r="D94" s="565" t="s">
        <v>130</v>
      </c>
      <c r="E94" s="151"/>
      <c r="F94" s="565"/>
      <c r="G94" s="693">
        <f>G35+G43+G49+G57</f>
        <v>7354.7999999999884</v>
      </c>
      <c r="H94" s="554">
        <f t="shared" ref="H94:H105" si="18">G94</f>
        <v>7354.7999999999884</v>
      </c>
      <c r="I94" s="553"/>
      <c r="J94" s="618">
        <f>H94/DAY(B2)</f>
        <v>7354.7999999999884</v>
      </c>
      <c r="K94" s="586"/>
      <c r="L94" s="546"/>
      <c r="O94" s="568"/>
    </row>
    <row r="95" spans="1:15" ht="26.25">
      <c r="A95" s="824" t="s">
        <v>241</v>
      </c>
      <c r="B95" s="825"/>
      <c r="C95" s="826"/>
      <c r="D95" s="565" t="s">
        <v>23</v>
      </c>
      <c r="E95" s="146"/>
      <c r="F95" s="565"/>
      <c r="G95" s="694">
        <f>G94/G7</f>
        <v>0.28913787003184294</v>
      </c>
      <c r="H95" s="554">
        <f t="shared" si="18"/>
        <v>0.28913787003184294</v>
      </c>
      <c r="I95" s="695"/>
      <c r="J95" s="618">
        <f>H95/DAY(B2)</f>
        <v>0.28913787003184294</v>
      </c>
      <c r="K95" s="586"/>
      <c r="L95" s="546"/>
      <c r="O95" s="568"/>
    </row>
    <row r="96" spans="1:15" ht="26.25">
      <c r="A96" s="824" t="s">
        <v>242</v>
      </c>
      <c r="B96" s="825"/>
      <c r="C96" s="826"/>
      <c r="D96" s="565" t="s">
        <v>130</v>
      </c>
      <c r="E96" s="95"/>
      <c r="F96" s="553"/>
      <c r="G96" s="693">
        <f>G41+G42+G55+G56</f>
        <v>6923.2999999999447</v>
      </c>
      <c r="H96" s="554">
        <f t="shared" si="18"/>
        <v>6923.2999999999447</v>
      </c>
      <c r="I96" s="553"/>
      <c r="J96" s="618">
        <f>H96/DAY(B2)</f>
        <v>6923.2999999999447</v>
      </c>
      <c r="K96" s="586"/>
      <c r="L96" s="546"/>
      <c r="O96" s="568"/>
    </row>
    <row r="97" spans="1:15" ht="26.25">
      <c r="A97" s="824" t="s">
        <v>243</v>
      </c>
      <c r="B97" s="825"/>
      <c r="C97" s="826"/>
      <c r="D97" s="565" t="s">
        <v>23</v>
      </c>
      <c r="E97" s="95"/>
      <c r="F97" s="553"/>
      <c r="G97" s="694">
        <f>G96/G7</f>
        <v>0.27217439163423141</v>
      </c>
      <c r="H97" s="554">
        <f t="shared" si="18"/>
        <v>0.27217439163423141</v>
      </c>
      <c r="I97" s="695"/>
      <c r="J97" s="618">
        <f>H97/DAY(B2)</f>
        <v>0.27217439163423141</v>
      </c>
      <c r="K97" s="586"/>
      <c r="L97" s="546"/>
      <c r="O97" s="568"/>
    </row>
    <row r="98" spans="1:15" ht="26.25">
      <c r="A98" s="824" t="s">
        <v>244</v>
      </c>
      <c r="B98" s="825"/>
      <c r="C98" s="826"/>
      <c r="D98" s="565" t="s">
        <v>130</v>
      </c>
      <c r="E98" s="95"/>
      <c r="F98" s="553"/>
      <c r="G98" s="693">
        <f>G39+G53</f>
        <v>4348.8599999999424</v>
      </c>
      <c r="H98" s="554">
        <f t="shared" si="18"/>
        <v>4348.8599999999424</v>
      </c>
      <c r="I98" s="600"/>
      <c r="J98" s="618">
        <f>H98/DAY(B2)</f>
        <v>4348.8599999999424</v>
      </c>
      <c r="K98" s="586"/>
      <c r="L98" s="546"/>
      <c r="O98" s="568"/>
    </row>
    <row r="99" spans="1:15" ht="26.25">
      <c r="A99" s="824" t="s">
        <v>245</v>
      </c>
      <c r="B99" s="825"/>
      <c r="C99" s="826"/>
      <c r="D99" s="565" t="s">
        <v>23</v>
      </c>
      <c r="E99" s="95"/>
      <c r="F99" s="553"/>
      <c r="G99" s="694">
        <f>G98/G7</f>
        <v>0.17096591579195433</v>
      </c>
      <c r="H99" s="554">
        <f t="shared" si="18"/>
        <v>0.17096591579195433</v>
      </c>
      <c r="I99" s="600"/>
      <c r="J99" s="618">
        <f>H99/DAY(B2)</f>
        <v>0.17096591579195433</v>
      </c>
      <c r="O99" s="568"/>
    </row>
    <row r="100" spans="1:15" ht="26.25">
      <c r="A100" s="824" t="s">
        <v>246</v>
      </c>
      <c r="B100" s="825"/>
      <c r="C100" s="826"/>
      <c r="D100" s="565" t="s">
        <v>180</v>
      </c>
      <c r="E100" s="95"/>
      <c r="F100" s="553"/>
      <c r="G100" s="693">
        <f>G38+G52</f>
        <v>2260.0599999999886</v>
      </c>
      <c r="H100" s="554">
        <f t="shared" si="18"/>
        <v>2260.0599999999886</v>
      </c>
      <c r="I100" s="553"/>
      <c r="J100" s="618">
        <f>H100/DAY(B2)</f>
        <v>2260.0599999999886</v>
      </c>
      <c r="K100" s="591"/>
      <c r="O100" s="568"/>
    </row>
    <row r="101" spans="1:15" ht="26.25">
      <c r="A101" s="824" t="s">
        <v>247</v>
      </c>
      <c r="B101" s="825"/>
      <c r="C101" s="826"/>
      <c r="D101" s="565" t="s">
        <v>23</v>
      </c>
      <c r="E101" s="95"/>
      <c r="F101" s="553"/>
      <c r="G101" s="694">
        <f>G100/G7</f>
        <v>8.8849313991429354E-2</v>
      </c>
      <c r="H101" s="554">
        <f t="shared" si="18"/>
        <v>8.8849313991429354E-2</v>
      </c>
      <c r="I101" s="600"/>
      <c r="J101" s="618">
        <f>H101/DAY(B2)</f>
        <v>8.8849313991429354E-2</v>
      </c>
      <c r="O101" s="568"/>
    </row>
    <row r="102" spans="1:15" ht="26.25">
      <c r="A102" s="824" t="s">
        <v>248</v>
      </c>
      <c r="B102" s="825"/>
      <c r="C102" s="826"/>
      <c r="D102" s="565" t="s">
        <v>180</v>
      </c>
      <c r="E102" s="95"/>
      <c r="F102" s="553"/>
      <c r="G102" s="693">
        <f>G36+G50</f>
        <v>1640.5800000000163</v>
      </c>
      <c r="H102" s="554">
        <f t="shared" si="18"/>
        <v>1640.5800000000163</v>
      </c>
      <c r="I102" s="600"/>
      <c r="J102" s="618">
        <f>H102/DAY(B2)</f>
        <v>1640.5800000000163</v>
      </c>
      <c r="O102" s="568"/>
    </row>
    <row r="103" spans="1:15" ht="26.25">
      <c r="A103" s="824" t="s">
        <v>249</v>
      </c>
      <c r="B103" s="825"/>
      <c r="C103" s="826"/>
      <c r="D103" s="565" t="s">
        <v>23</v>
      </c>
      <c r="E103" s="95"/>
      <c r="F103" s="553"/>
      <c r="G103" s="694">
        <f>G102/G7</f>
        <v>6.4495813185517795E-2</v>
      </c>
      <c r="H103" s="554">
        <f t="shared" si="18"/>
        <v>6.4495813185517795E-2</v>
      </c>
      <c r="I103" s="553"/>
      <c r="J103" s="618">
        <f>H103/DAY(B2)</f>
        <v>6.4495813185517795E-2</v>
      </c>
      <c r="O103" s="568"/>
    </row>
    <row r="104" spans="1:15" ht="26.25">
      <c r="A104" s="824" t="s">
        <v>250</v>
      </c>
      <c r="B104" s="825"/>
      <c r="C104" s="826"/>
      <c r="D104" s="565" t="s">
        <v>180</v>
      </c>
      <c r="E104" s="95"/>
      <c r="F104" s="553"/>
      <c r="G104" s="693">
        <f>G37+G51</f>
        <v>1127.2000000000007</v>
      </c>
      <c r="H104" s="554">
        <f t="shared" si="18"/>
        <v>1127.2000000000007</v>
      </c>
      <c r="I104" s="553"/>
      <c r="J104" s="618">
        <f>H104/DAY(B2)</f>
        <v>1127.2000000000007</v>
      </c>
      <c r="O104" s="568"/>
    </row>
    <row r="105" spans="1:15" ht="27" thickBot="1">
      <c r="A105" s="831" t="s">
        <v>251</v>
      </c>
      <c r="B105" s="832"/>
      <c r="C105" s="833"/>
      <c r="D105" s="696" t="s">
        <v>23</v>
      </c>
      <c r="E105" s="185"/>
      <c r="F105" s="697"/>
      <c r="G105" s="698">
        <f>G104/G7</f>
        <v>4.4313401737626323E-2</v>
      </c>
      <c r="H105" s="554">
        <f t="shared" si="18"/>
        <v>4.4313401737626323E-2</v>
      </c>
      <c r="I105" s="697"/>
      <c r="J105" s="699">
        <f>H105/DAY(B2)</f>
        <v>4.4313401737626323E-2</v>
      </c>
      <c r="O105" s="568"/>
    </row>
    <row r="106" spans="1:15" ht="26.25">
      <c r="B106" s="558"/>
      <c r="C106" s="558"/>
      <c r="D106" s="558"/>
      <c r="E106" s="413"/>
      <c r="F106" s="700"/>
      <c r="G106" s="701"/>
      <c r="H106" s="702"/>
      <c r="I106" s="700"/>
      <c r="J106" s="702"/>
      <c r="O106" s="568"/>
    </row>
    <row r="107" spans="1:15" ht="26.25">
      <c r="B107" s="558"/>
      <c r="C107" s="558"/>
      <c r="D107" s="558"/>
      <c r="F107" s="700"/>
      <c r="G107" s="701"/>
      <c r="H107" s="702"/>
      <c r="I107" s="700"/>
      <c r="J107" s="702"/>
    </row>
    <row r="108" spans="1:15" ht="26.25">
      <c r="A108" s="834" t="s">
        <v>324</v>
      </c>
      <c r="B108" s="834"/>
      <c r="C108" s="834"/>
      <c r="D108" s="834"/>
      <c r="E108" s="834"/>
      <c r="F108" s="834"/>
      <c r="G108" s="834"/>
      <c r="H108" s="834"/>
      <c r="I108" s="834"/>
      <c r="J108" s="834"/>
    </row>
    <row r="109" spans="1:15" ht="26.25">
      <c r="A109" s="827"/>
      <c r="B109" s="827"/>
      <c r="C109" s="558"/>
      <c r="D109" s="558"/>
      <c r="F109" s="700"/>
      <c r="G109" s="701"/>
      <c r="H109" s="702"/>
      <c r="I109" s="700"/>
      <c r="J109" s="702"/>
    </row>
    <row r="110" spans="1:15" ht="26.25">
      <c r="A110" s="835" t="s">
        <v>165</v>
      </c>
      <c r="B110" s="836"/>
      <c r="C110" s="836"/>
      <c r="D110" s="836"/>
      <c r="E110" s="836"/>
      <c r="F110" s="836"/>
      <c r="G110" s="836"/>
      <c r="H110" s="836"/>
      <c r="I110" s="836"/>
      <c r="J110" s="837"/>
    </row>
    <row r="111" spans="1:15" ht="26.25">
      <c r="A111" s="821"/>
      <c r="B111" s="822"/>
      <c r="C111" s="823"/>
      <c r="D111" s="595"/>
      <c r="E111" s="155"/>
      <c r="F111" s="613"/>
      <c r="G111" s="614"/>
      <c r="H111" s="597"/>
      <c r="I111" s="613"/>
      <c r="J111" s="597"/>
    </row>
    <row r="112" spans="1:15" ht="26.25">
      <c r="A112" s="814" t="s">
        <v>252</v>
      </c>
      <c r="B112" s="815"/>
      <c r="C112" s="816"/>
      <c r="D112" s="550" t="s">
        <v>183</v>
      </c>
      <c r="E112" s="237">
        <v>7265</v>
      </c>
      <c r="F112" s="703">
        <v>7337.75</v>
      </c>
      <c r="G112" s="672">
        <f t="shared" ref="G112:G123" si="19">F112-E112</f>
        <v>72.75</v>
      </c>
      <c r="H112" s="554">
        <f t="shared" ref="H112:H123" si="20">G112</f>
        <v>72.75</v>
      </c>
      <c r="I112" s="613"/>
      <c r="J112" s="704">
        <f>H112/DAY(B2)</f>
        <v>72.75</v>
      </c>
    </row>
    <row r="113" spans="1:18" ht="29.25" customHeight="1">
      <c r="A113" s="814" t="s">
        <v>253</v>
      </c>
      <c r="B113" s="815"/>
      <c r="C113" s="816"/>
      <c r="D113" s="550" t="s">
        <v>183</v>
      </c>
      <c r="E113" s="237">
        <v>15015</v>
      </c>
      <c r="F113" s="705">
        <v>15156.11</v>
      </c>
      <c r="G113" s="672">
        <f t="shared" si="19"/>
        <v>141.11000000000058</v>
      </c>
      <c r="H113" s="554">
        <f t="shared" si="20"/>
        <v>141.11000000000058</v>
      </c>
      <c r="I113" s="613"/>
      <c r="J113" s="704">
        <f>H113/DAY(B2)</f>
        <v>141.11000000000058</v>
      </c>
    </row>
    <row r="114" spans="1:18" ht="29.25" customHeight="1">
      <c r="A114" s="814" t="s">
        <v>254</v>
      </c>
      <c r="B114" s="815"/>
      <c r="C114" s="816"/>
      <c r="D114" s="550" t="s">
        <v>183</v>
      </c>
      <c r="E114" s="237">
        <v>21268</v>
      </c>
      <c r="F114" s="703">
        <v>21484.9</v>
      </c>
      <c r="G114" s="672">
        <f t="shared" si="19"/>
        <v>216.90000000000146</v>
      </c>
      <c r="H114" s="554">
        <f t="shared" si="20"/>
        <v>216.90000000000146</v>
      </c>
      <c r="I114" s="613"/>
      <c r="J114" s="704">
        <f>H114/DAY(B2)</f>
        <v>216.90000000000146</v>
      </c>
    </row>
    <row r="115" spans="1:18" ht="29.25" customHeight="1">
      <c r="A115" s="814" t="s">
        <v>255</v>
      </c>
      <c r="B115" s="815"/>
      <c r="C115" s="816"/>
      <c r="D115" s="550" t="s">
        <v>183</v>
      </c>
      <c r="E115" s="237">
        <v>13430</v>
      </c>
      <c r="F115" s="756">
        <v>13570.93</v>
      </c>
      <c r="G115" s="672">
        <f t="shared" si="19"/>
        <v>140.93000000000029</v>
      </c>
      <c r="H115" s="554">
        <f t="shared" si="20"/>
        <v>140.93000000000029</v>
      </c>
      <c r="I115" s="613"/>
      <c r="J115" s="704">
        <f>H115/DAY(B2)</f>
        <v>140.93000000000029</v>
      </c>
    </row>
    <row r="116" spans="1:18" ht="29.25" customHeight="1">
      <c r="A116" s="828" t="s">
        <v>96</v>
      </c>
      <c r="B116" s="829"/>
      <c r="C116" s="830"/>
      <c r="D116" s="550" t="s">
        <v>183</v>
      </c>
      <c r="E116" s="237">
        <v>70492</v>
      </c>
      <c r="F116" s="703">
        <v>70910.740000000005</v>
      </c>
      <c r="G116" s="672">
        <f t="shared" si="19"/>
        <v>418.74000000000524</v>
      </c>
      <c r="H116" s="554">
        <f t="shared" si="20"/>
        <v>418.74000000000524</v>
      </c>
      <c r="I116" s="613"/>
      <c r="J116" s="704">
        <f>H116/DAY(B2)</f>
        <v>418.74000000000524</v>
      </c>
      <c r="Q116" s="811"/>
      <c r="R116" s="812"/>
    </row>
    <row r="117" spans="1:18" ht="29.25" customHeight="1">
      <c r="A117" s="828" t="s">
        <v>184</v>
      </c>
      <c r="B117" s="829"/>
      <c r="C117" s="830"/>
      <c r="D117" s="550" t="s">
        <v>183</v>
      </c>
      <c r="E117" s="237">
        <v>40922</v>
      </c>
      <c r="F117" s="703">
        <v>41147.519</v>
      </c>
      <c r="G117" s="672">
        <f t="shared" si="19"/>
        <v>225.51900000000023</v>
      </c>
      <c r="H117" s="554">
        <f t="shared" si="20"/>
        <v>225.51900000000023</v>
      </c>
      <c r="I117" s="613"/>
      <c r="J117" s="704">
        <f>H117/DAY(B2)</f>
        <v>225.51900000000023</v>
      </c>
      <c r="Q117" s="811"/>
      <c r="R117" s="812"/>
    </row>
    <row r="118" spans="1:18" ht="26.25">
      <c r="A118" s="810" t="s">
        <v>97</v>
      </c>
      <c r="B118" s="810"/>
      <c r="C118" s="810"/>
      <c r="D118" s="565" t="s">
        <v>183</v>
      </c>
      <c r="E118" s="237">
        <v>64672</v>
      </c>
      <c r="F118" s="703">
        <v>65304.99</v>
      </c>
      <c r="G118" s="672">
        <f t="shared" si="19"/>
        <v>632.98999999999796</v>
      </c>
      <c r="H118" s="554">
        <f t="shared" si="20"/>
        <v>632.98999999999796</v>
      </c>
      <c r="I118" s="613"/>
      <c r="J118" s="704">
        <f>H118/DAY(B2)</f>
        <v>632.98999999999796</v>
      </c>
      <c r="Q118" s="811"/>
      <c r="R118" s="812"/>
    </row>
    <row r="119" spans="1:18" ht="26.25">
      <c r="A119" s="810" t="s">
        <v>98</v>
      </c>
      <c r="B119" s="810"/>
      <c r="C119" s="810"/>
      <c r="D119" s="565" t="s">
        <v>183</v>
      </c>
      <c r="E119" s="237">
        <v>37449</v>
      </c>
      <c r="F119" s="703">
        <v>37673.4</v>
      </c>
      <c r="G119" s="672">
        <f t="shared" si="19"/>
        <v>224.40000000000146</v>
      </c>
      <c r="H119" s="554">
        <f t="shared" si="20"/>
        <v>224.40000000000146</v>
      </c>
      <c r="I119" s="613"/>
      <c r="J119" s="704">
        <f>H119/DAY(B2)</f>
        <v>224.40000000000146</v>
      </c>
    </row>
    <row r="120" spans="1:18" ht="26.25">
      <c r="A120" s="810" t="s">
        <v>99</v>
      </c>
      <c r="B120" s="810"/>
      <c r="C120" s="810"/>
      <c r="D120" s="565" t="s">
        <v>183</v>
      </c>
      <c r="E120" s="237">
        <v>46267</v>
      </c>
      <c r="F120" s="703">
        <v>46679.9</v>
      </c>
      <c r="G120" s="672">
        <f t="shared" si="19"/>
        <v>412.90000000000146</v>
      </c>
      <c r="H120" s="554">
        <f t="shared" si="20"/>
        <v>412.90000000000146</v>
      </c>
      <c r="I120" s="613"/>
      <c r="J120" s="704">
        <f>H120/DAY(B2)</f>
        <v>412.90000000000146</v>
      </c>
    </row>
    <row r="121" spans="1:18" ht="26.25">
      <c r="A121" s="810" t="s">
        <v>100</v>
      </c>
      <c r="B121" s="810"/>
      <c r="C121" s="810"/>
      <c r="D121" s="565" t="s">
        <v>183</v>
      </c>
      <c r="E121" s="237">
        <v>53543</v>
      </c>
      <c r="F121" s="703">
        <v>54020.12</v>
      </c>
      <c r="G121" s="672">
        <f t="shared" si="19"/>
        <v>477.12000000000262</v>
      </c>
      <c r="H121" s="554">
        <f t="shared" si="20"/>
        <v>477.12000000000262</v>
      </c>
      <c r="I121" s="613"/>
      <c r="J121" s="704">
        <f>H121/DAY(B2)</f>
        <v>477.12000000000262</v>
      </c>
    </row>
    <row r="122" spans="1:18" ht="26.25">
      <c r="A122" s="810" t="s">
        <v>101</v>
      </c>
      <c r="B122" s="810"/>
      <c r="C122" s="810"/>
      <c r="D122" s="565" t="s">
        <v>183</v>
      </c>
      <c r="E122" s="237">
        <v>28674</v>
      </c>
      <c r="F122" s="703">
        <v>28944</v>
      </c>
      <c r="G122" s="672">
        <f t="shared" si="19"/>
        <v>270</v>
      </c>
      <c r="H122" s="554">
        <f t="shared" si="20"/>
        <v>270</v>
      </c>
      <c r="I122" s="613"/>
      <c r="J122" s="704">
        <f>H122/DAY(B2)</f>
        <v>270</v>
      </c>
    </row>
    <row r="123" spans="1:18" ht="26.25">
      <c r="A123" s="810" t="s">
        <v>102</v>
      </c>
      <c r="B123" s="810"/>
      <c r="C123" s="810"/>
      <c r="D123" s="565" t="s">
        <v>183</v>
      </c>
      <c r="E123" s="237">
        <v>30188</v>
      </c>
      <c r="F123" s="703">
        <v>30503.9</v>
      </c>
      <c r="G123" s="672">
        <f t="shared" si="19"/>
        <v>315.90000000000146</v>
      </c>
      <c r="H123" s="554">
        <f t="shared" si="20"/>
        <v>315.90000000000146</v>
      </c>
      <c r="I123" s="613"/>
      <c r="J123" s="704">
        <f>H123/DAY(B2)</f>
        <v>315.90000000000146</v>
      </c>
    </row>
    <row r="124" spans="1:18" ht="29.25" customHeight="1">
      <c r="A124" s="821"/>
      <c r="B124" s="822"/>
      <c r="C124" s="823"/>
      <c r="D124" s="595"/>
      <c r="E124" s="155"/>
      <c r="F124" s="613"/>
      <c r="G124" s="614"/>
      <c r="H124" s="597"/>
      <c r="I124" s="613"/>
      <c r="J124" s="597"/>
    </row>
    <row r="125" spans="1:18" ht="26.25">
      <c r="A125" s="818" t="s">
        <v>196</v>
      </c>
      <c r="B125" s="819"/>
      <c r="C125" s="820"/>
      <c r="D125" s="565"/>
      <c r="E125" s="308"/>
      <c r="F125" s="613"/>
      <c r="G125" s="672">
        <f>SUM(G112:G124)</f>
        <v>3549.2590000000127</v>
      </c>
      <c r="H125" s="597"/>
      <c r="I125" s="597">
        <f>G125-(G39+G53)</f>
        <v>-799.60099999992963</v>
      </c>
      <c r="J125" s="597"/>
    </row>
    <row r="126" spans="1:18" ht="26.25">
      <c r="A126" s="804" t="s">
        <v>317</v>
      </c>
      <c r="B126" s="804"/>
      <c r="C126" s="804"/>
      <c r="D126" s="804"/>
      <c r="E126" s="804"/>
      <c r="F126" s="804"/>
      <c r="G126" s="804"/>
      <c r="H126" s="804"/>
      <c r="I126" s="804"/>
      <c r="J126" s="804"/>
    </row>
    <row r="127" spans="1:18" ht="26.25">
      <c r="A127" s="805"/>
      <c r="B127" s="805"/>
      <c r="C127" s="595"/>
      <c r="D127" s="565"/>
      <c r="E127" s="308"/>
      <c r="F127" s="613"/>
      <c r="G127" s="672"/>
      <c r="H127" s="554">
        <f t="shared" ref="H127:H135" si="21">G127</f>
        <v>0</v>
      </c>
      <c r="I127" s="613"/>
      <c r="J127" s="704">
        <f>H127/DAY(B2)</f>
        <v>0</v>
      </c>
    </row>
    <row r="128" spans="1:18" ht="29.25" customHeight="1">
      <c r="A128" s="814" t="s">
        <v>318</v>
      </c>
      <c r="B128" s="815"/>
      <c r="C128" s="816"/>
      <c r="D128" s="565" t="s">
        <v>183</v>
      </c>
      <c r="E128" s="155">
        <v>127644</v>
      </c>
      <c r="F128" s="613">
        <v>128146.7</v>
      </c>
      <c r="G128" s="672">
        <f t="shared" ref="G128:G133" si="22">F128-E128</f>
        <v>502.69999999999709</v>
      </c>
      <c r="H128" s="554">
        <f t="shared" si="21"/>
        <v>502.69999999999709</v>
      </c>
      <c r="I128" s="613"/>
      <c r="J128" s="704">
        <f>H128/DAY(B2)</f>
        <v>502.69999999999709</v>
      </c>
    </row>
    <row r="129" spans="1:15" ht="26.25">
      <c r="A129" s="598" t="s">
        <v>319</v>
      </c>
      <c r="B129" s="706"/>
      <c r="C129" s="707"/>
      <c r="D129" s="565" t="s">
        <v>183</v>
      </c>
      <c r="E129" s="155">
        <v>72503</v>
      </c>
      <c r="F129" s="613">
        <v>72689.210000000006</v>
      </c>
      <c r="G129" s="672">
        <f t="shared" si="22"/>
        <v>186.2100000000064</v>
      </c>
      <c r="H129" s="554">
        <f t="shared" si="21"/>
        <v>186.2100000000064</v>
      </c>
      <c r="I129" s="613"/>
      <c r="J129" s="704">
        <f>H129/DAY(B2)</f>
        <v>186.2100000000064</v>
      </c>
      <c r="N129" s="599"/>
      <c r="O129" s="592"/>
    </row>
    <row r="130" spans="1:15" ht="26.25">
      <c r="A130" s="598" t="s">
        <v>320</v>
      </c>
      <c r="B130" s="706"/>
      <c r="C130" s="707"/>
      <c r="D130" s="565" t="s">
        <v>183</v>
      </c>
      <c r="E130" s="157">
        <v>164597</v>
      </c>
      <c r="F130" s="613">
        <v>165340.66</v>
      </c>
      <c r="G130" s="672">
        <f t="shared" si="22"/>
        <v>743.66000000000349</v>
      </c>
      <c r="H130" s="554">
        <f t="shared" si="21"/>
        <v>743.66000000000349</v>
      </c>
      <c r="I130" s="613"/>
      <c r="J130" s="704">
        <f>H130/DAY(B2)</f>
        <v>743.66000000000349</v>
      </c>
      <c r="N130" s="599"/>
      <c r="O130" s="592"/>
    </row>
    <row r="131" spans="1:15" ht="26.25">
      <c r="A131" s="814" t="s">
        <v>321</v>
      </c>
      <c r="B131" s="815"/>
      <c r="C131" s="816"/>
      <c r="D131" s="565" t="s">
        <v>183</v>
      </c>
      <c r="E131" s="155">
        <v>48449</v>
      </c>
      <c r="F131" s="708">
        <v>48633.82</v>
      </c>
      <c r="G131" s="689">
        <f t="shared" si="22"/>
        <v>184.81999999999971</v>
      </c>
      <c r="H131" s="554">
        <f t="shared" si="21"/>
        <v>184.81999999999971</v>
      </c>
      <c r="I131" s="613"/>
      <c r="J131" s="704">
        <f>H131/DAY(B2)</f>
        <v>184.81999999999971</v>
      </c>
      <c r="N131" s="599"/>
      <c r="O131" s="592"/>
    </row>
    <row r="132" spans="1:15" ht="26.25">
      <c r="A132" s="814" t="s">
        <v>322</v>
      </c>
      <c r="B132" s="815"/>
      <c r="C132" s="816"/>
      <c r="D132" s="565" t="s">
        <v>183</v>
      </c>
      <c r="E132" s="155">
        <v>128174</v>
      </c>
      <c r="F132" s="708">
        <v>128524.4</v>
      </c>
      <c r="G132" s="689">
        <f t="shared" si="22"/>
        <v>350.39999999999418</v>
      </c>
      <c r="H132" s="554">
        <f t="shared" si="21"/>
        <v>350.39999999999418</v>
      </c>
      <c r="I132" s="613"/>
      <c r="J132" s="704">
        <f>H132/DAY(B2)</f>
        <v>350.39999999999418</v>
      </c>
    </row>
    <row r="133" spans="1:15" ht="26.25">
      <c r="A133" s="814" t="s">
        <v>342</v>
      </c>
      <c r="B133" s="815"/>
      <c r="C133" s="816"/>
      <c r="D133" s="565" t="s">
        <v>183</v>
      </c>
      <c r="E133" s="155">
        <v>224035.59</v>
      </c>
      <c r="F133" s="708">
        <v>224035.59</v>
      </c>
      <c r="G133" s="689">
        <f t="shared" si="22"/>
        <v>0</v>
      </c>
      <c r="H133" s="554">
        <f t="shared" si="21"/>
        <v>0</v>
      </c>
      <c r="I133" s="613"/>
      <c r="J133" s="704">
        <f>H133/DAY(B2)</f>
        <v>0</v>
      </c>
    </row>
    <row r="134" spans="1:15" ht="26.25">
      <c r="A134" s="817" t="s">
        <v>340</v>
      </c>
      <c r="B134" s="809"/>
      <c r="C134" s="797"/>
      <c r="D134" s="565" t="s">
        <v>183</v>
      </c>
      <c r="E134" s="155">
        <v>49035</v>
      </c>
      <c r="F134" s="708">
        <v>49234.66</v>
      </c>
      <c r="G134" s="689">
        <f>F134-E134</f>
        <v>199.66000000000349</v>
      </c>
      <c r="H134" s="554">
        <f t="shared" ref="H134" si="23">G134</f>
        <v>199.66000000000349</v>
      </c>
      <c r="I134" s="613"/>
      <c r="J134" s="704">
        <f>H134/DAY(B2)</f>
        <v>199.66000000000349</v>
      </c>
    </row>
    <row r="135" spans="1:15" ht="26.25">
      <c r="A135" s="818" t="s">
        <v>196</v>
      </c>
      <c r="B135" s="819"/>
      <c r="C135" s="820"/>
      <c r="D135" s="565"/>
      <c r="E135" s="155"/>
      <c r="F135" s="613"/>
      <c r="G135" s="672">
        <f>SUM(G128:G134)</f>
        <v>2167.4500000000044</v>
      </c>
      <c r="H135" s="554">
        <f t="shared" si="21"/>
        <v>2167.4500000000044</v>
      </c>
      <c r="I135" s="597">
        <f>G135-(G35+G49)</f>
        <v>-2061.8999999999724</v>
      </c>
      <c r="J135" s="704">
        <f>H135/DAY(B2)</f>
        <v>2167.4500000000044</v>
      </c>
    </row>
    <row r="136" spans="1:15" ht="26.25">
      <c r="A136" s="804" t="s">
        <v>325</v>
      </c>
      <c r="B136" s="804"/>
      <c r="C136" s="804"/>
      <c r="D136" s="804"/>
      <c r="E136" s="804"/>
      <c r="F136" s="804"/>
      <c r="G136" s="804"/>
      <c r="H136" s="804"/>
      <c r="I136" s="804"/>
      <c r="J136" s="804"/>
    </row>
    <row r="137" spans="1:15" ht="26.25">
      <c r="A137" s="595"/>
      <c r="B137" s="595"/>
      <c r="C137" s="595"/>
      <c r="D137" s="595"/>
      <c r="E137" s="155"/>
      <c r="F137" s="613"/>
      <c r="G137" s="614"/>
      <c r="H137" s="597"/>
      <c r="I137" s="613"/>
      <c r="J137" s="597"/>
    </row>
    <row r="138" spans="1:15" ht="26.25">
      <c r="A138" s="810" t="s">
        <v>185</v>
      </c>
      <c r="B138" s="810"/>
      <c r="C138" s="810"/>
      <c r="D138" s="565" t="s">
        <v>183</v>
      </c>
      <c r="E138" s="147">
        <v>891098</v>
      </c>
      <c r="F138" s="709">
        <v>891266</v>
      </c>
      <c r="G138" s="672">
        <f t="shared" ref="G138:G150" si="24">F138-E138</f>
        <v>168</v>
      </c>
      <c r="H138" s="554">
        <f t="shared" ref="H138:H150" si="25">G138</f>
        <v>168</v>
      </c>
      <c r="I138" s="553"/>
      <c r="J138" s="704">
        <f>H138/DAY(B2)</f>
        <v>168</v>
      </c>
    </row>
    <row r="139" spans="1:15" ht="26.25">
      <c r="A139" s="810" t="s">
        <v>186</v>
      </c>
      <c r="B139" s="810"/>
      <c r="C139" s="810"/>
      <c r="D139" s="565" t="s">
        <v>183</v>
      </c>
      <c r="E139" s="148">
        <v>908895</v>
      </c>
      <c r="F139" s="710">
        <v>909034</v>
      </c>
      <c r="G139" s="672">
        <f t="shared" si="24"/>
        <v>139</v>
      </c>
      <c r="H139" s="554">
        <f t="shared" si="25"/>
        <v>139</v>
      </c>
      <c r="I139" s="553"/>
      <c r="J139" s="704">
        <f>H139/DAY(B2)</f>
        <v>139</v>
      </c>
    </row>
    <row r="140" spans="1:15" ht="26.25">
      <c r="A140" s="810" t="s">
        <v>187</v>
      </c>
      <c r="B140" s="810"/>
      <c r="C140" s="810"/>
      <c r="D140" s="565" t="s">
        <v>183</v>
      </c>
      <c r="E140" s="149">
        <v>1513</v>
      </c>
      <c r="F140" s="711">
        <v>1528</v>
      </c>
      <c r="G140" s="672">
        <f t="shared" si="24"/>
        <v>15</v>
      </c>
      <c r="H140" s="554">
        <f t="shared" si="25"/>
        <v>15</v>
      </c>
      <c r="I140" s="553"/>
      <c r="J140" s="704">
        <f>H140/DAY(B2)</f>
        <v>15</v>
      </c>
    </row>
    <row r="141" spans="1:15" ht="26.25">
      <c r="A141" s="813" t="s">
        <v>188</v>
      </c>
      <c r="B141" s="813"/>
      <c r="C141" s="813"/>
      <c r="D141" s="712" t="s">
        <v>183</v>
      </c>
      <c r="E141" s="149">
        <v>90452</v>
      </c>
      <c r="F141" s="710">
        <v>90637.56</v>
      </c>
      <c r="G141" s="689">
        <f t="shared" si="24"/>
        <v>185.55999999999767</v>
      </c>
      <c r="H141" s="713">
        <f t="shared" si="25"/>
        <v>185.55999999999767</v>
      </c>
      <c r="I141" s="714"/>
      <c r="J141" s="715">
        <f>H141/DAY(B2)</f>
        <v>185.55999999999767</v>
      </c>
    </row>
    <row r="142" spans="1:15" ht="26.25">
      <c r="A142" s="813" t="s">
        <v>189</v>
      </c>
      <c r="B142" s="813"/>
      <c r="C142" s="813"/>
      <c r="D142" s="712" t="s">
        <v>183</v>
      </c>
      <c r="E142" s="148">
        <v>36661</v>
      </c>
      <c r="F142" s="710">
        <v>36724.400000000001</v>
      </c>
      <c r="G142" s="689">
        <f t="shared" si="24"/>
        <v>63.400000000001455</v>
      </c>
      <c r="H142" s="713">
        <f t="shared" si="25"/>
        <v>63.400000000001455</v>
      </c>
      <c r="I142" s="716"/>
      <c r="J142" s="715">
        <f>H142/DAY(B2)</f>
        <v>63.400000000001455</v>
      </c>
    </row>
    <row r="143" spans="1:15" ht="26.25">
      <c r="A143" s="868" t="s">
        <v>91</v>
      </c>
      <c r="B143" s="868"/>
      <c r="C143" s="868"/>
      <c r="D143" s="712" t="s">
        <v>183</v>
      </c>
      <c r="E143" s="149">
        <v>9051</v>
      </c>
      <c r="F143" s="710">
        <v>9075.8799999999992</v>
      </c>
      <c r="G143" s="689">
        <f t="shared" si="24"/>
        <v>24.8799999999992</v>
      </c>
      <c r="H143" s="713">
        <f t="shared" si="25"/>
        <v>24.8799999999992</v>
      </c>
      <c r="I143" s="716"/>
      <c r="J143" s="715">
        <f>H143/DAY(B2)</f>
        <v>24.8799999999992</v>
      </c>
    </row>
    <row r="144" spans="1:15" ht="26.25">
      <c r="A144" s="813" t="s">
        <v>90</v>
      </c>
      <c r="B144" s="813"/>
      <c r="C144" s="813"/>
      <c r="D144" s="712" t="s">
        <v>183</v>
      </c>
      <c r="E144" s="149">
        <v>919837</v>
      </c>
      <c r="F144" s="710">
        <v>920044</v>
      </c>
      <c r="G144" s="689">
        <f t="shared" si="24"/>
        <v>207</v>
      </c>
      <c r="H144" s="713">
        <f t="shared" si="25"/>
        <v>207</v>
      </c>
      <c r="I144" s="716"/>
      <c r="J144" s="715">
        <f>H144/DAY(B2)</f>
        <v>207</v>
      </c>
    </row>
    <row r="145" spans="1:10" ht="26.25">
      <c r="A145" s="868" t="s">
        <v>190</v>
      </c>
      <c r="B145" s="868"/>
      <c r="C145" s="868"/>
      <c r="D145" s="712" t="s">
        <v>183</v>
      </c>
      <c r="E145" s="149">
        <v>5807</v>
      </c>
      <c r="F145" s="710">
        <v>5839</v>
      </c>
      <c r="G145" s="689">
        <f t="shared" si="24"/>
        <v>32</v>
      </c>
      <c r="H145" s="713">
        <f t="shared" si="25"/>
        <v>32</v>
      </c>
      <c r="I145" s="716"/>
      <c r="J145" s="715">
        <f>H145/DAY(B2)</f>
        <v>32</v>
      </c>
    </row>
    <row r="146" spans="1:10" ht="26.25">
      <c r="A146" s="869" t="s">
        <v>191</v>
      </c>
      <c r="B146" s="870"/>
      <c r="C146" s="871"/>
      <c r="D146" s="712" t="s">
        <v>183</v>
      </c>
      <c r="E146" s="148">
        <v>780800</v>
      </c>
      <c r="F146" s="710">
        <v>780939</v>
      </c>
      <c r="G146" s="689">
        <f t="shared" si="24"/>
        <v>139</v>
      </c>
      <c r="H146" s="713">
        <f t="shared" si="25"/>
        <v>139</v>
      </c>
      <c r="I146" s="716"/>
      <c r="J146" s="715">
        <f>H146/DAY(B2)</f>
        <v>139</v>
      </c>
    </row>
    <row r="147" spans="1:10" ht="26.25">
      <c r="A147" s="813" t="s">
        <v>192</v>
      </c>
      <c r="B147" s="813"/>
      <c r="C147" s="813"/>
      <c r="D147" s="712" t="s">
        <v>183</v>
      </c>
      <c r="E147" s="148">
        <v>699769</v>
      </c>
      <c r="F147" s="710">
        <v>700134.32</v>
      </c>
      <c r="G147" s="689">
        <f t="shared" si="24"/>
        <v>365.31999999994878</v>
      </c>
      <c r="H147" s="713">
        <f t="shared" si="25"/>
        <v>365.31999999994878</v>
      </c>
      <c r="I147" s="716"/>
      <c r="J147" s="715">
        <f>H147/DAY(B2)</f>
        <v>365.31999999994878</v>
      </c>
    </row>
    <row r="148" spans="1:10" ht="26.25">
      <c r="A148" s="864" t="s">
        <v>193</v>
      </c>
      <c r="B148" s="865"/>
      <c r="C148" s="866"/>
      <c r="D148" s="717" t="s">
        <v>130</v>
      </c>
      <c r="E148" s="150">
        <v>748530</v>
      </c>
      <c r="F148" s="688">
        <v>748853.44</v>
      </c>
      <c r="G148" s="689">
        <f t="shared" si="24"/>
        <v>323.43999999994412</v>
      </c>
      <c r="H148" s="713">
        <f t="shared" si="25"/>
        <v>323.43999999994412</v>
      </c>
      <c r="I148" s="713"/>
      <c r="J148" s="715">
        <f>H148/DAY(B2)</f>
        <v>323.43999999994412</v>
      </c>
    </row>
    <row r="149" spans="1:10" ht="26.25">
      <c r="A149" s="864" t="s">
        <v>336</v>
      </c>
      <c r="B149" s="865"/>
      <c r="C149" s="866"/>
      <c r="D149" s="718" t="s">
        <v>130</v>
      </c>
      <c r="E149" s="146">
        <v>132434</v>
      </c>
      <c r="F149" s="712">
        <v>132904.45000000001</v>
      </c>
      <c r="G149" s="689">
        <f t="shared" si="24"/>
        <v>470.45000000001164</v>
      </c>
      <c r="H149" s="713">
        <f t="shared" si="25"/>
        <v>470.45000000001164</v>
      </c>
      <c r="I149" s="616"/>
      <c r="J149" s="715">
        <f>H149/DAY(B2)</f>
        <v>470.45000000001164</v>
      </c>
    </row>
    <row r="150" spans="1:10" ht="26.25">
      <c r="A150" s="864" t="s">
        <v>337</v>
      </c>
      <c r="B150" s="865"/>
      <c r="C150" s="866"/>
      <c r="D150" s="717" t="s">
        <v>130</v>
      </c>
      <c r="E150" s="233">
        <v>50615</v>
      </c>
      <c r="F150" s="712">
        <v>50831.47</v>
      </c>
      <c r="G150" s="689">
        <f t="shared" si="24"/>
        <v>216.47000000000116</v>
      </c>
      <c r="H150" s="713">
        <f t="shared" si="25"/>
        <v>216.47000000000116</v>
      </c>
      <c r="I150" s="616"/>
      <c r="J150" s="715">
        <f>H150/DAY(B2)</f>
        <v>216.47000000000116</v>
      </c>
    </row>
    <row r="151" spans="1:10" ht="26.25">
      <c r="A151" s="864" t="s">
        <v>338</v>
      </c>
      <c r="B151" s="865"/>
      <c r="C151" s="866"/>
      <c r="D151" s="719" t="s">
        <v>130</v>
      </c>
      <c r="E151" s="233">
        <v>135449</v>
      </c>
      <c r="F151" s="712">
        <v>135786</v>
      </c>
      <c r="G151" s="689">
        <f t="shared" ref="G151:G152" si="26">F151-E151</f>
        <v>337</v>
      </c>
      <c r="H151" s="713">
        <f t="shared" ref="H151:H158" si="27">G151</f>
        <v>337</v>
      </c>
      <c r="I151" s="616"/>
      <c r="J151" s="715">
        <f>H151/DAY(B2)</f>
        <v>337</v>
      </c>
    </row>
    <row r="152" spans="1:10" ht="26.25">
      <c r="A152" s="864" t="s">
        <v>339</v>
      </c>
      <c r="B152" s="865"/>
      <c r="C152" s="866"/>
      <c r="D152" s="719" t="s">
        <v>130</v>
      </c>
      <c r="E152" s="233">
        <v>23154</v>
      </c>
      <c r="F152" s="712">
        <v>23261.22</v>
      </c>
      <c r="G152" s="689">
        <f t="shared" si="26"/>
        <v>107.22000000000116</v>
      </c>
      <c r="H152" s="713">
        <f t="shared" si="27"/>
        <v>107.22000000000116</v>
      </c>
      <c r="I152" s="616"/>
      <c r="J152" s="715">
        <f>H152/DAY(B2)</f>
        <v>107.22000000000116</v>
      </c>
    </row>
    <row r="153" spans="1:10" ht="26.25">
      <c r="A153" s="818" t="s">
        <v>196</v>
      </c>
      <c r="B153" s="819"/>
      <c r="C153" s="820"/>
      <c r="D153" s="719"/>
      <c r="E153" s="361"/>
      <c r="F153" s="720"/>
      <c r="G153" s="721">
        <f>SUM(G138:G152)</f>
        <v>2793.7399999999052</v>
      </c>
      <c r="H153" s="722">
        <f t="shared" si="27"/>
        <v>2793.7399999999052</v>
      </c>
      <c r="I153" s="600">
        <f>G153-(G38+G52)</f>
        <v>533.67999999991662</v>
      </c>
      <c r="J153" s="723"/>
    </row>
    <row r="154" spans="1:10" ht="26.25">
      <c r="A154" s="867" t="s">
        <v>344</v>
      </c>
      <c r="B154" s="867"/>
      <c r="C154" s="867"/>
      <c r="D154" s="867"/>
      <c r="E154" s="867"/>
      <c r="F154" s="867"/>
      <c r="G154" s="867"/>
      <c r="H154" s="867"/>
      <c r="I154" s="867"/>
      <c r="J154" s="867"/>
    </row>
    <row r="155" spans="1:10" ht="27.75" customHeight="1">
      <c r="A155" s="813" t="s">
        <v>345</v>
      </c>
      <c r="B155" s="813"/>
      <c r="C155" s="813"/>
      <c r="D155" s="684" t="s">
        <v>130</v>
      </c>
      <c r="E155" s="389">
        <v>148149</v>
      </c>
      <c r="F155" s="708">
        <v>148729</v>
      </c>
      <c r="G155" s="689">
        <f t="shared" ref="G155:G158" si="28">F155-E155</f>
        <v>580</v>
      </c>
      <c r="H155" s="713">
        <f t="shared" si="27"/>
        <v>580</v>
      </c>
      <c r="I155" s="708"/>
      <c r="J155" s="715">
        <f>H155/DAY(B2)</f>
        <v>580</v>
      </c>
    </row>
    <row r="156" spans="1:10" ht="25.5" customHeight="1">
      <c r="A156" s="813" t="s">
        <v>368</v>
      </c>
      <c r="B156" s="813"/>
      <c r="C156" s="813"/>
      <c r="D156" s="684" t="s">
        <v>130</v>
      </c>
      <c r="E156" s="155">
        <v>14734</v>
      </c>
      <c r="F156" s="708">
        <v>14816</v>
      </c>
      <c r="G156" s="689">
        <f t="shared" si="28"/>
        <v>82</v>
      </c>
      <c r="H156" s="713">
        <f t="shared" si="27"/>
        <v>82</v>
      </c>
      <c r="I156" s="708"/>
      <c r="J156" s="715">
        <f>H156/DAY(B2)</f>
        <v>82</v>
      </c>
    </row>
    <row r="157" spans="1:10" ht="25.5" customHeight="1">
      <c r="A157" s="788" t="s">
        <v>360</v>
      </c>
      <c r="B157" s="789"/>
      <c r="C157" s="790"/>
      <c r="D157" s="684" t="s">
        <v>130</v>
      </c>
      <c r="E157" s="95">
        <v>27446</v>
      </c>
      <c r="F157" s="708">
        <v>27649.91</v>
      </c>
      <c r="G157" s="689">
        <f t="shared" si="28"/>
        <v>203.90999999999985</v>
      </c>
      <c r="H157" s="713">
        <f t="shared" si="27"/>
        <v>203.90999999999985</v>
      </c>
      <c r="I157" s="708"/>
      <c r="J157" s="715"/>
    </row>
    <row r="158" spans="1:10" ht="25.5" customHeight="1">
      <c r="A158" s="788" t="s">
        <v>361</v>
      </c>
      <c r="B158" s="789"/>
      <c r="C158" s="790"/>
      <c r="D158" s="684" t="s">
        <v>130</v>
      </c>
      <c r="E158" s="155">
        <v>236</v>
      </c>
      <c r="F158" s="708">
        <v>238</v>
      </c>
      <c r="G158" s="689">
        <f t="shared" si="28"/>
        <v>2</v>
      </c>
      <c r="H158" s="713">
        <f t="shared" si="27"/>
        <v>2</v>
      </c>
      <c r="I158" s="708"/>
      <c r="J158" s="715"/>
    </row>
    <row r="159" spans="1:10" ht="25.5" customHeight="1">
      <c r="A159" s="791"/>
      <c r="B159" s="792"/>
      <c r="C159" s="793"/>
      <c r="D159" s="724"/>
      <c r="E159" s="155"/>
      <c r="F159" s="708"/>
      <c r="G159" s="689"/>
      <c r="H159" s="725"/>
      <c r="I159" s="708"/>
      <c r="J159" s="715"/>
    </row>
    <row r="160" spans="1:10" ht="26.25">
      <c r="A160" s="804" t="s">
        <v>326</v>
      </c>
      <c r="B160" s="804"/>
      <c r="C160" s="804"/>
      <c r="D160" s="804"/>
      <c r="E160" s="804"/>
      <c r="F160" s="804"/>
      <c r="G160" s="804"/>
      <c r="H160" s="804"/>
      <c r="I160" s="804"/>
      <c r="J160" s="804"/>
    </row>
    <row r="161" spans="1:10" ht="26.25">
      <c r="A161" s="601" t="s">
        <v>92</v>
      </c>
      <c r="B161" s="726"/>
      <c r="C161" s="726"/>
      <c r="D161" s="727" t="s">
        <v>180</v>
      </c>
      <c r="E161" s="235">
        <v>480053</v>
      </c>
      <c r="F161" s="728">
        <v>480070.64</v>
      </c>
      <c r="G161" s="729">
        <f t="shared" ref="G161:G168" si="29">F161-E161</f>
        <v>17.64000000001397</v>
      </c>
      <c r="H161" s="554">
        <f t="shared" ref="H161:H168" si="30">G161</f>
        <v>17.64000000001397</v>
      </c>
      <c r="I161" s="616"/>
      <c r="J161" s="730">
        <f>H161/DAY(B2)</f>
        <v>17.64000000001397</v>
      </c>
    </row>
    <row r="162" spans="1:10" ht="26.25">
      <c r="A162" s="601" t="s">
        <v>93</v>
      </c>
      <c r="B162" s="726"/>
      <c r="C162" s="726"/>
      <c r="D162" s="727" t="s">
        <v>180</v>
      </c>
      <c r="E162" s="235">
        <v>94928</v>
      </c>
      <c r="F162" s="728">
        <v>94969.3</v>
      </c>
      <c r="G162" s="729">
        <f t="shared" si="29"/>
        <v>41.30000000000291</v>
      </c>
      <c r="H162" s="554">
        <f t="shared" si="30"/>
        <v>41.30000000000291</v>
      </c>
      <c r="I162" s="616"/>
      <c r="J162" s="730">
        <f>H162/DAY(B2)</f>
        <v>41.30000000000291</v>
      </c>
    </row>
    <row r="163" spans="1:10" ht="26.25">
      <c r="A163" s="601" t="s">
        <v>367</v>
      </c>
      <c r="B163" s="726"/>
      <c r="C163" s="726"/>
      <c r="D163" s="727" t="s">
        <v>180</v>
      </c>
      <c r="E163" s="235">
        <v>6501</v>
      </c>
      <c r="F163" s="728">
        <v>6657.1</v>
      </c>
      <c r="G163" s="729">
        <f t="shared" si="29"/>
        <v>156.10000000000036</v>
      </c>
      <c r="H163" s="554">
        <f t="shared" si="30"/>
        <v>156.10000000000036</v>
      </c>
      <c r="I163" s="616"/>
      <c r="J163" s="730">
        <f>H163/DAY(B2)</f>
        <v>156.10000000000036</v>
      </c>
    </row>
    <row r="164" spans="1:10" ht="26.25">
      <c r="A164" s="601" t="s">
        <v>367</v>
      </c>
      <c r="B164" s="726"/>
      <c r="C164" s="726"/>
      <c r="D164" s="727" t="s">
        <v>180</v>
      </c>
      <c r="E164" s="235">
        <v>6280</v>
      </c>
      <c r="F164" s="728">
        <v>6285</v>
      </c>
      <c r="G164" s="729">
        <f>F164-E164</f>
        <v>5</v>
      </c>
      <c r="H164" s="554">
        <f t="shared" si="30"/>
        <v>5</v>
      </c>
      <c r="I164" s="616"/>
      <c r="J164" s="730">
        <f>H164/DAY(B2)</f>
        <v>5</v>
      </c>
    </row>
    <row r="165" spans="1:10" ht="26.25">
      <c r="A165" s="601" t="s">
        <v>309</v>
      </c>
      <c r="B165" s="726"/>
      <c r="C165" s="726"/>
      <c r="D165" s="727" t="s">
        <v>180</v>
      </c>
      <c r="E165" s="235">
        <v>31634</v>
      </c>
      <c r="F165" s="728">
        <v>31642.61</v>
      </c>
      <c r="G165" s="729">
        <f t="shared" si="29"/>
        <v>8.6100000000005821</v>
      </c>
      <c r="H165" s="554">
        <f t="shared" si="30"/>
        <v>8.6100000000005821</v>
      </c>
      <c r="I165" s="616"/>
      <c r="J165" s="730">
        <f>H165/DAY(B2)</f>
        <v>8.6100000000005821</v>
      </c>
    </row>
    <row r="166" spans="1:10" ht="26.25">
      <c r="A166" s="805"/>
      <c r="B166" s="805"/>
      <c r="C166" s="595"/>
      <c r="D166" s="727" t="s">
        <v>180</v>
      </c>
      <c r="E166" s="155"/>
      <c r="F166" s="613"/>
      <c r="G166" s="729">
        <f t="shared" si="29"/>
        <v>0</v>
      </c>
      <c r="H166" s="554">
        <f t="shared" si="30"/>
        <v>0</v>
      </c>
      <c r="I166" s="613"/>
      <c r="J166" s="597"/>
    </row>
    <row r="167" spans="1:10" ht="26.25">
      <c r="A167" s="805"/>
      <c r="B167" s="805"/>
      <c r="C167" s="595"/>
      <c r="D167" s="727" t="s">
        <v>180</v>
      </c>
      <c r="E167" s="155"/>
      <c r="F167" s="613"/>
      <c r="G167" s="729">
        <f t="shared" si="29"/>
        <v>0</v>
      </c>
      <c r="H167" s="554">
        <f t="shared" si="30"/>
        <v>0</v>
      </c>
      <c r="I167" s="613"/>
      <c r="J167" s="597"/>
    </row>
    <row r="168" spans="1:10" ht="26.25">
      <c r="A168" s="805"/>
      <c r="B168" s="805"/>
      <c r="C168" s="595"/>
      <c r="D168" s="727" t="s">
        <v>180</v>
      </c>
      <c r="E168" s="155"/>
      <c r="F168" s="613"/>
      <c r="G168" s="729">
        <f t="shared" si="29"/>
        <v>0</v>
      </c>
      <c r="H168" s="554">
        <f t="shared" si="30"/>
        <v>0</v>
      </c>
      <c r="I168" s="613"/>
      <c r="J168" s="597"/>
    </row>
    <row r="169" spans="1:10" ht="26.25">
      <c r="B169" s="558"/>
      <c r="C169" s="558"/>
      <c r="D169" s="558"/>
      <c r="F169" s="700"/>
      <c r="G169" s="701"/>
      <c r="H169" s="702"/>
      <c r="I169" s="700"/>
      <c r="J169" s="702"/>
    </row>
    <row r="170" spans="1:10" ht="26.25">
      <c r="B170" s="558"/>
      <c r="C170" s="558"/>
      <c r="D170" s="558"/>
      <c r="F170" s="700"/>
      <c r="G170" s="701"/>
      <c r="H170" s="702"/>
      <c r="I170" s="700"/>
      <c r="J170" s="702"/>
    </row>
    <row r="171" spans="1:10" ht="26.25">
      <c r="A171" s="806" t="s">
        <v>330</v>
      </c>
      <c r="B171" s="807"/>
      <c r="C171" s="807"/>
      <c r="D171" s="807"/>
      <c r="E171" s="807"/>
      <c r="F171" s="807"/>
      <c r="G171" s="807"/>
      <c r="H171" s="807"/>
      <c r="I171" s="807"/>
      <c r="J171" s="808"/>
    </row>
    <row r="172" spans="1:10" ht="26.25">
      <c r="A172" s="802"/>
      <c r="B172" s="803"/>
      <c r="C172" s="731"/>
      <c r="D172" s="732"/>
      <c r="E172" s="155"/>
      <c r="F172" s="613"/>
      <c r="G172" s="614"/>
      <c r="H172" s="597"/>
      <c r="I172" s="613"/>
      <c r="J172" s="733">
        <f>H172/DAY(B2)</f>
        <v>0</v>
      </c>
    </row>
    <row r="173" spans="1:10" ht="26.25">
      <c r="A173" s="796" t="s">
        <v>209</v>
      </c>
      <c r="B173" s="797"/>
      <c r="C173" s="734"/>
      <c r="D173" s="732" t="s">
        <v>142</v>
      </c>
      <c r="E173" s="157">
        <v>8235</v>
      </c>
      <c r="F173" s="613">
        <v>8235</v>
      </c>
      <c r="G173" s="614">
        <f>F173-E173</f>
        <v>0</v>
      </c>
      <c r="H173" s="554">
        <f t="shared" ref="H173:H189" si="31">G173</f>
        <v>0</v>
      </c>
      <c r="I173" s="613"/>
      <c r="J173" s="733">
        <f>H173/DAY(B2)</f>
        <v>0</v>
      </c>
    </row>
    <row r="174" spans="1:10" ht="26.25">
      <c r="A174" s="796" t="s">
        <v>75</v>
      </c>
      <c r="B174" s="797"/>
      <c r="C174" s="734"/>
      <c r="D174" s="732" t="s">
        <v>142</v>
      </c>
      <c r="E174" s="157">
        <v>41204</v>
      </c>
      <c r="F174" s="708">
        <v>41217</v>
      </c>
      <c r="G174" s="614">
        <f t="shared" ref="G174:G175" si="32">F174-E174</f>
        <v>13</v>
      </c>
      <c r="H174" s="554">
        <f t="shared" si="31"/>
        <v>13</v>
      </c>
      <c r="I174" s="613"/>
      <c r="J174" s="733">
        <f>H174/DAY(B2)</f>
        <v>13</v>
      </c>
    </row>
    <row r="175" spans="1:10" ht="26.25">
      <c r="A175" s="796" t="s">
        <v>76</v>
      </c>
      <c r="B175" s="809"/>
      <c r="C175" s="797"/>
      <c r="D175" s="732" t="s">
        <v>142</v>
      </c>
      <c r="E175" s="155">
        <v>24031</v>
      </c>
      <c r="F175" s="613">
        <v>24042</v>
      </c>
      <c r="G175" s="614">
        <f t="shared" si="32"/>
        <v>11</v>
      </c>
      <c r="H175" s="554">
        <f t="shared" si="31"/>
        <v>11</v>
      </c>
      <c r="I175" s="613"/>
      <c r="J175" s="733"/>
    </row>
    <row r="176" spans="1:10" ht="26.25">
      <c r="A176" s="794" t="s">
        <v>196</v>
      </c>
      <c r="B176" s="795"/>
      <c r="C176" s="734"/>
      <c r="D176" s="732"/>
      <c r="E176" s="155"/>
      <c r="F176" s="613"/>
      <c r="G176" s="614">
        <f>SUM(G173:G175)</f>
        <v>24</v>
      </c>
      <c r="H176" s="554">
        <f t="shared" si="31"/>
        <v>24</v>
      </c>
      <c r="I176" s="613"/>
      <c r="J176" s="733">
        <f>H176/DAY(B2)</f>
        <v>24</v>
      </c>
    </row>
    <row r="177" spans="1:10" ht="26.25">
      <c r="A177" s="796" t="s">
        <v>77</v>
      </c>
      <c r="B177" s="797"/>
      <c r="C177" s="734"/>
      <c r="D177" s="732" t="s">
        <v>142</v>
      </c>
      <c r="E177" s="155"/>
      <c r="F177" s="613"/>
      <c r="G177" s="614"/>
      <c r="H177" s="554">
        <f t="shared" si="31"/>
        <v>0</v>
      </c>
      <c r="I177" s="613"/>
      <c r="J177" s="733">
        <f>H177/DAY(B2)</f>
        <v>0</v>
      </c>
    </row>
    <row r="178" spans="1:10" ht="26.25">
      <c r="A178" s="796" t="s">
        <v>210</v>
      </c>
      <c r="B178" s="797"/>
      <c r="C178" s="734"/>
      <c r="D178" s="732" t="s">
        <v>142</v>
      </c>
      <c r="E178" s="155">
        <v>97713</v>
      </c>
      <c r="F178" s="613">
        <v>97822</v>
      </c>
      <c r="G178" s="614">
        <f>F178-E178</f>
        <v>109</v>
      </c>
      <c r="H178" s="554">
        <f t="shared" si="31"/>
        <v>109</v>
      </c>
      <c r="I178" s="613"/>
      <c r="J178" s="733">
        <f>H178/DAY(B2)</f>
        <v>109</v>
      </c>
    </row>
    <row r="179" spans="1:10" ht="26.25">
      <c r="A179" s="796" t="s">
        <v>211</v>
      </c>
      <c r="B179" s="797"/>
      <c r="C179" s="734"/>
      <c r="D179" s="732" t="s">
        <v>142</v>
      </c>
      <c r="E179" s="157">
        <v>36002</v>
      </c>
      <c r="F179" s="613">
        <v>36002</v>
      </c>
      <c r="G179" s="614">
        <f t="shared" ref="G179:G180" si="33">F179-E179</f>
        <v>0</v>
      </c>
      <c r="H179" s="554">
        <f t="shared" si="31"/>
        <v>0</v>
      </c>
      <c r="I179" s="613"/>
      <c r="J179" s="733">
        <f>H179/DAY(B2)</f>
        <v>0</v>
      </c>
    </row>
    <row r="180" spans="1:10" ht="26.25">
      <c r="A180" s="796" t="s">
        <v>212</v>
      </c>
      <c r="B180" s="797"/>
      <c r="C180" s="734"/>
      <c r="D180" s="732" t="s">
        <v>142</v>
      </c>
      <c r="E180" s="157">
        <v>7169</v>
      </c>
      <c r="F180" s="613">
        <v>7176</v>
      </c>
      <c r="G180" s="614">
        <f t="shared" si="33"/>
        <v>7</v>
      </c>
      <c r="H180" s="554">
        <f t="shared" si="31"/>
        <v>7</v>
      </c>
      <c r="I180" s="613"/>
      <c r="J180" s="733">
        <f>H180/DAY(B2)</f>
        <v>7</v>
      </c>
    </row>
    <row r="181" spans="1:10" ht="26.25">
      <c r="A181" s="794" t="s">
        <v>108</v>
      </c>
      <c r="B181" s="795"/>
      <c r="C181" s="734"/>
      <c r="D181" s="732"/>
      <c r="E181" s="157"/>
      <c r="F181" s="613"/>
      <c r="G181" s="614">
        <f>SUM(G178:G180)</f>
        <v>116</v>
      </c>
      <c r="H181" s="554">
        <f t="shared" si="31"/>
        <v>116</v>
      </c>
      <c r="I181" s="613"/>
      <c r="J181" s="733">
        <f>H181/DAY(B2)</f>
        <v>116</v>
      </c>
    </row>
    <row r="182" spans="1:10" ht="21.95" customHeight="1">
      <c r="A182" s="796" t="s">
        <v>213</v>
      </c>
      <c r="B182" s="797"/>
      <c r="C182" s="734"/>
      <c r="D182" s="732"/>
      <c r="E182" s="155"/>
      <c r="F182" s="613"/>
      <c r="G182" s="614"/>
      <c r="H182" s="554">
        <f t="shared" si="31"/>
        <v>0</v>
      </c>
      <c r="I182" s="613"/>
      <c r="J182" s="733">
        <f>H182/DAY(B2)</f>
        <v>0</v>
      </c>
    </row>
    <row r="183" spans="1:10" ht="21.95" customHeight="1">
      <c r="A183" s="796" t="s">
        <v>214</v>
      </c>
      <c r="B183" s="797"/>
      <c r="C183" s="734"/>
      <c r="D183" s="732" t="s">
        <v>142</v>
      </c>
      <c r="E183" s="157">
        <v>17473</v>
      </c>
      <c r="F183" s="708">
        <v>17485</v>
      </c>
      <c r="G183" s="735">
        <f>F183-E183</f>
        <v>12</v>
      </c>
      <c r="H183" s="554">
        <f t="shared" si="31"/>
        <v>12</v>
      </c>
      <c r="I183" s="613"/>
      <c r="J183" s="733">
        <f>H183/DAY(B2)</f>
        <v>12</v>
      </c>
    </row>
    <row r="184" spans="1:10" ht="21.95" customHeight="1">
      <c r="A184" s="796" t="s">
        <v>215</v>
      </c>
      <c r="B184" s="797"/>
      <c r="C184" s="734"/>
      <c r="D184" s="732" t="s">
        <v>142</v>
      </c>
      <c r="E184" s="157">
        <v>11935</v>
      </c>
      <c r="F184" s="708">
        <v>11940</v>
      </c>
      <c r="G184" s="735">
        <f t="shared" ref="G184:G185" si="34">F184-E184</f>
        <v>5</v>
      </c>
      <c r="H184" s="554">
        <f t="shared" si="31"/>
        <v>5</v>
      </c>
      <c r="I184" s="613"/>
      <c r="J184" s="733">
        <f>H184/DAY(B2)</f>
        <v>5</v>
      </c>
    </row>
    <row r="185" spans="1:10" ht="26.25">
      <c r="A185" s="796" t="s">
        <v>216</v>
      </c>
      <c r="B185" s="797"/>
      <c r="C185" s="734"/>
      <c r="D185" s="732" t="s">
        <v>142</v>
      </c>
      <c r="E185" s="157"/>
      <c r="F185" s="708"/>
      <c r="G185" s="735">
        <f t="shared" si="34"/>
        <v>0</v>
      </c>
      <c r="H185" s="554">
        <f t="shared" si="31"/>
        <v>0</v>
      </c>
      <c r="I185" s="613"/>
      <c r="J185" s="736">
        <f>H185/DAY(B2)</f>
        <v>0</v>
      </c>
    </row>
    <row r="186" spans="1:10" ht="26.25">
      <c r="A186" s="794" t="s">
        <v>196</v>
      </c>
      <c r="B186" s="795"/>
      <c r="C186" s="734"/>
      <c r="D186" s="737"/>
      <c r="E186" s="157"/>
      <c r="F186" s="708"/>
      <c r="G186" s="735">
        <f>SUM(G183:G185)</f>
        <v>17</v>
      </c>
      <c r="H186" s="554">
        <f t="shared" si="31"/>
        <v>17</v>
      </c>
      <c r="I186" s="708"/>
      <c r="J186" s="736">
        <f>H186/DAY(B2)</f>
        <v>17</v>
      </c>
    </row>
    <row r="187" spans="1:10" ht="26.25">
      <c r="A187" s="796" t="s">
        <v>217</v>
      </c>
      <c r="B187" s="797"/>
      <c r="C187" s="734"/>
      <c r="D187" s="738" t="s">
        <v>142</v>
      </c>
      <c r="E187" s="159"/>
      <c r="F187" s="725"/>
      <c r="G187" s="735">
        <f>G62+G19</f>
        <v>149</v>
      </c>
      <c r="H187" s="554">
        <f t="shared" si="31"/>
        <v>149</v>
      </c>
      <c r="I187" s="708"/>
      <c r="J187" s="736">
        <f>H187/DAY(B2)</f>
        <v>149</v>
      </c>
    </row>
    <row r="188" spans="1:10" ht="26.25">
      <c r="A188" s="796" t="s">
        <v>218</v>
      </c>
      <c r="B188" s="797"/>
      <c r="C188" s="734"/>
      <c r="D188" s="738" t="s">
        <v>142</v>
      </c>
      <c r="E188" s="159"/>
      <c r="F188" s="725"/>
      <c r="G188" s="735">
        <f>G65+G66+G67+G69+G70</f>
        <v>133</v>
      </c>
      <c r="H188" s="554">
        <f t="shared" si="31"/>
        <v>133</v>
      </c>
      <c r="I188" s="708"/>
      <c r="J188" s="679"/>
    </row>
    <row r="189" spans="1:10" ht="26.25">
      <c r="A189" s="796" t="s">
        <v>219</v>
      </c>
      <c r="B189" s="797"/>
      <c r="C189" s="734"/>
      <c r="D189" s="738" t="s">
        <v>142</v>
      </c>
      <c r="E189" s="157"/>
      <c r="F189" s="708"/>
      <c r="G189" s="735">
        <f>G181</f>
        <v>116</v>
      </c>
      <c r="H189" s="554">
        <f t="shared" si="31"/>
        <v>116</v>
      </c>
      <c r="I189" s="708"/>
      <c r="J189" s="730">
        <f>H189/DAY(B2)</f>
        <v>116</v>
      </c>
    </row>
    <row r="190" spans="1:10" ht="26.25">
      <c r="A190" s="800" t="s">
        <v>358</v>
      </c>
      <c r="B190" s="801"/>
      <c r="C190" s="602"/>
      <c r="D190" s="603"/>
      <c r="E190" s="415"/>
      <c r="F190" s="604">
        <v>53763</v>
      </c>
      <c r="G190" s="739">
        <f>F190-E190</f>
        <v>53763</v>
      </c>
      <c r="H190" s="605"/>
      <c r="I190" s="604"/>
      <c r="J190" s="605"/>
    </row>
    <row r="191" spans="1:10" ht="26.25">
      <c r="A191" s="798"/>
      <c r="B191" s="799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zoomScale="55" zoomScaleSheetLayoutView="55" workbookViewId="0">
      <selection activeCell="G90" sqref="G90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6" s="57" customFormat="1" ht="23.25">
      <c r="A2" s="191" t="s">
        <v>349</v>
      </c>
      <c r="B2" s="262">
        <v>44775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362567</v>
      </c>
      <c r="F7" s="95">
        <v>388084</v>
      </c>
      <c r="G7" s="112">
        <f>F7-E7</f>
        <v>25517</v>
      </c>
      <c r="H7" s="99">
        <f>G7+'1'!H7</f>
        <v>50954</v>
      </c>
      <c r="I7" s="113">
        <f>'[1]1'!I7</f>
        <v>12000</v>
      </c>
      <c r="J7" s="175">
        <f>H7/DAY(B2)</f>
        <v>25477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514370</v>
      </c>
      <c r="F8" s="114">
        <v>540215</v>
      </c>
      <c r="G8" s="115">
        <f>F8-E8</f>
        <v>25845</v>
      </c>
      <c r="H8" s="99">
        <f>G8+'1'!H8</f>
        <v>51628</v>
      </c>
      <c r="I8" s="116">
        <v>12000</v>
      </c>
      <c r="J8" s="175">
        <f>H8/DAY(B2)</f>
        <v>25814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3286708.7</v>
      </c>
      <c r="F9" s="353">
        <v>3292068.7</v>
      </c>
      <c r="G9" s="112">
        <f t="shared" ref="G9:G11" si="0">F9-E9</f>
        <v>5360</v>
      </c>
      <c r="H9" s="99">
        <f>G9+'1'!H9</f>
        <v>13002.700000000186</v>
      </c>
      <c r="I9" s="124">
        <f>I8-J8</f>
        <v>-13814</v>
      </c>
      <c r="J9" s="175">
        <f>H9/DAY(B2)</f>
        <v>6501.3500000000931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1684289.7</v>
      </c>
      <c r="F10" s="117">
        <v>1703766.5</v>
      </c>
      <c r="G10" s="112">
        <f t="shared" si="0"/>
        <v>19476.800000000047</v>
      </c>
      <c r="H10" s="99">
        <f>G10+'1'!H10</f>
        <v>36608.5</v>
      </c>
      <c r="I10" s="118"/>
      <c r="J10" s="175">
        <f>H10/DAY(B2)</f>
        <v>18304.25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24836.800000000047</v>
      </c>
      <c r="H13" s="99">
        <f>G13+'1'!H13</f>
        <v>50945.800000000047</v>
      </c>
      <c r="I13" s="120">
        <f>G7-G13</f>
        <v>680.19999999995343</v>
      </c>
      <c r="J13" s="175">
        <f>H13/DAY(B2)</f>
        <v>25472.900000000023</v>
      </c>
      <c r="K13" s="79"/>
      <c r="L13" s="66"/>
      <c r="N13" s="87"/>
      <c r="O13" s="71"/>
    </row>
    <row r="14" spans="1:16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2101931.6</v>
      </c>
      <c r="F15" s="352">
        <v>2102932.2999999998</v>
      </c>
      <c r="G15" s="356">
        <f>(F15-E15)</f>
        <v>1000.6999999997206</v>
      </c>
      <c r="H15" s="99">
        <f>G15+'1'!H15</f>
        <v>2064.2999999998137</v>
      </c>
      <c r="I15" s="113">
        <v>800</v>
      </c>
      <c r="J15" s="175">
        <f>H15/DAY(B2)</f>
        <v>1032.1499999999069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-232.14999999990687</v>
      </c>
      <c r="J16" s="176"/>
      <c r="K16" s="79"/>
      <c r="L16" s="66"/>
      <c r="N16" s="87"/>
      <c r="O16" s="71"/>
      <c r="P16" s="71"/>
    </row>
    <row r="17" spans="1:16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915" t="s">
        <v>141</v>
      </c>
      <c r="B18" s="916"/>
      <c r="C18" s="917"/>
      <c r="D18" s="151" t="s">
        <v>142</v>
      </c>
      <c r="E18" s="95">
        <f>'1'!F18</f>
        <v>13</v>
      </c>
      <c r="F18" s="117">
        <v>18</v>
      </c>
      <c r="G18" s="119">
        <f>F18*10</f>
        <v>180</v>
      </c>
      <c r="H18" s="99">
        <f>G18+'1'!H18</f>
        <v>310</v>
      </c>
      <c r="I18" s="113">
        <f>'[1]1'!I18</f>
        <v>65</v>
      </c>
      <c r="J18" s="175">
        <f>H18/DAY(B2)</f>
        <v>155</v>
      </c>
      <c r="K18" s="79"/>
      <c r="L18" s="66"/>
      <c r="N18" s="87"/>
      <c r="O18" s="71"/>
    </row>
    <row r="19" spans="1:16" ht="25.5">
      <c r="A19" s="915" t="s">
        <v>69</v>
      </c>
      <c r="B19" s="916"/>
      <c r="C19" s="917"/>
      <c r="D19" s="151" t="s">
        <v>142</v>
      </c>
      <c r="E19" s="95">
        <f>'1'!F19</f>
        <v>162387</v>
      </c>
      <c r="F19" s="353">
        <v>162438</v>
      </c>
      <c r="G19" s="112">
        <f>F19-E19</f>
        <v>51</v>
      </c>
      <c r="H19" s="99">
        <f>G19+'1'!H19</f>
        <v>103</v>
      </c>
      <c r="I19" s="354"/>
      <c r="J19" s="175">
        <f>H19/DAY(B2)</f>
        <v>51.5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231</v>
      </c>
      <c r="H20" s="99">
        <f>G20+'1'!H20</f>
        <v>413</v>
      </c>
      <c r="I20" s="336">
        <f>I18-J20</f>
        <v>-141.5</v>
      </c>
      <c r="J20" s="175">
        <f>H20/DAY(B2)</f>
        <v>206.5</v>
      </c>
      <c r="K20" s="79"/>
      <c r="L20" s="66"/>
      <c r="N20" s="87"/>
      <c r="O20" s="71"/>
    </row>
    <row r="21" spans="1:16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25845</v>
      </c>
      <c r="F27" s="136">
        <v>9</v>
      </c>
      <c r="G27" s="137">
        <f>E27*F27</f>
        <v>232605</v>
      </c>
      <c r="H27" s="99">
        <f>G27+'1'!H27</f>
        <v>464652</v>
      </c>
      <c r="I27" s="138"/>
      <c r="J27" s="175">
        <f>H27/DAY(B2)</f>
        <v>232326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1000.6999999997206</v>
      </c>
      <c r="F28" s="136">
        <v>70</v>
      </c>
      <c r="G28" s="137">
        <f t="shared" ref="G28:G31" si="2">E28*F28</f>
        <v>70048.999999980442</v>
      </c>
      <c r="H28" s="99">
        <f>G28+'1'!H28</f>
        <v>144500.99999998696</v>
      </c>
      <c r="I28" s="140"/>
      <c r="J28" s="175">
        <f>H28/DAY(B2)</f>
        <v>72250.499999993481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 t="shared" si="2"/>
        <v>7701</v>
      </c>
      <c r="H30" s="99">
        <f>G30+'1'!H30</f>
        <v>15553</v>
      </c>
      <c r="I30" s="140"/>
      <c r="J30" s="175">
        <f>H30/DAY(B2)</f>
        <v>7776.5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 t="shared" si="2"/>
        <v>14400</v>
      </c>
      <c r="H31" s="99">
        <f>G31+'1'!H31</f>
        <v>24800</v>
      </c>
      <c r="I31" s="140"/>
      <c r="J31" s="175">
        <f>H31/DAY(B2)</f>
        <v>12400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324754.99999998044</v>
      </c>
      <c r="H32" s="99">
        <f>G32+'1'!H32</f>
        <v>649505.99999998696</v>
      </c>
      <c r="I32" s="144"/>
      <c r="J32" s="175">
        <f>H32/DAY(B2)</f>
        <v>324752.99999999348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238713</v>
      </c>
      <c r="F35" s="145">
        <v>238713.05</v>
      </c>
      <c r="G35" s="112">
        <f t="shared" ref="G35:G46" si="3">F35-E35</f>
        <v>4.9999999988358468E-2</v>
      </c>
      <c r="H35" s="99">
        <f>G35+'1'!H35</f>
        <v>4.9999999988358468E-2</v>
      </c>
      <c r="I35" s="95"/>
      <c r="J35" s="175">
        <f>H35/DAY(B2)</f>
        <v>2.4999999994179234E-2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216150.19</v>
      </c>
      <c r="F36" s="145">
        <v>216925.85</v>
      </c>
      <c r="G36" s="112">
        <f t="shared" si="3"/>
        <v>775.66000000000349</v>
      </c>
      <c r="H36" s="99">
        <f>G36+'1'!H36</f>
        <v>1395.8500000000058</v>
      </c>
      <c r="I36" s="95"/>
      <c r="J36" s="175">
        <f>H36/DAY(B2)</f>
        <v>697.92500000000291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322999</v>
      </c>
      <c r="F37" s="145">
        <v>322998.69</v>
      </c>
      <c r="G37" s="112">
        <f t="shared" si="3"/>
        <v>-0.30999999999767169</v>
      </c>
      <c r="H37" s="99">
        <f>G37+'1'!H37</f>
        <v>-0.30999999999767169</v>
      </c>
      <c r="I37" s="95"/>
      <c r="J37" s="175">
        <f>H37/DAY(B2)</f>
        <v>-0.15499999999883585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459621.3</v>
      </c>
      <c r="F38" s="108">
        <v>461842.35</v>
      </c>
      <c r="G38" s="112">
        <f t="shared" si="3"/>
        <v>2221.0499999999884</v>
      </c>
      <c r="H38" s="99">
        <f>G38+'1'!H38</f>
        <v>4481.3499999999767</v>
      </c>
      <c r="I38" s="95"/>
      <c r="J38" s="175">
        <f>H38/DAY(B2)</f>
        <v>2240.6749999999884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591584.18999999994</v>
      </c>
      <c r="F39" s="145">
        <v>591584.18999999994</v>
      </c>
      <c r="G39" s="112">
        <f t="shared" si="3"/>
        <v>0</v>
      </c>
      <c r="H39" s="99">
        <f>G39+'1'!H39</f>
        <v>0.18999999994412065</v>
      </c>
      <c r="I39" s="95"/>
      <c r="J39" s="175">
        <f>H39/DAY(B2)</f>
        <v>9.4999999972060323E-2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107613.71</v>
      </c>
      <c r="F40" s="145">
        <v>108469.94</v>
      </c>
      <c r="G40" s="112">
        <f t="shared" si="3"/>
        <v>856.22999999999593</v>
      </c>
      <c r="H40" s="99">
        <f>G40+'1'!H40</f>
        <v>1693.9400000000023</v>
      </c>
      <c r="I40" s="95"/>
      <c r="J40" s="175">
        <f>H40/DAY(B2)</f>
        <v>846.97000000000116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216646.21</v>
      </c>
      <c r="F41" s="145">
        <v>219097.35</v>
      </c>
      <c r="G41" s="112">
        <f t="shared" si="3"/>
        <v>2451.140000000014</v>
      </c>
      <c r="H41" s="99">
        <f>G41+'1'!H41</f>
        <v>7394.3500000000058</v>
      </c>
      <c r="I41" s="95"/>
      <c r="J41" s="175">
        <f>H41/DAY(B2)</f>
        <v>3697.1750000000029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748364.07</v>
      </c>
      <c r="F42" s="145">
        <v>748364.07</v>
      </c>
      <c r="G42" s="112">
        <f t="shared" si="3"/>
        <v>0</v>
      </c>
      <c r="H42" s="99">
        <f>G42+'1'!H42</f>
        <v>6.9999999948777258E-2</v>
      </c>
      <c r="I42" s="95"/>
      <c r="J42" s="175">
        <f>H42/DAY(B2)</f>
        <v>3.4999999974388629E-2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407028</v>
      </c>
      <c r="F43" s="145">
        <v>407028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6303.8199999999924</v>
      </c>
      <c r="H47" s="99">
        <f>G47+'1'!H47</f>
        <v>14965.489999999874</v>
      </c>
      <c r="I47" s="95"/>
      <c r="J47" s="175">
        <f>H47/DAY(B2)</f>
        <v>7482.7449999999371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486283.35</v>
      </c>
      <c r="F49" s="145">
        <v>490686</v>
      </c>
      <c r="G49" s="112">
        <f t="shared" ref="G49:G58" si="4">F49-E49</f>
        <v>4402.6500000000233</v>
      </c>
      <c r="H49" s="99">
        <f>G49+'1'!H49</f>
        <v>8632</v>
      </c>
      <c r="I49" s="95"/>
      <c r="J49" s="175">
        <f>H49/DAY(B2)</f>
        <v>4316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283770.39</v>
      </c>
      <c r="F50" s="145">
        <v>284824.23</v>
      </c>
      <c r="G50" s="112">
        <f t="shared" si="4"/>
        <v>1053.8399999999674</v>
      </c>
      <c r="H50" s="99">
        <f>G50+'1'!H50</f>
        <v>2074.2299999999814</v>
      </c>
      <c r="I50" s="95"/>
      <c r="J50" s="175">
        <f>H50/DAY(B2)</f>
        <v>1037.1149999999907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9635.2000000000007</v>
      </c>
      <c r="F51" s="145">
        <v>10718.82</v>
      </c>
      <c r="G51" s="112">
        <f t="shared" si="4"/>
        <v>1083.619999999999</v>
      </c>
      <c r="H51" s="99">
        <f>G51+'1'!H51</f>
        <v>2210.8199999999997</v>
      </c>
      <c r="I51" s="95"/>
      <c r="J51" s="175">
        <f>H51/DAY(B2)</f>
        <v>1105.4099999999999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38209.67</v>
      </c>
      <c r="F53" s="145">
        <v>42633.3</v>
      </c>
      <c r="G53" s="112">
        <f t="shared" si="4"/>
        <v>4423.6300000000047</v>
      </c>
      <c r="H53" s="99">
        <f>G53+'1'!H53</f>
        <v>8772.3000000000029</v>
      </c>
      <c r="I53" s="95"/>
      <c r="J53" s="175">
        <f>H53/DAY(B2)</f>
        <v>4386.1500000000015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88284.79</v>
      </c>
      <c r="F54" s="145">
        <v>88630.07</v>
      </c>
      <c r="G54" s="112">
        <f t="shared" si="4"/>
        <v>345.28000000001339</v>
      </c>
      <c r="H54" s="99">
        <f>G54+'1'!H54</f>
        <v>687.07000000000698</v>
      </c>
      <c r="I54" s="95"/>
      <c r="J54" s="175">
        <f>H54/DAY(B2)</f>
        <v>343.53500000000349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364756.63</v>
      </c>
      <c r="F55" s="145">
        <v>368408.91</v>
      </c>
      <c r="G55" s="112">
        <f t="shared" si="4"/>
        <v>3652.2799999999697</v>
      </c>
      <c r="H55" s="99">
        <f>G55+'1'!H55</f>
        <v>5631.9099999999744</v>
      </c>
      <c r="I55" s="95"/>
      <c r="J55" s="175">
        <f>H55/DAY(B2)</f>
        <v>2815.9549999999872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123882.39</v>
      </c>
      <c r="F56" s="145">
        <v>123882.39</v>
      </c>
      <c r="G56" s="112">
        <f t="shared" si="4"/>
        <v>0</v>
      </c>
      <c r="H56" s="99">
        <f>G56+'1'!H56</f>
        <v>0.38999999999941792</v>
      </c>
      <c r="I56" s="95"/>
      <c r="J56" s="175">
        <f>H56/DAY(B2)</f>
        <v>0.19499999999970896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229295.45</v>
      </c>
      <c r="F57" s="145">
        <v>232238.07</v>
      </c>
      <c r="G57" s="112">
        <f t="shared" si="4"/>
        <v>2942.6199999999953</v>
      </c>
      <c r="H57" s="99">
        <f>G57+'1'!H57</f>
        <v>6068.070000000007</v>
      </c>
      <c r="I57" s="95"/>
      <c r="J57" s="175">
        <f>H57/DAY(B2)</f>
        <v>3034.0350000000035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49386.27</v>
      </c>
      <c r="F58" s="145">
        <v>49637.94</v>
      </c>
      <c r="G58" s="112">
        <f t="shared" si="4"/>
        <v>251.67000000000553</v>
      </c>
      <c r="H58" s="99">
        <f>G58+'1'!H58</f>
        <v>528.94000000000233</v>
      </c>
      <c r="I58" s="95"/>
      <c r="J58" s="175">
        <f>H58/DAY(B2)</f>
        <v>264.47000000000116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18155.589999999978</v>
      </c>
      <c r="H59" s="99">
        <f>G59+'1'!H59</f>
        <v>34605.489999999976</v>
      </c>
      <c r="I59" s="95">
        <f>G7-G60</f>
        <v>1057.5900000000292</v>
      </c>
      <c r="J59" s="175">
        <f>H59/DAY(B2)</f>
        <v>17302.744999999988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24459.409999999971</v>
      </c>
      <c r="H60" s="99">
        <f>G60+'1'!H60</f>
        <v>49570.97999999985</v>
      </c>
      <c r="I60" s="95">
        <f>G13-G60</f>
        <v>377.39000000007582</v>
      </c>
      <c r="J60" s="175">
        <f>H60/DAY(B2)</f>
        <v>24785.489999999925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'1'!F62</f>
        <v>296372</v>
      </c>
      <c r="F62" s="122">
        <v>296469</v>
      </c>
      <c r="G62" s="112">
        <f t="shared" ref="G62:G63" si="5">F62-E62</f>
        <v>97</v>
      </c>
      <c r="H62" s="99">
        <f>G62+'1'!H62</f>
        <v>194</v>
      </c>
      <c r="I62" s="118"/>
      <c r="J62" s="175">
        <f>H62/DAY(B2)</f>
        <v>97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'1'!F63</f>
        <v>239310</v>
      </c>
      <c r="F63" s="122">
        <v>239457</v>
      </c>
      <c r="G63" s="112">
        <f t="shared" si="5"/>
        <v>147</v>
      </c>
      <c r="H63" s="99">
        <f>G63+'1'!H63</f>
        <v>324</v>
      </c>
      <c r="I63" s="118"/>
      <c r="J63" s="175">
        <f>H63/DAY(B2)</f>
        <v>162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'1'!F64</f>
        <v>0</v>
      </c>
      <c r="F64" s="122"/>
      <c r="G64" s="112">
        <f>G62+G63</f>
        <v>244</v>
      </c>
      <c r="H64" s="99">
        <f>G64+'1'!H64</f>
        <v>518</v>
      </c>
      <c r="I64" s="118"/>
      <c r="J64" s="175">
        <f>H64/DAY(B2)</f>
        <v>259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'1'!F65</f>
        <v>454802</v>
      </c>
      <c r="F65" s="122">
        <v>454905</v>
      </c>
      <c r="G65" s="112">
        <f t="shared" ref="G65:G70" si="6">F65-E65</f>
        <v>103</v>
      </c>
      <c r="H65" s="99">
        <f>G65+'1'!H65</f>
        <v>195</v>
      </c>
      <c r="I65" s="118"/>
      <c r="J65" s="175">
        <f>H65/DAY(B2)</f>
        <v>97.5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111747</v>
      </c>
      <c r="F66" s="122">
        <v>111764</v>
      </c>
      <c r="G66" s="112">
        <f t="shared" si="6"/>
        <v>17</v>
      </c>
      <c r="H66" s="99">
        <f>G66+'1'!H66</f>
        <v>42</v>
      </c>
      <c r="I66" s="118"/>
      <c r="J66" s="175">
        <f>H66/DAY(B2)</f>
        <v>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113680</v>
      </c>
      <c r="F67" s="122">
        <v>113680</v>
      </c>
      <c r="G67" s="112">
        <f t="shared" si="6"/>
        <v>0</v>
      </c>
      <c r="H67" s="99">
        <f>G67+'1'!H67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164680</v>
      </c>
      <c r="F68" s="122">
        <v>164714</v>
      </c>
      <c r="G68" s="112">
        <f t="shared" si="6"/>
        <v>34</v>
      </c>
      <c r="H68" s="99">
        <f>G68+'1'!H68</f>
        <v>52</v>
      </c>
      <c r="I68" s="118"/>
      <c r="J68" s="175">
        <f>H68/DAY(B2)</f>
        <v>26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12285</v>
      </c>
      <c r="F69" s="122">
        <v>12288</v>
      </c>
      <c r="G69" s="236">
        <f t="shared" si="6"/>
        <v>3</v>
      </c>
      <c r="H69" s="99">
        <f>G69+'1'!H69</f>
        <v>13</v>
      </c>
      <c r="I69" s="118"/>
      <c r="J69" s="175">
        <f>H69/DAY(B2)</f>
        <v>6.5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9833</v>
      </c>
      <c r="F70" s="122">
        <v>9844</v>
      </c>
      <c r="G70" s="112">
        <f t="shared" si="6"/>
        <v>11</v>
      </c>
      <c r="H70" s="99">
        <f>G70+'1'!H70</f>
        <v>17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168</v>
      </c>
      <c r="H71" s="99">
        <f>G71+'1'!H71</f>
        <v>319</v>
      </c>
      <c r="I71" s="154"/>
      <c r="J71" s="175">
        <f>H71/DAY(B2)</f>
        <v>159.5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'1'!F74</f>
        <v>957965.9</v>
      </c>
      <c r="F74" s="123">
        <v>958252.23</v>
      </c>
      <c r="G74" s="112">
        <f>F74-E74</f>
        <v>286.32999999995809</v>
      </c>
      <c r="H74" s="99">
        <f>G74+'1'!H74</f>
        <v>594.36999999999534</v>
      </c>
      <c r="I74" s="154"/>
      <c r="J74" s="175">
        <f>H74/DAY(B2)</f>
        <v>297.18499999999767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'1'!F75</f>
        <v>73586</v>
      </c>
      <c r="F75" s="123">
        <v>73586.8</v>
      </c>
      <c r="G75" s="112">
        <f t="shared" ref="G75:G78" si="7">F75-E75</f>
        <v>0.80000000000291038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'1'!F76</f>
        <v>190288.7</v>
      </c>
      <c r="F76" s="123">
        <v>190401</v>
      </c>
      <c r="G76" s="112">
        <f t="shared" si="7"/>
        <v>112.29999999998836</v>
      </c>
      <c r="H76" s="99">
        <f>G76+'1'!H76</f>
        <v>229</v>
      </c>
      <c r="I76" s="154"/>
      <c r="J76" s="175">
        <f>H76/DAY(B2)</f>
        <v>114.5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'1'!F77</f>
        <v>50356</v>
      </c>
      <c r="F77" s="123">
        <v>50406.8</v>
      </c>
      <c r="G77" s="112">
        <f t="shared" si="7"/>
        <v>50.80000000000291</v>
      </c>
      <c r="H77" s="99">
        <f>G77+'1'!H77</f>
        <v>93.80000000000291</v>
      </c>
      <c r="I77" s="154"/>
      <c r="J77" s="175">
        <f>H77/DAY(B2)</f>
        <v>46.900000000001455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'1'!F78</f>
        <v>9563</v>
      </c>
      <c r="F78" s="123">
        <v>9563</v>
      </c>
      <c r="G78" s="112">
        <f t="shared" si="7"/>
        <v>0</v>
      </c>
      <c r="H78" s="99">
        <f>G78+'1'!H78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'1'!F79</f>
        <v>0</v>
      </c>
      <c r="F79" s="123"/>
      <c r="G79" s="112">
        <f>G15-SUM(G74:G78)</f>
        <v>550.46999999976833</v>
      </c>
      <c r="H79" s="99">
        <f>G79+'1'!H79</f>
        <v>1147.1299999998155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1000.6999999997206</v>
      </c>
      <c r="H80" s="99">
        <f>G80+'1'!H80</f>
        <v>1000.6999999997206</v>
      </c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42611.44</v>
      </c>
      <c r="F84" s="164">
        <v>42623.12</v>
      </c>
      <c r="G84" s="112">
        <f t="shared" si="8"/>
        <v>11.680000000000291</v>
      </c>
      <c r="H84" s="99">
        <f>G84+'1'!H84</f>
        <v>34.120000000002619</v>
      </c>
      <c r="I84" s="571"/>
      <c r="J84" s="175">
        <f>H84/DAY(B2)</f>
        <v>17.06000000000131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5140.1899999999996</v>
      </c>
      <c r="F85" s="164">
        <v>5140.1899999999996</v>
      </c>
      <c r="G85" s="112">
        <f t="shared" si="8"/>
        <v>0</v>
      </c>
      <c r="H85" s="99">
        <f>G85+'1'!H85</f>
        <v>0</v>
      </c>
      <c r="I85" s="571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45394.01</v>
      </c>
      <c r="F86" s="164">
        <v>45418</v>
      </c>
      <c r="G86" s="112">
        <f t="shared" si="8"/>
        <v>23.989999999997963</v>
      </c>
      <c r="H86" s="99">
        <f>G86+'1'!H86</f>
        <v>39</v>
      </c>
      <c r="I86" s="571"/>
      <c r="J86" s="175">
        <f>H86/DAY(B2)</f>
        <v>19.5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35457.43</v>
      </c>
      <c r="F87" s="164">
        <v>35457.43</v>
      </c>
      <c r="G87" s="112">
        <f t="shared" si="8"/>
        <v>0</v>
      </c>
      <c r="H87" s="99">
        <f>G87+'1'!H87</f>
        <v>0</v>
      </c>
      <c r="I87" s="571">
        <f>G84+G85+G86+G87</f>
        <v>35.669999999998254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24303.46</v>
      </c>
      <c r="F88" s="164">
        <v>24303.46</v>
      </c>
      <c r="G88" s="112">
        <f t="shared" si="8"/>
        <v>0</v>
      </c>
      <c r="H88" s="99">
        <f>G88+'1'!H88</f>
        <v>0</v>
      </c>
      <c r="I88" s="571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27576.25</v>
      </c>
      <c r="F89" s="164">
        <v>27585.59</v>
      </c>
      <c r="G89" s="112">
        <f t="shared" si="8"/>
        <v>9.3400000000001455</v>
      </c>
      <c r="H89" s="99">
        <f>G89+'1'!H89</f>
        <v>18.979999999999563</v>
      </c>
      <c r="I89" s="571">
        <f>G88+G89</f>
        <v>9.3400000000001455</v>
      </c>
      <c r="J89" s="175">
        <f>H89/DAY(B2)</f>
        <v>9.4899999999997817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72618.3</v>
      </c>
      <c r="F90" s="164">
        <v>72628.39</v>
      </c>
      <c r="G90" s="112">
        <f t="shared" si="8"/>
        <v>10.089999999996508</v>
      </c>
      <c r="H90" s="99">
        <f>G90+'1'!H90</f>
        <v>21.839999999996508</v>
      </c>
      <c r="I90" s="571">
        <f>G90</f>
        <v>10.089999999996508</v>
      </c>
      <c r="J90" s="175">
        <f>H90/DAY(B2)</f>
        <v>10.919999999998254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4289.54</v>
      </c>
      <c r="F91" s="122">
        <v>4289.54</v>
      </c>
      <c r="G91" s="112">
        <f t="shared" si="8"/>
        <v>0</v>
      </c>
      <c r="H91" s="99">
        <f>G91+'1'!H91</f>
        <v>0</v>
      </c>
      <c r="I91" s="590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6728.19</v>
      </c>
      <c r="F92" s="122">
        <v>6738.48</v>
      </c>
      <c r="G92" s="112">
        <f t="shared" si="8"/>
        <v>10.289999999999964</v>
      </c>
      <c r="H92" s="99">
        <f>G92+'1'!H92</f>
        <v>21.149999999999636</v>
      </c>
      <c r="I92" s="596">
        <f>G91+G92</f>
        <v>10.289999999999964</v>
      </c>
      <c r="J92" s="175">
        <f>H92/DAY(B2)</f>
        <v>10.574999999999818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7345.320000000007</v>
      </c>
      <c r="H94" s="99">
        <f>G94+'1'!H94</f>
        <v>14700.119999999995</v>
      </c>
      <c r="I94" s="118"/>
      <c r="J94" s="175">
        <f>H94/DAY(B2)</f>
        <v>7350.0599999999977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0.28785985813379344</v>
      </c>
      <c r="H95" s="99">
        <f>G95+'1'!H95</f>
        <v>0.57699772816563644</v>
      </c>
      <c r="I95" s="167"/>
      <c r="J95" s="175">
        <f>H95/DAY(B2)</f>
        <v>0.28849886408281822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6103.4199999999837</v>
      </c>
      <c r="H96" s="99">
        <f>G96+'1'!H96</f>
        <v>13026.719999999928</v>
      </c>
      <c r="I96" s="118"/>
      <c r="J96" s="175">
        <f>H96/DAY(B2)</f>
        <v>6513.3599999999642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0.23919034369243969</v>
      </c>
      <c r="H97" s="99">
        <f>G97+'1'!H97</f>
        <v>0.51136473532667104</v>
      </c>
      <c r="I97" s="167"/>
      <c r="J97" s="175">
        <f>H97/DAY(B2)</f>
        <v>0.25568236766333552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4423.6300000000047</v>
      </c>
      <c r="H98" s="99">
        <f>G98+'1'!H98</f>
        <v>8772.489999999947</v>
      </c>
      <c r="I98" s="168"/>
      <c r="J98" s="175">
        <f>H98/DAY(B2)</f>
        <v>4386.2449999999735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0.1733601128659327</v>
      </c>
      <c r="H99" s="99">
        <f>G99+'1'!H99</f>
        <v>0.34432602865788703</v>
      </c>
      <c r="I99" s="168"/>
      <c r="J99" s="175">
        <f>H99/DAY(B2)</f>
        <v>0.17216301432894351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2221.0499999999884</v>
      </c>
      <c r="H100" s="99">
        <f>G100+'1'!H100</f>
        <v>4481.1099999999769</v>
      </c>
      <c r="I100" s="118"/>
      <c r="J100" s="175">
        <f>H100/DAY(B2)</f>
        <v>2240.5549999999885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8.7041972018653768E-2</v>
      </c>
      <c r="H101" s="99">
        <f>G101+'1'!H101</f>
        <v>0.17589128601008314</v>
      </c>
      <c r="I101" s="168"/>
      <c r="J101" s="175">
        <f>H101/DAY(B2)</f>
        <v>8.7945643005041568E-2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1829.4999999999709</v>
      </c>
      <c r="H102" s="99">
        <f>G102+'1'!H102</f>
        <v>3470.0799999999872</v>
      </c>
      <c r="I102" s="168"/>
      <c r="J102" s="175">
        <f>H102/DAY(B2)</f>
        <v>1735.0399999999936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7.169729983932166E-2</v>
      </c>
      <c r="H103" s="99">
        <f>G103+'1'!H103</f>
        <v>0.13619311302483944</v>
      </c>
      <c r="I103" s="118"/>
      <c r="J103" s="175">
        <f>H103/DAY(B2)</f>
        <v>6.809655651241972E-2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1083.3100000000013</v>
      </c>
      <c r="H104" s="99">
        <f>G104+'1'!H104</f>
        <v>2210.510000000002</v>
      </c>
      <c r="I104" s="118"/>
      <c r="J104" s="175">
        <f>H104/DAY(B2)</f>
        <v>1105.255000000001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4.245444213661486E-2</v>
      </c>
      <c r="H105" s="99">
        <f>G105+'1'!H105</f>
        <v>8.6767843874241191E-2</v>
      </c>
      <c r="I105" s="187"/>
      <c r="J105" s="188">
        <f>H105/DAY(B2)</f>
        <v>4.3383921937120595E-2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'1'!F112</f>
        <v>7337.75</v>
      </c>
      <c r="F112" s="237">
        <v>7410.72</v>
      </c>
      <c r="G112" s="112">
        <f t="shared" ref="G112:G123" si="9">F112-E112</f>
        <v>72.970000000000255</v>
      </c>
      <c r="H112" s="99">
        <f>G112+'1'!H112</f>
        <v>145.72000000000025</v>
      </c>
      <c r="I112" s="165"/>
      <c r="J112" s="328">
        <f>H112/DAY(B2)</f>
        <v>72.860000000000127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'1'!F113</f>
        <v>15156.11</v>
      </c>
      <c r="F113" s="417">
        <v>15298</v>
      </c>
      <c r="G113" s="112">
        <f t="shared" si="9"/>
        <v>141.88999999999942</v>
      </c>
      <c r="H113" s="99">
        <f>G113+'1'!H113</f>
        <v>283</v>
      </c>
      <c r="I113" s="165"/>
      <c r="J113" s="328">
        <f>H113/DAY(B2)</f>
        <v>141.5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'1'!F114</f>
        <v>21484.9</v>
      </c>
      <c r="F114" s="764">
        <v>21754.9</v>
      </c>
      <c r="G114" s="112">
        <f t="shared" si="9"/>
        <v>270</v>
      </c>
      <c r="H114" s="99">
        <f>G114+'1'!H114</f>
        <v>486.90000000000146</v>
      </c>
      <c r="I114" s="165"/>
      <c r="J114" s="328">
        <f>H114/DAY(B2)</f>
        <v>243.45000000000073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'1'!F115</f>
        <v>13570.93</v>
      </c>
      <c r="F115" s="417">
        <v>13732</v>
      </c>
      <c r="G115" s="112">
        <f t="shared" si="9"/>
        <v>161.06999999999971</v>
      </c>
      <c r="H115" s="99">
        <f>G115+'1'!H115</f>
        <v>302</v>
      </c>
      <c r="I115" s="165"/>
      <c r="J115" s="328">
        <f>H115/DAY(B2)</f>
        <v>151</v>
      </c>
    </row>
    <row r="116" spans="1:18" ht="29.25" customHeight="1">
      <c r="A116" s="901" t="s">
        <v>96</v>
      </c>
      <c r="B116" s="902"/>
      <c r="C116" s="903"/>
      <c r="D116" s="516" t="s">
        <v>183</v>
      </c>
      <c r="E116" s="95">
        <f>'1'!F116</f>
        <v>70910.740000000005</v>
      </c>
      <c r="F116" s="417">
        <v>71317.58</v>
      </c>
      <c r="G116" s="112">
        <f t="shared" si="9"/>
        <v>406.83999999999651</v>
      </c>
      <c r="H116" s="99">
        <f>G116+'1'!H116</f>
        <v>825.58000000000175</v>
      </c>
      <c r="I116" s="165"/>
      <c r="J116" s="328">
        <f>H116/DAY(B2)</f>
        <v>412.79000000000087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'1'!F117</f>
        <v>41147.519</v>
      </c>
      <c r="F117" s="417">
        <v>41410.17</v>
      </c>
      <c r="G117" s="112">
        <f t="shared" si="9"/>
        <v>262.65099999999802</v>
      </c>
      <c r="H117" s="99">
        <f>G117+'1'!H117</f>
        <v>488.16999999999825</v>
      </c>
      <c r="I117" s="165"/>
      <c r="J117" s="328">
        <f>H117/DAY(B2)</f>
        <v>244.08499999999913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'1'!F118</f>
        <v>65304.99</v>
      </c>
      <c r="F118" s="764">
        <v>65934.989999999991</v>
      </c>
      <c r="G118" s="112">
        <f t="shared" si="9"/>
        <v>629.99999999999272</v>
      </c>
      <c r="H118" s="99">
        <f>G118+'1'!H118</f>
        <v>1262.9899999999907</v>
      </c>
      <c r="I118" s="165"/>
      <c r="J118" s="328">
        <f>H118/DAY(B2)</f>
        <v>631.49499999999534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'1'!F119</f>
        <v>37673.4</v>
      </c>
      <c r="F119" s="417">
        <v>37905.56</v>
      </c>
      <c r="G119" s="112">
        <f t="shared" si="9"/>
        <v>232.15999999999622</v>
      </c>
      <c r="H119" s="99">
        <f>G119+'1'!H119</f>
        <v>456.55999999999767</v>
      </c>
      <c r="I119" s="165"/>
      <c r="J119" s="328">
        <f>H119/DAY(B2)</f>
        <v>228.27999999999884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'1'!F120</f>
        <v>46679.9</v>
      </c>
      <c r="F120" s="237">
        <v>47075.37</v>
      </c>
      <c r="G120" s="112">
        <f t="shared" si="9"/>
        <v>395.47000000000116</v>
      </c>
      <c r="H120" s="99">
        <f>G120+'1'!H120</f>
        <v>808.37000000000262</v>
      </c>
      <c r="I120" s="165"/>
      <c r="J120" s="328">
        <f>H120/DAY(B2)</f>
        <v>404.18500000000131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'1'!F121</f>
        <v>54020.12</v>
      </c>
      <c r="F121" s="237">
        <v>54501.62</v>
      </c>
      <c r="G121" s="112">
        <f t="shared" si="9"/>
        <v>481.5</v>
      </c>
      <c r="H121" s="99">
        <f>G121+'1'!H121</f>
        <v>958.62000000000262</v>
      </c>
      <c r="I121" s="165"/>
      <c r="J121" s="328">
        <f>H121/DAY(B2)</f>
        <v>479.31000000000131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'1'!F122</f>
        <v>28944</v>
      </c>
      <c r="F122" s="237">
        <v>29222.86</v>
      </c>
      <c r="G122" s="112">
        <f t="shared" si="9"/>
        <v>278.86000000000058</v>
      </c>
      <c r="H122" s="99">
        <f>G122+'1'!H122</f>
        <v>548.86000000000058</v>
      </c>
      <c r="I122" s="165"/>
      <c r="J122" s="328">
        <f>H122/DAY(B2)</f>
        <v>274.43000000000029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'1'!F123</f>
        <v>30503.9</v>
      </c>
      <c r="F123" s="237">
        <v>30823.83</v>
      </c>
      <c r="G123" s="112">
        <f t="shared" si="9"/>
        <v>319.93000000000029</v>
      </c>
      <c r="H123" s="99">
        <f>G123+'1'!H123</f>
        <v>635.83000000000175</v>
      </c>
      <c r="I123" s="165"/>
      <c r="J123" s="328">
        <f>H123/DAY(B2)</f>
        <v>317.91500000000087</v>
      </c>
    </row>
    <row r="124" spans="1:18" ht="29.2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3653.3409999999849</v>
      </c>
      <c r="H125" s="156"/>
      <c r="I125" s="327">
        <f>G125-(G39+G53)</f>
        <v>-770.28900000001977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'1'!F128</f>
        <v>128146.7</v>
      </c>
      <c r="F128" s="165">
        <v>128665.35</v>
      </c>
      <c r="G128" s="112">
        <f t="shared" ref="G128:G133" si="10">F128-E128</f>
        <v>518.65000000000873</v>
      </c>
      <c r="H128" s="99">
        <f>G128+'1'!H128</f>
        <v>1021.3500000000058</v>
      </c>
      <c r="I128" s="165"/>
      <c r="J128" s="328">
        <f>H128/DAY(B2)</f>
        <v>510.67500000000291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72689.210000000006</v>
      </c>
      <c r="F129" s="165">
        <v>72878.509999999995</v>
      </c>
      <c r="G129" s="112">
        <f t="shared" si="10"/>
        <v>189.29999999998836</v>
      </c>
      <c r="H129" s="99">
        <f>G129+'1'!H129</f>
        <v>375.50999999999476</v>
      </c>
      <c r="I129" s="165"/>
      <c r="J129" s="328">
        <f>H129/DAY(B2)</f>
        <v>187.75499999999738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165340.66</v>
      </c>
      <c r="F130" s="165">
        <v>166017.32999999999</v>
      </c>
      <c r="G130" s="112">
        <f t="shared" si="10"/>
        <v>676.6699999999837</v>
      </c>
      <c r="H130" s="99">
        <f>G130+'1'!H130</f>
        <v>1420.3299999999872</v>
      </c>
      <c r="I130" s="165"/>
      <c r="J130" s="328">
        <f>H130/DAY(B2)</f>
        <v>710.1649999999936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'1'!F131</f>
        <v>48633.82</v>
      </c>
      <c r="F131" s="165">
        <v>48847.58</v>
      </c>
      <c r="G131" s="112">
        <f t="shared" si="10"/>
        <v>213.76000000000204</v>
      </c>
      <c r="H131" s="99">
        <f>G131+'1'!H131</f>
        <v>398.58000000000175</v>
      </c>
      <c r="I131" s="165"/>
      <c r="J131" s="328">
        <f>H131/DAY(B2)</f>
        <v>199.29000000000087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'1'!F132</f>
        <v>128524.4</v>
      </c>
      <c r="F132" s="165">
        <v>128940.71</v>
      </c>
      <c r="G132" s="112">
        <f t="shared" si="10"/>
        <v>416.31000000001222</v>
      </c>
      <c r="H132" s="99">
        <f>G132+'1'!H132</f>
        <v>766.7100000000064</v>
      </c>
      <c r="I132" s="165"/>
      <c r="J132" s="328">
        <f>H132/DAY(B2)</f>
        <v>383.3550000000032</v>
      </c>
    </row>
    <row r="133" spans="1:15" ht="25.5">
      <c r="A133" s="894" t="s">
        <v>342</v>
      </c>
      <c r="B133" s="895"/>
      <c r="C133" s="896"/>
      <c r="D133" s="151" t="s">
        <v>183</v>
      </c>
      <c r="E133" s="95">
        <f>'1'!F133</f>
        <v>224035.59</v>
      </c>
      <c r="F133" s="165">
        <v>224035.59</v>
      </c>
      <c r="G133" s="112">
        <f t="shared" si="10"/>
        <v>0</v>
      </c>
      <c r="H133" s="99">
        <f>G133+'1'!H133</f>
        <v>0</v>
      </c>
      <c r="I133" s="165"/>
      <c r="J133" s="328">
        <f>H133/DAY(B2)</f>
        <v>0</v>
      </c>
    </row>
    <row r="134" spans="1:15" ht="25.5">
      <c r="A134" s="894" t="s">
        <v>340</v>
      </c>
      <c r="B134" s="895"/>
      <c r="C134" s="896"/>
      <c r="D134" s="514" t="s">
        <v>183</v>
      </c>
      <c r="E134" s="95">
        <f>'1'!F134</f>
        <v>49234.66</v>
      </c>
      <c r="F134" s="158">
        <v>49440.38</v>
      </c>
      <c r="G134" s="112">
        <f>F134-E134</f>
        <v>205.71999999999389</v>
      </c>
      <c r="H134" s="99">
        <f>G134+'1'!H134</f>
        <v>405.37999999999738</v>
      </c>
      <c r="I134" s="165"/>
      <c r="J134" s="328">
        <f>H134/DAY(B2)</f>
        <v>202.68999999999869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2220.4099999999889</v>
      </c>
      <c r="H135" s="99">
        <f>G135+'1'!H135</f>
        <v>4387.8599999999933</v>
      </c>
      <c r="I135" s="327">
        <f>G135-(G35+G49)</f>
        <v>-2182.2900000000227</v>
      </c>
      <c r="J135" s="328">
        <f>H135/DAY(B2)</f>
        <v>2193.9299999999967</v>
      </c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514" t="s">
        <v>183</v>
      </c>
      <c r="E138" s="95">
        <f>'1'!F138</f>
        <v>891266</v>
      </c>
      <c r="F138" s="147">
        <v>891407</v>
      </c>
      <c r="G138" s="112">
        <f t="shared" ref="G138:G152" si="11">F138-E138</f>
        <v>141</v>
      </c>
      <c r="H138" s="99">
        <f>G138+'1'!H138</f>
        <v>309</v>
      </c>
      <c r="I138" s="118"/>
      <c r="J138" s="328">
        <f>H138/DAY(B2)</f>
        <v>154.5</v>
      </c>
    </row>
    <row r="139" spans="1:15" ht="25.5">
      <c r="A139" s="893" t="s">
        <v>186</v>
      </c>
      <c r="B139" s="893"/>
      <c r="C139" s="893"/>
      <c r="D139" s="514" t="s">
        <v>183</v>
      </c>
      <c r="E139" s="95">
        <f>'1'!F139</f>
        <v>909034</v>
      </c>
      <c r="F139" s="148">
        <v>909174</v>
      </c>
      <c r="G139" s="112">
        <f t="shared" si="11"/>
        <v>140</v>
      </c>
      <c r="H139" s="99">
        <f>G139+'1'!H139</f>
        <v>279</v>
      </c>
      <c r="I139" s="118"/>
      <c r="J139" s="328">
        <f>H139/DAY(B2)</f>
        <v>139.5</v>
      </c>
    </row>
    <row r="140" spans="1:15" ht="25.5">
      <c r="A140" s="893" t="s">
        <v>187</v>
      </c>
      <c r="B140" s="893"/>
      <c r="C140" s="893"/>
      <c r="D140" s="514" t="s">
        <v>183</v>
      </c>
      <c r="E140" s="95">
        <f>'1'!F140</f>
        <v>1528</v>
      </c>
      <c r="F140" s="149">
        <v>1543.2</v>
      </c>
      <c r="G140" s="112">
        <f t="shared" si="11"/>
        <v>15.200000000000045</v>
      </c>
      <c r="H140" s="99">
        <f>G140+'1'!H140</f>
        <v>30.200000000000045</v>
      </c>
      <c r="I140" s="118"/>
      <c r="J140" s="328">
        <f>H140/DAY(B2)</f>
        <v>15.100000000000023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'1'!F141</f>
        <v>90637.56</v>
      </c>
      <c r="F141" s="149">
        <v>90828.160000000003</v>
      </c>
      <c r="G141" s="112">
        <f t="shared" si="11"/>
        <v>190.60000000000582</v>
      </c>
      <c r="H141" s="99">
        <f>G141+'1'!H141</f>
        <v>376.16000000000349</v>
      </c>
      <c r="I141" s="118"/>
      <c r="J141" s="328">
        <f>H141/DAY(B2)</f>
        <v>188.08000000000175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'1'!F142</f>
        <v>36724.400000000001</v>
      </c>
      <c r="F142" s="148">
        <v>36788.53</v>
      </c>
      <c r="G142" s="112">
        <f t="shared" si="11"/>
        <v>64.129999999997381</v>
      </c>
      <c r="H142" s="99">
        <f>G142+'1'!H142</f>
        <v>127.52999999999884</v>
      </c>
      <c r="I142" s="140"/>
      <c r="J142" s="328">
        <f>H142/DAY(B2)</f>
        <v>63.764999999999418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'1'!F143</f>
        <v>9075.8799999999992</v>
      </c>
      <c r="F143" s="149">
        <v>9104.9</v>
      </c>
      <c r="G143" s="112">
        <f t="shared" si="11"/>
        <v>29.020000000000437</v>
      </c>
      <c r="H143" s="99">
        <f>G143+'1'!H143</f>
        <v>53.899999999999636</v>
      </c>
      <c r="I143" s="140"/>
      <c r="J143" s="328">
        <f>H143/DAY(B2)</f>
        <v>26.949999999999818</v>
      </c>
    </row>
    <row r="144" spans="1:15" ht="25.5">
      <c r="A144" s="872" t="s">
        <v>90</v>
      </c>
      <c r="B144" s="872"/>
      <c r="C144" s="872"/>
      <c r="D144" s="514" t="s">
        <v>183</v>
      </c>
      <c r="E144" s="95">
        <f>'1'!F144</f>
        <v>920044</v>
      </c>
      <c r="F144" s="149">
        <v>920257</v>
      </c>
      <c r="G144" s="112">
        <f t="shared" si="11"/>
        <v>213</v>
      </c>
      <c r="H144" s="99">
        <f>G144+'1'!H144</f>
        <v>420</v>
      </c>
      <c r="I144" s="140"/>
      <c r="J144" s="328">
        <f>H144/DAY(B2)</f>
        <v>210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'1'!F145</f>
        <v>5839</v>
      </c>
      <c r="F145" s="149">
        <v>5875.74</v>
      </c>
      <c r="G145" s="112">
        <f t="shared" si="11"/>
        <v>36.739999999999782</v>
      </c>
      <c r="H145" s="99">
        <f>G145+'1'!H145</f>
        <v>68.739999999999782</v>
      </c>
      <c r="I145" s="140"/>
      <c r="J145" s="328">
        <f>H145/DAY(B2)</f>
        <v>34.369999999999891</v>
      </c>
    </row>
    <row r="146" spans="1:10" ht="25.5">
      <c r="A146" s="928" t="s">
        <v>191</v>
      </c>
      <c r="B146" s="913"/>
      <c r="C146" s="914"/>
      <c r="D146" s="514" t="s">
        <v>183</v>
      </c>
      <c r="E146" s="95">
        <f>'1'!F146</f>
        <v>780939</v>
      </c>
      <c r="F146" s="148">
        <v>781019</v>
      </c>
      <c r="G146" s="112">
        <f t="shared" si="11"/>
        <v>80</v>
      </c>
      <c r="H146" s="99">
        <f>G146+'1'!H146</f>
        <v>219</v>
      </c>
      <c r="I146" s="140"/>
      <c r="J146" s="328">
        <f>H146/DAY(B2)</f>
        <v>109.5</v>
      </c>
    </row>
    <row r="147" spans="1:10" ht="25.5">
      <c r="A147" s="872" t="s">
        <v>192</v>
      </c>
      <c r="B147" s="872"/>
      <c r="C147" s="872"/>
      <c r="D147" s="514" t="s">
        <v>183</v>
      </c>
      <c r="E147" s="95">
        <f>'1'!F147</f>
        <v>700134.32</v>
      </c>
      <c r="F147" s="148">
        <v>700499</v>
      </c>
      <c r="G147" s="112">
        <f t="shared" si="11"/>
        <v>364.68000000005122</v>
      </c>
      <c r="H147" s="99">
        <f>G147+'1'!H147</f>
        <v>730</v>
      </c>
      <c r="I147" s="140"/>
      <c r="J147" s="328">
        <f>H147/DAY(B2)</f>
        <v>365</v>
      </c>
    </row>
    <row r="148" spans="1:10" ht="25.5">
      <c r="A148" s="873" t="s">
        <v>193</v>
      </c>
      <c r="B148" s="874"/>
      <c r="C148" s="875"/>
      <c r="D148" s="515" t="s">
        <v>130</v>
      </c>
      <c r="E148" s="95">
        <f>'1'!F148</f>
        <v>748853.44</v>
      </c>
      <c r="F148" s="164">
        <v>749102.96</v>
      </c>
      <c r="G148" s="112">
        <f t="shared" si="11"/>
        <v>249.52000000001863</v>
      </c>
      <c r="H148" s="99">
        <f>G148+'1'!H148</f>
        <v>572.95999999996275</v>
      </c>
      <c r="I148" s="124"/>
      <c r="J148" s="328">
        <f>H148/DAY(B2)</f>
        <v>286.47999999998137</v>
      </c>
    </row>
    <row r="149" spans="1:10" ht="25.5">
      <c r="A149" s="873" t="s">
        <v>336</v>
      </c>
      <c r="B149" s="874"/>
      <c r="C149" s="875"/>
      <c r="D149" s="516" t="s">
        <v>130</v>
      </c>
      <c r="E149" s="95">
        <f>'1'!F149</f>
        <v>132904.45000000001</v>
      </c>
      <c r="F149" s="146">
        <v>133324.70000000001</v>
      </c>
      <c r="G149" s="112">
        <f t="shared" si="11"/>
        <v>420.25</v>
      </c>
      <c r="H149" s="99">
        <f>G149+'1'!H149</f>
        <v>890.70000000001164</v>
      </c>
      <c r="I149" s="119"/>
      <c r="J149" s="328">
        <f>H149/DAY(B2)</f>
        <v>445.35000000000582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'1'!F150</f>
        <v>50831.47</v>
      </c>
      <c r="F150" s="233">
        <v>51051.3</v>
      </c>
      <c r="G150" s="112">
        <f t="shared" si="11"/>
        <v>219.83000000000175</v>
      </c>
      <c r="H150" s="99">
        <f>G150+'1'!H150</f>
        <v>436.30000000000291</v>
      </c>
      <c r="I150" s="119"/>
      <c r="J150" s="328">
        <f>H150/DAY(B2)</f>
        <v>218.15000000000146</v>
      </c>
    </row>
    <row r="151" spans="1:10" ht="25.5">
      <c r="A151" s="873" t="s">
        <v>338</v>
      </c>
      <c r="B151" s="874"/>
      <c r="C151" s="875"/>
      <c r="D151" s="515" t="s">
        <v>130</v>
      </c>
      <c r="E151" s="95">
        <f>'1'!F151</f>
        <v>135786</v>
      </c>
      <c r="F151" s="233">
        <v>136117</v>
      </c>
      <c r="G151" s="112">
        <f t="shared" si="11"/>
        <v>331</v>
      </c>
      <c r="H151" s="99">
        <f>G151+'1'!H151</f>
        <v>668</v>
      </c>
      <c r="I151" s="119"/>
      <c r="J151" s="328">
        <f>H151/DAY(B2)</f>
        <v>334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'1'!F152</f>
        <v>23261.22</v>
      </c>
      <c r="F152" s="233">
        <v>23376.5</v>
      </c>
      <c r="G152" s="112">
        <f t="shared" si="11"/>
        <v>115.27999999999884</v>
      </c>
      <c r="H152" s="99">
        <f>G152+'1'!H152</f>
        <v>222.5</v>
      </c>
      <c r="I152" s="119"/>
      <c r="J152" s="328">
        <f>H152/DAY(B2)</f>
        <v>111.25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2610.2500000000737</v>
      </c>
      <c r="H153" s="363"/>
      <c r="I153" s="119">
        <f>G153-(G38+G52)</f>
        <v>389.20000000008531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517" t="s">
        <v>130</v>
      </c>
      <c r="E155" s="95">
        <f>'1'!F155</f>
        <v>148729</v>
      </c>
      <c r="F155" s="422">
        <v>149289</v>
      </c>
      <c r="G155" s="112">
        <f t="shared" ref="G155:G158" si="12">F155-E155</f>
        <v>560</v>
      </c>
      <c r="H155" s="99">
        <f>G155+'1'!H155</f>
        <v>1140</v>
      </c>
      <c r="I155" s="364"/>
      <c r="J155" s="328">
        <f>H155/DAY(B2)</f>
        <v>570</v>
      </c>
    </row>
    <row r="156" spans="1:10" ht="25.5">
      <c r="A156" s="872" t="s">
        <v>347</v>
      </c>
      <c r="B156" s="872"/>
      <c r="C156" s="872"/>
      <c r="D156" s="517" t="s">
        <v>130</v>
      </c>
      <c r="E156" s="95">
        <f>'1'!F156</f>
        <v>14816</v>
      </c>
      <c r="F156" s="155">
        <v>14898</v>
      </c>
      <c r="G156" s="112">
        <f t="shared" si="12"/>
        <v>82</v>
      </c>
      <c r="H156" s="99">
        <f>G156+'1'!H156</f>
        <v>164</v>
      </c>
      <c r="I156" s="165"/>
      <c r="J156" s="328">
        <f>H156/DAY(B2)</f>
        <v>82</v>
      </c>
    </row>
    <row r="157" spans="1:10" ht="25.5">
      <c r="A157" s="873" t="s">
        <v>360</v>
      </c>
      <c r="B157" s="874"/>
      <c r="C157" s="875"/>
      <c r="D157" s="517" t="s">
        <v>130</v>
      </c>
      <c r="E157" s="95">
        <f>'1'!F157</f>
        <v>27649.91</v>
      </c>
      <c r="F157" s="155">
        <v>27777.71</v>
      </c>
      <c r="G157" s="112">
        <f t="shared" si="12"/>
        <v>127.79999999999927</v>
      </c>
      <c r="H157" s="99">
        <f>G157+'1'!H157</f>
        <v>331.70999999999913</v>
      </c>
      <c r="I157" s="165"/>
      <c r="J157" s="328"/>
    </row>
    <row r="158" spans="1:10" ht="25.5">
      <c r="A158" s="873" t="s">
        <v>361</v>
      </c>
      <c r="B158" s="874"/>
      <c r="C158" s="875"/>
      <c r="D158" s="117" t="s">
        <v>130</v>
      </c>
      <c r="E158" s="95">
        <v>90.42</v>
      </c>
      <c r="F158" s="155">
        <v>238.7</v>
      </c>
      <c r="G158" s="112">
        <f t="shared" si="12"/>
        <v>148.27999999999997</v>
      </c>
      <c r="H158" s="99">
        <f>G158+'1'!H158</f>
        <v>150.27999999999997</v>
      </c>
      <c r="I158" s="165"/>
      <c r="J158" s="328"/>
    </row>
    <row r="159" spans="1:10" ht="25.5">
      <c r="A159" s="873"/>
      <c r="B159" s="874"/>
      <c r="C159" s="875"/>
      <c r="D159" s="117"/>
      <c r="E159" s="95"/>
      <c r="F159" s="16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480070.64</v>
      </c>
      <c r="F161" s="235">
        <v>480109.72</v>
      </c>
      <c r="G161" s="238">
        <f t="shared" ref="G161:G165" si="13">F161-E161</f>
        <v>39.07999999995809</v>
      </c>
      <c r="H161" s="99">
        <f>G161+'1'!H161</f>
        <v>56.71999999997206</v>
      </c>
      <c r="I161" s="236"/>
      <c r="J161" s="239">
        <f>H161/DAY(B2)</f>
        <v>28.35999999998603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94969.3</v>
      </c>
      <c r="F162" s="235">
        <v>95015.3</v>
      </c>
      <c r="G162" s="238">
        <f t="shared" si="13"/>
        <v>46</v>
      </c>
      <c r="H162" s="99">
        <f>G162+'1'!H162</f>
        <v>87.30000000000291</v>
      </c>
      <c r="I162" s="236"/>
      <c r="J162" s="239">
        <f>H162/DAY(B2)</f>
        <v>43.650000000001455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6657.1</v>
      </c>
      <c r="F163" s="235">
        <v>6802.4</v>
      </c>
      <c r="G163" s="238">
        <f t="shared" si="13"/>
        <v>145.29999999999927</v>
      </c>
      <c r="H163" s="99">
        <f>G163+'1'!H163</f>
        <v>301.39999999999964</v>
      </c>
      <c r="I163" s="236"/>
      <c r="J163" s="239">
        <f>H163/DAY(B2)</f>
        <v>150.69999999999982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6285</v>
      </c>
      <c r="F164" s="235">
        <v>6286.1</v>
      </c>
      <c r="G164" s="238">
        <f t="shared" si="13"/>
        <v>1.1000000000003638</v>
      </c>
      <c r="H164" s="99">
        <f>G164+'1'!H164</f>
        <v>6.1000000000003638</v>
      </c>
      <c r="I164" s="236"/>
      <c r="J164" s="239">
        <f>H164/DAY(B2)</f>
        <v>3.0500000000001819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31642.61</v>
      </c>
      <c r="F165" s="235">
        <v>31651.74</v>
      </c>
      <c r="G165" s="238">
        <f t="shared" si="13"/>
        <v>9.1300000000010186</v>
      </c>
      <c r="H165" s="99">
        <f>G165+'1'!H165</f>
        <v>17.740000000001601</v>
      </c>
      <c r="I165" s="236"/>
      <c r="J165" s="239">
        <f>H165/DAY(B2)</f>
        <v>8.8700000000008004</v>
      </c>
    </row>
    <row r="166" spans="1:14" ht="29.25" customHeight="1">
      <c r="A166" s="881"/>
      <c r="B166" s="881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881"/>
      <c r="B167" s="881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881"/>
      <c r="B168" s="881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4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87" t="s">
        <v>209</v>
      </c>
      <c r="B173" s="888"/>
      <c r="C173" s="333"/>
      <c r="D173" s="228" t="s">
        <v>142</v>
      </c>
      <c r="E173" s="95">
        <f>'1'!F173</f>
        <v>8235</v>
      </c>
      <c r="F173" s="155">
        <v>8240</v>
      </c>
      <c r="G173" s="155">
        <f>F173-E173</f>
        <v>5</v>
      </c>
      <c r="H173" s="99">
        <f>G173+'1'!H173</f>
        <v>5</v>
      </c>
      <c r="I173" s="155"/>
      <c r="J173" s="178">
        <f>H173/DAY(B2)</f>
        <v>2.5</v>
      </c>
    </row>
    <row r="174" spans="1:14" ht="25.5">
      <c r="A174" s="887" t="s">
        <v>75</v>
      </c>
      <c r="B174" s="888"/>
      <c r="C174" s="333"/>
      <c r="D174" s="228" t="s">
        <v>142</v>
      </c>
      <c r="E174" s="95">
        <f>'1'!F174</f>
        <v>41217</v>
      </c>
      <c r="F174" s="157">
        <v>41230</v>
      </c>
      <c r="G174" s="155">
        <f t="shared" ref="G174:G175" si="14">F174-E174</f>
        <v>13</v>
      </c>
      <c r="H174" s="99">
        <f>G174+'1'!H174</f>
        <v>26</v>
      </c>
      <c r="I174" s="155"/>
      <c r="J174" s="178">
        <f>H174/DAY(B2)</f>
        <v>13</v>
      </c>
    </row>
    <row r="175" spans="1:14" ht="25.5">
      <c r="A175" s="887" t="s">
        <v>76</v>
      </c>
      <c r="B175" s="927"/>
      <c r="C175" s="888"/>
      <c r="D175" s="228" t="s">
        <v>142</v>
      </c>
      <c r="E175" s="95">
        <f>'1'!F175</f>
        <v>24042</v>
      </c>
      <c r="F175" s="155">
        <v>24054</v>
      </c>
      <c r="G175" s="155">
        <f t="shared" si="14"/>
        <v>12</v>
      </c>
      <c r="H175" s="99">
        <f>G175+'1'!H175</f>
        <v>23</v>
      </c>
      <c r="I175" s="155"/>
      <c r="J175" s="178">
        <f>H175/DAY(B2)</f>
        <v>11.5</v>
      </c>
      <c r="N175" s="470"/>
    </row>
    <row r="176" spans="1:14" ht="25.5">
      <c r="A176" s="876" t="s">
        <v>196</v>
      </c>
      <c r="B176" s="877"/>
      <c r="C176" s="401"/>
      <c r="D176" s="228"/>
      <c r="E176" s="95"/>
      <c r="F176" s="155"/>
      <c r="G176" s="155">
        <f>SUM(G173:G175)</f>
        <v>30</v>
      </c>
      <c r="H176" s="99">
        <f>G176+'1'!H176</f>
        <v>54</v>
      </c>
      <c r="I176" s="155"/>
      <c r="J176" s="178">
        <f>H176/DAY(B2)</f>
        <v>27</v>
      </c>
    </row>
    <row r="177" spans="1:10" ht="25.5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87" t="s">
        <v>210</v>
      </c>
      <c r="B178" s="888"/>
      <c r="C178" s="333"/>
      <c r="D178" s="228" t="s">
        <v>142</v>
      </c>
      <c r="E178" s="95">
        <f>'1'!F178</f>
        <v>97822</v>
      </c>
      <c r="F178" s="157">
        <v>97907</v>
      </c>
      <c r="G178" s="155">
        <f>F178-E178</f>
        <v>85</v>
      </c>
      <c r="H178" s="99">
        <f>G178+'1'!H178</f>
        <v>194</v>
      </c>
      <c r="I178" s="155"/>
      <c r="J178" s="178">
        <f>H178/DAY(B2)</f>
        <v>97</v>
      </c>
    </row>
    <row r="179" spans="1:10" ht="25.5">
      <c r="A179" s="887" t="s">
        <v>211</v>
      </c>
      <c r="B179" s="888"/>
      <c r="C179" s="333"/>
      <c r="D179" s="228" t="s">
        <v>142</v>
      </c>
      <c r="E179" s="95">
        <f>'1'!F179</f>
        <v>36002</v>
      </c>
      <c r="F179" s="155">
        <v>36002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'1'!F180</f>
        <v>7176</v>
      </c>
      <c r="F180" s="155">
        <v>7176</v>
      </c>
      <c r="G180" s="155">
        <f t="shared" si="15"/>
        <v>0</v>
      </c>
      <c r="H180" s="99">
        <f>G180+'1'!H180</f>
        <v>7</v>
      </c>
      <c r="I180" s="155"/>
      <c r="J180" s="178">
        <f>H180/DAY(B2)</f>
        <v>3.5</v>
      </c>
    </row>
    <row r="181" spans="1:10" ht="25.5">
      <c r="A181" s="889" t="s">
        <v>108</v>
      </c>
      <c r="B181" s="890"/>
      <c r="C181" s="401"/>
      <c r="D181" s="228"/>
      <c r="E181" s="95"/>
      <c r="F181" s="155"/>
      <c r="G181" s="155">
        <f>SUM(G178:G180)</f>
        <v>85</v>
      </c>
      <c r="H181" s="99">
        <f>G181+'1'!H181</f>
        <v>201</v>
      </c>
      <c r="I181" s="155"/>
      <c r="J181" s="178">
        <f>H181/DAY(B2)</f>
        <v>100.5</v>
      </c>
    </row>
    <row r="182" spans="1:10" ht="31.5" customHeight="1">
      <c r="A182" s="887" t="s">
        <v>213</v>
      </c>
      <c r="B182" s="888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87" t="s">
        <v>214</v>
      </c>
      <c r="B183" s="888"/>
      <c r="C183" s="334"/>
      <c r="D183" s="228" t="s">
        <v>142</v>
      </c>
      <c r="E183" s="95">
        <f>'1'!F183</f>
        <v>17485</v>
      </c>
      <c r="F183" s="157">
        <v>17489</v>
      </c>
      <c r="G183" s="157">
        <f>F183-E183</f>
        <v>4</v>
      </c>
      <c r="H183" s="99">
        <f>G183+'1'!H183</f>
        <v>16</v>
      </c>
      <c r="I183" s="155"/>
      <c r="J183" s="178">
        <f>H183/DAY(B2)</f>
        <v>8</v>
      </c>
    </row>
    <row r="184" spans="1:10" ht="27.75" customHeight="1">
      <c r="A184" s="887" t="s">
        <v>215</v>
      </c>
      <c r="B184" s="888"/>
      <c r="C184" s="334"/>
      <c r="D184" s="228" t="s">
        <v>142</v>
      </c>
      <c r="E184" s="95">
        <f>'1'!F184</f>
        <v>11940</v>
      </c>
      <c r="F184" s="157">
        <v>11949</v>
      </c>
      <c r="G184" s="157">
        <f t="shared" ref="G184:G185" si="16">F184-E184</f>
        <v>9</v>
      </c>
      <c r="H184" s="99">
        <f>G184+'1'!H184</f>
        <v>14</v>
      </c>
      <c r="I184" s="155"/>
      <c r="J184" s="178">
        <f>H184/DAY(B2)</f>
        <v>7</v>
      </c>
    </row>
    <row r="185" spans="1:10" ht="24.75" customHeight="1">
      <c r="A185" s="887" t="s">
        <v>216</v>
      </c>
      <c r="B185" s="888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876" t="s">
        <v>196</v>
      </c>
      <c r="B186" s="877"/>
      <c r="C186" s="400"/>
      <c r="D186" s="229"/>
      <c r="E186" s="95"/>
      <c r="F186" s="157"/>
      <c r="G186" s="157">
        <f>SUM(G183:G185)</f>
        <v>13</v>
      </c>
      <c r="H186" s="99">
        <f>G186+'1'!H186</f>
        <v>30</v>
      </c>
      <c r="I186" s="157"/>
      <c r="J186" s="178">
        <f>H186/DAY(B2)</f>
        <v>15</v>
      </c>
    </row>
    <row r="187" spans="1:10" ht="28.5" customHeight="1">
      <c r="A187" s="878" t="s">
        <v>217</v>
      </c>
      <c r="B187" s="879"/>
      <c r="C187" s="333"/>
      <c r="D187" s="230" t="s">
        <v>142</v>
      </c>
      <c r="E187" s="95"/>
      <c r="F187" s="159"/>
      <c r="G187" s="378">
        <f>G62+G19</f>
        <v>148</v>
      </c>
      <c r="H187" s="99">
        <f>G187+'1'!H187</f>
        <v>297</v>
      </c>
      <c r="I187" s="158"/>
      <c r="J187" s="179">
        <f>H187/DAY(B2)</f>
        <v>148.5</v>
      </c>
    </row>
    <row r="188" spans="1:10" ht="24" customHeight="1">
      <c r="A188" s="878" t="s">
        <v>218</v>
      </c>
      <c r="B188" s="879"/>
      <c r="C188" s="333"/>
      <c r="D188" s="230" t="s">
        <v>142</v>
      </c>
      <c r="E188" s="95"/>
      <c r="F188" s="159"/>
      <c r="G188" s="378">
        <f>G65+G66+G67+G69+G70</f>
        <v>134</v>
      </c>
      <c r="H188" s="99">
        <f>G188+'1'!H188</f>
        <v>267</v>
      </c>
      <c r="I188" s="158"/>
      <c r="J188" s="179">
        <f>H188/DAY(B2)</f>
        <v>133.5</v>
      </c>
    </row>
    <row r="189" spans="1:10" ht="24.75" customHeight="1">
      <c r="A189" s="878" t="s">
        <v>219</v>
      </c>
      <c r="B189" s="879"/>
      <c r="C189" s="333"/>
      <c r="D189" s="230" t="s">
        <v>142</v>
      </c>
      <c r="E189" s="95"/>
      <c r="F189" s="157"/>
      <c r="G189" s="377">
        <f>G181</f>
        <v>85</v>
      </c>
      <c r="H189" s="99">
        <f>G189+'1'!H189</f>
        <v>201</v>
      </c>
      <c r="I189" s="158"/>
      <c r="J189" s="179">
        <f>H189/DAY(B2)</f>
        <v>100.5</v>
      </c>
    </row>
    <row r="190" spans="1:10" ht="25.5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57" zoomScale="55" zoomScaleSheetLayoutView="55" workbookViewId="0">
      <selection activeCell="F178" sqref="F1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6" s="57" customFormat="1" ht="23.25">
      <c r="A2" s="191" t="s">
        <v>349</v>
      </c>
      <c r="B2" s="375">
        <v>44776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29</v>
      </c>
      <c r="E3" s="942" t="s">
        <v>119</v>
      </c>
      <c r="F3" s="943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388084</v>
      </c>
      <c r="F7" s="95">
        <v>415712.19</v>
      </c>
      <c r="G7" s="112">
        <f>F7-E7</f>
        <v>27628.190000000002</v>
      </c>
      <c r="H7" s="99">
        <f>G7+'2'!H7</f>
        <v>78582.19</v>
      </c>
      <c r="I7" s="113">
        <f>'1'!I7</f>
        <v>12000</v>
      </c>
      <c r="J7" s="175">
        <f>H7/DAY(B2)</f>
        <v>26194.063333333335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540215</v>
      </c>
      <c r="F8" s="114">
        <v>568270</v>
      </c>
      <c r="G8" s="115">
        <f>F8-E8</f>
        <v>28055</v>
      </c>
      <c r="H8" s="99">
        <f>G8+'2'!H8</f>
        <v>79683</v>
      </c>
      <c r="I8" s="116"/>
      <c r="J8" s="175">
        <f>H8/DAY(B2)</f>
        <v>26561</v>
      </c>
      <c r="K8" s="172">
        <v>1715917</v>
      </c>
      <c r="L8" s="76">
        <v>1728480</v>
      </c>
      <c r="M8" s="87">
        <f>L8-K8</f>
        <v>12563</v>
      </c>
      <c r="N8" s="87">
        <f>G8-G7</f>
        <v>426.80999999999767</v>
      </c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3292068.7</v>
      </c>
      <c r="F9" s="117">
        <v>3299187.9</v>
      </c>
      <c r="G9" s="112">
        <f>F9-E9</f>
        <v>7119.1999999997206</v>
      </c>
      <c r="H9" s="99">
        <f>G9+'2'!H9</f>
        <v>20121.899999999907</v>
      </c>
      <c r="I9" s="124">
        <f>I7-J7</f>
        <v>-14194.063333333335</v>
      </c>
      <c r="J9" s="175">
        <f>H9/DAY(B2)</f>
        <v>6707.2999999999693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1703766.5</v>
      </c>
      <c r="F10" s="117">
        <v>1723543.5</v>
      </c>
      <c r="G10" s="112">
        <f t="shared" ref="G10:G12" si="0">F10-E10</f>
        <v>19777</v>
      </c>
      <c r="H10" s="99">
        <f>G10+'2'!H10</f>
        <v>56385.5</v>
      </c>
      <c r="I10" s="282"/>
      <c r="J10" s="175">
        <f>H10/DAY(B2)</f>
        <v>18795.166666666668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26896.199999999721</v>
      </c>
      <c r="H13" s="99">
        <f>G13+'2'!H13</f>
        <v>77841.999999999767</v>
      </c>
      <c r="I13" s="120">
        <f>G7-G13</f>
        <v>731.99000000028173</v>
      </c>
      <c r="J13" s="175">
        <f>H13/DAY(B2)</f>
        <v>25947.333333333256</v>
      </c>
      <c r="K13" s="79"/>
      <c r="L13" s="66"/>
      <c r="N13" s="87"/>
      <c r="O13" s="71"/>
    </row>
    <row r="14" spans="1:16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2102932.2999999998</v>
      </c>
      <c r="F15" s="410">
        <v>2103911.5</v>
      </c>
      <c r="G15" s="112">
        <f>(F15-E15)</f>
        <v>979.20000000018626</v>
      </c>
      <c r="H15" s="99">
        <f>G15+'2'!H15</f>
        <v>3043.5</v>
      </c>
      <c r="I15" s="113">
        <f>'1'!I15</f>
        <v>800</v>
      </c>
      <c r="J15" s="175">
        <f>H15/DAY(B2)</f>
        <v>1014.5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-214.5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'2'!F18</f>
        <v>18</v>
      </c>
      <c r="F18" s="122">
        <v>10</v>
      </c>
      <c r="G18" s="119">
        <f>F18*10</f>
        <v>100</v>
      </c>
      <c r="H18" s="99">
        <f>G18+'2'!H18</f>
        <v>410</v>
      </c>
      <c r="I18" s="113">
        <f>'1'!I18</f>
        <v>65</v>
      </c>
      <c r="J18" s="175">
        <f>H18/DAY(B2)</f>
        <v>136.66666666666666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'2'!F19</f>
        <v>162438</v>
      </c>
      <c r="F19" s="122">
        <v>162493</v>
      </c>
      <c r="G19" s="112">
        <f t="shared" ref="G19" si="1">F19-E19</f>
        <v>55</v>
      </c>
      <c r="H19" s="99">
        <f>G19+'2'!H19</f>
        <v>158</v>
      </c>
      <c r="I19" s="335"/>
      <c r="J19" s="175">
        <f>H19/DAY(B2)</f>
        <v>52.666666666666664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G20+'2'!H20</f>
        <v>568</v>
      </c>
      <c r="I20" s="336">
        <f>I18-J20</f>
        <v>-124.33333333333334</v>
      </c>
      <c r="J20" s="175">
        <f>H20/DAY(B2)</f>
        <v>189.33333333333334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28055</v>
      </c>
      <c r="F27" s="136">
        <v>9</v>
      </c>
      <c r="G27" s="137">
        <f>E27*F27</f>
        <v>252495</v>
      </c>
      <c r="H27" s="99">
        <f>G27+'2'!H27</f>
        <v>717147</v>
      </c>
      <c r="I27" s="138"/>
      <c r="J27" s="175">
        <f>H27/DAY(B2)</f>
        <v>239049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979.20000000018626</v>
      </c>
      <c r="F28" s="136">
        <v>70</v>
      </c>
      <c r="G28" s="137">
        <f>E28*F28</f>
        <v>68544.000000013039</v>
      </c>
      <c r="H28" s="99">
        <f>G28+'2'!H28</f>
        <v>213045</v>
      </c>
      <c r="I28" s="140"/>
      <c r="J28" s="175">
        <f>H28/DAY(B2)</f>
        <v>71015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G30+'2'!H30</f>
        <v>23858</v>
      </c>
      <c r="I30" s="140"/>
      <c r="J30" s="175">
        <f>H30/DAY(B2)</f>
        <v>7952.666666666667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G31+'2'!H31</f>
        <v>32800</v>
      </c>
      <c r="I31" s="140"/>
      <c r="J31" s="175">
        <f>H31/DAY(B2)</f>
        <v>10933.333333333334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337344.00000001304</v>
      </c>
      <c r="H32" s="99">
        <f>G32+'2'!H32</f>
        <v>986850</v>
      </c>
      <c r="I32" s="144"/>
      <c r="J32" s="175">
        <f>H32/DAY(B2)</f>
        <v>328950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238713.05</v>
      </c>
      <c r="F35" s="145">
        <v>238713.05</v>
      </c>
      <c r="G35" s="112">
        <f t="shared" ref="G35:G46" si="3">F35-E35</f>
        <v>0</v>
      </c>
      <c r="H35" s="99">
        <f>G35+'2'!H35</f>
        <v>4.9999999988358468E-2</v>
      </c>
      <c r="I35" s="95"/>
      <c r="J35" s="175">
        <f>H35/DAY(B2)</f>
        <v>1.6666666662786156E-2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216925.85</v>
      </c>
      <c r="F36" s="145">
        <v>218099.97</v>
      </c>
      <c r="G36" s="112">
        <f t="shared" si="3"/>
        <v>1174.1199999999953</v>
      </c>
      <c r="H36" s="99">
        <f>G36+'2'!H36</f>
        <v>2569.9700000000012</v>
      </c>
      <c r="I36" s="95"/>
      <c r="J36" s="175">
        <f>H36/DAY(B2)</f>
        <v>856.65666666666709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322998.69</v>
      </c>
      <c r="F37" s="145">
        <v>322998.69</v>
      </c>
      <c r="G37" s="112">
        <f t="shared" si="3"/>
        <v>0</v>
      </c>
      <c r="H37" s="99">
        <f>G37+'2'!H37</f>
        <v>-0.30999999999767169</v>
      </c>
      <c r="I37" s="95"/>
      <c r="J37" s="175">
        <f>H37/DAY(B2)</f>
        <v>-0.10333333333255723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461842.35</v>
      </c>
      <c r="F38" s="108">
        <v>464089.47</v>
      </c>
      <c r="G38" s="112">
        <f t="shared" si="3"/>
        <v>2247.1199999999953</v>
      </c>
      <c r="H38" s="99">
        <f>G38+'2'!H38</f>
        <v>6728.4699999999721</v>
      </c>
      <c r="I38" s="95"/>
      <c r="J38" s="175">
        <f>H38/DAY(B2)</f>
        <v>2242.8233333333242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591584.18999999994</v>
      </c>
      <c r="F39" s="145">
        <v>591584.18999999994</v>
      </c>
      <c r="G39" s="112">
        <f t="shared" si="3"/>
        <v>0</v>
      </c>
      <c r="H39" s="99">
        <f>G39+'2'!H39</f>
        <v>0.18999999994412065</v>
      </c>
      <c r="I39" s="95"/>
      <c r="J39" s="175">
        <f>H39/DAY(B2)</f>
        <v>6.3333333314706877E-2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108469.94</v>
      </c>
      <c r="F40" s="145">
        <v>109313.94</v>
      </c>
      <c r="G40" s="112">
        <f t="shared" si="3"/>
        <v>844</v>
      </c>
      <c r="H40" s="99">
        <f>G40+'2'!H40</f>
        <v>2537.9400000000023</v>
      </c>
      <c r="I40" s="95"/>
      <c r="J40" s="175">
        <f>H40/DAY(B2)</f>
        <v>845.98000000000081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219097.35</v>
      </c>
      <c r="F41" s="145">
        <v>219097.35</v>
      </c>
      <c r="G41" s="112">
        <f t="shared" si="3"/>
        <v>0</v>
      </c>
      <c r="H41" s="99">
        <f>G41+'2'!H41</f>
        <v>7394.3500000000058</v>
      </c>
      <c r="I41" s="95"/>
      <c r="J41" s="175">
        <f>H41/DAY(B2)</f>
        <v>2464.7833333333351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748364.07</v>
      </c>
      <c r="F42" s="145">
        <v>752205.83</v>
      </c>
      <c r="G42" s="112">
        <f t="shared" si="3"/>
        <v>3841.7600000000093</v>
      </c>
      <c r="H42" s="99">
        <f>G42+'2'!H42</f>
        <v>3841.8299999999581</v>
      </c>
      <c r="I42" s="95"/>
      <c r="J42" s="175">
        <f>H42/DAY(B2)</f>
        <v>1280.609999999986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407028</v>
      </c>
      <c r="F43" s="145">
        <v>407028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8107</v>
      </c>
      <c r="H47" s="99">
        <f>G47+'2'!H47</f>
        <v>23072.489999999874</v>
      </c>
      <c r="I47" s="95"/>
      <c r="J47" s="175">
        <f>H47/DAY(B2)</f>
        <v>7690.8299999999581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490686</v>
      </c>
      <c r="F49" s="145">
        <v>494760.19</v>
      </c>
      <c r="G49" s="112">
        <f t="shared" ref="G49:G58" si="4">F49-E49</f>
        <v>4074.1900000000023</v>
      </c>
      <c r="H49" s="99">
        <f>G49+'2'!H49</f>
        <v>12706.190000000002</v>
      </c>
      <c r="I49" s="95"/>
      <c r="J49" s="175">
        <f>H49/DAY(B2)</f>
        <v>4235.3966666666674</v>
      </c>
      <c r="K49" s="79"/>
      <c r="L49" s="66"/>
      <c r="N49" s="87">
        <f>G35+G49</f>
        <v>4074.1900000000023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284824.23</v>
      </c>
      <c r="F50" s="145">
        <v>286410.77</v>
      </c>
      <c r="G50" s="112">
        <f t="shared" si="4"/>
        <v>1586.5400000000373</v>
      </c>
      <c r="H50" s="99">
        <f>G50+'2'!H50</f>
        <v>3660.7700000000186</v>
      </c>
      <c r="I50" s="95"/>
      <c r="J50" s="175">
        <f>H50/DAY(B2)</f>
        <v>1220.2566666666728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10718.82</v>
      </c>
      <c r="F51" s="145">
        <v>11810.51</v>
      </c>
      <c r="G51" s="112">
        <f t="shared" si="4"/>
        <v>1091.6900000000005</v>
      </c>
      <c r="H51" s="99">
        <f>G51+'2'!H51</f>
        <v>3302.51</v>
      </c>
      <c r="I51" s="95"/>
      <c r="J51" s="175">
        <f>H51/DAY(B2)</f>
        <v>1100.8366666666668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9.76</v>
      </c>
      <c r="G52" s="112">
        <f t="shared" si="4"/>
        <v>0</v>
      </c>
      <c r="H52" s="99">
        <f>G52+'2'!H52</f>
        <v>-0.24000000000000021</v>
      </c>
      <c r="I52" s="95"/>
      <c r="J52" s="175">
        <f>H52/DAY(B2)</f>
        <v>-8.0000000000000071E-2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42633.3</v>
      </c>
      <c r="F53" s="145">
        <v>46917.26</v>
      </c>
      <c r="G53" s="112">
        <f t="shared" si="4"/>
        <v>4283.9599999999991</v>
      </c>
      <c r="H53" s="99">
        <f>G53+'2'!H53</f>
        <v>13056.260000000002</v>
      </c>
      <c r="I53" s="95"/>
      <c r="J53" s="175">
        <f>H53/DAY(B2)</f>
        <v>4352.086666666667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88630.07</v>
      </c>
      <c r="F54" s="145">
        <v>88971.37</v>
      </c>
      <c r="G54" s="112">
        <f t="shared" si="4"/>
        <v>341.29999999998836</v>
      </c>
      <c r="H54" s="99">
        <f>G54+'2'!H54</f>
        <v>1028.3699999999953</v>
      </c>
      <c r="I54" s="95"/>
      <c r="J54" s="175">
        <f>H54/DAY(B2)</f>
        <v>342.78999999999843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368408.91</v>
      </c>
      <c r="F55" s="145">
        <v>371926.56</v>
      </c>
      <c r="G55" s="112">
        <f t="shared" si="4"/>
        <v>3517.6500000000233</v>
      </c>
      <c r="H55" s="99">
        <f>G55+'2'!H55</f>
        <v>9149.5599999999977</v>
      </c>
      <c r="I55" s="95"/>
      <c r="J55" s="175">
        <f>H55/DAY(B2)</f>
        <v>3049.8533333333326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123882.39</v>
      </c>
      <c r="F56" s="145">
        <v>123882.39</v>
      </c>
      <c r="G56" s="112">
        <f t="shared" si="4"/>
        <v>0</v>
      </c>
      <c r="H56" s="99">
        <f>G56+'2'!H56</f>
        <v>0.38999999999941792</v>
      </c>
      <c r="I56" s="95"/>
      <c r="J56" s="175">
        <f>H56/DAY(B2)</f>
        <v>0.12999999999980597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232238.07</v>
      </c>
      <c r="F57" s="145">
        <v>235413.19</v>
      </c>
      <c r="G57" s="112">
        <f t="shared" si="4"/>
        <v>3175.1199999999953</v>
      </c>
      <c r="H57" s="99">
        <f>G57+'2'!H57</f>
        <v>9243.1900000000023</v>
      </c>
      <c r="I57" s="95"/>
      <c r="J57" s="175">
        <f>H57/DAY(B2)</f>
        <v>3081.063333333334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49637.94</v>
      </c>
      <c r="F58" s="145">
        <v>49871.4</v>
      </c>
      <c r="G58" s="112">
        <f t="shared" si="4"/>
        <v>233.45999999999913</v>
      </c>
      <c r="H58" s="99">
        <f>G58+'2'!H58</f>
        <v>762.40000000000146</v>
      </c>
      <c r="I58" s="95"/>
      <c r="J58" s="175">
        <f>H58/DAY(B2)</f>
        <v>254.13333333333381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18303.910000000047</v>
      </c>
      <c r="H59" s="99">
        <f>G59+'2'!H59</f>
        <v>52909.400000000023</v>
      </c>
      <c r="I59" s="95">
        <f>G7-G60</f>
        <v>1217.2799999999552</v>
      </c>
      <c r="J59" s="175">
        <f>H59/DAY(B2)</f>
        <v>17636.466666666674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26410.910000000047</v>
      </c>
      <c r="H60" s="99">
        <f>G60+'2'!H60</f>
        <v>75981.889999999898</v>
      </c>
      <c r="I60" s="95">
        <f>G13-G60</f>
        <v>485.28999999967346</v>
      </c>
      <c r="J60" s="175">
        <f>H60/DAY(B2)</f>
        <v>25327.296666666633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'2'!F62</f>
        <v>296469</v>
      </c>
      <c r="F62" s="164">
        <v>296570</v>
      </c>
      <c r="G62" s="112">
        <f t="shared" ref="G62:G63" si="5">F62-E62</f>
        <v>101</v>
      </c>
      <c r="H62" s="99">
        <f>G62+'2'!H62</f>
        <v>295</v>
      </c>
      <c r="I62" s="118"/>
      <c r="J62" s="175">
        <f>H62/DAY(B2)</f>
        <v>98.333333333333329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'2'!F63</f>
        <v>239457</v>
      </c>
      <c r="F63" s="122">
        <v>239573</v>
      </c>
      <c r="G63" s="112">
        <f t="shared" si="5"/>
        <v>116</v>
      </c>
      <c r="H63" s="99">
        <f>G63+'2'!H63</f>
        <v>440</v>
      </c>
      <c r="I63" s="118"/>
      <c r="J63" s="175">
        <f>H63/DAY(B2)</f>
        <v>146.66666666666666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'2'!F64</f>
        <v>0</v>
      </c>
      <c r="F64" s="122"/>
      <c r="G64" s="112">
        <f>G62+G63</f>
        <v>217</v>
      </c>
      <c r="H64" s="99">
        <f>G64+'2'!H64</f>
        <v>735</v>
      </c>
      <c r="I64" s="118"/>
      <c r="J64" s="175">
        <f>H64/DAY(B2)</f>
        <v>245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'2'!F65</f>
        <v>454905</v>
      </c>
      <c r="F65" s="122">
        <v>455009</v>
      </c>
      <c r="G65" s="112">
        <f t="shared" ref="G65:G70" si="6">F65-E65</f>
        <v>104</v>
      </c>
      <c r="H65" s="99">
        <f>G65+'2'!H65</f>
        <v>299</v>
      </c>
      <c r="I65" s="118"/>
      <c r="J65" s="175">
        <f>H65/DAY(B2)</f>
        <v>99.666666666666671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111764</v>
      </c>
      <c r="F66" s="122">
        <v>111784</v>
      </c>
      <c r="G66" s="112">
        <f t="shared" si="6"/>
        <v>20</v>
      </c>
      <c r="H66" s="99">
        <f>G66+'2'!H66</f>
        <v>62</v>
      </c>
      <c r="I66" s="118"/>
      <c r="J66" s="175">
        <f>H66/DAY(B2)</f>
        <v>20.666666666666668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113680</v>
      </c>
      <c r="F67" s="150">
        <v>113680</v>
      </c>
      <c r="G67" s="112">
        <f t="shared" si="6"/>
        <v>0</v>
      </c>
      <c r="H67" s="99">
        <f>G67+'2'!H67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164714</v>
      </c>
      <c r="F68" s="122">
        <v>164731</v>
      </c>
      <c r="G68" s="112">
        <f t="shared" si="6"/>
        <v>17</v>
      </c>
      <c r="H68" s="99">
        <f>G68+'2'!H68</f>
        <v>69</v>
      </c>
      <c r="I68" s="118"/>
      <c r="J68" s="175">
        <f>H68/DAY(B2)</f>
        <v>23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12288</v>
      </c>
      <c r="F69" s="122">
        <v>12291</v>
      </c>
      <c r="G69" s="112">
        <f t="shared" si="6"/>
        <v>3</v>
      </c>
      <c r="H69" s="99">
        <f>G69+'2'!H69</f>
        <v>16</v>
      </c>
      <c r="I69" s="118"/>
      <c r="J69" s="175">
        <f>H69/DAY(B2)</f>
        <v>5.333333333333333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9844</v>
      </c>
      <c r="F70" s="150">
        <v>9850</v>
      </c>
      <c r="G70" s="112">
        <f t="shared" si="6"/>
        <v>6</v>
      </c>
      <c r="H70" s="99">
        <f>G70+'2'!H70</f>
        <v>23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150</v>
      </c>
      <c r="H71" s="99">
        <f>G71+'2'!H71</f>
        <v>469</v>
      </c>
      <c r="I71" s="154"/>
      <c r="J71" s="175">
        <f>H71/DAY(B2)</f>
        <v>156.33333333333334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'2'!F74</f>
        <v>958252.23</v>
      </c>
      <c r="F74" s="117">
        <v>958533.51</v>
      </c>
      <c r="G74" s="112">
        <f t="shared" ref="G74:G78" si="7">F74-E74</f>
        <v>281.28000000002794</v>
      </c>
      <c r="H74" s="99">
        <f>G74+'2'!H74</f>
        <v>875.65000000002328</v>
      </c>
      <c r="I74" s="154"/>
      <c r="J74" s="175">
        <f>H74/DAY(B2)</f>
        <v>291.88333333334111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'2'!F75</f>
        <v>73586.8</v>
      </c>
      <c r="F75" s="123">
        <v>73586</v>
      </c>
      <c r="G75" s="112">
        <f t="shared" si="7"/>
        <v>-0.80000000000291038</v>
      </c>
      <c r="H75" s="99">
        <f>G75+'2'!H75</f>
        <v>-0.80000000000291038</v>
      </c>
      <c r="I75" s="154"/>
      <c r="J75" s="175">
        <f>H75/DAY(B2)</f>
        <v>-0.26666666666763678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'2'!F76</f>
        <v>190401</v>
      </c>
      <c r="F76" s="123">
        <v>190509</v>
      </c>
      <c r="G76" s="112">
        <f t="shared" si="7"/>
        <v>108</v>
      </c>
      <c r="H76" s="99">
        <f>G76+'2'!H76</f>
        <v>337</v>
      </c>
      <c r="I76" s="154"/>
      <c r="J76" s="175">
        <f>H76/DAY(B2)</f>
        <v>112.33333333333333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'2'!F77</f>
        <v>50406.8</v>
      </c>
      <c r="F77" s="123">
        <v>50455</v>
      </c>
      <c r="G77" s="112">
        <f t="shared" si="7"/>
        <v>48.19999999999709</v>
      </c>
      <c r="H77" s="99">
        <f>G77+'2'!H77</f>
        <v>142</v>
      </c>
      <c r="I77" s="154"/>
      <c r="J77" s="175">
        <f>H77/DAY(B2)</f>
        <v>47.333333333333336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'2'!F78</f>
        <v>9563</v>
      </c>
      <c r="F78" s="123">
        <v>9563</v>
      </c>
      <c r="G78" s="112">
        <f t="shared" si="7"/>
        <v>0</v>
      </c>
      <c r="H78" s="99">
        <f>G78+'2'!H78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'2'!F79</f>
        <v>0</v>
      </c>
      <c r="F79" s="117"/>
      <c r="G79" s="112">
        <f>G15-SUM(G74:G78)</f>
        <v>542.52000000016415</v>
      </c>
      <c r="H79" s="99">
        <f>G79+'2'!H79</f>
        <v>1689.6499999999796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979.20000000018626</v>
      </c>
      <c r="H80" s="99">
        <f>G80+'2'!H80</f>
        <v>1979.8999999999069</v>
      </c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42623.12</v>
      </c>
      <c r="F84" s="164">
        <v>42623.12</v>
      </c>
      <c r="G84" s="112">
        <f t="shared" si="8"/>
        <v>0</v>
      </c>
      <c r="H84" s="99">
        <f>G84+'2'!H84</f>
        <v>34.120000000002619</v>
      </c>
      <c r="I84" s="571"/>
      <c r="J84" s="175">
        <f>H84/DAY(B2)</f>
        <v>11.373333333334207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5140.1899999999996</v>
      </c>
      <c r="F85" s="164">
        <v>5156.4799999999996</v>
      </c>
      <c r="G85" s="112">
        <f t="shared" si="8"/>
        <v>16.289999999999964</v>
      </c>
      <c r="H85" s="99">
        <f>G85+'2'!H85</f>
        <v>16.289999999999964</v>
      </c>
      <c r="I85" s="571"/>
      <c r="J85" s="175">
        <f>H85/DAY(B2)</f>
        <v>5.4299999999999882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45418</v>
      </c>
      <c r="F86" s="164">
        <v>45442.239999999998</v>
      </c>
      <c r="G86" s="112">
        <f t="shared" si="8"/>
        <v>24.239999999997963</v>
      </c>
      <c r="H86" s="99">
        <f>G86+'2'!H86</f>
        <v>63.239999999997963</v>
      </c>
      <c r="I86" s="571"/>
      <c r="J86" s="175">
        <f>H86/DAY(B2)</f>
        <v>21.07999999999932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35457.43</v>
      </c>
      <c r="F87" s="164">
        <v>35457.43</v>
      </c>
      <c r="G87" s="112">
        <f t="shared" si="8"/>
        <v>0</v>
      </c>
      <c r="H87" s="99">
        <f>G87+'2'!H87</f>
        <v>0</v>
      </c>
      <c r="I87" s="571">
        <f>G84+G85+G86+G87</f>
        <v>40.529999999997926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24303.46</v>
      </c>
      <c r="F88" s="164">
        <v>24303.46</v>
      </c>
      <c r="G88" s="112">
        <f t="shared" si="8"/>
        <v>0</v>
      </c>
      <c r="H88" s="99">
        <f>G88+'2'!H88</f>
        <v>0</v>
      </c>
      <c r="I88" s="571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27585.59</v>
      </c>
      <c r="F89" s="164">
        <v>27594.14</v>
      </c>
      <c r="G89" s="112">
        <f t="shared" si="8"/>
        <v>8.5499999999992724</v>
      </c>
      <c r="H89" s="99">
        <f>G89+'2'!H89</f>
        <v>27.529999999998836</v>
      </c>
      <c r="I89" s="571">
        <f>G88+G89</f>
        <v>8.5499999999992724</v>
      </c>
      <c r="J89" s="175">
        <f>H89/DAY(B2)</f>
        <v>9.1766666666662786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72628.39</v>
      </c>
      <c r="F90" s="164">
        <v>72639.12</v>
      </c>
      <c r="G90" s="112">
        <f t="shared" si="8"/>
        <v>10.729999999995925</v>
      </c>
      <c r="H90" s="99">
        <f>G90+'2'!H90</f>
        <v>32.569999999992433</v>
      </c>
      <c r="I90" s="571">
        <f>G90</f>
        <v>10.729999999995925</v>
      </c>
      <c r="J90" s="175">
        <f>H90/DAY(B2)</f>
        <v>10.856666666664145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4289.54</v>
      </c>
      <c r="F91" s="164">
        <v>4289.5600000000004</v>
      </c>
      <c r="G91" s="112">
        <f t="shared" si="8"/>
        <v>2.0000000000436557E-2</v>
      </c>
      <c r="H91" s="99">
        <f>G91+'2'!H91</f>
        <v>2.0000000000436557E-2</v>
      </c>
      <c r="I91" s="590"/>
      <c r="J91" s="175">
        <f>H91/DAY(B2)</f>
        <v>6.6666666668121861E-3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6738.48</v>
      </c>
      <c r="F92" s="122">
        <v>6748.56</v>
      </c>
      <c r="G92" s="112">
        <f t="shared" si="8"/>
        <v>10.080000000000837</v>
      </c>
      <c r="H92" s="99">
        <f>G92+'2'!H92</f>
        <v>31.230000000000473</v>
      </c>
      <c r="I92" s="596">
        <f>G91+G92</f>
        <v>10.100000000001273</v>
      </c>
      <c r="J92" s="175">
        <f>H92/DAY(B2)</f>
        <v>10.410000000000158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7249.3099999999977</v>
      </c>
      <c r="H94" s="99">
        <f>G94+'2'!H94</f>
        <v>21949.429999999993</v>
      </c>
      <c r="I94" s="118"/>
      <c r="J94" s="175">
        <f>H94/DAY(B2)</f>
        <v>7316.4766666666646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0.26238816223574535</v>
      </c>
      <c r="H95" s="99">
        <f>G95+'2'!H95</f>
        <v>0.83938589040138178</v>
      </c>
      <c r="I95" s="167"/>
      <c r="J95" s="175">
        <f>H95/DAY(B2)</f>
        <v>0.27979529680046061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7359.4100000000326</v>
      </c>
      <c r="H96" s="99">
        <f>G96+'2'!H96</f>
        <v>20386.129999999961</v>
      </c>
      <c r="I96" s="118"/>
      <c r="J96" s="175">
        <f>H96/DAY(B2)</f>
        <v>6795.3766666666534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0.2663732224224617</v>
      </c>
      <c r="H97" s="99">
        <f>G97+'2'!H97</f>
        <v>0.77773795774913279</v>
      </c>
      <c r="I97" s="167"/>
      <c r="J97" s="175">
        <f>H97/DAY(B2)</f>
        <v>0.2592459859163776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4283.9599999999991</v>
      </c>
      <c r="H98" s="99">
        <f>G98+'2'!H98</f>
        <v>13056.449999999946</v>
      </c>
      <c r="I98" s="168"/>
      <c r="J98" s="175">
        <f>H98/DAY(B2)</f>
        <v>4352.1499999999824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0.15505756982270641</v>
      </c>
      <c r="H99" s="99">
        <f>G99+'2'!H99</f>
        <v>0.49938359848059344</v>
      </c>
      <c r="I99" s="168"/>
      <c r="J99" s="175">
        <f>H99/DAY(B2)</f>
        <v>0.16646119949353114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2247.1199999999953</v>
      </c>
      <c r="H100" s="99">
        <f>G100+'2'!H100</f>
        <v>6728.2299999999723</v>
      </c>
      <c r="I100" s="118"/>
      <c r="J100" s="175">
        <f>H100/DAY(B2)</f>
        <v>2242.7433333333242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8.1334318317631202E-2</v>
      </c>
      <c r="H101" s="99">
        <f>G101+'2'!H101</f>
        <v>0.25722560432771435</v>
      </c>
      <c r="I101" s="168"/>
      <c r="J101" s="175">
        <f>H101/DAY(B2)</f>
        <v>8.5741868109238117E-2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2760.6600000000326</v>
      </c>
      <c r="H102" s="99">
        <f>G102+'2'!H102</f>
        <v>6230.7400000000198</v>
      </c>
      <c r="I102" s="168"/>
      <c r="J102" s="175">
        <f>H102/DAY(B2)</f>
        <v>2076.9133333333398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9.9921855177629526E-2</v>
      </c>
      <c r="H103" s="99">
        <f>G103+'2'!H103</f>
        <v>0.23611496820246897</v>
      </c>
      <c r="I103" s="118"/>
      <c r="J103" s="175">
        <f>H103/DAY(B2)</f>
        <v>7.8704989400822989E-2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1091.6900000000005</v>
      </c>
      <c r="H104" s="99">
        <f>G104+'2'!H104</f>
        <v>3302.2000000000025</v>
      </c>
      <c r="I104" s="118"/>
      <c r="J104" s="175">
        <f>H104/DAY(B2)</f>
        <v>1100.7333333333343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3.9513627204677555E-2</v>
      </c>
      <c r="H105" s="99">
        <f>G105+'2'!H105</f>
        <v>0.12628147107891874</v>
      </c>
      <c r="I105" s="187"/>
      <c r="J105" s="188">
        <f>H105/DAY(B2)</f>
        <v>4.2093823692972911E-2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'2'!F112</f>
        <v>7410.72</v>
      </c>
      <c r="F112" s="237">
        <v>7483.16</v>
      </c>
      <c r="G112" s="112">
        <f t="shared" ref="G112:G123" si="9">F112-E112</f>
        <v>72.4399999999996</v>
      </c>
      <c r="H112" s="99">
        <f>G112+'2'!H112</f>
        <v>218.15999999999985</v>
      </c>
      <c r="I112" s="165"/>
      <c r="J112" s="328">
        <f>H112/DAY(B2)</f>
        <v>72.719999999999956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'2'!F113</f>
        <v>15298</v>
      </c>
      <c r="F113" s="237">
        <v>15434.55</v>
      </c>
      <c r="G113" s="112">
        <f t="shared" si="9"/>
        <v>136.54999999999927</v>
      </c>
      <c r="H113" s="99">
        <f>G113+'2'!H113</f>
        <v>419.54999999999927</v>
      </c>
      <c r="I113" s="165"/>
      <c r="J113" s="328">
        <f>H113/DAY(B2)</f>
        <v>139.84999999999977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'2'!F114</f>
        <v>21754.9</v>
      </c>
      <c r="F114" s="237">
        <v>21918.47</v>
      </c>
      <c r="G114" s="112">
        <f t="shared" si="9"/>
        <v>163.56999999999971</v>
      </c>
      <c r="H114" s="99">
        <f>G114+'2'!H114</f>
        <v>650.47000000000116</v>
      </c>
      <c r="I114" s="165"/>
      <c r="J114" s="328">
        <f>H114/DAY(B2)</f>
        <v>216.82333333333372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'2'!F115</f>
        <v>13732</v>
      </c>
      <c r="F115" s="237">
        <v>13889.91</v>
      </c>
      <c r="G115" s="112">
        <f t="shared" si="9"/>
        <v>157.90999999999985</v>
      </c>
      <c r="H115" s="99">
        <f>G115+'2'!H115</f>
        <v>459.90999999999985</v>
      </c>
      <c r="I115" s="165"/>
      <c r="J115" s="328">
        <f>H115/DAY(B2)</f>
        <v>153.30333333333328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'2'!F116</f>
        <v>71317.58</v>
      </c>
      <c r="F116" s="237">
        <v>71727.600000000006</v>
      </c>
      <c r="G116" s="112">
        <f t="shared" si="9"/>
        <v>410.02000000000407</v>
      </c>
      <c r="H116" s="99">
        <f>G116+'2'!H116</f>
        <v>1235.6000000000058</v>
      </c>
      <c r="I116" s="165"/>
      <c r="J116" s="328">
        <f>H116/DAY(B2)</f>
        <v>411.86666666666861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'2'!F117</f>
        <v>41410.17</v>
      </c>
      <c r="F117" s="237">
        <v>41587.29</v>
      </c>
      <c r="G117" s="112">
        <f t="shared" si="9"/>
        <v>177.12000000000262</v>
      </c>
      <c r="H117" s="99">
        <f>G117+'2'!H117</f>
        <v>665.29000000000087</v>
      </c>
      <c r="I117" s="165"/>
      <c r="J117" s="328">
        <f>H117/DAY(B2)</f>
        <v>221.76333333333363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'2'!F118</f>
        <v>65934.989999999991</v>
      </c>
      <c r="F118" s="237">
        <v>66526.149999999994</v>
      </c>
      <c r="G118" s="112">
        <f t="shared" si="9"/>
        <v>591.16000000000349</v>
      </c>
      <c r="H118" s="99">
        <f>G118+'2'!H118</f>
        <v>1854.1499999999942</v>
      </c>
      <c r="I118" s="165"/>
      <c r="J118" s="328">
        <f>H118/DAY(B2)</f>
        <v>618.04999999999802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'2'!F119</f>
        <v>37905.56</v>
      </c>
      <c r="F119" s="237">
        <v>38133.199999999997</v>
      </c>
      <c r="G119" s="112">
        <f t="shared" si="9"/>
        <v>227.63999999999942</v>
      </c>
      <c r="H119" s="99">
        <f>G119+'2'!H119</f>
        <v>684.19999999999709</v>
      </c>
      <c r="I119" s="165"/>
      <c r="J119" s="328">
        <f>H119/DAY(B2)</f>
        <v>228.0666666666657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'2'!F120</f>
        <v>47075.37</v>
      </c>
      <c r="F120" s="237">
        <v>47487.53</v>
      </c>
      <c r="G120" s="112">
        <f t="shared" si="9"/>
        <v>412.15999999999622</v>
      </c>
      <c r="H120" s="99">
        <f>G120+'2'!H120</f>
        <v>1220.5299999999988</v>
      </c>
      <c r="I120" s="165"/>
      <c r="J120" s="328">
        <f>H120/DAY(B2)</f>
        <v>406.84333333333296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'2'!F121</f>
        <v>54501.62</v>
      </c>
      <c r="F121" s="237">
        <v>54980.33</v>
      </c>
      <c r="G121" s="112">
        <f t="shared" si="9"/>
        <v>478.70999999999913</v>
      </c>
      <c r="H121" s="99">
        <f>G121+'2'!H121</f>
        <v>1437.3300000000017</v>
      </c>
      <c r="I121" s="165"/>
      <c r="J121" s="328">
        <f>H121/DAY(B2)</f>
        <v>479.11000000000058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'2'!F122</f>
        <v>29222.86</v>
      </c>
      <c r="F122" s="237">
        <v>29510.89</v>
      </c>
      <c r="G122" s="112">
        <f t="shared" si="9"/>
        <v>288.02999999999884</v>
      </c>
      <c r="H122" s="99">
        <f>G122+'2'!H122</f>
        <v>836.88999999999942</v>
      </c>
      <c r="I122" s="165"/>
      <c r="J122" s="328">
        <f>H122/DAY(B2)</f>
        <v>278.96333333333314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'2'!F123</f>
        <v>30823.83</v>
      </c>
      <c r="F123" s="417">
        <v>31191</v>
      </c>
      <c r="G123" s="112">
        <f t="shared" si="9"/>
        <v>367.16999999999825</v>
      </c>
      <c r="H123" s="99">
        <f>G123+'2'!H123</f>
        <v>1003</v>
      </c>
      <c r="I123" s="165"/>
      <c r="J123" s="328">
        <f>H123/DAY(B2)</f>
        <v>334.33333333333331</v>
      </c>
    </row>
    <row r="124" spans="1:18" ht="29.2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7"/>
    </row>
    <row r="125" spans="1:18" ht="26.25">
      <c r="A125" s="924" t="s">
        <v>196</v>
      </c>
      <c r="B125" s="925"/>
      <c r="C125" s="926"/>
      <c r="D125" s="307"/>
      <c r="E125" s="308"/>
      <c r="F125" s="308"/>
      <c r="G125" s="309">
        <f>SUM(G112:G124)</f>
        <v>3482.4800000000005</v>
      </c>
      <c r="H125" s="156"/>
      <c r="I125" s="327">
        <f>G125-(G39+G53)</f>
        <v>-801.47999999999865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'2'!F128</f>
        <v>128665.35</v>
      </c>
      <c r="F128" s="165">
        <v>129157.6</v>
      </c>
      <c r="G128" s="112">
        <f t="shared" ref="G128:G134" si="10">F128-E128</f>
        <v>492.25</v>
      </c>
      <c r="H128" s="99">
        <f>G128+'2'!H128</f>
        <v>1513.6000000000058</v>
      </c>
      <c r="I128" s="165"/>
      <c r="J128" s="328">
        <f>H128/DAY(B2)</f>
        <v>504.53333333333529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72878.509999999995</v>
      </c>
      <c r="F129" s="165">
        <v>73081.7</v>
      </c>
      <c r="G129" s="112">
        <f t="shared" si="10"/>
        <v>203.19000000000233</v>
      </c>
      <c r="H129" s="99">
        <f>G129+'2'!H129</f>
        <v>578.69999999999709</v>
      </c>
      <c r="I129" s="165"/>
      <c r="J129" s="328">
        <f>H129/DAY(B2)</f>
        <v>192.89999999999904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166017.32999999999</v>
      </c>
      <c r="F130" s="165">
        <v>166701.47</v>
      </c>
      <c r="G130" s="112">
        <f t="shared" si="10"/>
        <v>684.14000000001397</v>
      </c>
      <c r="H130" s="99">
        <f>G130+'2'!H130</f>
        <v>2104.4700000000012</v>
      </c>
      <c r="I130" s="165"/>
      <c r="J130" s="328">
        <f>H130/DAY(B2)</f>
        <v>701.49000000000035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'2'!F131</f>
        <v>48847.58</v>
      </c>
      <c r="F131" s="165">
        <v>49048.6</v>
      </c>
      <c r="G131" s="112">
        <f t="shared" si="10"/>
        <v>201.0199999999968</v>
      </c>
      <c r="H131" s="99">
        <f>G131+'2'!H131</f>
        <v>599.59999999999854</v>
      </c>
      <c r="I131" s="165"/>
      <c r="J131" s="328">
        <f>H131/DAY(B2)</f>
        <v>199.86666666666619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'2'!F132</f>
        <v>128940.71</v>
      </c>
      <c r="F132" s="158">
        <v>129348.54</v>
      </c>
      <c r="G132" s="112">
        <f t="shared" si="10"/>
        <v>407.82999999998719</v>
      </c>
      <c r="H132" s="99">
        <f>G132+'2'!H132</f>
        <v>1174.5399999999936</v>
      </c>
      <c r="I132" s="165"/>
      <c r="J132" s="328">
        <f>H132/DAY(B2)</f>
        <v>391.51333333333122</v>
      </c>
    </row>
    <row r="133" spans="1:15" ht="25.5">
      <c r="A133" s="894" t="s">
        <v>342</v>
      </c>
      <c r="B133" s="895"/>
      <c r="C133" s="896"/>
      <c r="D133" s="151" t="s">
        <v>183</v>
      </c>
      <c r="E133" s="95">
        <f>'2'!F133</f>
        <v>224035.59</v>
      </c>
      <c r="F133" s="165">
        <v>224035.59</v>
      </c>
      <c r="G133" s="112">
        <f t="shared" si="10"/>
        <v>0</v>
      </c>
      <c r="H133" s="99">
        <f>G133+'2'!H133</f>
        <v>0</v>
      </c>
      <c r="I133" s="165"/>
      <c r="J133" s="328">
        <f>H133/DAY(B2)</f>
        <v>0</v>
      </c>
    </row>
    <row r="134" spans="1:15" ht="25.5">
      <c r="A134" s="956" t="s">
        <v>340</v>
      </c>
      <c r="B134" s="957"/>
      <c r="C134" s="879"/>
      <c r="D134" s="151" t="s">
        <v>183</v>
      </c>
      <c r="E134" s="95">
        <f>'2'!F134</f>
        <v>49440.38</v>
      </c>
      <c r="F134" s="165">
        <v>49643.13</v>
      </c>
      <c r="G134" s="112">
        <f t="shared" si="10"/>
        <v>202.75</v>
      </c>
      <c r="H134" s="99">
        <f>G134+'2'!H134</f>
        <v>608.12999999999738</v>
      </c>
      <c r="I134" s="165"/>
      <c r="J134" s="328">
        <f>H134/DAY(B2)</f>
        <v>202.70999999999913</v>
      </c>
    </row>
    <row r="135" spans="1:15" ht="26.25">
      <c r="A135" s="924" t="s">
        <v>196</v>
      </c>
      <c r="B135" s="925"/>
      <c r="C135" s="926"/>
      <c r="D135" s="151"/>
      <c r="E135" s="95"/>
      <c r="F135" s="165"/>
      <c r="G135" s="112">
        <f>SUM(G128:G134)</f>
        <v>2191.1800000000003</v>
      </c>
      <c r="H135" s="99">
        <f>G135+'2'!H135</f>
        <v>6579.0399999999936</v>
      </c>
      <c r="I135" s="327">
        <f>G135-(G35+G49)</f>
        <v>-1883.010000000002</v>
      </c>
      <c r="J135" s="328">
        <f>H135/DAY(B2)</f>
        <v>2193.013333333331</v>
      </c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'2'!F138</f>
        <v>891407</v>
      </c>
      <c r="F138" s="147">
        <v>891552</v>
      </c>
      <c r="G138" s="112">
        <f t="shared" ref="G138:G152" si="11">F138-E138</f>
        <v>145</v>
      </c>
      <c r="H138" s="99">
        <f>G138+'2'!H138</f>
        <v>454</v>
      </c>
      <c r="I138" s="118"/>
      <c r="J138" s="328">
        <f>H138/DAY(B2)</f>
        <v>151.33333333333334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'2'!F139</f>
        <v>909174</v>
      </c>
      <c r="F139" s="148">
        <v>909358</v>
      </c>
      <c r="G139" s="112">
        <f t="shared" si="11"/>
        <v>184</v>
      </c>
      <c r="H139" s="99">
        <f>G139+'2'!H139</f>
        <v>463</v>
      </c>
      <c r="I139" s="118"/>
      <c r="J139" s="328">
        <f>H139/DAY(B2)</f>
        <v>154.33333333333334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'2'!F140</f>
        <v>1543.2</v>
      </c>
      <c r="F140" s="149">
        <v>1557</v>
      </c>
      <c r="G140" s="112">
        <f t="shared" si="11"/>
        <v>13.799999999999955</v>
      </c>
      <c r="H140" s="99">
        <f>G140+'2'!H140</f>
        <v>44</v>
      </c>
      <c r="I140" s="118"/>
      <c r="J140" s="328">
        <f>H140/DAY(B2)</f>
        <v>14.666666666666666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'2'!F141</f>
        <v>90828.160000000003</v>
      </c>
      <c r="F141" s="149">
        <v>91024.43</v>
      </c>
      <c r="G141" s="112">
        <f t="shared" si="11"/>
        <v>196.26999999998952</v>
      </c>
      <c r="H141" s="99">
        <f>G141+'2'!H141</f>
        <v>572.42999999999302</v>
      </c>
      <c r="I141" s="118"/>
      <c r="J141" s="328">
        <f>H141/DAY(B2)</f>
        <v>190.80999999999767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'2'!F142</f>
        <v>36788.53</v>
      </c>
      <c r="F142" s="148">
        <v>36858.699999999997</v>
      </c>
      <c r="G142" s="112">
        <f t="shared" si="11"/>
        <v>70.169999999998254</v>
      </c>
      <c r="H142" s="99">
        <f>G142+'2'!H142</f>
        <v>197.69999999999709</v>
      </c>
      <c r="I142" s="140"/>
      <c r="J142" s="328">
        <f>H142/DAY(B2)</f>
        <v>65.899999999999025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'2'!F143</f>
        <v>9104.9</v>
      </c>
      <c r="F143" s="149">
        <v>9129.43</v>
      </c>
      <c r="G143" s="112">
        <f t="shared" si="11"/>
        <v>24.530000000000655</v>
      </c>
      <c r="H143" s="99">
        <f>G143+'2'!H143</f>
        <v>78.430000000000291</v>
      </c>
      <c r="I143" s="140"/>
      <c r="J143" s="328">
        <f>H143/DAY(B2)</f>
        <v>26.14333333333343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'2'!F144</f>
        <v>920257</v>
      </c>
      <c r="F144" s="149">
        <v>920470</v>
      </c>
      <c r="G144" s="112">
        <f t="shared" si="11"/>
        <v>213</v>
      </c>
      <c r="H144" s="99">
        <f>G144+'2'!H144</f>
        <v>633</v>
      </c>
      <c r="I144" s="140"/>
      <c r="J144" s="328">
        <f>H144/DAY(B2)</f>
        <v>211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'2'!F145</f>
        <v>5875.74</v>
      </c>
      <c r="F145" s="149">
        <v>5912</v>
      </c>
      <c r="G145" s="112">
        <f t="shared" si="11"/>
        <v>36.260000000000218</v>
      </c>
      <c r="H145" s="99">
        <f>G145+'2'!H145</f>
        <v>105</v>
      </c>
      <c r="I145" s="140"/>
      <c r="J145" s="328">
        <f>H145/DAY(B2)</f>
        <v>35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'2'!F146</f>
        <v>781019</v>
      </c>
      <c r="F146" s="147">
        <v>781091</v>
      </c>
      <c r="G146" s="112">
        <f t="shared" si="11"/>
        <v>72</v>
      </c>
      <c r="H146" s="99">
        <f>G146+'2'!H146</f>
        <v>291</v>
      </c>
      <c r="I146" s="140"/>
      <c r="J146" s="328">
        <f>H146/DAY(B2)</f>
        <v>97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'2'!F147</f>
        <v>700499</v>
      </c>
      <c r="F147" s="148">
        <v>700894.64</v>
      </c>
      <c r="G147" s="112">
        <f t="shared" si="11"/>
        <v>395.64000000001397</v>
      </c>
      <c r="H147" s="99">
        <f>G147+'2'!H147</f>
        <v>1125.640000000014</v>
      </c>
      <c r="I147" s="140"/>
      <c r="J147" s="328">
        <f>H147/DAY(B2)</f>
        <v>375.21333333333797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'2'!F148</f>
        <v>749102.96</v>
      </c>
      <c r="F148" s="150">
        <v>749395.28</v>
      </c>
      <c r="G148" s="112">
        <f t="shared" si="11"/>
        <v>292.32000000006519</v>
      </c>
      <c r="H148" s="99">
        <f>G148+'2'!H148</f>
        <v>865.28000000002794</v>
      </c>
      <c r="I148" s="124"/>
      <c r="J148" s="328">
        <f>H148/DAY(B2)</f>
        <v>288.426666666676</v>
      </c>
    </row>
    <row r="149" spans="1:10" ht="25.5">
      <c r="A149" s="952" t="s">
        <v>336</v>
      </c>
      <c r="B149" s="953"/>
      <c r="C149" s="954"/>
      <c r="D149" s="227" t="s">
        <v>130</v>
      </c>
      <c r="E149" s="95">
        <f>'2'!F149</f>
        <v>133324.70000000001</v>
      </c>
      <c r="F149" s="146">
        <v>133764.82999999999</v>
      </c>
      <c r="G149" s="112">
        <f t="shared" si="11"/>
        <v>440.12999999997555</v>
      </c>
      <c r="H149" s="99">
        <f>G149+'2'!H149</f>
        <v>1330.8299999999872</v>
      </c>
      <c r="I149" s="119"/>
      <c r="J149" s="328">
        <f>H149/DAY(B2)</f>
        <v>443.60999999999575</v>
      </c>
    </row>
    <row r="150" spans="1:10" ht="25.5">
      <c r="A150" s="952" t="s">
        <v>337</v>
      </c>
      <c r="B150" s="953"/>
      <c r="C150" s="954"/>
      <c r="D150" s="117" t="s">
        <v>130</v>
      </c>
      <c r="E150" s="95">
        <f>'2'!F150</f>
        <v>51051.3</v>
      </c>
      <c r="F150" s="233">
        <v>51269.25</v>
      </c>
      <c r="G150" s="112">
        <f t="shared" si="11"/>
        <v>217.94999999999709</v>
      </c>
      <c r="H150" s="99">
        <f>G150+'2'!H150</f>
        <v>654.25</v>
      </c>
      <c r="I150" s="119"/>
      <c r="J150" s="328">
        <f>H150/DAY(B2)</f>
        <v>218.08333333333334</v>
      </c>
    </row>
    <row r="151" spans="1:10" ht="29.25" customHeight="1">
      <c r="A151" s="952" t="s">
        <v>338</v>
      </c>
      <c r="B151" s="953"/>
      <c r="C151" s="954"/>
      <c r="D151" s="117" t="s">
        <v>130</v>
      </c>
      <c r="E151" s="95">
        <f>'2'!F151</f>
        <v>136117</v>
      </c>
      <c r="F151" s="233">
        <v>136436</v>
      </c>
      <c r="G151" s="112">
        <f t="shared" si="11"/>
        <v>319</v>
      </c>
      <c r="H151" s="99">
        <f>G151+'2'!H151</f>
        <v>987</v>
      </c>
      <c r="I151" s="119"/>
      <c r="J151" s="328">
        <f>H151/DAY(B2)</f>
        <v>329</v>
      </c>
    </row>
    <row r="152" spans="1:10" ht="29.25" customHeight="1">
      <c r="A152" s="952" t="s">
        <v>339</v>
      </c>
      <c r="B152" s="953"/>
      <c r="C152" s="954"/>
      <c r="D152" s="117" t="s">
        <v>130</v>
      </c>
      <c r="E152" s="95">
        <f>'2'!F152</f>
        <v>23376.5</v>
      </c>
      <c r="F152" s="233">
        <v>24391.59</v>
      </c>
      <c r="G152" s="112">
        <f t="shared" si="11"/>
        <v>1015.0900000000001</v>
      </c>
      <c r="H152" s="99">
        <f>G152+'2'!H152</f>
        <v>1237.5900000000001</v>
      </c>
      <c r="I152" s="119"/>
      <c r="J152" s="328">
        <f>H152/DAY(B2)</f>
        <v>412.53000000000003</v>
      </c>
    </row>
    <row r="153" spans="1:10" ht="29.25" customHeight="1">
      <c r="A153" s="924" t="s">
        <v>196</v>
      </c>
      <c r="B153" s="925"/>
      <c r="C153" s="926"/>
      <c r="D153" s="367"/>
      <c r="E153" s="368"/>
      <c r="F153" s="369"/>
      <c r="G153" s="370">
        <f>SUM(G138:G152)</f>
        <v>3635.1600000000408</v>
      </c>
      <c r="H153" s="371"/>
      <c r="I153" s="119">
        <f>G153-(G38+G52)</f>
        <v>1388.0400000000454</v>
      </c>
      <c r="J153" s="372"/>
    </row>
    <row r="154" spans="1:10" ht="29.25" customHeight="1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9.25" customHeight="1">
      <c r="A155" s="872" t="s">
        <v>345</v>
      </c>
      <c r="B155" s="872"/>
      <c r="C155" s="872"/>
      <c r="D155" s="117" t="s">
        <v>130</v>
      </c>
      <c r="E155" s="95">
        <f>'2'!F155</f>
        <v>149289</v>
      </c>
      <c r="F155" s="389">
        <v>150123.29</v>
      </c>
      <c r="G155" s="112">
        <f t="shared" ref="G155:G158" si="12">F155-E155</f>
        <v>834.29000000000815</v>
      </c>
      <c r="H155" s="99">
        <f>G155+'2'!H155</f>
        <v>1974.2900000000081</v>
      </c>
      <c r="I155" s="364"/>
      <c r="J155" s="328">
        <f>H155/DAY(B2)</f>
        <v>658.09666666666942</v>
      </c>
    </row>
    <row r="156" spans="1:10" ht="29.25" customHeight="1">
      <c r="A156" s="955" t="s">
        <v>346</v>
      </c>
      <c r="B156" s="955"/>
      <c r="C156" s="955"/>
      <c r="D156" s="117" t="s">
        <v>130</v>
      </c>
      <c r="E156" s="95">
        <f>'2'!F156</f>
        <v>14898</v>
      </c>
      <c r="F156" s="389">
        <v>15041.169</v>
      </c>
      <c r="G156" s="112">
        <f t="shared" si="12"/>
        <v>143.16899999999987</v>
      </c>
      <c r="H156" s="99">
        <f>G156+'2'!H156</f>
        <v>307.16899999999987</v>
      </c>
      <c r="I156" s="165"/>
      <c r="J156" s="328">
        <f>H156/DAY(B2)</f>
        <v>102.38966666666663</v>
      </c>
    </row>
    <row r="157" spans="1:10" ht="29.25" customHeight="1">
      <c r="A157" s="873" t="s">
        <v>360</v>
      </c>
      <c r="B157" s="874"/>
      <c r="C157" s="875"/>
      <c r="D157" s="117" t="s">
        <v>130</v>
      </c>
      <c r="E157" s="95">
        <f>'2'!F157</f>
        <v>27777.71</v>
      </c>
      <c r="F157" s="389">
        <v>27904.33</v>
      </c>
      <c r="G157" s="112">
        <f t="shared" si="12"/>
        <v>126.62000000000262</v>
      </c>
      <c r="H157" s="99">
        <f>G157+'2'!H157</f>
        <v>458.33000000000175</v>
      </c>
      <c r="I157" s="165"/>
      <c r="J157" s="328"/>
    </row>
    <row r="158" spans="1:10" ht="29.25" customHeight="1">
      <c r="A158" s="873" t="s">
        <v>361</v>
      </c>
      <c r="B158" s="874"/>
      <c r="C158" s="875"/>
      <c r="D158" s="117" t="s">
        <v>130</v>
      </c>
      <c r="E158" s="95">
        <f>'2'!F158</f>
        <v>238.7</v>
      </c>
      <c r="F158" s="389">
        <v>239.04</v>
      </c>
      <c r="G158" s="112">
        <f t="shared" si="12"/>
        <v>0.34000000000000341</v>
      </c>
      <c r="H158" s="99">
        <f>G158+'2'!H158</f>
        <v>150.61999999999998</v>
      </c>
      <c r="I158" s="165"/>
      <c r="J158" s="328"/>
    </row>
    <row r="159" spans="1:10" ht="29.25" customHeight="1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480109.72</v>
      </c>
      <c r="F161" s="235">
        <v>480140.64</v>
      </c>
      <c r="G161" s="238">
        <f t="shared" ref="G161:G165" si="13">F161-E161</f>
        <v>30.92000000004191</v>
      </c>
      <c r="H161" s="99">
        <f>G161+'2'!H161</f>
        <v>87.64000000001397</v>
      </c>
      <c r="I161" s="236"/>
      <c r="J161" s="239">
        <f>H161/DAY(B2)</f>
        <v>29.213333333337989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95015.3</v>
      </c>
      <c r="F162" s="235">
        <v>95062</v>
      </c>
      <c r="G162" s="238">
        <f t="shared" si="13"/>
        <v>46.69999999999709</v>
      </c>
      <c r="H162" s="99">
        <f>G162+'2'!H162</f>
        <v>134</v>
      </c>
      <c r="I162" s="236"/>
      <c r="J162" s="239">
        <f>H162/DAY(B2)</f>
        <v>44.666666666666664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6802.4</v>
      </c>
      <c r="F163" s="235">
        <v>6910.2</v>
      </c>
      <c r="G163" s="238">
        <f t="shared" si="13"/>
        <v>107.80000000000018</v>
      </c>
      <c r="H163" s="99">
        <f>G163+'2'!H163</f>
        <v>409.19999999999982</v>
      </c>
      <c r="I163" s="236"/>
      <c r="J163" s="239">
        <f>H163/DAY(B2)</f>
        <v>136.39999999999995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6286.1</v>
      </c>
      <c r="F164" s="235">
        <v>6288.2</v>
      </c>
      <c r="G164" s="238">
        <f t="shared" si="13"/>
        <v>2.0999999999994543</v>
      </c>
      <c r="H164" s="99">
        <f>G164+'2'!H164</f>
        <v>8.1999999999998181</v>
      </c>
      <c r="I164" s="236"/>
      <c r="J164" s="239">
        <f>H164/DAY(B2)</f>
        <v>2.7333333333332726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31651.74</v>
      </c>
      <c r="F165" s="235">
        <v>31659.5</v>
      </c>
      <c r="G165" s="238">
        <f t="shared" si="13"/>
        <v>7.7599999999983993</v>
      </c>
      <c r="H165" s="99">
        <f>G165+'2'!H165</f>
        <v>25.5</v>
      </c>
      <c r="I165" s="236"/>
      <c r="J165" s="239">
        <f>H165/DAY(B2)</f>
        <v>8.5</v>
      </c>
    </row>
    <row r="166" spans="1:10" ht="26.25">
      <c r="A166" s="881"/>
      <c r="B166" s="881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7"/>
    </row>
    <row r="167" spans="1:10" ht="26.25">
      <c r="A167" s="881"/>
      <c r="B167" s="881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881"/>
      <c r="B168" s="881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'2'!F173</f>
        <v>8240</v>
      </c>
      <c r="F173" s="157">
        <v>8240</v>
      </c>
      <c r="G173" s="155">
        <f>F173-E173</f>
        <v>0</v>
      </c>
      <c r="H173" s="99">
        <f>G173+'2'!H173</f>
        <v>5</v>
      </c>
      <c r="I173" s="155"/>
      <c r="J173" s="178">
        <f>H173/DAY(B2)</f>
        <v>1.6666666666666667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'2'!F174</f>
        <v>41230</v>
      </c>
      <c r="F174" s="157">
        <v>41243</v>
      </c>
      <c r="G174" s="155">
        <f t="shared" ref="G174:G175" si="14">F174-E174</f>
        <v>13</v>
      </c>
      <c r="H174" s="99">
        <f>G174+'2'!H174</f>
        <v>39</v>
      </c>
      <c r="I174" s="155"/>
      <c r="J174" s="178">
        <f>H174/DAY(B2)</f>
        <v>13</v>
      </c>
    </row>
    <row r="175" spans="1:10" ht="21.75" customHeight="1">
      <c r="A175" s="887" t="s">
        <v>76</v>
      </c>
      <c r="B175" s="927"/>
      <c r="C175" s="888"/>
      <c r="D175" s="228" t="s">
        <v>142</v>
      </c>
      <c r="E175" s="95">
        <f>'2'!F175</f>
        <v>24054</v>
      </c>
      <c r="F175" s="155">
        <v>24066</v>
      </c>
      <c r="G175" s="155">
        <f t="shared" si="14"/>
        <v>12</v>
      </c>
      <c r="H175" s="99">
        <f>G175+'2'!H175</f>
        <v>35</v>
      </c>
      <c r="I175" s="155"/>
      <c r="J175" s="178">
        <f>H175/DAY(B2)</f>
        <v>11.666666666666666</v>
      </c>
    </row>
    <row r="176" spans="1:10" ht="21.75" customHeight="1">
      <c r="A176" s="924" t="s">
        <v>196</v>
      </c>
      <c r="B176" s="925"/>
      <c r="C176" s="926"/>
      <c r="D176" s="228"/>
      <c r="E176" s="95"/>
      <c r="F176" s="155"/>
      <c r="G176" s="155">
        <f>SUM(G173:G175)</f>
        <v>25</v>
      </c>
      <c r="H176" s="99">
        <f>G176+'2'!H176</f>
        <v>79</v>
      </c>
      <c r="I176" s="155"/>
      <c r="J176" s="178">
        <f>H176/DAY(B2)</f>
        <v>26.333333333333332</v>
      </c>
    </row>
    <row r="177" spans="1:10" ht="21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87" t="s">
        <v>210</v>
      </c>
      <c r="B178" s="888"/>
      <c r="C178" s="333"/>
      <c r="D178" s="228" t="s">
        <v>142</v>
      </c>
      <c r="E178" s="95">
        <f>'2'!F178</f>
        <v>97907</v>
      </c>
      <c r="F178" s="157">
        <v>98017</v>
      </c>
      <c r="G178" s="155">
        <f>F178-E178</f>
        <v>110</v>
      </c>
      <c r="H178" s="99">
        <f>G178+'2'!H178</f>
        <v>304</v>
      </c>
      <c r="I178" s="155"/>
      <c r="J178" s="178">
        <f>H178/DAY(B2)</f>
        <v>101.33333333333333</v>
      </c>
    </row>
    <row r="179" spans="1:10" ht="24" customHeight="1">
      <c r="A179" s="887" t="s">
        <v>211</v>
      </c>
      <c r="B179" s="888"/>
      <c r="C179" s="333"/>
      <c r="D179" s="228" t="s">
        <v>142</v>
      </c>
      <c r="E179" s="95">
        <f>'2'!F179</f>
        <v>36002</v>
      </c>
      <c r="F179" s="155">
        <v>36002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887" t="s">
        <v>212</v>
      </c>
      <c r="B180" s="888"/>
      <c r="C180" s="333"/>
      <c r="D180" s="228" t="s">
        <v>142</v>
      </c>
      <c r="E180" s="95">
        <f>'2'!F180</f>
        <v>7176</v>
      </c>
      <c r="F180" s="155">
        <v>7176</v>
      </c>
      <c r="G180" s="155">
        <f t="shared" si="15"/>
        <v>0</v>
      </c>
      <c r="H180" s="99">
        <f>G180+'2'!H180</f>
        <v>7</v>
      </c>
      <c r="I180" s="155"/>
      <c r="J180" s="178">
        <f>H180/DAY(B2)</f>
        <v>2.3333333333333335</v>
      </c>
    </row>
    <row r="181" spans="1:10" ht="26.25">
      <c r="A181" s="924" t="s">
        <v>196</v>
      </c>
      <c r="B181" s="925"/>
      <c r="C181" s="926"/>
      <c r="D181" s="228"/>
      <c r="E181" s="95"/>
      <c r="F181" s="155"/>
      <c r="G181" s="155">
        <f>SUM(G178:G180)</f>
        <v>110</v>
      </c>
      <c r="H181" s="99">
        <f>G181+'2'!H181</f>
        <v>311</v>
      </c>
      <c r="I181" s="155"/>
      <c r="J181" s="178">
        <f>H181/DAY(B2)</f>
        <v>103.66666666666667</v>
      </c>
    </row>
    <row r="182" spans="1:10" ht="27" customHeight="1">
      <c r="A182" s="887" t="s">
        <v>213</v>
      </c>
      <c r="B182" s="888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87" t="s">
        <v>214</v>
      </c>
      <c r="B183" s="888"/>
      <c r="C183" s="334"/>
      <c r="D183" s="228" t="s">
        <v>142</v>
      </c>
      <c r="E183" s="95">
        <f>'2'!F183</f>
        <v>17489</v>
      </c>
      <c r="F183" s="157">
        <v>17494</v>
      </c>
      <c r="G183" s="157">
        <f>F183-E183</f>
        <v>5</v>
      </c>
      <c r="H183" s="99">
        <f>G183+'2'!H183</f>
        <v>21</v>
      </c>
      <c r="I183" s="155"/>
      <c r="J183" s="178">
        <f>H183/DAY(B2)</f>
        <v>7</v>
      </c>
    </row>
    <row r="184" spans="1:10" ht="25.5" customHeight="1">
      <c r="A184" s="887" t="s">
        <v>215</v>
      </c>
      <c r="B184" s="888"/>
      <c r="C184" s="334"/>
      <c r="D184" s="228" t="s">
        <v>142</v>
      </c>
      <c r="E184" s="95">
        <f>'2'!F184</f>
        <v>11949</v>
      </c>
      <c r="F184" s="157">
        <v>11954</v>
      </c>
      <c r="G184" s="157">
        <f t="shared" ref="G184:G185" si="16">F184-E184</f>
        <v>5</v>
      </c>
      <c r="H184" s="99">
        <f>G184+'2'!H184</f>
        <v>19</v>
      </c>
      <c r="I184" s="155"/>
      <c r="J184" s="178">
        <f>H184/DAY(B2)</f>
        <v>6.333333333333333</v>
      </c>
    </row>
    <row r="185" spans="1:10" ht="25.5">
      <c r="A185" s="887" t="s">
        <v>216</v>
      </c>
      <c r="B185" s="888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924" t="s">
        <v>196</v>
      </c>
      <c r="B186" s="925"/>
      <c r="C186" s="926"/>
      <c r="D186" s="229"/>
      <c r="E186" s="95"/>
      <c r="F186" s="157"/>
      <c r="G186" s="157">
        <f>SUM(G183:G185)</f>
        <v>10</v>
      </c>
      <c r="H186" s="99">
        <f>G186+'2'!H186</f>
        <v>40</v>
      </c>
      <c r="I186" s="157"/>
      <c r="J186" s="178">
        <f>H186/DAY(B2)</f>
        <v>13.333333333333334</v>
      </c>
    </row>
    <row r="187" spans="1:10" ht="25.5">
      <c r="A187" s="878" t="s">
        <v>217</v>
      </c>
      <c r="B187" s="879"/>
      <c r="C187" s="333"/>
      <c r="D187" s="230" t="s">
        <v>142</v>
      </c>
      <c r="E187" s="95"/>
      <c r="F187" s="159"/>
      <c r="G187" s="378">
        <f>G62+G19</f>
        <v>156</v>
      </c>
      <c r="H187" s="99">
        <f>G187+'2'!H187</f>
        <v>453</v>
      </c>
      <c r="I187" s="158"/>
      <c r="J187" s="179">
        <f>H187/DAY(B2)</f>
        <v>151</v>
      </c>
    </row>
    <row r="188" spans="1:10" ht="25.5">
      <c r="A188" s="878" t="s">
        <v>218</v>
      </c>
      <c r="B188" s="879"/>
      <c r="C188" s="333"/>
      <c r="D188" s="230" t="s">
        <v>142</v>
      </c>
      <c r="E188" s="95"/>
      <c r="F188" s="159"/>
      <c r="G188" s="378">
        <f>G65+G66+G67+G69+G70</f>
        <v>133</v>
      </c>
      <c r="H188" s="99">
        <f>G188+'2'!H188</f>
        <v>400</v>
      </c>
      <c r="I188" s="158"/>
      <c r="J188" s="179">
        <f>H188/DAY(B2)</f>
        <v>133.33333333333334</v>
      </c>
    </row>
    <row r="189" spans="1:10" ht="25.5">
      <c r="A189" s="878" t="s">
        <v>219</v>
      </c>
      <c r="B189" s="879"/>
      <c r="C189" s="333"/>
      <c r="D189" s="230" t="s">
        <v>142</v>
      </c>
      <c r="E189" s="95"/>
      <c r="F189" s="157"/>
      <c r="G189" s="377">
        <f>G181</f>
        <v>110</v>
      </c>
      <c r="H189" s="99">
        <f>G189+'2'!H189</f>
        <v>311</v>
      </c>
      <c r="I189" s="158"/>
      <c r="J189" s="179">
        <f>H189/DAY(B2)</f>
        <v>103.66666666666667</v>
      </c>
    </row>
    <row r="190" spans="1:10" ht="25.5">
      <c r="A190" s="878"/>
      <c r="B190" s="879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24" zoomScale="55" zoomScaleNormal="48" zoomScaleSheetLayoutView="55" workbookViewId="0">
      <selection activeCell="F152" sqref="F15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349</v>
      </c>
      <c r="B2" s="262">
        <v>44777</v>
      </c>
      <c r="C2" s="348" t="s">
        <v>67</v>
      </c>
      <c r="D2" s="218">
        <v>0.53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2" t="s">
        <v>119</v>
      </c>
      <c r="F3" s="943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0.93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415712.19</v>
      </c>
      <c r="F7" s="95">
        <v>441178.19</v>
      </c>
      <c r="G7" s="112">
        <f>F7-E7</f>
        <v>25466</v>
      </c>
      <c r="H7" s="99">
        <f>G7+'3'!H7</f>
        <v>104048.19</v>
      </c>
      <c r="I7" s="113">
        <f>'1'!I7</f>
        <v>12000</v>
      </c>
      <c r="J7" s="175">
        <f>H7/DAY(B2)</f>
        <v>26012.047500000001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568270</v>
      </c>
      <c r="F8" s="114">
        <v>594162</v>
      </c>
      <c r="G8" s="115">
        <f>F8-E8</f>
        <v>25892</v>
      </c>
      <c r="H8" s="99">
        <f>G8+'3'!H8</f>
        <v>105575</v>
      </c>
      <c r="I8" s="116"/>
      <c r="J8" s="175">
        <f>H8/DAY(B2)</f>
        <v>26393.75</v>
      </c>
      <c r="K8" s="172">
        <v>1715917</v>
      </c>
      <c r="L8" s="76">
        <v>1728480</v>
      </c>
      <c r="M8" s="87">
        <f>L8-K8</f>
        <v>12563</v>
      </c>
      <c r="N8" s="87">
        <f>G8-426</f>
        <v>25466</v>
      </c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3299187.9</v>
      </c>
      <c r="F9" s="117">
        <v>3304598.1</v>
      </c>
      <c r="G9" s="112">
        <f>F9-E9</f>
        <v>5410.2000000001863</v>
      </c>
      <c r="H9" s="99">
        <f>G9+'3'!H9</f>
        <v>25532.100000000093</v>
      </c>
      <c r="I9" s="124">
        <f>I7-J7</f>
        <v>-14012.047500000001</v>
      </c>
      <c r="J9" s="175">
        <f>H9/DAY(B2)</f>
        <v>6383.0250000000233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1723543.5</v>
      </c>
      <c r="F10" s="117">
        <v>1743070.9</v>
      </c>
      <c r="G10" s="112">
        <f t="shared" ref="G10:G12" si="0">F10-E10</f>
        <v>19527.399999999907</v>
      </c>
      <c r="H10" s="99">
        <f>G10+'3'!H10</f>
        <v>75912.899999999907</v>
      </c>
      <c r="I10" s="282"/>
      <c r="J10" s="175">
        <f>H10/DAY(B2)</f>
        <v>18978.224999999977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24937.600000000093</v>
      </c>
      <c r="H13" s="99">
        <f>G13+'3'!H13</f>
        <v>102779.59999999986</v>
      </c>
      <c r="I13" s="120">
        <f>G7-G13</f>
        <v>528.39999999990687</v>
      </c>
      <c r="J13" s="175">
        <f>H13/DAY(B2)</f>
        <v>25694.899999999965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2103911.5</v>
      </c>
      <c r="F15" s="469">
        <v>2104913.7999999998</v>
      </c>
      <c r="G15" s="112">
        <f>(F15-E15)</f>
        <v>1002.2999999998137</v>
      </c>
      <c r="H15" s="99">
        <f>G15+'3'!H15</f>
        <v>4045.7999999998137</v>
      </c>
      <c r="I15" s="113">
        <f>'1'!I15</f>
        <v>800</v>
      </c>
      <c r="J15" s="175">
        <f>H15/DAY(B2)</f>
        <v>1011.4499999999534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-211.44999999995343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'3'!F18</f>
        <v>10</v>
      </c>
      <c r="F18" s="122">
        <v>13</v>
      </c>
      <c r="G18" s="119">
        <f>F18*10</f>
        <v>130</v>
      </c>
      <c r="H18" s="99">
        <f>G18+'3'!H18</f>
        <v>540</v>
      </c>
      <c r="I18" s="113">
        <f>'1'!I18</f>
        <v>65</v>
      </c>
      <c r="J18" s="175">
        <f>H18/DAY(B2)</f>
        <v>135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'3'!F19</f>
        <v>162493</v>
      </c>
      <c r="F19" s="122">
        <v>162546</v>
      </c>
      <c r="G19" s="112">
        <f t="shared" ref="G19" si="1">F19-E19</f>
        <v>53</v>
      </c>
      <c r="H19" s="99">
        <f>G19+'3'!H19</f>
        <v>211</v>
      </c>
      <c r="I19" s="335"/>
      <c r="J19" s="175">
        <f>H19/DAY(B2)</f>
        <v>52.75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183</v>
      </c>
      <c r="H20" s="99">
        <f>G20+'3'!H20</f>
        <v>751</v>
      </c>
      <c r="I20" s="336">
        <f>I18-J20</f>
        <v>-122.75</v>
      </c>
      <c r="J20" s="175">
        <f>H20/DAY(B2)</f>
        <v>187.75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25892</v>
      </c>
      <c r="F27" s="136">
        <v>9</v>
      </c>
      <c r="G27" s="137">
        <f>E27*F27</f>
        <v>233028</v>
      </c>
      <c r="H27" s="99">
        <f>G27+'3'!H27</f>
        <v>950175</v>
      </c>
      <c r="I27" s="138"/>
      <c r="J27" s="175">
        <f>H27/DAY(B2)</f>
        <v>237543.75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1002.2999999998137</v>
      </c>
      <c r="F28" s="136">
        <v>70</v>
      </c>
      <c r="G28" s="137">
        <f>E28*F28</f>
        <v>70160.999999986961</v>
      </c>
      <c r="H28" s="99">
        <f>G28+'3'!H28</f>
        <v>283205.99999998696</v>
      </c>
      <c r="I28" s="140"/>
      <c r="J28" s="175">
        <f>H28/DAY(B2)</f>
        <v>70801.49999999674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G30+'3'!H30</f>
        <v>31861</v>
      </c>
      <c r="I30" s="140"/>
      <c r="J30" s="175">
        <f>H30/DAY(B2)</f>
        <v>7965.25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G31+'3'!H31</f>
        <v>43200</v>
      </c>
      <c r="I31" s="140"/>
      <c r="J31" s="175">
        <f>H31/DAY(B2)</f>
        <v>10800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321591.99999998696</v>
      </c>
      <c r="H32" s="99">
        <f>G32+'3'!H32</f>
        <v>1308441.999999987</v>
      </c>
      <c r="I32" s="144"/>
      <c r="J32" s="175">
        <f>H32/DAY(B2)</f>
        <v>327110.49999999674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238713.05</v>
      </c>
      <c r="F35" s="145">
        <v>238713</v>
      </c>
      <c r="G35" s="112">
        <f t="shared" ref="G35:G46" si="3">F35-E35</f>
        <v>-4.9999999988358468E-2</v>
      </c>
      <c r="H35" s="99">
        <f>G35+'3'!H35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218099.97</v>
      </c>
      <c r="F36" s="145">
        <v>218910.55</v>
      </c>
      <c r="G36" s="112">
        <f t="shared" si="3"/>
        <v>810.57999999998719</v>
      </c>
      <c r="H36" s="99">
        <f>G36+'3'!H36</f>
        <v>3380.5499999999884</v>
      </c>
      <c r="I36" s="95"/>
      <c r="J36" s="175">
        <f>H36/DAY(B2)</f>
        <v>845.13749999999709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322998.69</v>
      </c>
      <c r="F37" s="145">
        <v>322998.69</v>
      </c>
      <c r="G37" s="112">
        <f t="shared" si="3"/>
        <v>0</v>
      </c>
      <c r="H37" s="99">
        <f>G37+'3'!H37</f>
        <v>-0.30999999999767169</v>
      </c>
      <c r="I37" s="95"/>
      <c r="J37" s="175">
        <f>H37/DAY(B2)</f>
        <v>-7.7499999999417923E-2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464089.47</v>
      </c>
      <c r="F38" s="108">
        <v>466343.63</v>
      </c>
      <c r="G38" s="112">
        <f t="shared" si="3"/>
        <v>2254.1600000000326</v>
      </c>
      <c r="H38" s="99">
        <f>G38+'3'!H38</f>
        <v>8982.6300000000047</v>
      </c>
      <c r="I38" s="95"/>
      <c r="J38" s="175">
        <f>H38/DAY(B2)</f>
        <v>2245.6575000000012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591584.18999999994</v>
      </c>
      <c r="F39" s="145">
        <v>591584.18999999994</v>
      </c>
      <c r="G39" s="112">
        <f t="shared" si="3"/>
        <v>0</v>
      </c>
      <c r="H39" s="99">
        <f>G39+'3'!H39</f>
        <v>0.18999999994412065</v>
      </c>
      <c r="I39" s="95"/>
      <c r="J39" s="175">
        <f>H39/DAY(B2)</f>
        <v>4.7499999986030161E-2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109313.94</v>
      </c>
      <c r="F40" s="145">
        <v>110195</v>
      </c>
      <c r="G40" s="112">
        <f t="shared" si="3"/>
        <v>881.05999999999767</v>
      </c>
      <c r="H40" s="99">
        <f>G40+'3'!H40</f>
        <v>3419</v>
      </c>
      <c r="I40" s="95"/>
      <c r="J40" s="175">
        <f>H40/DAY(B2)</f>
        <v>854.75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219097.35</v>
      </c>
      <c r="F41" s="145">
        <v>221525.79</v>
      </c>
      <c r="G41" s="112">
        <f t="shared" si="3"/>
        <v>2428.4400000000023</v>
      </c>
      <c r="H41" s="99">
        <f>G41+'3'!H41</f>
        <v>9822.7900000000081</v>
      </c>
      <c r="I41" s="95"/>
      <c r="J41" s="175">
        <f>H41/DAY(B2)</f>
        <v>2455.697500000002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752205.83</v>
      </c>
      <c r="F42" s="145">
        <v>752205.83</v>
      </c>
      <c r="G42" s="112">
        <f t="shared" si="3"/>
        <v>0</v>
      </c>
      <c r="H42" s="99">
        <f>G42+'3'!H42</f>
        <v>3841.8299999999581</v>
      </c>
      <c r="I42" s="95"/>
      <c r="J42" s="175">
        <f>H42/DAY(B2)</f>
        <v>960.45749999998952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407028</v>
      </c>
      <c r="F43" s="145">
        <v>407028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6374.1900000000314</v>
      </c>
      <c r="H47" s="99">
        <f>G47+'3'!H47</f>
        <v>29446.679999999906</v>
      </c>
      <c r="I47" s="95"/>
      <c r="J47" s="175">
        <f>H47/DAY(B2)</f>
        <v>7361.6699999999764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494760.19</v>
      </c>
      <c r="F49" s="423">
        <v>498945.99</v>
      </c>
      <c r="G49" s="112">
        <f t="shared" ref="G49:G58" si="4">F49-E49</f>
        <v>4185.7999999999884</v>
      </c>
      <c r="H49" s="99">
        <f>G49+'3'!H49</f>
        <v>16891.989999999991</v>
      </c>
      <c r="I49" s="95"/>
      <c r="J49" s="175">
        <f>H49/DAY(B2)</f>
        <v>4222.9974999999977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286410.77</v>
      </c>
      <c r="F50" s="145">
        <v>287533.99</v>
      </c>
      <c r="G50" s="112">
        <f t="shared" si="4"/>
        <v>1123.2199999999721</v>
      </c>
      <c r="H50" s="99">
        <f>G50+'3'!H50</f>
        <v>4783.9899999999907</v>
      </c>
      <c r="I50" s="95"/>
      <c r="J50" s="175">
        <f>H50/DAY(B2)</f>
        <v>1195.9974999999977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11810.51</v>
      </c>
      <c r="F51" s="145">
        <v>12923.59</v>
      </c>
      <c r="G51" s="112">
        <f t="shared" si="4"/>
        <v>1113.08</v>
      </c>
      <c r="H51" s="99">
        <f>G51+'3'!H51</f>
        <v>4415.59</v>
      </c>
      <c r="I51" s="95"/>
      <c r="J51" s="175">
        <f>H51/DAY(B2)</f>
        <v>1103.8975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9.76</v>
      </c>
      <c r="F52" s="145">
        <v>9.75</v>
      </c>
      <c r="G52" s="112">
        <f t="shared" si="4"/>
        <v>-9.9999999999997868E-3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46917.26</v>
      </c>
      <c r="F53" s="145">
        <v>51268.39</v>
      </c>
      <c r="G53" s="112">
        <f t="shared" si="4"/>
        <v>4351.1299999999974</v>
      </c>
      <c r="H53" s="99">
        <f>G53+'3'!H53</f>
        <v>17407.39</v>
      </c>
      <c r="I53" s="95"/>
      <c r="J53" s="175">
        <f>H53/DAY(B2)</f>
        <v>4351.8474999999999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88971.37</v>
      </c>
      <c r="F54" s="145">
        <v>89231.98</v>
      </c>
      <c r="G54" s="112">
        <f t="shared" si="4"/>
        <v>260.61000000000058</v>
      </c>
      <c r="H54" s="99">
        <f>G54+'3'!H54</f>
        <v>1288.9799999999959</v>
      </c>
      <c r="I54" s="95"/>
      <c r="J54" s="175">
        <f>H54/DAY(B2)</f>
        <v>322.24499999999898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371926.56</v>
      </c>
      <c r="F55" s="145">
        <v>375551.8</v>
      </c>
      <c r="G55" s="112">
        <f t="shared" si="4"/>
        <v>3625.2399999999907</v>
      </c>
      <c r="H55" s="99">
        <f>G55+'3'!H55</f>
        <v>12774.799999999988</v>
      </c>
      <c r="I55" s="95"/>
      <c r="J55" s="175">
        <f>H55/DAY(B2)</f>
        <v>3193.6999999999971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123882.39</v>
      </c>
      <c r="F56" s="145">
        <v>123882.39</v>
      </c>
      <c r="G56" s="112">
        <f t="shared" si="4"/>
        <v>0</v>
      </c>
      <c r="H56" s="99">
        <f>G56+'3'!H56</f>
        <v>0.38999999999941792</v>
      </c>
      <c r="I56" s="95"/>
      <c r="J56" s="175">
        <f>H56/DAY(B2)</f>
        <v>9.7499999999854481E-2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235413.19</v>
      </c>
      <c r="F57" s="145">
        <v>238572.19</v>
      </c>
      <c r="G57" s="112">
        <f t="shared" si="4"/>
        <v>3159</v>
      </c>
      <c r="H57" s="99">
        <f>G57+'3'!H57</f>
        <v>12402.190000000002</v>
      </c>
      <c r="I57" s="95"/>
      <c r="J57" s="175">
        <f>H57/DAY(B2)</f>
        <v>3100.5475000000006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49871.4</v>
      </c>
      <c r="F58" s="145">
        <v>50132.57</v>
      </c>
      <c r="G58" s="112">
        <f t="shared" si="4"/>
        <v>261.16999999999825</v>
      </c>
      <c r="H58" s="99">
        <f>G58+'3'!H58</f>
        <v>1023.5699999999997</v>
      </c>
      <c r="I58" s="95"/>
      <c r="J58" s="175">
        <f>H58/DAY(B2)</f>
        <v>255.89249999999993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18079.239999999947</v>
      </c>
      <c r="H59" s="99">
        <f>G59+'3'!H59</f>
        <v>70988.63999999997</v>
      </c>
      <c r="I59" s="95">
        <f>G7-G60</f>
        <v>1012.5700000000215</v>
      </c>
      <c r="J59" s="175">
        <f>H59/DAY(B2)</f>
        <v>17747.159999999993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24453.429999999978</v>
      </c>
      <c r="H60" s="99">
        <f>G60+'3'!H60</f>
        <v>100435.31999999988</v>
      </c>
      <c r="I60" s="95">
        <f>G13-G60</f>
        <v>484.17000000011467</v>
      </c>
      <c r="J60" s="175">
        <f>H60/DAY(B2)</f>
        <v>25108.829999999969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'3'!F62</f>
        <v>296570</v>
      </c>
      <c r="F62" s="122">
        <v>296665</v>
      </c>
      <c r="G62" s="112">
        <f t="shared" ref="G62:G63" si="5">F62-E62</f>
        <v>95</v>
      </c>
      <c r="H62" s="99">
        <f>G62+'3'!H62</f>
        <v>390</v>
      </c>
      <c r="I62" s="118"/>
      <c r="J62" s="175">
        <f>H62/DAY(B2)</f>
        <v>97.5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'3'!F63</f>
        <v>239573</v>
      </c>
      <c r="F63" s="122">
        <v>239717</v>
      </c>
      <c r="G63" s="112">
        <f t="shared" si="5"/>
        <v>144</v>
      </c>
      <c r="H63" s="99">
        <f>G63+'3'!H63</f>
        <v>584</v>
      </c>
      <c r="I63" s="118"/>
      <c r="J63" s="175">
        <f>H63/DAY(B2)</f>
        <v>146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122"/>
      <c r="F64" s="122"/>
      <c r="G64" s="112">
        <f>G62+G63</f>
        <v>239</v>
      </c>
      <c r="H64" s="99">
        <f>G64+'3'!H64</f>
        <v>974</v>
      </c>
      <c r="I64" s="118"/>
      <c r="J64" s="175">
        <f>H64/DAY(B2)</f>
        <v>243.5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'3'!F65</f>
        <v>455009</v>
      </c>
      <c r="F65" s="122">
        <v>455117</v>
      </c>
      <c r="G65" s="112">
        <f t="shared" ref="G65:G70" si="6">F65-E65</f>
        <v>108</v>
      </c>
      <c r="H65" s="99">
        <f>G65+'3'!H65</f>
        <v>407</v>
      </c>
      <c r="I65" s="118"/>
      <c r="J65" s="175">
        <f>H65/DAY(B2)</f>
        <v>101.75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111784</v>
      </c>
      <c r="F66" s="122">
        <v>111806</v>
      </c>
      <c r="G66" s="112">
        <f t="shared" si="6"/>
        <v>22</v>
      </c>
      <c r="H66" s="99">
        <f>G66+'3'!H66</f>
        <v>84</v>
      </c>
      <c r="I66" s="118"/>
      <c r="J66" s="175">
        <f>H66/DAY(B2)</f>
        <v>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113680</v>
      </c>
      <c r="F67" s="404">
        <v>113680</v>
      </c>
      <c r="G67" s="112">
        <f t="shared" si="6"/>
        <v>0</v>
      </c>
      <c r="H67" s="99">
        <f>G67+'3'!H67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164731</v>
      </c>
      <c r="F68" s="122">
        <v>164750</v>
      </c>
      <c r="G68" s="112">
        <f t="shared" si="6"/>
        <v>19</v>
      </c>
      <c r="H68" s="99">
        <f>G68+'3'!H68</f>
        <v>88</v>
      </c>
      <c r="I68" s="118"/>
      <c r="J68" s="175">
        <f>H68/DAY(B2)</f>
        <v>22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12291</v>
      </c>
      <c r="F69" s="164">
        <v>12293</v>
      </c>
      <c r="G69" s="112">
        <f t="shared" si="6"/>
        <v>2</v>
      </c>
      <c r="H69" s="99">
        <f>G69+'3'!H69</f>
        <v>18</v>
      </c>
      <c r="I69" s="118"/>
      <c r="J69" s="175">
        <f>H69/DAY(B2)</f>
        <v>4.5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9850</v>
      </c>
      <c r="F70" s="404">
        <v>9864</v>
      </c>
      <c r="G70" s="112">
        <f t="shared" si="6"/>
        <v>14</v>
      </c>
      <c r="H70" s="99">
        <f>G70+'3'!H70</f>
        <v>37</v>
      </c>
      <c r="I70" s="118"/>
      <c r="J70" s="175">
        <f>H70/DAY(B2)</f>
        <v>9.25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165</v>
      </c>
      <c r="H71" s="99">
        <f>G71+'3'!H71</f>
        <v>634</v>
      </c>
      <c r="I71" s="154"/>
      <c r="J71" s="175">
        <f>H71/DAY(B2)</f>
        <v>158.5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'3'!F74</f>
        <v>958533.51</v>
      </c>
      <c r="F74" s="117">
        <v>958825.86</v>
      </c>
      <c r="G74" s="112">
        <f t="shared" ref="G74:G78" si="7">F74-E74</f>
        <v>292.34999999997672</v>
      </c>
      <c r="H74" s="99">
        <f>G74+'3'!H74</f>
        <v>1168</v>
      </c>
      <c r="I74" s="154"/>
      <c r="J74" s="175">
        <f>H74/DAY(B2)</f>
        <v>292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'3'!F75</f>
        <v>73586</v>
      </c>
      <c r="F75" s="123">
        <v>73586</v>
      </c>
      <c r="G75" s="112">
        <f t="shared" si="7"/>
        <v>0</v>
      </c>
      <c r="H75" s="99">
        <f>G75+'3'!H75</f>
        <v>-0.80000000000291038</v>
      </c>
      <c r="I75" s="154"/>
      <c r="J75" s="175">
        <f>H75/DAY(B2)</f>
        <v>-0.2000000000007276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'3'!F76</f>
        <v>190509</v>
      </c>
      <c r="F76" s="123">
        <v>190615</v>
      </c>
      <c r="G76" s="112">
        <f t="shared" si="7"/>
        <v>106</v>
      </c>
      <c r="H76" s="99">
        <f>G76+'3'!H76</f>
        <v>443</v>
      </c>
      <c r="I76" s="154"/>
      <c r="J76" s="175">
        <f>H76/DAY(B2)</f>
        <v>110.75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'3'!F77</f>
        <v>50455</v>
      </c>
      <c r="F77" s="123">
        <v>50499</v>
      </c>
      <c r="G77" s="112">
        <f t="shared" si="7"/>
        <v>44</v>
      </c>
      <c r="H77" s="99">
        <f>G77+'3'!H77</f>
        <v>186</v>
      </c>
      <c r="I77" s="154"/>
      <c r="J77" s="175">
        <f>H77/DAY(B2)</f>
        <v>46.5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'3'!F79</f>
        <v>0</v>
      </c>
      <c r="F79" s="117"/>
      <c r="G79" s="112">
        <f>G15-SUM(G74:G78)</f>
        <v>559.94999999983702</v>
      </c>
      <c r="H79" s="99">
        <f>G79+'3'!H79</f>
        <v>2249.5999999998166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1002.2999999998137</v>
      </c>
      <c r="H80" s="99">
        <f>G80+'3'!H80</f>
        <v>2982.1999999997206</v>
      </c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42623.12</v>
      </c>
      <c r="F84" s="164">
        <v>42635.59</v>
      </c>
      <c r="G84" s="236">
        <f t="shared" si="8"/>
        <v>12.469999999993888</v>
      </c>
      <c r="H84" s="99">
        <f>G84+'3'!H84</f>
        <v>46.589999999996508</v>
      </c>
      <c r="I84" s="571"/>
      <c r="J84" s="175">
        <f>H84/DAY(B2)</f>
        <v>11.647499999999127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5156.4799999999996</v>
      </c>
      <c r="F85" s="164">
        <v>5156.4799999999996</v>
      </c>
      <c r="G85" s="236">
        <f t="shared" si="8"/>
        <v>0</v>
      </c>
      <c r="H85" s="99">
        <f>G85+'3'!H85</f>
        <v>16.289999999999964</v>
      </c>
      <c r="I85" s="571"/>
      <c r="J85" s="175">
        <f>H85/DAY(B2)</f>
        <v>4.0724999999999909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45442.239999999998</v>
      </c>
      <c r="F86" s="164">
        <v>45466.57</v>
      </c>
      <c r="G86" s="112">
        <f t="shared" si="8"/>
        <v>24.330000000001746</v>
      </c>
      <c r="H86" s="99">
        <f>G86+'3'!H86</f>
        <v>87.569999999999709</v>
      </c>
      <c r="I86" s="571"/>
      <c r="J86" s="175">
        <f>H86/DAY(B2)</f>
        <v>21.892499999999927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35457.43</v>
      </c>
      <c r="F87" s="164">
        <v>35457.43</v>
      </c>
      <c r="G87" s="112">
        <f t="shared" si="8"/>
        <v>0</v>
      </c>
      <c r="H87" s="99">
        <f>G87+'3'!H87</f>
        <v>0</v>
      </c>
      <c r="I87" s="571">
        <f>G84+G85+G86+G87</f>
        <v>36.799999999995634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24303.46</v>
      </c>
      <c r="F88" s="164">
        <v>24303.66</v>
      </c>
      <c r="G88" s="112">
        <f t="shared" si="8"/>
        <v>0.2000000000007276</v>
      </c>
      <c r="H88" s="99">
        <f>G88+'3'!H88</f>
        <v>0.2000000000007276</v>
      </c>
      <c r="I88" s="571"/>
      <c r="J88" s="175">
        <f>H88/DAY(B2)</f>
        <v>5.0000000000181899E-2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27594.14</v>
      </c>
      <c r="F89" s="164">
        <v>27603.29</v>
      </c>
      <c r="G89" s="112">
        <f t="shared" si="8"/>
        <v>9.1500000000014552</v>
      </c>
      <c r="H89" s="99">
        <f>G89+'3'!H89</f>
        <v>36.680000000000291</v>
      </c>
      <c r="I89" s="571">
        <f>G88+G89</f>
        <v>9.3500000000021828</v>
      </c>
      <c r="J89" s="175">
        <f>H89/DAY(B2)</f>
        <v>9.1700000000000728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72639.12</v>
      </c>
      <c r="F90" s="164">
        <v>72650.429999999993</v>
      </c>
      <c r="G90" s="112">
        <f t="shared" si="8"/>
        <v>11.309999999997672</v>
      </c>
      <c r="H90" s="99">
        <f>G90+'3'!H90</f>
        <v>43.879999999990105</v>
      </c>
      <c r="I90" s="571">
        <f>G90</f>
        <v>11.309999999997672</v>
      </c>
      <c r="J90" s="175">
        <f>H90/DAY(B2)</f>
        <v>10.969999999997526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4289.5600000000004</v>
      </c>
      <c r="F91" s="122">
        <v>4289.5600000000004</v>
      </c>
      <c r="G91" s="112">
        <f t="shared" si="8"/>
        <v>0</v>
      </c>
      <c r="H91" s="99">
        <f>G91+'3'!H91</f>
        <v>2.0000000000436557E-2</v>
      </c>
      <c r="I91" s="590"/>
      <c r="J91" s="175">
        <f>H91/DAY(B2)</f>
        <v>5.0000000001091394E-3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6748.56</v>
      </c>
      <c r="F92" s="122">
        <v>6759.08</v>
      </c>
      <c r="G92" s="112">
        <f t="shared" si="8"/>
        <v>10.519999999999527</v>
      </c>
      <c r="H92" s="99">
        <f>G92+'3'!H92</f>
        <v>41.75</v>
      </c>
      <c r="I92" s="596">
        <f>G91+G92</f>
        <v>10.519999999999527</v>
      </c>
      <c r="J92" s="175">
        <f>H92/DAY(B2)</f>
        <v>10.4375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7344.75</v>
      </c>
      <c r="H94" s="99">
        <f>G94+'3'!H94</f>
        <v>29294.179999999993</v>
      </c>
      <c r="I94" s="118"/>
      <c r="J94" s="175">
        <f>H94/DAY(B2)</f>
        <v>7323.5449999999983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0.28841396371632766</v>
      </c>
      <c r="H95" s="99">
        <f>G95+'3'!H95</f>
        <v>1.1277998541177094</v>
      </c>
      <c r="I95" s="167"/>
      <c r="J95" s="175">
        <f>H95/DAY(B2)</f>
        <v>0.28194996352942736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6053.679999999993</v>
      </c>
      <c r="H96" s="99">
        <f>G96+'3'!H96</f>
        <v>26439.809999999954</v>
      </c>
      <c r="I96" s="118"/>
      <c r="J96" s="175">
        <f>H96/DAY(B2)</f>
        <v>6609.9524999999885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0.23771617058038141</v>
      </c>
      <c r="H97" s="99">
        <f>G97+'3'!H97</f>
        <v>1.0154541283295142</v>
      </c>
      <c r="I97" s="167"/>
      <c r="J97" s="175">
        <f>H97/DAY(B2)</f>
        <v>0.25386353208237855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4351.1299999999974</v>
      </c>
      <c r="H98" s="99">
        <f>G98+'3'!H98</f>
        <v>17407.579999999944</v>
      </c>
      <c r="I98" s="168"/>
      <c r="J98" s="175">
        <f>H98/DAY(B2)</f>
        <v>4351.8949999999859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0.17086036283672337</v>
      </c>
      <c r="H99" s="99">
        <f>G99+'3'!H99</f>
        <v>0.67024396131731678</v>
      </c>
      <c r="I99" s="168"/>
      <c r="J99" s="175">
        <f>H99/DAY(B2)</f>
        <v>0.1675609903293292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2254.1500000000324</v>
      </c>
      <c r="H100" s="99">
        <f>G100+'3'!H100</f>
        <v>8982.3800000000047</v>
      </c>
      <c r="I100" s="118"/>
      <c r="J100" s="175">
        <f>H100/DAY(B2)</f>
        <v>2245.5950000000012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8.8516060629860685E-2</v>
      </c>
      <c r="H101" s="99">
        <f>G101+'3'!H101</f>
        <v>0.34574166495757502</v>
      </c>
      <c r="I101" s="168"/>
      <c r="J101" s="175">
        <f>H101/DAY(B2)</f>
        <v>8.6435416239393756E-2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1933.7999999999593</v>
      </c>
      <c r="H102" s="99">
        <f>G102+'3'!H102</f>
        <v>8164.539999999979</v>
      </c>
      <c r="I102" s="168"/>
      <c r="J102" s="175">
        <f>H102/DAY(B2)</f>
        <v>2041.1349999999948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7.5936542841434043E-2</v>
      </c>
      <c r="H103" s="99">
        <f>G103+'3'!H103</f>
        <v>0.312051511043903</v>
      </c>
      <c r="I103" s="118"/>
      <c r="J103" s="175">
        <f>H103/DAY(B2)</f>
        <v>7.8012877760975749E-2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1113.08</v>
      </c>
      <c r="H104" s="99">
        <f>G104+'3'!H104</f>
        <v>4415.2800000000025</v>
      </c>
      <c r="I104" s="118"/>
      <c r="J104" s="175">
        <f>H104/DAY(B2)</f>
        <v>1103.8200000000006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4.3708474043823137E-2</v>
      </c>
      <c r="H105" s="99">
        <f>G105+'3'!H105</f>
        <v>0.16998994512274188</v>
      </c>
      <c r="I105" s="187"/>
      <c r="J105" s="188">
        <f>H105/DAY(B2)</f>
        <v>4.2497486280685469E-2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'3'!F112</f>
        <v>7483.16</v>
      </c>
      <c r="F112" s="237">
        <v>7557.06</v>
      </c>
      <c r="G112" s="112">
        <f t="shared" ref="G112:G123" si="9">F112-E112</f>
        <v>73.900000000000546</v>
      </c>
      <c r="H112" s="99">
        <f>G112+'3'!H112</f>
        <v>292.0600000000004</v>
      </c>
      <c r="I112" s="165"/>
      <c r="J112" s="328">
        <f>H112/DAY(B2)</f>
        <v>73.0150000000001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'3'!F113</f>
        <v>15434.55</v>
      </c>
      <c r="F113" s="237">
        <v>15577.3</v>
      </c>
      <c r="G113" s="112">
        <f t="shared" si="9"/>
        <v>142.75</v>
      </c>
      <c r="H113" s="99">
        <f>G113+'3'!H113</f>
        <v>562.29999999999927</v>
      </c>
      <c r="I113" s="165"/>
      <c r="J113" s="328">
        <f>H113/DAY(B2)</f>
        <v>140.57499999999982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'3'!F114</f>
        <v>21918.47</v>
      </c>
      <c r="F114" s="237">
        <v>22140.25</v>
      </c>
      <c r="G114" s="112">
        <f t="shared" si="9"/>
        <v>221.77999999999884</v>
      </c>
      <c r="H114" s="99">
        <f>G114+'3'!H114</f>
        <v>872.25</v>
      </c>
      <c r="I114" s="165"/>
      <c r="J114" s="328">
        <f>H114/DAY(B2)</f>
        <v>218.0625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'3'!F115</f>
        <v>13889.91</v>
      </c>
      <c r="F115" s="237">
        <v>14033.93</v>
      </c>
      <c r="G115" s="112">
        <f t="shared" si="9"/>
        <v>144.02000000000044</v>
      </c>
      <c r="H115" s="99">
        <f>G115+'3'!H115</f>
        <v>603.93000000000029</v>
      </c>
      <c r="I115" s="165"/>
      <c r="J115" s="328">
        <f>H115/DAY(B2)</f>
        <v>150.98250000000007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'3'!F116</f>
        <v>71727.600000000006</v>
      </c>
      <c r="F116" s="237">
        <v>72114.789999999994</v>
      </c>
      <c r="G116" s="112">
        <f t="shared" si="9"/>
        <v>387.18999999998778</v>
      </c>
      <c r="H116" s="99">
        <f>G116+'3'!H116</f>
        <v>1622.7899999999936</v>
      </c>
      <c r="I116" s="165"/>
      <c r="J116" s="328">
        <f>H116/DAY(B2)</f>
        <v>405.6974999999984</v>
      </c>
      <c r="Q116" s="894" t="s">
        <v>311</v>
      </c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'3'!F117</f>
        <v>41587.29</v>
      </c>
      <c r="F117" s="237">
        <v>41826.129999999997</v>
      </c>
      <c r="G117" s="112">
        <f t="shared" si="9"/>
        <v>238.83999999999651</v>
      </c>
      <c r="H117" s="99">
        <f>G117+'3'!H117</f>
        <v>904.12999999999738</v>
      </c>
      <c r="I117" s="165"/>
      <c r="J117" s="328">
        <f>H117/DAY(B2)</f>
        <v>226.03249999999935</v>
      </c>
      <c r="Q117" s="894" t="s">
        <v>312</v>
      </c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'3'!F118</f>
        <v>66526.149999999994</v>
      </c>
      <c r="F118" s="759">
        <v>66526.53</v>
      </c>
      <c r="G118" s="112">
        <f t="shared" si="9"/>
        <v>0.38000000000465661</v>
      </c>
      <c r="H118" s="99">
        <f>G118+'3'!H118</f>
        <v>1854.5299999999988</v>
      </c>
      <c r="I118" s="165"/>
      <c r="J118" s="328">
        <f>H118/DAY(B2)</f>
        <v>463.63249999999971</v>
      </c>
      <c r="Q118" s="894" t="s">
        <v>311</v>
      </c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'3'!F119</f>
        <v>38133.199999999997</v>
      </c>
      <c r="F119" s="237">
        <v>38363.339999999997</v>
      </c>
      <c r="G119" s="112">
        <f t="shared" si="9"/>
        <v>230.13999999999942</v>
      </c>
      <c r="H119" s="99">
        <f>G119+'3'!H119</f>
        <v>914.33999999999651</v>
      </c>
      <c r="I119" s="165"/>
      <c r="J119" s="328">
        <f>H119/DAY(B2)</f>
        <v>228.58499999999913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'3'!F120</f>
        <v>47487.53</v>
      </c>
      <c r="F120" s="237">
        <v>47901.13</v>
      </c>
      <c r="G120" s="112">
        <f t="shared" si="9"/>
        <v>413.59999999999854</v>
      </c>
      <c r="H120" s="99">
        <f>G120+'3'!H120</f>
        <v>1634.1299999999974</v>
      </c>
      <c r="I120" s="165"/>
      <c r="J120" s="328">
        <f>H120/DAY(B2)</f>
        <v>408.53249999999935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'3'!F121</f>
        <v>54980.33</v>
      </c>
      <c r="F121" s="237">
        <v>55455.15</v>
      </c>
      <c r="G121" s="112">
        <f t="shared" si="9"/>
        <v>474.81999999999971</v>
      </c>
      <c r="H121" s="99">
        <f>G121+'3'!H121</f>
        <v>1912.1500000000015</v>
      </c>
      <c r="I121" s="165"/>
      <c r="J121" s="328">
        <f>H121/DAY(B2)</f>
        <v>478.03750000000036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'3'!F122</f>
        <v>29510.89</v>
      </c>
      <c r="F122" s="237">
        <v>29787.09</v>
      </c>
      <c r="G122" s="112">
        <f t="shared" si="9"/>
        <v>276.20000000000073</v>
      </c>
      <c r="H122" s="99">
        <f>G122+'3'!H122</f>
        <v>1113.0900000000001</v>
      </c>
      <c r="I122" s="165"/>
      <c r="J122" s="328">
        <f>H122/DAY(B2)</f>
        <v>278.27250000000004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'3'!F123</f>
        <v>31191</v>
      </c>
      <c r="F123" s="237">
        <v>31476.15</v>
      </c>
      <c r="G123" s="112">
        <f t="shared" si="9"/>
        <v>285.15000000000146</v>
      </c>
      <c r="H123" s="99">
        <f>G123+'3'!H123</f>
        <v>1288.1500000000015</v>
      </c>
      <c r="I123" s="165"/>
      <c r="J123" s="328">
        <f>H123/DAY(B2)</f>
        <v>322.03750000000036</v>
      </c>
    </row>
    <row r="124" spans="1:18" ht="29.25" customHeight="1">
      <c r="A124" s="898"/>
      <c r="B124" s="899"/>
      <c r="C124" s="900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60" t="s">
        <v>196</v>
      </c>
      <c r="B125" s="461"/>
      <c r="C125" s="462"/>
      <c r="D125" s="307"/>
      <c r="E125" s="308"/>
      <c r="F125" s="308"/>
      <c r="G125" s="309">
        <f>SUM(G112:G124)</f>
        <v>2888.7699999999886</v>
      </c>
      <c r="H125" s="156"/>
      <c r="I125" s="327">
        <f>G125-(G39+G53)</f>
        <v>-1462.3600000000088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'3'!F128</f>
        <v>129157.6</v>
      </c>
      <c r="F128" s="165">
        <v>129668.18</v>
      </c>
      <c r="G128" s="112">
        <f t="shared" ref="G128:G134" si="10">F128-E128</f>
        <v>510.57999999998719</v>
      </c>
      <c r="H128" s="99">
        <f>G128+'3'!H128</f>
        <v>2024.179999999993</v>
      </c>
      <c r="I128" s="165"/>
      <c r="J128" s="328">
        <f>H128/DAY(B2)</f>
        <v>506.04499999999825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73081.7</v>
      </c>
      <c r="F129" s="165">
        <v>73290.53</v>
      </c>
      <c r="G129" s="112">
        <f t="shared" si="10"/>
        <v>208.83000000000175</v>
      </c>
      <c r="H129" s="99">
        <f>G129+'3'!H129</f>
        <v>787.52999999999884</v>
      </c>
      <c r="I129" s="165"/>
      <c r="J129" s="328">
        <f>H129/DAY(B2)</f>
        <v>196.88249999999971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166701.47</v>
      </c>
      <c r="F130" s="165">
        <v>167285.99</v>
      </c>
      <c r="G130" s="112">
        <f t="shared" si="10"/>
        <v>584.51999999998952</v>
      </c>
      <c r="H130" s="99">
        <f>G130+'3'!H130</f>
        <v>2688.9899999999907</v>
      </c>
      <c r="I130" s="165"/>
      <c r="J130" s="328">
        <f>H130/DAY(B2)</f>
        <v>672.24749999999767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'3'!F131</f>
        <v>49048.6</v>
      </c>
      <c r="F131" s="165">
        <v>49248.74</v>
      </c>
      <c r="G131" s="112">
        <f t="shared" si="10"/>
        <v>200.13999999999942</v>
      </c>
      <c r="H131" s="99">
        <f>G131+'3'!H131</f>
        <v>799.73999999999796</v>
      </c>
      <c r="I131" s="165"/>
      <c r="J131" s="328">
        <f>H131/DAY(B2)</f>
        <v>199.93499999999949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'3'!F132</f>
        <v>129348.54</v>
      </c>
      <c r="F132" s="165">
        <v>129768.03</v>
      </c>
      <c r="G132" s="112">
        <f t="shared" si="10"/>
        <v>419.49000000000524</v>
      </c>
      <c r="H132" s="99">
        <f>G132+'3'!H132</f>
        <v>1594.0299999999988</v>
      </c>
      <c r="I132" s="165"/>
      <c r="J132" s="328">
        <f>H132/DAY(B2)</f>
        <v>398.50749999999971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'3'!F133</f>
        <v>224035.59</v>
      </c>
      <c r="F133" s="165">
        <v>224035.59</v>
      </c>
      <c r="G133" s="112">
        <f t="shared" si="10"/>
        <v>0</v>
      </c>
      <c r="H133" s="99">
        <f>G133+'3'!H133</f>
        <v>0</v>
      </c>
      <c r="I133" s="165"/>
      <c r="J133" s="328">
        <f>H133/DAY(B2)</f>
        <v>0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'3'!F134</f>
        <v>49643.13</v>
      </c>
      <c r="F134" s="165">
        <v>49854.32</v>
      </c>
      <c r="G134" s="112">
        <f t="shared" si="10"/>
        <v>211.19000000000233</v>
      </c>
      <c r="H134" s="99">
        <f>G134+'3'!H134</f>
        <v>819.31999999999971</v>
      </c>
      <c r="I134" s="165"/>
      <c r="J134" s="328">
        <f>H134/DAY(B2)</f>
        <v>204.82999999999993</v>
      </c>
    </row>
    <row r="135" spans="1:15" ht="26.25">
      <c r="A135" s="924" t="s">
        <v>196</v>
      </c>
      <c r="B135" s="925"/>
      <c r="C135" s="926"/>
      <c r="D135" s="151"/>
      <c r="E135" s="95"/>
      <c r="F135" s="165"/>
      <c r="G135" s="112">
        <f>SUM(G128:G134)</f>
        <v>2134.7499999999854</v>
      </c>
      <c r="H135" s="99">
        <f>G135+'3'!H135</f>
        <v>8713.789999999979</v>
      </c>
      <c r="I135" s="327">
        <f>G135-(G35+G49)</f>
        <v>-2051.0000000000146</v>
      </c>
      <c r="J135" s="328">
        <f>H135/DAY(B2)</f>
        <v>2178.4474999999948</v>
      </c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'3'!F138</f>
        <v>891552</v>
      </c>
      <c r="F138" s="147">
        <v>891694</v>
      </c>
      <c r="G138" s="112">
        <f t="shared" ref="G138:G152" si="11">F138-E138</f>
        <v>142</v>
      </c>
      <c r="H138" s="99">
        <f>G138+'3'!H138</f>
        <v>596</v>
      </c>
      <c r="I138" s="118"/>
      <c r="J138" s="328">
        <f>H138/DAY(B2)</f>
        <v>149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'3'!F139</f>
        <v>909358</v>
      </c>
      <c r="F139" s="148">
        <v>909510</v>
      </c>
      <c r="G139" s="112">
        <f t="shared" si="11"/>
        <v>152</v>
      </c>
      <c r="H139" s="99">
        <f>G139+'3'!H139</f>
        <v>615</v>
      </c>
      <c r="I139" s="118"/>
      <c r="J139" s="328">
        <f>H139/DAY(B2)</f>
        <v>153.75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'3'!F140</f>
        <v>1557</v>
      </c>
      <c r="F140" s="149">
        <v>1573.7</v>
      </c>
      <c r="G140" s="112">
        <f t="shared" si="11"/>
        <v>16.700000000000045</v>
      </c>
      <c r="H140" s="99">
        <f>G140+'3'!H140</f>
        <v>60.700000000000045</v>
      </c>
      <c r="I140" s="118"/>
      <c r="J140" s="328">
        <f>H140/DAY(B2)</f>
        <v>15.175000000000011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'3'!F141</f>
        <v>91024.43</v>
      </c>
      <c r="F141" s="149">
        <v>91223.51</v>
      </c>
      <c r="G141" s="112">
        <f t="shared" si="11"/>
        <v>199.08000000000175</v>
      </c>
      <c r="H141" s="99">
        <f>G141+'3'!H141</f>
        <v>771.50999999999476</v>
      </c>
      <c r="I141" s="118"/>
      <c r="J141" s="328">
        <f>H141/DAY(B2)</f>
        <v>192.87749999999869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'3'!F142</f>
        <v>36858.699999999997</v>
      </c>
      <c r="F142" s="148">
        <v>36945.25</v>
      </c>
      <c r="G142" s="112">
        <f t="shared" si="11"/>
        <v>86.55000000000291</v>
      </c>
      <c r="H142" s="99">
        <f>G142+'3'!H142</f>
        <v>284.25</v>
      </c>
      <c r="I142" s="140"/>
      <c r="J142" s="328">
        <f>H142/DAY(B2)</f>
        <v>71.0625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'3'!F143</f>
        <v>9129.43</v>
      </c>
      <c r="F143" s="149">
        <v>9153.9599999999991</v>
      </c>
      <c r="G143" s="112">
        <f t="shared" si="11"/>
        <v>24.529999999998836</v>
      </c>
      <c r="H143" s="99">
        <f>G143+'3'!H143</f>
        <v>102.95999999999913</v>
      </c>
      <c r="I143" s="140"/>
      <c r="J143" s="328">
        <f>H143/DAY(B2)</f>
        <v>25.739999999999782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'3'!F144</f>
        <v>920470</v>
      </c>
      <c r="F144" s="149">
        <v>920691</v>
      </c>
      <c r="G144" s="112">
        <f t="shared" si="11"/>
        <v>221</v>
      </c>
      <c r="H144" s="99">
        <f>G144+'3'!H144</f>
        <v>854</v>
      </c>
      <c r="I144" s="140"/>
      <c r="J144" s="328">
        <f>H144/DAY(B2)</f>
        <v>213.5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'3'!F145</f>
        <v>5912</v>
      </c>
      <c r="F145" s="149">
        <v>5951.82</v>
      </c>
      <c r="G145" s="112">
        <f t="shared" si="11"/>
        <v>39.819999999999709</v>
      </c>
      <c r="H145" s="99">
        <f>G145+'3'!H145</f>
        <v>144.81999999999971</v>
      </c>
      <c r="I145" s="140"/>
      <c r="J145" s="328">
        <f>H145/DAY(B2)</f>
        <v>36.204999999999927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'3'!F146</f>
        <v>781091</v>
      </c>
      <c r="F146" s="148">
        <v>781164</v>
      </c>
      <c r="G146" s="112">
        <f t="shared" si="11"/>
        <v>73</v>
      </c>
      <c r="H146" s="99">
        <f>G146+'3'!H146</f>
        <v>364</v>
      </c>
      <c r="I146" s="140"/>
      <c r="J146" s="328">
        <f>H146/DAY(B2)</f>
        <v>91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'3'!F147</f>
        <v>700894.64</v>
      </c>
      <c r="F147" s="148">
        <v>701269.44</v>
      </c>
      <c r="G147" s="112">
        <f t="shared" si="11"/>
        <v>374.79999999993015</v>
      </c>
      <c r="H147" s="99">
        <f>G147+'3'!H147</f>
        <v>1500.4399999999441</v>
      </c>
      <c r="I147" s="140"/>
      <c r="J147" s="328">
        <f>H147/DAY(B2)</f>
        <v>375.10999999998603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'3'!F148</f>
        <v>749395.28</v>
      </c>
      <c r="F148" s="150">
        <v>749641.04</v>
      </c>
      <c r="G148" s="112">
        <f t="shared" si="11"/>
        <v>245.76000000000931</v>
      </c>
      <c r="H148" s="99">
        <f>G148+'3'!H148</f>
        <v>1111.0400000000373</v>
      </c>
      <c r="I148" s="124"/>
      <c r="J148" s="328">
        <f>H148/DAY(B2)</f>
        <v>277.76000000000931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'3'!F149</f>
        <v>133764.82999999999</v>
      </c>
      <c r="F149" s="146">
        <v>134212.73000000001</v>
      </c>
      <c r="G149" s="112">
        <f t="shared" si="11"/>
        <v>447.90000000002328</v>
      </c>
      <c r="H149" s="99">
        <f>G149+'3'!H149</f>
        <v>1778.7300000000105</v>
      </c>
      <c r="I149" s="119"/>
      <c r="J149" s="328">
        <f>H149/DAY(B2)</f>
        <v>444.68250000000262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'3'!F150</f>
        <v>51269.25</v>
      </c>
      <c r="F150" s="233">
        <v>51494.9</v>
      </c>
      <c r="G150" s="112">
        <f t="shared" si="11"/>
        <v>225.65000000000146</v>
      </c>
      <c r="H150" s="99">
        <f>G150+'3'!H150</f>
        <v>879.90000000000146</v>
      </c>
      <c r="I150" s="119"/>
      <c r="J150" s="328">
        <f>H150/DAY(B2)</f>
        <v>219.97500000000036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'3'!F151</f>
        <v>136436</v>
      </c>
      <c r="F151" s="233">
        <v>136686</v>
      </c>
      <c r="G151" s="112">
        <f t="shared" si="11"/>
        <v>250</v>
      </c>
      <c r="H151" s="99">
        <f>G151+'3'!H151</f>
        <v>1237</v>
      </c>
      <c r="I151" s="119"/>
      <c r="J151" s="328">
        <f>H151/DAY(B2)</f>
        <v>309.25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'3'!F152</f>
        <v>24391.59</v>
      </c>
      <c r="F152" s="765">
        <v>23612.41</v>
      </c>
      <c r="G152" s="112">
        <f t="shared" si="11"/>
        <v>-779.18000000000029</v>
      </c>
      <c r="H152" s="99">
        <f>G152+'3'!H152</f>
        <v>458.40999999999985</v>
      </c>
      <c r="I152" s="119"/>
      <c r="J152" s="328">
        <f>H152/DAY(B2)</f>
        <v>114.60249999999996</v>
      </c>
    </row>
    <row r="153" spans="1:10" ht="26.25">
      <c r="A153" s="924" t="s">
        <v>196</v>
      </c>
      <c r="B153" s="925"/>
      <c r="C153" s="926"/>
      <c r="D153" s="358"/>
      <c r="E153" s="360"/>
      <c r="F153" s="361"/>
      <c r="G153" s="362">
        <f>SUM(G138:G152)</f>
        <v>1719.6099999999669</v>
      </c>
      <c r="H153" s="363"/>
      <c r="I153" s="119">
        <f>G153-(G38+G52)</f>
        <v>-534.54000000006545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'3'!F155</f>
        <v>150123.29</v>
      </c>
      <c r="F155" s="374">
        <v>150703.29</v>
      </c>
      <c r="G155" s="112">
        <f t="shared" ref="G155:G158" si="12">F155-E155</f>
        <v>580</v>
      </c>
      <c r="H155" s="99">
        <f>G155+'3'!H155</f>
        <v>2554.2900000000081</v>
      </c>
      <c r="I155" s="364"/>
      <c r="J155" s="328">
        <f>H155/DAY(B2)</f>
        <v>638.57250000000204</v>
      </c>
    </row>
    <row r="156" spans="1:10" ht="25.5">
      <c r="A156" s="872" t="s">
        <v>346</v>
      </c>
      <c r="B156" s="872"/>
      <c r="C156" s="872"/>
      <c r="D156" s="117" t="s">
        <v>130</v>
      </c>
      <c r="E156" s="95">
        <f>'3'!F156</f>
        <v>15041.169</v>
      </c>
      <c r="F156" s="155">
        <v>15123.17</v>
      </c>
      <c r="G156" s="112">
        <f t="shared" si="12"/>
        <v>82.001000000000204</v>
      </c>
      <c r="H156" s="99">
        <f>G156+'3'!H156</f>
        <v>389.17000000000007</v>
      </c>
      <c r="I156" s="165"/>
      <c r="J156" s="328">
        <f>H156/DAY(B2)</f>
        <v>97.292500000000018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'3'!F157</f>
        <v>27904.33</v>
      </c>
      <c r="F157" s="155">
        <v>28037.47</v>
      </c>
      <c r="G157" s="112">
        <f t="shared" si="12"/>
        <v>133.13999999999942</v>
      </c>
      <c r="H157" s="99">
        <f>G157+'3'!H157</f>
        <v>591.47000000000116</v>
      </c>
      <c r="I157" s="165"/>
      <c r="J157" s="328">
        <f>H157/DAY(B2)</f>
        <v>147.86750000000029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'3'!F158</f>
        <v>239.04</v>
      </c>
      <c r="F158" s="155">
        <v>239.87</v>
      </c>
      <c r="G158" s="112">
        <f t="shared" si="12"/>
        <v>0.83000000000001251</v>
      </c>
      <c r="H158" s="99">
        <f>G158+'3'!H158</f>
        <v>151.44999999999999</v>
      </c>
      <c r="I158" s="165"/>
      <c r="J158" s="328">
        <f>H158/DAY(B2)</f>
        <v>37.862499999999997</v>
      </c>
    </row>
    <row r="159" spans="1:10" ht="25.5">
      <c r="A159" s="958"/>
      <c r="B159" s="959"/>
      <c r="C159" s="960"/>
      <c r="D159" s="117"/>
      <c r="E159" s="95"/>
      <c r="F159" s="16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480140.64</v>
      </c>
      <c r="F161" s="235">
        <v>480166.44</v>
      </c>
      <c r="G161" s="238">
        <f t="shared" ref="G161:G168" si="13">F161-E161</f>
        <v>25.799999999988358</v>
      </c>
      <c r="H161" s="99">
        <f>G161+'3'!H161</f>
        <v>113.44000000000233</v>
      </c>
      <c r="I161" s="236"/>
      <c r="J161" s="239">
        <f>H161/DAY(B2)</f>
        <v>28.360000000000582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95062</v>
      </c>
      <c r="F162" s="235">
        <v>95105.9</v>
      </c>
      <c r="G162" s="238">
        <f t="shared" si="13"/>
        <v>43.899999999994179</v>
      </c>
      <c r="H162" s="99">
        <f>G162+'3'!H162</f>
        <v>177.89999999999418</v>
      </c>
      <c r="I162" s="236"/>
      <c r="J162" s="239">
        <f>H162/DAY(B2)</f>
        <v>44.474999999998545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6910.2</v>
      </c>
      <c r="F163" s="235">
        <v>7018.4</v>
      </c>
      <c r="G163" s="238">
        <f t="shared" si="13"/>
        <v>108.19999999999982</v>
      </c>
      <c r="H163" s="99">
        <f>G163+'3'!H163</f>
        <v>517.39999999999964</v>
      </c>
      <c r="I163" s="236"/>
      <c r="J163" s="239">
        <f>H163/DAY(B2)</f>
        <v>129.34999999999991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6288.2</v>
      </c>
      <c r="F164" s="235">
        <v>6289.8</v>
      </c>
      <c r="G164" s="238">
        <f t="shared" si="13"/>
        <v>1.6000000000003638</v>
      </c>
      <c r="H164" s="99">
        <f>G164+'3'!H164</f>
        <v>9.8000000000001819</v>
      </c>
      <c r="I164" s="236"/>
      <c r="J164" s="239">
        <f>H164/DAY(B2)</f>
        <v>2.4500000000000455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31659.5</v>
      </c>
      <c r="F165" s="235">
        <v>31666.93</v>
      </c>
      <c r="G165" s="238">
        <f t="shared" si="13"/>
        <v>7.430000000000291</v>
      </c>
      <c r="H165" s="99">
        <f>G165+'3'!H165</f>
        <v>32.930000000000291</v>
      </c>
      <c r="I165" s="236"/>
      <c r="J165" s="239">
        <f>H165/DAY(B2)</f>
        <v>8.2325000000000728</v>
      </c>
    </row>
    <row r="166" spans="1:10" ht="26.25">
      <c r="A166" s="881"/>
      <c r="B166" s="881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881"/>
      <c r="B167" s="881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881"/>
      <c r="B168" s="881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'3'!F173</f>
        <v>8240</v>
      </c>
      <c r="F173" s="155">
        <v>8245</v>
      </c>
      <c r="G173" s="155">
        <f>F173-E173</f>
        <v>5</v>
      </c>
      <c r="H173" s="99">
        <f>G173+'3'!H173</f>
        <v>10</v>
      </c>
      <c r="I173" s="155"/>
      <c r="J173" s="178">
        <f>H173/DAY(B2)</f>
        <v>2.5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'3'!F174</f>
        <v>41243</v>
      </c>
      <c r="F174" s="157">
        <v>41258</v>
      </c>
      <c r="G174" s="155">
        <f t="shared" ref="G174:G175" si="14">F174-E174</f>
        <v>15</v>
      </c>
      <c r="H174" s="99">
        <f>G174+'3'!H174</f>
        <v>54</v>
      </c>
      <c r="I174" s="155"/>
      <c r="J174" s="178">
        <f>H174/DAY(B2)</f>
        <v>13.5</v>
      </c>
    </row>
    <row r="175" spans="1:10" ht="25.5" customHeight="1">
      <c r="A175" s="887" t="s">
        <v>76</v>
      </c>
      <c r="B175" s="927"/>
      <c r="C175" s="888"/>
      <c r="D175" s="228" t="s">
        <v>142</v>
      </c>
      <c r="E175" s="95">
        <f>'3'!F175</f>
        <v>24066</v>
      </c>
      <c r="F175" s="155">
        <v>24078</v>
      </c>
      <c r="G175" s="155">
        <f t="shared" si="14"/>
        <v>12</v>
      </c>
      <c r="H175" s="99">
        <f>G175+'3'!H175</f>
        <v>47</v>
      </c>
      <c r="I175" s="155"/>
      <c r="J175" s="178">
        <f>H175/DAY(B2)</f>
        <v>11.75</v>
      </c>
    </row>
    <row r="176" spans="1:10" ht="24.75" customHeight="1">
      <c r="A176" s="924" t="s">
        <v>196</v>
      </c>
      <c r="B176" s="925"/>
      <c r="C176" s="926"/>
      <c r="D176" s="228"/>
      <c r="E176" s="95"/>
      <c r="F176" s="155"/>
      <c r="G176" s="155">
        <f>SUM(G173:G175)</f>
        <v>32</v>
      </c>
      <c r="H176" s="99">
        <f>G176+'3'!H176</f>
        <v>111</v>
      </c>
      <c r="I176" s="155"/>
      <c r="J176" s="178">
        <f>H176/DAY(B2)</f>
        <v>27.75</v>
      </c>
    </row>
    <row r="177" spans="1:10" ht="28.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87" t="s">
        <v>210</v>
      </c>
      <c r="B178" s="888"/>
      <c r="C178" s="333"/>
      <c r="D178" s="228" t="s">
        <v>142</v>
      </c>
      <c r="E178" s="95">
        <f>'3'!F178</f>
        <v>98017</v>
      </c>
      <c r="F178" s="157">
        <v>98082</v>
      </c>
      <c r="G178" s="155">
        <f>F178-E178</f>
        <v>65</v>
      </c>
      <c r="H178" s="99">
        <f>G178+'3'!H178</f>
        <v>369</v>
      </c>
      <c r="I178" s="155"/>
      <c r="J178" s="178">
        <f>H178/DAY(B2)</f>
        <v>92.25</v>
      </c>
    </row>
    <row r="179" spans="1:10" ht="24" customHeight="1">
      <c r="A179" s="887" t="s">
        <v>211</v>
      </c>
      <c r="B179" s="888"/>
      <c r="C179" s="333"/>
      <c r="D179" s="228" t="s">
        <v>142</v>
      </c>
      <c r="E179" s="95">
        <f>'3'!F179</f>
        <v>36002</v>
      </c>
      <c r="F179" s="155">
        <v>36002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'3'!F180</f>
        <v>7176</v>
      </c>
      <c r="F180" s="155">
        <v>7176</v>
      </c>
      <c r="G180" s="155">
        <f t="shared" si="15"/>
        <v>0</v>
      </c>
      <c r="H180" s="99">
        <f>G180+'3'!H180</f>
        <v>7</v>
      </c>
      <c r="I180" s="155"/>
      <c r="J180" s="178">
        <f>H180/DAY(B2)</f>
        <v>1.75</v>
      </c>
    </row>
    <row r="181" spans="1:10" ht="21.95" customHeight="1">
      <c r="A181" s="924" t="s">
        <v>196</v>
      </c>
      <c r="B181" s="925"/>
      <c r="C181" s="926"/>
      <c r="D181" s="228"/>
      <c r="E181" s="95"/>
      <c r="F181" s="155"/>
      <c r="G181" s="155">
        <f>SUM(G178:G180)</f>
        <v>65</v>
      </c>
      <c r="H181" s="99">
        <f>G181+'3'!H181</f>
        <v>376</v>
      </c>
      <c r="I181" s="155"/>
      <c r="J181" s="178">
        <f>H181/DAY(B2)</f>
        <v>94</v>
      </c>
    </row>
    <row r="182" spans="1:10" ht="21.95" customHeight="1">
      <c r="A182" s="887" t="s">
        <v>213</v>
      </c>
      <c r="B182" s="888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'3'!F183</f>
        <v>17494</v>
      </c>
      <c r="F183" s="157">
        <v>17499</v>
      </c>
      <c r="G183" s="157">
        <f>F183-E183</f>
        <v>5</v>
      </c>
      <c r="H183" s="99">
        <f>G183+'3'!H183</f>
        <v>26</v>
      </c>
      <c r="I183" s="155"/>
      <c r="J183" s="178">
        <f>H183/DAY(B2)</f>
        <v>6.5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'3'!F184</f>
        <v>11954</v>
      </c>
      <c r="F184" s="157">
        <v>11961</v>
      </c>
      <c r="G184" s="157">
        <f t="shared" ref="G184:G185" si="16">F184-E184</f>
        <v>7</v>
      </c>
      <c r="H184" s="99">
        <f>G184+'3'!H184</f>
        <v>26</v>
      </c>
      <c r="I184" s="155"/>
      <c r="J184" s="178">
        <f>H184/DAY(B2)</f>
        <v>6.5</v>
      </c>
    </row>
    <row r="185" spans="1:10" ht="25.5">
      <c r="A185" s="887" t="s">
        <v>216</v>
      </c>
      <c r="B185" s="888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924" t="s">
        <v>196</v>
      </c>
      <c r="B186" s="925"/>
      <c r="C186" s="926"/>
      <c r="D186" s="229"/>
      <c r="E186" s="95"/>
      <c r="F186" s="157"/>
      <c r="G186" s="157">
        <f>SUM(G183:G185)</f>
        <v>12</v>
      </c>
      <c r="H186" s="99">
        <f>G186+'3'!H186</f>
        <v>52</v>
      </c>
      <c r="I186" s="157"/>
      <c r="J186" s="178">
        <f>H186/DAY(B2)</f>
        <v>13</v>
      </c>
    </row>
    <row r="187" spans="1:10" ht="25.5" customHeight="1">
      <c r="A187" s="878" t="s">
        <v>217</v>
      </c>
      <c r="B187" s="879"/>
      <c r="C187" s="333"/>
      <c r="D187" s="230" t="s">
        <v>142</v>
      </c>
      <c r="E187" s="95"/>
      <c r="F187" s="99"/>
      <c r="G187" s="159">
        <f>G62+G19</f>
        <v>148</v>
      </c>
      <c r="H187" s="99">
        <f>G187+'3'!H187</f>
        <v>601</v>
      </c>
      <c r="I187" s="158"/>
      <c r="J187" s="179">
        <f>H187/DAY(B2)</f>
        <v>150.25</v>
      </c>
    </row>
    <row r="188" spans="1:10" ht="25.5">
      <c r="A188" s="878" t="s">
        <v>218</v>
      </c>
      <c r="B188" s="879"/>
      <c r="C188" s="333"/>
      <c r="D188" s="230" t="s">
        <v>142</v>
      </c>
      <c r="E188" s="95"/>
      <c r="F188" s="159"/>
      <c r="G188" s="159">
        <f>G65+G66+G67+G69+G70</f>
        <v>146</v>
      </c>
      <c r="H188" s="99">
        <f>G188+'3'!H188</f>
        <v>546</v>
      </c>
      <c r="I188" s="158"/>
      <c r="J188" s="179">
        <f>H188/DAY(B2)</f>
        <v>136.5</v>
      </c>
    </row>
    <row r="189" spans="1:10" ht="25.5">
      <c r="A189" s="878" t="s">
        <v>219</v>
      </c>
      <c r="B189" s="879"/>
      <c r="C189" s="333"/>
      <c r="D189" s="230" t="s">
        <v>142</v>
      </c>
      <c r="E189" s="95"/>
      <c r="F189" s="157"/>
      <c r="G189" s="157">
        <f>G181</f>
        <v>65</v>
      </c>
      <c r="H189" s="99">
        <f>G189+'3'!H189</f>
        <v>376</v>
      </c>
      <c r="I189" s="158"/>
      <c r="J189" s="179">
        <f>H189/DAY(B2)</f>
        <v>94</v>
      </c>
    </row>
    <row r="190" spans="1:10" ht="25.5">
      <c r="A190" s="878"/>
      <c r="B190" s="879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zoomScale="51" zoomScaleNormal="48" zoomScaleSheetLayoutView="51" workbookViewId="0">
      <selection activeCell="F74" sqref="F7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355</v>
      </c>
      <c r="B2" s="262">
        <v>44778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'4'!F7</f>
        <v>441178.19</v>
      </c>
      <c r="F7" s="95">
        <v>467952</v>
      </c>
      <c r="G7" s="112">
        <f>F7-E7</f>
        <v>26773.809999999998</v>
      </c>
      <c r="H7" s="99">
        <f>G7+'4'!H7</f>
        <v>130822</v>
      </c>
      <c r="I7" s="113">
        <f>'1'!I7</f>
        <v>12000</v>
      </c>
      <c r="J7" s="175">
        <f>H7/DAY(B2)</f>
        <v>26164.400000000001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'4'!F8</f>
        <v>594162</v>
      </c>
      <c r="F8" s="114">
        <v>621280</v>
      </c>
      <c r="G8" s="115">
        <f>F8-E8</f>
        <v>27118</v>
      </c>
      <c r="H8" s="99">
        <f>G8+'4'!H8</f>
        <v>132693</v>
      </c>
      <c r="I8" s="116"/>
      <c r="J8" s="175">
        <f>H8/DAY(B2)</f>
        <v>26538.6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'4'!F9</f>
        <v>3304598.1</v>
      </c>
      <c r="F9" s="117">
        <v>3311008</v>
      </c>
      <c r="G9" s="112">
        <f>F9-E9</f>
        <v>6409.8999999999069</v>
      </c>
      <c r="H9" s="99">
        <f>G9+'4'!H9</f>
        <v>31942</v>
      </c>
      <c r="I9" s="124">
        <f>I7-J7</f>
        <v>-14164.400000000001</v>
      </c>
      <c r="J9" s="175">
        <f>H9/DAY(B2)</f>
        <v>6388.4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'4'!F10</f>
        <v>1743070.9</v>
      </c>
      <c r="F10" s="117">
        <v>1762551</v>
      </c>
      <c r="G10" s="112">
        <f t="shared" ref="G10:G12" si="0">F10-E10</f>
        <v>19480.100000000093</v>
      </c>
      <c r="H10" s="99">
        <f>G10+'4'!H10</f>
        <v>95393</v>
      </c>
      <c r="I10" s="282"/>
      <c r="J10" s="175">
        <f>H10/DAY(B2)</f>
        <v>19078.599999999999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25890</v>
      </c>
      <c r="H13" s="99">
        <f>G13+'4'!H13</f>
        <v>128669.59999999986</v>
      </c>
      <c r="I13" s="120">
        <f>G7-G13</f>
        <v>883.80999999999767</v>
      </c>
      <c r="J13" s="175">
        <f>H13/DAY(B2)</f>
        <v>25733.919999999973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'4'!F15</f>
        <v>2104913.7999999998</v>
      </c>
      <c r="F15" s="469">
        <v>2105961</v>
      </c>
      <c r="G15" s="112">
        <f>(F15-E15)</f>
        <v>1047.2000000001863</v>
      </c>
      <c r="H15" s="99">
        <f>G15+'4'!H15</f>
        <v>5093</v>
      </c>
      <c r="I15" s="113">
        <f>'1'!I15</f>
        <v>800</v>
      </c>
      <c r="J15" s="175">
        <f>H15/DAY(B2)</f>
        <v>1018.6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-218.60000000000002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'4'!F18</f>
        <v>13</v>
      </c>
      <c r="F18" s="122">
        <v>14</v>
      </c>
      <c r="G18" s="119">
        <f>F18*10</f>
        <v>140</v>
      </c>
      <c r="H18" s="99">
        <f>G18+'4'!H18</f>
        <v>680</v>
      </c>
      <c r="I18" s="113">
        <f>'1'!I18</f>
        <v>65</v>
      </c>
      <c r="J18" s="175">
        <f>H18/DAY(B2)</f>
        <v>136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'4'!F19</f>
        <v>162546</v>
      </c>
      <c r="F19" s="122">
        <v>162598</v>
      </c>
      <c r="G19" s="112">
        <f t="shared" ref="G19" si="1">F19-E19</f>
        <v>52</v>
      </c>
      <c r="H19" s="99">
        <f>G19+'4'!H19</f>
        <v>263</v>
      </c>
      <c r="I19" s="335"/>
      <c r="J19" s="175">
        <f>H19/DAY(B2)</f>
        <v>52.6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192</v>
      </c>
      <c r="H20" s="99">
        <f>G20+'4'!H20</f>
        <v>943</v>
      </c>
      <c r="I20" s="336">
        <f>I18-J20</f>
        <v>-123.6</v>
      </c>
      <c r="J20" s="175">
        <f>H20/DAY(B2)</f>
        <v>188.6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27118</v>
      </c>
      <c r="F27" s="136">
        <v>9</v>
      </c>
      <c r="G27" s="137">
        <f>E27*F27</f>
        <v>244062</v>
      </c>
      <c r="H27" s="99">
        <f>G27+'4'!H27</f>
        <v>1194237</v>
      </c>
      <c r="I27" s="138"/>
      <c r="J27" s="175">
        <f>H27/DAY(B2)</f>
        <v>238847.4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1047.2000000001863</v>
      </c>
      <c r="F28" s="136">
        <v>70</v>
      </c>
      <c r="G28" s="137">
        <f>E28*F28</f>
        <v>73304.000000013039</v>
      </c>
      <c r="H28" s="99">
        <f>G28+'4'!H28</f>
        <v>356510</v>
      </c>
      <c r="I28" s="140"/>
      <c r="J28" s="175">
        <f>H28/DAY(B2)</f>
        <v>71302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G30+'4'!H30</f>
        <v>39713</v>
      </c>
      <c r="I30" s="140"/>
      <c r="J30" s="175">
        <f>H30/DAY(B2)</f>
        <v>7942.6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G31+'4'!H31</f>
        <v>54400</v>
      </c>
      <c r="I31" s="140"/>
      <c r="J31" s="175">
        <f>H31/DAY(B2)</f>
        <v>10880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336418.00000001304</v>
      </c>
      <c r="H32" s="99">
        <f>G32+'4'!H32</f>
        <v>1644860</v>
      </c>
      <c r="I32" s="144"/>
      <c r="J32" s="175">
        <f>H32/DAY(B2)</f>
        <v>328972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238713</v>
      </c>
      <c r="F35" s="145">
        <v>238713</v>
      </c>
      <c r="G35" s="112">
        <f t="shared" ref="G35:G46" si="3">F35-E35</f>
        <v>0</v>
      </c>
      <c r="H35" s="99">
        <f>G35+'4'!H35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218910.55</v>
      </c>
      <c r="F36" s="145">
        <v>220064</v>
      </c>
      <c r="G36" s="112">
        <f t="shared" si="3"/>
        <v>1153.4500000000116</v>
      </c>
      <c r="H36" s="99">
        <f>G36+'4'!H36</f>
        <v>4534</v>
      </c>
      <c r="I36" s="95"/>
      <c r="J36" s="175">
        <f>H36/DAY(B2)</f>
        <v>906.8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322998.69</v>
      </c>
      <c r="F37" s="145">
        <v>322998.69</v>
      </c>
      <c r="G37" s="112">
        <f t="shared" si="3"/>
        <v>0</v>
      </c>
      <c r="H37" s="99">
        <f>G37+'4'!H37</f>
        <v>-0.30999999999767169</v>
      </c>
      <c r="I37" s="95"/>
      <c r="J37" s="175">
        <f>H37/DAY(B2)</f>
        <v>-6.1999999999534337E-2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466343.63</v>
      </c>
      <c r="F38" s="108">
        <v>468583</v>
      </c>
      <c r="G38" s="112">
        <f t="shared" si="3"/>
        <v>2239.3699999999953</v>
      </c>
      <c r="H38" s="99">
        <f>G38+'4'!H38</f>
        <v>11222</v>
      </c>
      <c r="I38" s="95"/>
      <c r="J38" s="175">
        <f>H38/DAY(B2)</f>
        <v>2244.4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591584.18999999994</v>
      </c>
      <c r="F39" s="145">
        <v>591584</v>
      </c>
      <c r="G39" s="112">
        <f t="shared" si="3"/>
        <v>-0.18999999994412065</v>
      </c>
      <c r="H39" s="99">
        <f>G39+'4'!H39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110195</v>
      </c>
      <c r="F40" s="145">
        <v>111056</v>
      </c>
      <c r="G40" s="112">
        <f t="shared" si="3"/>
        <v>861</v>
      </c>
      <c r="H40" s="99">
        <f>G40+'4'!H40</f>
        <v>4280</v>
      </c>
      <c r="I40" s="95"/>
      <c r="J40" s="175">
        <f>H40/DAY(B2)</f>
        <v>856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221525.79</v>
      </c>
      <c r="F41" s="145">
        <v>224656</v>
      </c>
      <c r="G41" s="112">
        <f t="shared" si="3"/>
        <v>3130.2099999999919</v>
      </c>
      <c r="H41" s="99">
        <f>G41+'4'!H41</f>
        <v>12953</v>
      </c>
      <c r="I41" s="95"/>
      <c r="J41" s="175">
        <f>H41/DAY(B2)</f>
        <v>2590.6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752205.83</v>
      </c>
      <c r="F42" s="145">
        <v>752205.83</v>
      </c>
      <c r="G42" s="112">
        <f t="shared" si="3"/>
        <v>0</v>
      </c>
      <c r="H42" s="99">
        <f>G42+'4'!H42</f>
        <v>3841.8299999999581</v>
      </c>
      <c r="I42" s="95"/>
      <c r="J42" s="175">
        <f>H42/DAY(B2)</f>
        <v>768.36599999999157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407028</v>
      </c>
      <c r="F43" s="145">
        <v>407028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7383.8400000000547</v>
      </c>
      <c r="H47" s="99">
        <f>G47+'4'!H47</f>
        <v>36830.51999999996</v>
      </c>
      <c r="I47" s="95"/>
      <c r="J47" s="175">
        <f>H47/DAY(B2)</f>
        <v>7366.1039999999921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498945.99</v>
      </c>
      <c r="F49" s="145">
        <v>503296</v>
      </c>
      <c r="G49" s="112">
        <f t="shared" ref="G49:G58" si="4">F49-E49</f>
        <v>4350.0100000000093</v>
      </c>
      <c r="H49" s="99">
        <f>G49+'4'!H49</f>
        <v>21242</v>
      </c>
      <c r="I49" s="95"/>
      <c r="J49" s="175">
        <f>H49/DAY(B2)</f>
        <v>4248.3999999999996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287533.99</v>
      </c>
      <c r="F50" s="145">
        <v>288564</v>
      </c>
      <c r="G50" s="112">
        <f t="shared" si="4"/>
        <v>1030.0100000000093</v>
      </c>
      <c r="H50" s="99">
        <f>G50+'4'!H50</f>
        <v>5814</v>
      </c>
      <c r="I50" s="95"/>
      <c r="J50" s="175">
        <f>H50/DAY(B2)</f>
        <v>1162.8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12923.59</v>
      </c>
      <c r="F51" s="145">
        <v>14024</v>
      </c>
      <c r="G51" s="112">
        <f t="shared" si="4"/>
        <v>1100.4099999999999</v>
      </c>
      <c r="H51" s="99">
        <f>G51+'4'!H51</f>
        <v>5516</v>
      </c>
      <c r="I51" s="95"/>
      <c r="J51" s="175">
        <f>H51/DAY(B2)</f>
        <v>1103.2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51268.39</v>
      </c>
      <c r="F53" s="145">
        <v>55484</v>
      </c>
      <c r="G53" s="112">
        <f t="shared" si="4"/>
        <v>4215.6100000000006</v>
      </c>
      <c r="H53" s="99">
        <f>G53+'4'!H53</f>
        <v>21623</v>
      </c>
      <c r="I53" s="95"/>
      <c r="J53" s="175">
        <f>H53/DAY(B2)</f>
        <v>4324.6000000000004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89231.98</v>
      </c>
      <c r="F54" s="145">
        <v>89664</v>
      </c>
      <c r="G54" s="112">
        <f t="shared" si="4"/>
        <v>432.02000000000407</v>
      </c>
      <c r="H54" s="99">
        <f>G54+'4'!H54</f>
        <v>1721</v>
      </c>
      <c r="I54" s="95"/>
      <c r="J54" s="175">
        <f>H54/DAY(B2)</f>
        <v>344.2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375551.8</v>
      </c>
      <c r="F55" s="145">
        <v>379084</v>
      </c>
      <c r="G55" s="112">
        <f t="shared" si="4"/>
        <v>3532.2000000000116</v>
      </c>
      <c r="H55" s="99">
        <f>G55+'4'!H55</f>
        <v>16307</v>
      </c>
      <c r="I55" s="95"/>
      <c r="J55" s="175">
        <f>H55/DAY(B2)</f>
        <v>3261.4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123882.39</v>
      </c>
      <c r="F56" s="145">
        <v>123882</v>
      </c>
      <c r="G56" s="112">
        <f t="shared" si="4"/>
        <v>-0.38999999999941792</v>
      </c>
      <c r="H56" s="99">
        <f>G56+'4'!H56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238572.19</v>
      </c>
      <c r="F57" s="145">
        <v>241961</v>
      </c>
      <c r="G57" s="112">
        <f t="shared" si="4"/>
        <v>3388.8099999999977</v>
      </c>
      <c r="H57" s="99">
        <f>G57+'4'!H57</f>
        <v>15791</v>
      </c>
      <c r="I57" s="95"/>
      <c r="J57" s="175">
        <f>H57/DAY(B2)</f>
        <v>3158.2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50132.57</v>
      </c>
      <c r="F58" s="145">
        <v>50390</v>
      </c>
      <c r="G58" s="112">
        <f t="shared" si="4"/>
        <v>257.43000000000029</v>
      </c>
      <c r="H58" s="99">
        <f>G58+'4'!H58</f>
        <v>1281</v>
      </c>
      <c r="I58" s="95"/>
      <c r="J58" s="175">
        <f>H58/DAY(B2)</f>
        <v>256.2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18306.120000000032</v>
      </c>
      <c r="H59" s="99">
        <f>G59+'4'!H59</f>
        <v>89294.760000000009</v>
      </c>
      <c r="I59" s="95">
        <f>G7-G60</f>
        <v>1083.8499999999112</v>
      </c>
      <c r="J59" s="175">
        <f>H59/DAY(B2)</f>
        <v>17858.952000000001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25689.960000000086</v>
      </c>
      <c r="H60" s="99">
        <f>G60+'4'!H60</f>
        <v>126125.27999999997</v>
      </c>
      <c r="I60" s="95">
        <f>G13-G60</f>
        <v>200.03999999991356</v>
      </c>
      <c r="J60" s="175">
        <f>H60/DAY(B2)</f>
        <v>25225.055999999993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'4'!F62</f>
        <v>296665</v>
      </c>
      <c r="F62" s="122">
        <v>296771</v>
      </c>
      <c r="G62" s="112">
        <f t="shared" ref="G62:G63" si="5">F62-E62</f>
        <v>106</v>
      </c>
      <c r="H62" s="99">
        <f>G62+'4'!H62</f>
        <v>496</v>
      </c>
      <c r="I62" s="118"/>
      <c r="J62" s="175">
        <f>H62/DAY(B2)</f>
        <v>99.2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'4'!F63</f>
        <v>239717</v>
      </c>
      <c r="F63" s="122">
        <v>239854</v>
      </c>
      <c r="G63" s="112">
        <f t="shared" si="5"/>
        <v>137</v>
      </c>
      <c r="H63" s="99">
        <f>G63+'4'!H63</f>
        <v>721</v>
      </c>
      <c r="I63" s="118"/>
      <c r="J63" s="175">
        <f>H63/DAY(B2)</f>
        <v>144.19999999999999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'4'!F64</f>
        <v>0</v>
      </c>
      <c r="F64" s="122"/>
      <c r="G64" s="112">
        <f>G62+G63</f>
        <v>243</v>
      </c>
      <c r="H64" s="99">
        <f>G64+'4'!H64</f>
        <v>1217</v>
      </c>
      <c r="I64" s="118"/>
      <c r="J64" s="175">
        <f>H64/DAY(B2)</f>
        <v>243.4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'4'!F65</f>
        <v>455117</v>
      </c>
      <c r="F65" s="122">
        <v>455219</v>
      </c>
      <c r="G65" s="112">
        <f t="shared" ref="G65:G70" si="6">F65-E65</f>
        <v>102</v>
      </c>
      <c r="H65" s="99">
        <f>G65+'4'!H65</f>
        <v>509</v>
      </c>
      <c r="I65" s="118"/>
      <c r="J65" s="175">
        <f>H65/DAY(B2)</f>
        <v>101.8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111806</v>
      </c>
      <c r="F66" s="122">
        <v>111831</v>
      </c>
      <c r="G66" s="112">
        <f t="shared" si="6"/>
        <v>25</v>
      </c>
      <c r="H66" s="99">
        <f>G66+'4'!H66</f>
        <v>109</v>
      </c>
      <c r="I66" s="118"/>
      <c r="J66" s="175">
        <f>H66/DAY(B2)</f>
        <v>21.8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113680</v>
      </c>
      <c r="F67" s="122">
        <v>113680</v>
      </c>
      <c r="G67" s="112">
        <f t="shared" si="6"/>
        <v>0</v>
      </c>
      <c r="H67" s="99">
        <f>G67+'4'!H67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164750</v>
      </c>
      <c r="F68" s="122">
        <v>164767</v>
      </c>
      <c r="G68" s="112">
        <f t="shared" si="6"/>
        <v>17</v>
      </c>
      <c r="H68" s="99">
        <f>G68+'4'!H68</f>
        <v>105</v>
      </c>
      <c r="I68" s="118"/>
      <c r="J68" s="175">
        <f>H68/DAY(B2)</f>
        <v>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12293</v>
      </c>
      <c r="F69" s="122">
        <v>12305</v>
      </c>
      <c r="G69" s="112">
        <f t="shared" si="6"/>
        <v>12</v>
      </c>
      <c r="H69" s="99">
        <f>G69+'4'!H69</f>
        <v>30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9864</v>
      </c>
      <c r="F70" s="122">
        <v>9875</v>
      </c>
      <c r="G70" s="112">
        <f t="shared" si="6"/>
        <v>11</v>
      </c>
      <c r="H70" s="99">
        <f>G70+'4'!H70</f>
        <v>48</v>
      </c>
      <c r="I70" s="118"/>
      <c r="J70" s="175">
        <f>H70/DAY(B2)</f>
        <v>9.6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167</v>
      </c>
      <c r="H71" s="99">
        <f>G71+'4'!H71</f>
        <v>801</v>
      </c>
      <c r="I71" s="154"/>
      <c r="J71" s="175">
        <f>H71/DAY(B2)</f>
        <v>160.19999999999999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'4'!F74</f>
        <v>958825.86</v>
      </c>
      <c r="F74" s="123">
        <v>959112</v>
      </c>
      <c r="G74" s="112">
        <f t="shared" ref="G74:G78" si="7">F74-E74</f>
        <v>286.14000000001397</v>
      </c>
      <c r="H74" s="99">
        <f>G74+'4'!H74</f>
        <v>1454.140000000014</v>
      </c>
      <c r="I74" s="154"/>
      <c r="J74" s="175">
        <f>H74/DAY(B2)</f>
        <v>290.82800000000282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'4'!F75</f>
        <v>73586</v>
      </c>
      <c r="F75" s="123">
        <v>73586</v>
      </c>
      <c r="G75" s="112">
        <f t="shared" si="7"/>
        <v>0</v>
      </c>
      <c r="H75" s="99">
        <f>G75+'4'!H75</f>
        <v>-0.80000000000291038</v>
      </c>
      <c r="I75" s="154"/>
      <c r="J75" s="175">
        <f>H75/DAY(B2)</f>
        <v>-0.16000000000058207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'4'!F76</f>
        <v>190615</v>
      </c>
      <c r="F76" s="123">
        <v>190731</v>
      </c>
      <c r="G76" s="112">
        <f t="shared" si="7"/>
        <v>116</v>
      </c>
      <c r="H76" s="99">
        <f>G76+'4'!H76</f>
        <v>559</v>
      </c>
      <c r="I76" s="154"/>
      <c r="J76" s="175">
        <f>H76/DAY(B2)</f>
        <v>111.8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'4'!F77</f>
        <v>50499</v>
      </c>
      <c r="F77" s="123">
        <v>50592</v>
      </c>
      <c r="G77" s="112">
        <f t="shared" si="7"/>
        <v>93</v>
      </c>
      <c r="H77" s="99">
        <f>G77+'4'!H77</f>
        <v>279</v>
      </c>
      <c r="I77" s="154"/>
      <c r="J77" s="175">
        <f>H77/DAY(B2)</f>
        <v>55.8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'4'!F78</f>
        <v>9563</v>
      </c>
      <c r="F78" s="123">
        <v>9563</v>
      </c>
      <c r="G78" s="112">
        <f t="shared" si="7"/>
        <v>0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117"/>
      <c r="F79" s="117"/>
      <c r="G79" s="112">
        <f>G15-SUM(G74:G78)</f>
        <v>552.06000000017229</v>
      </c>
      <c r="H79" s="99">
        <f>G79+'4'!H79</f>
        <v>2801.6599999999889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1047.2000000001863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42635.59</v>
      </c>
      <c r="F84" s="164">
        <v>42649.55</v>
      </c>
      <c r="G84" s="112">
        <f t="shared" si="8"/>
        <v>13.960000000006403</v>
      </c>
      <c r="H84" s="99">
        <f>G84+'4'!H84</f>
        <v>60.55000000000291</v>
      </c>
      <c r="I84" s="571"/>
      <c r="J84" s="175">
        <f>H84/DAY(B2)</f>
        <v>12.110000000000582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5156.4799999999996</v>
      </c>
      <c r="F85" s="164">
        <v>5156.4799999999996</v>
      </c>
      <c r="G85" s="112">
        <f t="shared" si="8"/>
        <v>0</v>
      </c>
      <c r="H85" s="99">
        <f>G85+'4'!H85</f>
        <v>16.289999999999964</v>
      </c>
      <c r="I85" s="571"/>
      <c r="J85" s="175">
        <f>H85/DAY(B2)</f>
        <v>3.2579999999999929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45466.57</v>
      </c>
      <c r="F86" s="164">
        <v>45491</v>
      </c>
      <c r="G86" s="112">
        <f t="shared" si="8"/>
        <v>24.430000000000291</v>
      </c>
      <c r="H86" s="99">
        <f>G86+'4'!H86</f>
        <v>112</v>
      </c>
      <c r="I86" s="571"/>
      <c r="J86" s="175">
        <f>H86/DAY(B2)</f>
        <v>22.4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35457.43</v>
      </c>
      <c r="F87" s="164">
        <v>35457.43</v>
      </c>
      <c r="G87" s="112">
        <f t="shared" si="8"/>
        <v>0</v>
      </c>
      <c r="H87" s="99">
        <f>G87+'4'!H87</f>
        <v>0</v>
      </c>
      <c r="I87" s="553">
        <f>G84+G85+G86+G87</f>
        <v>38.390000000006694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24303.66</v>
      </c>
      <c r="F88" s="164">
        <v>24303.46</v>
      </c>
      <c r="G88" s="112">
        <f t="shared" si="8"/>
        <v>-0.2000000000007276</v>
      </c>
      <c r="H88" s="99">
        <f>G88+'4'!H88</f>
        <v>0</v>
      </c>
      <c r="I88" s="553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27603.29</v>
      </c>
      <c r="F89" s="164">
        <v>27612.35</v>
      </c>
      <c r="G89" s="112">
        <f t="shared" si="8"/>
        <v>9.0599999999976717</v>
      </c>
      <c r="H89" s="99">
        <f>G89+'4'!H89</f>
        <v>45.739999999997963</v>
      </c>
      <c r="I89" s="553">
        <f>G88+G89</f>
        <v>8.8599999999969441</v>
      </c>
      <c r="J89" s="175">
        <f>H89/DAY(B2)</f>
        <v>9.1479999999995929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72650.429999999993</v>
      </c>
      <c r="F90" s="164">
        <v>72662.97</v>
      </c>
      <c r="G90" s="112">
        <f t="shared" si="8"/>
        <v>12.540000000008149</v>
      </c>
      <c r="H90" s="99">
        <f>G90+'4'!H90</f>
        <v>56.419999999998254</v>
      </c>
      <c r="I90" s="553">
        <f>G90</f>
        <v>12.540000000008149</v>
      </c>
      <c r="J90" s="175">
        <f>H90/DAY(B2)</f>
        <v>11.283999999999651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4289.5600000000004</v>
      </c>
      <c r="F91" s="122">
        <v>4289.5600000000004</v>
      </c>
      <c r="G91" s="112">
        <f t="shared" si="8"/>
        <v>0</v>
      </c>
      <c r="H91" s="99">
        <f>G91+'4'!H91</f>
        <v>2.0000000000436557E-2</v>
      </c>
      <c r="I91" s="613"/>
      <c r="J91" s="175">
        <f>H91/DAY(B2)</f>
        <v>4.0000000000873113E-3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6759.08</v>
      </c>
      <c r="F92" s="122">
        <v>6769.33</v>
      </c>
      <c r="G92" s="112">
        <f t="shared" si="8"/>
        <v>10.25</v>
      </c>
      <c r="H92" s="99">
        <f>G92+'4'!H92</f>
        <v>52</v>
      </c>
      <c r="I92" s="614">
        <f>G91+G92</f>
        <v>10.25</v>
      </c>
      <c r="J92" s="175">
        <f>H92/DAY(B2)</f>
        <v>10.4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7738.820000000007</v>
      </c>
      <c r="H94" s="99">
        <f>G94+'4'!H94</f>
        <v>37033</v>
      </c>
      <c r="I94" s="118"/>
      <c r="J94" s="175">
        <f>H94/DAY(B2)</f>
        <v>7406.6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0.28904440570841461</v>
      </c>
      <c r="H95" s="99">
        <f>G95+'4'!H95</f>
        <v>1.4168442598261239</v>
      </c>
      <c r="I95" s="167"/>
      <c r="J95" s="175">
        <f>H95/DAY(B2)</f>
        <v>0.28336885196522477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6662.0200000000041</v>
      </c>
      <c r="H96" s="99">
        <f>G96+'4'!H96</f>
        <v>33101.829999999958</v>
      </c>
      <c r="I96" s="118"/>
      <c r="J96" s="175">
        <f>H96/DAY(B2)</f>
        <v>6620.3659999999918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0.24882599824231236</v>
      </c>
      <c r="H97" s="99">
        <f>G97+'4'!H97</f>
        <v>1.2642801265718266</v>
      </c>
      <c r="I97" s="167"/>
      <c r="J97" s="175">
        <f>H97/DAY(B2)</f>
        <v>0.25285602531436535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4215.4200000000565</v>
      </c>
      <c r="H98" s="99">
        <f>G98+'4'!H98</f>
        <v>21623</v>
      </c>
      <c r="I98" s="168"/>
      <c r="J98" s="175">
        <f>H98/DAY(B2)</f>
        <v>4324.6000000000004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0.15744565304676686</v>
      </c>
      <c r="H99" s="99">
        <f>G99+'4'!H99</f>
        <v>0.82768961436408361</v>
      </c>
      <c r="I99" s="168"/>
      <c r="J99" s="175">
        <f>H99/DAY(B2)</f>
        <v>0.16553792287281671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2239.3799999999956</v>
      </c>
      <c r="H100" s="99">
        <f>G100+'4'!H100</f>
        <v>11221.76</v>
      </c>
      <c r="I100" s="118"/>
      <c r="J100" s="175">
        <f>H100/DAY(B2)</f>
        <v>2244.3519999999999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8.3640692154011542E-2</v>
      </c>
      <c r="H101" s="99">
        <f>G101+'4'!H101</f>
        <v>0.42938235711158657</v>
      </c>
      <c r="I101" s="168"/>
      <c r="J101" s="175">
        <f>H101/DAY(B2)</f>
        <v>8.5876471422317316E-2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2183.460000000021</v>
      </c>
      <c r="H102" s="99">
        <f>G102+'4'!H102</f>
        <v>10348</v>
      </c>
      <c r="I102" s="168"/>
      <c r="J102" s="175">
        <f>H102/DAY(B2)</f>
        <v>2069.6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8.1552083920817434E-2</v>
      </c>
      <c r="H103" s="99">
        <f>G103+'4'!H103</f>
        <v>0.39360359496472042</v>
      </c>
      <c r="I103" s="118"/>
      <c r="J103" s="175">
        <f>H103/DAY(B2)</f>
        <v>7.8720718992944083E-2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1100.4099999999999</v>
      </c>
      <c r="H104" s="99">
        <f>G104+'4'!H104</f>
        <v>5515.6900000000023</v>
      </c>
      <c r="I104" s="118"/>
      <c r="J104" s="175">
        <f>H104/DAY(B2)</f>
        <v>1103.1380000000004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4.1100239375718287E-2</v>
      </c>
      <c r="H105" s="99">
        <f>G105+'4'!H105</f>
        <v>0.21109018449846018</v>
      </c>
      <c r="I105" s="187"/>
      <c r="J105" s="188">
        <f>H105/DAY(B2)</f>
        <v>4.2218036899692037E-2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'4'!F112</f>
        <v>7557.06</v>
      </c>
      <c r="F112" s="237">
        <v>7627</v>
      </c>
      <c r="G112" s="112">
        <f t="shared" ref="G112:G123" si="9">F112-E112</f>
        <v>69.9399999999996</v>
      </c>
      <c r="H112" s="99">
        <f>G112+'4'!H112</f>
        <v>362</v>
      </c>
      <c r="I112" s="165"/>
      <c r="J112" s="328">
        <f>H112/DAY(B2)</f>
        <v>72.400000000000006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'4'!F113</f>
        <v>15577.3</v>
      </c>
      <c r="F113" s="237">
        <v>15714</v>
      </c>
      <c r="G113" s="112">
        <f t="shared" si="9"/>
        <v>136.70000000000073</v>
      </c>
      <c r="H113" s="99">
        <f>G113+'4'!H113</f>
        <v>699</v>
      </c>
      <c r="I113" s="165"/>
      <c r="J113" s="328">
        <f>H113/DAY(B2)</f>
        <v>139.80000000000001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'4'!F114</f>
        <v>22140.25</v>
      </c>
      <c r="F114" s="237">
        <v>22356</v>
      </c>
      <c r="G114" s="112">
        <f t="shared" si="9"/>
        <v>215.75</v>
      </c>
      <c r="H114" s="99">
        <f>G114+'4'!H114</f>
        <v>1088</v>
      </c>
      <c r="I114" s="165"/>
      <c r="J114" s="328">
        <f>H114/DAY(B2)</f>
        <v>217.6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'4'!F115</f>
        <v>14033.93</v>
      </c>
      <c r="F115" s="237">
        <v>14156</v>
      </c>
      <c r="G115" s="112">
        <f t="shared" si="9"/>
        <v>122.06999999999971</v>
      </c>
      <c r="H115" s="99">
        <f>G115+'4'!H115</f>
        <v>726</v>
      </c>
      <c r="I115" s="165"/>
      <c r="J115" s="328">
        <f>H115/DAY(B2)</f>
        <v>145.19999999999999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'4'!F116</f>
        <v>72114.789999999994</v>
      </c>
      <c r="F116" s="237">
        <v>72401</v>
      </c>
      <c r="G116" s="112">
        <f t="shared" si="9"/>
        <v>286.2100000000064</v>
      </c>
      <c r="H116" s="99">
        <f>G116+'4'!H116</f>
        <v>1909</v>
      </c>
      <c r="I116" s="165"/>
      <c r="J116" s="328">
        <f>H116/DAY(B2)</f>
        <v>381.8</v>
      </c>
      <c r="Q116" s="967"/>
      <c r="R116" s="967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'4'!F117</f>
        <v>41826.129999999997</v>
      </c>
      <c r="F117" s="237">
        <v>42066</v>
      </c>
      <c r="G117" s="112">
        <f t="shared" si="9"/>
        <v>239.87000000000262</v>
      </c>
      <c r="H117" s="99">
        <f>G117+'4'!H117</f>
        <v>1144</v>
      </c>
      <c r="I117" s="165"/>
      <c r="J117" s="328">
        <f>H117/DAY(B2)</f>
        <v>228.8</v>
      </c>
      <c r="Q117" s="967"/>
      <c r="R117" s="967"/>
    </row>
    <row r="118" spans="1:18" ht="25.5">
      <c r="A118" s="893" t="s">
        <v>97</v>
      </c>
      <c r="B118" s="893"/>
      <c r="C118" s="893"/>
      <c r="D118" s="151" t="s">
        <v>183</v>
      </c>
      <c r="E118" s="95">
        <f>'4'!F118</f>
        <v>66526.53</v>
      </c>
      <c r="F118" s="237">
        <v>67685</v>
      </c>
      <c r="G118" s="112">
        <f t="shared" si="9"/>
        <v>1158.4700000000012</v>
      </c>
      <c r="H118" s="99">
        <f>G118+'4'!H118</f>
        <v>3013</v>
      </c>
      <c r="I118" s="165"/>
      <c r="J118" s="328">
        <f>H118/DAY(B2)</f>
        <v>602.6</v>
      </c>
      <c r="Q118" s="967"/>
      <c r="R118" s="967"/>
    </row>
    <row r="119" spans="1:18" ht="25.5">
      <c r="A119" s="893" t="s">
        <v>98</v>
      </c>
      <c r="B119" s="893"/>
      <c r="C119" s="893"/>
      <c r="D119" s="151" t="s">
        <v>183</v>
      </c>
      <c r="E119" s="95">
        <f>'4'!F119</f>
        <v>38363.339999999997</v>
      </c>
      <c r="F119" s="237">
        <v>38596</v>
      </c>
      <c r="G119" s="112">
        <f t="shared" si="9"/>
        <v>232.66000000000349</v>
      </c>
      <c r="H119" s="99">
        <f>G119+'4'!H119</f>
        <v>1147</v>
      </c>
      <c r="I119" s="165"/>
      <c r="J119" s="328">
        <f>H119/DAY(B2)</f>
        <v>229.4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'4'!F120</f>
        <v>47901.13</v>
      </c>
      <c r="F120" s="468">
        <v>48318</v>
      </c>
      <c r="G120" s="112">
        <f t="shared" si="9"/>
        <v>416.87000000000262</v>
      </c>
      <c r="H120" s="99">
        <f>G120+'4'!H120</f>
        <v>2051</v>
      </c>
      <c r="I120" s="165"/>
      <c r="J120" s="328">
        <f>H120/DAY(B2)</f>
        <v>410.2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'4'!F121</f>
        <v>55455.15</v>
      </c>
      <c r="F121" s="237">
        <v>55923</v>
      </c>
      <c r="G121" s="112">
        <f t="shared" si="9"/>
        <v>467.84999999999854</v>
      </c>
      <c r="H121" s="99">
        <f>G121+'4'!H121</f>
        <v>2380</v>
      </c>
      <c r="I121" s="165"/>
      <c r="J121" s="328">
        <f>H121/DAY(B2)</f>
        <v>476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'4'!F122</f>
        <v>29787.09</v>
      </c>
      <c r="F122" s="237">
        <v>30068</v>
      </c>
      <c r="G122" s="112">
        <f t="shared" si="9"/>
        <v>280.90999999999985</v>
      </c>
      <c r="H122" s="99">
        <f>G122+'4'!H122</f>
        <v>1394</v>
      </c>
      <c r="I122" s="165"/>
      <c r="J122" s="328">
        <f>H122/DAY(B2)</f>
        <v>278.8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'4'!F123</f>
        <v>31476.15</v>
      </c>
      <c r="F123" s="237">
        <v>31798</v>
      </c>
      <c r="G123" s="112">
        <f t="shared" si="9"/>
        <v>321.84999999999854</v>
      </c>
      <c r="H123" s="99">
        <f>G123+'4'!H123</f>
        <v>1610</v>
      </c>
      <c r="I123" s="165"/>
      <c r="J123" s="328">
        <f>H123/DAY(B2)</f>
        <v>322</v>
      </c>
    </row>
    <row r="124" spans="1:18" ht="29.2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7"/>
    </row>
    <row r="125" spans="1:18" ht="25.5">
      <c r="A125" s="962" t="s">
        <v>196</v>
      </c>
      <c r="B125" s="962"/>
      <c r="C125" s="245"/>
      <c r="D125" s="307"/>
      <c r="E125" s="308"/>
      <c r="F125" s="308"/>
      <c r="G125" s="309">
        <f>SUM(G112:G124)</f>
        <v>3949.1500000000133</v>
      </c>
      <c r="H125" s="156"/>
      <c r="I125" s="327">
        <f>G125-(G39+G53)</f>
        <v>-266.27000000004318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'4'!F128</f>
        <v>129668.18</v>
      </c>
      <c r="F128" s="388">
        <v>130200</v>
      </c>
      <c r="G128" s="112">
        <f t="shared" ref="G128:G134" si="10">F128-E128</f>
        <v>531.82000000000698</v>
      </c>
      <c r="H128" s="99">
        <f>G128+'4'!H128</f>
        <v>2556</v>
      </c>
      <c r="I128" s="165"/>
      <c r="J128" s="328">
        <f>H128/DAY(B2)</f>
        <v>511.2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73290.53</v>
      </c>
      <c r="F129" s="388">
        <v>73478</v>
      </c>
      <c r="G129" s="112">
        <f t="shared" si="10"/>
        <v>187.47000000000116</v>
      </c>
      <c r="H129" s="99">
        <f>G129+'4'!H129</f>
        <v>975</v>
      </c>
      <c r="I129" s="165"/>
      <c r="J129" s="328">
        <f>H129/DAY(B2)</f>
        <v>195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167285.99</v>
      </c>
      <c r="F130" s="388">
        <v>168059</v>
      </c>
      <c r="G130" s="112">
        <f t="shared" si="10"/>
        <v>773.01000000000931</v>
      </c>
      <c r="H130" s="99">
        <f>G130+'4'!H130</f>
        <v>3462</v>
      </c>
      <c r="I130" s="165"/>
      <c r="J130" s="328">
        <f>H130/DAY(B2)</f>
        <v>692.4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'4'!F131</f>
        <v>49248.74</v>
      </c>
      <c r="F131" s="388">
        <v>49430</v>
      </c>
      <c r="G131" s="112">
        <f t="shared" si="10"/>
        <v>181.26000000000204</v>
      </c>
      <c r="H131" s="99">
        <f>G131+'4'!H131</f>
        <v>981</v>
      </c>
      <c r="I131" s="165"/>
      <c r="J131" s="328">
        <f>H131/DAY(B2)</f>
        <v>196.2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'4'!F132</f>
        <v>129768.03</v>
      </c>
      <c r="F132" s="388">
        <v>130174</v>
      </c>
      <c r="G132" s="112">
        <f t="shared" si="10"/>
        <v>405.97000000000116</v>
      </c>
      <c r="H132" s="99">
        <f>G132+'4'!H132</f>
        <v>2000</v>
      </c>
      <c r="I132" s="165"/>
      <c r="J132" s="328">
        <f>H132/DAY(B2)</f>
        <v>400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'4'!F133</f>
        <v>224035.59</v>
      </c>
      <c r="F133" s="388">
        <v>224035.59</v>
      </c>
      <c r="G133" s="112">
        <f t="shared" si="10"/>
        <v>0</v>
      </c>
      <c r="H133" s="99">
        <f>G133+'4'!H133</f>
        <v>0</v>
      </c>
      <c r="I133" s="165"/>
      <c r="J133" s="328">
        <f>H133/DAY(B2)</f>
        <v>0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'4'!F134</f>
        <v>49854.32</v>
      </c>
      <c r="F134" s="388">
        <v>50060</v>
      </c>
      <c r="G134" s="112">
        <f t="shared" si="10"/>
        <v>205.68000000000029</v>
      </c>
      <c r="H134" s="99">
        <f>G134+'4'!H134</f>
        <v>1025</v>
      </c>
      <c r="I134" s="165"/>
      <c r="J134" s="328">
        <f>H134/DAY(B2)</f>
        <v>205</v>
      </c>
    </row>
    <row r="135" spans="1:15" ht="25.5">
      <c r="A135" s="962" t="s">
        <v>196</v>
      </c>
      <c r="B135" s="962"/>
      <c r="C135" s="331"/>
      <c r="D135" s="151"/>
      <c r="E135" s="95"/>
      <c r="F135" s="165"/>
      <c r="G135" s="112">
        <f>SUM(G128:G134)</f>
        <v>2285.210000000021</v>
      </c>
      <c r="H135" s="99">
        <f>G135+'4'!H135</f>
        <v>10999</v>
      </c>
      <c r="I135" s="327">
        <f>G135-(G35+G49)</f>
        <v>-2064.7999999999884</v>
      </c>
      <c r="J135" s="328">
        <f>H135/DAY(B2)</f>
        <v>2199.8000000000002</v>
      </c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'4'!F138</f>
        <v>891694</v>
      </c>
      <c r="F138" s="147">
        <v>891844</v>
      </c>
      <c r="G138" s="112">
        <f t="shared" ref="G138:G152" si="11">F138-E138</f>
        <v>150</v>
      </c>
      <c r="H138" s="99">
        <f>G138+'4'!H138</f>
        <v>746</v>
      </c>
      <c r="I138" s="118"/>
      <c r="J138" s="328">
        <f>H138/DAY(B2)</f>
        <v>149.19999999999999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'4'!F139</f>
        <v>909510</v>
      </c>
      <c r="F139" s="148">
        <v>909660</v>
      </c>
      <c r="G139" s="112">
        <f t="shared" si="11"/>
        <v>150</v>
      </c>
      <c r="H139" s="99">
        <f>G139+'4'!H139</f>
        <v>765</v>
      </c>
      <c r="I139" s="118"/>
      <c r="J139" s="328">
        <f>H139/DAY(B2)</f>
        <v>153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'4'!F140</f>
        <v>1573.7</v>
      </c>
      <c r="F140" s="149">
        <v>1589</v>
      </c>
      <c r="G140" s="112">
        <f t="shared" si="11"/>
        <v>15.299999999999955</v>
      </c>
      <c r="H140" s="99">
        <f>G140+'4'!H140</f>
        <v>76</v>
      </c>
      <c r="I140" s="118"/>
      <c r="J140" s="328">
        <f>H140/DAY(B2)</f>
        <v>15.2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'4'!F141</f>
        <v>91223.51</v>
      </c>
      <c r="F141" s="149">
        <v>91414</v>
      </c>
      <c r="G141" s="112">
        <f t="shared" si="11"/>
        <v>190.49000000000524</v>
      </c>
      <c r="H141" s="99">
        <f>G141+'4'!H141</f>
        <v>962</v>
      </c>
      <c r="I141" s="118"/>
      <c r="J141" s="328">
        <f>H141/DAY(B2)</f>
        <v>192.4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'4'!F142</f>
        <v>36945.25</v>
      </c>
      <c r="F142" s="148">
        <v>37033</v>
      </c>
      <c r="G142" s="112">
        <f t="shared" si="11"/>
        <v>87.75</v>
      </c>
      <c r="H142" s="99">
        <f>G142+'4'!H142</f>
        <v>372</v>
      </c>
      <c r="I142" s="140"/>
      <c r="J142" s="328">
        <f>H142/DAY(B2)</f>
        <v>74.400000000000006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'4'!F143</f>
        <v>9153.9599999999991</v>
      </c>
      <c r="F143" s="149">
        <v>9180</v>
      </c>
      <c r="G143" s="112">
        <f t="shared" si="11"/>
        <v>26.040000000000873</v>
      </c>
      <c r="H143" s="99">
        <f>G143+'4'!H143</f>
        <v>129</v>
      </c>
      <c r="I143" s="140"/>
      <c r="J143" s="328">
        <f>H143/DAY(B2)</f>
        <v>25.8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'4'!F144</f>
        <v>920691</v>
      </c>
      <c r="F144" s="149">
        <v>920908</v>
      </c>
      <c r="G144" s="112">
        <f t="shared" si="11"/>
        <v>217</v>
      </c>
      <c r="H144" s="99">
        <f>G144+'4'!H144</f>
        <v>1071</v>
      </c>
      <c r="I144" s="140"/>
      <c r="J144" s="328">
        <f>H144/DAY(B2)</f>
        <v>214.2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'4'!F145</f>
        <v>5951.82</v>
      </c>
      <c r="F145" s="149">
        <v>5981</v>
      </c>
      <c r="G145" s="112">
        <f t="shared" si="11"/>
        <v>29.180000000000291</v>
      </c>
      <c r="H145" s="99">
        <f>G145+'4'!H145</f>
        <v>174</v>
      </c>
      <c r="I145" s="140"/>
      <c r="J145" s="328">
        <f>H145/DAY(B2)</f>
        <v>34.799999999999997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'4'!F146</f>
        <v>781164</v>
      </c>
      <c r="F146" s="148">
        <v>781242</v>
      </c>
      <c r="G146" s="112">
        <f t="shared" si="11"/>
        <v>78</v>
      </c>
      <c r="H146" s="99">
        <f>G146+'4'!H146</f>
        <v>442</v>
      </c>
      <c r="I146" s="140"/>
      <c r="J146" s="328">
        <f>H146/DAY(B2)</f>
        <v>88.4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'4'!F147</f>
        <v>701269.44</v>
      </c>
      <c r="F147" s="148">
        <v>701648</v>
      </c>
      <c r="G147" s="112">
        <f t="shared" si="11"/>
        <v>378.56000000005588</v>
      </c>
      <c r="H147" s="99">
        <f>G147+'4'!H147</f>
        <v>1879</v>
      </c>
      <c r="I147" s="140"/>
      <c r="J147" s="328">
        <f>H147/DAY(B2)</f>
        <v>375.8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'4'!F148</f>
        <v>749641.04</v>
      </c>
      <c r="F148" s="150">
        <v>749992</v>
      </c>
      <c r="G148" s="112">
        <f t="shared" si="11"/>
        <v>350.95999999996275</v>
      </c>
      <c r="H148" s="99">
        <f>G148+'4'!H148</f>
        <v>1462</v>
      </c>
      <c r="I148" s="124"/>
      <c r="J148" s="328">
        <f>H148/DAY(B2)</f>
        <v>292.39999999999998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'4'!F149</f>
        <v>134212.73000000001</v>
      </c>
      <c r="F149" s="146">
        <v>134692</v>
      </c>
      <c r="G149" s="112">
        <f t="shared" si="11"/>
        <v>479.26999999998952</v>
      </c>
      <c r="H149" s="99">
        <f>G149+'4'!H149</f>
        <v>2258</v>
      </c>
      <c r="I149" s="119"/>
      <c r="J149" s="328">
        <f>H149/DAY(B2)</f>
        <v>451.6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'4'!F150</f>
        <v>51494.9</v>
      </c>
      <c r="F150" s="233">
        <v>51718</v>
      </c>
      <c r="G150" s="112">
        <f t="shared" si="11"/>
        <v>223.09999999999854</v>
      </c>
      <c r="H150" s="99">
        <f>G150+'4'!H150</f>
        <v>1103</v>
      </c>
      <c r="I150" s="119"/>
      <c r="J150" s="328">
        <f>H150/DAY(B2)</f>
        <v>220.6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'4'!F151</f>
        <v>136686</v>
      </c>
      <c r="F151" s="233">
        <v>136949</v>
      </c>
      <c r="G151" s="112">
        <f t="shared" si="11"/>
        <v>263</v>
      </c>
      <c r="H151" s="99">
        <f>G151+'4'!H151</f>
        <v>1500</v>
      </c>
      <c r="I151" s="119"/>
      <c r="J151" s="328">
        <f>H151/DAY(B2)</f>
        <v>300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'4'!F152</f>
        <v>23612.41</v>
      </c>
      <c r="F152" s="233">
        <v>23728</v>
      </c>
      <c r="G152" s="112">
        <f t="shared" si="11"/>
        <v>115.59000000000015</v>
      </c>
      <c r="H152" s="99">
        <f>G152+'4'!H152</f>
        <v>574</v>
      </c>
      <c r="I152" s="119"/>
      <c r="J152" s="328">
        <f>H152/DAY(B2)</f>
        <v>114.8</v>
      </c>
    </row>
    <row r="153" spans="1:10" ht="25.5">
      <c r="A153" s="962" t="s">
        <v>196</v>
      </c>
      <c r="B153" s="962"/>
      <c r="C153" s="365"/>
      <c r="D153" s="358"/>
      <c r="E153" s="360"/>
      <c r="F153" s="361"/>
      <c r="G153" s="362">
        <f>SUM(G138:G152)</f>
        <v>2754.2400000000134</v>
      </c>
      <c r="H153" s="363"/>
      <c r="I153" s="119">
        <f>G153-(G38+G52)</f>
        <v>514.86000000001786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'4'!F155</f>
        <v>150703.29</v>
      </c>
      <c r="F155" s="374">
        <v>151439</v>
      </c>
      <c r="G155" s="112">
        <f t="shared" ref="G155:G158" si="12">F155-E155</f>
        <v>735.70999999999185</v>
      </c>
      <c r="H155" s="99">
        <f>G155+'4'!H155</f>
        <v>3290</v>
      </c>
      <c r="I155" s="364"/>
      <c r="J155" s="328">
        <f>H155/DAY(B2)</f>
        <v>658</v>
      </c>
    </row>
    <row r="156" spans="1:10" ht="25.5">
      <c r="A156" s="872" t="s">
        <v>346</v>
      </c>
      <c r="B156" s="872"/>
      <c r="C156" s="872"/>
      <c r="D156" s="117" t="s">
        <v>130</v>
      </c>
      <c r="E156" s="95">
        <f>'4'!F156</f>
        <v>15123.17</v>
      </c>
      <c r="F156" s="155">
        <v>15248</v>
      </c>
      <c r="G156" s="112">
        <f t="shared" si="12"/>
        <v>124.82999999999993</v>
      </c>
      <c r="H156" s="99">
        <f>G156+'4'!H156</f>
        <v>514</v>
      </c>
      <c r="I156" s="165"/>
      <c r="J156" s="328">
        <f>H156/DAY(B2)</f>
        <v>102.8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'4'!F157</f>
        <v>28037.47</v>
      </c>
      <c r="F157" s="155">
        <v>28171</v>
      </c>
      <c r="G157" s="112">
        <f t="shared" si="12"/>
        <v>133.52999999999884</v>
      </c>
      <c r="H157" s="99">
        <f>G157+'4'!H157</f>
        <v>725</v>
      </c>
      <c r="I157" s="165"/>
      <c r="J157" s="328">
        <f>H157/DAY(B2)</f>
        <v>145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'4'!F158</f>
        <v>239.87</v>
      </c>
      <c r="F158" s="155">
        <v>239.98</v>
      </c>
      <c r="G158" s="112">
        <f t="shared" si="12"/>
        <v>0.10999999999998522</v>
      </c>
      <c r="H158" s="99">
        <f>G158+'4'!H158</f>
        <v>151.55999999999997</v>
      </c>
      <c r="I158" s="165"/>
      <c r="J158" s="328">
        <f>H158/DAY(B2)</f>
        <v>30.311999999999994</v>
      </c>
    </row>
    <row r="159" spans="1:10" ht="25.5">
      <c r="A159" s="958"/>
      <c r="B159" s="959"/>
      <c r="C159" s="960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480166.44</v>
      </c>
      <c r="F161" s="235">
        <v>480191</v>
      </c>
      <c r="G161" s="238">
        <f t="shared" ref="G161:G165" si="13">F161-E161</f>
        <v>24.559999999997672</v>
      </c>
      <c r="H161" s="99">
        <f>G161+'4'!H161</f>
        <v>138</v>
      </c>
      <c r="I161" s="236"/>
      <c r="J161" s="239">
        <f>H161/DAY(B2)</f>
        <v>27.6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95105.9</v>
      </c>
      <c r="F162" s="235">
        <v>95157</v>
      </c>
      <c r="G162" s="238">
        <f t="shared" si="13"/>
        <v>51.100000000005821</v>
      </c>
      <c r="H162" s="99">
        <f>G162+'4'!H162</f>
        <v>229</v>
      </c>
      <c r="I162" s="236"/>
      <c r="J162" s="239">
        <f>H162/DAY(B2)</f>
        <v>45.8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7018.4</v>
      </c>
      <c r="F163" s="235">
        <v>7111</v>
      </c>
      <c r="G163" s="238">
        <f t="shared" si="13"/>
        <v>92.600000000000364</v>
      </c>
      <c r="H163" s="99">
        <f>G163+'4'!H163</f>
        <v>610</v>
      </c>
      <c r="I163" s="236"/>
      <c r="J163" s="239">
        <f>H163/DAY(B2)</f>
        <v>122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6289.8</v>
      </c>
      <c r="F164" s="235">
        <v>6290</v>
      </c>
      <c r="G164" s="238">
        <f t="shared" si="13"/>
        <v>0.1999999999998181</v>
      </c>
      <c r="H164" s="99">
        <f>G164+'4'!H164</f>
        <v>10</v>
      </c>
      <c r="I164" s="236"/>
      <c r="J164" s="239">
        <f>H164/DAY(B2)</f>
        <v>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31666.93</v>
      </c>
      <c r="F165" s="235">
        <v>31676</v>
      </c>
      <c r="G165" s="238">
        <f t="shared" si="13"/>
        <v>9.069999999999709</v>
      </c>
      <c r="H165" s="99">
        <f>G165+'4'!H165</f>
        <v>42</v>
      </c>
      <c r="I165" s="236"/>
      <c r="J165" s="239">
        <f>H165/DAY(B2)</f>
        <v>8.4</v>
      </c>
    </row>
    <row r="166" spans="1:10" ht="26.25">
      <c r="A166" s="881"/>
      <c r="B166" s="881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881"/>
      <c r="B167" s="881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881"/>
      <c r="B168" s="881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963"/>
      <c r="B172" s="963"/>
      <c r="C172" s="390"/>
      <c r="D172" s="155"/>
      <c r="E172" s="155"/>
      <c r="F172" s="155"/>
      <c r="G172" s="155"/>
      <c r="H172" s="156"/>
      <c r="I172" s="155"/>
      <c r="J172" s="156"/>
    </row>
    <row r="173" spans="1:10" ht="25.5">
      <c r="A173" s="961" t="s">
        <v>209</v>
      </c>
      <c r="B173" s="961"/>
      <c r="C173" s="333"/>
      <c r="D173" s="155" t="s">
        <v>142</v>
      </c>
      <c r="E173" s="95">
        <f>'4'!F173</f>
        <v>8245</v>
      </c>
      <c r="F173" s="155">
        <v>8245</v>
      </c>
      <c r="G173" s="155">
        <f>F173-E173</f>
        <v>0</v>
      </c>
      <c r="H173" s="99">
        <f>G173+'4'!H173</f>
        <v>10</v>
      </c>
      <c r="I173" s="155"/>
      <c r="J173" s="156">
        <f>H173/DAY(B2)</f>
        <v>2</v>
      </c>
    </row>
    <row r="174" spans="1:10" ht="25.5">
      <c r="A174" s="961" t="s">
        <v>75</v>
      </c>
      <c r="B174" s="961"/>
      <c r="C174" s="333"/>
      <c r="D174" s="155" t="s">
        <v>142</v>
      </c>
      <c r="E174" s="95">
        <f>'4'!F174</f>
        <v>41258</v>
      </c>
      <c r="F174" s="157">
        <v>41272</v>
      </c>
      <c r="G174" s="155">
        <f t="shared" ref="G174:G175" si="14">F174-E174</f>
        <v>14</v>
      </c>
      <c r="H174" s="99">
        <f>G174+'4'!H174</f>
        <v>68</v>
      </c>
      <c r="I174" s="155"/>
      <c r="J174" s="156">
        <f>H174/DAY(B2)</f>
        <v>13.6</v>
      </c>
    </row>
    <row r="175" spans="1:10" ht="25.5">
      <c r="A175" s="961" t="s">
        <v>76</v>
      </c>
      <c r="B175" s="961"/>
      <c r="C175" s="961"/>
      <c r="D175" s="155" t="s">
        <v>142</v>
      </c>
      <c r="E175" s="95">
        <f>'4'!F175</f>
        <v>24078</v>
      </c>
      <c r="F175" s="157">
        <v>24089</v>
      </c>
      <c r="G175" s="155">
        <f t="shared" si="14"/>
        <v>11</v>
      </c>
      <c r="H175" s="99">
        <f>G175+'4'!H175</f>
        <v>58</v>
      </c>
      <c r="I175" s="155"/>
      <c r="J175" s="156">
        <f>H175/DAY(B2)</f>
        <v>11.6</v>
      </c>
    </row>
    <row r="176" spans="1:10" ht="25.5">
      <c r="A176" s="962" t="s">
        <v>196</v>
      </c>
      <c r="B176" s="962"/>
      <c r="C176" s="333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136</v>
      </c>
      <c r="I176" s="155"/>
      <c r="J176" s="156">
        <f>H176/DAY(B2)</f>
        <v>27.2</v>
      </c>
    </row>
    <row r="177" spans="1:10" ht="25.5">
      <c r="A177" s="961" t="s">
        <v>77</v>
      </c>
      <c r="B177" s="961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61" t="s">
        <v>210</v>
      </c>
      <c r="B178" s="961"/>
      <c r="C178" s="333"/>
      <c r="D178" s="155" t="s">
        <v>142</v>
      </c>
      <c r="E178" s="95">
        <f>'4'!F178</f>
        <v>98082</v>
      </c>
      <c r="F178" s="155">
        <v>98176</v>
      </c>
      <c r="G178" s="155">
        <f>F178-E178</f>
        <v>94</v>
      </c>
      <c r="H178" s="99">
        <f>G178+'4'!H178</f>
        <v>463</v>
      </c>
      <c r="I178" s="155"/>
      <c r="J178" s="156">
        <f>H178/DAY(B2)</f>
        <v>92.6</v>
      </c>
    </row>
    <row r="179" spans="1:10" ht="25.5">
      <c r="A179" s="961" t="s">
        <v>211</v>
      </c>
      <c r="B179" s="961"/>
      <c r="C179" s="333"/>
      <c r="D179" s="155" t="s">
        <v>142</v>
      </c>
      <c r="E179" s="95">
        <f>'4'!F179</f>
        <v>36002</v>
      </c>
      <c r="F179" s="155">
        <v>36002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61" t="s">
        <v>212</v>
      </c>
      <c r="B180" s="961"/>
      <c r="C180" s="333"/>
      <c r="D180" s="155" t="s">
        <v>142</v>
      </c>
      <c r="E180" s="95">
        <f>'4'!F180</f>
        <v>7176</v>
      </c>
      <c r="F180" s="155">
        <v>7176</v>
      </c>
      <c r="G180" s="155">
        <f t="shared" si="15"/>
        <v>0</v>
      </c>
      <c r="H180" s="99">
        <f>G180+'4'!H180</f>
        <v>7</v>
      </c>
      <c r="I180" s="155"/>
      <c r="J180" s="156">
        <f>H180/DAY(B2)</f>
        <v>1.4</v>
      </c>
    </row>
    <row r="181" spans="1:10" ht="25.5">
      <c r="A181" s="966" t="s">
        <v>108</v>
      </c>
      <c r="B181" s="966"/>
      <c r="C181" s="333"/>
      <c r="D181" s="155"/>
      <c r="E181" s="95">
        <f>'4'!F181</f>
        <v>0</v>
      </c>
      <c r="F181" s="155"/>
      <c r="G181" s="155">
        <f>SUM(G178:G180)</f>
        <v>94</v>
      </c>
      <c r="H181" s="99">
        <f>G181+'4'!H181</f>
        <v>470</v>
      </c>
      <c r="I181" s="155"/>
      <c r="J181" s="156">
        <f>H181/DAY(B2)</f>
        <v>94</v>
      </c>
    </row>
    <row r="182" spans="1:10" ht="25.5">
      <c r="A182" s="961" t="s">
        <v>213</v>
      </c>
      <c r="B182" s="961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61" t="s">
        <v>214</v>
      </c>
      <c r="B183" s="961"/>
      <c r="C183" s="334"/>
      <c r="D183" s="155" t="s">
        <v>142</v>
      </c>
      <c r="E183" s="95">
        <f>'4'!F183</f>
        <v>17499</v>
      </c>
      <c r="F183" s="157">
        <v>17514</v>
      </c>
      <c r="G183" s="157">
        <f>F183-E183</f>
        <v>15</v>
      </c>
      <c r="H183" s="99">
        <f>G183+'4'!H183</f>
        <v>41</v>
      </c>
      <c r="I183" s="155"/>
      <c r="J183" s="156">
        <f>H183/DAY(B2)</f>
        <v>8.1999999999999993</v>
      </c>
    </row>
    <row r="184" spans="1:10" ht="25.5">
      <c r="A184" s="961" t="s">
        <v>215</v>
      </c>
      <c r="B184" s="961"/>
      <c r="C184" s="334"/>
      <c r="D184" s="155" t="s">
        <v>142</v>
      </c>
      <c r="E184" s="95">
        <f>'4'!F184</f>
        <v>11961</v>
      </c>
      <c r="F184" s="157">
        <v>11973</v>
      </c>
      <c r="G184" s="157">
        <f t="shared" ref="G184:G185" si="16">F184-E184</f>
        <v>12</v>
      </c>
      <c r="H184" s="99">
        <f>G184+'4'!H184</f>
        <v>38</v>
      </c>
      <c r="I184" s="155"/>
      <c r="J184" s="156">
        <f>H184/DAY(B2)</f>
        <v>7.6</v>
      </c>
    </row>
    <row r="185" spans="1:10" ht="29.25" customHeight="1">
      <c r="A185" s="961" t="s">
        <v>216</v>
      </c>
      <c r="B185" s="961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62" t="s">
        <v>196</v>
      </c>
      <c r="B186" s="962"/>
      <c r="C186" s="334"/>
      <c r="D186" s="379"/>
      <c r="E186" s="95"/>
      <c r="F186" s="157"/>
      <c r="G186" s="157">
        <f>SUM(G183:G185)</f>
        <v>27</v>
      </c>
      <c r="H186" s="99">
        <f>G186+'4'!H186</f>
        <v>79</v>
      </c>
      <c r="I186" s="157"/>
      <c r="J186" s="156">
        <f>H186/DAY(B2)</f>
        <v>15.8</v>
      </c>
    </row>
    <row r="187" spans="1:10" ht="25.5">
      <c r="A187" s="965" t="s">
        <v>217</v>
      </c>
      <c r="B187" s="965"/>
      <c r="C187" s="333"/>
      <c r="D187" s="157" t="s">
        <v>142</v>
      </c>
      <c r="E187" s="95"/>
      <c r="F187" s="159"/>
      <c r="G187" s="378">
        <f>G62+G19</f>
        <v>158</v>
      </c>
      <c r="H187" s="99">
        <f>G187+'4'!H187</f>
        <v>759</v>
      </c>
      <c r="I187" s="158"/>
      <c r="J187" s="159">
        <f>H187/DAY(B2)</f>
        <v>151.80000000000001</v>
      </c>
    </row>
    <row r="188" spans="1:10" ht="25.5">
      <c r="A188" s="965" t="s">
        <v>218</v>
      </c>
      <c r="B188" s="965"/>
      <c r="C188" s="333"/>
      <c r="D188" s="157" t="s">
        <v>142</v>
      </c>
      <c r="E188" s="95"/>
      <c r="F188" s="159"/>
      <c r="G188" s="378">
        <f>G65+G66+G67+G69+G70</f>
        <v>150</v>
      </c>
      <c r="H188" s="99">
        <f>G188+'4'!H188</f>
        <v>696</v>
      </c>
      <c r="I188" s="158"/>
      <c r="J188" s="159">
        <f>H188/DAY(B2)</f>
        <v>139.19999999999999</v>
      </c>
    </row>
    <row r="189" spans="1:10" ht="25.5">
      <c r="A189" s="965" t="s">
        <v>219</v>
      </c>
      <c r="B189" s="965"/>
      <c r="C189" s="333"/>
      <c r="D189" s="157" t="s">
        <v>142</v>
      </c>
      <c r="E189" s="95"/>
      <c r="F189" s="157"/>
      <c r="G189" s="377">
        <f>G181</f>
        <v>94</v>
      </c>
      <c r="H189" s="99">
        <f>G189+'4'!H189</f>
        <v>470</v>
      </c>
      <c r="I189" s="158"/>
      <c r="J189" s="159">
        <f>H189/DAY(B2)</f>
        <v>94</v>
      </c>
    </row>
    <row r="190" spans="1:10" ht="25.5">
      <c r="A190" s="964"/>
      <c r="B190" s="964"/>
      <c r="C190" s="391"/>
      <c r="D190" s="392"/>
      <c r="E190" s="393"/>
      <c r="F190" s="392"/>
      <c r="G190" s="392"/>
      <c r="H190" s="394"/>
      <c r="I190" s="392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0" zoomScaleSheetLayoutView="50" workbookViewId="0">
      <selection activeCell="N134" sqref="N13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355</v>
      </c>
      <c r="B2" s="262">
        <v>44779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467952</v>
      </c>
      <c r="F7" s="95">
        <v>493730</v>
      </c>
      <c r="G7" s="112">
        <f>F7-E7</f>
        <v>25778</v>
      </c>
      <c r="H7" s="99">
        <f>G7+'5'!H7</f>
        <v>156600</v>
      </c>
      <c r="I7" s="113">
        <f>'1'!I7</f>
        <v>12000</v>
      </c>
      <c r="J7" s="175">
        <f>H7/DAY(B2)</f>
        <v>26100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621280</v>
      </c>
      <c r="F8" s="114">
        <v>647436</v>
      </c>
      <c r="G8" s="115">
        <f>F8-E8</f>
        <v>26156</v>
      </c>
      <c r="H8" s="99">
        <f>G8+'5'!H8</f>
        <v>158849</v>
      </c>
      <c r="I8" s="116"/>
      <c r="J8" s="175">
        <f>H8/DAY(B2)</f>
        <v>26474.833333333332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3311008</v>
      </c>
      <c r="F9" s="117">
        <v>3316891</v>
      </c>
      <c r="G9" s="112">
        <f>F9-E9</f>
        <v>5883</v>
      </c>
      <c r="H9" s="99">
        <f>G9+'5'!H9</f>
        <v>37825</v>
      </c>
      <c r="I9" s="124">
        <f>I7-J7</f>
        <v>-14100</v>
      </c>
      <c r="J9" s="175">
        <f>H9/DAY(B2)</f>
        <v>6304.166666666667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1762551</v>
      </c>
      <c r="F10" s="117">
        <v>1781753</v>
      </c>
      <c r="G10" s="112">
        <f t="shared" ref="G10:G12" si="0">F10-E10</f>
        <v>19202</v>
      </c>
      <c r="H10" s="99">
        <f>G10+'5'!H10</f>
        <v>114595</v>
      </c>
      <c r="I10" s="282"/>
      <c r="J10" s="175">
        <f>H10/DAY(B2)</f>
        <v>19099.166666666668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25085</v>
      </c>
      <c r="H13" s="99">
        <f>G13+'5'!H13</f>
        <v>153754.59999999986</v>
      </c>
      <c r="I13" s="120">
        <f>G7-G13</f>
        <v>693</v>
      </c>
      <c r="J13" s="175">
        <f>H13/DAY(B2)</f>
        <v>25625.766666666645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2105961</v>
      </c>
      <c r="F15" s="469">
        <v>2106942</v>
      </c>
      <c r="G15" s="112">
        <f>(F15-E15)</f>
        <v>981</v>
      </c>
      <c r="H15" s="99">
        <f>G15+'5'!H15</f>
        <v>6074</v>
      </c>
      <c r="I15" s="113">
        <f>'1'!I15</f>
        <v>800</v>
      </c>
      <c r="J15" s="175">
        <f>H15/DAY(B2)</f>
        <v>1012.3333333333334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-212.33333333333337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'5'!F18</f>
        <v>14</v>
      </c>
      <c r="F18" s="122">
        <v>20</v>
      </c>
      <c r="G18" s="119">
        <f>F18*10</f>
        <v>200</v>
      </c>
      <c r="H18" s="99">
        <f>G18+'5'!H18</f>
        <v>880</v>
      </c>
      <c r="I18" s="113">
        <f>'1'!I18</f>
        <v>65</v>
      </c>
      <c r="J18" s="175">
        <f>H18/DAY(B2)</f>
        <v>146.66666666666666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'5'!F19</f>
        <v>162598</v>
      </c>
      <c r="F19" s="122">
        <v>162645</v>
      </c>
      <c r="G19" s="112">
        <f t="shared" ref="G19" si="1">F19-E19</f>
        <v>47</v>
      </c>
      <c r="H19" s="99">
        <f>G19+'5'!H19</f>
        <v>310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247</v>
      </c>
      <c r="H20" s="99">
        <f>G20+'5'!H20</f>
        <v>1190</v>
      </c>
      <c r="I20" s="336">
        <f>I18-J20</f>
        <v>-133.33333333333334</v>
      </c>
      <c r="J20" s="175">
        <f>H20/DAY(B2)</f>
        <v>198.33333333333334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26156</v>
      </c>
      <c r="F27" s="136">
        <v>9</v>
      </c>
      <c r="G27" s="137">
        <f>E27*F27</f>
        <v>235404</v>
      </c>
      <c r="H27" s="99">
        <f>G27+'5'!H27</f>
        <v>1429641</v>
      </c>
      <c r="I27" s="138"/>
      <c r="J27" s="175">
        <f>H27/DAY(B2)</f>
        <v>238273.5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981</v>
      </c>
      <c r="F28" s="136">
        <v>70</v>
      </c>
      <c r="G28" s="137">
        <f>E28*F28</f>
        <v>68670</v>
      </c>
      <c r="H28" s="99">
        <f>G28+'5'!H28</f>
        <v>425180</v>
      </c>
      <c r="I28" s="140"/>
      <c r="J28" s="175">
        <f>H28/DAY(B2)</f>
        <v>70863.333333333328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G30+'5'!H30</f>
        <v>46810</v>
      </c>
      <c r="I30" s="140"/>
      <c r="J30" s="175">
        <f>H30/DAY(B2)</f>
        <v>7801.666666666667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G31+'5'!H31</f>
        <v>70400</v>
      </c>
      <c r="I31" s="140"/>
      <c r="J31" s="175">
        <f>H31/DAY(B2)</f>
        <v>11733.333333333334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327171</v>
      </c>
      <c r="H32" s="99">
        <f>G32+'5'!H32</f>
        <v>1972031</v>
      </c>
      <c r="I32" s="144"/>
      <c r="J32" s="175">
        <f>H32/DAY(B2)</f>
        <v>328671.83333333331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238713</v>
      </c>
      <c r="F35" s="145">
        <v>238713</v>
      </c>
      <c r="G35" s="112">
        <f t="shared" ref="G35:G46" si="3">F35-E35</f>
        <v>0</v>
      </c>
      <c r="H35" s="99">
        <f>G35+'5'!H35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220064</v>
      </c>
      <c r="F36" s="145">
        <v>220943</v>
      </c>
      <c r="G36" s="112">
        <f t="shared" si="3"/>
        <v>879</v>
      </c>
      <c r="H36" s="99">
        <f>G36+'5'!H36</f>
        <v>5413</v>
      </c>
      <c r="I36" s="95"/>
      <c r="J36" s="175">
        <f>H36/DAY(B2)</f>
        <v>902.16666666666663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322998.69</v>
      </c>
      <c r="F37" s="145">
        <v>322998.69</v>
      </c>
      <c r="G37" s="112">
        <f t="shared" si="3"/>
        <v>0</v>
      </c>
      <c r="H37" s="99">
        <f>G37+'5'!H37</f>
        <v>-0.30999999999767169</v>
      </c>
      <c r="I37" s="95"/>
      <c r="J37" s="175">
        <f>H37/DAY(B2)</f>
        <v>-5.1666666666278616E-2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468583</v>
      </c>
      <c r="F38" s="108">
        <v>470808</v>
      </c>
      <c r="G38" s="112">
        <f t="shared" si="3"/>
        <v>2225</v>
      </c>
      <c r="H38" s="99">
        <f>G38+'5'!H38</f>
        <v>13447</v>
      </c>
      <c r="I38" s="95"/>
      <c r="J38" s="175">
        <f>H38/DAY(B2)</f>
        <v>2241.1666666666665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591584</v>
      </c>
      <c r="F39" s="145">
        <v>591584</v>
      </c>
      <c r="G39" s="112">
        <f t="shared" si="3"/>
        <v>0</v>
      </c>
      <c r="H39" s="99">
        <f>G39+'5'!H39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111056</v>
      </c>
      <c r="F40" s="145">
        <v>111907.67</v>
      </c>
      <c r="G40" s="112">
        <f t="shared" si="3"/>
        <v>851.66999999999825</v>
      </c>
      <c r="H40" s="99">
        <f>G40+'5'!H40</f>
        <v>5131.6699999999983</v>
      </c>
      <c r="I40" s="95"/>
      <c r="J40" s="175">
        <f>H40/DAY(B2)</f>
        <v>855.27833333333308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224656</v>
      </c>
      <c r="F41" s="145">
        <v>227539</v>
      </c>
      <c r="G41" s="112">
        <f t="shared" si="3"/>
        <v>2883</v>
      </c>
      <c r="H41" s="99">
        <f>G41+'5'!H41</f>
        <v>15836</v>
      </c>
      <c r="I41" s="95"/>
      <c r="J41" s="175">
        <f>H41/DAY(B2)</f>
        <v>2639.3333333333335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752205.83</v>
      </c>
      <c r="F42" s="145">
        <v>752206</v>
      </c>
      <c r="G42" s="112">
        <f t="shared" si="3"/>
        <v>0.17000000004190952</v>
      </c>
      <c r="H42" s="99">
        <f>G42+'5'!H42</f>
        <v>3842</v>
      </c>
      <c r="I42" s="95"/>
      <c r="J42" s="175">
        <f>H42/DAY(B2)</f>
        <v>640.33333333333337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6838.8400000000402</v>
      </c>
      <c r="H47" s="99">
        <f>G47+'5'!H47</f>
        <v>43669.36</v>
      </c>
      <c r="I47" s="95"/>
      <c r="J47" s="175">
        <f>H47/DAY(B2)</f>
        <v>7278.2266666666665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503296</v>
      </c>
      <c r="F49" s="145">
        <v>507569</v>
      </c>
      <c r="G49" s="112">
        <f t="shared" ref="G49:G58" si="4">F49-E49</f>
        <v>4273</v>
      </c>
      <c r="H49" s="99">
        <f>G49+'5'!H49</f>
        <v>25515</v>
      </c>
      <c r="I49" s="95"/>
      <c r="J49" s="175">
        <f>H49/DAY(B2)</f>
        <v>4252.5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288564</v>
      </c>
      <c r="F50" s="145">
        <v>289557</v>
      </c>
      <c r="G50" s="112">
        <f t="shared" si="4"/>
        <v>993</v>
      </c>
      <c r="H50" s="99">
        <f>G50+'5'!H50</f>
        <v>6807</v>
      </c>
      <c r="I50" s="95"/>
      <c r="J50" s="175">
        <f>H50/DAY(B2)</f>
        <v>1134.5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14024</v>
      </c>
      <c r="F51" s="145">
        <v>15140</v>
      </c>
      <c r="G51" s="112">
        <f t="shared" si="4"/>
        <v>1116</v>
      </c>
      <c r="H51" s="99">
        <f>G51+'5'!H51</f>
        <v>6632</v>
      </c>
      <c r="I51" s="95"/>
      <c r="J51" s="175">
        <f>H51/DAY(B2)</f>
        <v>1105.3333333333333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55484</v>
      </c>
      <c r="F53" s="145">
        <v>59731</v>
      </c>
      <c r="G53" s="112">
        <f t="shared" si="4"/>
        <v>4247</v>
      </c>
      <c r="H53" s="99">
        <f>G53+'5'!H53</f>
        <v>25870</v>
      </c>
      <c r="I53" s="95"/>
      <c r="J53" s="175">
        <f>H53/DAY(B2)</f>
        <v>4311.666666666667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89664</v>
      </c>
      <c r="F54" s="145">
        <v>90009</v>
      </c>
      <c r="G54" s="112">
        <f t="shared" si="4"/>
        <v>345</v>
      </c>
      <c r="H54" s="99">
        <f>G54+'5'!H54</f>
        <v>2066</v>
      </c>
      <c r="I54" s="95"/>
      <c r="J54" s="175">
        <f>H54/DAY(B2)</f>
        <v>344.33333333333331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379084</v>
      </c>
      <c r="F55" s="145">
        <v>382592</v>
      </c>
      <c r="G55" s="112">
        <f t="shared" si="4"/>
        <v>3508</v>
      </c>
      <c r="H55" s="99">
        <f>G55+'5'!H55</f>
        <v>19815</v>
      </c>
      <c r="I55" s="95"/>
      <c r="J55" s="175">
        <f>H55/DAY(B2)</f>
        <v>3302.5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123882</v>
      </c>
      <c r="F56" s="145">
        <v>123882</v>
      </c>
      <c r="G56" s="112">
        <f t="shared" si="4"/>
        <v>0</v>
      </c>
      <c r="H56" s="99">
        <f>G56+'5'!H56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241961</v>
      </c>
      <c r="F57" s="145">
        <v>245077</v>
      </c>
      <c r="G57" s="112">
        <f t="shared" si="4"/>
        <v>3116</v>
      </c>
      <c r="H57" s="99">
        <f>G57+'5'!H57</f>
        <v>18907</v>
      </c>
      <c r="I57" s="95"/>
      <c r="J57" s="175">
        <f>H57/DAY(B2)</f>
        <v>3151.1666666666665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50390</v>
      </c>
      <c r="F58" s="145">
        <v>50673</v>
      </c>
      <c r="G58" s="112">
        <f t="shared" si="4"/>
        <v>283</v>
      </c>
      <c r="H58" s="99">
        <f>G58+'5'!H58</f>
        <v>1564</v>
      </c>
      <c r="I58" s="95"/>
      <c r="J58" s="175">
        <f>H58/DAY(B2)</f>
        <v>260.66666666666669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17881</v>
      </c>
      <c r="H59" s="99">
        <f>G59+'5'!H59</f>
        <v>107175.76000000001</v>
      </c>
      <c r="I59" s="95">
        <f>G7-G60</f>
        <v>1058.1599999999598</v>
      </c>
      <c r="J59" s="175">
        <f>H59/DAY(B2)</f>
        <v>17862.626666666667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24719.84000000004</v>
      </c>
      <c r="H60" s="99">
        <f>G60+'5'!H60</f>
        <v>150845.12</v>
      </c>
      <c r="I60" s="95">
        <f>G13-G60</f>
        <v>365.15999999995984</v>
      </c>
      <c r="J60" s="175">
        <f>H60/DAY(B2)</f>
        <v>25140.853333333333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'5'!F62</f>
        <v>296771</v>
      </c>
      <c r="F62" s="122">
        <v>296901</v>
      </c>
      <c r="G62" s="112">
        <f t="shared" ref="G62:G63" si="5">F62-E62</f>
        <v>130</v>
      </c>
      <c r="H62" s="99">
        <f>G62+'5'!H62</f>
        <v>626</v>
      </c>
      <c r="I62" s="118"/>
      <c r="J62" s="175">
        <f>H62/DAY(B2)</f>
        <v>104.33333333333333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'5'!F63</f>
        <v>239854</v>
      </c>
      <c r="F63" s="122">
        <v>239952</v>
      </c>
      <c r="G63" s="112">
        <f t="shared" si="5"/>
        <v>98</v>
      </c>
      <c r="H63" s="99">
        <f>G63+'5'!H63</f>
        <v>819</v>
      </c>
      <c r="I63" s="118"/>
      <c r="J63" s="175">
        <f>H63/DAY(B2)</f>
        <v>136.5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'5'!F64</f>
        <v>0</v>
      </c>
      <c r="F64" s="122"/>
      <c r="G64" s="112">
        <f>G62+G63</f>
        <v>228</v>
      </c>
      <c r="H64" s="99">
        <f>G64+'5'!H64</f>
        <v>1445</v>
      </c>
      <c r="I64" s="118"/>
      <c r="J64" s="175">
        <f>H64/DAY(B2)</f>
        <v>240.83333333333334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'5'!F65</f>
        <v>455219</v>
      </c>
      <c r="F65" s="122">
        <v>455323</v>
      </c>
      <c r="G65" s="112">
        <f t="shared" ref="G65:G70" si="6">F65-E65</f>
        <v>104</v>
      </c>
      <c r="H65" s="99">
        <f>G65+'5'!H65</f>
        <v>613</v>
      </c>
      <c r="I65" s="118"/>
      <c r="J65" s="175">
        <f>H65/DAY(B2)</f>
        <v>102.16666666666667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111831</v>
      </c>
      <c r="F66" s="122">
        <v>111854</v>
      </c>
      <c r="G66" s="112">
        <f t="shared" si="6"/>
        <v>23</v>
      </c>
      <c r="H66" s="99">
        <f>G66+'5'!H66</f>
        <v>132</v>
      </c>
      <c r="I66" s="118"/>
      <c r="J66" s="175">
        <f>H66/DAY(B2)</f>
        <v>22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113680</v>
      </c>
      <c r="F67" s="122">
        <v>113680</v>
      </c>
      <c r="G67" s="112">
        <f t="shared" si="6"/>
        <v>0</v>
      </c>
      <c r="H67" s="99">
        <f>G67+'5'!H67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164767</v>
      </c>
      <c r="F68" s="122">
        <v>164786</v>
      </c>
      <c r="G68" s="112">
        <f t="shared" si="6"/>
        <v>19</v>
      </c>
      <c r="H68" s="99">
        <f>G68+'5'!H68</f>
        <v>124</v>
      </c>
      <c r="I68" s="118"/>
      <c r="J68" s="175">
        <f>H68/DAY(B2)</f>
        <v>20.666666666666668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12305</v>
      </c>
      <c r="F69" s="122">
        <v>12311</v>
      </c>
      <c r="G69" s="112">
        <f t="shared" si="6"/>
        <v>6</v>
      </c>
      <c r="H69" s="99">
        <f>G69+'5'!H69</f>
        <v>36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9875</v>
      </c>
      <c r="F70" s="122">
        <v>9883</v>
      </c>
      <c r="G70" s="112">
        <f t="shared" si="6"/>
        <v>8</v>
      </c>
      <c r="H70" s="99">
        <f>G70+'5'!H70</f>
        <v>56</v>
      </c>
      <c r="I70" s="118"/>
      <c r="J70" s="175">
        <f>H70/DAY(B2)</f>
        <v>9.3333333333333339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160</v>
      </c>
      <c r="H71" s="99">
        <f>G71+'5'!H71</f>
        <v>961</v>
      </c>
      <c r="I71" s="154"/>
      <c r="J71" s="175">
        <f>H71/DAY(B2)</f>
        <v>160.16666666666666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'5'!F74</f>
        <v>959112</v>
      </c>
      <c r="F74" s="123">
        <v>959424</v>
      </c>
      <c r="G74" s="112">
        <f t="shared" ref="G74:G78" si="7">F74-E74</f>
        <v>312</v>
      </c>
      <c r="H74" s="99">
        <f>G74+'5'!H74</f>
        <v>1766.140000000014</v>
      </c>
      <c r="I74" s="154"/>
      <c r="J74" s="175">
        <f>H74/DAY(B2)</f>
        <v>294.35666666666901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'5'!F75</f>
        <v>73586</v>
      </c>
      <c r="F75" s="123">
        <v>73586</v>
      </c>
      <c r="G75" s="112">
        <f t="shared" si="7"/>
        <v>0</v>
      </c>
      <c r="H75" s="99">
        <f>G75+'5'!H75</f>
        <v>-0.80000000000291038</v>
      </c>
      <c r="I75" s="154"/>
      <c r="J75" s="175">
        <f>H75/DAY(B2)</f>
        <v>-0.13333333333381839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'5'!F76</f>
        <v>190731</v>
      </c>
      <c r="F76" s="123">
        <v>190845</v>
      </c>
      <c r="G76" s="112">
        <f t="shared" si="7"/>
        <v>114</v>
      </c>
      <c r="H76" s="99">
        <f>G76+'5'!H76</f>
        <v>673</v>
      </c>
      <c r="I76" s="154"/>
      <c r="J76" s="175">
        <f>H76/DAY(B2)</f>
        <v>112.16666666666667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'5'!F77</f>
        <v>50592</v>
      </c>
      <c r="F77" s="123">
        <v>50595</v>
      </c>
      <c r="G77" s="112">
        <f t="shared" si="7"/>
        <v>3</v>
      </c>
      <c r="H77" s="99">
        <f>G77+'5'!H77</f>
        <v>282</v>
      </c>
      <c r="I77" s="154"/>
      <c r="J77" s="175">
        <f>H77/DAY(B2)</f>
        <v>47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'5'!F78</f>
        <v>9563</v>
      </c>
      <c r="F78" s="123">
        <v>9563.4</v>
      </c>
      <c r="G78" s="112">
        <f t="shared" si="7"/>
        <v>0.3999999999996362</v>
      </c>
      <c r="H78" s="99">
        <f>G78+'5'!H78</f>
        <v>0.3999999999996362</v>
      </c>
      <c r="I78" s="118"/>
      <c r="J78" s="175">
        <f>H78/DAY(B2)</f>
        <v>6.6666666666606034E-2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117"/>
      <c r="F79" s="117"/>
      <c r="G79" s="112">
        <f>G15-SUM(G74:G78)</f>
        <v>551.60000000000036</v>
      </c>
      <c r="H79" s="99">
        <f>G79+'5'!H79</f>
        <v>3353.2599999999893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981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42649.55</v>
      </c>
      <c r="F84" s="164">
        <v>42663</v>
      </c>
      <c r="G84" s="112">
        <f t="shared" si="8"/>
        <v>13.44999999999709</v>
      </c>
      <c r="H84" s="99">
        <f>G84+'5'!H84</f>
        <v>74</v>
      </c>
      <c r="I84" s="571"/>
      <c r="J84" s="175">
        <f>H84/DAY(B2)</f>
        <v>12.333333333333334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5156.4799999999996</v>
      </c>
      <c r="F85" s="164">
        <v>5156.4799999999996</v>
      </c>
      <c r="G85" s="112">
        <f t="shared" si="8"/>
        <v>0</v>
      </c>
      <c r="H85" s="99">
        <f>G85+'5'!H85</f>
        <v>16.289999999999964</v>
      </c>
      <c r="I85" s="571"/>
      <c r="J85" s="175">
        <f>H85/DAY(B2)</f>
        <v>2.7149999999999941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45491</v>
      </c>
      <c r="F86" s="164">
        <v>45515</v>
      </c>
      <c r="G86" s="112">
        <f t="shared" si="8"/>
        <v>24</v>
      </c>
      <c r="H86" s="99">
        <f>G86+'5'!H86</f>
        <v>136</v>
      </c>
      <c r="I86" s="571"/>
      <c r="J86" s="175">
        <f>H86/DAY(B2)</f>
        <v>22.666666666666668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35457.43</v>
      </c>
      <c r="F87" s="164">
        <v>35457.43</v>
      </c>
      <c r="G87" s="112">
        <f t="shared" si="8"/>
        <v>0</v>
      </c>
      <c r="H87" s="99">
        <f>G87+'5'!H87</f>
        <v>0</v>
      </c>
      <c r="I87" s="553">
        <f>G84+G85+G86+G87</f>
        <v>37.44999999999709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24303.46</v>
      </c>
      <c r="F88" s="164">
        <v>24314</v>
      </c>
      <c r="G88" s="112">
        <f t="shared" si="8"/>
        <v>10.540000000000873</v>
      </c>
      <c r="H88" s="99">
        <f>G88+'5'!H88</f>
        <v>10.540000000000873</v>
      </c>
      <c r="I88" s="553"/>
      <c r="J88" s="175">
        <f>H88/DAY(B2)</f>
        <v>1.7566666666668123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27612.35</v>
      </c>
      <c r="F89" s="164">
        <v>27612.35</v>
      </c>
      <c r="G89" s="112">
        <f t="shared" si="8"/>
        <v>0</v>
      </c>
      <c r="H89" s="99">
        <f>G89+'5'!H89</f>
        <v>45.739999999997963</v>
      </c>
      <c r="I89" s="553">
        <f>G88+G89</f>
        <v>10.540000000000873</v>
      </c>
      <c r="J89" s="175">
        <f>H89/DAY(B2)</f>
        <v>7.6233333333329938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72662.97</v>
      </c>
      <c r="F90" s="404">
        <v>72674</v>
      </c>
      <c r="G90" s="112">
        <f t="shared" si="8"/>
        <v>11.029999999998836</v>
      </c>
      <c r="H90" s="99">
        <f>G90+'5'!H90</f>
        <v>67.44999999999709</v>
      </c>
      <c r="I90" s="553">
        <f>G90</f>
        <v>11.029999999998836</v>
      </c>
      <c r="J90" s="175">
        <f>H90/DAY(B2)</f>
        <v>11.241666666666182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4289.5600000000004</v>
      </c>
      <c r="F91" s="122">
        <v>4289.5600000000004</v>
      </c>
      <c r="G91" s="112">
        <f t="shared" si="8"/>
        <v>0</v>
      </c>
      <c r="H91" s="99">
        <f>G91+'5'!H91</f>
        <v>2.0000000000436557E-2</v>
      </c>
      <c r="I91" s="613"/>
      <c r="J91" s="175">
        <f>H91/DAY(B2)</f>
        <v>3.3333333334060931E-3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6769.33</v>
      </c>
      <c r="F92" s="122">
        <v>6780.56</v>
      </c>
      <c r="G92" s="112">
        <f t="shared" si="8"/>
        <v>11.230000000000473</v>
      </c>
      <c r="H92" s="99">
        <f>G92+'5'!H92</f>
        <v>63.230000000000473</v>
      </c>
      <c r="I92" s="614">
        <f>G91+G92</f>
        <v>11.230000000000473</v>
      </c>
      <c r="J92" s="175">
        <f>H92/DAY(B2)</f>
        <v>10.538333333333412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7389</v>
      </c>
      <c r="H94" s="99">
        <f>G94+'5'!H94</f>
        <v>44422</v>
      </c>
      <c r="I94" s="118"/>
      <c r="J94" s="175">
        <f>H94/DAY(B2)</f>
        <v>7403.666666666667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0.28663977034680738</v>
      </c>
      <c r="H95" s="99">
        <f>G95+'5'!H95</f>
        <v>1.7034840301729313</v>
      </c>
      <c r="I95" s="167"/>
      <c r="J95" s="175">
        <f>H95/DAY(B2)</f>
        <v>0.28391400502882186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6391.1700000000419</v>
      </c>
      <c r="H96" s="99">
        <f>G96+'5'!H96</f>
        <v>39493</v>
      </c>
      <c r="I96" s="118"/>
      <c r="J96" s="175">
        <f>H96/DAY(B2)</f>
        <v>6582.166666666667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0.24793118162774622</v>
      </c>
      <c r="H97" s="99">
        <f>G97+'5'!H97</f>
        <v>1.5122113081995729</v>
      </c>
      <c r="I97" s="167"/>
      <c r="J97" s="175">
        <f>H97/DAY(B2)</f>
        <v>0.25203521803326218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4247</v>
      </c>
      <c r="H98" s="99">
        <f>G98+'5'!H98</f>
        <v>25870</v>
      </c>
      <c r="I98" s="168"/>
      <c r="J98" s="175">
        <f>H98/DAY(B2)</f>
        <v>4311.666666666667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0.16475289006129257</v>
      </c>
      <c r="H99" s="99">
        <f>G99+'5'!H99</f>
        <v>0.99244250442537618</v>
      </c>
      <c r="I99" s="168"/>
      <c r="J99" s="175">
        <f>H99/DAY(B2)</f>
        <v>0.16540708407089602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2225</v>
      </c>
      <c r="H100" s="99">
        <f>G100+'5'!H100</f>
        <v>13446.76</v>
      </c>
      <c r="I100" s="118"/>
      <c r="J100" s="175">
        <f>H100/DAY(B2)</f>
        <v>2241.1266666666666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8.6313911086973394E-2</v>
      </c>
      <c r="H101" s="99">
        <f>G101+'5'!H101</f>
        <v>0.51569626819855996</v>
      </c>
      <c r="I101" s="168"/>
      <c r="J101" s="175">
        <f>H101/DAY(B2)</f>
        <v>8.5949378033093327E-2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1872</v>
      </c>
      <c r="H102" s="99">
        <f>G102+'5'!H102</f>
        <v>12220</v>
      </c>
      <c r="I102" s="168"/>
      <c r="J102" s="175">
        <f>H102/DAY(B2)</f>
        <v>2036.6666666666667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7.2620063620141201E-2</v>
      </c>
      <c r="H103" s="99">
        <f>G103+'5'!H103</f>
        <v>0.46622365858486159</v>
      </c>
      <c r="I103" s="118"/>
      <c r="J103" s="175">
        <f>H103/DAY(B2)</f>
        <v>7.7703943097476927E-2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1116</v>
      </c>
      <c r="H104" s="99">
        <f>G104+'5'!H104</f>
        <v>6631.6900000000023</v>
      </c>
      <c r="I104" s="118"/>
      <c r="J104" s="175">
        <f>H104/DAY(B2)</f>
        <v>1105.281666666667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4.3292730235084183E-2</v>
      </c>
      <c r="H105" s="99">
        <f>G105+'5'!H105</f>
        <v>0.25438291473354435</v>
      </c>
      <c r="I105" s="187"/>
      <c r="J105" s="188">
        <f>H105/DAY(B2)</f>
        <v>4.2397152455590725E-2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'5'!F112</f>
        <v>7627</v>
      </c>
      <c r="F112" s="237">
        <v>7700</v>
      </c>
      <c r="G112" s="112">
        <f t="shared" ref="G112:G123" si="9">F112-E112</f>
        <v>73</v>
      </c>
      <c r="H112" s="99">
        <f>G112+'5'!H112</f>
        <v>435</v>
      </c>
      <c r="I112" s="165"/>
      <c r="J112" s="328">
        <f>H112/DAY(B2)</f>
        <v>72.5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'5'!F113</f>
        <v>15714</v>
      </c>
      <c r="F113" s="237">
        <v>15851</v>
      </c>
      <c r="G113" s="112">
        <f t="shared" si="9"/>
        <v>137</v>
      </c>
      <c r="H113" s="99">
        <f>G113+'5'!H113</f>
        <v>836</v>
      </c>
      <c r="I113" s="165"/>
      <c r="J113" s="328">
        <f>H113/DAY(B2)</f>
        <v>139.33333333333334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'5'!F114</f>
        <v>22356</v>
      </c>
      <c r="F114" s="237">
        <v>22575</v>
      </c>
      <c r="G114" s="112">
        <f t="shared" si="9"/>
        <v>219</v>
      </c>
      <c r="H114" s="99">
        <f>G114+'5'!H114</f>
        <v>1307</v>
      </c>
      <c r="I114" s="165"/>
      <c r="J114" s="328">
        <f>H114/DAY(B2)</f>
        <v>217.83333333333334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'5'!F115</f>
        <v>14156</v>
      </c>
      <c r="F115" s="237">
        <v>14265</v>
      </c>
      <c r="G115" s="112">
        <f t="shared" si="9"/>
        <v>109</v>
      </c>
      <c r="H115" s="99">
        <f>G115+'5'!H115</f>
        <v>835</v>
      </c>
      <c r="I115" s="165"/>
      <c r="J115" s="328">
        <f>H115/DAY(B2)</f>
        <v>139.16666666666666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'5'!F116</f>
        <v>72401</v>
      </c>
      <c r="F116" s="237">
        <v>72720</v>
      </c>
      <c r="G116" s="112">
        <f t="shared" si="9"/>
        <v>319</v>
      </c>
      <c r="H116" s="99">
        <f>G116+'5'!H116</f>
        <v>2228</v>
      </c>
      <c r="I116" s="165"/>
      <c r="J116" s="328">
        <f>H116/DAY(B2)</f>
        <v>371.33333333333331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'5'!F117</f>
        <v>42066</v>
      </c>
      <c r="F117" s="237">
        <v>42282</v>
      </c>
      <c r="G117" s="112">
        <f t="shared" si="9"/>
        <v>216</v>
      </c>
      <c r="H117" s="99">
        <f>G117+'5'!H117</f>
        <v>1360</v>
      </c>
      <c r="I117" s="165"/>
      <c r="J117" s="328">
        <f>H117/DAY(B2)</f>
        <v>226.66666666666666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'5'!F118</f>
        <v>67685</v>
      </c>
      <c r="F118" s="237">
        <v>68225</v>
      </c>
      <c r="G118" s="112">
        <f t="shared" si="9"/>
        <v>540</v>
      </c>
      <c r="H118" s="99">
        <f>G118+'5'!H118</f>
        <v>3553</v>
      </c>
      <c r="I118" s="165"/>
      <c r="J118" s="328">
        <f>H118/DAY(B2)</f>
        <v>592.16666666666663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'5'!F119</f>
        <v>38596</v>
      </c>
      <c r="F119" s="237">
        <v>38844</v>
      </c>
      <c r="G119" s="112">
        <f t="shared" si="9"/>
        <v>248</v>
      </c>
      <c r="H119" s="99">
        <f>G119+'5'!H119</f>
        <v>1395</v>
      </c>
      <c r="I119" s="165"/>
      <c r="J119" s="328">
        <f>H119/DAY(B2)</f>
        <v>232.5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'5'!F120</f>
        <v>48318</v>
      </c>
      <c r="F120" s="237">
        <v>48742</v>
      </c>
      <c r="G120" s="112">
        <f t="shared" si="9"/>
        <v>424</v>
      </c>
      <c r="H120" s="99">
        <f>G120+'5'!H120</f>
        <v>2475</v>
      </c>
      <c r="I120" s="165"/>
      <c r="J120" s="328">
        <f>H120/DAY(B2)</f>
        <v>412.5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'5'!F121</f>
        <v>55923</v>
      </c>
      <c r="F121" s="237">
        <v>56393</v>
      </c>
      <c r="G121" s="112">
        <f t="shared" si="9"/>
        <v>470</v>
      </c>
      <c r="H121" s="99">
        <f>G121+'5'!H121</f>
        <v>2850</v>
      </c>
      <c r="I121" s="165"/>
      <c r="J121" s="328">
        <f>H121/DAY(B2)</f>
        <v>475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'5'!F122</f>
        <v>30068</v>
      </c>
      <c r="F122" s="237">
        <v>30396</v>
      </c>
      <c r="G122" s="112">
        <f t="shared" si="9"/>
        <v>328</v>
      </c>
      <c r="H122" s="99">
        <f>G122+'5'!H122</f>
        <v>1722</v>
      </c>
      <c r="I122" s="165"/>
      <c r="J122" s="328">
        <f>H122/DAY(B2)</f>
        <v>287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'5'!F123</f>
        <v>31798</v>
      </c>
      <c r="F123" s="237">
        <v>32129</v>
      </c>
      <c r="G123" s="112">
        <f t="shared" si="9"/>
        <v>331</v>
      </c>
      <c r="H123" s="99">
        <f>G123+'5'!H123</f>
        <v>1941</v>
      </c>
      <c r="I123" s="165"/>
      <c r="J123" s="328">
        <f>H123/DAY(B2)</f>
        <v>323.5</v>
      </c>
    </row>
    <row r="124" spans="1:18" ht="29.25" customHeight="1">
      <c r="A124" s="898"/>
      <c r="B124" s="899"/>
      <c r="C124" s="900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3414</v>
      </c>
      <c r="H125" s="156"/>
      <c r="I125" s="327">
        <f>G125-(G39+G53)</f>
        <v>-833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'5'!F128</f>
        <v>130200</v>
      </c>
      <c r="F128" s="165">
        <v>130745</v>
      </c>
      <c r="G128" s="112">
        <f t="shared" ref="G128:G134" si="10">F128-E128</f>
        <v>545</v>
      </c>
      <c r="H128" s="99">
        <f>G128+'5'!H128</f>
        <v>3101</v>
      </c>
      <c r="I128" s="165"/>
      <c r="J128" s="328">
        <f>H128/DAY(B2)</f>
        <v>516.83333333333337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73478</v>
      </c>
      <c r="F129" s="165">
        <v>73714</v>
      </c>
      <c r="G129" s="112">
        <f t="shared" si="10"/>
        <v>236</v>
      </c>
      <c r="H129" s="99">
        <f>G129+'5'!H129</f>
        <v>1211</v>
      </c>
      <c r="I129" s="165"/>
      <c r="J129" s="328">
        <f>H129/DAY(B2)</f>
        <v>201.83333333333334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168059</v>
      </c>
      <c r="F130" s="165">
        <v>168761</v>
      </c>
      <c r="G130" s="112">
        <f t="shared" si="10"/>
        <v>702</v>
      </c>
      <c r="H130" s="99">
        <f>G130+'5'!H130</f>
        <v>4164</v>
      </c>
      <c r="I130" s="165"/>
      <c r="J130" s="328">
        <f>H130/DAY(B2)</f>
        <v>694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'5'!F131</f>
        <v>49430</v>
      </c>
      <c r="F131" s="165">
        <v>49566</v>
      </c>
      <c r="G131" s="112">
        <f t="shared" si="10"/>
        <v>136</v>
      </c>
      <c r="H131" s="99">
        <f>G131+'5'!H131</f>
        <v>1117</v>
      </c>
      <c r="I131" s="165"/>
      <c r="J131" s="328">
        <f>H131/DAY(B2)</f>
        <v>186.16666666666666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'5'!F132</f>
        <v>130174</v>
      </c>
      <c r="F132" s="165">
        <v>130586</v>
      </c>
      <c r="G132" s="112">
        <f t="shared" si="10"/>
        <v>412</v>
      </c>
      <c r="H132" s="99">
        <f>G132+'5'!H132</f>
        <v>2412</v>
      </c>
      <c r="I132" s="165"/>
      <c r="J132" s="328">
        <f>H132/DAY(B2)</f>
        <v>402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'5'!F133</f>
        <v>224035.59</v>
      </c>
      <c r="F133" s="165">
        <v>224036</v>
      </c>
      <c r="G133" s="112">
        <f t="shared" si="10"/>
        <v>0.41000000000349246</v>
      </c>
      <c r="H133" s="99">
        <f>G133+'5'!H133</f>
        <v>0.41000000000349246</v>
      </c>
      <c r="I133" s="165"/>
      <c r="J133" s="328">
        <f>H133/DAY(B2)</f>
        <v>6.8333333333915405E-2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'5'!F134</f>
        <v>50060</v>
      </c>
      <c r="F134" s="165">
        <v>50270</v>
      </c>
      <c r="G134" s="112">
        <f t="shared" si="10"/>
        <v>210</v>
      </c>
      <c r="H134" s="99">
        <f>G134+'5'!H134</f>
        <v>1235</v>
      </c>
      <c r="I134" s="165"/>
      <c r="J134" s="328">
        <f>H134/DAY(B2)</f>
        <v>205.83333333333334</v>
      </c>
    </row>
    <row r="135" spans="1:15" ht="25.5">
      <c r="A135" s="876" t="s">
        <v>196</v>
      </c>
      <c r="B135" s="877"/>
      <c r="C135" s="331"/>
      <c r="D135" s="151"/>
      <c r="E135" s="95"/>
      <c r="F135" s="112"/>
      <c r="G135" s="112">
        <f>SUM(G128:G134)</f>
        <v>2241.4100000000035</v>
      </c>
      <c r="H135" s="99">
        <f>G135+'5'!H135</f>
        <v>13240.410000000003</v>
      </c>
      <c r="I135" s="327">
        <f>G135-(G35+G49)</f>
        <v>-2031.5899999999965</v>
      </c>
      <c r="J135" s="328">
        <f>H135/DAY(B2)</f>
        <v>2206.7350000000006</v>
      </c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'5'!F138</f>
        <v>891844</v>
      </c>
      <c r="F138" s="518">
        <v>891991</v>
      </c>
      <c r="G138" s="112">
        <f t="shared" ref="G138:G152" si="11">F138-E138</f>
        <v>147</v>
      </c>
      <c r="H138" s="99">
        <f>G138+'5'!H138</f>
        <v>893</v>
      </c>
      <c r="I138" s="118"/>
      <c r="J138" s="328">
        <f>H138/DAY(B2)</f>
        <v>148.83333333333334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'5'!F139</f>
        <v>909660</v>
      </c>
      <c r="F139" s="518">
        <v>909817</v>
      </c>
      <c r="G139" s="112">
        <f t="shared" si="11"/>
        <v>157</v>
      </c>
      <c r="H139" s="99">
        <f>G139+'5'!H139</f>
        <v>922</v>
      </c>
      <c r="I139" s="118"/>
      <c r="J139" s="328">
        <f>H139/DAY(B2)</f>
        <v>153.66666666666666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'5'!F140</f>
        <v>1589</v>
      </c>
      <c r="F140" s="149">
        <v>1603</v>
      </c>
      <c r="G140" s="112">
        <f t="shared" si="11"/>
        <v>14</v>
      </c>
      <c r="H140" s="99">
        <f>G140+'5'!H140</f>
        <v>90</v>
      </c>
      <c r="I140" s="118"/>
      <c r="J140" s="328">
        <f>H140/DAY(B2)</f>
        <v>15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'5'!F141</f>
        <v>91414</v>
      </c>
      <c r="F141" s="149">
        <v>91609</v>
      </c>
      <c r="G141" s="112">
        <f t="shared" si="11"/>
        <v>195</v>
      </c>
      <c r="H141" s="99">
        <f>G141+'5'!H141</f>
        <v>1157</v>
      </c>
      <c r="I141" s="118"/>
      <c r="J141" s="328">
        <f>H141/DAY(B2)</f>
        <v>192.83333333333334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'5'!F142</f>
        <v>37033</v>
      </c>
      <c r="F142" s="148">
        <v>37122</v>
      </c>
      <c r="G142" s="112">
        <f t="shared" si="11"/>
        <v>89</v>
      </c>
      <c r="H142" s="99">
        <f>G142+'5'!H142</f>
        <v>461</v>
      </c>
      <c r="I142" s="140"/>
      <c r="J142" s="328">
        <f>H142/DAY(B2)</f>
        <v>76.833333333333329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'5'!F143</f>
        <v>9180</v>
      </c>
      <c r="F143" s="149">
        <v>9205</v>
      </c>
      <c r="G143" s="112">
        <f t="shared" si="11"/>
        <v>25</v>
      </c>
      <c r="H143" s="99">
        <f>G143+'5'!H143</f>
        <v>154</v>
      </c>
      <c r="I143" s="140"/>
      <c r="J143" s="328">
        <f>H143/DAY(B2)</f>
        <v>25.666666666666668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'5'!F144</f>
        <v>920908</v>
      </c>
      <c r="F144" s="149">
        <v>921134</v>
      </c>
      <c r="G144" s="112">
        <f t="shared" si="11"/>
        <v>226</v>
      </c>
      <c r="H144" s="99">
        <f>G144+'5'!H144</f>
        <v>1297</v>
      </c>
      <c r="I144" s="140"/>
      <c r="J144" s="328">
        <f>H144/DAY(B2)</f>
        <v>216.16666666666666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'5'!F145</f>
        <v>5981</v>
      </c>
      <c r="F145" s="148">
        <v>6008</v>
      </c>
      <c r="G145" s="112">
        <f t="shared" si="11"/>
        <v>27</v>
      </c>
      <c r="H145" s="99">
        <f>G145+'5'!H145</f>
        <v>201</v>
      </c>
      <c r="I145" s="140"/>
      <c r="J145" s="328">
        <f>H145/DAY(B2)</f>
        <v>33.5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'5'!F146</f>
        <v>781242</v>
      </c>
      <c r="F146" s="148">
        <v>781314</v>
      </c>
      <c r="G146" s="112">
        <f t="shared" si="11"/>
        <v>72</v>
      </c>
      <c r="H146" s="99">
        <f>G146+'5'!H146</f>
        <v>514</v>
      </c>
      <c r="I146" s="140"/>
      <c r="J146" s="328">
        <f>H146/DAY(B2)</f>
        <v>85.666666666666671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'5'!F147</f>
        <v>701648</v>
      </c>
      <c r="F147" s="518">
        <v>702027</v>
      </c>
      <c r="G147" s="112">
        <f t="shared" si="11"/>
        <v>379</v>
      </c>
      <c r="H147" s="99">
        <f>G147+'5'!H147</f>
        <v>2258</v>
      </c>
      <c r="I147" s="140"/>
      <c r="J147" s="328">
        <f>H147/DAY(B2)</f>
        <v>376.33333333333331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'5'!F148</f>
        <v>749992</v>
      </c>
      <c r="F148" s="404">
        <v>750292</v>
      </c>
      <c r="G148" s="112">
        <f t="shared" si="11"/>
        <v>300</v>
      </c>
      <c r="H148" s="99">
        <f>G148+'5'!H148</f>
        <v>1762</v>
      </c>
      <c r="I148" s="124"/>
      <c r="J148" s="328">
        <f>H148/DAY(B2)</f>
        <v>293.66666666666669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'5'!F149</f>
        <v>134692</v>
      </c>
      <c r="F149" s="146">
        <v>135196</v>
      </c>
      <c r="G149" s="112">
        <f t="shared" si="11"/>
        <v>504</v>
      </c>
      <c r="H149" s="99">
        <f>G149+'5'!H149</f>
        <v>2762</v>
      </c>
      <c r="I149" s="119"/>
      <c r="J149" s="328">
        <f>H149/DAY(B2)</f>
        <v>460.33333333333331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'5'!F150</f>
        <v>51718</v>
      </c>
      <c r="F150" s="233">
        <v>51946</v>
      </c>
      <c r="G150" s="112">
        <f t="shared" si="11"/>
        <v>228</v>
      </c>
      <c r="H150" s="99">
        <f>G150+'5'!H150</f>
        <v>1331</v>
      </c>
      <c r="I150" s="119"/>
      <c r="J150" s="328">
        <f>H150/DAY(B2)</f>
        <v>221.83333333333334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'5'!F151</f>
        <v>136949</v>
      </c>
      <c r="F151" s="233">
        <v>137196</v>
      </c>
      <c r="G151" s="112">
        <f t="shared" si="11"/>
        <v>247</v>
      </c>
      <c r="H151" s="99">
        <f>G151+'5'!H151</f>
        <v>1747</v>
      </c>
      <c r="I151" s="119"/>
      <c r="J151" s="328">
        <f>H151/DAY(B2)</f>
        <v>291.16666666666669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'5'!F152</f>
        <v>23728</v>
      </c>
      <c r="F152" s="233">
        <v>23848</v>
      </c>
      <c r="G152" s="112">
        <f t="shared" si="11"/>
        <v>120</v>
      </c>
      <c r="H152" s="99">
        <f>G152+'5'!H152</f>
        <v>694</v>
      </c>
      <c r="I152" s="119"/>
      <c r="J152" s="328">
        <f>H152/DAY(B2)</f>
        <v>115.66666666666667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2730</v>
      </c>
      <c r="H153" s="363"/>
      <c r="I153" s="119">
        <f>G153-(G38+G52)</f>
        <v>505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'5'!F155</f>
        <v>151439</v>
      </c>
      <c r="F155" s="374">
        <v>152122</v>
      </c>
      <c r="G155" s="112">
        <f t="shared" ref="G155:G158" si="12">F155-E155</f>
        <v>683</v>
      </c>
      <c r="H155" s="99">
        <f>G155+'5'!H155</f>
        <v>3973</v>
      </c>
      <c r="I155" s="364"/>
      <c r="J155" s="328">
        <f>H155/DAY(B2)</f>
        <v>662.16666666666663</v>
      </c>
    </row>
    <row r="156" spans="1:10" ht="25.5">
      <c r="A156" s="872" t="s">
        <v>346</v>
      </c>
      <c r="B156" s="872"/>
      <c r="C156" s="872"/>
      <c r="D156" s="117" t="s">
        <v>130</v>
      </c>
      <c r="E156" s="95">
        <f>'5'!F156</f>
        <v>15248</v>
      </c>
      <c r="F156" s="155">
        <v>15345</v>
      </c>
      <c r="G156" s="112">
        <f t="shared" si="12"/>
        <v>97</v>
      </c>
      <c r="H156" s="99">
        <f>G156+'5'!H156</f>
        <v>611</v>
      </c>
      <c r="I156" s="165"/>
      <c r="J156" s="328">
        <f>H156/DAY(B2)</f>
        <v>101.83333333333333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'5'!F157</f>
        <v>28171</v>
      </c>
      <c r="F157" s="155">
        <v>28325</v>
      </c>
      <c r="G157" s="112">
        <f t="shared" si="12"/>
        <v>154</v>
      </c>
      <c r="H157" s="99">
        <f>G157+'5'!H157</f>
        <v>879</v>
      </c>
      <c r="I157" s="165"/>
      <c r="J157" s="328">
        <f>H157/DAY(B2)</f>
        <v>146.5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'5'!F158</f>
        <v>239.98</v>
      </c>
      <c r="F158" s="155">
        <v>240</v>
      </c>
      <c r="G158" s="112">
        <f t="shared" si="12"/>
        <v>2.0000000000010232E-2</v>
      </c>
      <c r="H158" s="99">
        <f>G158+'5'!H158</f>
        <v>151.57999999999998</v>
      </c>
      <c r="I158" s="165"/>
      <c r="J158" s="328">
        <f>H158/DAY(B2)</f>
        <v>25.263333333333332</v>
      </c>
    </row>
    <row r="159" spans="1:10" ht="25.5">
      <c r="A159" s="958"/>
      <c r="B159" s="959"/>
      <c r="C159" s="960"/>
      <c r="D159" s="117"/>
      <c r="E159" s="95"/>
      <c r="F159" s="15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480191</v>
      </c>
      <c r="F161" s="766">
        <v>480221</v>
      </c>
      <c r="G161" s="238">
        <f t="shared" ref="G161:G165" si="13">F161-E161</f>
        <v>30</v>
      </c>
      <c r="H161" s="99">
        <f>G161+'5'!H161</f>
        <v>168</v>
      </c>
      <c r="I161" s="236"/>
      <c r="J161" s="239">
        <f>H161/DAY(B2)</f>
        <v>28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95157</v>
      </c>
      <c r="F162" s="235">
        <v>95201</v>
      </c>
      <c r="G162" s="238">
        <f t="shared" si="13"/>
        <v>44</v>
      </c>
      <c r="H162" s="99">
        <f>G162+'5'!H162</f>
        <v>273</v>
      </c>
      <c r="I162" s="236"/>
      <c r="J162" s="239">
        <f>H162/DAY(B2)</f>
        <v>45.5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7111</v>
      </c>
      <c r="F163" s="235">
        <v>7168</v>
      </c>
      <c r="G163" s="238">
        <f t="shared" si="13"/>
        <v>57</v>
      </c>
      <c r="H163" s="99">
        <f>G163+'5'!H163</f>
        <v>667</v>
      </c>
      <c r="I163" s="236"/>
      <c r="J163" s="239">
        <f>H163/DAY(B2)</f>
        <v>111.16666666666667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6290</v>
      </c>
      <c r="F164" s="235">
        <v>6291</v>
      </c>
      <c r="G164" s="238">
        <f t="shared" si="13"/>
        <v>1</v>
      </c>
      <c r="H164" s="99">
        <f>G164+'5'!H164</f>
        <v>11</v>
      </c>
      <c r="I164" s="236"/>
      <c r="J164" s="239">
        <f>H164/DAY(B2)</f>
        <v>1.8333333333333333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31676</v>
      </c>
      <c r="F165" s="235">
        <v>31686</v>
      </c>
      <c r="G165" s="238">
        <f t="shared" si="13"/>
        <v>10</v>
      </c>
      <c r="H165" s="99">
        <f>G165+'5'!H165</f>
        <v>52</v>
      </c>
      <c r="I165" s="236"/>
      <c r="J165" s="239">
        <f>H165/DAY(B2)</f>
        <v>8.6666666666666661</v>
      </c>
    </row>
    <row r="166" spans="1:10" ht="26.25">
      <c r="A166" s="881"/>
      <c r="B166" s="881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'5'!F173</f>
        <v>8245</v>
      </c>
      <c r="F173" s="155">
        <v>8247</v>
      </c>
      <c r="G173" s="155">
        <f>F173-E173</f>
        <v>2</v>
      </c>
      <c r="H173" s="99">
        <f>G173+'5'!H173</f>
        <v>12</v>
      </c>
      <c r="I173" s="155"/>
      <c r="J173" s="178">
        <f>H173/DAY(B2)</f>
        <v>2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'5'!F174</f>
        <v>41272</v>
      </c>
      <c r="F174" s="157">
        <v>41286</v>
      </c>
      <c r="G174" s="155">
        <f t="shared" ref="G174:G175" si="14">F174-E174</f>
        <v>14</v>
      </c>
      <c r="H174" s="99">
        <f>G174+'5'!H174</f>
        <v>82</v>
      </c>
      <c r="I174" s="155"/>
      <c r="J174" s="178">
        <f>H174/DAY(B2)</f>
        <v>13.666666666666666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'5'!F175</f>
        <v>24089</v>
      </c>
      <c r="F175" s="155">
        <v>24103</v>
      </c>
      <c r="G175" s="155">
        <f t="shared" si="14"/>
        <v>14</v>
      </c>
      <c r="H175" s="99">
        <f>G175+'5'!H175</f>
        <v>72</v>
      </c>
      <c r="I175" s="155"/>
      <c r="J175" s="178">
        <f>H175/DAY(B2)</f>
        <v>12</v>
      </c>
    </row>
    <row r="176" spans="1:10" ht="25.5">
      <c r="A176" s="463" t="s">
        <v>196</v>
      </c>
      <c r="B176" s="464"/>
      <c r="C176" s="333"/>
      <c r="D176" s="228"/>
      <c r="E176" s="95">
        <f>'5'!F176</f>
        <v>0</v>
      </c>
      <c r="F176" s="155"/>
      <c r="G176" s="155">
        <f>SUM(G173:G175)</f>
        <v>30</v>
      </c>
      <c r="H176" s="99">
        <f>G176+'5'!H176</f>
        <v>166</v>
      </c>
      <c r="I176" s="155"/>
      <c r="J176" s="178">
        <f>H176/DAY(B2)</f>
        <v>27.666666666666668</v>
      </c>
    </row>
    <row r="177" spans="1:14" ht="25.5">
      <c r="A177" s="887" t="s">
        <v>77</v>
      </c>
      <c r="B177" s="888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4" ht="25.5">
      <c r="A178" s="887" t="s">
        <v>210</v>
      </c>
      <c r="B178" s="888"/>
      <c r="C178" s="333"/>
      <c r="D178" s="228" t="s">
        <v>142</v>
      </c>
      <c r="E178" s="95">
        <f>'5'!F178</f>
        <v>98176</v>
      </c>
      <c r="F178" s="155">
        <v>98230</v>
      </c>
      <c r="G178" s="155">
        <f>F178-E178</f>
        <v>54</v>
      </c>
      <c r="H178" s="99">
        <f>G178+'5'!H178</f>
        <v>517</v>
      </c>
      <c r="I178" s="155"/>
      <c r="J178" s="178">
        <f>H178/DAY(B2)</f>
        <v>86.166666666666671</v>
      </c>
    </row>
    <row r="179" spans="1:14" ht="25.5">
      <c r="A179" s="887" t="s">
        <v>211</v>
      </c>
      <c r="B179" s="888"/>
      <c r="C179" s="333"/>
      <c r="D179" s="228" t="s">
        <v>142</v>
      </c>
      <c r="E179" s="95">
        <f>'5'!F179</f>
        <v>36002</v>
      </c>
      <c r="F179" s="157">
        <v>36002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  <c r="N179" s="65" t="s">
        <v>372</v>
      </c>
    </row>
    <row r="180" spans="1:14" ht="25.5">
      <c r="A180" s="887" t="s">
        <v>212</v>
      </c>
      <c r="B180" s="888"/>
      <c r="C180" s="333"/>
      <c r="D180" s="228" t="s">
        <v>142</v>
      </c>
      <c r="E180" s="95">
        <f>'5'!F180</f>
        <v>7176</v>
      </c>
      <c r="F180" s="155">
        <v>7178</v>
      </c>
      <c r="G180" s="155">
        <f t="shared" si="15"/>
        <v>2</v>
      </c>
      <c r="H180" s="99">
        <f>G180+'5'!H180</f>
        <v>9</v>
      </c>
      <c r="I180" s="155"/>
      <c r="J180" s="178">
        <f>H180/DAY(B2)</f>
        <v>1.5</v>
      </c>
    </row>
    <row r="181" spans="1:14" ht="25.5">
      <c r="A181" s="889" t="s">
        <v>108</v>
      </c>
      <c r="B181" s="890"/>
      <c r="C181" s="333"/>
      <c r="D181" s="228"/>
      <c r="E181" s="95">
        <f>'5'!F181</f>
        <v>0</v>
      </c>
      <c r="F181" s="155"/>
      <c r="G181" s="155">
        <f>SUM(G178:G180)</f>
        <v>56</v>
      </c>
      <c r="H181" s="99">
        <f>G181+'5'!H181</f>
        <v>526</v>
      </c>
      <c r="I181" s="155"/>
      <c r="J181" s="178">
        <f>H181/DAY(B2)</f>
        <v>87.666666666666671</v>
      </c>
    </row>
    <row r="182" spans="1:14" ht="25.5">
      <c r="A182" s="887" t="s">
        <v>213</v>
      </c>
      <c r="B182" s="888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4" ht="25.5">
      <c r="A183" s="887" t="s">
        <v>214</v>
      </c>
      <c r="B183" s="888"/>
      <c r="C183" s="334"/>
      <c r="D183" s="228" t="s">
        <v>142</v>
      </c>
      <c r="E183" s="95">
        <f>'5'!F183</f>
        <v>17514</v>
      </c>
      <c r="F183" s="157">
        <v>17519</v>
      </c>
      <c r="G183" s="157">
        <f>F183-E183</f>
        <v>5</v>
      </c>
      <c r="H183" s="99">
        <f>G183+'5'!H183</f>
        <v>46</v>
      </c>
      <c r="I183" s="155"/>
      <c r="J183" s="178">
        <f>H183/DAY(B2)</f>
        <v>7.666666666666667</v>
      </c>
    </row>
    <row r="184" spans="1:14" ht="25.5">
      <c r="A184" s="887" t="s">
        <v>215</v>
      </c>
      <c r="B184" s="888"/>
      <c r="C184" s="334"/>
      <c r="D184" s="228" t="s">
        <v>142</v>
      </c>
      <c r="E184" s="95">
        <f>'5'!F184</f>
        <v>11973</v>
      </c>
      <c r="F184" s="157">
        <v>11979</v>
      </c>
      <c r="G184" s="157">
        <f t="shared" ref="G184:G185" si="16">F184-E184</f>
        <v>6</v>
      </c>
      <c r="H184" s="99">
        <f>G184+'5'!H184</f>
        <v>44</v>
      </c>
      <c r="I184" s="155"/>
      <c r="J184" s="178">
        <f>H184/DAY(B2)</f>
        <v>7.333333333333333</v>
      </c>
    </row>
    <row r="185" spans="1:14" ht="25.5">
      <c r="A185" s="887" t="s">
        <v>216</v>
      </c>
      <c r="B185" s="888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4" ht="25.5">
      <c r="A186" s="876" t="s">
        <v>196</v>
      </c>
      <c r="B186" s="877"/>
      <c r="C186" s="334"/>
      <c r="D186" s="229"/>
      <c r="E186" s="95"/>
      <c r="F186" s="157"/>
      <c r="G186" s="157">
        <f>SUM(G183:G185)</f>
        <v>11</v>
      </c>
      <c r="H186" s="99">
        <f>G186+'5'!H186</f>
        <v>90</v>
      </c>
      <c r="I186" s="157"/>
      <c r="J186" s="178">
        <f>H186/DAY(B2)</f>
        <v>15</v>
      </c>
    </row>
    <row r="187" spans="1:14" ht="25.5">
      <c r="A187" s="878" t="s">
        <v>217</v>
      </c>
      <c r="B187" s="879"/>
      <c r="C187" s="333"/>
      <c r="D187" s="230" t="s">
        <v>142</v>
      </c>
      <c r="E187" s="95"/>
      <c r="F187" s="159"/>
      <c r="G187" s="159">
        <f>G62+G19</f>
        <v>177</v>
      </c>
      <c r="H187" s="99">
        <f>G187+'5'!H187</f>
        <v>936</v>
      </c>
      <c r="I187" s="158"/>
      <c r="J187" s="179">
        <f>H187/DAY(B2)</f>
        <v>156</v>
      </c>
    </row>
    <row r="188" spans="1:14" ht="25.5">
      <c r="A188" s="878" t="s">
        <v>218</v>
      </c>
      <c r="B188" s="879"/>
      <c r="C188" s="333"/>
      <c r="D188" s="230" t="s">
        <v>142</v>
      </c>
      <c r="E188" s="95"/>
      <c r="F188" s="159"/>
      <c r="G188" s="159">
        <f>G65+G66+G67+G69+G70</f>
        <v>141</v>
      </c>
      <c r="H188" s="99">
        <f>G188+'5'!H188</f>
        <v>837</v>
      </c>
      <c r="I188" s="158"/>
      <c r="J188" s="179">
        <f>H188/DAY(B2)</f>
        <v>139.5</v>
      </c>
    </row>
    <row r="189" spans="1:14" ht="25.5">
      <c r="A189" s="878" t="s">
        <v>219</v>
      </c>
      <c r="B189" s="879"/>
      <c r="C189" s="333"/>
      <c r="D189" s="230" t="s">
        <v>142</v>
      </c>
      <c r="E189" s="95"/>
      <c r="F189" s="157"/>
      <c r="G189" s="157">
        <f>G181</f>
        <v>56</v>
      </c>
      <c r="H189" s="99">
        <f>G189+'5'!H189</f>
        <v>526</v>
      </c>
      <c r="I189" s="158"/>
      <c r="J189" s="179">
        <f>H189/DAY(B2)</f>
        <v>87.666666666666671</v>
      </c>
    </row>
    <row r="190" spans="1:14" ht="25.5">
      <c r="A190" s="885"/>
      <c r="B190" s="88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4" ht="26.25"/>
    <row r="192" spans="1:14" ht="26.25">
      <c r="E192" s="160">
        <v>822937</v>
      </c>
      <c r="F192" s="160">
        <v>26832</v>
      </c>
    </row>
    <row r="193" spans="5:6" ht="26.25">
      <c r="E193" s="160">
        <v>943836</v>
      </c>
      <c r="F193" s="160">
        <v>27996</v>
      </c>
    </row>
    <row r="194" spans="5:6" ht="26.25"/>
    <row r="195" spans="5:6" ht="26.25">
      <c r="E195" s="160">
        <f>E193-E192</f>
        <v>120899</v>
      </c>
      <c r="F195" s="160">
        <f>F193-F192</f>
        <v>1164</v>
      </c>
    </row>
    <row r="196" spans="5:6" ht="26.25"/>
    <row r="197" spans="5:6" ht="26.25"/>
    <row r="198" spans="5:6" ht="26.25"/>
    <row r="199" spans="5:6" ht="26.25"/>
    <row r="200" spans="5:6" ht="26.25"/>
    <row r="201" spans="5:6" ht="26.25"/>
    <row r="202" spans="5:6" ht="26.25"/>
    <row r="203" spans="5:6" ht="26.25"/>
    <row r="204" spans="5:6" ht="26.25"/>
    <row r="205" spans="5:6" ht="26.25"/>
    <row r="206" spans="5:6" ht="26.25"/>
    <row r="207" spans="5:6" ht="26.25"/>
    <row r="208" spans="5:6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zoomScale="60" zoomScaleNormal="77" workbookViewId="0">
      <selection activeCell="G7" sqref="G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374</v>
      </c>
      <c r="B2" s="262">
        <v>44780</v>
      </c>
      <c r="C2" s="348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493730</v>
      </c>
      <c r="F7" s="95">
        <v>519228</v>
      </c>
      <c r="G7" s="112">
        <f>F7-E7</f>
        <v>25498</v>
      </c>
      <c r="H7" s="99">
        <f>G7+'6'!H7</f>
        <v>182098</v>
      </c>
      <c r="I7" s="113">
        <f>'1'!I7</f>
        <v>12000</v>
      </c>
      <c r="J7" s="175">
        <f>H7/DAY(B2)</f>
        <v>26014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647436</v>
      </c>
      <c r="F8" s="114">
        <v>673353</v>
      </c>
      <c r="G8" s="115">
        <f>F8-E8</f>
        <v>25917</v>
      </c>
      <c r="H8" s="99">
        <f>G8+'6'!H8</f>
        <v>184766</v>
      </c>
      <c r="I8" s="116"/>
      <c r="J8" s="175">
        <f>H8/DAY(B2)</f>
        <v>26395.142857142859</v>
      </c>
      <c r="K8" s="172">
        <v>1715917</v>
      </c>
      <c r="L8" s="76">
        <v>1728480</v>
      </c>
      <c r="M8" s="87">
        <f>L8-K8</f>
        <v>12563</v>
      </c>
      <c r="N8" s="87"/>
      <c r="O8" s="71">
        <f>G8-G7</f>
        <v>419</v>
      </c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3316891</v>
      </c>
      <c r="F9" s="117">
        <v>3322535</v>
      </c>
      <c r="G9" s="112">
        <f>F9-E9</f>
        <v>5644</v>
      </c>
      <c r="H9" s="99">
        <f>G9+'6'!H9</f>
        <v>43469</v>
      </c>
      <c r="I9" s="124">
        <f>I7-J7</f>
        <v>-14014</v>
      </c>
      <c r="J9" s="175">
        <f>H9/DAY(B2)</f>
        <v>6209.8571428571431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1781753</v>
      </c>
      <c r="F10" s="117">
        <v>1800927</v>
      </c>
      <c r="G10" s="112">
        <f t="shared" ref="G10:G12" si="0">F10-E10</f>
        <v>19174</v>
      </c>
      <c r="H10" s="99">
        <f>G10+'6'!H10</f>
        <v>133769</v>
      </c>
      <c r="I10" s="282"/>
      <c r="J10" s="175">
        <f>H10/DAY(B2)</f>
        <v>19109.857142857141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24818</v>
      </c>
      <c r="H13" s="99">
        <f>G13+'6'!H13</f>
        <v>178572.59999999986</v>
      </c>
      <c r="I13" s="120">
        <f>G7-G13</f>
        <v>680</v>
      </c>
      <c r="J13" s="175">
        <f>H13/DAY(B2)</f>
        <v>25510.371428571409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2106942</v>
      </c>
      <c r="F15" s="469">
        <v>2108008</v>
      </c>
      <c r="G15" s="112">
        <f>(F15-E15)</f>
        <v>1066</v>
      </c>
      <c r="H15" s="99">
        <f>G15+'6'!H15</f>
        <v>7140</v>
      </c>
      <c r="I15" s="113">
        <f>'1'!I15</f>
        <v>800</v>
      </c>
      <c r="J15" s="175">
        <f>H15/DAY(B2)</f>
        <v>1020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-220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'6'!F18</f>
        <v>20</v>
      </c>
      <c r="F18" s="122">
        <v>24</v>
      </c>
      <c r="G18" s="119">
        <f>F18*10</f>
        <v>240</v>
      </c>
      <c r="H18" s="99">
        <f>G18+'6'!H18</f>
        <v>1120</v>
      </c>
      <c r="I18" s="113">
        <f>'1'!I18</f>
        <v>65</v>
      </c>
      <c r="J18" s="175">
        <f>H18/DAY(B2)</f>
        <v>160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'6'!F19</f>
        <v>162645</v>
      </c>
      <c r="F19" s="122">
        <v>162692</v>
      </c>
      <c r="G19" s="112">
        <f t="shared" ref="G19" si="1">F19-E19</f>
        <v>47</v>
      </c>
      <c r="H19" s="99">
        <f>G19+'6'!H19</f>
        <v>357</v>
      </c>
      <c r="I19" s="335"/>
      <c r="J19" s="175">
        <f>H19/DAY(B2)</f>
        <v>51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287</v>
      </c>
      <c r="H20" s="99">
        <f>G20+'6'!H20</f>
        <v>1477</v>
      </c>
      <c r="I20" s="336">
        <f>I18-J20</f>
        <v>-146</v>
      </c>
      <c r="J20" s="175">
        <f>H20/DAY(B2)</f>
        <v>211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25917</v>
      </c>
      <c r="F27" s="136">
        <v>9</v>
      </c>
      <c r="G27" s="137">
        <f>E27*F27</f>
        <v>233253</v>
      </c>
      <c r="H27" s="99">
        <f>G27+'6'!H27</f>
        <v>1662894</v>
      </c>
      <c r="I27" s="138"/>
      <c r="J27" s="175">
        <f>H27/DAY(B2)</f>
        <v>237556.28571428571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1066</v>
      </c>
      <c r="F28" s="136">
        <v>70</v>
      </c>
      <c r="G28" s="137">
        <f>E28*F28</f>
        <v>74620</v>
      </c>
      <c r="H28" s="99">
        <f>G28+'6'!H28</f>
        <v>499800</v>
      </c>
      <c r="I28" s="140"/>
      <c r="J28" s="175">
        <f>H28/DAY(B2)</f>
        <v>71400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G30+'6'!H30</f>
        <v>53907</v>
      </c>
      <c r="I30" s="140"/>
      <c r="J30" s="175">
        <f>H30/DAY(B2)</f>
        <v>7701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G31+'6'!H31</f>
        <v>89600</v>
      </c>
      <c r="I31" s="140"/>
      <c r="J31" s="175">
        <f>H31/DAY(B2)</f>
        <v>12800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334170</v>
      </c>
      <c r="H32" s="99">
        <f>G32+'6'!H32</f>
        <v>2306201</v>
      </c>
      <c r="I32" s="144"/>
      <c r="J32" s="175">
        <f>H32/DAY(B2)</f>
        <v>329457.28571428574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238713</v>
      </c>
      <c r="F35" s="145">
        <v>238713</v>
      </c>
      <c r="G35" s="112">
        <f t="shared" ref="G35:G46" si="3">F35-E35</f>
        <v>0</v>
      </c>
      <c r="H35" s="99">
        <f>G35+'6'!H35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220943</v>
      </c>
      <c r="F36" s="145">
        <v>221744</v>
      </c>
      <c r="G36" s="112">
        <f t="shared" si="3"/>
        <v>801</v>
      </c>
      <c r="H36" s="99">
        <f>G36+'6'!H36</f>
        <v>6214</v>
      </c>
      <c r="I36" s="95"/>
      <c r="J36" s="175">
        <f>H36/DAY(B2)</f>
        <v>887.71428571428567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322998.69</v>
      </c>
      <c r="F37" s="145">
        <v>322998.69</v>
      </c>
      <c r="G37" s="112">
        <f t="shared" si="3"/>
        <v>0</v>
      </c>
      <c r="H37" s="99">
        <f>G37+'6'!H37</f>
        <v>-0.30999999999767169</v>
      </c>
      <c r="I37" s="95"/>
      <c r="J37" s="175">
        <f>H37/DAY(B2)</f>
        <v>-4.4285714285381673E-2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470808</v>
      </c>
      <c r="F38" s="108">
        <v>473065</v>
      </c>
      <c r="G38" s="112">
        <f t="shared" si="3"/>
        <v>2257</v>
      </c>
      <c r="H38" s="99">
        <f>G38+'6'!H38</f>
        <v>15704</v>
      </c>
      <c r="I38" s="95"/>
      <c r="J38" s="175">
        <f>H38/DAY(B2)</f>
        <v>2243.4285714285716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591584</v>
      </c>
      <c r="F39" s="145">
        <v>591584</v>
      </c>
      <c r="G39" s="112">
        <f t="shared" si="3"/>
        <v>0</v>
      </c>
      <c r="H39" s="99">
        <f>G39+'6'!H39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111907.67</v>
      </c>
      <c r="F40" s="145">
        <v>112779</v>
      </c>
      <c r="G40" s="112">
        <f t="shared" si="3"/>
        <v>871.33000000000175</v>
      </c>
      <c r="H40" s="99">
        <f>G40+'6'!H40</f>
        <v>6003</v>
      </c>
      <c r="I40" s="95"/>
      <c r="J40" s="175">
        <f>H40/DAY(B2)</f>
        <v>857.57142857142856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227539</v>
      </c>
      <c r="F41" s="145">
        <v>230221</v>
      </c>
      <c r="G41" s="112">
        <f t="shared" si="3"/>
        <v>2682</v>
      </c>
      <c r="H41" s="99">
        <f>G41+'6'!H41</f>
        <v>18518</v>
      </c>
      <c r="I41" s="95"/>
      <c r="J41" s="175">
        <f>H41/DAY(B2)</f>
        <v>2645.4285714285716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752206</v>
      </c>
      <c r="F42" s="145">
        <v>752206</v>
      </c>
      <c r="G42" s="112">
        <f t="shared" si="3"/>
        <v>0</v>
      </c>
      <c r="H42" s="99">
        <f>G42+'6'!H42</f>
        <v>3842</v>
      </c>
      <c r="I42" s="95"/>
      <c r="J42" s="175">
        <f>H42/DAY(B2)</f>
        <v>548.85714285714289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423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6611.3300000000017</v>
      </c>
      <c r="H47" s="99">
        <f>G47+'6'!H47</f>
        <v>50280.69</v>
      </c>
      <c r="I47" s="95"/>
      <c r="J47" s="175">
        <f>H47/DAY(B2)</f>
        <v>7182.9557142857147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507569</v>
      </c>
      <c r="F49" s="145">
        <v>511904</v>
      </c>
      <c r="G49" s="112">
        <f t="shared" ref="G49:G58" si="4">F49-E49</f>
        <v>4335</v>
      </c>
      <c r="H49" s="99">
        <f>G49+'6'!H49</f>
        <v>29850</v>
      </c>
      <c r="I49" s="95"/>
      <c r="J49" s="175">
        <f>H49/DAY(B2)</f>
        <v>4264.2857142857147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289557</v>
      </c>
      <c r="F50" s="145">
        <v>290694</v>
      </c>
      <c r="G50" s="112">
        <f t="shared" si="4"/>
        <v>1137</v>
      </c>
      <c r="H50" s="99">
        <f>G50+'6'!H50</f>
        <v>7944</v>
      </c>
      <c r="I50" s="95"/>
      <c r="J50" s="175">
        <f>H50/DAY(B2)</f>
        <v>1134.8571428571429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15140</v>
      </c>
      <c r="F51" s="145">
        <v>16205</v>
      </c>
      <c r="G51" s="112">
        <f t="shared" si="4"/>
        <v>1065</v>
      </c>
      <c r="H51" s="99">
        <f>G51+'6'!H51</f>
        <v>7697</v>
      </c>
      <c r="I51" s="95"/>
      <c r="J51" s="175">
        <f>H51/DAY(B2)</f>
        <v>1099.5714285714287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59731</v>
      </c>
      <c r="F53" s="145">
        <v>64074</v>
      </c>
      <c r="G53" s="112">
        <f t="shared" si="4"/>
        <v>4343</v>
      </c>
      <c r="H53" s="99">
        <f>G53+'6'!H53</f>
        <v>30213</v>
      </c>
      <c r="I53" s="95"/>
      <c r="J53" s="175">
        <f>H53/DAY(B2)</f>
        <v>4316.1428571428569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90009</v>
      </c>
      <c r="F54" s="145">
        <v>90359</v>
      </c>
      <c r="G54" s="112">
        <f t="shared" si="4"/>
        <v>350</v>
      </c>
      <c r="H54" s="99">
        <f>G54+'6'!H54</f>
        <v>2416</v>
      </c>
      <c r="I54" s="95"/>
      <c r="J54" s="175">
        <f>H54/DAY(B2)</f>
        <v>345.14285714285717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382592</v>
      </c>
      <c r="F55" s="145">
        <v>386083</v>
      </c>
      <c r="G55" s="112">
        <f t="shared" si="4"/>
        <v>3491</v>
      </c>
      <c r="H55" s="99">
        <f>G55+'6'!H55</f>
        <v>23306</v>
      </c>
      <c r="I55" s="95"/>
      <c r="J55" s="175">
        <f>H55/DAY(B2)</f>
        <v>3329.4285714285716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123882</v>
      </c>
      <c r="F56" s="145">
        <v>123882</v>
      </c>
      <c r="G56" s="112">
        <f t="shared" si="4"/>
        <v>0</v>
      </c>
      <c r="H56" s="99">
        <f>G56+'6'!H56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245077</v>
      </c>
      <c r="F57" s="145">
        <v>248168</v>
      </c>
      <c r="G57" s="112">
        <f t="shared" si="4"/>
        <v>3091</v>
      </c>
      <c r="H57" s="99">
        <f>G57+'6'!H57</f>
        <v>21998</v>
      </c>
      <c r="I57" s="95"/>
      <c r="J57" s="175">
        <f>H57/DAY(B2)</f>
        <v>3142.5714285714284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50673</v>
      </c>
      <c r="F58" s="145">
        <v>50937</v>
      </c>
      <c r="G58" s="112">
        <f t="shared" si="4"/>
        <v>264</v>
      </c>
      <c r="H58" s="99">
        <f>G58+'6'!H58</f>
        <v>1828</v>
      </c>
      <c r="I58" s="95"/>
      <c r="J58" s="175">
        <f>H58/DAY(B2)</f>
        <v>261.14285714285717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18076</v>
      </c>
      <c r="H59" s="99">
        <f>G59+'6'!H59</f>
        <v>125251.76000000001</v>
      </c>
      <c r="I59" s="95">
        <f>G7-G60</f>
        <v>810.66999999999825</v>
      </c>
      <c r="J59" s="175">
        <f>H59/DAY(B2)</f>
        <v>17893.108571428573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24687.33</v>
      </c>
      <c r="H60" s="99">
        <f>G60+'6'!H60</f>
        <v>175532.45</v>
      </c>
      <c r="I60" s="95">
        <f>G13-G60</f>
        <v>130.66999999999825</v>
      </c>
      <c r="J60" s="175">
        <f>H60/DAY(B2)</f>
        <v>25076.064285714288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'6'!F62</f>
        <v>296901</v>
      </c>
      <c r="F62" s="122">
        <v>297045</v>
      </c>
      <c r="G62" s="112">
        <f t="shared" ref="G62:G63" si="5">F62-E62</f>
        <v>144</v>
      </c>
      <c r="H62" s="99">
        <f>G62+'6'!H62</f>
        <v>770</v>
      </c>
      <c r="I62" s="118"/>
      <c r="J62" s="175">
        <f>H62/DAY(B2)</f>
        <v>110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'6'!F63</f>
        <v>239952</v>
      </c>
      <c r="F63" s="122">
        <v>240058</v>
      </c>
      <c r="G63" s="112">
        <f t="shared" si="5"/>
        <v>106</v>
      </c>
      <c r="H63" s="99">
        <f>G63+'6'!H63</f>
        <v>925</v>
      </c>
      <c r="I63" s="118"/>
      <c r="J63" s="175">
        <f>H63/DAY(B2)</f>
        <v>132.14285714285714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'6'!F64</f>
        <v>0</v>
      </c>
      <c r="F64" s="122"/>
      <c r="G64" s="112">
        <f>G62+G63</f>
        <v>250</v>
      </c>
      <c r="H64" s="99">
        <f>G64+'6'!H64</f>
        <v>1695</v>
      </c>
      <c r="I64" s="118"/>
      <c r="J64" s="175">
        <f>H64/DAY(B2)</f>
        <v>242.14285714285714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'6'!F65</f>
        <v>455323</v>
      </c>
      <c r="F65" s="122">
        <v>455424</v>
      </c>
      <c r="G65" s="112">
        <f t="shared" ref="G65:G70" si="6">F65-E65</f>
        <v>101</v>
      </c>
      <c r="H65" s="99">
        <f>G65+'6'!H65</f>
        <v>714</v>
      </c>
      <c r="I65" s="118"/>
      <c r="J65" s="175">
        <f>H65/DAY(B2)</f>
        <v>102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111854</v>
      </c>
      <c r="F66" s="122">
        <v>111885</v>
      </c>
      <c r="G66" s="112">
        <f t="shared" si="6"/>
        <v>31</v>
      </c>
      <c r="H66" s="99">
        <f>G66+'6'!H66</f>
        <v>163</v>
      </c>
      <c r="I66" s="118"/>
      <c r="J66" s="175">
        <f>H66/DAY(B2)</f>
        <v>23.285714285714285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113680</v>
      </c>
      <c r="F67" s="150">
        <v>113680</v>
      </c>
      <c r="G67" s="112">
        <f t="shared" si="6"/>
        <v>0</v>
      </c>
      <c r="H67" s="99">
        <f>G67+'6'!H67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164786</v>
      </c>
      <c r="F68" s="122">
        <v>164821</v>
      </c>
      <c r="G68" s="112">
        <f t="shared" si="6"/>
        <v>35</v>
      </c>
      <c r="H68" s="99">
        <f>G68+'6'!H68</f>
        <v>159</v>
      </c>
      <c r="I68" s="118"/>
      <c r="J68" s="175">
        <f>H68/DAY(B2)</f>
        <v>22.714285714285715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12311</v>
      </c>
      <c r="F69" s="122">
        <v>12317</v>
      </c>
      <c r="G69" s="112">
        <f t="shared" si="6"/>
        <v>6</v>
      </c>
      <c r="H69" s="99">
        <f>G69+'6'!H69</f>
        <v>42</v>
      </c>
      <c r="I69" s="118"/>
      <c r="J69" s="175">
        <f>H69/DAY(B2)</f>
        <v>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9883</v>
      </c>
      <c r="F70" s="150">
        <v>9891</v>
      </c>
      <c r="G70" s="112">
        <f t="shared" si="6"/>
        <v>8</v>
      </c>
      <c r="H70" s="99">
        <f>G70+'6'!H70</f>
        <v>64</v>
      </c>
      <c r="I70" s="118"/>
      <c r="J70" s="175">
        <f>H70/DAY(B2)</f>
        <v>9.1428571428571423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181</v>
      </c>
      <c r="H71" s="99">
        <f>G71+'6'!H71</f>
        <v>1142</v>
      </c>
      <c r="I71" s="154"/>
      <c r="J71" s="175">
        <f>H71/DAY(B2)</f>
        <v>163.14285714285714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'6'!F74</f>
        <v>959424</v>
      </c>
      <c r="F74" s="123">
        <v>959783</v>
      </c>
      <c r="G74" s="112">
        <f t="shared" ref="G74:G78" si="7">F74-E74</f>
        <v>359</v>
      </c>
      <c r="H74" s="99">
        <f>G74+'6'!H74</f>
        <v>2125.140000000014</v>
      </c>
      <c r="I74" s="154"/>
      <c r="J74" s="175">
        <f>H74/DAY(B2)</f>
        <v>303.59142857143058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'6'!F75</f>
        <v>73586</v>
      </c>
      <c r="F75" s="123">
        <v>73586</v>
      </c>
      <c r="G75" s="112">
        <f t="shared" si="7"/>
        <v>0</v>
      </c>
      <c r="H75" s="99">
        <f>G75+'6'!H75</f>
        <v>-0.80000000000291038</v>
      </c>
      <c r="I75" s="154"/>
      <c r="J75" s="175">
        <f>H75/DAY(B2)</f>
        <v>-0.11428571428613006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'6'!F76</f>
        <v>190845</v>
      </c>
      <c r="F76" s="123">
        <v>190956</v>
      </c>
      <c r="G76" s="112">
        <f t="shared" si="7"/>
        <v>111</v>
      </c>
      <c r="H76" s="99">
        <f>G76+'6'!H76</f>
        <v>784</v>
      </c>
      <c r="I76" s="154"/>
      <c r="J76" s="175">
        <f>H76/DAY(B2)</f>
        <v>112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'6'!F77</f>
        <v>50595</v>
      </c>
      <c r="F77" s="123">
        <v>50642</v>
      </c>
      <c r="G77" s="112">
        <f t="shared" si="7"/>
        <v>47</v>
      </c>
      <c r="H77" s="99">
        <f>G77+'6'!H77</f>
        <v>329</v>
      </c>
      <c r="I77" s="154"/>
      <c r="J77" s="175">
        <f>H77/DAY(B2)</f>
        <v>47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0.3999999999996362</v>
      </c>
      <c r="I78" s="118"/>
      <c r="J78" s="175">
        <f>H78/DAY(B2)</f>
        <v>5.7142857142805169E-2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'6'!F79</f>
        <v>0</v>
      </c>
      <c r="F79" s="123"/>
      <c r="G79" s="112">
        <f>G15-SUM(G74:G78)</f>
        <v>549</v>
      </c>
      <c r="H79" s="99">
        <f>G79+'6'!H79</f>
        <v>3902.2599999999893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1066</v>
      </c>
      <c r="H80" s="99">
        <f>G80+'6'!H80</f>
        <v>1066</v>
      </c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42663</v>
      </c>
      <c r="F84" s="164">
        <v>42677</v>
      </c>
      <c r="G84" s="112">
        <f t="shared" si="8"/>
        <v>14</v>
      </c>
      <c r="H84" s="99">
        <f>G84+'6'!H84</f>
        <v>88</v>
      </c>
      <c r="I84" s="571"/>
      <c r="J84" s="175">
        <f>H84/DAY(B2)</f>
        <v>12.571428571428571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5156.4799999999996</v>
      </c>
      <c r="F85" s="164">
        <v>5156.4799999999996</v>
      </c>
      <c r="G85" s="112">
        <f t="shared" si="8"/>
        <v>0</v>
      </c>
      <c r="H85" s="99">
        <f>G85+'6'!H85</f>
        <v>16.289999999999964</v>
      </c>
      <c r="I85" s="571"/>
      <c r="J85" s="175">
        <f>H85/DAY(B2)</f>
        <v>2.3271428571428521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45515</v>
      </c>
      <c r="F86" s="164">
        <v>45539</v>
      </c>
      <c r="G86" s="112">
        <f t="shared" si="8"/>
        <v>24</v>
      </c>
      <c r="H86" s="99">
        <f>G86+'6'!H86</f>
        <v>160</v>
      </c>
      <c r="I86" s="571"/>
      <c r="J86" s="175">
        <f>H86/DAY(B2)</f>
        <v>22.857142857142858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35457.43</v>
      </c>
      <c r="F87" s="164">
        <v>35457</v>
      </c>
      <c r="G87" s="112">
        <f t="shared" si="8"/>
        <v>-0.43000000000029104</v>
      </c>
      <c r="H87" s="99">
        <f>G87+'6'!H87</f>
        <v>-0.43000000000029104</v>
      </c>
      <c r="I87" s="553">
        <f>G84+G85+G86+G87</f>
        <v>37.569999999999709</v>
      </c>
      <c r="J87" s="175">
        <f>H87/DAY(B2)</f>
        <v>-6.1428571428613007E-2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24314</v>
      </c>
      <c r="F88" s="164">
        <v>24318.959999999999</v>
      </c>
      <c r="G88" s="112">
        <f t="shared" si="8"/>
        <v>4.9599999999991269</v>
      </c>
      <c r="H88" s="99">
        <f>G88+'6'!H88</f>
        <v>15.5</v>
      </c>
      <c r="I88" s="553"/>
      <c r="J88" s="175">
        <f>H88/DAY(B2)</f>
        <v>2.2142857142857144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27612.35</v>
      </c>
      <c r="F89" s="164">
        <v>27617</v>
      </c>
      <c r="G89" s="112">
        <f t="shared" si="8"/>
        <v>4.6500000000014552</v>
      </c>
      <c r="H89" s="99">
        <f>G89+'6'!H89</f>
        <v>50.389999999999418</v>
      </c>
      <c r="I89" s="553">
        <f>G88+G89</f>
        <v>9.6100000000005821</v>
      </c>
      <c r="J89" s="175">
        <f>H89/DAY(B2)</f>
        <v>7.1985714285713458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72674</v>
      </c>
      <c r="F90" s="164">
        <v>72685</v>
      </c>
      <c r="G90" s="112">
        <f t="shared" si="8"/>
        <v>11</v>
      </c>
      <c r="H90" s="99">
        <f>G90+'6'!H90</f>
        <v>78.44999999999709</v>
      </c>
      <c r="I90" s="553">
        <f>G90</f>
        <v>11</v>
      </c>
      <c r="J90" s="175">
        <f>H90/DAY(B2)</f>
        <v>11.207142857142442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4289.5600000000004</v>
      </c>
      <c r="F91" s="122">
        <v>4289.5600000000004</v>
      </c>
      <c r="G91" s="112">
        <f t="shared" si="8"/>
        <v>0</v>
      </c>
      <c r="H91" s="99">
        <f>G91+'6'!H91</f>
        <v>2.0000000000436557E-2</v>
      </c>
      <c r="I91" s="613"/>
      <c r="J91" s="175">
        <f>H91/DAY(B2)</f>
        <v>2.8571428572052226E-3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6780.56</v>
      </c>
      <c r="F92" s="122">
        <v>6793.45</v>
      </c>
      <c r="G92" s="112">
        <f t="shared" si="8"/>
        <v>12.889999999999418</v>
      </c>
      <c r="H92" s="99">
        <f>G92+'6'!H92</f>
        <v>76.119999999999891</v>
      </c>
      <c r="I92" s="614">
        <f>G91+G92</f>
        <v>12.889999999999418</v>
      </c>
      <c r="J92" s="175">
        <f>H92/DAY(B2)</f>
        <v>10.874285714285699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7426</v>
      </c>
      <c r="H94" s="99">
        <f>G94+'6'!H94</f>
        <v>51848</v>
      </c>
      <c r="I94" s="118"/>
      <c r="J94" s="175">
        <f>H94/DAY(B2)</f>
        <v>7406.8571428571431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0.29123852851204018</v>
      </c>
      <c r="H95" s="99">
        <f>G95+'6'!H95</f>
        <v>1.9947225586849715</v>
      </c>
      <c r="I95" s="167"/>
      <c r="J95" s="175">
        <f>H95/DAY(B2)</f>
        <v>0.28496036552642451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6173</v>
      </c>
      <c r="H96" s="99">
        <f>G96+'6'!H96</f>
        <v>45666</v>
      </c>
      <c r="I96" s="118"/>
      <c r="J96" s="175">
        <f>H96/DAY(B2)</f>
        <v>6523.7142857142853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0.24209741940544358</v>
      </c>
      <c r="H97" s="99">
        <f>G97+'6'!H97</f>
        <v>1.7543087276050164</v>
      </c>
      <c r="I97" s="167"/>
      <c r="J97" s="175">
        <f>H97/DAY(B2)</f>
        <v>0.25061553251500235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4343</v>
      </c>
      <c r="H98" s="99">
        <f>G98+'6'!H98</f>
        <v>30213</v>
      </c>
      <c r="I98" s="168"/>
      <c r="J98" s="175">
        <f>H98/DAY(B2)</f>
        <v>4316.1428571428569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0.1703270844772139</v>
      </c>
      <c r="H99" s="99">
        <f>G99+'6'!H99</f>
        <v>1.1627695889025902</v>
      </c>
      <c r="I99" s="168"/>
      <c r="J99" s="175">
        <f>H99/DAY(B2)</f>
        <v>0.16610994127179859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2257</v>
      </c>
      <c r="H100" s="99">
        <f>G100+'6'!H100</f>
        <v>15703.76</v>
      </c>
      <c r="I100" s="118"/>
      <c r="J100" s="175">
        <f>H100/DAY(B2)</f>
        <v>2243.3942857142856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8.8516746411483258E-2</v>
      </c>
      <c r="H101" s="99">
        <f>G101+'6'!H101</f>
        <v>0.60421301461004318</v>
      </c>
      <c r="I101" s="168"/>
      <c r="J101" s="175">
        <f>H101/DAY(B2)</f>
        <v>8.6316144944291878E-2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1938</v>
      </c>
      <c r="H102" s="99">
        <f>G102+'6'!H102</f>
        <v>14158</v>
      </c>
      <c r="I102" s="168"/>
      <c r="J102" s="175">
        <f>H102/DAY(B2)</f>
        <v>2022.5714285714287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7.6005961251862889E-2</v>
      </c>
      <c r="H103" s="99">
        <f>G103+'6'!H103</f>
        <v>0.54222961983672446</v>
      </c>
      <c r="I103" s="118"/>
      <c r="J103" s="175">
        <f>H103/DAY(B2)</f>
        <v>7.7461374262389207E-2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1065</v>
      </c>
      <c r="H104" s="99">
        <f>G104+'6'!H104</f>
        <v>7696.6900000000023</v>
      </c>
      <c r="I104" s="118"/>
      <c r="J104" s="175">
        <f>H104/DAY(B2)</f>
        <v>1099.5271428571432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4.1767981802494317E-2</v>
      </c>
      <c r="H105" s="99">
        <f>G105+'6'!H105</f>
        <v>0.29615089653603865</v>
      </c>
      <c r="I105" s="187"/>
      <c r="J105" s="188">
        <f>H105/DAY(B2)</f>
        <v>4.2307270933719811E-2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'6'!F112</f>
        <v>7700</v>
      </c>
      <c r="F112" s="237">
        <v>7772</v>
      </c>
      <c r="G112" s="112">
        <f t="shared" ref="G112:G123" si="9">F112-E112</f>
        <v>72</v>
      </c>
      <c r="H112" s="99">
        <f>G112+'6'!H112</f>
        <v>507</v>
      </c>
      <c r="I112" s="165"/>
      <c r="J112" s="328">
        <f>H112/DAY(B2)</f>
        <v>72.428571428571431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'6'!F113</f>
        <v>15851</v>
      </c>
      <c r="F113" s="237">
        <v>15986</v>
      </c>
      <c r="G113" s="112">
        <f t="shared" si="9"/>
        <v>135</v>
      </c>
      <c r="H113" s="99">
        <f>G113+'6'!H113</f>
        <v>971</v>
      </c>
      <c r="I113" s="165"/>
      <c r="J113" s="328">
        <f>H113/DAY(B2)</f>
        <v>138.71428571428572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'6'!F114</f>
        <v>22575</v>
      </c>
      <c r="F114" s="237">
        <v>22790</v>
      </c>
      <c r="G114" s="112">
        <f t="shared" si="9"/>
        <v>215</v>
      </c>
      <c r="H114" s="99">
        <f>G114+'6'!H114</f>
        <v>1522</v>
      </c>
      <c r="I114" s="165"/>
      <c r="J114" s="328">
        <f>H114/DAY(B2)</f>
        <v>217.42857142857142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'6'!F115</f>
        <v>14265</v>
      </c>
      <c r="F115" s="237">
        <v>14386</v>
      </c>
      <c r="G115" s="112">
        <f t="shared" si="9"/>
        <v>121</v>
      </c>
      <c r="H115" s="99">
        <f>G115+'6'!H115</f>
        <v>956</v>
      </c>
      <c r="I115" s="165"/>
      <c r="J115" s="328">
        <f>H115/DAY(B2)</f>
        <v>136.57142857142858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'6'!F116</f>
        <v>72720</v>
      </c>
      <c r="F116" s="237">
        <v>73110</v>
      </c>
      <c r="G116" s="112">
        <f t="shared" si="9"/>
        <v>390</v>
      </c>
      <c r="H116" s="99">
        <f>G116+'6'!H116</f>
        <v>2618</v>
      </c>
      <c r="I116" s="165"/>
      <c r="J116" s="328">
        <f>H116/DAY(B2)</f>
        <v>374</v>
      </c>
      <c r="Q116" s="894" t="s">
        <v>311</v>
      </c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'6'!F117</f>
        <v>42282</v>
      </c>
      <c r="F117" s="237">
        <v>42469</v>
      </c>
      <c r="G117" s="112">
        <f t="shared" si="9"/>
        <v>187</v>
      </c>
      <c r="H117" s="99">
        <f>G117+'6'!H117</f>
        <v>1547</v>
      </c>
      <c r="I117" s="165"/>
      <c r="J117" s="328">
        <f>H117/DAY(B2)</f>
        <v>221</v>
      </c>
      <c r="Q117" s="894" t="s">
        <v>312</v>
      </c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'6'!F118</f>
        <v>68225</v>
      </c>
      <c r="F118" s="237">
        <v>68775</v>
      </c>
      <c r="G118" s="112">
        <f t="shared" si="9"/>
        <v>550</v>
      </c>
      <c r="H118" s="99">
        <f>G118+'6'!H118</f>
        <v>4103</v>
      </c>
      <c r="I118" s="165"/>
      <c r="J118" s="328">
        <f>H118/DAY(B2)</f>
        <v>586.14285714285711</v>
      </c>
      <c r="Q118" s="894" t="s">
        <v>311</v>
      </c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'6'!F119</f>
        <v>38844</v>
      </c>
      <c r="F119" s="237">
        <v>39098</v>
      </c>
      <c r="G119" s="112">
        <f t="shared" si="9"/>
        <v>254</v>
      </c>
      <c r="H119" s="99">
        <f>G119+'6'!H119</f>
        <v>1649</v>
      </c>
      <c r="I119" s="165"/>
      <c r="J119" s="328">
        <f>H119/DAY(B2)</f>
        <v>235.57142857142858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'6'!F120</f>
        <v>48742</v>
      </c>
      <c r="F120" s="237">
        <v>49173</v>
      </c>
      <c r="G120" s="112">
        <f t="shared" si="9"/>
        <v>431</v>
      </c>
      <c r="H120" s="99">
        <f>G120+'6'!H120</f>
        <v>2906</v>
      </c>
      <c r="I120" s="165"/>
      <c r="J120" s="328">
        <f>H120/DAY(B2)</f>
        <v>415.14285714285717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'6'!F121</f>
        <v>56393</v>
      </c>
      <c r="F121" s="237">
        <v>56867</v>
      </c>
      <c r="G121" s="112">
        <f t="shared" si="9"/>
        <v>474</v>
      </c>
      <c r="H121" s="99">
        <f>G121+'6'!H121</f>
        <v>3324</v>
      </c>
      <c r="I121" s="165"/>
      <c r="J121" s="328">
        <f>H121/DAY(B2)</f>
        <v>474.85714285714283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'6'!F122</f>
        <v>30396</v>
      </c>
      <c r="F122" s="237">
        <v>30726</v>
      </c>
      <c r="G122" s="112">
        <f t="shared" si="9"/>
        <v>330</v>
      </c>
      <c r="H122" s="99">
        <f>G122+'6'!H122</f>
        <v>2052</v>
      </c>
      <c r="I122" s="165"/>
      <c r="J122" s="328">
        <f>H122/DAY(B2)</f>
        <v>293.14285714285717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'6'!F123</f>
        <v>32129</v>
      </c>
      <c r="F123" s="237">
        <v>32460</v>
      </c>
      <c r="G123" s="112">
        <f t="shared" si="9"/>
        <v>331</v>
      </c>
      <c r="H123" s="99">
        <f>G123+'6'!H123</f>
        <v>2272</v>
      </c>
      <c r="I123" s="165"/>
      <c r="J123" s="328">
        <f>H123/DAY(B2)</f>
        <v>324.57142857142856</v>
      </c>
    </row>
    <row r="124" spans="1:18" ht="29.2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8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3490</v>
      </c>
      <c r="H125" s="156"/>
      <c r="I125" s="327">
        <f>G125-(G39+G53)</f>
        <v>-853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'6'!F128</f>
        <v>130745</v>
      </c>
      <c r="F128" s="165">
        <v>131290</v>
      </c>
      <c r="G128" s="112">
        <f t="shared" ref="G128:G134" si="10">F128-E128</f>
        <v>545</v>
      </c>
      <c r="H128" s="99">
        <f>G128+'6'!H128</f>
        <v>3646</v>
      </c>
      <c r="I128" s="165"/>
      <c r="J128" s="328">
        <f>H128/DAY(B2)</f>
        <v>520.85714285714289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73714</v>
      </c>
      <c r="F129" s="165">
        <v>73951</v>
      </c>
      <c r="G129" s="112">
        <f t="shared" si="10"/>
        <v>237</v>
      </c>
      <c r="H129" s="99">
        <f>G129+'6'!H129</f>
        <v>1448</v>
      </c>
      <c r="I129" s="165"/>
      <c r="J129" s="328">
        <f>H129/DAY(B2)</f>
        <v>206.85714285714286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168761</v>
      </c>
      <c r="F130" s="165">
        <v>169471</v>
      </c>
      <c r="G130" s="112">
        <f t="shared" si="10"/>
        <v>710</v>
      </c>
      <c r="H130" s="99">
        <f>G130+'6'!H130</f>
        <v>4874</v>
      </c>
      <c r="I130" s="165"/>
      <c r="J130" s="328">
        <f>H130/DAY(B2)</f>
        <v>696.28571428571433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'6'!F131</f>
        <v>49566</v>
      </c>
      <c r="F131" s="165">
        <v>49722</v>
      </c>
      <c r="G131" s="112">
        <f t="shared" si="10"/>
        <v>156</v>
      </c>
      <c r="H131" s="99">
        <f>G131+'6'!H131</f>
        <v>1273</v>
      </c>
      <c r="I131" s="165"/>
      <c r="J131" s="328">
        <f>H131/DAY(B2)</f>
        <v>181.85714285714286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'6'!F132</f>
        <v>130586</v>
      </c>
      <c r="F132" s="165">
        <v>130997</v>
      </c>
      <c r="G132" s="112">
        <f t="shared" si="10"/>
        <v>411</v>
      </c>
      <c r="H132" s="99">
        <f>G132+'6'!H132</f>
        <v>2823</v>
      </c>
      <c r="I132" s="165"/>
      <c r="J132" s="328">
        <f>H132/DAY(B2)</f>
        <v>403.28571428571428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'6'!F133</f>
        <v>224036</v>
      </c>
      <c r="F133" s="165">
        <v>224036</v>
      </c>
      <c r="G133" s="112">
        <f t="shared" si="10"/>
        <v>0</v>
      </c>
      <c r="H133" s="99">
        <f>G133+'6'!H133</f>
        <v>0.41000000000349246</v>
      </c>
      <c r="I133" s="165"/>
      <c r="J133" s="328">
        <f>H133/DAY(B2)</f>
        <v>5.8571428571927493E-2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'6'!F134</f>
        <v>50270</v>
      </c>
      <c r="F134" s="165">
        <v>50485</v>
      </c>
      <c r="G134" s="112">
        <f t="shared" si="10"/>
        <v>215</v>
      </c>
      <c r="H134" s="99">
        <f>G134+'6'!H134</f>
        <v>1450</v>
      </c>
      <c r="I134" s="165"/>
      <c r="J134" s="328">
        <f>H134/DAY(B2)</f>
        <v>207.14285714285714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2274</v>
      </c>
      <c r="H135" s="99">
        <f>G135+'6'!H135</f>
        <v>15514.410000000003</v>
      </c>
      <c r="I135" s="327">
        <f>G135-(G35+G49)</f>
        <v>-2061</v>
      </c>
      <c r="J135" s="328">
        <f>H135/DAY(B2)</f>
        <v>2216.3442857142863</v>
      </c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'6'!F138</f>
        <v>891991</v>
      </c>
      <c r="F138" s="147">
        <v>892125</v>
      </c>
      <c r="G138" s="112">
        <f t="shared" ref="G138:G152" si="11">F138-E138</f>
        <v>134</v>
      </c>
      <c r="H138" s="99">
        <f>G138+'6'!H138</f>
        <v>1027</v>
      </c>
      <c r="I138" s="118"/>
      <c r="J138" s="328">
        <f>H138/DAY(B2)</f>
        <v>146.71428571428572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'6'!F139</f>
        <v>909817</v>
      </c>
      <c r="F139" s="148">
        <v>909950</v>
      </c>
      <c r="G139" s="112">
        <f t="shared" si="11"/>
        <v>133</v>
      </c>
      <c r="H139" s="99">
        <f>G139+'6'!H139</f>
        <v>1055</v>
      </c>
      <c r="I139" s="118"/>
      <c r="J139" s="328">
        <f>H139/DAY(B2)</f>
        <v>150.71428571428572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'6'!F140</f>
        <v>1603</v>
      </c>
      <c r="F140" s="149">
        <v>1617</v>
      </c>
      <c r="G140" s="112">
        <f t="shared" si="11"/>
        <v>14</v>
      </c>
      <c r="H140" s="99">
        <f>G140+'6'!H140</f>
        <v>104</v>
      </c>
      <c r="I140" s="118"/>
      <c r="J140" s="328">
        <f>H140/DAY(B2)</f>
        <v>14.857142857142858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'6'!F141</f>
        <v>91609</v>
      </c>
      <c r="F141" s="149">
        <v>91815</v>
      </c>
      <c r="G141" s="112">
        <f t="shared" si="11"/>
        <v>206</v>
      </c>
      <c r="H141" s="99">
        <f>G141+'6'!H141</f>
        <v>1363</v>
      </c>
      <c r="I141" s="118"/>
      <c r="J141" s="328">
        <f>H141/DAY(B2)</f>
        <v>194.71428571428572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'6'!F142</f>
        <v>37122</v>
      </c>
      <c r="F142" s="148">
        <v>37203</v>
      </c>
      <c r="G142" s="112">
        <f t="shared" si="11"/>
        <v>81</v>
      </c>
      <c r="H142" s="99">
        <f>G142+'6'!H142</f>
        <v>542</v>
      </c>
      <c r="I142" s="140"/>
      <c r="J142" s="328">
        <f>H142/DAY(B2)</f>
        <v>77.428571428571431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'6'!F143</f>
        <v>9205</v>
      </c>
      <c r="F143" s="149">
        <v>9230</v>
      </c>
      <c r="G143" s="112">
        <f t="shared" si="11"/>
        <v>25</v>
      </c>
      <c r="H143" s="99">
        <f>G143+'6'!H143</f>
        <v>179</v>
      </c>
      <c r="I143" s="140"/>
      <c r="J143" s="328">
        <f>H143/DAY(B2)</f>
        <v>25.571428571428573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'6'!F144</f>
        <v>921134</v>
      </c>
      <c r="F144" s="149">
        <v>921360</v>
      </c>
      <c r="G144" s="112">
        <f t="shared" si="11"/>
        <v>226</v>
      </c>
      <c r="H144" s="99">
        <f>G144+'6'!H144</f>
        <v>1523</v>
      </c>
      <c r="I144" s="140"/>
      <c r="J144" s="328">
        <f>H144/DAY(B2)</f>
        <v>217.57142857142858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'6'!F145</f>
        <v>6008</v>
      </c>
      <c r="F145" s="149">
        <v>6033</v>
      </c>
      <c r="G145" s="112">
        <f t="shared" si="11"/>
        <v>25</v>
      </c>
      <c r="H145" s="99">
        <f>G145+'6'!H145</f>
        <v>226</v>
      </c>
      <c r="I145" s="140"/>
      <c r="J145" s="328">
        <f>H145/DAY(B2)</f>
        <v>32.285714285714285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'6'!F146</f>
        <v>781314</v>
      </c>
      <c r="F146" s="148">
        <v>781389</v>
      </c>
      <c r="G146" s="112">
        <f t="shared" si="11"/>
        <v>75</v>
      </c>
      <c r="H146" s="99">
        <f>G146+'6'!H146</f>
        <v>589</v>
      </c>
      <c r="I146" s="140"/>
      <c r="J146" s="328">
        <f>H146/DAY(B2)</f>
        <v>84.142857142857139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'6'!F147</f>
        <v>702027</v>
      </c>
      <c r="F147" s="148">
        <v>702401</v>
      </c>
      <c r="G147" s="112">
        <f t="shared" si="11"/>
        <v>374</v>
      </c>
      <c r="H147" s="99">
        <f>G147+'6'!H147</f>
        <v>2632</v>
      </c>
      <c r="I147" s="140"/>
      <c r="J147" s="328">
        <f>H147/DAY(B2)</f>
        <v>376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'6'!F148</f>
        <v>750292</v>
      </c>
      <c r="F148" s="150">
        <v>750586</v>
      </c>
      <c r="G148" s="112">
        <f t="shared" si="11"/>
        <v>294</v>
      </c>
      <c r="H148" s="99">
        <f>G148+'6'!H148</f>
        <v>2056</v>
      </c>
      <c r="I148" s="124"/>
      <c r="J148" s="328">
        <f>H148/DAY(B2)</f>
        <v>293.71428571428572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'6'!F149</f>
        <v>135196</v>
      </c>
      <c r="F149" s="146">
        <v>135740</v>
      </c>
      <c r="G149" s="112">
        <f t="shared" si="11"/>
        <v>544</v>
      </c>
      <c r="H149" s="99">
        <f>G149+'6'!H149</f>
        <v>3306</v>
      </c>
      <c r="I149" s="119"/>
      <c r="J149" s="328">
        <f>H149/DAY(B2)</f>
        <v>472.28571428571428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'6'!F150</f>
        <v>51946</v>
      </c>
      <c r="F150" s="233">
        <v>52175</v>
      </c>
      <c r="G150" s="112">
        <f t="shared" si="11"/>
        <v>229</v>
      </c>
      <c r="H150" s="99">
        <f>G150+'6'!H150</f>
        <v>1560</v>
      </c>
      <c r="I150" s="119"/>
      <c r="J150" s="328">
        <f>H150/DAY(B2)</f>
        <v>222.85714285714286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'6'!F151</f>
        <v>137196</v>
      </c>
      <c r="F151" s="233">
        <v>137441</v>
      </c>
      <c r="G151" s="112">
        <f t="shared" si="11"/>
        <v>245</v>
      </c>
      <c r="H151" s="99">
        <f>G151+'6'!H151</f>
        <v>1992</v>
      </c>
      <c r="I151" s="119"/>
      <c r="J151" s="328">
        <f>H151/DAY(B2)</f>
        <v>284.57142857142856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'6'!F152</f>
        <v>23848</v>
      </c>
      <c r="F152" s="233">
        <v>23972</v>
      </c>
      <c r="G152" s="112">
        <f t="shared" si="11"/>
        <v>124</v>
      </c>
      <c r="H152" s="99">
        <f>G152+'6'!H152</f>
        <v>818</v>
      </c>
      <c r="I152" s="119"/>
      <c r="J152" s="328">
        <f>H152/DAY(B2)</f>
        <v>116.85714285714286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2729</v>
      </c>
      <c r="H153" s="363"/>
      <c r="I153" s="119" t="s">
        <v>207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'6'!F155</f>
        <v>152122</v>
      </c>
      <c r="F155" s="374">
        <v>152774</v>
      </c>
      <c r="G155" s="112">
        <f t="shared" ref="G155:G158" si="12">F155-E155</f>
        <v>652</v>
      </c>
      <c r="H155" s="99">
        <f>G155+'6'!H155</f>
        <v>4625</v>
      </c>
      <c r="I155" s="364"/>
      <c r="J155" s="328">
        <f>H155/DAY(B2)</f>
        <v>660.71428571428567</v>
      </c>
    </row>
    <row r="156" spans="1:10" ht="25.5">
      <c r="A156" s="872" t="s">
        <v>346</v>
      </c>
      <c r="B156" s="872"/>
      <c r="C156" s="872"/>
      <c r="D156" s="117" t="s">
        <v>130</v>
      </c>
      <c r="E156" s="95">
        <f>'6'!F156</f>
        <v>15345</v>
      </c>
      <c r="F156" s="155">
        <v>15444</v>
      </c>
      <c r="G156" s="112">
        <f t="shared" si="12"/>
        <v>99</v>
      </c>
      <c r="H156" s="99">
        <f>G156+'6'!H156</f>
        <v>710</v>
      </c>
      <c r="I156" s="165"/>
      <c r="J156" s="328">
        <f>H156/DAY(B2)</f>
        <v>101.42857142857143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'6'!F157</f>
        <v>28325</v>
      </c>
      <c r="F157" s="155">
        <v>28466</v>
      </c>
      <c r="G157" s="112">
        <f t="shared" si="12"/>
        <v>141</v>
      </c>
      <c r="H157" s="99">
        <f>G157+'6'!H157</f>
        <v>1020</v>
      </c>
      <c r="I157" s="165"/>
      <c r="J157" s="328">
        <f>H157/DAY(B2)</f>
        <v>145.71428571428572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'6'!F158</f>
        <v>240</v>
      </c>
      <c r="F158" s="155">
        <v>240</v>
      </c>
      <c r="G158" s="112">
        <f t="shared" si="12"/>
        <v>0</v>
      </c>
      <c r="H158" s="99">
        <f>G158+'6'!H158</f>
        <v>151.57999999999998</v>
      </c>
      <c r="I158" s="165"/>
      <c r="J158" s="328">
        <f>H158/DAY(B2)</f>
        <v>21.654285714285713</v>
      </c>
    </row>
    <row r="159" spans="1:10" ht="25.5">
      <c r="A159" s="958"/>
      <c r="B159" s="959"/>
      <c r="C159" s="960"/>
      <c r="D159" s="117"/>
      <c r="E159" s="95"/>
      <c r="F159" s="16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480221</v>
      </c>
      <c r="F161" s="235">
        <v>480249</v>
      </c>
      <c r="G161" s="238">
        <f t="shared" ref="G161:G165" si="13">F161-E161</f>
        <v>28</v>
      </c>
      <c r="H161" s="99">
        <f>G161+'6'!H161</f>
        <v>196</v>
      </c>
      <c r="I161" s="236"/>
      <c r="J161" s="239">
        <f>H161/DAY(B2)</f>
        <v>28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95201</v>
      </c>
      <c r="F162" s="235">
        <v>95227</v>
      </c>
      <c r="G162" s="238">
        <f t="shared" si="13"/>
        <v>26</v>
      </c>
      <c r="H162" s="99">
        <f>G162+'6'!H162</f>
        <v>299</v>
      </c>
      <c r="I162" s="236"/>
      <c r="J162" s="239">
        <f>H162/DAY(B2)</f>
        <v>42.714285714285715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7168</v>
      </c>
      <c r="F163" s="235">
        <v>7247</v>
      </c>
      <c r="G163" s="238">
        <f t="shared" si="13"/>
        <v>79</v>
      </c>
      <c r="H163" s="99">
        <f>G163+'6'!H163</f>
        <v>746</v>
      </c>
      <c r="I163" s="236"/>
      <c r="J163" s="239">
        <f>H163/DAY(B2)</f>
        <v>106.57142857142857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6291</v>
      </c>
      <c r="F164" s="235">
        <v>6292</v>
      </c>
      <c r="G164" s="238">
        <f t="shared" si="13"/>
        <v>1</v>
      </c>
      <c r="H164" s="99">
        <f>G164+'6'!H164</f>
        <v>12</v>
      </c>
      <c r="I164" s="236"/>
      <c r="J164" s="239">
        <f>H164/DAY(B2)</f>
        <v>1.7142857142857142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31686</v>
      </c>
      <c r="F165" s="235">
        <v>31691</v>
      </c>
      <c r="G165" s="238">
        <f t="shared" si="13"/>
        <v>5</v>
      </c>
      <c r="H165" s="99">
        <f>G165+'6'!H165</f>
        <v>57</v>
      </c>
      <c r="I165" s="236"/>
      <c r="J165" s="239">
        <f>H165/DAY(B2)</f>
        <v>8.1428571428571423</v>
      </c>
    </row>
    <row r="166" spans="1:10" ht="25.5" customHeight="1">
      <c r="A166" s="881"/>
      <c r="B166" s="881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'6'!F173</f>
        <v>8247</v>
      </c>
      <c r="F173" s="155">
        <v>8247</v>
      </c>
      <c r="G173" s="155">
        <f>F173-E173</f>
        <v>0</v>
      </c>
      <c r="H173" s="99">
        <f>G173+'6'!H173</f>
        <v>12</v>
      </c>
      <c r="I173" s="155"/>
      <c r="J173" s="178">
        <f>H173/DAY(B2)</f>
        <v>1.7142857142857142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'6'!F174</f>
        <v>41286</v>
      </c>
      <c r="F174" s="157">
        <v>41298</v>
      </c>
      <c r="G174" s="155">
        <f t="shared" ref="G174:G175" si="14">F174-E174</f>
        <v>12</v>
      </c>
      <c r="H174" s="99">
        <f>G174+'6'!H174</f>
        <v>94</v>
      </c>
      <c r="I174" s="155"/>
      <c r="J174" s="178">
        <f>H174/DAY(B2)</f>
        <v>13.428571428571429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'6'!F175</f>
        <v>24103</v>
      </c>
      <c r="F175" s="155">
        <v>24115</v>
      </c>
      <c r="G175" s="155">
        <f t="shared" si="14"/>
        <v>12</v>
      </c>
      <c r="H175" s="99">
        <f>G175+'6'!H175</f>
        <v>84</v>
      </c>
      <c r="I175" s="155"/>
      <c r="J175" s="178">
        <f>H175/DAY(B2)</f>
        <v>12</v>
      </c>
    </row>
    <row r="176" spans="1:10" ht="25.5">
      <c r="A176" s="463" t="s">
        <v>196</v>
      </c>
      <c r="B176" s="464"/>
      <c r="C176" s="333"/>
      <c r="D176" s="228" t="s">
        <v>142</v>
      </c>
      <c r="E176" s="95"/>
      <c r="F176" s="155"/>
      <c r="G176" s="155">
        <f>SUM(G173:G175)</f>
        <v>24</v>
      </c>
      <c r="H176" s="99">
        <f>G176+'6'!H176</f>
        <v>190</v>
      </c>
      <c r="I176" s="155"/>
      <c r="J176" s="178">
        <f>H176/DAY(B2)</f>
        <v>27.142857142857142</v>
      </c>
    </row>
    <row r="177" spans="1:10" ht="25.5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'6'!F178</f>
        <v>98230</v>
      </c>
      <c r="F178" s="155">
        <v>98296</v>
      </c>
      <c r="G178" s="155">
        <f>F178-E178</f>
        <v>66</v>
      </c>
      <c r="H178" s="99">
        <f>G178+'6'!H178</f>
        <v>583</v>
      </c>
      <c r="I178" s="155"/>
      <c r="J178" s="178">
        <f>H178/DAY(B2)</f>
        <v>83.285714285714292</v>
      </c>
    </row>
    <row r="179" spans="1:10" ht="25.5">
      <c r="A179" s="887" t="s">
        <v>211</v>
      </c>
      <c r="B179" s="888"/>
      <c r="C179" s="333"/>
      <c r="D179" s="228" t="s">
        <v>142</v>
      </c>
      <c r="E179" s="95">
        <f>'6'!F179</f>
        <v>36002</v>
      </c>
      <c r="F179" s="155">
        <v>36002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'6'!F180</f>
        <v>7178</v>
      </c>
      <c r="F180" s="155">
        <v>7183</v>
      </c>
      <c r="G180" s="155">
        <f t="shared" si="15"/>
        <v>5</v>
      </c>
      <c r="H180" s="99">
        <f>G180+'6'!H180</f>
        <v>14</v>
      </c>
      <c r="I180" s="155"/>
      <c r="J180" s="178">
        <f>H180/DAY(B2)</f>
        <v>2</v>
      </c>
    </row>
    <row r="181" spans="1:10" ht="25.5">
      <c r="A181" s="889" t="s">
        <v>108</v>
      </c>
      <c r="B181" s="890"/>
      <c r="C181" s="333"/>
      <c r="D181" s="228" t="s">
        <v>142</v>
      </c>
      <c r="E181" s="95"/>
      <c r="F181" s="155"/>
      <c r="G181" s="155">
        <f>SUM(G178:G180)</f>
        <v>71</v>
      </c>
      <c r="H181" s="99">
        <f>G181+'6'!H181</f>
        <v>597</v>
      </c>
      <c r="I181" s="155"/>
      <c r="J181" s="178">
        <f>H181/DAY(B2)</f>
        <v>85.285714285714292</v>
      </c>
    </row>
    <row r="182" spans="1:10" ht="25.5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'6'!F183</f>
        <v>17519</v>
      </c>
      <c r="F183" s="157">
        <v>17527</v>
      </c>
      <c r="G183" s="157">
        <f>F183-E183</f>
        <v>8</v>
      </c>
      <c r="H183" s="99">
        <f>G183+'6'!H183</f>
        <v>54</v>
      </c>
      <c r="I183" s="155"/>
      <c r="J183" s="178">
        <f>H183/DAY(B2)</f>
        <v>7.7142857142857144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'6'!F184</f>
        <v>11979</v>
      </c>
      <c r="F184" s="157">
        <v>11987</v>
      </c>
      <c r="G184" s="157">
        <f t="shared" ref="G184:G185" si="16">F184-E184</f>
        <v>8</v>
      </c>
      <c r="H184" s="99">
        <f>G184+'6'!H184</f>
        <v>52</v>
      </c>
      <c r="I184" s="155"/>
      <c r="J184" s="178">
        <f>H184/DAY(B2)</f>
        <v>7.4285714285714288</v>
      </c>
    </row>
    <row r="185" spans="1:10" ht="25.5">
      <c r="A185" s="887" t="s">
        <v>216</v>
      </c>
      <c r="B185" s="888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334"/>
      <c r="D186" s="228" t="s">
        <v>142</v>
      </c>
      <c r="E186" s="95"/>
      <c r="F186" s="157"/>
      <c r="G186" s="157">
        <f>SUM(G183:G185)</f>
        <v>16</v>
      </c>
      <c r="H186" s="99">
        <f>G186+'6'!H186</f>
        <v>106</v>
      </c>
      <c r="I186" s="157"/>
      <c r="J186" s="178">
        <f>H186/DAY(B2)</f>
        <v>15.142857142857142</v>
      </c>
    </row>
    <row r="187" spans="1:10" ht="25.5">
      <c r="A187" s="878" t="s">
        <v>217</v>
      </c>
      <c r="B187" s="879"/>
      <c r="C187" s="333"/>
      <c r="D187" s="228" t="s">
        <v>142</v>
      </c>
      <c r="E187" s="95"/>
      <c r="F187" s="159"/>
      <c r="G187" s="378">
        <f>G62+G19</f>
        <v>191</v>
      </c>
      <c r="H187" s="99">
        <f>G187+'6'!H187</f>
        <v>1127</v>
      </c>
      <c r="I187" s="158"/>
      <c r="J187" s="179">
        <f>H187/DAY(B2)</f>
        <v>161</v>
      </c>
    </row>
    <row r="188" spans="1:10" ht="25.5">
      <c r="A188" s="878" t="s">
        <v>218</v>
      </c>
      <c r="B188" s="879"/>
      <c r="C188" s="333"/>
      <c r="D188" s="230" t="s">
        <v>142</v>
      </c>
      <c r="E188" s="95"/>
      <c r="F188" s="159"/>
      <c r="G188" s="378">
        <f>G65+G66+G67+G69+G70</f>
        <v>146</v>
      </c>
      <c r="H188" s="99">
        <f>G188+'6'!H188</f>
        <v>983</v>
      </c>
      <c r="I188" s="158"/>
      <c r="J188" s="179">
        <f>H188/DAY(B2)</f>
        <v>140.42857142857142</v>
      </c>
    </row>
    <row r="189" spans="1:10" ht="25.5">
      <c r="A189" s="878" t="s">
        <v>219</v>
      </c>
      <c r="B189" s="879"/>
      <c r="C189" s="333"/>
      <c r="D189" s="230" t="s">
        <v>142</v>
      </c>
      <c r="E189" s="95"/>
      <c r="F189" s="157"/>
      <c r="G189" s="377">
        <f>G181</f>
        <v>71</v>
      </c>
      <c r="H189" s="99">
        <f>G189+'6'!H189</f>
        <v>597</v>
      </c>
      <c r="I189" s="158"/>
      <c r="J189" s="179">
        <f>H189/DAY(B2)</f>
        <v>85.285714285714292</v>
      </c>
    </row>
    <row r="190" spans="1:10" ht="25.5">
      <c r="A190" s="885"/>
      <c r="B190" s="88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zoomScale="5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6" s="57" customFormat="1" ht="23.25">
      <c r="A2" s="191" t="s">
        <v>355</v>
      </c>
      <c r="B2" s="262">
        <v>44750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  <c r="O6" s="65">
        <v>903668</v>
      </c>
    </row>
    <row r="7" spans="1:16" ht="27" thickBot="1">
      <c r="A7" s="194" t="s">
        <v>129</v>
      </c>
      <c r="B7" s="195"/>
      <c r="C7" s="195"/>
      <c r="D7" s="151" t="s">
        <v>130</v>
      </c>
      <c r="E7" s="95">
        <f>'7'!F7</f>
        <v>519228</v>
      </c>
      <c r="F7" s="95">
        <f>E7+26200</f>
        <v>545428</v>
      </c>
      <c r="G7" s="112">
        <f>F7-E7</f>
        <v>26200</v>
      </c>
      <c r="H7" s="99">
        <f>G7+'7'!H7</f>
        <v>208298</v>
      </c>
      <c r="I7" s="113">
        <f>'1'!I7</f>
        <v>12000</v>
      </c>
      <c r="J7" s="175">
        <f>H7/DAY(B2)</f>
        <v>26037.25</v>
      </c>
      <c r="K7" s="172">
        <v>1375467</v>
      </c>
      <c r="L7" s="66"/>
      <c r="N7" s="87" t="s">
        <v>373</v>
      </c>
      <c r="O7" s="71">
        <v>1028046.66</v>
      </c>
    </row>
    <row r="8" spans="1:16" ht="27" thickBot="1">
      <c r="A8" s="196" t="s">
        <v>131</v>
      </c>
      <c r="B8" s="197"/>
      <c r="C8" s="198"/>
      <c r="D8" s="224" t="s">
        <v>24</v>
      </c>
      <c r="E8" s="95">
        <f>'7'!F8</f>
        <v>673353</v>
      </c>
      <c r="F8" s="95">
        <f>E8+26500</f>
        <v>699853</v>
      </c>
      <c r="G8" s="115">
        <f>F8-E8</f>
        <v>26500</v>
      </c>
      <c r="H8" s="99">
        <f>G8+'7'!H8</f>
        <v>211266</v>
      </c>
      <c r="I8" s="116"/>
      <c r="J8" s="175">
        <f>H8/DAY(B2)</f>
        <v>26408.25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'7'!F9</f>
        <v>3322535</v>
      </c>
      <c r="F9" s="117">
        <v>3032293</v>
      </c>
      <c r="G9" s="112">
        <f>F9-E9</f>
        <v>-290242</v>
      </c>
      <c r="H9" s="99">
        <f>G9+'7'!H9</f>
        <v>-246773</v>
      </c>
      <c r="I9" s="124">
        <f>I7-J7</f>
        <v>-14037.25</v>
      </c>
      <c r="J9" s="175">
        <f>H9/DAY(B2)</f>
        <v>-30846.625</v>
      </c>
      <c r="K9" s="79">
        <f>K8-100</f>
        <v>1715817</v>
      </c>
      <c r="L9" s="66"/>
      <c r="N9" s="87"/>
      <c r="O9" s="71">
        <f>G8-1160</f>
        <v>25340</v>
      </c>
      <c r="P9" s="71">
        <f>G7-O9</f>
        <v>860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'7'!F10</f>
        <v>1800927</v>
      </c>
      <c r="F10" s="117">
        <v>1331095</v>
      </c>
      <c r="G10" s="112">
        <f t="shared" ref="G10:G12" si="0">F10-E10</f>
        <v>-469832</v>
      </c>
      <c r="H10" s="99">
        <f>G10+'7'!H10</f>
        <v>-336063</v>
      </c>
      <c r="I10" s="282"/>
      <c r="J10" s="175">
        <f>H10/DAY(B2)</f>
        <v>-42007.875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-760074</v>
      </c>
      <c r="H13" s="99">
        <f>G13+'7'!H13</f>
        <v>-581501.40000000014</v>
      </c>
      <c r="I13" s="120">
        <f>G7-G13</f>
        <v>786274</v>
      </c>
      <c r="J13" s="175">
        <f>H13/DAY(B2)</f>
        <v>-72687.675000000017</v>
      </c>
      <c r="K13" s="79"/>
      <c r="L13" s="66"/>
      <c r="N13" s="87"/>
      <c r="O13" s="71"/>
    </row>
    <row r="14" spans="1:16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'7'!F15</f>
        <v>2108008</v>
      </c>
      <c r="F15" s="469">
        <f>E15+1000</f>
        <v>2109008</v>
      </c>
      <c r="G15" s="112">
        <f>(F15-E15)</f>
        <v>1000</v>
      </c>
      <c r="H15" s="99">
        <f>G15+'7'!H15</f>
        <v>8140</v>
      </c>
      <c r="I15" s="113">
        <f>'1'!I15</f>
        <v>800</v>
      </c>
      <c r="J15" s="175">
        <f>H15/DAY(B2)</f>
        <v>1017.5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-217.5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'7'!F18</f>
        <v>24</v>
      </c>
      <c r="F18" s="122">
        <v>17</v>
      </c>
      <c r="G18" s="119">
        <f>F18*10</f>
        <v>170</v>
      </c>
      <c r="H18" s="99">
        <f>G18+'7'!H18</f>
        <v>1290</v>
      </c>
      <c r="I18" s="113">
        <f>'1'!I18</f>
        <v>65</v>
      </c>
      <c r="J18" s="175">
        <f>H18/DAY(B2)</f>
        <v>161.25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'7'!F19</f>
        <v>162692</v>
      </c>
      <c r="F19" s="122">
        <v>161214</v>
      </c>
      <c r="G19" s="112">
        <f t="shared" ref="G19" si="1">F19-E19</f>
        <v>-1478</v>
      </c>
      <c r="H19" s="99">
        <f>G19+'7'!H19</f>
        <v>-1121</v>
      </c>
      <c r="I19" s="335"/>
      <c r="J19" s="175">
        <f>H19/DAY(B2)</f>
        <v>-140.125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-1308</v>
      </c>
      <c r="H20" s="99">
        <f>G20+'7'!H20</f>
        <v>169</v>
      </c>
      <c r="I20" s="336">
        <f>I18-J20</f>
        <v>43.875</v>
      </c>
      <c r="J20" s="175">
        <f>H20/DAY(B2)</f>
        <v>21.125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G27+'7'!H27</f>
        <v>1901394</v>
      </c>
      <c r="I27" s="138"/>
      <c r="J27" s="175">
        <f>H27/DAY(B2)</f>
        <v>237674.25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G28+'7'!H28</f>
        <v>569800</v>
      </c>
      <c r="I28" s="140"/>
      <c r="J28" s="175">
        <f>H28/DAY(B2)</f>
        <v>71225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-1478</v>
      </c>
      <c r="F30" s="136">
        <v>151</v>
      </c>
      <c r="G30" s="137">
        <f>E30*F30</f>
        <v>-223178</v>
      </c>
      <c r="H30" s="99">
        <f>G30+'7'!H30</f>
        <v>-169271</v>
      </c>
      <c r="I30" s="140"/>
      <c r="J30" s="175">
        <f>H30/DAY(B2)</f>
        <v>-21158.875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G31+'7'!H31</f>
        <v>103200</v>
      </c>
      <c r="I31" s="140"/>
      <c r="J31" s="175">
        <f>H31/DAY(B2)</f>
        <v>12900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98922</v>
      </c>
      <c r="H32" s="99">
        <f>G32+'7'!H32</f>
        <v>2405123</v>
      </c>
      <c r="I32" s="144"/>
      <c r="J32" s="175">
        <f>H32/DAY(B2)</f>
        <v>300640.375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238713</v>
      </c>
      <c r="F35" s="145">
        <v>238713</v>
      </c>
      <c r="G35" s="112">
        <f t="shared" ref="G35:G46" si="3">F35-E35</f>
        <v>0</v>
      </c>
      <c r="H35" s="99">
        <f>G35+'7'!H35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221744</v>
      </c>
      <c r="F36" s="145">
        <v>194337</v>
      </c>
      <c r="G36" s="112">
        <f t="shared" si="3"/>
        <v>-27407</v>
      </c>
      <c r="H36" s="99">
        <f>G36+'7'!H36</f>
        <v>-21193</v>
      </c>
      <c r="I36" s="95"/>
      <c r="J36" s="175">
        <f>H36/DAY(B2)</f>
        <v>-2649.125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322998.69</v>
      </c>
      <c r="F37" s="145">
        <v>299568</v>
      </c>
      <c r="G37" s="112">
        <f t="shared" si="3"/>
        <v>-23430.690000000002</v>
      </c>
      <c r="H37" s="99">
        <f>G37+'7'!H37</f>
        <v>-23431</v>
      </c>
      <c r="I37" s="95"/>
      <c r="J37" s="175">
        <f>H37/DAY(B2)</f>
        <v>-2928.875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473065</v>
      </c>
      <c r="F38" s="108">
        <v>404586</v>
      </c>
      <c r="G38" s="112">
        <f t="shared" si="3"/>
        <v>-68479</v>
      </c>
      <c r="H38" s="99">
        <f>G38+'7'!H38</f>
        <v>-52775</v>
      </c>
      <c r="I38" s="95"/>
      <c r="J38" s="175">
        <f>H38/DAY(B2)</f>
        <v>-6596.875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591584</v>
      </c>
      <c r="F39" s="145">
        <v>547227</v>
      </c>
      <c r="G39" s="112">
        <f t="shared" si="3"/>
        <v>-44357</v>
      </c>
      <c r="H39" s="99">
        <f>G39+'7'!H39</f>
        <v>-44357</v>
      </c>
      <c r="I39" s="95"/>
      <c r="J39" s="175">
        <f>H39/DAY(B2)</f>
        <v>-5544.625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112779</v>
      </c>
      <c r="F40" s="145">
        <v>88426</v>
      </c>
      <c r="G40" s="112">
        <f t="shared" si="3"/>
        <v>-24353</v>
      </c>
      <c r="H40" s="99">
        <f>G40+'7'!H40</f>
        <v>-18350</v>
      </c>
      <c r="I40" s="95"/>
      <c r="J40" s="175">
        <f>H40/DAY(B2)</f>
        <v>-2293.75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230221</v>
      </c>
      <c r="F41" s="145">
        <v>152694</v>
      </c>
      <c r="G41" s="112">
        <f t="shared" si="3"/>
        <v>-77527</v>
      </c>
      <c r="H41" s="99">
        <f>G41+'7'!H41</f>
        <v>-59009</v>
      </c>
      <c r="I41" s="95"/>
      <c r="J41" s="175">
        <f>H41/DAY(B2)</f>
        <v>-7376.125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752206</v>
      </c>
      <c r="F42" s="145">
        <v>721198</v>
      </c>
      <c r="G42" s="112">
        <f t="shared" si="3"/>
        <v>-31008</v>
      </c>
      <c r="H42" s="99">
        <f>G42+'7'!H42</f>
        <v>-27166</v>
      </c>
      <c r="I42" s="95"/>
      <c r="J42" s="175">
        <f>H42/DAY(B2)</f>
        <v>-3395.75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-296561.69</v>
      </c>
      <c r="H47" s="99">
        <f>G47+'7'!H47</f>
        <v>-246281</v>
      </c>
      <c r="I47" s="95"/>
      <c r="J47" s="175">
        <f>H47/DAY(B2)</f>
        <v>-30785.125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511904</v>
      </c>
      <c r="F49" s="145">
        <v>396677</v>
      </c>
      <c r="G49" s="112">
        <f t="shared" ref="G49:G58" si="4">F49-E49</f>
        <v>-115227</v>
      </c>
      <c r="H49" s="99">
        <f>G49+'7'!H49</f>
        <v>-85377</v>
      </c>
      <c r="I49" s="95"/>
      <c r="J49" s="175">
        <f>H49/DAY(B2)</f>
        <v>-10672.125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290694</v>
      </c>
      <c r="F50" s="145">
        <v>252897</v>
      </c>
      <c r="G50" s="112">
        <f t="shared" si="4"/>
        <v>-37797</v>
      </c>
      <c r="H50" s="99">
        <f>G50+'7'!H50</f>
        <v>-29853</v>
      </c>
      <c r="I50" s="95"/>
      <c r="J50" s="175">
        <f>H50/DAY(B2)</f>
        <v>-3731.625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16205</v>
      </c>
      <c r="F51" s="145">
        <v>75.680000000000007</v>
      </c>
      <c r="G51" s="112">
        <f t="shared" si="4"/>
        <v>-16129.32</v>
      </c>
      <c r="H51" s="99">
        <f>G51+'7'!H51</f>
        <v>-8432.32</v>
      </c>
      <c r="I51" s="95"/>
      <c r="J51" s="175">
        <f>H51/DAY(B2)</f>
        <v>-1054.04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64074</v>
      </c>
      <c r="F53" s="145">
        <v>0</v>
      </c>
      <c r="G53" s="112">
        <f t="shared" si="4"/>
        <v>-64074</v>
      </c>
      <c r="H53" s="99">
        <f>G53+'7'!H53</f>
        <v>-33861</v>
      </c>
      <c r="I53" s="95"/>
      <c r="J53" s="175">
        <f>H53/DAY(B2)</f>
        <v>-4232.625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90359</v>
      </c>
      <c r="F54" s="145">
        <v>79847</v>
      </c>
      <c r="G54" s="112">
        <f t="shared" si="4"/>
        <v>-10512</v>
      </c>
      <c r="H54" s="99">
        <f>G54+'7'!H54</f>
        <v>-8096</v>
      </c>
      <c r="I54" s="95"/>
      <c r="J54" s="175">
        <f>H54/DAY(B2)</f>
        <v>-1012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386083</v>
      </c>
      <c r="F55" s="145">
        <v>296927</v>
      </c>
      <c r="G55" s="112">
        <f t="shared" si="4"/>
        <v>-89156</v>
      </c>
      <c r="H55" s="99">
        <f>G55+'7'!H55</f>
        <v>-65850</v>
      </c>
      <c r="I55" s="95"/>
      <c r="J55" s="175">
        <f>H55/DAY(B2)</f>
        <v>-8231.25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123882</v>
      </c>
      <c r="F56" s="145">
        <v>118797</v>
      </c>
      <c r="G56" s="112">
        <f t="shared" si="4"/>
        <v>-5085</v>
      </c>
      <c r="H56" s="99">
        <f>G56+'7'!H56</f>
        <v>-5085</v>
      </c>
      <c r="I56" s="95"/>
      <c r="J56" s="175">
        <f>H56/DAY(B2)</f>
        <v>-635.625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248168</v>
      </c>
      <c r="F57" s="145">
        <v>156786</v>
      </c>
      <c r="G57" s="112">
        <f t="shared" si="4"/>
        <v>-91382</v>
      </c>
      <c r="H57" s="99">
        <f>G57+'7'!H57</f>
        <v>-69384</v>
      </c>
      <c r="I57" s="95"/>
      <c r="J57" s="175">
        <f>H57/DAY(B2)</f>
        <v>-8673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50937</v>
      </c>
      <c r="F58" s="145">
        <v>42651</v>
      </c>
      <c r="G58" s="112">
        <f t="shared" si="4"/>
        <v>-8286</v>
      </c>
      <c r="H58" s="99">
        <f>G58+'7'!H58</f>
        <v>-6458</v>
      </c>
      <c r="I58" s="95"/>
      <c r="J58" s="175">
        <f>H58/DAY(B2)</f>
        <v>-807.25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-437648.32</v>
      </c>
      <c r="H59" s="99">
        <f>G59+'7'!H59</f>
        <v>-312396.56</v>
      </c>
      <c r="I59" s="95">
        <f>G7-G60</f>
        <v>760410.01</v>
      </c>
      <c r="J59" s="175">
        <f>H59/DAY(B2)</f>
        <v>-39049.57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-734210.01</v>
      </c>
      <c r="H60" s="99">
        <f>G60+'7'!H60</f>
        <v>-558677.56000000006</v>
      </c>
      <c r="I60" s="95">
        <f>G13-G60</f>
        <v>-25863.989999999991</v>
      </c>
      <c r="J60" s="175">
        <f>H60/DAY(B2)</f>
        <v>-69834.695000000007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'7'!F62</f>
        <v>297045</v>
      </c>
      <c r="F62" s="122">
        <v>293492</v>
      </c>
      <c r="G62" s="112">
        <f t="shared" ref="G62:G63" si="5">F62-E62</f>
        <v>-3553</v>
      </c>
      <c r="H62" s="99">
        <f>G62+'7'!H62</f>
        <v>-2783</v>
      </c>
      <c r="I62" s="118"/>
      <c r="J62" s="175">
        <f>H62/DAY(B2)</f>
        <v>-347.875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'7'!F63</f>
        <v>240058</v>
      </c>
      <c r="F63" s="122">
        <v>235937</v>
      </c>
      <c r="G63" s="112">
        <f t="shared" si="5"/>
        <v>-4121</v>
      </c>
      <c r="H63" s="99">
        <f>G63+'7'!H63</f>
        <v>-3196</v>
      </c>
      <c r="I63" s="118"/>
      <c r="J63" s="175">
        <f>H63/DAY(B2)</f>
        <v>-399.5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'7'!F64</f>
        <v>0</v>
      </c>
      <c r="F64" s="122"/>
      <c r="G64" s="112">
        <f>G62+G63</f>
        <v>-7674</v>
      </c>
      <c r="H64" s="99">
        <f>G64+'7'!H64</f>
        <v>-5979</v>
      </c>
      <c r="I64" s="118"/>
      <c r="J64" s="175">
        <f>H64/DAY(B2)</f>
        <v>-747.375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'7'!F65</f>
        <v>455424</v>
      </c>
      <c r="F65" s="122">
        <v>452170</v>
      </c>
      <c r="G65" s="112">
        <f t="shared" ref="G65:G70" si="6">F65-E65</f>
        <v>-3254</v>
      </c>
      <c r="H65" s="99">
        <f>G65+'7'!H65</f>
        <v>-2540</v>
      </c>
      <c r="I65" s="118"/>
      <c r="J65" s="175">
        <f>H65/DAY(B2)</f>
        <v>-317.5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111885</v>
      </c>
      <c r="F66" s="122">
        <v>111160</v>
      </c>
      <c r="G66" s="112">
        <f t="shared" si="6"/>
        <v>-725</v>
      </c>
      <c r="H66" s="99">
        <f>G66+'7'!H66</f>
        <v>-562</v>
      </c>
      <c r="I66" s="118"/>
      <c r="J66" s="175">
        <f>H66/DAY(B2)</f>
        <v>-70.25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113680</v>
      </c>
      <c r="F67" s="122">
        <v>113680</v>
      </c>
      <c r="G67" s="112">
        <f t="shared" si="6"/>
        <v>0</v>
      </c>
      <c r="H67" s="99">
        <f>G67+'7'!H67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164821</v>
      </c>
      <c r="F68" s="122">
        <v>163884</v>
      </c>
      <c r="G68" s="112">
        <f t="shared" si="6"/>
        <v>-937</v>
      </c>
      <c r="H68" s="99">
        <f>G68+'7'!H68</f>
        <v>-778</v>
      </c>
      <c r="I68" s="118"/>
      <c r="J68" s="175">
        <f>H68/DAY(B2)</f>
        <v>-97.25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12317</v>
      </c>
      <c r="F69" s="122">
        <v>12167</v>
      </c>
      <c r="G69" s="112">
        <f t="shared" si="6"/>
        <v>-150</v>
      </c>
      <c r="H69" s="99">
        <f>G69+'7'!H69</f>
        <v>-108</v>
      </c>
      <c r="I69" s="118"/>
      <c r="J69" s="175">
        <f>H69/DAY(B2)</f>
        <v>-13.5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9891</v>
      </c>
      <c r="F70" s="122">
        <v>9573</v>
      </c>
      <c r="G70" s="112">
        <f t="shared" si="6"/>
        <v>-318</v>
      </c>
      <c r="H70" s="99">
        <f>G70+'7'!H70</f>
        <v>-254</v>
      </c>
      <c r="I70" s="118"/>
      <c r="J70" s="175">
        <f>H70/DAY(B2)</f>
        <v>-31.75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-5384</v>
      </c>
      <c r="H71" s="99">
        <f>G71+'7'!H71</f>
        <v>-4242</v>
      </c>
      <c r="I71" s="154"/>
      <c r="J71" s="175">
        <f>H71/DAY(B2)</f>
        <v>-530.25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'7'!F74</f>
        <v>959783</v>
      </c>
      <c r="F74" s="123">
        <v>950140</v>
      </c>
      <c r="G74" s="112">
        <f t="shared" ref="G74:G78" si="7">F74-E74</f>
        <v>-9643</v>
      </c>
      <c r="H74" s="99">
        <f>G74+'7'!H74</f>
        <v>-7517.859999999986</v>
      </c>
      <c r="I74" s="154"/>
      <c r="J74" s="175">
        <f>H74/DAY(B2)</f>
        <v>-939.73249999999825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'7'!F75</f>
        <v>73586</v>
      </c>
      <c r="F75" s="123">
        <v>73586.8</v>
      </c>
      <c r="G75" s="112">
        <f t="shared" si="7"/>
        <v>0.80000000000291038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'7'!F76</f>
        <v>190956</v>
      </c>
      <c r="F76" s="123">
        <v>187751</v>
      </c>
      <c r="G76" s="112">
        <f t="shared" si="7"/>
        <v>-3205</v>
      </c>
      <c r="H76" s="99">
        <f>G76+'7'!H76</f>
        <v>-2421</v>
      </c>
      <c r="I76" s="154"/>
      <c r="J76" s="175">
        <f>H76/DAY(B2)</f>
        <v>-302.625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'7'!F77</f>
        <v>50642</v>
      </c>
      <c r="F77" s="123">
        <v>49068</v>
      </c>
      <c r="G77" s="112">
        <f t="shared" si="7"/>
        <v>-1574</v>
      </c>
      <c r="H77" s="99">
        <f>G77+'7'!H77</f>
        <v>-1245</v>
      </c>
      <c r="I77" s="154"/>
      <c r="J77" s="175">
        <f>H77/DAY(B2)</f>
        <v>-155.625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0.3999999999996362</v>
      </c>
      <c r="I78" s="118"/>
      <c r="J78" s="175">
        <f>H78/DAY(B2)</f>
        <v>4.9999999999954525E-2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'7'!F79</f>
        <v>0</v>
      </c>
      <c r="F79" s="117"/>
      <c r="G79" s="112">
        <f>G15-SUM(G74:G78)</f>
        <v>15421.199999999997</v>
      </c>
      <c r="H79" s="99">
        <f>G79+'7'!H79</f>
        <v>19323.459999999985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42677</v>
      </c>
      <c r="F84" s="164">
        <v>42316</v>
      </c>
      <c r="G84" s="112">
        <f t="shared" si="8"/>
        <v>-361</v>
      </c>
      <c r="H84" s="99">
        <f>G84+'7'!H84</f>
        <v>-273</v>
      </c>
      <c r="I84" s="571"/>
      <c r="J84" s="175">
        <f>H84/DAY(B2)</f>
        <v>-34.125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5156.4799999999996</v>
      </c>
      <c r="F85" s="164">
        <v>5019</v>
      </c>
      <c r="G85" s="112">
        <f t="shared" si="8"/>
        <v>-137.47999999999956</v>
      </c>
      <c r="H85" s="99">
        <f>G85+'7'!H85</f>
        <v>-121.1899999999996</v>
      </c>
      <c r="I85" s="571"/>
      <c r="J85" s="175">
        <f>H85/DAY(B2)</f>
        <v>-15.14874999999995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45539</v>
      </c>
      <c r="F86" s="164">
        <v>44935</v>
      </c>
      <c r="G86" s="112">
        <f t="shared" si="8"/>
        <v>-604</v>
      </c>
      <c r="H86" s="99">
        <f>G86+'7'!H86</f>
        <v>-444</v>
      </c>
      <c r="I86" s="571"/>
      <c r="J86" s="175">
        <f>H86/DAY(B2)</f>
        <v>-55.5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35457</v>
      </c>
      <c r="F87" s="164">
        <v>35421</v>
      </c>
      <c r="G87" s="112">
        <f t="shared" si="8"/>
        <v>-36</v>
      </c>
      <c r="H87" s="99">
        <f>G87+'7'!H87</f>
        <v>-36.430000000000291</v>
      </c>
      <c r="I87" s="553">
        <f>G84+G85+G86+G87</f>
        <v>-1138.4799999999996</v>
      </c>
      <c r="J87" s="175">
        <f>H87/DAY(B2)</f>
        <v>-4.5537500000000364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24318.959999999999</v>
      </c>
      <c r="F88" s="164">
        <v>24285</v>
      </c>
      <c r="G88" s="112">
        <f t="shared" si="8"/>
        <v>-33.959999999999127</v>
      </c>
      <c r="H88" s="99">
        <f>G88+'7'!H88</f>
        <v>-18.459999999999127</v>
      </c>
      <c r="I88" s="553"/>
      <c r="J88" s="175">
        <f>H88/DAY(B2)</f>
        <v>-2.3074999999998909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27617</v>
      </c>
      <c r="F89" s="164">
        <v>27363.57</v>
      </c>
      <c r="G89" s="112">
        <f t="shared" si="8"/>
        <v>-253.43000000000029</v>
      </c>
      <c r="H89" s="99">
        <f>G89+'7'!H89</f>
        <v>-203.04000000000087</v>
      </c>
      <c r="I89" s="553">
        <f>G88+G89</f>
        <v>-287.38999999999942</v>
      </c>
      <c r="J89" s="175">
        <f>H89/DAY(B2)</f>
        <v>-25.380000000000109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72685</v>
      </c>
      <c r="F90" s="164">
        <v>72362.990000000005</v>
      </c>
      <c r="G90" s="112">
        <f t="shared" si="8"/>
        <v>-322.00999999999476</v>
      </c>
      <c r="H90" s="99">
        <f>G90+'7'!H90</f>
        <v>-243.55999999999767</v>
      </c>
      <c r="I90" s="553">
        <f>G90</f>
        <v>-322.00999999999476</v>
      </c>
      <c r="J90" s="175">
        <f>H90/DAY(B2)</f>
        <v>-30.444999999999709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4289.5600000000004</v>
      </c>
      <c r="F91" s="122">
        <v>4187</v>
      </c>
      <c r="G91" s="112">
        <f t="shared" si="8"/>
        <v>-102.5600000000004</v>
      </c>
      <c r="H91" s="99">
        <f>G91+'7'!H91</f>
        <v>-102.53999999999996</v>
      </c>
      <c r="I91" s="613"/>
      <c r="J91" s="175">
        <f>H91/DAY(B2)</f>
        <v>-12.817499999999995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6793.45</v>
      </c>
      <c r="F92" s="122">
        <v>6554</v>
      </c>
      <c r="G92" s="112">
        <f t="shared" si="8"/>
        <v>-239.44999999999982</v>
      </c>
      <c r="H92" s="99">
        <f>G92+'7'!H92</f>
        <v>-163.32999999999993</v>
      </c>
      <c r="I92" s="614">
        <f>G91+G92</f>
        <v>-342.01000000000022</v>
      </c>
      <c r="J92" s="175">
        <f>H92/DAY(B2)</f>
        <v>-20.416249999999991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-206609</v>
      </c>
      <c r="H94" s="99">
        <f>G94+'7'!H94</f>
        <v>-154761</v>
      </c>
      <c r="I94" s="118"/>
      <c r="J94" s="175">
        <f>H94/DAY(B2)</f>
        <v>-19345.125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-7.8858396946564886</v>
      </c>
      <c r="H95" s="99">
        <f>G95+'7'!H95</f>
        <v>-5.8911171359715171</v>
      </c>
      <c r="I95" s="167"/>
      <c r="J95" s="175">
        <f>H95/DAY(B2)</f>
        <v>-0.73638964199643964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-202776</v>
      </c>
      <c r="H96" s="99">
        <f>G96+'7'!H96</f>
        <v>-157110</v>
      </c>
      <c r="I96" s="118"/>
      <c r="J96" s="175">
        <f>H96/DAY(B2)</f>
        <v>-19638.75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-7.7395419847328242</v>
      </c>
      <c r="H97" s="99">
        <f>G97+'7'!H97</f>
        <v>-5.985233257127808</v>
      </c>
      <c r="I97" s="167"/>
      <c r="J97" s="175">
        <f>H97/DAY(B2)</f>
        <v>-0.74815415714097599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-108431</v>
      </c>
      <c r="H98" s="99">
        <f>G98+'7'!H98</f>
        <v>-78218</v>
      </c>
      <c r="I98" s="168"/>
      <c r="J98" s="175">
        <f>H98/DAY(B2)</f>
        <v>-9777.25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-4.1385877862595422</v>
      </c>
      <c r="H99" s="99">
        <f>G99+'7'!H99</f>
        <v>-2.975818197356952</v>
      </c>
      <c r="I99" s="168"/>
      <c r="J99" s="175">
        <f>H99/DAY(B2)</f>
        <v>-0.371977274669619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-68479</v>
      </c>
      <c r="H100" s="99">
        <f>G100+'7'!H100</f>
        <v>-52775.24</v>
      </c>
      <c r="I100" s="118"/>
      <c r="J100" s="175">
        <f>H100/DAY(B2)</f>
        <v>-6596.9049999999997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-2.6137022900763358</v>
      </c>
      <c r="H101" s="99">
        <f>G101+'7'!H101</f>
        <v>-2.0094892754662927</v>
      </c>
      <c r="I101" s="168"/>
      <c r="J101" s="175">
        <f>H101/DAY(B2)</f>
        <v>-0.25118615943328659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-65204</v>
      </c>
      <c r="H102" s="99">
        <f>G102+'7'!H102</f>
        <v>-51046</v>
      </c>
      <c r="I102" s="168"/>
      <c r="J102" s="175">
        <f>H102/DAY(B2)</f>
        <v>-6380.75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-2.4887022900763358</v>
      </c>
      <c r="H103" s="99">
        <f>G103+'7'!H103</f>
        <v>-1.9464726702396113</v>
      </c>
      <c r="I103" s="118"/>
      <c r="J103" s="175">
        <f>H103/DAY(B2)</f>
        <v>-0.24330908377995142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-39560.01</v>
      </c>
      <c r="H104" s="99">
        <f>G104+'7'!H104</f>
        <v>-31863.32</v>
      </c>
      <c r="I104" s="118"/>
      <c r="J104" s="175">
        <f>H104/DAY(B2)</f>
        <v>-3982.915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-1.5099240458015268</v>
      </c>
      <c r="H105" s="99">
        <f>G105+'7'!H105</f>
        <v>-1.2137731492654882</v>
      </c>
      <c r="I105" s="187"/>
      <c r="J105" s="188">
        <f>H105/DAY(B2)</f>
        <v>-0.15172164365818602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'7'!F112</f>
        <v>7772</v>
      </c>
      <c r="F112" s="237">
        <v>5528</v>
      </c>
      <c r="G112" s="112">
        <f t="shared" ref="G112:G123" si="9">F112-E112</f>
        <v>-2244</v>
      </c>
      <c r="H112" s="99">
        <f>G112+'7'!H112</f>
        <v>-1737</v>
      </c>
      <c r="I112" s="165"/>
      <c r="J112" s="328">
        <f>H112/DAY(B2)</f>
        <v>-217.125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'7'!F113</f>
        <v>15986</v>
      </c>
      <c r="F113" s="237">
        <v>11766</v>
      </c>
      <c r="G113" s="112">
        <f t="shared" si="9"/>
        <v>-4220</v>
      </c>
      <c r="H113" s="99">
        <f>G113+'7'!H113</f>
        <v>-3249</v>
      </c>
      <c r="I113" s="165"/>
      <c r="J113" s="328">
        <f>H113/DAY(B2)</f>
        <v>-406.125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'7'!F114</f>
        <v>22790</v>
      </c>
      <c r="F114" s="237">
        <v>16004</v>
      </c>
      <c r="G114" s="112">
        <f t="shared" si="9"/>
        <v>-6786</v>
      </c>
      <c r="H114" s="99">
        <f>G114+'7'!H114</f>
        <v>-5264</v>
      </c>
      <c r="I114" s="165"/>
      <c r="J114" s="328">
        <f>H114/DAY(B2)</f>
        <v>-658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'7'!F115</f>
        <v>14386</v>
      </c>
      <c r="F115" s="237">
        <v>10003</v>
      </c>
      <c r="G115" s="112">
        <f t="shared" si="9"/>
        <v>-4383</v>
      </c>
      <c r="H115" s="99">
        <f>G115+'7'!H115</f>
        <v>-3427</v>
      </c>
      <c r="I115" s="165"/>
      <c r="J115" s="328">
        <f>H115/DAY(B2)</f>
        <v>-428.375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'7'!F116</f>
        <v>73110</v>
      </c>
      <c r="F116" s="237">
        <v>62045</v>
      </c>
      <c r="G116" s="112">
        <f t="shared" si="9"/>
        <v>-11065</v>
      </c>
      <c r="H116" s="99">
        <f>G116+'7'!H116</f>
        <v>-8447</v>
      </c>
      <c r="I116" s="165"/>
      <c r="J116" s="328">
        <f>H116/DAY(B2)</f>
        <v>-1055.875</v>
      </c>
      <c r="Q116" s="894" t="s">
        <v>311</v>
      </c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'7'!F117</f>
        <v>42469</v>
      </c>
      <c r="F117" s="237">
        <v>35101</v>
      </c>
      <c r="G117" s="112">
        <f t="shared" si="9"/>
        <v>-7368</v>
      </c>
      <c r="H117" s="99">
        <f>G117+'7'!H117</f>
        <v>-5821</v>
      </c>
      <c r="I117" s="165"/>
      <c r="J117" s="328">
        <f>H117/DAY(B2)</f>
        <v>-727.625</v>
      </c>
      <c r="Q117" s="894" t="s">
        <v>312</v>
      </c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'7'!F118</f>
        <v>68775</v>
      </c>
      <c r="F118" s="237">
        <v>50079</v>
      </c>
      <c r="G118" s="112">
        <f t="shared" si="9"/>
        <v>-18696</v>
      </c>
      <c r="H118" s="99">
        <f>G118+'7'!H118</f>
        <v>-14593</v>
      </c>
      <c r="I118" s="165"/>
      <c r="J118" s="328">
        <f>H118/DAY(B2)</f>
        <v>-1824.125</v>
      </c>
      <c r="Q118" s="894" t="s">
        <v>311</v>
      </c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'7'!F119</f>
        <v>39098</v>
      </c>
      <c r="F119" s="237">
        <v>32204</v>
      </c>
      <c r="G119" s="112">
        <f t="shared" si="9"/>
        <v>-6894</v>
      </c>
      <c r="H119" s="99">
        <f>G119+'7'!H119</f>
        <v>-5245</v>
      </c>
      <c r="I119" s="165"/>
      <c r="J119" s="328">
        <f>H119/DAY(B2)</f>
        <v>-655.625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'7'!F120</f>
        <v>49173</v>
      </c>
      <c r="F120" s="237">
        <v>36543</v>
      </c>
      <c r="G120" s="112">
        <f t="shared" si="9"/>
        <v>-12630</v>
      </c>
      <c r="H120" s="99">
        <f>G120+'7'!H120</f>
        <v>-9724</v>
      </c>
      <c r="I120" s="165"/>
      <c r="J120" s="328">
        <f>H120/DAY(B2)</f>
        <v>-1215.5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'7'!F121</f>
        <v>56867</v>
      </c>
      <c r="F121" s="237">
        <v>43217</v>
      </c>
      <c r="G121" s="112">
        <f t="shared" si="9"/>
        <v>-13650</v>
      </c>
      <c r="H121" s="99">
        <f>G121+'7'!H121</f>
        <v>-10326</v>
      </c>
      <c r="I121" s="165"/>
      <c r="J121" s="328">
        <f>H121/DAY(B2)</f>
        <v>-1290.75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'7'!F122</f>
        <v>30726</v>
      </c>
      <c r="F122" s="237">
        <v>22348</v>
      </c>
      <c r="G122" s="112">
        <f t="shared" si="9"/>
        <v>-8378</v>
      </c>
      <c r="H122" s="99">
        <f>G122+'7'!H122</f>
        <v>-6326</v>
      </c>
      <c r="I122" s="165"/>
      <c r="J122" s="328">
        <f>H122/DAY(B2)</f>
        <v>-790.75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'7'!F123</f>
        <v>32460</v>
      </c>
      <c r="F123" s="237">
        <v>22865</v>
      </c>
      <c r="G123" s="112">
        <f t="shared" si="9"/>
        <v>-9595</v>
      </c>
      <c r="H123" s="99">
        <f>G123+'7'!H123</f>
        <v>-7323</v>
      </c>
      <c r="I123" s="165"/>
      <c r="J123" s="328">
        <f>H123/DAY(B2)</f>
        <v>-915.375</v>
      </c>
    </row>
    <row r="124" spans="1:18" ht="29.2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-105909</v>
      </c>
      <c r="H125" s="156"/>
      <c r="I125" s="327">
        <f>G125-(G39+G53)</f>
        <v>2522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'7'!F128</f>
        <v>131290</v>
      </c>
      <c r="F128" s="165">
        <v>115953</v>
      </c>
      <c r="G128" s="112">
        <f t="shared" ref="G128:G134" si="10">F128-E128</f>
        <v>-15337</v>
      </c>
      <c r="H128" s="99">
        <f>G128+'7'!H128</f>
        <v>-11691</v>
      </c>
      <c r="I128" s="165"/>
      <c r="J128" s="328">
        <f>H128/DAY(B2)</f>
        <v>-1461.375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73951</v>
      </c>
      <c r="F129" s="165">
        <v>68403</v>
      </c>
      <c r="G129" s="112">
        <f t="shared" si="10"/>
        <v>-5548</v>
      </c>
      <c r="H129" s="99">
        <f>G129+'7'!H129</f>
        <v>-4100</v>
      </c>
      <c r="I129" s="165"/>
      <c r="J129" s="328">
        <f>H129/DAY(B2)</f>
        <v>-512.5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169471</v>
      </c>
      <c r="F130" s="165">
        <v>147799</v>
      </c>
      <c r="G130" s="112">
        <f t="shared" si="10"/>
        <v>-21672</v>
      </c>
      <c r="H130" s="99">
        <f>G130+'7'!H130</f>
        <v>-16798</v>
      </c>
      <c r="I130" s="165"/>
      <c r="J130" s="328">
        <f>H130/DAY(B2)</f>
        <v>-2099.75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'7'!F131</f>
        <v>49722</v>
      </c>
      <c r="F131" s="165">
        <v>44090</v>
      </c>
      <c r="G131" s="112">
        <f t="shared" si="10"/>
        <v>-5632</v>
      </c>
      <c r="H131" s="99">
        <f>G131+'7'!H131</f>
        <v>-4359</v>
      </c>
      <c r="I131" s="165"/>
      <c r="J131" s="328">
        <f>H131/DAY(B2)</f>
        <v>-544.875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'7'!F132</f>
        <v>130997</v>
      </c>
      <c r="F132" s="165">
        <v>119542</v>
      </c>
      <c r="G132" s="112">
        <f t="shared" si="10"/>
        <v>-11455</v>
      </c>
      <c r="H132" s="99">
        <f>G132+'7'!H132</f>
        <v>-8632</v>
      </c>
      <c r="I132" s="165"/>
      <c r="J132" s="328">
        <f>H132/DAY(B2)</f>
        <v>-1079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'7'!F133</f>
        <v>224036</v>
      </c>
      <c r="F133" s="165">
        <v>791247</v>
      </c>
      <c r="G133" s="112">
        <f t="shared" si="10"/>
        <v>567211</v>
      </c>
      <c r="H133" s="99">
        <f>G133+'7'!H133</f>
        <v>567211.41</v>
      </c>
      <c r="I133" s="165"/>
      <c r="J133" s="328">
        <f>H133/DAY(B2)</f>
        <v>70901.426250000004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'7'!F134</f>
        <v>50485</v>
      </c>
      <c r="F134" s="165">
        <v>43691</v>
      </c>
      <c r="G134" s="112">
        <f t="shared" si="10"/>
        <v>-6794</v>
      </c>
      <c r="H134" s="99">
        <f>G134+'7'!H134</f>
        <v>-5344</v>
      </c>
      <c r="I134" s="165"/>
      <c r="J134" s="328">
        <f>H134/DAY(B2)</f>
        <v>-668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500773</v>
      </c>
      <c r="H135" s="99">
        <f>G135+'7'!H135</f>
        <v>516287.41000000003</v>
      </c>
      <c r="I135" s="327">
        <f>G135-(G35+G49)</f>
        <v>616000</v>
      </c>
      <c r="J135" s="328">
        <f>H135/DAY(B2)</f>
        <v>64535.926250000004</v>
      </c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'7'!F138</f>
        <v>892125</v>
      </c>
      <c r="F138" s="147">
        <v>888282</v>
      </c>
      <c r="G138" s="112">
        <f t="shared" ref="G138:G152" si="11">F138-E138</f>
        <v>-3843</v>
      </c>
      <c r="H138" s="99">
        <f>G138+'7'!H138</f>
        <v>-2816</v>
      </c>
      <c r="I138" s="118"/>
      <c r="J138" s="328">
        <f>H138/DAY(B2)</f>
        <v>-352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'7'!F139</f>
        <v>909950</v>
      </c>
      <c r="F139" s="148">
        <v>905370</v>
      </c>
      <c r="G139" s="112">
        <f t="shared" si="11"/>
        <v>-4580</v>
      </c>
      <c r="H139" s="99">
        <f>G139+'7'!H139</f>
        <v>-3525</v>
      </c>
      <c r="I139" s="118"/>
      <c r="J139" s="328">
        <f>H139/DAY(B2)</f>
        <v>-440.625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'7'!F140</f>
        <v>1617</v>
      </c>
      <c r="F140" s="149">
        <v>1165</v>
      </c>
      <c r="G140" s="112">
        <f t="shared" si="11"/>
        <v>-452</v>
      </c>
      <c r="H140" s="99">
        <f>G140+'7'!H140</f>
        <v>-348</v>
      </c>
      <c r="I140" s="118"/>
      <c r="J140" s="328">
        <f>H140/DAY(B2)</f>
        <v>-43.5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'7'!F141</f>
        <v>91815</v>
      </c>
      <c r="F141" s="149">
        <v>85759</v>
      </c>
      <c r="G141" s="112">
        <f t="shared" si="11"/>
        <v>-6056</v>
      </c>
      <c r="H141" s="99">
        <f>G141+'7'!H141</f>
        <v>-4693</v>
      </c>
      <c r="I141" s="118"/>
      <c r="J141" s="328">
        <f>H141/DAY(B2)</f>
        <v>-586.625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'7'!F142</f>
        <v>37203</v>
      </c>
      <c r="F142" s="148">
        <v>34971</v>
      </c>
      <c r="G142" s="112">
        <f t="shared" si="11"/>
        <v>-2232</v>
      </c>
      <c r="H142" s="99">
        <f>G142+'7'!H142</f>
        <v>-1690</v>
      </c>
      <c r="I142" s="140"/>
      <c r="J142" s="328">
        <f>H142/DAY(B2)</f>
        <v>-211.25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'7'!F143</f>
        <v>9230</v>
      </c>
      <c r="F143" s="149">
        <v>8400</v>
      </c>
      <c r="G143" s="112">
        <f t="shared" si="11"/>
        <v>-830</v>
      </c>
      <c r="H143" s="99">
        <f>G143+'7'!H143</f>
        <v>-651</v>
      </c>
      <c r="I143" s="140"/>
      <c r="J143" s="328">
        <f>H143/DAY(B2)</f>
        <v>-81.375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'7'!F144</f>
        <v>921360</v>
      </c>
      <c r="F144" s="149">
        <v>914286</v>
      </c>
      <c r="G144" s="112">
        <f t="shared" si="11"/>
        <v>-7074</v>
      </c>
      <c r="H144" s="99">
        <f>G144+'7'!H144</f>
        <v>-5551</v>
      </c>
      <c r="I144" s="140"/>
      <c r="J144" s="328">
        <f>H144/DAY(B2)</f>
        <v>-693.875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'7'!F145</f>
        <v>6033</v>
      </c>
      <c r="F145" s="148">
        <v>5667</v>
      </c>
      <c r="G145" s="112">
        <f t="shared" si="11"/>
        <v>-366</v>
      </c>
      <c r="H145" s="99">
        <f>G145+'7'!H145</f>
        <v>-140</v>
      </c>
      <c r="I145" s="140"/>
      <c r="J145" s="328">
        <f>H145/DAY(B2)</f>
        <v>-17.5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'7'!F146</f>
        <v>781389</v>
      </c>
      <c r="F146" s="148">
        <v>779700</v>
      </c>
      <c r="G146" s="112">
        <f t="shared" si="11"/>
        <v>-1689</v>
      </c>
      <c r="H146" s="99">
        <f>G146+'7'!H146</f>
        <v>-1100</v>
      </c>
      <c r="I146" s="140"/>
      <c r="J146" s="328">
        <f>H146/DAY(B2)</f>
        <v>-137.5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'7'!F147</f>
        <v>702401</v>
      </c>
      <c r="F147" s="148">
        <v>690614</v>
      </c>
      <c r="G147" s="112">
        <f t="shared" si="11"/>
        <v>-11787</v>
      </c>
      <c r="H147" s="99">
        <f>G147+'7'!H147</f>
        <v>-9155</v>
      </c>
      <c r="I147" s="140"/>
      <c r="J147" s="328">
        <f>H147/DAY(B2)</f>
        <v>-1144.375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'7'!F148</f>
        <v>750586</v>
      </c>
      <c r="F148" s="150">
        <v>741373</v>
      </c>
      <c r="G148" s="112">
        <f t="shared" si="11"/>
        <v>-9213</v>
      </c>
      <c r="H148" s="99">
        <f>G148+'7'!H148</f>
        <v>-7157</v>
      </c>
      <c r="I148" s="124"/>
      <c r="J148" s="328">
        <f>H148/DAY(B2)</f>
        <v>-894.625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'7'!F149</f>
        <v>135740</v>
      </c>
      <c r="F149" s="146">
        <v>120550</v>
      </c>
      <c r="G149" s="112">
        <f t="shared" si="11"/>
        <v>-15190</v>
      </c>
      <c r="H149" s="99">
        <f>G149+'7'!H149</f>
        <v>-11884</v>
      </c>
      <c r="I149" s="119"/>
      <c r="J149" s="328">
        <f>H149/DAY(B2)</f>
        <v>-1485.5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'7'!F150</f>
        <v>52175</v>
      </c>
      <c r="F150" s="233">
        <v>45474</v>
      </c>
      <c r="G150" s="112">
        <f t="shared" si="11"/>
        <v>-6701</v>
      </c>
      <c r="H150" s="99">
        <f>G150+'7'!H150</f>
        <v>-5141</v>
      </c>
      <c r="I150" s="119"/>
      <c r="J150" s="328">
        <f>H150/DAY(B2)</f>
        <v>-642.625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'7'!F151</f>
        <v>137441</v>
      </c>
      <c r="F151" s="233">
        <v>128672</v>
      </c>
      <c r="G151" s="112">
        <f t="shared" si="11"/>
        <v>-8769</v>
      </c>
      <c r="H151" s="99">
        <f>G151+'7'!H151</f>
        <v>-6777</v>
      </c>
      <c r="I151" s="119"/>
      <c r="J151" s="328">
        <f>H151/DAY(B2)</f>
        <v>-847.125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'7'!F152</f>
        <v>23972</v>
      </c>
      <c r="F152" s="233">
        <v>20310</v>
      </c>
      <c r="G152" s="112">
        <f t="shared" si="11"/>
        <v>-3662</v>
      </c>
      <c r="H152" s="99">
        <f>G152+'7'!H152</f>
        <v>-2844</v>
      </c>
      <c r="I152" s="119"/>
      <c r="J152" s="328">
        <f>H152/DAY(B2)</f>
        <v>-355.5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-82444</v>
      </c>
      <c r="H153" s="363"/>
      <c r="I153" s="119">
        <f>G153-(G38+G52)</f>
        <v>-13965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'7'!F155</f>
        <v>152774</v>
      </c>
      <c r="F155" s="374">
        <v>134918</v>
      </c>
      <c r="G155" s="112">
        <f t="shared" ref="G155:G158" si="12">F155-E155</f>
        <v>-17856</v>
      </c>
      <c r="H155" s="99">
        <f>G155+'7'!H155</f>
        <v>-13231</v>
      </c>
      <c r="I155" s="364"/>
      <c r="J155" s="328">
        <f>H155/DAY(B2)</f>
        <v>-1653.875</v>
      </c>
    </row>
    <row r="156" spans="1:10" ht="25.5">
      <c r="A156" s="872" t="s">
        <v>346</v>
      </c>
      <c r="B156" s="872"/>
      <c r="C156" s="872"/>
      <c r="D156" s="117" t="s">
        <v>130</v>
      </c>
      <c r="E156" s="95">
        <f>'7'!F156</f>
        <v>15444</v>
      </c>
      <c r="F156" s="155">
        <v>12766</v>
      </c>
      <c r="G156" s="112">
        <f t="shared" si="12"/>
        <v>-2678</v>
      </c>
      <c r="H156" s="99">
        <f>G156+'7'!H156</f>
        <v>-1968</v>
      </c>
      <c r="I156" s="165"/>
      <c r="J156" s="328">
        <f>H156/DAY(B2)</f>
        <v>-246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'7'!F157</f>
        <v>28466</v>
      </c>
      <c r="F157" s="155">
        <v>24339</v>
      </c>
      <c r="G157" s="112">
        <f t="shared" si="12"/>
        <v>-4127</v>
      </c>
      <c r="H157" s="99">
        <f>G157+'7'!H157</f>
        <v>-3107</v>
      </c>
      <c r="I157" s="165"/>
      <c r="J157" s="328">
        <f>H157/DAY(B2)</f>
        <v>-388.375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'7'!F158</f>
        <v>240</v>
      </c>
      <c r="F158" s="155">
        <v>224</v>
      </c>
      <c r="G158" s="112">
        <f t="shared" si="12"/>
        <v>-16</v>
      </c>
      <c r="H158" s="99">
        <f>G158+'7'!H158</f>
        <v>135.57999999999998</v>
      </c>
      <c r="I158" s="165"/>
      <c r="J158" s="328">
        <f>H158/DAY(B2)</f>
        <v>16.947499999999998</v>
      </c>
    </row>
    <row r="159" spans="1:10" ht="25.5">
      <c r="A159" s="958"/>
      <c r="B159" s="959"/>
      <c r="C159" s="960"/>
      <c r="D159" s="117"/>
      <c r="E159" s="95"/>
      <c r="F159" s="15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480249</v>
      </c>
      <c r="F161" s="235">
        <v>478407</v>
      </c>
      <c r="G161" s="238">
        <f t="shared" ref="G161:G165" si="13">F161-E161</f>
        <v>-1842</v>
      </c>
      <c r="H161" s="99">
        <f>G161+'7'!H161</f>
        <v>-1646</v>
      </c>
      <c r="I161" s="236"/>
      <c r="J161" s="239">
        <f>H161/DAY(B2)</f>
        <v>-205.75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95227</v>
      </c>
      <c r="F162" s="235">
        <v>94112</v>
      </c>
      <c r="G162" s="238">
        <f t="shared" si="13"/>
        <v>-1115</v>
      </c>
      <c r="H162" s="99">
        <f>G162+'7'!H162</f>
        <v>-816</v>
      </c>
      <c r="I162" s="236"/>
      <c r="J162" s="239">
        <f>H162/DAY(B2)</f>
        <v>-102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7247</v>
      </c>
      <c r="F163" s="235">
        <v>3221</v>
      </c>
      <c r="G163" s="238">
        <f t="shared" si="13"/>
        <v>-4026</v>
      </c>
      <c r="H163" s="99">
        <f>G163+'7'!H163</f>
        <v>-3280</v>
      </c>
      <c r="I163" s="236"/>
      <c r="J163" s="239">
        <f>H163/DAY(B2)</f>
        <v>-410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6292</v>
      </c>
      <c r="F164" s="235">
        <v>5989</v>
      </c>
      <c r="G164" s="238">
        <f t="shared" si="13"/>
        <v>-303</v>
      </c>
      <c r="H164" s="99">
        <f>G164+'7'!H164</f>
        <v>-291</v>
      </c>
      <c r="I164" s="236"/>
      <c r="J164" s="239">
        <f>H164/DAY(B2)</f>
        <v>-36.375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31691</v>
      </c>
      <c r="F165" s="235">
        <v>31432</v>
      </c>
      <c r="G165" s="238">
        <f t="shared" si="13"/>
        <v>-259</v>
      </c>
      <c r="H165" s="99">
        <f>G165+'7'!H165</f>
        <v>-202</v>
      </c>
      <c r="I165" s="236"/>
      <c r="J165" s="239">
        <f>H165/DAY(B2)</f>
        <v>-25.25</v>
      </c>
    </row>
    <row r="166" spans="1:10" ht="26.25">
      <c r="A166" s="881"/>
      <c r="B166" s="881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'7'!F173</f>
        <v>8247</v>
      </c>
      <c r="F173" s="155">
        <v>8267</v>
      </c>
      <c r="G173" s="155">
        <f>F173-E173</f>
        <v>20</v>
      </c>
      <c r="H173" s="99">
        <f>G173+'7'!H173</f>
        <v>32</v>
      </c>
      <c r="I173" s="155"/>
      <c r="J173" s="178">
        <f>H173/DAY(B2)</f>
        <v>4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'7'!F174</f>
        <v>41298</v>
      </c>
      <c r="F174" s="157">
        <v>40888</v>
      </c>
      <c r="G174" s="155">
        <f t="shared" ref="G174:G175" si="14">F174-E174</f>
        <v>-410</v>
      </c>
      <c r="H174" s="99">
        <f>G174+'7'!H174</f>
        <v>-316</v>
      </c>
      <c r="I174" s="155"/>
      <c r="J174" s="178">
        <f>H174/DAY(B2)</f>
        <v>-39.5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'7'!F175</f>
        <v>24115</v>
      </c>
      <c r="F175" s="155">
        <v>23758</v>
      </c>
      <c r="G175" s="155">
        <f t="shared" si="14"/>
        <v>-357</v>
      </c>
      <c r="H175" s="99">
        <f>G175+'7'!H175</f>
        <v>-273</v>
      </c>
      <c r="I175" s="155"/>
      <c r="J175" s="178">
        <f>H175/DAY(B2)</f>
        <v>-34.125</v>
      </c>
    </row>
    <row r="176" spans="1:10" ht="25.5">
      <c r="A176" s="876" t="s">
        <v>196</v>
      </c>
      <c r="B176" s="877"/>
      <c r="C176" s="333"/>
      <c r="D176" s="228" t="s">
        <v>142</v>
      </c>
      <c r="E176" s="95"/>
      <c r="F176" s="155"/>
      <c r="G176" s="155">
        <f>SUM(G173:G175)</f>
        <v>-747</v>
      </c>
      <c r="H176" s="99">
        <f>G176+'7'!H176</f>
        <v>-557</v>
      </c>
      <c r="I176" s="155"/>
      <c r="J176" s="178">
        <f>H176/DAY(B2)</f>
        <v>-69.625</v>
      </c>
    </row>
    <row r="177" spans="1:10" ht="25.5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'7'!F178</f>
        <v>98296</v>
      </c>
      <c r="F178" s="157">
        <v>95443</v>
      </c>
      <c r="G178" s="155">
        <f>F178-E178</f>
        <v>-2853</v>
      </c>
      <c r="H178" s="99">
        <f>G178+'7'!H178</f>
        <v>-2270</v>
      </c>
      <c r="I178" s="155"/>
      <c r="J178" s="178">
        <f>H178/DAY(B2)</f>
        <v>-283.75</v>
      </c>
    </row>
    <row r="179" spans="1:10" ht="25.5">
      <c r="A179" s="887" t="s">
        <v>211</v>
      </c>
      <c r="B179" s="888"/>
      <c r="C179" s="333"/>
      <c r="D179" s="228" t="s">
        <v>142</v>
      </c>
      <c r="E179" s="95">
        <f>'7'!F179</f>
        <v>36002</v>
      </c>
      <c r="F179" s="155">
        <v>36002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'7'!F180</f>
        <v>7183</v>
      </c>
      <c r="F180" s="155">
        <v>6934</v>
      </c>
      <c r="G180" s="155">
        <f t="shared" si="15"/>
        <v>-249</v>
      </c>
      <c r="H180" s="99">
        <f>G180+'7'!H180</f>
        <v>-235</v>
      </c>
      <c r="I180" s="155"/>
      <c r="J180" s="178">
        <f>H180/DAY(B2)</f>
        <v>-29.375</v>
      </c>
    </row>
    <row r="181" spans="1:10" ht="25.5">
      <c r="A181" s="889" t="s">
        <v>108</v>
      </c>
      <c r="B181" s="890"/>
      <c r="C181" s="333"/>
      <c r="D181" s="228" t="s">
        <v>142</v>
      </c>
      <c r="E181" s="95"/>
      <c r="F181" s="155"/>
      <c r="G181" s="155">
        <f>SUM(G178:G180)</f>
        <v>-3102</v>
      </c>
      <c r="H181" s="99">
        <f>G181+'7'!H181</f>
        <v>-2505</v>
      </c>
      <c r="I181" s="155"/>
      <c r="J181" s="178">
        <f>H181/DAY(B2)</f>
        <v>-313.125</v>
      </c>
    </row>
    <row r="182" spans="1:10" ht="25.5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'7'!F183</f>
        <v>17527</v>
      </c>
      <c r="F183" s="157">
        <v>17332</v>
      </c>
      <c r="G183" s="157">
        <f>F183-E183</f>
        <v>-195</v>
      </c>
      <c r="H183" s="99">
        <f>G183+'7'!H183</f>
        <v>-141</v>
      </c>
      <c r="I183" s="155"/>
      <c r="J183" s="178">
        <f>H183/DAY(B2)</f>
        <v>-17.625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'7'!F184</f>
        <v>11987</v>
      </c>
      <c r="F184" s="157">
        <v>11737</v>
      </c>
      <c r="G184" s="157">
        <f t="shared" ref="G184:G185" si="16">F184-E184</f>
        <v>-250</v>
      </c>
      <c r="H184" s="99">
        <f>G184+'7'!H184</f>
        <v>-198</v>
      </c>
      <c r="I184" s="155"/>
      <c r="J184" s="178">
        <f>H184/DAY(B2)</f>
        <v>-24.75</v>
      </c>
    </row>
    <row r="185" spans="1:10" ht="25.5">
      <c r="A185" s="887" t="s">
        <v>216</v>
      </c>
      <c r="B185" s="888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876" t="s">
        <v>196</v>
      </c>
      <c r="B186" s="877"/>
      <c r="C186" s="334"/>
      <c r="D186" s="228" t="s">
        <v>142</v>
      </c>
      <c r="E186" s="95"/>
      <c r="F186" s="157"/>
      <c r="G186" s="157">
        <f>SUM(G183:G185)</f>
        <v>-445</v>
      </c>
      <c r="H186" s="99">
        <f>G186+'7'!H186</f>
        <v>-339</v>
      </c>
      <c r="I186" s="157"/>
      <c r="J186" s="178">
        <f>H186/DAY(B2)</f>
        <v>-42.375</v>
      </c>
    </row>
    <row r="187" spans="1:10" ht="25.5">
      <c r="A187" s="878" t="s">
        <v>217</v>
      </c>
      <c r="B187" s="879"/>
      <c r="C187" s="333"/>
      <c r="D187" s="230" t="s">
        <v>142</v>
      </c>
      <c r="E187" s="95"/>
      <c r="F187" s="159"/>
      <c r="G187" s="159">
        <f>G62+G19</f>
        <v>-5031</v>
      </c>
      <c r="H187" s="99">
        <f>G187+'7'!H187</f>
        <v>-3904</v>
      </c>
      <c r="I187" s="158"/>
      <c r="J187" s="179">
        <f>H187/DAY(B2)</f>
        <v>-488</v>
      </c>
    </row>
    <row r="188" spans="1:10" ht="25.5">
      <c r="A188" s="878" t="s">
        <v>218</v>
      </c>
      <c r="B188" s="879"/>
      <c r="C188" s="333"/>
      <c r="D188" s="230" t="s">
        <v>142</v>
      </c>
      <c r="E188" s="95"/>
      <c r="F188" s="159"/>
      <c r="G188" s="159">
        <f>G65+G66+G67+G69+G70</f>
        <v>-4447</v>
      </c>
      <c r="H188" s="99">
        <f>G188+'7'!H188</f>
        <v>-3464</v>
      </c>
      <c r="I188" s="158"/>
      <c r="J188" s="179">
        <f>H188/DAY(B2)</f>
        <v>-433</v>
      </c>
    </row>
    <row r="189" spans="1:10" ht="25.5">
      <c r="A189" s="878" t="s">
        <v>219</v>
      </c>
      <c r="B189" s="879"/>
      <c r="C189" s="333"/>
      <c r="D189" s="230" t="s">
        <v>142</v>
      </c>
      <c r="E189" s="95"/>
      <c r="F189" s="157"/>
      <c r="G189" s="157">
        <f>G181</f>
        <v>-3102</v>
      </c>
      <c r="H189" s="99">
        <f>G189+'7'!H189</f>
        <v>-2505</v>
      </c>
      <c r="I189" s="158"/>
      <c r="J189" s="179">
        <f>H189/DAY(B2)</f>
        <v>-313.125</v>
      </c>
    </row>
    <row r="190" spans="1:10" ht="25.5">
      <c r="A190" s="885"/>
      <c r="B190" s="88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zoomScale="55" zoomScaleNormal="80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370</v>
      </c>
      <c r="B2" s="262">
        <v>44751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545428</v>
      </c>
      <c r="F7" s="95">
        <f>E7+26200</f>
        <v>571628</v>
      </c>
      <c r="G7" s="112">
        <f>F7-E7</f>
        <v>26200</v>
      </c>
      <c r="H7" s="99">
        <f>G7+'8'!H7</f>
        <v>234498</v>
      </c>
      <c r="I7" s="113">
        <f>'1'!I7</f>
        <v>12000</v>
      </c>
      <c r="J7" s="175">
        <f>H7/DAY(B2)</f>
        <v>26055.333333333332</v>
      </c>
      <c r="K7" s="172">
        <v>1375467</v>
      </c>
      <c r="L7" s="66"/>
      <c r="N7" s="87">
        <f>G7+600</f>
        <v>26800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699853</v>
      </c>
      <c r="F8" s="95">
        <f>E8+26500</f>
        <v>726353</v>
      </c>
      <c r="G8" s="115">
        <f>F8-E8</f>
        <v>26500</v>
      </c>
      <c r="H8" s="99">
        <f>G8+'8'!H8</f>
        <v>237766</v>
      </c>
      <c r="I8" s="116"/>
      <c r="J8" s="175">
        <f>H8/DAY(B2)</f>
        <v>26418.444444444445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3032293</v>
      </c>
      <c r="F9" s="352">
        <v>3047260.3</v>
      </c>
      <c r="G9" s="112">
        <f>F9-E9</f>
        <v>14967.299999999814</v>
      </c>
      <c r="H9" s="99">
        <f>G9+'8'!H9</f>
        <v>-231805.70000000019</v>
      </c>
      <c r="I9" s="124">
        <f>I7-J7</f>
        <v>-14055.333333333332</v>
      </c>
      <c r="J9" s="175">
        <f>H9/DAY(B2)</f>
        <v>-25756.188888888908</v>
      </c>
      <c r="K9" s="79">
        <f>K8-100</f>
        <v>1715817</v>
      </c>
      <c r="L9" s="66"/>
      <c r="N9" s="87">
        <f>E8+234223+600</f>
        <v>934676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1331095</v>
      </c>
      <c r="F10" s="117">
        <v>1343011.9</v>
      </c>
      <c r="G10" s="112">
        <f t="shared" ref="G10:G12" si="0">F10-E10</f>
        <v>11916.899999999907</v>
      </c>
      <c r="H10" s="99">
        <f>G10+'8'!H10</f>
        <v>-324146.10000000009</v>
      </c>
      <c r="I10" s="282"/>
      <c r="J10" s="175">
        <f>H10/DAY(B2)</f>
        <v>-36016.233333333344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26884.199999999721</v>
      </c>
      <c r="H13" s="99">
        <f>G13+'8'!H13</f>
        <v>-554617.20000000042</v>
      </c>
      <c r="I13" s="120">
        <f>G7-G13</f>
        <v>-684.1999999997206</v>
      </c>
      <c r="J13" s="175">
        <f>H13/DAY(B2)</f>
        <v>-61624.133333333382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2109008</v>
      </c>
      <c r="F15" s="469">
        <f>E15+1000</f>
        <v>2110008</v>
      </c>
      <c r="G15" s="112">
        <f>(F15-E15)</f>
        <v>1000</v>
      </c>
      <c r="H15" s="99">
        <f>G15+'8'!H15</f>
        <v>9140</v>
      </c>
      <c r="I15" s="113">
        <f>'1'!I15</f>
        <v>800</v>
      </c>
      <c r="J15" s="175">
        <f>H15/DAY(B2)</f>
        <v>1015.5555555555555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-215.55555555555554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'8'!F18</f>
        <v>17</v>
      </c>
      <c r="F18" s="164">
        <v>22</v>
      </c>
      <c r="G18" s="119">
        <f>F18*10</f>
        <v>220</v>
      </c>
      <c r="H18" s="99">
        <f>G18+'8'!H18</f>
        <v>1510</v>
      </c>
      <c r="I18" s="113">
        <f>'1'!I18</f>
        <v>65</v>
      </c>
      <c r="J18" s="175">
        <f>H18/DAY(B2)</f>
        <v>167.77777777777777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'8'!F19</f>
        <v>161214</v>
      </c>
      <c r="F19" s="122">
        <v>161264</v>
      </c>
      <c r="G19" s="112">
        <f t="shared" ref="G19" si="1">F19-E19</f>
        <v>50</v>
      </c>
      <c r="H19" s="99">
        <f>G19+'8'!H19</f>
        <v>-1071</v>
      </c>
      <c r="I19" s="335"/>
      <c r="J19" s="175">
        <f>H19/DAY(B2)</f>
        <v>-119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G20+'8'!H20</f>
        <v>439</v>
      </c>
      <c r="I20" s="336">
        <f>I18-J20</f>
        <v>16.222222222222221</v>
      </c>
      <c r="J20" s="175">
        <f>H20/DAY(B2)</f>
        <v>48.777777777777779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G27+'8'!H27</f>
        <v>2139894</v>
      </c>
      <c r="I27" s="138"/>
      <c r="J27" s="175">
        <f>H27/DAY(B2)</f>
        <v>237766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G28+'8'!H28</f>
        <v>639800</v>
      </c>
      <c r="I28" s="140"/>
      <c r="J28" s="175">
        <f>H28/DAY(B2)</f>
        <v>71088.888888888891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G30+'8'!H30</f>
        <v>-161721</v>
      </c>
      <c r="I30" s="140"/>
      <c r="J30" s="175">
        <f>H30/DAY(B2)</f>
        <v>-17969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G31+'8'!H31</f>
        <v>120800</v>
      </c>
      <c r="I31" s="140"/>
      <c r="J31" s="175">
        <f>H31/DAY(B2)</f>
        <v>13422.222222222223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333650</v>
      </c>
      <c r="H32" s="99">
        <f>G32+'8'!H32</f>
        <v>2738773</v>
      </c>
      <c r="I32" s="144"/>
      <c r="J32" s="175">
        <f>H32/DAY(B2)</f>
        <v>304308.11111111112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238713</v>
      </c>
      <c r="F35" s="145">
        <v>238713.05</v>
      </c>
      <c r="G35" s="112">
        <f t="shared" ref="G35:G46" si="3">F35-E35</f>
        <v>4.9999999988358468E-2</v>
      </c>
      <c r="H35" s="99">
        <f>G35+'8'!H35</f>
        <v>4.9999999988358468E-2</v>
      </c>
      <c r="I35" s="95"/>
      <c r="J35" s="175">
        <f>H35/DAY(B2)</f>
        <v>5.5555555542620523E-3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194337</v>
      </c>
      <c r="F36" s="145">
        <v>195467.17</v>
      </c>
      <c r="G36" s="112">
        <f t="shared" si="3"/>
        <v>1130.1700000000128</v>
      </c>
      <c r="H36" s="99">
        <f>G36+'8'!H36</f>
        <v>-20062.829999999987</v>
      </c>
      <c r="I36" s="95"/>
      <c r="J36" s="175">
        <f>H36/DAY(B2)</f>
        <v>-2229.203333333332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299568</v>
      </c>
      <c r="F37" s="145">
        <v>301141.75</v>
      </c>
      <c r="G37" s="112">
        <f t="shared" si="3"/>
        <v>1573.75</v>
      </c>
      <c r="H37" s="99">
        <f>G37+'8'!H37</f>
        <v>-21857.25</v>
      </c>
      <c r="I37" s="95"/>
      <c r="J37" s="175">
        <f>H37/DAY(B2)</f>
        <v>-2428.5833333333335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404586</v>
      </c>
      <c r="F38" s="108">
        <v>406918.11</v>
      </c>
      <c r="G38" s="112">
        <f t="shared" si="3"/>
        <v>2332.109999999986</v>
      </c>
      <c r="H38" s="99">
        <f>G38+'8'!H38</f>
        <v>-50442.890000000014</v>
      </c>
      <c r="I38" s="95"/>
      <c r="J38" s="175">
        <f>H38/DAY(B2)</f>
        <v>-5604.7655555555575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547227</v>
      </c>
      <c r="F39" s="145">
        <v>550253.15</v>
      </c>
      <c r="G39" s="112">
        <f t="shared" si="3"/>
        <v>3026.1500000000233</v>
      </c>
      <c r="H39" s="99">
        <f>G39+'8'!H39</f>
        <v>-41330.849999999977</v>
      </c>
      <c r="I39" s="95"/>
      <c r="J39" s="175">
        <f>H39/DAY(B2)</f>
        <v>-4592.3166666666639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88426</v>
      </c>
      <c r="F40" s="145">
        <v>89154.43</v>
      </c>
      <c r="G40" s="112">
        <f t="shared" si="3"/>
        <v>728.42999999999302</v>
      </c>
      <c r="H40" s="99">
        <f>G40+'8'!H40</f>
        <v>-17621.570000000007</v>
      </c>
      <c r="I40" s="95"/>
      <c r="J40" s="175">
        <f>H40/DAY(B2)</f>
        <v>-1957.9522222222231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152694</v>
      </c>
      <c r="F41" s="145">
        <v>158338.76999999999</v>
      </c>
      <c r="G41" s="112">
        <f t="shared" si="3"/>
        <v>5644.7699999999895</v>
      </c>
      <c r="H41" s="99">
        <f>G41+'8'!H41</f>
        <v>-53364.23000000001</v>
      </c>
      <c r="I41" s="95"/>
      <c r="J41" s="175">
        <f>H41/DAY(B2)</f>
        <v>-5929.3588888888899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721198</v>
      </c>
      <c r="F42" s="145">
        <v>721198</v>
      </c>
      <c r="G42" s="112">
        <f t="shared" si="3"/>
        <v>0</v>
      </c>
      <c r="H42" s="99">
        <f>G42+'8'!H42</f>
        <v>-27166</v>
      </c>
      <c r="I42" s="95"/>
      <c r="J42" s="175">
        <f>H42/DAY(B2)</f>
        <v>-3018.4444444444443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14435.429999999993</v>
      </c>
      <c r="H47" s="99">
        <f>G47+'8'!H47</f>
        <v>-231845.57</v>
      </c>
      <c r="I47" s="95"/>
      <c r="J47" s="175">
        <f>H47/DAY(B2)</f>
        <v>-25760.61888888889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'8'!F49+3000</f>
        <v>399677</v>
      </c>
      <c r="F49" s="145">
        <v>400436.75</v>
      </c>
      <c r="G49" s="112">
        <f t="shared" ref="G49:G58" si="4">F49-E49</f>
        <v>759.75</v>
      </c>
      <c r="H49" s="99">
        <f>G49+'8'!H49</f>
        <v>-84617.25</v>
      </c>
      <c r="I49" s="95"/>
      <c r="J49" s="175">
        <f>H49/DAY(B2)</f>
        <v>-9401.9166666666661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252897</v>
      </c>
      <c r="F50" s="145">
        <v>254175.67</v>
      </c>
      <c r="G50" s="112">
        <f t="shared" si="4"/>
        <v>1278.6700000000128</v>
      </c>
      <c r="H50" s="99">
        <f>G50+'8'!H50</f>
        <v>-28574.329999999987</v>
      </c>
      <c r="I50" s="95"/>
      <c r="J50" s="175">
        <f>H50/DAY(B2)</f>
        <v>-3174.9255555555542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75.680000000000007</v>
      </c>
      <c r="F51" s="145">
        <v>75.680000000000007</v>
      </c>
      <c r="G51" s="112">
        <f t="shared" si="4"/>
        <v>0</v>
      </c>
      <c r="H51" s="99">
        <f>G51+'8'!H51</f>
        <v>-8432.32</v>
      </c>
      <c r="I51" s="95"/>
      <c r="J51" s="175">
        <f>H51/DAY(B2)</f>
        <v>-936.92444444444436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0</v>
      </c>
      <c r="F53" s="145">
        <v>0</v>
      </c>
      <c r="G53" s="112">
        <f t="shared" si="4"/>
        <v>0</v>
      </c>
      <c r="H53" s="99">
        <f>G53+'8'!H53</f>
        <v>-33861</v>
      </c>
      <c r="I53" s="95"/>
      <c r="J53" s="175">
        <f>H53/DAY(B2)</f>
        <v>-3762.3333333333335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79847</v>
      </c>
      <c r="F54" s="145">
        <v>80204.350000000006</v>
      </c>
      <c r="G54" s="112">
        <f t="shared" si="4"/>
        <v>357.35000000000582</v>
      </c>
      <c r="H54" s="99">
        <f>G54+'8'!H54</f>
        <v>-7738.6499999999942</v>
      </c>
      <c r="I54" s="95"/>
      <c r="J54" s="175">
        <f>H54/DAY(B2)</f>
        <v>-859.84999999999934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296927</v>
      </c>
      <c r="F55" s="145">
        <v>299406.63</v>
      </c>
      <c r="G55" s="112">
        <f t="shared" si="4"/>
        <v>2479.6300000000047</v>
      </c>
      <c r="H55" s="99">
        <f>G55+'8'!H55</f>
        <v>-63370.369999999995</v>
      </c>
      <c r="I55" s="95"/>
      <c r="J55" s="175">
        <f>H55/DAY(B2)</f>
        <v>-7041.152222222222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118797</v>
      </c>
      <c r="F56" s="145">
        <v>118797.23</v>
      </c>
      <c r="G56" s="112">
        <f t="shared" si="4"/>
        <v>0.22999999999592546</v>
      </c>
      <c r="H56" s="99">
        <f>G56+'8'!H56</f>
        <v>-5084.7700000000041</v>
      </c>
      <c r="I56" s="95"/>
      <c r="J56" s="175">
        <f>H56/DAY(B2)</f>
        <v>-564.97444444444488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156786</v>
      </c>
      <c r="F57" s="145">
        <v>159938.45000000001</v>
      </c>
      <c r="G57" s="112">
        <f t="shared" si="4"/>
        <v>3152.4500000000116</v>
      </c>
      <c r="H57" s="99">
        <f>G57+'8'!H57</f>
        <v>-66231.549999999988</v>
      </c>
      <c r="I57" s="95"/>
      <c r="J57" s="175">
        <f>H57/DAY(B2)</f>
        <v>-7359.0611111111102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42651</v>
      </c>
      <c r="F58" s="145">
        <v>42941.17</v>
      </c>
      <c r="G58" s="112">
        <f t="shared" si="4"/>
        <v>290.16999999999825</v>
      </c>
      <c r="H58" s="99">
        <f>G58+'8'!H58</f>
        <v>-6167.8300000000017</v>
      </c>
      <c r="I58" s="95"/>
      <c r="J58" s="175">
        <f>H58/DAY(B2)</f>
        <v>-685.31444444444469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8318.2500000000291</v>
      </c>
      <c r="H59" s="99">
        <f>G59+'8'!H59</f>
        <v>-304078.30999999994</v>
      </c>
      <c r="I59" s="95">
        <f>G7-G60</f>
        <v>3446.3199999999779</v>
      </c>
      <c r="J59" s="175">
        <f>H59/DAY(B2)</f>
        <v>-33786.47888888888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22753.680000000022</v>
      </c>
      <c r="H60" s="99">
        <f>G60+'8'!H60</f>
        <v>-535923.88</v>
      </c>
      <c r="I60" s="95">
        <f>G13-G60</f>
        <v>4130.5199999996985</v>
      </c>
      <c r="J60" s="175">
        <f>H60/DAY(B2)</f>
        <v>-59547.097777777781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122">
        <f>'8'!F62</f>
        <v>293492</v>
      </c>
      <c r="F62" s="122">
        <v>293613</v>
      </c>
      <c r="G62" s="112">
        <f t="shared" ref="G62:G63" si="5">F62-E62</f>
        <v>121</v>
      </c>
      <c r="H62" s="99">
        <f>G62+'8'!H62</f>
        <v>-2662</v>
      </c>
      <c r="I62" s="118"/>
      <c r="J62" s="175">
        <f>H62/DAY(B2)</f>
        <v>-295.77777777777777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'8'!F63</f>
        <v>235937</v>
      </c>
      <c r="F63" s="122">
        <v>236066</v>
      </c>
      <c r="G63" s="112">
        <f t="shared" si="5"/>
        <v>129</v>
      </c>
      <c r="H63" s="99">
        <f>G63+'8'!H63</f>
        <v>-3067</v>
      </c>
      <c r="I63" s="118"/>
      <c r="J63" s="175">
        <f>H63/DAY(B2)</f>
        <v>-340.77777777777777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'8'!F64</f>
        <v>0</v>
      </c>
      <c r="F64" s="122">
        <v>0</v>
      </c>
      <c r="G64" s="112">
        <f>G62+G63</f>
        <v>250</v>
      </c>
      <c r="H64" s="99">
        <f>G64+'8'!H64</f>
        <v>-5729</v>
      </c>
      <c r="I64" s="118"/>
      <c r="J64" s="175">
        <f>H64/DAY(B2)</f>
        <v>-636.55555555555554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'8'!F65</f>
        <v>452170</v>
      </c>
      <c r="F65" s="122">
        <v>452271</v>
      </c>
      <c r="G65" s="112">
        <f t="shared" ref="G65:G70" si="6">F65-E65</f>
        <v>101</v>
      </c>
      <c r="H65" s="99">
        <f>G65+'8'!H65</f>
        <v>-2439</v>
      </c>
      <c r="I65" s="118"/>
      <c r="J65" s="175">
        <f>H65/DAY(B2)</f>
        <v>-271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111160</v>
      </c>
      <c r="F66" s="122">
        <v>111187</v>
      </c>
      <c r="G66" s="112">
        <f t="shared" si="6"/>
        <v>27</v>
      </c>
      <c r="H66" s="99">
        <f>G66+'8'!H66</f>
        <v>-535</v>
      </c>
      <c r="I66" s="118"/>
      <c r="J66" s="175">
        <f>H66/DAY(B2)</f>
        <v>-59.444444444444443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113680</v>
      </c>
      <c r="F67" s="122">
        <v>113680</v>
      </c>
      <c r="G67" s="112">
        <f t="shared" si="6"/>
        <v>0</v>
      </c>
      <c r="H67" s="99">
        <f>G67+'8'!H67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163884</v>
      </c>
      <c r="F68" s="122">
        <v>163924</v>
      </c>
      <c r="G68" s="112">
        <f t="shared" si="6"/>
        <v>40</v>
      </c>
      <c r="H68" s="99">
        <f>G68+'8'!H68</f>
        <v>-738</v>
      </c>
      <c r="I68" s="118"/>
      <c r="J68" s="175">
        <f>H68/DAY(B2)</f>
        <v>-82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12167</v>
      </c>
      <c r="F69" s="122">
        <v>12172</v>
      </c>
      <c r="G69" s="112">
        <f t="shared" si="6"/>
        <v>5</v>
      </c>
      <c r="H69" s="99">
        <f>G69+'8'!H69</f>
        <v>-103</v>
      </c>
      <c r="I69" s="118"/>
      <c r="J69" s="175">
        <f>H69/DAY(B2)</f>
        <v>-11.444444444444445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9573</v>
      </c>
      <c r="F70" s="122">
        <v>9579</v>
      </c>
      <c r="G70" s="112">
        <f t="shared" si="6"/>
        <v>6</v>
      </c>
      <c r="H70" s="99">
        <f>G70+'8'!H70</f>
        <v>-248</v>
      </c>
      <c r="I70" s="118"/>
      <c r="J70" s="175">
        <f>H70/DAY(B2)</f>
        <v>-27.555555555555557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179</v>
      </c>
      <c r="H71" s="99">
        <f>G71+'8'!H71</f>
        <v>-4063</v>
      </c>
      <c r="I71" s="154"/>
      <c r="J71" s="175">
        <f>H71/DAY(B2)</f>
        <v>-451.44444444444446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'8'!F74</f>
        <v>950140</v>
      </c>
      <c r="F74" s="117">
        <v>950468.45</v>
      </c>
      <c r="G74" s="112">
        <f t="shared" ref="G74:G78" si="7">F74-E74</f>
        <v>328.44999999995343</v>
      </c>
      <c r="H74" s="99">
        <f>G74+'8'!H74</f>
        <v>-7189.4100000000326</v>
      </c>
      <c r="I74" s="154"/>
      <c r="J74" s="175">
        <f>H74/DAY(B2)</f>
        <v>-798.8233333333369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'8'!F76</f>
        <v>187751</v>
      </c>
      <c r="F76" s="123">
        <v>187858.5</v>
      </c>
      <c r="G76" s="112">
        <f t="shared" si="7"/>
        <v>107.5</v>
      </c>
      <c r="H76" s="99">
        <f>G76+'8'!H76</f>
        <v>-2313.5</v>
      </c>
      <c r="I76" s="154"/>
      <c r="J76" s="175">
        <f>H76/DAY(B2)</f>
        <v>-257.05555555555554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'8'!F77</f>
        <v>49068</v>
      </c>
      <c r="F77" s="123">
        <v>49190</v>
      </c>
      <c r="G77" s="112">
        <f t="shared" si="7"/>
        <v>122</v>
      </c>
      <c r="H77" s="99">
        <f>G77+'8'!H77</f>
        <v>-1123</v>
      </c>
      <c r="I77" s="154"/>
      <c r="J77" s="175">
        <f>H77/DAY(B2)</f>
        <v>-124.77777777777777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'8'!F78</f>
        <v>9563.4</v>
      </c>
      <c r="F78" s="123">
        <v>9563</v>
      </c>
      <c r="G78" s="112">
        <f t="shared" si="7"/>
        <v>-0.3999999999996362</v>
      </c>
      <c r="H78" s="99">
        <f>G78+'8'!H78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'8'!F79</f>
        <v>0</v>
      </c>
      <c r="F79" s="117"/>
      <c r="G79" s="112">
        <f>G15-SUM(G74:G78)</f>
        <v>442.4500000000462</v>
      </c>
      <c r="H79" s="99">
        <f>G79+'8'!H79</f>
        <v>19765.910000000033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42316</v>
      </c>
      <c r="F84" s="164">
        <v>42339.41</v>
      </c>
      <c r="G84" s="112">
        <f t="shared" si="8"/>
        <v>23.410000000003492</v>
      </c>
      <c r="H84" s="99">
        <f>G84+'8'!H84</f>
        <v>-249.58999999999651</v>
      </c>
      <c r="I84" s="571"/>
      <c r="J84" s="175">
        <f>H84/DAY(B2)</f>
        <v>-27.732222222221836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5019</v>
      </c>
      <c r="F85" s="164">
        <v>5019.47</v>
      </c>
      <c r="G85" s="112">
        <f t="shared" si="8"/>
        <v>0.47000000000025466</v>
      </c>
      <c r="H85" s="99">
        <f>G85+'8'!H85</f>
        <v>-120.71999999999935</v>
      </c>
      <c r="I85" s="571"/>
      <c r="J85" s="175">
        <f>H85/DAY(B2)</f>
        <v>-13.413333333333261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44935</v>
      </c>
      <c r="F86" s="164">
        <v>44951.4</v>
      </c>
      <c r="G86" s="112">
        <f t="shared" si="8"/>
        <v>16.400000000001455</v>
      </c>
      <c r="H86" s="99">
        <f>G86+'8'!H86</f>
        <v>-427.59999999999854</v>
      </c>
      <c r="I86" s="571"/>
      <c r="J86" s="175">
        <f>H86/DAY(B2)</f>
        <v>-47.511111111110949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35421</v>
      </c>
      <c r="F87" s="164">
        <v>35421</v>
      </c>
      <c r="G87" s="112">
        <f t="shared" si="8"/>
        <v>0</v>
      </c>
      <c r="H87" s="99">
        <f>G87+'8'!H87</f>
        <v>-36.430000000000291</v>
      </c>
      <c r="I87" s="553">
        <f>G84+G85+G86+G87</f>
        <v>40.280000000005202</v>
      </c>
      <c r="J87" s="175">
        <f>H87/DAY(B2)</f>
        <v>-4.0477777777778101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24285</v>
      </c>
      <c r="F88" s="164">
        <v>24293.88</v>
      </c>
      <c r="G88" s="112">
        <f t="shared" si="8"/>
        <v>8.8800000000010186</v>
      </c>
      <c r="H88" s="99">
        <f>G88+'8'!H88</f>
        <v>-9.5799999999981083</v>
      </c>
      <c r="I88" s="553"/>
      <c r="J88" s="175">
        <f>H88/DAY(B2)</f>
        <v>-1.0644444444442343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27363.57</v>
      </c>
      <c r="F89" s="164">
        <v>27364.91</v>
      </c>
      <c r="G89" s="112">
        <f t="shared" si="8"/>
        <v>1.3400000000001455</v>
      </c>
      <c r="H89" s="99">
        <f>G89+'8'!H89</f>
        <v>-201.70000000000073</v>
      </c>
      <c r="I89" s="553">
        <f>G88+G89</f>
        <v>10.220000000001164</v>
      </c>
      <c r="J89" s="175">
        <f>H89/DAY(B2)</f>
        <v>-22.411111111111193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72362.990000000005</v>
      </c>
      <c r="F90" s="164">
        <v>72373.37</v>
      </c>
      <c r="G90" s="112">
        <f t="shared" si="8"/>
        <v>10.379999999990105</v>
      </c>
      <c r="H90" s="99">
        <f>G90+'8'!H90</f>
        <v>-233.18000000000757</v>
      </c>
      <c r="I90" s="553">
        <f>G90</f>
        <v>10.379999999990105</v>
      </c>
      <c r="J90" s="175">
        <f>H90/DAY(B2)</f>
        <v>-25.908888888889731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4187</v>
      </c>
      <c r="F91" s="122">
        <v>4187</v>
      </c>
      <c r="G91" s="112">
        <f t="shared" si="8"/>
        <v>0</v>
      </c>
      <c r="H91" s="99">
        <f>G91+'8'!H91</f>
        <v>-102.53999999999996</v>
      </c>
      <c r="I91" s="613"/>
      <c r="J91" s="175">
        <f>H91/DAY(B2)</f>
        <v>-11.393333333333329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6554</v>
      </c>
      <c r="F92" s="122">
        <v>6565.49</v>
      </c>
      <c r="G92" s="112">
        <f t="shared" si="8"/>
        <v>11.489999999999782</v>
      </c>
      <c r="H92" s="99">
        <f>G92+'8'!H92</f>
        <v>-151.84000000000015</v>
      </c>
      <c r="I92" s="614">
        <f>G91+G92</f>
        <v>11.489999999999782</v>
      </c>
      <c r="J92" s="175">
        <f>H92/DAY(B2)</f>
        <v>-16.871111111111126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3912.25</v>
      </c>
      <c r="H94" s="99">
        <f>G94+'8'!H94</f>
        <v>-150848.75</v>
      </c>
      <c r="I94" s="118"/>
      <c r="J94" s="175">
        <f>H94/DAY(B2)</f>
        <v>-16760.972222222223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0.14932251908396946</v>
      </c>
      <c r="H95" s="99">
        <f>G95+'8'!H95</f>
        <v>-5.7417946168875478</v>
      </c>
      <c r="I95" s="167"/>
      <c r="J95" s="175">
        <f>H95/DAY(B2)</f>
        <v>-0.637977179654172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8124.6299999999901</v>
      </c>
      <c r="H96" s="99">
        <f>G96+'8'!H96</f>
        <v>-148985.37</v>
      </c>
      <c r="I96" s="118"/>
      <c r="J96" s="175">
        <f>H96/DAY(B2)</f>
        <v>-16553.93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0.31010038167938891</v>
      </c>
      <c r="H97" s="99">
        <f>G97+'8'!H97</f>
        <v>-5.6751328754484192</v>
      </c>
      <c r="I97" s="167"/>
      <c r="J97" s="175">
        <f>H97/DAY(B2)</f>
        <v>-0.63057031949426878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3026.1500000000233</v>
      </c>
      <c r="H98" s="99">
        <f>G98+'8'!H98</f>
        <v>-75191.849999999977</v>
      </c>
      <c r="I98" s="168"/>
      <c r="J98" s="175">
        <f>H98/DAY(B2)</f>
        <v>-8354.6499999999978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0.11550190839694745</v>
      </c>
      <c r="H99" s="99">
        <f>G99+'8'!H99</f>
        <v>-2.8603162889600044</v>
      </c>
      <c r="I99" s="168"/>
      <c r="J99" s="175">
        <f>H99/DAY(B2)</f>
        <v>-0.31781292099555603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2332.109999999986</v>
      </c>
      <c r="H100" s="99">
        <f>G100+'8'!H100</f>
        <v>-50443.130000000012</v>
      </c>
      <c r="I100" s="118"/>
      <c r="J100" s="175">
        <f>H100/DAY(B2)</f>
        <v>-5604.7922222222232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8.9011832061068163E-2</v>
      </c>
      <c r="H101" s="99">
        <f>G101+'8'!H101</f>
        <v>-1.9204774434052245</v>
      </c>
      <c r="I101" s="168"/>
      <c r="J101" s="175">
        <f>H101/DAY(B2)</f>
        <v>-0.21338638260058052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2408.8400000000256</v>
      </c>
      <c r="H102" s="99">
        <f>G102+'8'!H102</f>
        <v>-48637.159999999974</v>
      </c>
      <c r="I102" s="168"/>
      <c r="J102" s="175">
        <f>H102/DAY(B2)</f>
        <v>-5404.1288888888857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9.1940458015268151E-2</v>
      </c>
      <c r="H103" s="99">
        <f>G103+'8'!H103</f>
        <v>-1.8545322122243433</v>
      </c>
      <c r="I103" s="118"/>
      <c r="J103" s="175">
        <f>H103/DAY(B2)</f>
        <v>-0.2060591346915937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1573.75</v>
      </c>
      <c r="H104" s="99">
        <f>G104+'8'!H104</f>
        <v>-30289.57</v>
      </c>
      <c r="I104" s="118"/>
      <c r="J104" s="175">
        <f>H104/DAY(B2)</f>
        <v>-3365.5077777777778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6.0066793893129772E-2</v>
      </c>
      <c r="H105" s="99">
        <f>G105+'8'!H105</f>
        <v>-1.1537063553723583</v>
      </c>
      <c r="I105" s="187"/>
      <c r="J105" s="188">
        <f>H105/DAY(B2)</f>
        <v>-0.12818959504137314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'8'!F112</f>
        <v>5528</v>
      </c>
      <c r="F112" s="237">
        <v>5604.27</v>
      </c>
      <c r="G112" s="112">
        <f t="shared" ref="G112:G123" si="9">F112-E112</f>
        <v>76.270000000000437</v>
      </c>
      <c r="H112" s="99">
        <f>G112+'8'!H112</f>
        <v>-1660.7299999999996</v>
      </c>
      <c r="I112" s="165"/>
      <c r="J112" s="328">
        <f>H112/DAY(B2)</f>
        <v>-184.52555555555551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'8'!F113</f>
        <v>11766</v>
      </c>
      <c r="F113" s="237">
        <v>11914.32</v>
      </c>
      <c r="G113" s="112">
        <f t="shared" si="9"/>
        <v>148.31999999999971</v>
      </c>
      <c r="H113" s="99">
        <f>G113+'8'!H113</f>
        <v>-3100.6800000000003</v>
      </c>
      <c r="I113" s="165"/>
      <c r="J113" s="328">
        <f>H113/DAY(B2)</f>
        <v>-344.52000000000004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'8'!F114</f>
        <v>16004</v>
      </c>
      <c r="F114" s="237">
        <v>16250.67</v>
      </c>
      <c r="G114" s="112">
        <f t="shared" si="9"/>
        <v>246.67000000000007</v>
      </c>
      <c r="H114" s="99">
        <f>G114+'8'!H114</f>
        <v>-5017.33</v>
      </c>
      <c r="I114" s="165"/>
      <c r="J114" s="328">
        <f>H114/DAY(B2)</f>
        <v>-557.48111111111109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'8'!F115</f>
        <v>10003</v>
      </c>
      <c r="F115" s="417">
        <v>10131.39</v>
      </c>
      <c r="G115" s="112">
        <f t="shared" si="9"/>
        <v>128.38999999999942</v>
      </c>
      <c r="H115" s="99">
        <f>G115+'8'!H115</f>
        <v>-3298.6100000000006</v>
      </c>
      <c r="I115" s="165"/>
      <c r="J115" s="328">
        <f>H115/DAY(B2)</f>
        <v>-366.51222222222231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'8'!F116</f>
        <v>62045</v>
      </c>
      <c r="F116" s="237">
        <v>62479.24</v>
      </c>
      <c r="G116" s="112">
        <f t="shared" si="9"/>
        <v>434.23999999999796</v>
      </c>
      <c r="H116" s="99">
        <f>G116+'8'!H116</f>
        <v>-8012.760000000002</v>
      </c>
      <c r="I116" s="165"/>
      <c r="J116" s="328">
        <f>H116/DAY(B2)</f>
        <v>-890.30666666666684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406">
        <f>'8'!F117</f>
        <v>35101</v>
      </c>
      <c r="F117" s="417">
        <v>35404.410000000003</v>
      </c>
      <c r="G117" s="236">
        <f t="shared" si="9"/>
        <v>303.41000000000349</v>
      </c>
      <c r="H117" s="99">
        <f>G117+'8'!H117</f>
        <v>-5517.5899999999965</v>
      </c>
      <c r="I117" s="165"/>
      <c r="J117" s="328">
        <f>H117/DAY(B2)</f>
        <v>-613.06555555555519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406">
        <f>'8'!F118</f>
        <v>50079</v>
      </c>
      <c r="F118" s="417">
        <v>50721.46</v>
      </c>
      <c r="G118" s="236">
        <f t="shared" si="9"/>
        <v>642.45999999999913</v>
      </c>
      <c r="H118" s="99">
        <f>G118+'8'!H118</f>
        <v>-13950.54</v>
      </c>
      <c r="I118" s="165"/>
      <c r="J118" s="328">
        <f>H118/DAY(B2)</f>
        <v>-1550.0600000000002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406">
        <f>'8'!F119</f>
        <v>32204</v>
      </c>
      <c r="F119" s="417">
        <v>32449</v>
      </c>
      <c r="G119" s="236">
        <f t="shared" si="9"/>
        <v>245</v>
      </c>
      <c r="H119" s="99">
        <f>G119+'8'!H119</f>
        <v>-5000</v>
      </c>
      <c r="I119" s="165"/>
      <c r="J119" s="328">
        <f>H119/DAY(B2)</f>
        <v>-555.55555555555554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'8'!F120</f>
        <v>36543</v>
      </c>
      <c r="F120" s="237">
        <v>36987.94</v>
      </c>
      <c r="G120" s="112">
        <f t="shared" si="9"/>
        <v>444.94000000000233</v>
      </c>
      <c r="H120" s="99">
        <f>G120+'8'!H120</f>
        <v>-9279.0599999999977</v>
      </c>
      <c r="I120" s="165"/>
      <c r="J120" s="328">
        <f>H120/DAY(B2)</f>
        <v>-1031.0066666666664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'8'!F121</f>
        <v>43217</v>
      </c>
      <c r="F121" s="237">
        <v>43656.21</v>
      </c>
      <c r="G121" s="112">
        <f t="shared" si="9"/>
        <v>439.20999999999913</v>
      </c>
      <c r="H121" s="99">
        <f>G121+'8'!H121</f>
        <v>-9886.7900000000009</v>
      </c>
      <c r="I121" s="165"/>
      <c r="J121" s="328">
        <f>H121/DAY(B2)</f>
        <v>-1098.5322222222223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'8'!F122</f>
        <v>22348</v>
      </c>
      <c r="F122" s="237">
        <v>22623.39</v>
      </c>
      <c r="G122" s="112">
        <f t="shared" si="9"/>
        <v>275.38999999999942</v>
      </c>
      <c r="H122" s="99">
        <f>G122+'8'!H122</f>
        <v>-6050.6100000000006</v>
      </c>
      <c r="I122" s="165"/>
      <c r="J122" s="328">
        <f>H122/DAY(B2)</f>
        <v>-672.29000000000008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'8'!F123</f>
        <v>22865</v>
      </c>
      <c r="F123" s="237">
        <v>23189.86</v>
      </c>
      <c r="G123" s="112">
        <f t="shared" si="9"/>
        <v>324.86000000000058</v>
      </c>
      <c r="H123" s="99">
        <f>G123+'8'!H123</f>
        <v>-6998.1399999999994</v>
      </c>
      <c r="I123" s="165"/>
      <c r="J123" s="328">
        <f>H123/DAY(B2)</f>
        <v>-777.57111111111101</v>
      </c>
    </row>
    <row r="124" spans="1:18" ht="29.2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3709.1600000000017</v>
      </c>
      <c r="H125" s="156"/>
      <c r="I125" s="327">
        <f>G125-(G39+G53)</f>
        <v>683.00999999997839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'8'!F128</f>
        <v>115953</v>
      </c>
      <c r="F128" s="155">
        <v>116467.91</v>
      </c>
      <c r="G128" s="112">
        <f t="shared" ref="G128:G134" si="10">F128-E128</f>
        <v>514.91000000000349</v>
      </c>
      <c r="H128" s="99">
        <f>G128+'8'!H128</f>
        <v>-11176.089999999997</v>
      </c>
      <c r="I128" s="165"/>
      <c r="J128" s="328">
        <f>H128/DAY(B2)</f>
        <v>-1241.7877777777774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68403</v>
      </c>
      <c r="F129" s="155">
        <v>68629.48</v>
      </c>
      <c r="G129" s="112">
        <f t="shared" si="10"/>
        <v>226.47999999999593</v>
      </c>
      <c r="H129" s="99">
        <f>G129+'8'!H129</f>
        <v>-3873.5200000000041</v>
      </c>
      <c r="I129" s="165"/>
      <c r="J129" s="328">
        <f>H129/DAY(B2)</f>
        <v>-430.39111111111157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147799</v>
      </c>
      <c r="F130" s="157">
        <v>148566.13</v>
      </c>
      <c r="G130" s="112">
        <f t="shared" si="10"/>
        <v>767.13000000000466</v>
      </c>
      <c r="H130" s="99">
        <f>G130+'8'!H130</f>
        <v>-16030.869999999995</v>
      </c>
      <c r="I130" s="165"/>
      <c r="J130" s="328">
        <f>H130/DAY(B2)</f>
        <v>-1781.2077777777772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'8'!F131</f>
        <v>44090</v>
      </c>
      <c r="F131" s="155">
        <v>44245.97</v>
      </c>
      <c r="G131" s="112">
        <f t="shared" si="10"/>
        <v>155.97000000000116</v>
      </c>
      <c r="H131" s="99">
        <f>G131+'8'!H131</f>
        <v>-4203.0299999999988</v>
      </c>
      <c r="I131" s="165"/>
      <c r="J131" s="328">
        <f>H131/DAY(B2)</f>
        <v>-467.00333333333322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'8'!F132</f>
        <v>119542</v>
      </c>
      <c r="F132" s="155">
        <v>119982.9</v>
      </c>
      <c r="G132" s="112">
        <f t="shared" si="10"/>
        <v>440.89999999999418</v>
      </c>
      <c r="H132" s="99">
        <f>G132+'8'!H132</f>
        <v>-8191.1000000000058</v>
      </c>
      <c r="I132" s="165"/>
      <c r="J132" s="328">
        <f>H132/DAY(B2)</f>
        <v>-910.12222222222283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f>'8'!F133</f>
        <v>791247</v>
      </c>
      <c r="F133" s="155">
        <v>791247</v>
      </c>
      <c r="G133" s="112">
        <f t="shared" si="10"/>
        <v>0</v>
      </c>
      <c r="H133" s="99">
        <f>G133+'8'!H133</f>
        <v>567211.41</v>
      </c>
      <c r="I133" s="165"/>
      <c r="J133" s="328">
        <f>H133/DAY(B2)</f>
        <v>63023.490000000005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'8'!F134</f>
        <v>43691</v>
      </c>
      <c r="F134" s="155">
        <v>43951.32</v>
      </c>
      <c r="G134" s="112">
        <f t="shared" si="10"/>
        <v>260.31999999999971</v>
      </c>
      <c r="H134" s="99">
        <f>G134+'8'!H134</f>
        <v>-5083.68</v>
      </c>
      <c r="I134" s="165"/>
      <c r="J134" s="328">
        <f>H134/DAY(B2)</f>
        <v>-564.85333333333335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2365.7099999999991</v>
      </c>
      <c r="H135" s="99">
        <f>G135+'8'!H135</f>
        <v>518653.12000000005</v>
      </c>
      <c r="I135" s="327">
        <f>G135-(G35+G49)</f>
        <v>1605.9100000000108</v>
      </c>
      <c r="J135" s="328">
        <f>H135/DAY(B2)</f>
        <v>57628.124444444453</v>
      </c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F138-125</f>
        <v>888279</v>
      </c>
      <c r="F138" s="148">
        <v>888404</v>
      </c>
      <c r="G138" s="112">
        <f t="shared" ref="G138:G152" si="11">F138-E138</f>
        <v>125</v>
      </c>
      <c r="H138" s="99">
        <f>G138+'8'!H138</f>
        <v>-2691</v>
      </c>
      <c r="I138" s="118"/>
      <c r="J138" s="328">
        <f>H138/DAY(B2)</f>
        <v>-299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'8'!F139</f>
        <v>905370</v>
      </c>
      <c r="F139" s="148">
        <v>905525</v>
      </c>
      <c r="G139" s="112">
        <f t="shared" si="11"/>
        <v>155</v>
      </c>
      <c r="H139" s="99">
        <f>G139+'8'!H139</f>
        <v>-3370</v>
      </c>
      <c r="I139" s="118"/>
      <c r="J139" s="328">
        <f>H139/DAY(B2)</f>
        <v>-374.44444444444446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v>89115.6</v>
      </c>
      <c r="F140" s="148">
        <v>89199.6</v>
      </c>
      <c r="G140" s="112">
        <f t="shared" si="11"/>
        <v>84</v>
      </c>
      <c r="H140" s="99">
        <f>G140+'8'!H140</f>
        <v>-264</v>
      </c>
      <c r="I140" s="118"/>
      <c r="J140" s="328">
        <f>H140/DAY(B2)</f>
        <v>-29.333333333333332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'8'!F141</f>
        <v>85759</v>
      </c>
      <c r="F141" s="149">
        <v>85970.79</v>
      </c>
      <c r="G141" s="112">
        <f t="shared" si="11"/>
        <v>211.7899999999936</v>
      </c>
      <c r="H141" s="99">
        <f>G141+'8'!H141</f>
        <v>-4481.2100000000064</v>
      </c>
      <c r="I141" s="118"/>
      <c r="J141" s="328">
        <f>H141/DAY(B2)</f>
        <v>-497.91222222222291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'8'!F142</f>
        <v>34971</v>
      </c>
      <c r="F142" s="148">
        <v>35048.800000000003</v>
      </c>
      <c r="G142" s="112">
        <f t="shared" si="11"/>
        <v>77.80000000000291</v>
      </c>
      <c r="H142" s="99">
        <f>G142+'8'!H142</f>
        <v>-1612.1999999999971</v>
      </c>
      <c r="I142" s="140"/>
      <c r="J142" s="328">
        <f>H142/DAY(B2)</f>
        <v>-179.13333333333301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'8'!F143</f>
        <v>8400</v>
      </c>
      <c r="F143" s="149">
        <v>8427.32</v>
      </c>
      <c r="G143" s="112">
        <f t="shared" si="11"/>
        <v>27.319999999999709</v>
      </c>
      <c r="H143" s="99">
        <f>G143+'8'!H143</f>
        <v>-623.68000000000029</v>
      </c>
      <c r="I143" s="140"/>
      <c r="J143" s="328">
        <f>H143/DAY(B2)</f>
        <v>-69.29777777777781</v>
      </c>
    </row>
    <row r="144" spans="1:15" ht="25.5">
      <c r="A144" s="872" t="s">
        <v>90</v>
      </c>
      <c r="B144" s="872"/>
      <c r="C144" s="872"/>
      <c r="D144" s="151" t="s">
        <v>183</v>
      </c>
      <c r="E144" s="406">
        <f>'8'!F144</f>
        <v>914286</v>
      </c>
      <c r="F144" s="148">
        <v>914540</v>
      </c>
      <c r="G144" s="112">
        <f t="shared" si="11"/>
        <v>254</v>
      </c>
      <c r="H144" s="99">
        <f>G144+'8'!H144</f>
        <v>-5297</v>
      </c>
      <c r="I144" s="140"/>
      <c r="J144" s="328">
        <f>H144/DAY(B2)</f>
        <v>-588.55555555555554</v>
      </c>
    </row>
    <row r="145" spans="1:10" ht="25.5">
      <c r="A145" s="893" t="s">
        <v>190</v>
      </c>
      <c r="B145" s="893"/>
      <c r="C145" s="893"/>
      <c r="D145" s="152" t="s">
        <v>183</v>
      </c>
      <c r="E145" s="406">
        <f>'8'!F145</f>
        <v>5667</v>
      </c>
      <c r="F145" s="148">
        <v>5667</v>
      </c>
      <c r="G145" s="112">
        <f t="shared" si="11"/>
        <v>0</v>
      </c>
      <c r="H145" s="99">
        <f>G145+'8'!H145</f>
        <v>-140</v>
      </c>
      <c r="I145" s="140"/>
      <c r="J145" s="328">
        <f>H145/DAY(B2)</f>
        <v>-15.555555555555555</v>
      </c>
    </row>
    <row r="146" spans="1:10" ht="25.5">
      <c r="A146" s="928" t="s">
        <v>191</v>
      </c>
      <c r="B146" s="913"/>
      <c r="C146" s="914"/>
      <c r="D146" s="152" t="s">
        <v>183</v>
      </c>
      <c r="E146" s="406">
        <f>'8'!F146</f>
        <v>779700</v>
      </c>
      <c r="F146" s="148">
        <v>779742</v>
      </c>
      <c r="G146" s="112">
        <f t="shared" si="11"/>
        <v>42</v>
      </c>
      <c r="H146" s="99">
        <f>G146+'8'!H146</f>
        <v>-1058</v>
      </c>
      <c r="I146" s="140"/>
      <c r="J146" s="328">
        <f>H146/DAY(B2)</f>
        <v>-117.55555555555556</v>
      </c>
    </row>
    <row r="147" spans="1:10" ht="25.5">
      <c r="A147" s="872" t="s">
        <v>192</v>
      </c>
      <c r="B147" s="872"/>
      <c r="C147" s="872"/>
      <c r="D147" s="152" t="s">
        <v>183</v>
      </c>
      <c r="E147" s="406">
        <f>'8'!F147</f>
        <v>690614</v>
      </c>
      <c r="F147" s="148">
        <v>691013</v>
      </c>
      <c r="G147" s="112">
        <f t="shared" si="11"/>
        <v>399</v>
      </c>
      <c r="H147" s="99">
        <f>G147+'8'!H147</f>
        <v>-8756</v>
      </c>
      <c r="I147" s="140"/>
      <c r="J147" s="328">
        <f>H147/DAY(B2)</f>
        <v>-972.88888888888891</v>
      </c>
    </row>
    <row r="148" spans="1:10" ht="25.5">
      <c r="A148" s="873" t="s">
        <v>193</v>
      </c>
      <c r="B148" s="874"/>
      <c r="C148" s="875"/>
      <c r="D148" s="123" t="s">
        <v>130</v>
      </c>
      <c r="E148" s="406">
        <f>'8'!F148</f>
        <v>741373</v>
      </c>
      <c r="F148" s="164">
        <v>741795</v>
      </c>
      <c r="G148" s="112">
        <f t="shared" si="11"/>
        <v>422</v>
      </c>
      <c r="H148" s="99">
        <f>G148+'8'!H148</f>
        <v>-6735</v>
      </c>
      <c r="I148" s="124"/>
      <c r="J148" s="328">
        <f>H148/DAY(B2)</f>
        <v>-748.33333333333337</v>
      </c>
    </row>
    <row r="149" spans="1:10" ht="25.5">
      <c r="A149" s="873" t="s">
        <v>336</v>
      </c>
      <c r="B149" s="874"/>
      <c r="C149" s="875"/>
      <c r="D149" s="227" t="s">
        <v>130</v>
      </c>
      <c r="E149" s="406">
        <f>'8'!F149</f>
        <v>120550</v>
      </c>
      <c r="F149" s="416">
        <v>121106.8</v>
      </c>
      <c r="G149" s="112">
        <f t="shared" si="11"/>
        <v>556.80000000000291</v>
      </c>
      <c r="H149" s="99">
        <f>G149+'8'!H149</f>
        <v>-11327.199999999997</v>
      </c>
      <c r="I149" s="119"/>
      <c r="J149" s="328">
        <f>H149/DAY(B2)</f>
        <v>-1258.5777777777776</v>
      </c>
    </row>
    <row r="150" spans="1:10" ht="25.5">
      <c r="A150" s="873" t="s">
        <v>337</v>
      </c>
      <c r="B150" s="874"/>
      <c r="C150" s="875"/>
      <c r="D150" s="117" t="s">
        <v>130</v>
      </c>
      <c r="E150" s="406">
        <f>'8'!F150</f>
        <v>45474</v>
      </c>
      <c r="F150" s="233">
        <v>45703.3</v>
      </c>
      <c r="G150" s="112">
        <f t="shared" si="11"/>
        <v>229.30000000000291</v>
      </c>
      <c r="H150" s="99">
        <f>G150+'8'!H150</f>
        <v>-4911.6999999999971</v>
      </c>
      <c r="I150" s="119"/>
      <c r="J150" s="328">
        <f>H150/DAY(B2)</f>
        <v>-545.74444444444407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'8'!F151</f>
        <v>128672</v>
      </c>
      <c r="F151" s="233">
        <v>128963</v>
      </c>
      <c r="G151" s="112">
        <f t="shared" si="11"/>
        <v>291</v>
      </c>
      <c r="H151" s="99">
        <f>G151+'8'!H151</f>
        <v>-6486</v>
      </c>
      <c r="I151" s="119"/>
      <c r="J151" s="328">
        <f>H151/DAY(B2)</f>
        <v>-720.66666666666663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'8'!F152</f>
        <v>20310</v>
      </c>
      <c r="F152" s="233">
        <v>20437.95</v>
      </c>
      <c r="G152" s="112">
        <f t="shared" si="11"/>
        <v>127.95000000000073</v>
      </c>
      <c r="H152" s="99">
        <f>G152+'8'!H152</f>
        <v>-2716.0499999999993</v>
      </c>
      <c r="I152" s="119"/>
      <c r="J152" s="328">
        <f>H152/DAY(B2)</f>
        <v>-301.78333333333325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3002.9600000000028</v>
      </c>
      <c r="H153" s="363"/>
      <c r="I153" s="119">
        <f>G153-(G38+G52)</f>
        <v>670.85000000001673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'8'!F155</f>
        <v>134918</v>
      </c>
      <c r="F155" s="374">
        <v>135484.18</v>
      </c>
      <c r="G155" s="112">
        <f t="shared" ref="G155:G158" si="12">F155-E155</f>
        <v>566.17999999999302</v>
      </c>
      <c r="H155" s="99">
        <f>G155+'8'!H155</f>
        <v>-12664.820000000007</v>
      </c>
      <c r="I155" s="364"/>
      <c r="J155" s="328">
        <f>H155/DAY(B2)</f>
        <v>-1407.2022222222231</v>
      </c>
    </row>
    <row r="156" spans="1:10" ht="25.5">
      <c r="A156" s="872" t="s">
        <v>346</v>
      </c>
      <c r="B156" s="872"/>
      <c r="C156" s="872"/>
      <c r="D156" s="117" t="s">
        <v>130</v>
      </c>
      <c r="E156" s="95">
        <f>'8'!F156</f>
        <v>12766</v>
      </c>
      <c r="F156" s="155">
        <v>12846.14</v>
      </c>
      <c r="G156" s="112">
        <f t="shared" si="12"/>
        <v>80.139999999999418</v>
      </c>
      <c r="H156" s="99">
        <f>G156+'8'!H156</f>
        <v>-1887.8600000000006</v>
      </c>
      <c r="I156" s="165"/>
      <c r="J156" s="328">
        <f>H156/DAY(B2)</f>
        <v>-209.76222222222228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'8'!F157</f>
        <v>24339</v>
      </c>
      <c r="F157" s="155">
        <v>24467.23</v>
      </c>
      <c r="G157" s="112">
        <f t="shared" si="12"/>
        <v>128.22999999999956</v>
      </c>
      <c r="H157" s="99">
        <f>G157+'8'!H157</f>
        <v>-2978.7700000000004</v>
      </c>
      <c r="I157" s="165"/>
      <c r="J157" s="328">
        <f>H157/DAY(B2)</f>
        <v>-330.97444444444449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'8'!F158</f>
        <v>224</v>
      </c>
      <c r="F158" s="155">
        <v>224.34</v>
      </c>
      <c r="G158" s="112">
        <f t="shared" si="12"/>
        <v>0.34000000000000341</v>
      </c>
      <c r="H158" s="99">
        <f>G158+'8'!H158</f>
        <v>135.91999999999999</v>
      </c>
      <c r="I158" s="165"/>
      <c r="J158" s="328">
        <f>H158/DAY(B2)</f>
        <v>15.10222222222222</v>
      </c>
    </row>
    <row r="159" spans="1:10" ht="25.5">
      <c r="A159" s="958"/>
      <c r="B159" s="959"/>
      <c r="C159" s="960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478407</v>
      </c>
      <c r="F161" s="235">
        <v>478580.2</v>
      </c>
      <c r="G161" s="238">
        <f t="shared" ref="G161:G166" si="13">F161-E161</f>
        <v>173.20000000001164</v>
      </c>
      <c r="H161" s="99">
        <f>G161+'8'!H161</f>
        <v>-1472.7999999999884</v>
      </c>
      <c r="I161" s="236"/>
      <c r="J161" s="239">
        <f>H161/DAY(B2)</f>
        <v>-163.64444444444314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94112</v>
      </c>
      <c r="F162" s="235">
        <v>94136</v>
      </c>
      <c r="G162" s="238">
        <f t="shared" si="13"/>
        <v>24</v>
      </c>
      <c r="H162" s="99">
        <f>G162+'8'!H162</f>
        <v>-792</v>
      </c>
      <c r="I162" s="236"/>
      <c r="J162" s="239">
        <f>H162/DAY(B2)</f>
        <v>-88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3221</v>
      </c>
      <c r="F163" s="235">
        <v>3361</v>
      </c>
      <c r="G163" s="238">
        <f t="shared" si="13"/>
        <v>140</v>
      </c>
      <c r="H163" s="99">
        <f>G163+'8'!H163</f>
        <v>-3140</v>
      </c>
      <c r="I163" s="236"/>
      <c r="J163" s="239">
        <f>H163/DAY(B2)</f>
        <v>-348.88888888888891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5989</v>
      </c>
      <c r="F164" s="235">
        <v>5999.6</v>
      </c>
      <c r="G164" s="238">
        <f t="shared" si="13"/>
        <v>10.600000000000364</v>
      </c>
      <c r="H164" s="99">
        <f>G164+'8'!H164</f>
        <v>-280.39999999999964</v>
      </c>
      <c r="I164" s="236"/>
      <c r="J164" s="239">
        <f>H164/DAY(B2)</f>
        <v>-31.155555555555516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31432</v>
      </c>
      <c r="F165" s="235">
        <v>31435.07</v>
      </c>
      <c r="G165" s="238">
        <f t="shared" si="13"/>
        <v>3.069999999999709</v>
      </c>
      <c r="H165" s="99">
        <f>G165+'8'!H165</f>
        <v>-198.93000000000029</v>
      </c>
      <c r="I165" s="236"/>
      <c r="J165" s="239">
        <f>H165/DAY(B2)</f>
        <v>-22.103333333333367</v>
      </c>
    </row>
    <row r="166" spans="1:10" ht="26.25">
      <c r="A166" s="881"/>
      <c r="B166" s="881"/>
      <c r="C166" s="246"/>
      <c r="D166" s="244" t="s">
        <v>180</v>
      </c>
      <c r="E166" s="95">
        <f>'8'!F166</f>
        <v>0</v>
      </c>
      <c r="F166" s="155">
        <v>0</v>
      </c>
      <c r="G166" s="15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'8'!F173</f>
        <v>8267</v>
      </c>
      <c r="F173" s="155">
        <v>8267</v>
      </c>
      <c r="G173" s="155">
        <f>F173-E173</f>
        <v>0</v>
      </c>
      <c r="H173" s="99">
        <f>G173+'8'!H173</f>
        <v>32</v>
      </c>
      <c r="I173" s="155"/>
      <c r="J173" s="178">
        <f>H173/DAY(B2)</f>
        <v>3.5555555555555554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'8'!F174</f>
        <v>40888</v>
      </c>
      <c r="F174" s="157">
        <v>40902</v>
      </c>
      <c r="G174" s="155">
        <f t="shared" ref="G174:G175" si="14">F174-E174</f>
        <v>14</v>
      </c>
      <c r="H174" s="99">
        <f>G174+'8'!H174</f>
        <v>-302</v>
      </c>
      <c r="I174" s="155"/>
      <c r="J174" s="178">
        <f>H174/DAY(B2)</f>
        <v>-33.555555555555557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'8'!F175</f>
        <v>23758</v>
      </c>
      <c r="F175" s="155">
        <v>23771</v>
      </c>
      <c r="G175" s="155">
        <f t="shared" si="14"/>
        <v>13</v>
      </c>
      <c r="H175" s="99">
        <f>G175+'8'!H175</f>
        <v>-260</v>
      </c>
      <c r="I175" s="155"/>
      <c r="J175" s="178">
        <f>H175/DAY(B2)</f>
        <v>-28.888888888888889</v>
      </c>
    </row>
    <row r="176" spans="1:10" ht="25.5">
      <c r="A176" s="876" t="s">
        <v>196</v>
      </c>
      <c r="B176" s="877"/>
      <c r="C176" s="333"/>
      <c r="D176" s="228" t="s">
        <v>142</v>
      </c>
      <c r="E176" s="95"/>
      <c r="F176" s="155"/>
      <c r="G176" s="155">
        <f>SUM(G173:G175)</f>
        <v>27</v>
      </c>
      <c r="H176" s="99">
        <f>G176+'8'!H176</f>
        <v>-530</v>
      </c>
      <c r="I176" s="155"/>
      <c r="J176" s="178">
        <f>H176/DAY(B2)</f>
        <v>-58.888888888888886</v>
      </c>
    </row>
    <row r="177" spans="1:10" ht="25.5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'8'!F178</f>
        <v>95443</v>
      </c>
      <c r="F178" s="157">
        <v>95553</v>
      </c>
      <c r="G178" s="755">
        <f>F178-E178</f>
        <v>110</v>
      </c>
      <c r="H178" s="99">
        <f>G178+'8'!H178</f>
        <v>-2160</v>
      </c>
      <c r="I178" s="155"/>
      <c r="J178" s="178">
        <f>H178/DAY(B2)</f>
        <v>-240</v>
      </c>
    </row>
    <row r="179" spans="1:10" ht="25.5">
      <c r="A179" s="887" t="s">
        <v>211</v>
      </c>
      <c r="B179" s="888"/>
      <c r="C179" s="333"/>
      <c r="D179" s="228" t="s">
        <v>142</v>
      </c>
      <c r="E179" s="95">
        <f>'8'!F179</f>
        <v>36002</v>
      </c>
      <c r="F179" s="157">
        <v>36002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887" t="s">
        <v>212</v>
      </c>
      <c r="B180" s="888"/>
      <c r="C180" s="333"/>
      <c r="D180" s="228" t="s">
        <v>142</v>
      </c>
      <c r="E180" s="95">
        <f>'8'!F180</f>
        <v>6934</v>
      </c>
      <c r="F180" s="155">
        <v>6942</v>
      </c>
      <c r="G180" s="155">
        <f t="shared" si="15"/>
        <v>8</v>
      </c>
      <c r="H180" s="99">
        <f>G180+'8'!H180</f>
        <v>-227</v>
      </c>
      <c r="I180" s="155"/>
      <c r="J180" s="178">
        <f>H180/DAY(B2)</f>
        <v>-25.222222222222221</v>
      </c>
    </row>
    <row r="181" spans="1:10" ht="25.5">
      <c r="A181" s="889" t="s">
        <v>108</v>
      </c>
      <c r="B181" s="890"/>
      <c r="C181" s="333"/>
      <c r="D181" s="228" t="s">
        <v>142</v>
      </c>
      <c r="E181" s="95"/>
      <c r="F181" s="155"/>
      <c r="G181" s="155">
        <f>SUM(G178:G180)</f>
        <v>118</v>
      </c>
      <c r="H181" s="99">
        <f>G181+'8'!H181</f>
        <v>-2387</v>
      </c>
      <c r="I181" s="155"/>
      <c r="J181" s="178">
        <f>H181/DAY(B2)</f>
        <v>-265.22222222222223</v>
      </c>
    </row>
    <row r="182" spans="1:10" ht="25.5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'8'!F183</f>
        <v>17332</v>
      </c>
      <c r="F183" s="157">
        <v>17340</v>
      </c>
      <c r="G183" s="157">
        <f>F183-E183</f>
        <v>8</v>
      </c>
      <c r="H183" s="99">
        <f>G183+'8'!H183</f>
        <v>-133</v>
      </c>
      <c r="I183" s="155"/>
      <c r="J183" s="178">
        <f>H183/DAY(B2)</f>
        <v>-14.777777777777779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'8'!F184</f>
        <v>11737</v>
      </c>
      <c r="F184" s="157">
        <v>11743</v>
      </c>
      <c r="G184" s="157">
        <f t="shared" ref="G184:G185" si="16">F184-E184</f>
        <v>6</v>
      </c>
      <c r="H184" s="99">
        <f>G184+'8'!H184</f>
        <v>-192</v>
      </c>
      <c r="I184" s="155"/>
      <c r="J184" s="178">
        <f>H184/DAY(B2)</f>
        <v>-21.333333333333332</v>
      </c>
    </row>
    <row r="185" spans="1:10" ht="35.25" customHeight="1">
      <c r="A185" s="887" t="s">
        <v>216</v>
      </c>
      <c r="B185" s="888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876" t="s">
        <v>196</v>
      </c>
      <c r="B186" s="877"/>
      <c r="C186" s="334"/>
      <c r="D186" s="228" t="s">
        <v>142</v>
      </c>
      <c r="E186" s="95"/>
      <c r="F186" s="157"/>
      <c r="G186" s="157">
        <f>SUM(G183:G185)</f>
        <v>14</v>
      </c>
      <c r="H186" s="99">
        <f>G186+'8'!H186</f>
        <v>-325</v>
      </c>
      <c r="I186" s="157"/>
      <c r="J186" s="178">
        <f>H186/DAY(B2)</f>
        <v>-36.111111111111114</v>
      </c>
    </row>
    <row r="187" spans="1:10" ht="25.5">
      <c r="A187" s="878" t="s">
        <v>217</v>
      </c>
      <c r="B187" s="879"/>
      <c r="C187" s="333"/>
      <c r="D187" s="230" t="s">
        <v>142</v>
      </c>
      <c r="E187" s="95"/>
      <c r="F187" s="159"/>
      <c r="G187" s="159">
        <f>G62+G19</f>
        <v>171</v>
      </c>
      <c r="H187" s="99">
        <f>G187+'8'!H187</f>
        <v>-3733</v>
      </c>
      <c r="I187" s="158"/>
      <c r="J187" s="179">
        <f>H187/DAY(B2)</f>
        <v>-414.77777777777777</v>
      </c>
    </row>
    <row r="188" spans="1:10" ht="25.5">
      <c r="A188" s="878" t="s">
        <v>218</v>
      </c>
      <c r="B188" s="879"/>
      <c r="C188" s="333"/>
      <c r="D188" s="230" t="s">
        <v>142</v>
      </c>
      <c r="E188" s="95"/>
      <c r="F188" s="159"/>
      <c r="G188" s="159">
        <f>G65+G66+G67+G69+G70</f>
        <v>139</v>
      </c>
      <c r="H188" s="99">
        <f>G188+'8'!H188</f>
        <v>-3325</v>
      </c>
      <c r="I188" s="158"/>
      <c r="J188" s="179">
        <f>H188/DAY(B2)</f>
        <v>-369.44444444444446</v>
      </c>
    </row>
    <row r="189" spans="1:10" ht="25.5">
      <c r="A189" s="878" t="s">
        <v>219</v>
      </c>
      <c r="B189" s="879"/>
      <c r="C189" s="333"/>
      <c r="D189" s="230" t="s">
        <v>142</v>
      </c>
      <c r="E189" s="95"/>
      <c r="F189" s="157"/>
      <c r="G189" s="157">
        <f>G181</f>
        <v>118</v>
      </c>
      <c r="H189" s="99">
        <f>G189+'8'!H189</f>
        <v>-2387</v>
      </c>
      <c r="I189" s="158"/>
      <c r="J189" s="179">
        <f>H189/DAY(B2)</f>
        <v>-265.22222222222223</v>
      </c>
    </row>
    <row r="190" spans="1:10" ht="29.25" customHeight="1">
      <c r="A190" s="885"/>
      <c r="B190" s="88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18" zoomScale="55" zoomScaleNormal="5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354</v>
      </c>
      <c r="B2" s="262">
        <v>44752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571628</v>
      </c>
      <c r="F7" s="95">
        <f>E7+26200</f>
        <v>597828</v>
      </c>
      <c r="G7" s="112">
        <f>F7-E7</f>
        <v>26200</v>
      </c>
      <c r="H7" s="99">
        <f>G7+'9'!H7</f>
        <v>260698</v>
      </c>
      <c r="I7" s="113">
        <f>'1'!I7</f>
        <v>12000</v>
      </c>
      <c r="J7" s="175">
        <f>H7/DAY(B2)</f>
        <v>26069.8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726353</v>
      </c>
      <c r="F8" s="95">
        <f>E8+26500</f>
        <v>752853</v>
      </c>
      <c r="G8" s="115">
        <f>F8-E8</f>
        <v>26500</v>
      </c>
      <c r="H8" s="99">
        <f>G8+'9'!H8</f>
        <v>264266</v>
      </c>
      <c r="I8" s="116"/>
      <c r="J8" s="175">
        <f>H8/DAY(B2)</f>
        <v>26426.6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3047260.3</v>
      </c>
      <c r="F9" s="469">
        <v>3056380.9</v>
      </c>
      <c r="G9" s="112">
        <f>F9-E9</f>
        <v>9120.6000000000931</v>
      </c>
      <c r="H9" s="99">
        <f>G9+'9'!H9</f>
        <v>-222685.10000000009</v>
      </c>
      <c r="I9" s="124">
        <f>I7-J7</f>
        <v>-14069.8</v>
      </c>
      <c r="J9" s="175">
        <f>H9/DAY(B2)</f>
        <v>-22268.510000000009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1343011.9</v>
      </c>
      <c r="F10" s="117">
        <v>1359783.2</v>
      </c>
      <c r="G10" s="112">
        <f t="shared" ref="G10:G12" si="0">F10-E10</f>
        <v>16771.300000000047</v>
      </c>
      <c r="H10" s="99">
        <f>G10+'9'!H10</f>
        <v>-307374.80000000005</v>
      </c>
      <c r="I10" s="282"/>
      <c r="J10" s="175">
        <f>H10/DAY(B2)</f>
        <v>-30737.480000000003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25891.90000000014</v>
      </c>
      <c r="H13" s="99">
        <f>G13+'9'!H13</f>
        <v>-528725.30000000028</v>
      </c>
      <c r="I13" s="120">
        <f>G7-G13</f>
        <v>308.0999999998603</v>
      </c>
      <c r="J13" s="175">
        <f>H13/DAY(B2)</f>
        <v>-52872.530000000028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2110008</v>
      </c>
      <c r="F15" s="469">
        <f>E15+1000</f>
        <v>2111008</v>
      </c>
      <c r="G15" s="112">
        <f>(F15-E15)</f>
        <v>1000</v>
      </c>
      <c r="H15" s="99">
        <f>G15+'9'!H15</f>
        <v>10140</v>
      </c>
      <c r="I15" s="113">
        <f>'1'!I15</f>
        <v>800</v>
      </c>
      <c r="J15" s="175">
        <f>H15/DAY(B2)</f>
        <v>1014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-214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'9'!F18</f>
        <v>22</v>
      </c>
      <c r="F18" s="164">
        <v>22</v>
      </c>
      <c r="G18" s="119">
        <f>F18*10</f>
        <v>220</v>
      </c>
      <c r="H18" s="99">
        <f>G18+'9'!H18</f>
        <v>1730</v>
      </c>
      <c r="I18" s="113">
        <f>'1'!I18</f>
        <v>65</v>
      </c>
      <c r="J18" s="175">
        <f>H18/DAY(B2)</f>
        <v>173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'9'!F19</f>
        <v>161264</v>
      </c>
      <c r="F19" s="122">
        <v>161308</v>
      </c>
      <c r="G19" s="112">
        <v>50</v>
      </c>
      <c r="H19" s="99">
        <f>G19+'9'!H19</f>
        <v>-1021</v>
      </c>
      <c r="I19" s="335"/>
      <c r="J19" s="175">
        <f>H19/DAY(B2)</f>
        <v>-102.1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G20+'9'!H20</f>
        <v>709</v>
      </c>
      <c r="I20" s="336">
        <f>I18-J20</f>
        <v>-5.9000000000000057</v>
      </c>
      <c r="J20" s="175">
        <f>H20/DAY(B2)</f>
        <v>70.900000000000006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1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G27+'9'!H27</f>
        <v>2378394</v>
      </c>
      <c r="I27" s="138"/>
      <c r="J27" s="175">
        <f>H27/DAY(B2)</f>
        <v>237839.4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G28+'9'!H28</f>
        <v>709800</v>
      </c>
      <c r="I28" s="140"/>
      <c r="J28" s="175">
        <f>H28/DAY(B2)</f>
        <v>70980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G30+'9'!H30</f>
        <v>-154171</v>
      </c>
      <c r="I30" s="140"/>
      <c r="J30" s="175">
        <f>H30/DAY(B2)</f>
        <v>-15417.1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G31+'9'!H31</f>
        <v>138400</v>
      </c>
      <c r="I31" s="140"/>
      <c r="J31" s="175">
        <f>H31/DAY(B2)</f>
        <v>13840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333650</v>
      </c>
      <c r="H32" s="99">
        <f>G32+'9'!H32</f>
        <v>3072423</v>
      </c>
      <c r="I32" s="144"/>
      <c r="J32" s="175">
        <f>H32/DAY(B2)</f>
        <v>307242.3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238713.05</v>
      </c>
      <c r="F35" s="145">
        <v>238713.05</v>
      </c>
      <c r="G35" s="112">
        <f t="shared" ref="G35:G46" si="2">F35-E35</f>
        <v>0</v>
      </c>
      <c r="H35" s="99">
        <f>G35+'9'!H35</f>
        <v>4.9999999988358468E-2</v>
      </c>
      <c r="I35" s="95"/>
      <c r="J35" s="175">
        <f>H35/DAY(B2)</f>
        <v>4.9999999988358471E-3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195467.17</v>
      </c>
      <c r="F36" s="145">
        <v>196395.71</v>
      </c>
      <c r="G36" s="112">
        <f t="shared" si="2"/>
        <v>928.53999999997905</v>
      </c>
      <c r="H36" s="99">
        <f>G36+'9'!H36</f>
        <v>-19134.290000000008</v>
      </c>
      <c r="I36" s="95"/>
      <c r="J36" s="175">
        <f>H36/DAY(B2)</f>
        <v>-1913.4290000000008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301141.75</v>
      </c>
      <c r="F37" s="145">
        <v>302666.25</v>
      </c>
      <c r="G37" s="112">
        <f t="shared" si="2"/>
        <v>1524.5</v>
      </c>
      <c r="H37" s="99">
        <f>G37+'9'!H37</f>
        <v>-20332.75</v>
      </c>
      <c r="I37" s="95"/>
      <c r="J37" s="175">
        <f>H37/DAY(B2)</f>
        <v>-2033.2750000000001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406918.11</v>
      </c>
      <c r="F38" s="108">
        <v>409203.39</v>
      </c>
      <c r="G38" s="112">
        <f t="shared" si="2"/>
        <v>2285.2800000000279</v>
      </c>
      <c r="H38" s="99">
        <f>G38+'9'!H38</f>
        <v>-48157.609999999986</v>
      </c>
      <c r="I38" s="95"/>
      <c r="J38" s="175">
        <f>H38/DAY(B2)</f>
        <v>-4815.7609999999986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550253.15</v>
      </c>
      <c r="F39" s="145">
        <v>553161.11</v>
      </c>
      <c r="G39" s="112">
        <f t="shared" si="2"/>
        <v>2907.9599999999627</v>
      </c>
      <c r="H39" s="99">
        <f>G39+'9'!H39</f>
        <v>-38422.890000000014</v>
      </c>
      <c r="I39" s="95"/>
      <c r="J39" s="175">
        <f>H39/DAY(B2)</f>
        <v>-3842.2890000000016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89154.43</v>
      </c>
      <c r="F40" s="145">
        <v>89883.513000000006</v>
      </c>
      <c r="G40" s="112">
        <f t="shared" si="2"/>
        <v>729.08300000001327</v>
      </c>
      <c r="H40" s="99">
        <f>G40+'9'!H40</f>
        <v>-16892.486999999994</v>
      </c>
      <c r="I40" s="95"/>
      <c r="J40" s="175">
        <f>H40/DAY(B2)</f>
        <v>-1689.2486999999994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158338.76999999999</v>
      </c>
      <c r="F41" s="145">
        <v>158338.76999999999</v>
      </c>
      <c r="G41" s="112">
        <f t="shared" si="2"/>
        <v>0</v>
      </c>
      <c r="H41" s="99">
        <f>G41+'9'!H41</f>
        <v>-53364.23000000001</v>
      </c>
      <c r="I41" s="95"/>
      <c r="J41" s="175">
        <f>H41/DAY(B2)</f>
        <v>-5336.4230000000007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721198</v>
      </c>
      <c r="F42" s="145">
        <v>721198</v>
      </c>
      <c r="G42" s="112">
        <f t="shared" si="2"/>
        <v>0</v>
      </c>
      <c r="H42" s="99">
        <f>G42+'9'!H42</f>
        <v>-27166</v>
      </c>
      <c r="I42" s="95"/>
      <c r="J42" s="175">
        <f>H42/DAY(B2)</f>
        <v>-2716.6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407028</v>
      </c>
      <c r="F43" s="145">
        <v>407028</v>
      </c>
      <c r="G43" s="112">
        <f t="shared" si="2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2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2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2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8375.362999999983</v>
      </c>
      <c r="H47" s="99">
        <f>G47+'9'!H47</f>
        <v>-223470.20700000002</v>
      </c>
      <c r="I47" s="95"/>
      <c r="J47" s="175">
        <f>H47/DAY(B2)</f>
        <v>-22347.020700000001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400436.75</v>
      </c>
      <c r="F49" s="145">
        <v>404115.87</v>
      </c>
      <c r="G49" s="112">
        <f t="shared" ref="G49:G58" si="3">F49-E49</f>
        <v>3679.1199999999953</v>
      </c>
      <c r="H49" s="99">
        <f>G49+'9'!H49</f>
        <v>-80938.13</v>
      </c>
      <c r="I49" s="95"/>
      <c r="J49" s="175">
        <f>H49/DAY(B2)</f>
        <v>-8093.8130000000001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254175.67</v>
      </c>
      <c r="F50" s="145">
        <v>255395.01</v>
      </c>
      <c r="G50" s="112">
        <f t="shared" si="3"/>
        <v>1219.3399999999965</v>
      </c>
      <c r="H50" s="99">
        <f>G50+'9'!H50</f>
        <v>-27354.989999999991</v>
      </c>
      <c r="I50" s="95"/>
      <c r="J50" s="175">
        <f>H50/DAY(B2)</f>
        <v>-2735.4989999999989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75.680000000000007</v>
      </c>
      <c r="F51" s="145">
        <v>75.680000000000007</v>
      </c>
      <c r="G51" s="112">
        <f t="shared" si="3"/>
        <v>0</v>
      </c>
      <c r="H51" s="99">
        <f>G51+'9'!H51</f>
        <v>-8432.32</v>
      </c>
      <c r="I51" s="95"/>
      <c r="J51" s="175">
        <f>H51/DAY(B2)</f>
        <v>-843.23199999999997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3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3"/>
        <v>0</v>
      </c>
      <c r="H53" s="99">
        <f>G53+'9'!H53</f>
        <v>-33861</v>
      </c>
      <c r="I53" s="95"/>
      <c r="J53" s="175">
        <f>H53/DAY(B2)</f>
        <v>-3386.1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80204.350000000006</v>
      </c>
      <c r="F54" s="145">
        <v>80551.360000000001</v>
      </c>
      <c r="G54" s="112">
        <f t="shared" si="3"/>
        <v>347.00999999999476</v>
      </c>
      <c r="H54" s="99">
        <f>G54+'9'!H54</f>
        <v>-7391.6399999999994</v>
      </c>
      <c r="I54" s="95"/>
      <c r="J54" s="175">
        <f>H54/DAY(B2)</f>
        <v>-739.16399999999999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299406.63</v>
      </c>
      <c r="F55" s="423">
        <v>303072.90999999997</v>
      </c>
      <c r="G55" s="112">
        <f t="shared" si="3"/>
        <v>3666.2799999999697</v>
      </c>
      <c r="H55" s="99">
        <f>G55+'9'!H55</f>
        <v>-59704.090000000026</v>
      </c>
      <c r="I55" s="95"/>
      <c r="J55" s="175">
        <f>H55/DAY(B2)</f>
        <v>-5970.4090000000024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118797.23</v>
      </c>
      <c r="F56" s="423">
        <v>120880.14</v>
      </c>
      <c r="G56" s="112">
        <f t="shared" si="3"/>
        <v>2082.9100000000035</v>
      </c>
      <c r="H56" s="99">
        <f>G56+'9'!H56</f>
        <v>-3001.8600000000006</v>
      </c>
      <c r="I56" s="95"/>
      <c r="J56" s="175">
        <f>H56/DAY(B2)</f>
        <v>-300.18600000000004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159938.45000000001</v>
      </c>
      <c r="F57" s="423">
        <v>163148.81</v>
      </c>
      <c r="G57" s="112">
        <f t="shared" si="3"/>
        <v>3210.359999999986</v>
      </c>
      <c r="H57" s="99">
        <f>G57+'9'!H57</f>
        <v>-63021.19</v>
      </c>
      <c r="I57" s="95"/>
      <c r="J57" s="175">
        <f>H57/DAY(B2)</f>
        <v>-6302.1190000000006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42941.17</v>
      </c>
      <c r="F58" s="423">
        <v>43234.23</v>
      </c>
      <c r="G58" s="112">
        <f t="shared" si="3"/>
        <v>293.06000000000495</v>
      </c>
      <c r="H58" s="99">
        <f>G58+'9'!H58</f>
        <v>-5874.7699999999968</v>
      </c>
      <c r="I58" s="95"/>
      <c r="J58" s="175">
        <f>H58/DAY(B2)</f>
        <v>-587.47699999999963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14498.079999999951</v>
      </c>
      <c r="H59" s="99">
        <f>G59+'9'!H59</f>
        <v>-289580.23</v>
      </c>
      <c r="I59" s="95">
        <f>G7-G60</f>
        <v>3326.5570000000662</v>
      </c>
      <c r="J59" s="175">
        <f>H59/DAY(B2)</f>
        <v>-28958.022999999997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22873.442999999934</v>
      </c>
      <c r="H60" s="99">
        <f>G60+'9'!H60</f>
        <v>-513050.43700000009</v>
      </c>
      <c r="I60" s="95">
        <f>G13-G60</f>
        <v>3018.4570000002059</v>
      </c>
      <c r="J60" s="175">
        <f>H60/DAY(B2)</f>
        <v>-51305.043700000009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'9'!F62</f>
        <v>293613</v>
      </c>
      <c r="F62" s="122">
        <v>293726</v>
      </c>
      <c r="G62" s="112">
        <f t="shared" ref="G62:G63" si="4">F62-E62</f>
        <v>113</v>
      </c>
      <c r="H62" s="99">
        <f>G62+'9'!H62</f>
        <v>-2549</v>
      </c>
      <c r="I62" s="118"/>
      <c r="J62" s="175">
        <f>H62/DAY(B2)</f>
        <v>-254.9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'9'!F63</f>
        <v>236066</v>
      </c>
      <c r="F63" s="164">
        <v>236171</v>
      </c>
      <c r="G63" s="112">
        <f t="shared" si="4"/>
        <v>105</v>
      </c>
      <c r="H63" s="99">
        <f>G63+'9'!H63</f>
        <v>-2962</v>
      </c>
      <c r="I63" s="118"/>
      <c r="J63" s="175">
        <f>H63/DAY(B2)</f>
        <v>-296.2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'9'!F64</f>
        <v>0</v>
      </c>
      <c r="F64" s="122"/>
      <c r="G64" s="112">
        <f>G62+G63</f>
        <v>218</v>
      </c>
      <c r="H64" s="99">
        <f>G64+'9'!H64</f>
        <v>-5511</v>
      </c>
      <c r="I64" s="118"/>
      <c r="J64" s="175">
        <f>H64/DAY(B2)</f>
        <v>-551.1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'9'!F65</f>
        <v>452271</v>
      </c>
      <c r="F65" s="122">
        <v>452373</v>
      </c>
      <c r="G65" s="112">
        <f t="shared" ref="G65:G70" si="5">F65-E65</f>
        <v>102</v>
      </c>
      <c r="H65" s="99">
        <f>G65+'9'!H65</f>
        <v>-2337</v>
      </c>
      <c r="I65" s="118"/>
      <c r="J65" s="175">
        <f>H65/DAY(B2)</f>
        <v>-233.7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111187</v>
      </c>
      <c r="F66" s="122">
        <v>111212</v>
      </c>
      <c r="G66" s="112">
        <f t="shared" si="5"/>
        <v>25</v>
      </c>
      <c r="H66" s="99">
        <f>G66+'9'!H66</f>
        <v>-510</v>
      </c>
      <c r="I66" s="118"/>
      <c r="J66" s="175">
        <f>H66/DAY(B2)</f>
        <v>-51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113680</v>
      </c>
      <c r="F67" s="122">
        <v>113680</v>
      </c>
      <c r="G67" s="112">
        <f t="shared" si="5"/>
        <v>0</v>
      </c>
      <c r="H67" s="99">
        <f>G67+'9'!H67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163924</v>
      </c>
      <c r="F68" s="122">
        <v>163966</v>
      </c>
      <c r="G68" s="112">
        <f t="shared" si="5"/>
        <v>42</v>
      </c>
      <c r="H68" s="99">
        <f>G68+'9'!H68</f>
        <v>-696</v>
      </c>
      <c r="I68" s="118"/>
      <c r="J68" s="175">
        <f>H68/DAY(B2)</f>
        <v>-69.599999999999994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12172</v>
      </c>
      <c r="F69" s="122">
        <v>12178</v>
      </c>
      <c r="G69" s="112">
        <f t="shared" si="5"/>
        <v>6</v>
      </c>
      <c r="H69" s="99">
        <f>G69+'9'!H69</f>
        <v>-97</v>
      </c>
      <c r="I69" s="118"/>
      <c r="J69" s="175">
        <f>H69/DAY(B2)</f>
        <v>-9.6999999999999993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9579</v>
      </c>
      <c r="F70" s="122">
        <v>9588</v>
      </c>
      <c r="G70" s="112">
        <f t="shared" si="5"/>
        <v>9</v>
      </c>
      <c r="H70" s="99">
        <f>G70+'9'!H70</f>
        <v>-239</v>
      </c>
      <c r="I70" s="118"/>
      <c r="J70" s="175">
        <f>H70/DAY(B2)</f>
        <v>-23.9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184</v>
      </c>
      <c r="H71" s="99">
        <f>G71+'9'!H71</f>
        <v>-3879</v>
      </c>
      <c r="I71" s="154"/>
      <c r="J71" s="175">
        <f>H71/DAY(B2)</f>
        <v>-387.9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'9'!F74</f>
        <v>950468.45</v>
      </c>
      <c r="F74" s="117">
        <v>950734.29</v>
      </c>
      <c r="G74" s="112">
        <f t="shared" ref="G74:G78" si="6">F74-E74</f>
        <v>265.84000000008382</v>
      </c>
      <c r="H74" s="99">
        <f>G74+'9'!H74</f>
        <v>-6923.5699999999488</v>
      </c>
      <c r="I74" s="154"/>
      <c r="J74" s="175">
        <f>H74/DAY(B2)</f>
        <v>-692.35699999999485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'9'!F75</f>
        <v>73586.8</v>
      </c>
      <c r="F75" s="123">
        <v>73586.8</v>
      </c>
      <c r="G75" s="112">
        <f t="shared" si="6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'9'!F76</f>
        <v>187858.5</v>
      </c>
      <c r="F76" s="123">
        <v>187957</v>
      </c>
      <c r="G76" s="112">
        <f t="shared" si="6"/>
        <v>98.5</v>
      </c>
      <c r="H76" s="99">
        <f>G76+'9'!H76</f>
        <v>-2215</v>
      </c>
      <c r="I76" s="154"/>
      <c r="J76" s="175">
        <f>H76/DAY(B2)</f>
        <v>-221.5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'9'!F77</f>
        <v>49190</v>
      </c>
      <c r="F77" s="123">
        <v>49232</v>
      </c>
      <c r="G77" s="112">
        <f t="shared" si="6"/>
        <v>42</v>
      </c>
      <c r="H77" s="99">
        <f>G77+'9'!H77</f>
        <v>-1081</v>
      </c>
      <c r="I77" s="154"/>
      <c r="J77" s="175">
        <f>H77/DAY(B2)</f>
        <v>-108.1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'9'!F78</f>
        <v>9563</v>
      </c>
      <c r="F78" s="123">
        <v>9563</v>
      </c>
      <c r="G78" s="112">
        <f t="shared" si="6"/>
        <v>0</v>
      </c>
      <c r="H78" s="99">
        <f>G78+'9'!H78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'9'!F79</f>
        <v>0</v>
      </c>
      <c r="F79" s="117"/>
      <c r="G79" s="112">
        <f>G15-SUM(G74:G78)</f>
        <v>593.65999999991618</v>
      </c>
      <c r="H79" s="99">
        <f>G79+'9'!H79</f>
        <v>20359.569999999949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7">F82-E82</f>
        <v>0</v>
      </c>
      <c r="H82" s="99">
        <f>G82+'9'!H82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7"/>
        <v>0</v>
      </c>
      <c r="H83" s="99">
        <f>G83+'9'!H83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42339.41</v>
      </c>
      <c r="F84" s="164">
        <v>42340.05</v>
      </c>
      <c r="G84" s="112">
        <f t="shared" si="7"/>
        <v>0.63999999999941792</v>
      </c>
      <c r="H84" s="99">
        <f>G84+'9'!H84</f>
        <v>-248.94999999999709</v>
      </c>
      <c r="I84" s="571"/>
      <c r="J84" s="175">
        <f>H84/DAY(B2)</f>
        <v>-24.894999999999708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5019.47</v>
      </c>
      <c r="F85" s="164">
        <v>5019.47</v>
      </c>
      <c r="G85" s="112">
        <f t="shared" si="7"/>
        <v>0</v>
      </c>
      <c r="H85" s="99">
        <f>G85+'9'!H85</f>
        <v>-120.71999999999935</v>
      </c>
      <c r="I85" s="571"/>
      <c r="J85" s="175">
        <f>H85/DAY(B2)</f>
        <v>-12.071999999999935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44951.4</v>
      </c>
      <c r="F86" s="164">
        <v>44975.85</v>
      </c>
      <c r="G86" s="112">
        <f t="shared" si="7"/>
        <v>24.44999999999709</v>
      </c>
      <c r="H86" s="99">
        <f>G86+'9'!H86</f>
        <v>-403.15000000000146</v>
      </c>
      <c r="I86" s="571"/>
      <c r="J86" s="175">
        <f>H86/DAY(B2)</f>
        <v>-40.315000000000147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35421</v>
      </c>
      <c r="F87" s="164">
        <v>35433.01</v>
      </c>
      <c r="G87" s="112">
        <f t="shared" si="7"/>
        <v>12.010000000002037</v>
      </c>
      <c r="H87" s="99">
        <f>G87+'9'!H87</f>
        <v>-24.419999999998254</v>
      </c>
      <c r="I87" s="571">
        <f>G84+G85+G86+G87</f>
        <v>37.099999999998545</v>
      </c>
      <c r="J87" s="175">
        <f>H87/DAY(B2)</f>
        <v>-2.4419999999998252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24293.88</v>
      </c>
      <c r="F88" s="164">
        <v>24293.88</v>
      </c>
      <c r="G88" s="112">
        <f t="shared" si="7"/>
        <v>0</v>
      </c>
      <c r="H88" s="99">
        <f>G88+'9'!H88</f>
        <v>-9.5799999999981083</v>
      </c>
      <c r="I88" s="571"/>
      <c r="J88" s="175">
        <f>H88/DAY(B2)</f>
        <v>-0.95799999999981078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27364.91</v>
      </c>
      <c r="F89" s="164">
        <v>27374.6</v>
      </c>
      <c r="G89" s="112">
        <f t="shared" si="7"/>
        <v>9.6899999999986903</v>
      </c>
      <c r="H89" s="99">
        <f>G89+'9'!H89</f>
        <v>-192.01000000000204</v>
      </c>
      <c r="I89" s="571">
        <f>G88+G89</f>
        <v>9.6899999999986903</v>
      </c>
      <c r="J89" s="175">
        <f>H89/DAY(B2)</f>
        <v>-19.201000000000203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72373.37</v>
      </c>
      <c r="F90" s="164">
        <v>72384.27</v>
      </c>
      <c r="G90" s="112">
        <f t="shared" si="7"/>
        <v>10.900000000008731</v>
      </c>
      <c r="H90" s="99">
        <f>G90+'9'!H90</f>
        <v>-222.27999999999884</v>
      </c>
      <c r="I90" s="571">
        <f>G90</f>
        <v>10.900000000008731</v>
      </c>
      <c r="J90" s="175">
        <f>H90/DAY(B2)</f>
        <v>-22.227999999999884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4187</v>
      </c>
      <c r="F91" s="122">
        <v>4187.57</v>
      </c>
      <c r="G91" s="112">
        <f t="shared" si="7"/>
        <v>0.56999999999970896</v>
      </c>
      <c r="H91" s="99">
        <f>G91+'9'!H91</f>
        <v>-101.97000000000025</v>
      </c>
      <c r="I91" s="590"/>
      <c r="J91" s="175">
        <f>H91/DAY(B2)</f>
        <v>-10.197000000000026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6565.49</v>
      </c>
      <c r="F92" s="122">
        <v>6574.75</v>
      </c>
      <c r="G92" s="112">
        <f t="shared" si="7"/>
        <v>9.2600000000002183</v>
      </c>
      <c r="H92" s="99">
        <f>G92+'9'!H92</f>
        <v>-142.57999999999993</v>
      </c>
      <c r="I92" s="596">
        <f>G91+G92</f>
        <v>9.8299999999999272</v>
      </c>
      <c r="J92" s="175">
        <f>H92/DAY(B2)</f>
        <v>-14.257999999999992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6889.4799999999814</v>
      </c>
      <c r="H94" s="99">
        <f>G94+'9'!H94</f>
        <v>-143959.27000000002</v>
      </c>
      <c r="I94" s="118"/>
      <c r="J94" s="175">
        <f>H94/DAY(B2)</f>
        <v>-14395.927000000001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0.26295725190839625</v>
      </c>
      <c r="H95" s="99">
        <f>G95+'9'!H95</f>
        <v>-5.4788373649791513</v>
      </c>
      <c r="I95" s="167"/>
      <c r="J95" s="175">
        <f>H95/DAY(B2)</f>
        <v>-0.54788373649791511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5749.1899999999732</v>
      </c>
      <c r="H96" s="99">
        <f>G96+'9'!H96</f>
        <v>-143236.18000000002</v>
      </c>
      <c r="I96" s="118"/>
      <c r="J96" s="175">
        <f>H96/DAY(B2)</f>
        <v>-14323.618000000002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0.21943473282442646</v>
      </c>
      <c r="H97" s="99">
        <f>G97+'9'!H97</f>
        <v>-5.4556981426239926</v>
      </c>
      <c r="I97" s="167"/>
      <c r="J97" s="175">
        <f>H97/DAY(B2)</f>
        <v>-0.54556981426239926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2907.9599999999627</v>
      </c>
      <c r="H98" s="99">
        <f>G98+'9'!H98</f>
        <v>-72283.890000000014</v>
      </c>
      <c r="I98" s="168"/>
      <c r="J98" s="175">
        <f>H98/DAY(B2)</f>
        <v>-7228.389000000001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0.11099083969465506</v>
      </c>
      <c r="H99" s="99">
        <f>G99+'9'!H99</f>
        <v>-2.7493254492653492</v>
      </c>
      <c r="I99" s="168"/>
      <c r="J99" s="175">
        <f>H99/DAY(B2)</f>
        <v>-0.27493254492653491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2285.2800000000279</v>
      </c>
      <c r="H100" s="99">
        <f>G100+'9'!H100</f>
        <v>-48157.849999999984</v>
      </c>
      <c r="I100" s="118"/>
      <c r="J100" s="175">
        <f>H100/DAY(B2)</f>
        <v>-4815.784999999998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8.7224427480917091E-2</v>
      </c>
      <c r="H101" s="99">
        <f>G101+'9'!H101</f>
        <v>-1.8332530159243074</v>
      </c>
      <c r="I101" s="168"/>
      <c r="J101" s="175">
        <f>H101/DAY(B2)</f>
        <v>-0.18332530159243074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2147.8799999999756</v>
      </c>
      <c r="H102" s="99">
        <f>G102+'9'!H102</f>
        <v>-46489.279999999999</v>
      </c>
      <c r="I102" s="168"/>
      <c r="J102" s="175">
        <f>H102/DAY(B2)</f>
        <v>-4648.9279999999999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8.1980152671754791E-2</v>
      </c>
      <c r="H103" s="99">
        <f>G103+'9'!H103</f>
        <v>-1.7725520595525885</v>
      </c>
      <c r="I103" s="118"/>
      <c r="J103" s="175">
        <f>H103/DAY(B2)</f>
        <v>-0.17725520595525884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1524.5</v>
      </c>
      <c r="H104" s="99">
        <f>G104+'9'!H104</f>
        <v>-28765.07</v>
      </c>
      <c r="I104" s="118"/>
      <c r="J104" s="175">
        <f>H104/DAY(B2)</f>
        <v>-2876.5070000000001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5.8187022900763358E-2</v>
      </c>
      <c r="H105" s="99">
        <f>G105+'9'!H105</f>
        <v>-1.0955193324715951</v>
      </c>
      <c r="I105" s="187"/>
      <c r="J105" s="188">
        <f>H105/DAY(B2)</f>
        <v>-0.10955193324715951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'9'!F112</f>
        <v>5604.27</v>
      </c>
      <c r="F112" s="237">
        <v>5679.68</v>
      </c>
      <c r="G112" s="112">
        <f t="shared" ref="G112:G123" si="8">F112-E112</f>
        <v>75.409999999999854</v>
      </c>
      <c r="H112" s="99">
        <f>G112+'9'!H112</f>
        <v>-1585.3199999999997</v>
      </c>
      <c r="I112" s="165"/>
      <c r="J112" s="328">
        <f>H112/DAY(B2)</f>
        <v>-158.53199999999998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'9'!F113</f>
        <v>11914.32</v>
      </c>
      <c r="F113" s="237">
        <v>12052.65</v>
      </c>
      <c r="G113" s="112">
        <f t="shared" si="8"/>
        <v>138.32999999999993</v>
      </c>
      <c r="H113" s="99">
        <f>G113+'9'!H113</f>
        <v>-2962.3500000000004</v>
      </c>
      <c r="I113" s="165"/>
      <c r="J113" s="328">
        <f>H113/DAY(B2)</f>
        <v>-296.23500000000001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'9'!F114</f>
        <v>16250.67</v>
      </c>
      <c r="F114" s="237">
        <v>16485.669999999998</v>
      </c>
      <c r="G114" s="112">
        <f t="shared" si="8"/>
        <v>234.99999999999818</v>
      </c>
      <c r="H114" s="99">
        <f>G114+'9'!H114</f>
        <v>-4782.3300000000017</v>
      </c>
      <c r="I114" s="165"/>
      <c r="J114" s="328">
        <f>H114/DAY(B2)</f>
        <v>-478.23300000000017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F115-17</f>
        <v>10240.61</v>
      </c>
      <c r="F115" s="417">
        <v>10257.61</v>
      </c>
      <c r="G115" s="112">
        <f t="shared" si="8"/>
        <v>17</v>
      </c>
      <c r="H115" s="99">
        <f>G115+'9'!H115</f>
        <v>-3281.6100000000006</v>
      </c>
      <c r="I115" s="165"/>
      <c r="J115" s="328">
        <f>H115/DAY(B2)</f>
        <v>-328.16100000000006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'9'!F116</f>
        <v>62479.24</v>
      </c>
      <c r="F116" s="237">
        <v>62959.12</v>
      </c>
      <c r="G116" s="112">
        <f t="shared" si="8"/>
        <v>479.88000000000466</v>
      </c>
      <c r="H116" s="99">
        <f>G116+'9'!H116</f>
        <v>-7532.8799999999974</v>
      </c>
      <c r="I116" s="165"/>
      <c r="J116" s="328">
        <f>H116/DAY(B2)</f>
        <v>-753.28799999999978</v>
      </c>
      <c r="Q116" s="894" t="s">
        <v>311</v>
      </c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'9'!F117</f>
        <v>35404.410000000003</v>
      </c>
      <c r="F117" s="237">
        <v>35618.75</v>
      </c>
      <c r="G117" s="112">
        <f t="shared" si="8"/>
        <v>214.33999999999651</v>
      </c>
      <c r="H117" s="99">
        <f>G117+'9'!H117</f>
        <v>-5303.25</v>
      </c>
      <c r="I117" s="165"/>
      <c r="J117" s="328">
        <f>H117/DAY(B2)</f>
        <v>-530.32500000000005</v>
      </c>
      <c r="Q117" s="894" t="s">
        <v>312</v>
      </c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'9'!F118</f>
        <v>50721.46</v>
      </c>
      <c r="F118" s="237">
        <v>51338.66</v>
      </c>
      <c r="G118" s="112">
        <f t="shared" si="8"/>
        <v>617.20000000000437</v>
      </c>
      <c r="H118" s="99">
        <f>G118+'9'!H118</f>
        <v>-13333.339999999997</v>
      </c>
      <c r="I118" s="165"/>
      <c r="J118" s="328">
        <f>H118/DAY(B2)</f>
        <v>-1333.3339999999996</v>
      </c>
      <c r="Q118" s="894" t="s">
        <v>311</v>
      </c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'9'!F119</f>
        <v>32449</v>
      </c>
      <c r="F119" s="237">
        <v>32685.35</v>
      </c>
      <c r="G119" s="112">
        <f t="shared" si="8"/>
        <v>236.34999999999854</v>
      </c>
      <c r="H119" s="99">
        <f>G119+'9'!H119</f>
        <v>-4763.6500000000015</v>
      </c>
      <c r="I119" s="165"/>
      <c r="J119" s="328">
        <f>H119/DAY(B2)</f>
        <v>-476.36500000000012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'9'!F120</f>
        <v>36987.94</v>
      </c>
      <c r="F120" s="237">
        <v>37421.24</v>
      </c>
      <c r="G120" s="112">
        <f t="shared" si="8"/>
        <v>433.29999999999563</v>
      </c>
      <c r="H120" s="99">
        <f>G120+'9'!H120</f>
        <v>-8845.760000000002</v>
      </c>
      <c r="I120" s="165"/>
      <c r="J120" s="328">
        <f>H120/DAY(B2)</f>
        <v>-884.57600000000025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'9'!F121</f>
        <v>43656.21</v>
      </c>
      <c r="F121" s="237">
        <v>44079.97</v>
      </c>
      <c r="G121" s="112">
        <f t="shared" si="8"/>
        <v>423.76000000000204</v>
      </c>
      <c r="H121" s="99">
        <f>G121+'9'!H121</f>
        <v>-9463.0299999999988</v>
      </c>
      <c r="I121" s="165"/>
      <c r="J121" s="328">
        <f>H121/DAY(B2)</f>
        <v>-946.30299999999988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'9'!F122</f>
        <v>22623.39</v>
      </c>
      <c r="F122" s="237">
        <v>22876.28</v>
      </c>
      <c r="G122" s="112">
        <f t="shared" si="8"/>
        <v>252.88999999999942</v>
      </c>
      <c r="H122" s="99">
        <f>G122+'9'!H122</f>
        <v>-5797.7200000000012</v>
      </c>
      <c r="I122" s="165"/>
      <c r="J122" s="328">
        <f>H122/DAY(B2)</f>
        <v>-579.77200000000016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'9'!F123</f>
        <v>23189.86</v>
      </c>
      <c r="F123" s="237">
        <v>23510.240000000002</v>
      </c>
      <c r="G123" s="112">
        <f t="shared" si="8"/>
        <v>320.38000000000102</v>
      </c>
      <c r="H123" s="99">
        <f>G123+'9'!H123</f>
        <v>-6677.7599999999984</v>
      </c>
      <c r="I123" s="165"/>
      <c r="J123" s="328">
        <f>H123/DAY(B2)</f>
        <v>-667.77599999999984</v>
      </c>
    </row>
    <row r="124" spans="1:18" ht="29.25" customHeight="1">
      <c r="A124" s="898"/>
      <c r="B124" s="899"/>
      <c r="C124" s="900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3443.84</v>
      </c>
      <c r="H125" s="156"/>
      <c r="I125" s="327">
        <f>G125-(G39+G53)</f>
        <v>535.8800000000374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'9'!F128</f>
        <v>116467.91</v>
      </c>
      <c r="F128" s="155">
        <v>117016.67</v>
      </c>
      <c r="G128" s="112">
        <f t="shared" ref="G128:G134" si="9">F128-E128</f>
        <v>548.75999999999476</v>
      </c>
      <c r="H128" s="99">
        <f>G128+'9'!H128</f>
        <v>-10627.330000000002</v>
      </c>
      <c r="I128" s="165"/>
      <c r="J128" s="328">
        <f>H128/DAY(B2)</f>
        <v>-1062.7330000000002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68629.48</v>
      </c>
      <c r="F129" s="155">
        <v>68799.95</v>
      </c>
      <c r="G129" s="112">
        <f t="shared" si="9"/>
        <v>170.47000000000116</v>
      </c>
      <c r="H129" s="99">
        <f>G129+'9'!H129</f>
        <v>-3703.0500000000029</v>
      </c>
      <c r="I129" s="165"/>
      <c r="J129" s="328">
        <f>H129/DAY(B2)</f>
        <v>-370.30500000000029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F130-183</f>
        <v>149110.39999999999</v>
      </c>
      <c r="F130" s="157">
        <v>149293.4</v>
      </c>
      <c r="G130" s="112">
        <f t="shared" si="9"/>
        <v>183</v>
      </c>
      <c r="H130" s="99">
        <f>G130+'9'!H130</f>
        <v>-15847.869999999995</v>
      </c>
      <c r="I130" s="165"/>
      <c r="J130" s="328">
        <f>H130/DAY(B2)</f>
        <v>-1584.7869999999996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'9'!F131</f>
        <v>44245.97</v>
      </c>
      <c r="F131" s="155">
        <v>44386.59</v>
      </c>
      <c r="G131" s="112">
        <f t="shared" si="9"/>
        <v>140.61999999999534</v>
      </c>
      <c r="H131" s="99">
        <f>G131+'9'!H131</f>
        <v>-4062.4100000000035</v>
      </c>
      <c r="I131" s="165"/>
      <c r="J131" s="328">
        <f>H131/DAY(B2)</f>
        <v>-406.24100000000033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'9'!F132</f>
        <v>119982.9</v>
      </c>
      <c r="F132" s="155">
        <v>120410.26</v>
      </c>
      <c r="G132" s="112">
        <f t="shared" si="9"/>
        <v>427.36000000000058</v>
      </c>
      <c r="H132" s="99">
        <f>G132+'9'!H132</f>
        <v>-7763.7400000000052</v>
      </c>
      <c r="I132" s="165"/>
      <c r="J132" s="328">
        <f>H132/DAY(B2)</f>
        <v>-776.37400000000048</v>
      </c>
    </row>
    <row r="133" spans="1:15" ht="25.5">
      <c r="A133" s="894" t="s">
        <v>323</v>
      </c>
      <c r="B133" s="895"/>
      <c r="C133" s="896"/>
      <c r="D133" s="151" t="s">
        <v>183</v>
      </c>
      <c r="E133" s="95">
        <v>793773</v>
      </c>
      <c r="F133" s="155">
        <v>794555</v>
      </c>
      <c r="G133" s="112">
        <f t="shared" si="9"/>
        <v>782</v>
      </c>
      <c r="H133" s="99">
        <f>G133+'9'!H133</f>
        <v>567993.41</v>
      </c>
      <c r="I133" s="165"/>
      <c r="J133" s="328">
        <f>H133/DAY(B2)</f>
        <v>56799.341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'9'!F134</f>
        <v>43951.32</v>
      </c>
      <c r="F134" s="157">
        <v>44202.59</v>
      </c>
      <c r="G134" s="112">
        <f t="shared" si="9"/>
        <v>251.2699999999968</v>
      </c>
      <c r="H134" s="99">
        <f>G134+'9'!H134</f>
        <v>-4832.4100000000035</v>
      </c>
      <c r="I134" s="165"/>
      <c r="J134" s="328">
        <f>H134/DAY(B2)</f>
        <v>-483.24100000000033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2503.4799999999886</v>
      </c>
      <c r="H135" s="99">
        <f>G135+'9'!H135</f>
        <v>521156.60000000003</v>
      </c>
      <c r="I135" s="327">
        <f>G135-(G35+G49)</f>
        <v>-1175.6400000000067</v>
      </c>
      <c r="J135" s="328">
        <f>H135/DAY(B2)</f>
        <v>52115.66</v>
      </c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'9'!F138</f>
        <v>888404</v>
      </c>
      <c r="F138" s="147">
        <v>888539</v>
      </c>
      <c r="G138" s="112">
        <f t="shared" ref="G138:G152" si="10">F138-E138</f>
        <v>135</v>
      </c>
      <c r="H138" s="99">
        <f>G138+'9'!H138</f>
        <v>-2556</v>
      </c>
      <c r="I138" s="118"/>
      <c r="J138" s="328">
        <f>H138/DAY(B2)</f>
        <v>-255.6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'9'!F139</f>
        <v>905525</v>
      </c>
      <c r="F139" s="148">
        <v>905674</v>
      </c>
      <c r="G139" s="112">
        <f t="shared" si="10"/>
        <v>149</v>
      </c>
      <c r="H139" s="99">
        <f>G139+'9'!H139</f>
        <v>-3221</v>
      </c>
      <c r="I139" s="118"/>
      <c r="J139" s="328">
        <f>H139/DAY(B2)</f>
        <v>-322.10000000000002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'9'!F140</f>
        <v>89199.6</v>
      </c>
      <c r="F140" s="149">
        <v>89283</v>
      </c>
      <c r="G140" s="112">
        <f t="shared" si="10"/>
        <v>83.399999999994179</v>
      </c>
      <c r="H140" s="99">
        <f>G140+'9'!H140</f>
        <v>-180.60000000000582</v>
      </c>
      <c r="I140" s="118"/>
      <c r="J140" s="328">
        <f>H140/DAY(B2)</f>
        <v>-18.060000000000581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'9'!F141</f>
        <v>85970.79</v>
      </c>
      <c r="F141" s="149">
        <v>86176.35</v>
      </c>
      <c r="G141" s="112">
        <f t="shared" si="10"/>
        <v>205.56000000001222</v>
      </c>
      <c r="H141" s="99">
        <f>G141+'9'!H141</f>
        <v>-4275.6499999999942</v>
      </c>
      <c r="I141" s="118"/>
      <c r="J141" s="328">
        <f>H141/DAY(B2)</f>
        <v>-427.56499999999943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'9'!F142</f>
        <v>35048.800000000003</v>
      </c>
      <c r="F142" s="148">
        <v>35118.9</v>
      </c>
      <c r="G142" s="112">
        <f t="shared" si="10"/>
        <v>70.099999999998545</v>
      </c>
      <c r="H142" s="99">
        <f>G142+'9'!H142</f>
        <v>-1542.0999999999985</v>
      </c>
      <c r="I142" s="140"/>
      <c r="J142" s="328">
        <f>H142/DAY(B2)</f>
        <v>-154.20999999999987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'9'!F143</f>
        <v>8427.32</v>
      </c>
      <c r="F143" s="149">
        <v>8456.4599999999991</v>
      </c>
      <c r="G143" s="112">
        <f t="shared" si="10"/>
        <v>29.139999999999418</v>
      </c>
      <c r="H143" s="99">
        <f>G143+'9'!H143</f>
        <v>-594.54000000000087</v>
      </c>
      <c r="I143" s="140"/>
      <c r="J143" s="328">
        <f>H143/DAY(B2)</f>
        <v>-59.454000000000086</v>
      </c>
      <c r="O143" s="148">
        <v>582206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'9'!F144</f>
        <v>914540</v>
      </c>
      <c r="F144" s="149">
        <v>914770</v>
      </c>
      <c r="G144" s="112">
        <f t="shared" si="10"/>
        <v>230</v>
      </c>
      <c r="H144" s="99">
        <f>G144+'9'!H144</f>
        <v>-5067</v>
      </c>
      <c r="I144" s="140"/>
      <c r="J144" s="328">
        <f>H144/DAY(B2)</f>
        <v>-506.7</v>
      </c>
    </row>
    <row r="145" spans="1:15" ht="25.5">
      <c r="A145" s="893" t="s">
        <v>190</v>
      </c>
      <c r="B145" s="893"/>
      <c r="C145" s="893"/>
      <c r="D145" s="152" t="s">
        <v>183</v>
      </c>
      <c r="E145" s="95">
        <f>'9'!F145</f>
        <v>5667</v>
      </c>
      <c r="F145" s="149">
        <v>5667</v>
      </c>
      <c r="G145" s="112">
        <f t="shared" si="10"/>
        <v>0</v>
      </c>
      <c r="H145" s="99">
        <f>G145+'9'!H145</f>
        <v>-140</v>
      </c>
      <c r="I145" s="140"/>
      <c r="J145" s="328">
        <f>H145/DAY(B2)</f>
        <v>-14</v>
      </c>
    </row>
    <row r="146" spans="1:15" ht="25.5">
      <c r="A146" s="928" t="s">
        <v>191</v>
      </c>
      <c r="B146" s="913"/>
      <c r="C146" s="914"/>
      <c r="D146" s="152" t="s">
        <v>183</v>
      </c>
      <c r="E146" s="95">
        <f>'9'!F146</f>
        <v>779742</v>
      </c>
      <c r="F146" s="148">
        <v>779781</v>
      </c>
      <c r="G146" s="236">
        <f t="shared" si="10"/>
        <v>39</v>
      </c>
      <c r="H146" s="99">
        <f>G146+'9'!H146</f>
        <v>-1019</v>
      </c>
      <c r="I146" s="140"/>
      <c r="J146" s="328">
        <f>H146/DAY(B2)</f>
        <v>-101.9</v>
      </c>
    </row>
    <row r="147" spans="1:15" ht="25.5">
      <c r="A147" s="872" t="s">
        <v>192</v>
      </c>
      <c r="B147" s="872"/>
      <c r="C147" s="872"/>
      <c r="D147" s="152" t="s">
        <v>183</v>
      </c>
      <c r="E147" s="95">
        <f>'9'!F147</f>
        <v>691013</v>
      </c>
      <c r="F147" s="148">
        <v>691391</v>
      </c>
      <c r="G147" s="112">
        <f t="shared" si="10"/>
        <v>378</v>
      </c>
      <c r="H147" s="99">
        <f>G147+'9'!H147</f>
        <v>-8378</v>
      </c>
      <c r="I147" s="140"/>
      <c r="J147" s="328">
        <f>H147/DAY(B2)</f>
        <v>-837.8</v>
      </c>
    </row>
    <row r="148" spans="1:15" ht="25.5">
      <c r="A148" s="873" t="s">
        <v>193</v>
      </c>
      <c r="B148" s="874"/>
      <c r="C148" s="875"/>
      <c r="D148" s="123" t="s">
        <v>130</v>
      </c>
      <c r="E148" s="95">
        <f>'9'!F148</f>
        <v>741795</v>
      </c>
      <c r="F148" s="150">
        <v>742097.68</v>
      </c>
      <c r="G148" s="112">
        <f t="shared" si="10"/>
        <v>302.68000000005122</v>
      </c>
      <c r="H148" s="99">
        <f>G148+'9'!H148</f>
        <v>-6432.3199999999488</v>
      </c>
      <c r="I148" s="124"/>
      <c r="J148" s="328">
        <f>H148/DAY(B2)</f>
        <v>-643.23199999999485</v>
      </c>
    </row>
    <row r="149" spans="1:15" ht="25.5">
      <c r="A149" s="873" t="s">
        <v>336</v>
      </c>
      <c r="B149" s="874"/>
      <c r="C149" s="875"/>
      <c r="D149" s="227" t="s">
        <v>130</v>
      </c>
      <c r="E149" s="95">
        <f>'9'!F149</f>
        <v>121106.8</v>
      </c>
      <c r="F149" s="146">
        <v>121633.23</v>
      </c>
      <c r="G149" s="112">
        <f t="shared" si="10"/>
        <v>526.42999999999302</v>
      </c>
      <c r="H149" s="99">
        <f>G149+'9'!H149</f>
        <v>-10800.770000000004</v>
      </c>
      <c r="I149" s="119"/>
      <c r="J149" s="328">
        <f>H149/DAY(B2)</f>
        <v>-1080.0770000000005</v>
      </c>
    </row>
    <row r="150" spans="1:15" ht="25.5">
      <c r="A150" s="873" t="s">
        <v>337</v>
      </c>
      <c r="B150" s="874"/>
      <c r="C150" s="875"/>
      <c r="D150" s="117" t="s">
        <v>130</v>
      </c>
      <c r="E150" s="95">
        <f>'9'!F150</f>
        <v>45703.3</v>
      </c>
      <c r="F150" s="233">
        <v>45939.01</v>
      </c>
      <c r="G150" s="112">
        <f t="shared" si="10"/>
        <v>235.70999999999913</v>
      </c>
      <c r="H150" s="99">
        <f>G150+'9'!H150</f>
        <v>-4675.989999999998</v>
      </c>
      <c r="I150" s="119"/>
      <c r="J150" s="328">
        <f>H150/DAY(B2)</f>
        <v>-467.59899999999982</v>
      </c>
    </row>
    <row r="151" spans="1:15" ht="25.5">
      <c r="A151" s="873" t="s">
        <v>338</v>
      </c>
      <c r="B151" s="874"/>
      <c r="C151" s="875"/>
      <c r="D151" s="117" t="s">
        <v>130</v>
      </c>
      <c r="E151" s="95">
        <f>'9'!F151</f>
        <v>128963</v>
      </c>
      <c r="F151" s="233">
        <v>129226</v>
      </c>
      <c r="G151" s="112">
        <f t="shared" si="10"/>
        <v>263</v>
      </c>
      <c r="H151" s="99">
        <f>G151+'9'!H151</f>
        <v>-6223</v>
      </c>
      <c r="I151" s="119"/>
      <c r="J151" s="328">
        <f>H151/DAY(B2)</f>
        <v>-622.29999999999995</v>
      </c>
    </row>
    <row r="152" spans="1:15" ht="25.5">
      <c r="A152" s="873" t="s">
        <v>339</v>
      </c>
      <c r="B152" s="874"/>
      <c r="C152" s="875"/>
      <c r="D152" s="117" t="s">
        <v>130</v>
      </c>
      <c r="E152" s="95">
        <f>'9'!F152</f>
        <v>20437.95</v>
      </c>
      <c r="F152" s="233">
        <v>20574.400000000001</v>
      </c>
      <c r="G152" s="112">
        <f t="shared" si="10"/>
        <v>136.45000000000073</v>
      </c>
      <c r="H152" s="99">
        <f>G152+'9'!H152</f>
        <v>-2579.5999999999985</v>
      </c>
      <c r="I152" s="119"/>
      <c r="J152" s="328">
        <f>H152/DAY(B2)</f>
        <v>-257.95999999999987</v>
      </c>
    </row>
    <row r="153" spans="1:15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2783.4700000000485</v>
      </c>
      <c r="H153" s="363"/>
      <c r="I153" s="119">
        <f>G153-(G38+G52)</f>
        <v>498.19000000002052</v>
      </c>
      <c r="J153" s="366"/>
    </row>
    <row r="154" spans="1:15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5" ht="27.75">
      <c r="A155" s="872" t="s">
        <v>345</v>
      </c>
      <c r="B155" s="872"/>
      <c r="C155" s="872"/>
      <c r="D155" s="117" t="s">
        <v>130</v>
      </c>
      <c r="E155" s="95">
        <f>'9'!F155</f>
        <v>135484.18</v>
      </c>
      <c r="F155" s="374">
        <v>136040.57</v>
      </c>
      <c r="G155" s="112">
        <f t="shared" ref="G155:G158" si="11">F155-E155</f>
        <v>556.39000000001397</v>
      </c>
      <c r="H155" s="99">
        <f>G155+'9'!H155</f>
        <v>-12108.429999999993</v>
      </c>
      <c r="I155" s="364"/>
      <c r="J155" s="328">
        <f>H155/DAY(B2)</f>
        <v>-1210.8429999999994</v>
      </c>
      <c r="O155" s="65">
        <v>678.99000000000524</v>
      </c>
    </row>
    <row r="156" spans="1:15" ht="25.5">
      <c r="A156" s="872" t="s">
        <v>346</v>
      </c>
      <c r="B156" s="872"/>
      <c r="C156" s="872"/>
      <c r="D156" s="117" t="s">
        <v>130</v>
      </c>
      <c r="E156" s="95">
        <f>'9'!F156</f>
        <v>12846.14</v>
      </c>
      <c r="F156" s="155">
        <v>12925.03</v>
      </c>
      <c r="G156" s="112">
        <f t="shared" si="11"/>
        <v>78.890000000001237</v>
      </c>
      <c r="H156" s="99">
        <f>G156+'9'!H156</f>
        <v>-1808.9699999999993</v>
      </c>
      <c r="I156" s="165"/>
      <c r="J156" s="328">
        <f>H156/DAY(B2)</f>
        <v>-180.89699999999993</v>
      </c>
      <c r="O156" s="65">
        <v>50.350000000000364</v>
      </c>
    </row>
    <row r="157" spans="1:15" ht="25.5">
      <c r="A157" s="873" t="s">
        <v>360</v>
      </c>
      <c r="B157" s="874"/>
      <c r="C157" s="875"/>
      <c r="D157" s="117" t="s">
        <v>130</v>
      </c>
      <c r="E157" s="95">
        <f>'9'!F157</f>
        <v>24467.23</v>
      </c>
      <c r="F157" s="155">
        <v>24591.96</v>
      </c>
      <c r="G157" s="112">
        <f t="shared" si="11"/>
        <v>124.72999999999956</v>
      </c>
      <c r="H157" s="99">
        <f>G157+'9'!H157</f>
        <v>-2854.0400000000009</v>
      </c>
      <c r="I157" s="165"/>
      <c r="J157" s="328">
        <f>H157/DAY(B2)</f>
        <v>-285.40400000000011</v>
      </c>
      <c r="O157" s="65">
        <v>101.82999999999993</v>
      </c>
    </row>
    <row r="158" spans="1:15" ht="25.5">
      <c r="A158" s="873" t="s">
        <v>361</v>
      </c>
      <c r="B158" s="874"/>
      <c r="C158" s="875"/>
      <c r="D158" s="117" t="s">
        <v>130</v>
      </c>
      <c r="E158" s="95">
        <f>'9'!F158</f>
        <v>224.34</v>
      </c>
      <c r="F158" s="155">
        <v>224.38</v>
      </c>
      <c r="G158" s="112">
        <f t="shared" si="11"/>
        <v>3.9999999999992042E-2</v>
      </c>
      <c r="H158" s="99">
        <f>G158+'9'!H158</f>
        <v>135.95999999999998</v>
      </c>
      <c r="I158" s="165"/>
      <c r="J158" s="328">
        <f>H158/DAY(B2)</f>
        <v>13.595999999999998</v>
      </c>
    </row>
    <row r="159" spans="1:15" ht="25.5">
      <c r="A159" s="958"/>
      <c r="B159" s="959"/>
      <c r="C159" s="960"/>
      <c r="D159" s="117"/>
      <c r="E159" s="95"/>
      <c r="F159" s="155"/>
      <c r="G159" s="112"/>
      <c r="H159" s="99"/>
      <c r="I159" s="165"/>
      <c r="J159" s="328"/>
    </row>
    <row r="160" spans="1:15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478580.2</v>
      </c>
      <c r="F161" s="235">
        <v>478731.24</v>
      </c>
      <c r="G161" s="238">
        <f t="shared" ref="G161:G165" si="12">F161-E161</f>
        <v>151.03999999997905</v>
      </c>
      <c r="H161" s="99">
        <f>G161+'9'!H161</f>
        <v>-1321.7600000000093</v>
      </c>
      <c r="I161" s="236"/>
      <c r="J161" s="239">
        <f>H161/DAY(B2)</f>
        <v>-132.17600000000093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94136</v>
      </c>
      <c r="F162" s="235">
        <v>94150.3</v>
      </c>
      <c r="G162" s="238">
        <f t="shared" si="12"/>
        <v>14.30000000000291</v>
      </c>
      <c r="H162" s="99">
        <f>G162+'9'!H162</f>
        <v>-777.69999999999709</v>
      </c>
      <c r="I162" s="236"/>
      <c r="J162" s="239">
        <f>H162/DAY(B2)</f>
        <v>-77.769999999999712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3361</v>
      </c>
      <c r="F163" s="235">
        <v>3502.3</v>
      </c>
      <c r="G163" s="238">
        <f t="shared" si="12"/>
        <v>141.30000000000018</v>
      </c>
      <c r="H163" s="99">
        <f>G163+'9'!H163</f>
        <v>-2998.7</v>
      </c>
      <c r="I163" s="236"/>
      <c r="J163" s="239">
        <f>H163/DAY(B2)</f>
        <v>-299.87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5999.6</v>
      </c>
      <c r="F164" s="235">
        <v>6009</v>
      </c>
      <c r="G164" s="238">
        <f t="shared" si="12"/>
        <v>9.3999999999996362</v>
      </c>
      <c r="H164" s="99">
        <f>G164+'9'!H164</f>
        <v>-271</v>
      </c>
      <c r="I164" s="236"/>
      <c r="J164" s="239">
        <f>H164/DAY(B2)</f>
        <v>-27.1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31435.07</v>
      </c>
      <c r="F165" s="235">
        <v>31437.74</v>
      </c>
      <c r="G165" s="238">
        <f t="shared" si="12"/>
        <v>2.6700000000018917</v>
      </c>
      <c r="H165" s="99">
        <f>G165+'9'!H165</f>
        <v>-196.2599999999984</v>
      </c>
      <c r="I165" s="236"/>
      <c r="J165" s="239">
        <f>H165/DAY(B2)</f>
        <v>-19.625999999999841</v>
      </c>
    </row>
    <row r="166" spans="1:10" ht="26.25">
      <c r="A166" s="881"/>
      <c r="B166" s="881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'9'!F173</f>
        <v>8267</v>
      </c>
      <c r="F173" s="155">
        <v>8267</v>
      </c>
      <c r="G173" s="155">
        <f>F173-E173</f>
        <v>0</v>
      </c>
      <c r="H173" s="99">
        <f>G173+'9'!H173</f>
        <v>32</v>
      </c>
      <c r="I173" s="155"/>
      <c r="J173" s="178">
        <f>H173/DAY(B2)</f>
        <v>3.2</v>
      </c>
    </row>
    <row r="174" spans="1:10" ht="34.5" customHeight="1">
      <c r="A174" s="887" t="s">
        <v>75</v>
      </c>
      <c r="B174" s="888"/>
      <c r="C174" s="333"/>
      <c r="D174" s="228" t="s">
        <v>142</v>
      </c>
      <c r="E174" s="95">
        <f>'9'!F174</f>
        <v>40902</v>
      </c>
      <c r="F174" s="157">
        <v>40916</v>
      </c>
      <c r="G174" s="155">
        <f t="shared" ref="G174:G175" si="13">F174-E174</f>
        <v>14</v>
      </c>
      <c r="H174" s="99">
        <f>G174+'9'!H174</f>
        <v>-288</v>
      </c>
      <c r="I174" s="155"/>
      <c r="J174" s="178">
        <f>H174/DAY(B2)</f>
        <v>-28.8</v>
      </c>
    </row>
    <row r="175" spans="1:10" ht="31.5" customHeight="1">
      <c r="A175" s="887" t="s">
        <v>76</v>
      </c>
      <c r="B175" s="927"/>
      <c r="C175" s="888"/>
      <c r="D175" s="228" t="s">
        <v>142</v>
      </c>
      <c r="E175" s="95">
        <f>'9'!F175</f>
        <v>23771</v>
      </c>
      <c r="F175" s="155">
        <v>23783</v>
      </c>
      <c r="G175" s="155">
        <f t="shared" si="13"/>
        <v>12</v>
      </c>
      <c r="H175" s="99">
        <f>G175+'9'!H175</f>
        <v>-248</v>
      </c>
      <c r="I175" s="155"/>
      <c r="J175" s="178">
        <f>H175/DAY(B2)</f>
        <v>-24.8</v>
      </c>
    </row>
    <row r="176" spans="1:10" ht="21.75" customHeight="1">
      <c r="A176" s="876" t="s">
        <v>196</v>
      </c>
      <c r="B176" s="877"/>
      <c r="C176" s="333"/>
      <c r="D176" s="228"/>
      <c r="E176" s="95"/>
      <c r="F176" s="155"/>
      <c r="G176" s="155">
        <f>SUM(G173:G175)</f>
        <v>26</v>
      </c>
      <c r="H176" s="99">
        <f>G176+'9'!H176</f>
        <v>-504</v>
      </c>
      <c r="I176" s="155"/>
      <c r="J176" s="178">
        <f>H176/DAY(B2)</f>
        <v>-50.4</v>
      </c>
    </row>
    <row r="177" spans="1:10" ht="27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87" t="s">
        <v>210</v>
      </c>
      <c r="B178" s="888"/>
      <c r="C178" s="333"/>
      <c r="D178" s="228" t="s">
        <v>142</v>
      </c>
      <c r="E178" s="95">
        <f>'9'!F178</f>
        <v>95553</v>
      </c>
      <c r="F178" s="157">
        <v>95639</v>
      </c>
      <c r="G178" s="155">
        <f>F178-E178</f>
        <v>86</v>
      </c>
      <c r="H178" s="99">
        <f>G178+'9'!H178</f>
        <v>-2074</v>
      </c>
      <c r="I178" s="155"/>
      <c r="J178" s="178">
        <f>H178/DAY(B2)</f>
        <v>-207.4</v>
      </c>
    </row>
    <row r="179" spans="1:10" ht="27.75" customHeight="1">
      <c r="A179" s="887" t="s">
        <v>211</v>
      </c>
      <c r="B179" s="888"/>
      <c r="C179" s="333"/>
      <c r="D179" s="228" t="s">
        <v>142</v>
      </c>
      <c r="E179" s="95">
        <f>'9'!F179</f>
        <v>36002</v>
      </c>
      <c r="F179" s="155">
        <v>36002</v>
      </c>
      <c r="G179" s="155">
        <f t="shared" ref="G179:G180" si="14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'9'!F180</f>
        <v>6942</v>
      </c>
      <c r="F180" s="155">
        <v>6953</v>
      </c>
      <c r="G180" s="155">
        <f t="shared" si="14"/>
        <v>11</v>
      </c>
      <c r="H180" s="99">
        <f>G180+'9'!H180</f>
        <v>-216</v>
      </c>
      <c r="I180" s="155"/>
      <c r="J180" s="178">
        <f>H180/DAY(B2)</f>
        <v>-21.6</v>
      </c>
    </row>
    <row r="181" spans="1:10" ht="25.5">
      <c r="A181" s="889" t="s">
        <v>108</v>
      </c>
      <c r="B181" s="890"/>
      <c r="C181" s="333"/>
      <c r="D181" s="228"/>
      <c r="E181" s="95"/>
      <c r="F181" s="155"/>
      <c r="G181" s="155">
        <f>SUM(G178:G180)</f>
        <v>97</v>
      </c>
      <c r="H181" s="99">
        <f>G181+'9'!H181</f>
        <v>-2290</v>
      </c>
      <c r="I181" s="155"/>
      <c r="J181" s="178">
        <f>H181/DAY(B2)</f>
        <v>-229</v>
      </c>
    </row>
    <row r="182" spans="1:10" ht="25.5">
      <c r="A182" s="887" t="s">
        <v>213</v>
      </c>
      <c r="B182" s="888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'9'!F183</f>
        <v>17340</v>
      </c>
      <c r="F183" s="157">
        <v>17349</v>
      </c>
      <c r="G183" s="157">
        <f>F183-E183</f>
        <v>9</v>
      </c>
      <c r="H183" s="99">
        <f>G183+'9'!H183</f>
        <v>-124</v>
      </c>
      <c r="I183" s="155"/>
      <c r="J183" s="178">
        <f>H183/DAY(B2)</f>
        <v>-12.4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'9'!F184</f>
        <v>11743</v>
      </c>
      <c r="F184" s="157">
        <v>11748</v>
      </c>
      <c r="G184" s="157">
        <f t="shared" ref="G184:G185" si="15">F184-E184</f>
        <v>5</v>
      </c>
      <c r="H184" s="99">
        <f>G184+'9'!H184</f>
        <v>-187</v>
      </c>
      <c r="I184" s="155"/>
      <c r="J184" s="178">
        <f>H184/DAY(B2)</f>
        <v>-18.7</v>
      </c>
    </row>
    <row r="185" spans="1:10" ht="37.5" customHeight="1">
      <c r="A185" s="887" t="s">
        <v>216</v>
      </c>
      <c r="B185" s="888"/>
      <c r="C185" s="334"/>
      <c r="D185" s="228" t="s">
        <v>142</v>
      </c>
      <c r="E185" s="95">
        <v>0</v>
      </c>
      <c r="F185" s="157">
        <v>0</v>
      </c>
      <c r="G185" s="157">
        <f t="shared" si="15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876" t="s">
        <v>196</v>
      </c>
      <c r="B186" s="877"/>
      <c r="C186" s="334"/>
      <c r="D186" s="229"/>
      <c r="E186" s="95"/>
      <c r="F186" s="157"/>
      <c r="G186" s="157">
        <f>SUM(G183:G185)</f>
        <v>14</v>
      </c>
      <c r="H186" s="99">
        <f>G186+'9'!H186</f>
        <v>-311</v>
      </c>
      <c r="I186" s="157"/>
      <c r="J186" s="178">
        <f>H186/DAY(B2)</f>
        <v>-31.1</v>
      </c>
    </row>
    <row r="187" spans="1:10" ht="21.75" customHeight="1">
      <c r="A187" s="878" t="s">
        <v>217</v>
      </c>
      <c r="B187" s="879"/>
      <c r="C187" s="333"/>
      <c r="D187" s="230" t="s">
        <v>142</v>
      </c>
      <c r="E187" s="95"/>
      <c r="F187" s="159"/>
      <c r="G187" s="424">
        <f>G62+G19</f>
        <v>163</v>
      </c>
      <c r="H187" s="99">
        <f>G187+'9'!H187</f>
        <v>-3570</v>
      </c>
      <c r="I187" s="158"/>
      <c r="J187" s="179">
        <f>H187/DAY(B2)</f>
        <v>-357</v>
      </c>
    </row>
    <row r="188" spans="1:10" ht="21.75" customHeight="1">
      <c r="A188" s="878" t="s">
        <v>218</v>
      </c>
      <c r="B188" s="879"/>
      <c r="C188" s="333"/>
      <c r="D188" s="230" t="s">
        <v>142</v>
      </c>
      <c r="E188" s="95"/>
      <c r="F188" s="159"/>
      <c r="G188" s="424">
        <f>G65+G66+G67+G69+G70</f>
        <v>142</v>
      </c>
      <c r="H188" s="99">
        <f>G188+'9'!H188</f>
        <v>-3183</v>
      </c>
      <c r="I188" s="158"/>
      <c r="J188" s="179">
        <f>H188/DAY(B2)</f>
        <v>-318.3</v>
      </c>
    </row>
    <row r="189" spans="1:10" ht="21.75" customHeight="1">
      <c r="A189" s="878" t="s">
        <v>219</v>
      </c>
      <c r="B189" s="879"/>
      <c r="C189" s="333"/>
      <c r="D189" s="230" t="s">
        <v>142</v>
      </c>
      <c r="E189" s="95"/>
      <c r="F189" s="157"/>
      <c r="G189" s="421">
        <f>G181</f>
        <v>97</v>
      </c>
      <c r="H189" s="99">
        <f>G189+'9'!H189</f>
        <v>-2290</v>
      </c>
      <c r="I189" s="158"/>
      <c r="J189" s="179">
        <f>H189/DAY(B2)</f>
        <v>-229</v>
      </c>
    </row>
    <row r="190" spans="1:10" ht="27" customHeight="1">
      <c r="A190" s="885"/>
      <c r="B190" s="88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21" zoomScale="55" zoomScaleNormal="55" workbookViewId="0">
      <selection activeCell="F15" sqref="F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6" s="57" customFormat="1" ht="30.75" customHeight="1">
      <c r="A2" s="191" t="s">
        <v>354</v>
      </c>
      <c r="B2" s="262">
        <v>44753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597828</v>
      </c>
      <c r="F7" s="95">
        <f>E7+26200</f>
        <v>624028</v>
      </c>
      <c r="G7" s="112">
        <f>F7-E7</f>
        <v>26200</v>
      </c>
      <c r="H7" s="99">
        <f>G7+'10'!H7</f>
        <v>286898</v>
      </c>
      <c r="I7" s="113">
        <f>'1'!I7</f>
        <v>12000</v>
      </c>
      <c r="J7" s="175">
        <f>H7/DAY(B2)</f>
        <v>26081.636363636364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752853</v>
      </c>
      <c r="F8" s="95">
        <f>E8+26500</f>
        <v>779353</v>
      </c>
      <c r="G8" s="115">
        <f>F8-E8</f>
        <v>26500</v>
      </c>
      <c r="H8" s="99">
        <f>G8+'10'!H8</f>
        <v>290766</v>
      </c>
      <c r="I8" s="116"/>
      <c r="J8" s="175">
        <f>H8/DAY(B2)</f>
        <v>26433.272727272728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3056380.9</v>
      </c>
      <c r="F9" s="469">
        <v>3068315.9</v>
      </c>
      <c r="G9" s="112">
        <f>F9-E9</f>
        <v>11935</v>
      </c>
      <c r="H9" s="99">
        <f>G9+'10'!H9</f>
        <v>-210750.10000000009</v>
      </c>
      <c r="I9" s="124">
        <f>I7-J7</f>
        <v>-14081.636363636364</v>
      </c>
      <c r="J9" s="175">
        <f>H9/DAY(B2)</f>
        <v>-19159.100000000009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1359783.2</v>
      </c>
      <c r="F10" s="353">
        <v>1373052.5</v>
      </c>
      <c r="G10" s="112">
        <f t="shared" ref="G10:G12" si="0">F10-E10</f>
        <v>13269.300000000047</v>
      </c>
      <c r="H10" s="99">
        <f>G10+'10'!H10</f>
        <v>-294105.5</v>
      </c>
      <c r="I10" s="282"/>
      <c r="J10" s="175">
        <f>H10/DAY(B2)</f>
        <v>-26736.863636363636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25204.300000000047</v>
      </c>
      <c r="H13" s="99">
        <f>G13+'10'!H13</f>
        <v>-503521.00000000023</v>
      </c>
      <c r="I13" s="120">
        <f>G7-G13</f>
        <v>995.69999999995343</v>
      </c>
      <c r="J13" s="175">
        <f>H13/DAY(B2)</f>
        <v>-45774.636363636382</v>
      </c>
      <c r="K13" s="79"/>
      <c r="L13" s="66"/>
      <c r="N13" s="87"/>
      <c r="O13" s="71"/>
    </row>
    <row r="14" spans="1:16" ht="30.75" customHeight="1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2111008</v>
      </c>
      <c r="F15" s="469">
        <f>E15+1000</f>
        <v>2112008</v>
      </c>
      <c r="G15" s="112">
        <f>(F15-E15)</f>
        <v>1000</v>
      </c>
      <c r="H15" s="99">
        <f>G15+'10'!H15</f>
        <v>11140</v>
      </c>
      <c r="I15" s="113">
        <f>'1'!I15</f>
        <v>800</v>
      </c>
      <c r="J15" s="175">
        <f>H15/DAY(B2)</f>
        <v>1012.7272727272727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-212.72727272727275</v>
      </c>
      <c r="J16" s="176"/>
      <c r="K16" s="79"/>
      <c r="L16" s="66"/>
      <c r="N16" s="87"/>
      <c r="O16" s="71"/>
    </row>
    <row r="17" spans="1:15" ht="30.75" customHeight="1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15" t="s">
        <v>141</v>
      </c>
      <c r="B18" s="916"/>
      <c r="C18" s="917"/>
      <c r="D18" s="151" t="s">
        <v>142</v>
      </c>
      <c r="E18" s="95">
        <f>'10'!F18</f>
        <v>22</v>
      </c>
      <c r="F18" s="164">
        <v>17</v>
      </c>
      <c r="G18" s="119">
        <f>F18*10</f>
        <v>170</v>
      </c>
      <c r="H18" s="99">
        <f>G18+'10'!H18</f>
        <v>1900</v>
      </c>
      <c r="I18" s="113">
        <f>'1'!I18</f>
        <v>65</v>
      </c>
      <c r="J18" s="175">
        <f>H18/DAY(B2)</f>
        <v>172.72727272727272</v>
      </c>
      <c r="K18" s="79"/>
      <c r="L18" s="66"/>
      <c r="N18" s="87"/>
      <c r="O18" s="71"/>
    </row>
    <row r="19" spans="1:15" ht="30.75" customHeight="1">
      <c r="A19" s="915" t="s">
        <v>69</v>
      </c>
      <c r="B19" s="916"/>
      <c r="C19" s="917"/>
      <c r="D19" s="151" t="s">
        <v>142</v>
      </c>
      <c r="E19" s="95">
        <f>'10'!F19</f>
        <v>161308</v>
      </c>
      <c r="F19" s="122">
        <v>161359</v>
      </c>
      <c r="G19" s="112">
        <f t="shared" ref="G19" si="1">F19-E19</f>
        <v>51</v>
      </c>
      <c r="H19" s="99">
        <f>G19+'10'!H19</f>
        <v>-970</v>
      </c>
      <c r="I19" s="335"/>
      <c r="J19" s="175">
        <f>H19/DAY(B2)</f>
        <v>-88.181818181818187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221</v>
      </c>
      <c r="H20" s="99">
        <f>G20+'10'!H20</f>
        <v>930</v>
      </c>
      <c r="I20" s="336">
        <f>I18-J20</f>
        <v>-19.545454545454547</v>
      </c>
      <c r="J20" s="175">
        <f>H20/DAY(B2)</f>
        <v>84.545454545454547</v>
      </c>
      <c r="K20" s="79"/>
      <c r="L20" s="66"/>
      <c r="N20" s="87"/>
      <c r="O20" s="71"/>
    </row>
    <row r="21" spans="1:15" ht="30.75" customHeight="1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G27+'10'!H27</f>
        <v>2616894</v>
      </c>
      <c r="I27" s="138"/>
      <c r="J27" s="175">
        <f>H27/DAY(B2)</f>
        <v>237899.45454545456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G28+'10'!H28</f>
        <v>779800</v>
      </c>
      <c r="I28" s="140"/>
      <c r="J28" s="175">
        <f>H28/DAY(B2)</f>
        <v>70890.909090909088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G30+'10'!H30</f>
        <v>-146470</v>
      </c>
      <c r="I30" s="140"/>
      <c r="J30" s="175">
        <f>H30/DAY(B2)</f>
        <v>-13315.454545454546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G31+'10'!H31</f>
        <v>152000</v>
      </c>
      <c r="I31" s="140"/>
      <c r="J31" s="175">
        <f>H31/DAY(B2)</f>
        <v>13818.181818181818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329801</v>
      </c>
      <c r="H32" s="99">
        <f>G32+'10'!H32</f>
        <v>3402224</v>
      </c>
      <c r="I32" s="144"/>
      <c r="J32" s="175">
        <f>H32/DAY(B2)</f>
        <v>309293.09090909088</v>
      </c>
      <c r="K32" s="63"/>
      <c r="L32" s="89"/>
      <c r="N32" s="87"/>
      <c r="O32" s="71"/>
    </row>
    <row r="33" spans="1:15" ht="30.7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238713.05</v>
      </c>
      <c r="F35" s="145">
        <v>238713.05</v>
      </c>
      <c r="G35" s="112">
        <f t="shared" ref="G35:G46" si="3">F35-E35</f>
        <v>0</v>
      </c>
      <c r="H35" s="99">
        <f>G35+'10'!H35</f>
        <v>4.9999999988358468E-2</v>
      </c>
      <c r="I35" s="95"/>
      <c r="J35" s="175">
        <f>H35/DAY(B2)</f>
        <v>4.5454545443962243E-3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196395.71</v>
      </c>
      <c r="F36" s="145">
        <v>197092.55</v>
      </c>
      <c r="G36" s="112">
        <f t="shared" si="3"/>
        <v>696.83999999999651</v>
      </c>
      <c r="H36" s="99">
        <f>G36+'10'!H36</f>
        <v>-18437.450000000012</v>
      </c>
      <c r="I36" s="95"/>
      <c r="J36" s="175">
        <f>H36/DAY(B2)</f>
        <v>-1676.1318181818192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302666.25</v>
      </c>
      <c r="F37" s="145">
        <v>304153.39</v>
      </c>
      <c r="G37" s="112">
        <f t="shared" si="3"/>
        <v>1487.140000000014</v>
      </c>
      <c r="H37" s="99">
        <f>G37+'10'!H37</f>
        <v>-18845.609999999986</v>
      </c>
      <c r="I37" s="95"/>
      <c r="J37" s="175">
        <f>H37/DAY(B2)</f>
        <v>-1713.2372727272714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409203.39</v>
      </c>
      <c r="F38" s="108">
        <v>411507.55</v>
      </c>
      <c r="G38" s="112">
        <f t="shared" si="3"/>
        <v>2304.1599999999744</v>
      </c>
      <c r="H38" s="99">
        <f>G38+'10'!H38</f>
        <v>-45853.450000000012</v>
      </c>
      <c r="I38" s="95"/>
      <c r="J38" s="175">
        <f>H38/DAY(B2)</f>
        <v>-4168.4954545454557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553161.11</v>
      </c>
      <c r="F39" s="145">
        <v>556009.91</v>
      </c>
      <c r="G39" s="112">
        <f t="shared" si="3"/>
        <v>2848.8000000000466</v>
      </c>
      <c r="H39" s="99">
        <f>G39+'10'!H39</f>
        <v>-35574.089999999967</v>
      </c>
      <c r="I39" s="95"/>
      <c r="J39" s="175">
        <f>H39/DAY(B2)</f>
        <v>-3234.0081818181789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89883.513000000006</v>
      </c>
      <c r="F40" s="145">
        <v>90601.51</v>
      </c>
      <c r="G40" s="112">
        <f t="shared" si="3"/>
        <v>717.99699999998847</v>
      </c>
      <c r="H40" s="99">
        <f>G40+'10'!H40</f>
        <v>-16174.490000000005</v>
      </c>
      <c r="I40" s="95"/>
      <c r="J40" s="175">
        <f>H40/DAY(B2)</f>
        <v>-1470.4081818181824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158338.76999999999</v>
      </c>
      <c r="F41" s="145">
        <v>158338.76999999999</v>
      </c>
      <c r="G41" s="112">
        <f t="shared" si="3"/>
        <v>0</v>
      </c>
      <c r="H41" s="99">
        <f>G41+'10'!H41</f>
        <v>-53364.23000000001</v>
      </c>
      <c r="I41" s="95"/>
      <c r="J41" s="175">
        <f>H41/DAY(B2)</f>
        <v>-4851.2936363636372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721198</v>
      </c>
      <c r="F42" s="145">
        <v>724441.83</v>
      </c>
      <c r="G42" s="112">
        <f t="shared" si="3"/>
        <v>3243.8299999999581</v>
      </c>
      <c r="H42" s="99">
        <f>G42+'10'!H42</f>
        <v>-23922.170000000042</v>
      </c>
      <c r="I42" s="95"/>
      <c r="J42" s="175">
        <f>H42/DAY(B2)</f>
        <v>-2174.7427272727309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23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11298.766999999978</v>
      </c>
      <c r="H47" s="99">
        <f>G47+'10'!H47</f>
        <v>-212171.44000000006</v>
      </c>
      <c r="I47" s="95"/>
      <c r="J47" s="175">
        <f>H47/DAY(B2)</f>
        <v>-19288.312727272732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404115.87</v>
      </c>
      <c r="F49" s="145">
        <v>407906.59</v>
      </c>
      <c r="G49" s="112">
        <f t="shared" ref="G49:G58" si="4">F49-E49</f>
        <v>3790.7200000000303</v>
      </c>
      <c r="H49" s="99">
        <f>G49+'10'!H49</f>
        <v>-77147.409999999974</v>
      </c>
      <c r="I49" s="95"/>
      <c r="J49" s="175">
        <f>H49/DAY(B2)</f>
        <v>-7013.4009090909067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255395.01</v>
      </c>
      <c r="F50" s="145">
        <v>256453.01</v>
      </c>
      <c r="G50" s="112">
        <f t="shared" si="4"/>
        <v>1058</v>
      </c>
      <c r="H50" s="99">
        <f>G50+'10'!H50</f>
        <v>-26296.989999999991</v>
      </c>
      <c r="I50" s="95"/>
      <c r="J50" s="175">
        <f>H50/DAY(B2)</f>
        <v>-2390.6354545454537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75.680000000000007</v>
      </c>
      <c r="F51" s="145">
        <v>76</v>
      </c>
      <c r="G51" s="112">
        <f t="shared" si="4"/>
        <v>0.31999999999999318</v>
      </c>
      <c r="H51" s="99">
        <f>G51+'10'!H51</f>
        <v>-8432</v>
      </c>
      <c r="I51" s="95"/>
      <c r="J51" s="175">
        <f>H51/DAY(B2)</f>
        <v>-766.5454545454545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-33861</v>
      </c>
      <c r="I53" s="95"/>
      <c r="J53" s="175">
        <f>H53/DAY(B2)</f>
        <v>-3078.2727272727275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80551.360000000001</v>
      </c>
      <c r="F54" s="145">
        <v>80904.52</v>
      </c>
      <c r="G54" s="112">
        <f t="shared" si="4"/>
        <v>353.16000000000349</v>
      </c>
      <c r="H54" s="99">
        <f>G54+'10'!H54</f>
        <v>-7038.4799999999959</v>
      </c>
      <c r="I54" s="95"/>
      <c r="J54" s="175">
        <f>H54/DAY(B2)</f>
        <v>-639.86181818181785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303072.90999999997</v>
      </c>
      <c r="F55" s="145">
        <v>306778.34999999998</v>
      </c>
      <c r="G55" s="112">
        <f t="shared" si="4"/>
        <v>3705.4400000000023</v>
      </c>
      <c r="H55" s="99">
        <f>G55+'10'!H55</f>
        <v>-55998.650000000023</v>
      </c>
      <c r="I55" s="95"/>
      <c r="J55" s="175">
        <f>H55/DAY(B2)</f>
        <v>-5090.7863636363654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120880.14</v>
      </c>
      <c r="F56" s="423">
        <v>120880.14</v>
      </c>
      <c r="G56" s="112">
        <f t="shared" si="4"/>
        <v>0</v>
      </c>
      <c r="H56" s="99">
        <f>G56+'10'!H56</f>
        <v>-3001.8600000000006</v>
      </c>
      <c r="I56" s="95"/>
      <c r="J56" s="175">
        <f>H56/DAY(B2)</f>
        <v>-272.89636363636367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163148.81</v>
      </c>
      <c r="F57" s="145">
        <v>166092.13</v>
      </c>
      <c r="G57" s="112">
        <f t="shared" si="4"/>
        <v>2943.320000000007</v>
      </c>
      <c r="H57" s="99">
        <f>G57+'10'!H57</f>
        <v>-60077.869999999995</v>
      </c>
      <c r="I57" s="95"/>
      <c r="J57" s="175">
        <f>H57/DAY(B2)</f>
        <v>-5461.6245454545451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43234.23</v>
      </c>
      <c r="F58" s="145">
        <v>43512.45</v>
      </c>
      <c r="G58" s="112">
        <f t="shared" si="4"/>
        <v>278.21999999999389</v>
      </c>
      <c r="H58" s="99">
        <f>G58+'10'!H58</f>
        <v>-5596.5500000000029</v>
      </c>
      <c r="I58" s="95"/>
      <c r="J58" s="175">
        <f>H58/DAY(B2)</f>
        <v>-508.77727272727299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12129.180000000037</v>
      </c>
      <c r="H59" s="99">
        <f>G59+'10'!H59</f>
        <v>-277451.04999999993</v>
      </c>
      <c r="I59" s="95">
        <f>G7-G60</f>
        <v>2772.0529999999853</v>
      </c>
      <c r="J59" s="175">
        <f>H59/DAY(B2)</f>
        <v>-25222.82272727272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23427.947000000015</v>
      </c>
      <c r="H60" s="99">
        <f>G60+'10'!H60</f>
        <v>-489622.49000000011</v>
      </c>
      <c r="I60" s="95">
        <f>G13-G60</f>
        <v>1776.3530000000319</v>
      </c>
      <c r="J60" s="175">
        <f>H60/DAY(B2)</f>
        <v>-44511.135454545467</v>
      </c>
      <c r="K60" s="79"/>
      <c r="L60" s="66"/>
      <c r="N60" s="87"/>
      <c r="O60" s="71"/>
    </row>
    <row r="61" spans="1:15" s="68" customFormat="1" ht="30.75" customHeight="1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915" t="s">
        <v>198</v>
      </c>
      <c r="B62" s="916"/>
      <c r="C62" s="917"/>
      <c r="D62" s="151" t="s">
        <v>142</v>
      </c>
      <c r="E62" s="95">
        <f>'10'!F62</f>
        <v>293726</v>
      </c>
      <c r="F62" s="122">
        <v>293848</v>
      </c>
      <c r="G62" s="112">
        <f t="shared" ref="G62:G63" si="5">F62-E62</f>
        <v>122</v>
      </c>
      <c r="H62" s="99">
        <f>G62+'10'!H62</f>
        <v>-2427</v>
      </c>
      <c r="I62" s="118"/>
      <c r="J62" s="175">
        <f>H62/DAY(B2)</f>
        <v>-220.63636363636363</v>
      </c>
      <c r="K62" s="80"/>
      <c r="L62" s="66"/>
      <c r="N62" s="87"/>
      <c r="O62" s="71"/>
    </row>
    <row r="63" spans="1:15" ht="30.75" customHeight="1">
      <c r="A63" s="915" t="s">
        <v>199</v>
      </c>
      <c r="B63" s="916"/>
      <c r="C63" s="917"/>
      <c r="D63" s="151" t="s">
        <v>142</v>
      </c>
      <c r="E63" s="95">
        <f>'10'!F63</f>
        <v>236171</v>
      </c>
      <c r="F63" s="150">
        <v>236265</v>
      </c>
      <c r="G63" s="112">
        <f t="shared" si="5"/>
        <v>94</v>
      </c>
      <c r="H63" s="99">
        <f>G63+'10'!H63</f>
        <v>-2868</v>
      </c>
      <c r="I63" s="118"/>
      <c r="J63" s="175">
        <f>H63/DAY(B2)</f>
        <v>-260.72727272727275</v>
      </c>
      <c r="K63" s="69"/>
      <c r="L63" s="66"/>
      <c r="N63" s="87"/>
      <c r="O63" s="71"/>
    </row>
    <row r="64" spans="1:15" ht="30.75" customHeight="1">
      <c r="A64" s="924" t="s">
        <v>200</v>
      </c>
      <c r="B64" s="925"/>
      <c r="C64" s="926"/>
      <c r="D64" s="151"/>
      <c r="E64" s="95">
        <f>'10'!F64</f>
        <v>0</v>
      </c>
      <c r="F64" s="122"/>
      <c r="G64" s="112">
        <f>G62+G63</f>
        <v>216</v>
      </c>
      <c r="H64" s="99">
        <f>G64+'10'!H64</f>
        <v>-5295</v>
      </c>
      <c r="I64" s="118"/>
      <c r="J64" s="175">
        <f>H64/DAY(B2)</f>
        <v>-481.36363636363637</v>
      </c>
      <c r="K64" s="69"/>
      <c r="L64" s="66"/>
      <c r="N64" s="87"/>
      <c r="O64" s="71"/>
    </row>
    <row r="65" spans="1:15" ht="30.75" customHeight="1">
      <c r="A65" s="915" t="s">
        <v>201</v>
      </c>
      <c r="B65" s="916"/>
      <c r="C65" s="917"/>
      <c r="D65" s="151" t="s">
        <v>142</v>
      </c>
      <c r="E65" s="95">
        <f>'10'!F65</f>
        <v>452373</v>
      </c>
      <c r="F65" s="122">
        <v>452475</v>
      </c>
      <c r="G65" s="112">
        <f t="shared" ref="G65:G70" si="6">F65-E65</f>
        <v>102</v>
      </c>
      <c r="H65" s="99">
        <f>G65+'10'!H65</f>
        <v>-2235</v>
      </c>
      <c r="I65" s="118"/>
      <c r="J65" s="175">
        <f>H65/DAY(B2)</f>
        <v>-203.18181818181819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111212</v>
      </c>
      <c r="F66" s="122">
        <v>111231</v>
      </c>
      <c r="G66" s="112">
        <f t="shared" si="6"/>
        <v>19</v>
      </c>
      <c r="H66" s="99">
        <f>G66+'10'!H66</f>
        <v>-491</v>
      </c>
      <c r="I66" s="118"/>
      <c r="J66" s="175">
        <f>H66/DAY(B2)</f>
        <v>-44.636363636363633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113680</v>
      </c>
      <c r="F67" s="404">
        <v>113680</v>
      </c>
      <c r="G67" s="112">
        <f t="shared" si="6"/>
        <v>0</v>
      </c>
      <c r="H67" s="99">
        <f>G67+'10'!H67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163966</v>
      </c>
      <c r="F68" s="122">
        <v>163991</v>
      </c>
      <c r="G68" s="112">
        <f t="shared" si="6"/>
        <v>25</v>
      </c>
      <c r="H68" s="99">
        <f>G68+'10'!H68</f>
        <v>-671</v>
      </c>
      <c r="I68" s="118"/>
      <c r="J68" s="175">
        <f>H68/DAY(B2)</f>
        <v>-61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12178</v>
      </c>
      <c r="F69" s="122">
        <v>12181</v>
      </c>
      <c r="G69" s="112">
        <f t="shared" si="6"/>
        <v>3</v>
      </c>
      <c r="H69" s="99">
        <f>G69+'10'!H69</f>
        <v>-94</v>
      </c>
      <c r="I69" s="118"/>
      <c r="J69" s="175">
        <f>H69/DAY(B2)</f>
        <v>-8.545454545454545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9588</v>
      </c>
      <c r="F70" s="122">
        <v>9602</v>
      </c>
      <c r="G70" s="112">
        <f t="shared" si="6"/>
        <v>14</v>
      </c>
      <c r="H70" s="99">
        <f>G70+'10'!H70</f>
        <v>-225</v>
      </c>
      <c r="I70" s="118"/>
      <c r="J70" s="175">
        <f>H70/DAY(B2)</f>
        <v>-20.454545454545453</v>
      </c>
      <c r="K70" s="69"/>
      <c r="L70" s="66"/>
      <c r="N70" s="87"/>
      <c r="O70" s="71"/>
    </row>
    <row r="71" spans="1:15" ht="30.75" customHeight="1">
      <c r="A71" s="924" t="s">
        <v>208</v>
      </c>
      <c r="B71" s="925"/>
      <c r="C71" s="926"/>
      <c r="D71" s="152"/>
      <c r="E71" s="152"/>
      <c r="F71" s="152"/>
      <c r="G71" s="153">
        <f>SUM(G65:G70)</f>
        <v>163</v>
      </c>
      <c r="H71" s="99">
        <f>G71+'10'!H71</f>
        <v>-3716</v>
      </c>
      <c r="I71" s="154"/>
      <c r="J71" s="175">
        <f>H71/DAY(B2)</f>
        <v>-337.81818181818181</v>
      </c>
      <c r="K71" s="69"/>
      <c r="L71" s="66"/>
      <c r="N71" s="87"/>
      <c r="O71" s="71"/>
    </row>
    <row r="72" spans="1:15" s="88" customFormat="1" ht="30.75" customHeight="1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15" t="s">
        <v>220</v>
      </c>
      <c r="B74" s="916"/>
      <c r="C74" s="917"/>
      <c r="D74" s="151" t="s">
        <v>139</v>
      </c>
      <c r="E74" s="95">
        <f>'10'!F74</f>
        <v>950734.29</v>
      </c>
      <c r="F74" s="117">
        <v>951004.73</v>
      </c>
      <c r="G74" s="112">
        <f>F74-E74</f>
        <v>270.43999999994412</v>
      </c>
      <c r="H74" s="99">
        <f>G74+'10'!H74</f>
        <v>-6653.1300000000047</v>
      </c>
      <c r="I74" s="154"/>
      <c r="J74" s="175">
        <f>H74/DAY(B2)</f>
        <v>-604.83000000000038</v>
      </c>
      <c r="K74" s="69"/>
      <c r="L74" s="66"/>
      <c r="N74" s="87"/>
      <c r="O74" s="71"/>
    </row>
    <row r="75" spans="1:15" ht="30.75" customHeight="1">
      <c r="A75" s="915" t="s">
        <v>221</v>
      </c>
      <c r="B75" s="916"/>
      <c r="C75" s="917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2" t="s">
        <v>222</v>
      </c>
      <c r="B76" s="913"/>
      <c r="C76" s="914"/>
      <c r="D76" s="151" t="s">
        <v>139</v>
      </c>
      <c r="E76" s="95">
        <f>'10'!F76</f>
        <v>187957</v>
      </c>
      <c r="F76" s="123">
        <v>188055</v>
      </c>
      <c r="G76" s="112">
        <f t="shared" si="7"/>
        <v>98</v>
      </c>
      <c r="H76" s="99">
        <f>G76+'10'!H76</f>
        <v>-2117</v>
      </c>
      <c r="I76" s="154"/>
      <c r="J76" s="175">
        <f>H76/DAY(B2)</f>
        <v>-192.45454545454547</v>
      </c>
      <c r="K76" s="69"/>
      <c r="L76" s="66"/>
      <c r="N76" s="87"/>
      <c r="O76" s="71"/>
    </row>
    <row r="77" spans="1:15" ht="30.75" customHeight="1">
      <c r="A77" s="912" t="s">
        <v>223</v>
      </c>
      <c r="B77" s="913"/>
      <c r="C77" s="914"/>
      <c r="D77" s="151" t="s">
        <v>139</v>
      </c>
      <c r="E77" s="95">
        <f>'10'!F77</f>
        <v>49232</v>
      </c>
      <c r="F77" s="123">
        <v>49267</v>
      </c>
      <c r="G77" s="112">
        <f t="shared" si="7"/>
        <v>35</v>
      </c>
      <c r="H77" s="99">
        <f>G77+'10'!H77</f>
        <v>-1046</v>
      </c>
      <c r="I77" s="154"/>
      <c r="J77" s="175">
        <f>H77/DAY(B2)</f>
        <v>-95.090909090909093</v>
      </c>
      <c r="K77" s="69"/>
      <c r="L77" s="66"/>
      <c r="N77" s="87"/>
      <c r="O77" s="71"/>
    </row>
    <row r="78" spans="1:15" ht="30.75" customHeight="1">
      <c r="A78" s="912" t="s">
        <v>224</v>
      </c>
      <c r="B78" s="913"/>
      <c r="C78" s="914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2" t="s">
        <v>225</v>
      </c>
      <c r="B79" s="913"/>
      <c r="C79" s="914"/>
      <c r="D79" s="151"/>
      <c r="E79" s="95">
        <f>'10'!F79</f>
        <v>0</v>
      </c>
      <c r="F79" s="117"/>
      <c r="G79" s="112">
        <f>G15-SUM(G74:G78)</f>
        <v>596.56000000005588</v>
      </c>
      <c r="H79" s="99">
        <f>G79+'10'!H79</f>
        <v>20956.130000000005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71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71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42340.05</v>
      </c>
      <c r="F84" s="164">
        <v>42340.05</v>
      </c>
      <c r="G84" s="112">
        <f t="shared" si="8"/>
        <v>0</v>
      </c>
      <c r="H84" s="99">
        <f>G84+'10'!H84</f>
        <v>-248.94999999999709</v>
      </c>
      <c r="I84" s="571"/>
      <c r="J84" s="175">
        <f>H84/DAY(B2)</f>
        <v>-22.631818181817916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5019.47</v>
      </c>
      <c r="F85" s="164">
        <v>5034.22</v>
      </c>
      <c r="G85" s="112">
        <f t="shared" si="8"/>
        <v>14.75</v>
      </c>
      <c r="H85" s="99">
        <f>G85+'10'!H85</f>
        <v>-105.96999999999935</v>
      </c>
      <c r="I85" s="571"/>
      <c r="J85" s="175">
        <f>H85/DAY(B2)</f>
        <v>-9.6336363636363043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44975.85</v>
      </c>
      <c r="F86" s="164">
        <v>45000.32</v>
      </c>
      <c r="G86" s="112">
        <f t="shared" si="8"/>
        <v>24.470000000001164</v>
      </c>
      <c r="H86" s="99">
        <f>G86+'10'!H86</f>
        <v>-378.68000000000029</v>
      </c>
      <c r="I86" s="571"/>
      <c r="J86" s="175">
        <f>H86/DAY(B2)</f>
        <v>-34.425454545454571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35433.01</v>
      </c>
      <c r="F87" s="164">
        <v>35433.01</v>
      </c>
      <c r="G87" s="112">
        <f t="shared" si="8"/>
        <v>0</v>
      </c>
      <c r="H87" s="99">
        <f>G87+'10'!H87</f>
        <v>-24.419999999998254</v>
      </c>
      <c r="I87" s="571">
        <f>G84+G85+G86+G87</f>
        <v>39.220000000001164</v>
      </c>
      <c r="J87" s="175">
        <f>H87/DAY(B2)</f>
        <v>-2.2199999999998412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24293.88</v>
      </c>
      <c r="F88" s="164">
        <v>24293.88</v>
      </c>
      <c r="G88" s="112">
        <f t="shared" si="8"/>
        <v>0</v>
      </c>
      <c r="H88" s="99">
        <f>G88+'10'!H88</f>
        <v>-9.5799999999981083</v>
      </c>
      <c r="I88" s="571"/>
      <c r="J88" s="175">
        <f>H88/DAY(B2)</f>
        <v>-0.87090909090891888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27374.6</v>
      </c>
      <c r="F89" s="164">
        <v>27384.03</v>
      </c>
      <c r="G89" s="112">
        <f t="shared" si="8"/>
        <v>9.430000000000291</v>
      </c>
      <c r="H89" s="99">
        <f>G89+'10'!H89</f>
        <v>-182.58000000000175</v>
      </c>
      <c r="I89" s="571">
        <f>G88+G89</f>
        <v>9.430000000000291</v>
      </c>
      <c r="J89" s="175">
        <f>H89/DAY(B2)</f>
        <v>-16.598181818181978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72384.27</v>
      </c>
      <c r="F90" s="164">
        <v>72394.490000000005</v>
      </c>
      <c r="G90" s="112">
        <f t="shared" si="8"/>
        <v>10.220000000001164</v>
      </c>
      <c r="H90" s="99">
        <f>G90+'10'!H90</f>
        <v>-212.05999999999767</v>
      </c>
      <c r="I90" s="571">
        <f>G90</f>
        <v>10.220000000001164</v>
      </c>
      <c r="J90" s="175">
        <f>H90/DAY(B2)</f>
        <v>-19.278181818181608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4187.57</v>
      </c>
      <c r="F91" s="122">
        <v>4194.1499999999996</v>
      </c>
      <c r="G91" s="112">
        <f t="shared" si="8"/>
        <v>6.5799999999999272</v>
      </c>
      <c r="H91" s="99">
        <f>G91+'10'!H91</f>
        <v>-95.390000000000327</v>
      </c>
      <c r="I91" s="590"/>
      <c r="J91" s="175">
        <f>H91/DAY(B2)</f>
        <v>-8.6718181818182121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6574.75</v>
      </c>
      <c r="F92" s="122">
        <v>6577.87</v>
      </c>
      <c r="G92" s="112">
        <f t="shared" si="8"/>
        <v>3.1199999999998909</v>
      </c>
      <c r="H92" s="99">
        <f>G92+'10'!H92</f>
        <v>-139.46000000000004</v>
      </c>
      <c r="I92" s="596">
        <f>G91+G92</f>
        <v>9.6999999999998181</v>
      </c>
      <c r="J92" s="175">
        <f>H92/DAY(B2)</f>
        <v>-12.678181818181821</v>
      </c>
      <c r="O92" s="71"/>
    </row>
    <row r="93" spans="1:15" ht="30.7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6734.0400000000373</v>
      </c>
      <c r="H94" s="99">
        <f>G94+'10'!H94</f>
        <v>-137225.22999999998</v>
      </c>
      <c r="I94" s="118"/>
      <c r="J94" s="175">
        <f>H94/DAY(B2)</f>
        <v>-12475.020909090907</v>
      </c>
      <c r="K94" s="69"/>
      <c r="L94" s="66"/>
      <c r="O94" s="71"/>
    </row>
    <row r="95" spans="1:15" ht="30.75" customHeight="1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0.25702442748091747</v>
      </c>
      <c r="H95" s="99">
        <f>G95+'10'!H95</f>
        <v>-5.2218129374982336</v>
      </c>
      <c r="I95" s="167"/>
      <c r="J95" s="175">
        <f>H95/DAY(B2)</f>
        <v>-0.47471026704529395</v>
      </c>
      <c r="K95" s="69"/>
      <c r="L95" s="66"/>
      <c r="O95" s="71"/>
    </row>
    <row r="96" spans="1:15" ht="30.75" customHeight="1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6949.2699999999604</v>
      </c>
      <c r="H96" s="99">
        <f>G96+'10'!H96</f>
        <v>-136286.91000000006</v>
      </c>
      <c r="I96" s="118"/>
      <c r="J96" s="175">
        <f>H96/DAY(B2)</f>
        <v>-12389.719090909097</v>
      </c>
      <c r="K96" s="69"/>
      <c r="L96" s="66"/>
      <c r="O96" s="71"/>
    </row>
    <row r="97" spans="1:15" ht="30.75" customHeight="1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0.26523931297709774</v>
      </c>
      <c r="H97" s="99">
        <f>G97+'10'!H97</f>
        <v>-5.1904588296468948</v>
      </c>
      <c r="I97" s="167"/>
      <c r="J97" s="175">
        <f>H97/DAY(B2)</f>
        <v>-0.47185989360426317</v>
      </c>
      <c r="K97" s="69"/>
      <c r="L97" s="66"/>
      <c r="O97" s="71"/>
    </row>
    <row r="98" spans="1:15" ht="30.75" customHeight="1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2848.8000000000466</v>
      </c>
      <c r="H98" s="99">
        <f>G98+'10'!H98</f>
        <v>-69435.089999999967</v>
      </c>
      <c r="I98" s="168"/>
      <c r="J98" s="175">
        <f>H98/DAY(B2)</f>
        <v>-6312.2809090909059</v>
      </c>
      <c r="K98" s="69"/>
      <c r="L98" s="66"/>
      <c r="O98" s="71"/>
    </row>
    <row r="99" spans="1:15" ht="30.75" customHeight="1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0.10873282442748269</v>
      </c>
      <c r="H99" s="99">
        <f>G99+'10'!H99</f>
        <v>-2.6405926248378666</v>
      </c>
      <c r="I99" s="168"/>
      <c r="J99" s="175">
        <f>H99/DAY(B2)</f>
        <v>-0.2400538749852606</v>
      </c>
      <c r="O99" s="71"/>
    </row>
    <row r="100" spans="1:15" ht="30.75" customHeight="1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2304.1599999999744</v>
      </c>
      <c r="H100" s="99">
        <f>G100+'10'!H100</f>
        <v>-45853.69000000001</v>
      </c>
      <c r="I100" s="118"/>
      <c r="J100" s="175">
        <f>H100/DAY(B2)</f>
        <v>-4168.5172727272738</v>
      </c>
      <c r="K100" s="70"/>
      <c r="O100" s="71"/>
    </row>
    <row r="101" spans="1:15" ht="30.75" customHeight="1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8.7945038167937958E-2</v>
      </c>
      <c r="H101" s="99">
        <f>G101+'10'!H101</f>
        <v>-1.7453079777563696</v>
      </c>
      <c r="I101" s="168"/>
      <c r="J101" s="175">
        <f>H101/DAY(B2)</f>
        <v>-0.1586643616142154</v>
      </c>
      <c r="O101" s="71"/>
    </row>
    <row r="102" spans="1:15" ht="30.75" customHeight="1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1754.8399999999965</v>
      </c>
      <c r="H102" s="99">
        <f>G102+'10'!H102</f>
        <v>-44734.44</v>
      </c>
      <c r="I102" s="168"/>
      <c r="J102" s="175">
        <f>H102/DAY(B2)</f>
        <v>-4066.7672727272729</v>
      </c>
      <c r="O102" s="71"/>
    </row>
    <row r="103" spans="1:15" ht="30.75" customHeight="1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6.6978625954198345E-2</v>
      </c>
      <c r="H103" s="99">
        <f>G103+'10'!H103</f>
        <v>-1.7055734335983903</v>
      </c>
      <c r="I103" s="118"/>
      <c r="J103" s="175">
        <f>H103/DAY(B2)</f>
        <v>-0.15505213032712639</v>
      </c>
      <c r="O103" s="71"/>
    </row>
    <row r="104" spans="1:15" ht="30.75" customHeight="1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1487.4600000000139</v>
      </c>
      <c r="H104" s="99">
        <f>G104+'10'!H104</f>
        <v>-27277.609999999986</v>
      </c>
      <c r="I104" s="118"/>
      <c r="J104" s="175">
        <f>H104/DAY(B2)</f>
        <v>-2479.7827272727259</v>
      </c>
      <c r="O104" s="71"/>
    </row>
    <row r="105" spans="1:15" ht="30.75" customHeight="1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5.6773282442748624E-2</v>
      </c>
      <c r="H105" s="99">
        <f>G105+'10'!H105</f>
        <v>-1.0387460500288463</v>
      </c>
      <c r="I105" s="187"/>
      <c r="J105" s="188">
        <f>H105/DAY(B2)</f>
        <v>-9.4431459093531483E-2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30.75" customHeight="1">
      <c r="A109" s="932"/>
      <c r="B109" s="932"/>
    </row>
    <row r="110" spans="1:15" ht="30.75" customHeight="1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30.75" customHeight="1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4" t="s">
        <v>252</v>
      </c>
      <c r="B112" s="895"/>
      <c r="C112" s="896"/>
      <c r="D112" s="146" t="s">
        <v>183</v>
      </c>
      <c r="E112" s="95">
        <f>'10'!F112</f>
        <v>5679.68</v>
      </c>
      <c r="F112" s="237">
        <v>5756.73</v>
      </c>
      <c r="G112" s="112">
        <f t="shared" ref="G112:G123" si="9">F112-E112</f>
        <v>77.049999999999272</v>
      </c>
      <c r="H112" s="99">
        <f>G112+'10'!H112</f>
        <v>-1508.2700000000004</v>
      </c>
      <c r="I112" s="165"/>
      <c r="J112" s="328">
        <f>H112/DAY(B2)</f>
        <v>-137.11545454545458</v>
      </c>
    </row>
    <row r="113" spans="1:18" ht="30.75" customHeight="1">
      <c r="A113" s="894" t="s">
        <v>253</v>
      </c>
      <c r="B113" s="895"/>
      <c r="C113" s="896"/>
      <c r="D113" s="146" t="s">
        <v>183</v>
      </c>
      <c r="E113" s="95">
        <f>'10'!F113</f>
        <v>12052.65</v>
      </c>
      <c r="F113" s="237">
        <v>12200.42</v>
      </c>
      <c r="G113" s="112">
        <f t="shared" si="9"/>
        <v>147.77000000000044</v>
      </c>
      <c r="H113" s="99">
        <f>G113+'10'!H113</f>
        <v>-2814.58</v>
      </c>
      <c r="I113" s="165"/>
      <c r="J113" s="328">
        <f>H113/DAY(B2)</f>
        <v>-255.87090909090909</v>
      </c>
    </row>
    <row r="114" spans="1:18" ht="30.75" customHeight="1">
      <c r="A114" s="894" t="s">
        <v>254</v>
      </c>
      <c r="B114" s="895"/>
      <c r="C114" s="896"/>
      <c r="D114" s="146" t="s">
        <v>183</v>
      </c>
      <c r="E114" s="95">
        <f>'10'!F114</f>
        <v>16485.669999999998</v>
      </c>
      <c r="F114" s="237">
        <v>16719.849999999999</v>
      </c>
      <c r="G114" s="112">
        <f t="shared" si="9"/>
        <v>234.18000000000029</v>
      </c>
      <c r="H114" s="99">
        <f>G114+'10'!H114</f>
        <v>-4548.1500000000015</v>
      </c>
      <c r="I114" s="165"/>
      <c r="J114" s="328">
        <f>H114/DAY(B2)</f>
        <v>-413.46818181818196</v>
      </c>
    </row>
    <row r="115" spans="1:18" ht="30.75" customHeight="1">
      <c r="A115" s="894" t="s">
        <v>255</v>
      </c>
      <c r="B115" s="895"/>
      <c r="C115" s="896"/>
      <c r="D115" s="146" t="s">
        <v>183</v>
      </c>
      <c r="E115" s="95">
        <f>'10'!F115</f>
        <v>10257.61</v>
      </c>
      <c r="F115" s="237">
        <v>10336.459999999999</v>
      </c>
      <c r="G115" s="112">
        <f t="shared" si="9"/>
        <v>78.849999999998545</v>
      </c>
      <c r="H115" s="99">
        <f>G115+'10'!H115</f>
        <v>-3202.760000000002</v>
      </c>
      <c r="I115" s="165"/>
      <c r="J115" s="328">
        <f>H115/DAY(B2)</f>
        <v>-291.1600000000002</v>
      </c>
    </row>
    <row r="116" spans="1:18" ht="30.75" customHeight="1">
      <c r="A116" s="901" t="s">
        <v>96</v>
      </c>
      <c r="B116" s="902"/>
      <c r="C116" s="903"/>
      <c r="D116" s="146" t="s">
        <v>183</v>
      </c>
      <c r="E116" s="95">
        <f>'10'!F116</f>
        <v>62959.12</v>
      </c>
      <c r="F116" s="237">
        <v>63345.79</v>
      </c>
      <c r="G116" s="112">
        <f t="shared" si="9"/>
        <v>386.66999999999825</v>
      </c>
      <c r="H116" s="99">
        <f>G116+'10'!H116</f>
        <v>-7146.2099999999991</v>
      </c>
      <c r="I116" s="165"/>
      <c r="J116" s="328">
        <f>H116/DAY(B2)</f>
        <v>-649.65545454545452</v>
      </c>
      <c r="Q116" s="894" t="s">
        <v>311</v>
      </c>
      <c r="R116" s="896"/>
    </row>
    <row r="117" spans="1:18" ht="30.75" customHeight="1">
      <c r="A117" s="901" t="s">
        <v>184</v>
      </c>
      <c r="B117" s="902"/>
      <c r="C117" s="903"/>
      <c r="D117" s="146" t="s">
        <v>183</v>
      </c>
      <c r="E117" s="95">
        <f>'10'!F117</f>
        <v>35618.75</v>
      </c>
      <c r="F117" s="237">
        <v>35832.589999999997</v>
      </c>
      <c r="G117" s="112">
        <f t="shared" si="9"/>
        <v>213.83999999999651</v>
      </c>
      <c r="H117" s="99">
        <f>G117+'10'!H117</f>
        <v>-5089.4100000000035</v>
      </c>
      <c r="I117" s="165"/>
      <c r="J117" s="328">
        <f>H117/DAY(B2)</f>
        <v>-462.67363636363666</v>
      </c>
      <c r="Q117" s="894" t="s">
        <v>312</v>
      </c>
      <c r="R117" s="896"/>
    </row>
    <row r="118" spans="1:18" ht="30.75" customHeight="1">
      <c r="A118" s="893" t="s">
        <v>97</v>
      </c>
      <c r="B118" s="893"/>
      <c r="C118" s="893"/>
      <c r="D118" s="151" t="s">
        <v>183</v>
      </c>
      <c r="E118" s="95">
        <f>'10'!F118</f>
        <v>51338.66</v>
      </c>
      <c r="F118" s="417">
        <v>51970.400000000001</v>
      </c>
      <c r="G118" s="112">
        <f t="shared" si="9"/>
        <v>631.73999999999796</v>
      </c>
      <c r="H118" s="99">
        <f>G118+'10'!H118</f>
        <v>-12701.599999999999</v>
      </c>
      <c r="I118" s="165"/>
      <c r="J118" s="328">
        <f>H118/DAY(B2)</f>
        <v>-1154.6909090909089</v>
      </c>
      <c r="Q118" s="894" t="s">
        <v>311</v>
      </c>
      <c r="R118" s="896"/>
    </row>
    <row r="119" spans="1:18" ht="30.75" customHeight="1">
      <c r="A119" s="893" t="s">
        <v>98</v>
      </c>
      <c r="B119" s="893"/>
      <c r="C119" s="893"/>
      <c r="D119" s="151" t="s">
        <v>183</v>
      </c>
      <c r="E119" s="95">
        <f>'10'!F119</f>
        <v>32685.35</v>
      </c>
      <c r="F119" s="237">
        <v>32910.54</v>
      </c>
      <c r="G119" s="112">
        <f t="shared" si="9"/>
        <v>225.19000000000233</v>
      </c>
      <c r="H119" s="99">
        <f>G119+'10'!H119</f>
        <v>-4538.4599999999991</v>
      </c>
      <c r="I119" s="165"/>
      <c r="J119" s="328">
        <f>H119/DAY(B2)</f>
        <v>-412.58727272727265</v>
      </c>
    </row>
    <row r="120" spans="1:18" ht="30.75" customHeight="1">
      <c r="A120" s="893" t="s">
        <v>99</v>
      </c>
      <c r="B120" s="893"/>
      <c r="C120" s="893"/>
      <c r="D120" s="151" t="s">
        <v>183</v>
      </c>
      <c r="E120" s="95">
        <f>'10'!F120</f>
        <v>37421.24</v>
      </c>
      <c r="F120" s="237">
        <v>37848.39</v>
      </c>
      <c r="G120" s="112">
        <f t="shared" si="9"/>
        <v>427.15000000000146</v>
      </c>
      <c r="H120" s="99">
        <f>G120+'10'!H120</f>
        <v>-8418.61</v>
      </c>
      <c r="I120" s="165"/>
      <c r="J120" s="328">
        <f>H120/DAY(B2)</f>
        <v>-765.32818181818186</v>
      </c>
    </row>
    <row r="121" spans="1:18" ht="30.75" customHeight="1">
      <c r="A121" s="893" t="s">
        <v>100</v>
      </c>
      <c r="B121" s="893"/>
      <c r="C121" s="893"/>
      <c r="D121" s="151" t="s">
        <v>183</v>
      </c>
      <c r="E121" s="95">
        <f>'10'!F121</f>
        <v>44079.97</v>
      </c>
      <c r="F121" s="237">
        <v>44543.96</v>
      </c>
      <c r="G121" s="112">
        <f t="shared" si="9"/>
        <v>463.98999999999796</v>
      </c>
      <c r="H121" s="99">
        <f>G121+'10'!H121</f>
        <v>-8999.0400000000009</v>
      </c>
      <c r="I121" s="165"/>
      <c r="J121" s="328">
        <f>H121/DAY(B2)</f>
        <v>-818.09454545454548</v>
      </c>
    </row>
    <row r="122" spans="1:18" ht="30.75" customHeight="1">
      <c r="A122" s="893" t="s">
        <v>101</v>
      </c>
      <c r="B122" s="893"/>
      <c r="C122" s="893"/>
      <c r="D122" s="151" t="s">
        <v>183</v>
      </c>
      <c r="E122" s="95">
        <f>'10'!F122</f>
        <v>22876.28</v>
      </c>
      <c r="F122" s="237">
        <v>23163.13</v>
      </c>
      <c r="G122" s="112">
        <f t="shared" si="9"/>
        <v>286.85000000000218</v>
      </c>
      <c r="H122" s="99">
        <f>G122+'10'!H122</f>
        <v>-5510.869999999999</v>
      </c>
      <c r="I122" s="165"/>
      <c r="J122" s="328">
        <f>H122/DAY(B2)</f>
        <v>-500.98818181818172</v>
      </c>
    </row>
    <row r="123" spans="1:18" ht="30.75" customHeight="1">
      <c r="A123" s="893" t="s">
        <v>102</v>
      </c>
      <c r="B123" s="893"/>
      <c r="C123" s="893"/>
      <c r="D123" s="151" t="s">
        <v>183</v>
      </c>
      <c r="E123" s="95">
        <f>'10'!F123</f>
        <v>23510.240000000002</v>
      </c>
      <c r="F123" s="237">
        <v>23848.400000000001</v>
      </c>
      <c r="G123" s="112">
        <f t="shared" si="9"/>
        <v>338.15999999999985</v>
      </c>
      <c r="H123" s="99">
        <f>G123+'10'!H123</f>
        <v>-6339.5999999999985</v>
      </c>
      <c r="I123" s="165"/>
      <c r="J123" s="328">
        <f>H123/DAY(B2)</f>
        <v>-576.32727272727254</v>
      </c>
    </row>
    <row r="124" spans="1:18" ht="30.7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876" t="s">
        <v>196</v>
      </c>
      <c r="B125" s="877"/>
      <c r="C125" s="245"/>
      <c r="D125" s="307"/>
      <c r="E125" s="308"/>
      <c r="F125" s="308"/>
      <c r="G125" s="309">
        <f>SUM(G112:G124)</f>
        <v>3511.4399999999951</v>
      </c>
      <c r="H125" s="156"/>
      <c r="I125" s="327">
        <f>G125-(G39+G53)</f>
        <v>662.63999999994849</v>
      </c>
      <c r="J125" s="327"/>
    </row>
    <row r="126" spans="1:18" ht="30.75" customHeight="1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30.75" customHeight="1">
      <c r="A127" s="881"/>
      <c r="B127" s="881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894" t="s">
        <v>318</v>
      </c>
      <c r="B128" s="895"/>
      <c r="C128" s="896"/>
      <c r="D128" s="151" t="s">
        <v>183</v>
      </c>
      <c r="E128" s="95">
        <f>'10'!F128</f>
        <v>117016.67</v>
      </c>
      <c r="F128" s="157">
        <v>117561.69</v>
      </c>
      <c r="G128" s="112">
        <f t="shared" ref="G128:G134" si="10">F128-E128</f>
        <v>545.02000000000407</v>
      </c>
      <c r="H128" s="99">
        <f>G128+'10'!H128</f>
        <v>-10082.309999999998</v>
      </c>
      <c r="I128" s="165"/>
      <c r="J128" s="328">
        <f>H128/DAY(B2)</f>
        <v>-916.57363636363618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68799.95</v>
      </c>
      <c r="F129" s="157">
        <v>68963.98</v>
      </c>
      <c r="G129" s="112">
        <f t="shared" si="10"/>
        <v>164.02999999999884</v>
      </c>
      <c r="H129" s="99">
        <f>G129+'10'!H129</f>
        <v>-3539.0200000000041</v>
      </c>
      <c r="I129" s="165"/>
      <c r="J129" s="328">
        <f>H129/DAY(B2)</f>
        <v>-321.72909090909127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149293.4</v>
      </c>
      <c r="F130" s="157">
        <v>150120.35999999999</v>
      </c>
      <c r="G130" s="112">
        <f t="shared" si="10"/>
        <v>826.95999999999185</v>
      </c>
      <c r="H130" s="99">
        <f>G130+'10'!H130</f>
        <v>-15020.910000000003</v>
      </c>
      <c r="I130" s="165"/>
      <c r="J130" s="328">
        <f>H130/DAY(B2)</f>
        <v>-1365.5372727272731</v>
      </c>
      <c r="N130" s="240"/>
      <c r="O130" s="241"/>
    </row>
    <row r="131" spans="1:15" ht="30.75" customHeight="1">
      <c r="A131" s="894" t="s">
        <v>321</v>
      </c>
      <c r="B131" s="895"/>
      <c r="C131" s="896"/>
      <c r="D131" s="151" t="s">
        <v>183</v>
      </c>
      <c r="E131" s="95">
        <f>'10'!F131</f>
        <v>44386.59</v>
      </c>
      <c r="F131" s="157">
        <v>44532.49</v>
      </c>
      <c r="G131" s="112">
        <f t="shared" si="10"/>
        <v>145.90000000000146</v>
      </c>
      <c r="H131" s="99">
        <f>G131+'10'!H131</f>
        <v>-3916.510000000002</v>
      </c>
      <c r="I131" s="165"/>
      <c r="J131" s="328">
        <f>H131/DAY(B2)</f>
        <v>-356.04636363636382</v>
      </c>
      <c r="N131" s="240"/>
      <c r="O131" s="241"/>
    </row>
    <row r="132" spans="1:15" ht="30.75" customHeight="1">
      <c r="A132" s="894" t="s">
        <v>322</v>
      </c>
      <c r="B132" s="895"/>
      <c r="C132" s="896"/>
      <c r="D132" s="151" t="s">
        <v>183</v>
      </c>
      <c r="E132" s="95">
        <f>'10'!F132</f>
        <v>120410.26</v>
      </c>
      <c r="F132" s="157">
        <v>120851.79</v>
      </c>
      <c r="G132" s="112">
        <f t="shared" si="10"/>
        <v>441.52999999999884</v>
      </c>
      <c r="H132" s="99">
        <f>G132+'10'!H132</f>
        <v>-7322.2100000000064</v>
      </c>
      <c r="I132" s="165"/>
      <c r="J132" s="328">
        <f>H132/DAY(B2)</f>
        <v>-665.65545454545509</v>
      </c>
    </row>
    <row r="133" spans="1:15" ht="30.75" customHeight="1">
      <c r="A133" s="894" t="s">
        <v>359</v>
      </c>
      <c r="B133" s="895"/>
      <c r="C133" s="896"/>
      <c r="D133" s="151" t="s">
        <v>183</v>
      </c>
      <c r="E133" s="95">
        <f>'10'!F133</f>
        <v>794555</v>
      </c>
      <c r="F133" s="157">
        <v>795379</v>
      </c>
      <c r="G133" s="112">
        <f t="shared" si="10"/>
        <v>824</v>
      </c>
      <c r="H133" s="99">
        <f>G133+'10'!H133</f>
        <v>568817.41</v>
      </c>
      <c r="I133" s="165"/>
      <c r="J133" s="328">
        <f>H133/DAY(B2)</f>
        <v>51710.673636363637</v>
      </c>
    </row>
    <row r="134" spans="1:15" ht="30.75" customHeight="1">
      <c r="A134" s="894" t="s">
        <v>340</v>
      </c>
      <c r="B134" s="895"/>
      <c r="C134" s="896"/>
      <c r="D134" s="151" t="s">
        <v>183</v>
      </c>
      <c r="E134" s="95">
        <f>'10'!F134</f>
        <v>44202.59</v>
      </c>
      <c r="F134" s="157">
        <v>44457.58</v>
      </c>
      <c r="G134" s="112">
        <f t="shared" si="10"/>
        <v>254.99000000000524</v>
      </c>
      <c r="H134" s="99">
        <f>G134+'10'!H134</f>
        <v>-4577.4199999999983</v>
      </c>
      <c r="I134" s="165"/>
      <c r="J134" s="328">
        <f>H134/DAY(B2)</f>
        <v>-416.12909090909073</v>
      </c>
    </row>
    <row r="135" spans="1:15" ht="30.75" customHeight="1">
      <c r="A135" s="876" t="s">
        <v>196</v>
      </c>
      <c r="B135" s="877"/>
      <c r="C135" s="331"/>
      <c r="D135" s="151"/>
      <c r="E135" s="95"/>
      <c r="F135" s="165"/>
      <c r="G135" s="112">
        <f>SUM(G128:G134)</f>
        <v>3202.4300000000003</v>
      </c>
      <c r="H135" s="99">
        <f>G135+'10'!H135</f>
        <v>524359.03</v>
      </c>
      <c r="I135" s="327">
        <f>G135-(G35+G49)</f>
        <v>-588.29000000002998</v>
      </c>
      <c r="J135" s="328">
        <f>H135/DAY(B2)</f>
        <v>47669.002727272731</v>
      </c>
    </row>
    <row r="136" spans="1:15" ht="30.75" customHeight="1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93" t="s">
        <v>185</v>
      </c>
      <c r="B138" s="893"/>
      <c r="C138" s="893"/>
      <c r="D138" s="151" t="s">
        <v>183</v>
      </c>
      <c r="E138" s="95">
        <f>'10'!F138</f>
        <v>888539</v>
      </c>
      <c r="F138" s="148">
        <v>888648</v>
      </c>
      <c r="G138" s="112">
        <f t="shared" ref="G138:G152" si="11">F138-E138</f>
        <v>109</v>
      </c>
      <c r="H138" s="99">
        <f>G138+'10'!H138</f>
        <v>-2447</v>
      </c>
      <c r="I138" s="118"/>
      <c r="J138" s="328">
        <f>H138/DAY(B2)</f>
        <v>-222.45454545454547</v>
      </c>
    </row>
    <row r="139" spans="1:15" ht="30.75" customHeight="1">
      <c r="A139" s="893" t="s">
        <v>186</v>
      </c>
      <c r="B139" s="893"/>
      <c r="C139" s="893"/>
      <c r="D139" s="151" t="s">
        <v>183</v>
      </c>
      <c r="E139" s="95">
        <f>'10'!F139</f>
        <v>905674</v>
      </c>
      <c r="F139" s="148">
        <v>905846</v>
      </c>
      <c r="G139" s="112">
        <f t="shared" si="11"/>
        <v>172</v>
      </c>
      <c r="H139" s="99">
        <f>G139+'10'!H139</f>
        <v>-3049</v>
      </c>
      <c r="I139" s="118"/>
      <c r="J139" s="328">
        <f>H139/DAY(B2)</f>
        <v>-277.18181818181819</v>
      </c>
    </row>
    <row r="140" spans="1:15" ht="30.75" customHeight="1">
      <c r="A140" s="893" t="s">
        <v>187</v>
      </c>
      <c r="B140" s="893"/>
      <c r="C140" s="893"/>
      <c r="D140" s="151" t="s">
        <v>183</v>
      </c>
      <c r="E140" s="95">
        <f>'10'!F140</f>
        <v>89283</v>
      </c>
      <c r="F140" s="148">
        <v>89499</v>
      </c>
      <c r="G140" s="112">
        <f t="shared" si="11"/>
        <v>216</v>
      </c>
      <c r="H140" s="99">
        <f>G140+'10'!H140</f>
        <v>35.399999999994179</v>
      </c>
      <c r="I140" s="118"/>
      <c r="J140" s="328">
        <f>H140/DAY(B2)</f>
        <v>3.2181818181812889</v>
      </c>
    </row>
    <row r="141" spans="1:15" ht="30.75" customHeight="1">
      <c r="A141" s="872" t="s">
        <v>188</v>
      </c>
      <c r="B141" s="872"/>
      <c r="C141" s="872"/>
      <c r="D141" s="151" t="s">
        <v>183</v>
      </c>
      <c r="E141" s="95">
        <f>'10'!F141</f>
        <v>86176.35</v>
      </c>
      <c r="F141" s="149">
        <v>86367.67</v>
      </c>
      <c r="G141" s="112">
        <f t="shared" si="11"/>
        <v>191.31999999999243</v>
      </c>
      <c r="H141" s="99">
        <f>G141+'10'!H141</f>
        <v>-4084.3300000000017</v>
      </c>
      <c r="I141" s="118"/>
      <c r="J141" s="328">
        <f>H141/DAY(B2)</f>
        <v>-371.30272727272745</v>
      </c>
    </row>
    <row r="142" spans="1:15" ht="30.75" customHeight="1">
      <c r="A142" s="872" t="s">
        <v>189</v>
      </c>
      <c r="B142" s="872"/>
      <c r="C142" s="872"/>
      <c r="D142" s="151" t="s">
        <v>183</v>
      </c>
      <c r="E142" s="95">
        <f>'10'!F142</f>
        <v>35118.9</v>
      </c>
      <c r="F142" s="148">
        <v>35190.22</v>
      </c>
      <c r="G142" s="112">
        <f t="shared" si="11"/>
        <v>71.319999999999709</v>
      </c>
      <c r="H142" s="99">
        <f>G142+'10'!H142</f>
        <v>-1470.7799999999988</v>
      </c>
      <c r="I142" s="140"/>
      <c r="J142" s="328">
        <f>H142/DAY(B2)</f>
        <v>-133.70727272727262</v>
      </c>
    </row>
    <row r="143" spans="1:15" ht="30.75" customHeight="1">
      <c r="A143" s="893" t="s">
        <v>91</v>
      </c>
      <c r="B143" s="893"/>
      <c r="C143" s="893"/>
      <c r="D143" s="151" t="s">
        <v>183</v>
      </c>
      <c r="E143" s="95">
        <f>'10'!F143</f>
        <v>8456.4599999999991</v>
      </c>
      <c r="F143" s="149">
        <v>8485</v>
      </c>
      <c r="G143" s="112">
        <f t="shared" si="11"/>
        <v>28.540000000000873</v>
      </c>
      <c r="H143" s="99">
        <f>G143+'10'!H143</f>
        <v>-566</v>
      </c>
      <c r="I143" s="140"/>
      <c r="J143" s="328">
        <f>H143/DAY(B2)</f>
        <v>-51.454545454545453</v>
      </c>
    </row>
    <row r="144" spans="1:15" ht="30.75" customHeight="1">
      <c r="A144" s="872" t="s">
        <v>90</v>
      </c>
      <c r="B144" s="872"/>
      <c r="C144" s="872"/>
      <c r="D144" s="151" t="s">
        <v>183</v>
      </c>
      <c r="E144" s="95">
        <f>'10'!F144</f>
        <v>914770</v>
      </c>
      <c r="F144" s="149">
        <v>915024</v>
      </c>
      <c r="G144" s="112">
        <f t="shared" si="11"/>
        <v>254</v>
      </c>
      <c r="H144" s="99">
        <f>G144+'10'!H144</f>
        <v>-4813</v>
      </c>
      <c r="I144" s="140"/>
      <c r="J144" s="328">
        <f>H144/DAY(B2)</f>
        <v>-437.54545454545456</v>
      </c>
    </row>
    <row r="145" spans="1:10" ht="30.75" customHeight="1">
      <c r="A145" s="893" t="s">
        <v>190</v>
      </c>
      <c r="B145" s="893"/>
      <c r="C145" s="893"/>
      <c r="D145" s="152" t="s">
        <v>183</v>
      </c>
      <c r="E145" s="95">
        <f>'10'!F145</f>
        <v>5667</v>
      </c>
      <c r="F145" s="149">
        <v>5667</v>
      </c>
      <c r="G145" s="112">
        <f t="shared" si="11"/>
        <v>0</v>
      </c>
      <c r="H145" s="99">
        <f>G145+'10'!H145</f>
        <v>-140</v>
      </c>
      <c r="I145" s="140"/>
      <c r="J145" s="328">
        <f>H145/DAY(B2)</f>
        <v>-12.727272727272727</v>
      </c>
    </row>
    <row r="146" spans="1:10" ht="30.75" customHeight="1">
      <c r="A146" s="928" t="s">
        <v>191</v>
      </c>
      <c r="B146" s="913"/>
      <c r="C146" s="914"/>
      <c r="D146" s="152" t="s">
        <v>183</v>
      </c>
      <c r="E146" s="95">
        <f>'10'!F146</f>
        <v>779781</v>
      </c>
      <c r="F146" s="148">
        <v>779819</v>
      </c>
      <c r="G146" s="112">
        <f t="shared" si="11"/>
        <v>38</v>
      </c>
      <c r="H146" s="99">
        <f>G146+'10'!H146</f>
        <v>-981</v>
      </c>
      <c r="I146" s="140"/>
      <c r="J146" s="328">
        <f>H146/DAY(B2)</f>
        <v>-89.181818181818187</v>
      </c>
    </row>
    <row r="147" spans="1:10" ht="30.75" customHeight="1">
      <c r="A147" s="872" t="s">
        <v>192</v>
      </c>
      <c r="B147" s="872"/>
      <c r="C147" s="872"/>
      <c r="D147" s="152" t="s">
        <v>183</v>
      </c>
      <c r="E147" s="95">
        <f>'10'!F147</f>
        <v>691391</v>
      </c>
      <c r="F147" s="148">
        <v>691768.24</v>
      </c>
      <c r="G147" s="112">
        <f t="shared" si="11"/>
        <v>377.23999999999069</v>
      </c>
      <c r="H147" s="99">
        <f>G147+'10'!H147</f>
        <v>-8000.7600000000093</v>
      </c>
      <c r="I147" s="140"/>
      <c r="J147" s="328">
        <f>H147/DAY(B2)</f>
        <v>-727.34181818181901</v>
      </c>
    </row>
    <row r="148" spans="1:10" ht="30.75" customHeight="1">
      <c r="A148" s="873" t="s">
        <v>193</v>
      </c>
      <c r="B148" s="874"/>
      <c r="C148" s="875"/>
      <c r="D148" s="123" t="s">
        <v>130</v>
      </c>
      <c r="E148" s="95">
        <f>'10'!F148</f>
        <v>742097.68</v>
      </c>
      <c r="F148" s="150">
        <v>742356.4</v>
      </c>
      <c r="G148" s="112">
        <f t="shared" si="11"/>
        <v>258.71999999997206</v>
      </c>
      <c r="H148" s="99">
        <f>G148+'10'!H148</f>
        <v>-6173.5999999999767</v>
      </c>
      <c r="I148" s="124"/>
      <c r="J148" s="328">
        <f>H148/DAY(B2)</f>
        <v>-561.23636363636149</v>
      </c>
    </row>
    <row r="149" spans="1:10" ht="30.75" customHeight="1">
      <c r="A149" s="873" t="s">
        <v>336</v>
      </c>
      <c r="B149" s="874"/>
      <c r="C149" s="875"/>
      <c r="D149" s="227" t="s">
        <v>130</v>
      </c>
      <c r="E149" s="95">
        <f>'10'!F149</f>
        <v>121633.23</v>
      </c>
      <c r="F149" s="146">
        <v>122163.56</v>
      </c>
      <c r="G149" s="112">
        <f t="shared" si="11"/>
        <v>530.33000000000175</v>
      </c>
      <c r="H149" s="99">
        <f>G149+'10'!H149</f>
        <v>-10270.440000000002</v>
      </c>
      <c r="I149" s="119"/>
      <c r="J149" s="328">
        <f>H149/DAY(B2)</f>
        <v>-933.67636363636382</v>
      </c>
    </row>
    <row r="150" spans="1:10" ht="30.75" customHeight="1">
      <c r="A150" s="873" t="s">
        <v>337</v>
      </c>
      <c r="B150" s="874"/>
      <c r="C150" s="875"/>
      <c r="D150" s="117" t="s">
        <v>130</v>
      </c>
      <c r="E150" s="95">
        <f>'10'!F150</f>
        <v>45939.01</v>
      </c>
      <c r="F150" s="233">
        <v>46180.95</v>
      </c>
      <c r="G150" s="112">
        <f t="shared" si="11"/>
        <v>241.93999999999505</v>
      </c>
      <c r="H150" s="99">
        <f>G150+'10'!H150</f>
        <v>-4434.0500000000029</v>
      </c>
      <c r="I150" s="119"/>
      <c r="J150" s="328">
        <f>H150/DAY(B2)</f>
        <v>-403.0954545454548</v>
      </c>
    </row>
    <row r="151" spans="1:10" ht="30.75" customHeight="1">
      <c r="A151" s="873" t="s">
        <v>338</v>
      </c>
      <c r="B151" s="874"/>
      <c r="C151" s="875"/>
      <c r="D151" s="117" t="s">
        <v>130</v>
      </c>
      <c r="E151" s="95">
        <f>'10'!F151</f>
        <v>129226</v>
      </c>
      <c r="F151" s="233">
        <v>129496</v>
      </c>
      <c r="G151" s="112">
        <f t="shared" si="11"/>
        <v>270</v>
      </c>
      <c r="H151" s="99">
        <f>G151+'10'!H151</f>
        <v>-5953</v>
      </c>
      <c r="I151" s="119"/>
      <c r="J151" s="328">
        <f>H151/DAY(B2)</f>
        <v>-541.18181818181813</v>
      </c>
    </row>
    <row r="152" spans="1:10" ht="30.75" customHeight="1">
      <c r="A152" s="873" t="s">
        <v>339</v>
      </c>
      <c r="B152" s="874"/>
      <c r="C152" s="875"/>
      <c r="D152" s="117" t="s">
        <v>130</v>
      </c>
      <c r="E152" s="95">
        <f>'10'!F152</f>
        <v>20574.400000000001</v>
      </c>
      <c r="F152" s="233">
        <v>20697.59</v>
      </c>
      <c r="G152" s="112">
        <f t="shared" si="11"/>
        <v>123.18999999999869</v>
      </c>
      <c r="H152" s="99">
        <f>G152+'10'!H152</f>
        <v>-2456.41</v>
      </c>
      <c r="I152" s="119"/>
      <c r="J152" s="328">
        <f>H152/DAY(B2)</f>
        <v>-223.30999999999997</v>
      </c>
    </row>
    <row r="153" spans="1:10" ht="30.75" customHeight="1">
      <c r="A153" s="876" t="s">
        <v>196</v>
      </c>
      <c r="B153" s="877"/>
      <c r="C153" s="365"/>
      <c r="D153" s="358"/>
      <c r="E153" s="360"/>
      <c r="F153" s="361"/>
      <c r="G153" s="362">
        <f>SUM(G138:G152)</f>
        <v>2881.5999999999513</v>
      </c>
      <c r="H153" s="363"/>
      <c r="I153" s="119">
        <f>G153-(G38+G52)</f>
        <v>577.43999999997686</v>
      </c>
      <c r="J153" s="366"/>
    </row>
    <row r="154" spans="1:10" ht="30.75" customHeight="1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30.75" customHeight="1">
      <c r="A155" s="872" t="s">
        <v>345</v>
      </c>
      <c r="B155" s="872"/>
      <c r="C155" s="872"/>
      <c r="D155" s="117" t="s">
        <v>130</v>
      </c>
      <c r="E155" s="95">
        <f>'10'!F155</f>
        <v>136040.57</v>
      </c>
      <c r="F155" s="157">
        <v>136576.56</v>
      </c>
      <c r="G155" s="112">
        <f t="shared" ref="G155:G159" si="12">F155-E155</f>
        <v>535.98999999999069</v>
      </c>
      <c r="H155" s="99">
        <f>G155+'10'!H155</f>
        <v>-11572.440000000002</v>
      </c>
      <c r="I155" s="364"/>
      <c r="J155" s="328">
        <f>H155/DAY(B2)</f>
        <v>-1052.0400000000002</v>
      </c>
    </row>
    <row r="156" spans="1:10" ht="30.75" customHeight="1">
      <c r="A156" s="872" t="s">
        <v>347</v>
      </c>
      <c r="B156" s="872"/>
      <c r="C156" s="872"/>
      <c r="D156" s="117" t="s">
        <v>130</v>
      </c>
      <c r="E156" s="95">
        <f>'10'!F156</f>
        <v>12925.03</v>
      </c>
      <c r="F156" s="155">
        <v>13012</v>
      </c>
      <c r="G156" s="112">
        <f t="shared" si="12"/>
        <v>86.969999999999345</v>
      </c>
      <c r="H156" s="99">
        <f>G156+'10'!H156</f>
        <v>-1722</v>
      </c>
      <c r="I156" s="165"/>
      <c r="J156" s="328">
        <f>H156/DAY(B2)</f>
        <v>-156.54545454545453</v>
      </c>
    </row>
    <row r="157" spans="1:10" ht="30.75" customHeight="1">
      <c r="A157" s="873" t="s">
        <v>360</v>
      </c>
      <c r="B157" s="874"/>
      <c r="C157" s="875"/>
      <c r="D157" s="117" t="s">
        <v>130</v>
      </c>
      <c r="E157" s="95">
        <f>'10'!F157</f>
        <v>24591.96</v>
      </c>
      <c r="F157" s="155">
        <v>24720.080000000002</v>
      </c>
      <c r="G157" s="112">
        <f t="shared" si="12"/>
        <v>128.12000000000262</v>
      </c>
      <c r="H157" s="99">
        <f>G157+'10'!H157</f>
        <v>-2725.9199999999983</v>
      </c>
      <c r="I157" s="165"/>
      <c r="J157" s="328">
        <f>H157/DAY(B2)</f>
        <v>-247.81090909090892</v>
      </c>
    </row>
    <row r="158" spans="1:10" ht="30.75" customHeight="1">
      <c r="A158" s="873" t="s">
        <v>361</v>
      </c>
      <c r="B158" s="874"/>
      <c r="C158" s="875"/>
      <c r="D158" s="117" t="s">
        <v>130</v>
      </c>
      <c r="E158" s="95">
        <f>'10'!F158</f>
        <v>224.38</v>
      </c>
      <c r="F158" s="155">
        <v>224.4</v>
      </c>
      <c r="G158" s="112">
        <f t="shared" si="12"/>
        <v>2.0000000000010232E-2</v>
      </c>
      <c r="H158" s="99">
        <f>G158+'10'!H158</f>
        <v>135.97999999999999</v>
      </c>
      <c r="I158" s="165"/>
      <c r="J158" s="328">
        <f>H158/DAY(B2)</f>
        <v>12.361818181818181</v>
      </c>
    </row>
    <row r="159" spans="1:10" ht="30.75" customHeight="1">
      <c r="A159" s="958"/>
      <c r="B159" s="959"/>
      <c r="C159" s="960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478731.24</v>
      </c>
      <c r="F161" s="235">
        <v>478869.16</v>
      </c>
      <c r="G161" s="238">
        <f>F161-E161</f>
        <v>137.9199999999837</v>
      </c>
      <c r="H161" s="99">
        <f>G161+'10'!H161</f>
        <v>-1183.8400000000256</v>
      </c>
      <c r="I161" s="236"/>
      <c r="J161" s="239">
        <f>H161/DAY(B2)</f>
        <v>-107.62181818182052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94150.3</v>
      </c>
      <c r="F162" s="235">
        <v>94188.7</v>
      </c>
      <c r="G162" s="238">
        <f t="shared" ref="G162:G165" si="13">F162-E162</f>
        <v>38.399999999994179</v>
      </c>
      <c r="H162" s="99">
        <f>G162+'10'!H162</f>
        <v>-739.30000000000291</v>
      </c>
      <c r="I162" s="236"/>
      <c r="J162" s="239">
        <f>H162/DAY(B2)</f>
        <v>-67.209090909091174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3502.3</v>
      </c>
      <c r="F163" s="235">
        <v>3644.7</v>
      </c>
      <c r="G163" s="238">
        <f t="shared" si="13"/>
        <v>142.39999999999964</v>
      </c>
      <c r="H163" s="99">
        <f>G163+'10'!H163</f>
        <v>-2856.3</v>
      </c>
      <c r="I163" s="236"/>
      <c r="J163" s="239">
        <f>H163/DAY(B2)</f>
        <v>-259.66363636363639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6009</v>
      </c>
      <c r="F164" s="235">
        <v>6020.2</v>
      </c>
      <c r="G164" s="238">
        <f t="shared" si="13"/>
        <v>11.199999999999818</v>
      </c>
      <c r="H164" s="99">
        <f>G164+'10'!H164</f>
        <v>-259.80000000000018</v>
      </c>
      <c r="I164" s="236"/>
      <c r="J164" s="239">
        <f>H164/DAY(B2)</f>
        <v>-23.618181818181835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31437.74</v>
      </c>
      <c r="F165" s="235">
        <v>31447.21</v>
      </c>
      <c r="G165" s="238">
        <f t="shared" si="13"/>
        <v>9.4699999999975262</v>
      </c>
      <c r="H165" s="99">
        <f>G165+'10'!H165</f>
        <v>-186.79000000000087</v>
      </c>
      <c r="I165" s="236"/>
      <c r="J165" s="239">
        <f>H165/DAY(B2)</f>
        <v>-16.980909090909169</v>
      </c>
    </row>
    <row r="166" spans="1:10" ht="30.75" customHeight="1">
      <c r="A166" s="881"/>
      <c r="B166" s="881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881"/>
      <c r="B167" s="881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881"/>
      <c r="B168" s="881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30.75" customHeight="1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87" t="s">
        <v>209</v>
      </c>
      <c r="B173" s="888"/>
      <c r="C173" s="333"/>
      <c r="D173" s="228" t="s">
        <v>142</v>
      </c>
      <c r="E173" s="95">
        <f>'10'!F173</f>
        <v>8267</v>
      </c>
      <c r="F173" s="157">
        <v>8276</v>
      </c>
      <c r="G173" s="155">
        <f>F173-E173</f>
        <v>9</v>
      </c>
      <c r="H173" s="99">
        <f>G173+'10'!H173</f>
        <v>41</v>
      </c>
      <c r="I173" s="155"/>
      <c r="J173" s="178">
        <f>H173/DAY(B2)</f>
        <v>3.7272727272727271</v>
      </c>
    </row>
    <row r="174" spans="1:10" ht="30.75" customHeight="1">
      <c r="A174" s="887" t="s">
        <v>75</v>
      </c>
      <c r="B174" s="888"/>
      <c r="C174" s="333"/>
      <c r="D174" s="228" t="s">
        <v>142</v>
      </c>
      <c r="E174" s="95">
        <f>'10'!F174</f>
        <v>40916</v>
      </c>
      <c r="F174" s="157">
        <v>40932</v>
      </c>
      <c r="G174" s="155">
        <f t="shared" ref="G174:G175" si="14">F174-E174</f>
        <v>16</v>
      </c>
      <c r="H174" s="99">
        <f>G174+'10'!H174</f>
        <v>-272</v>
      </c>
      <c r="I174" s="155"/>
      <c r="J174" s="178">
        <f>H174/DAY(B2)</f>
        <v>-24.727272727272727</v>
      </c>
    </row>
    <row r="175" spans="1:10" ht="30.75" customHeight="1">
      <c r="A175" s="887" t="s">
        <v>76</v>
      </c>
      <c r="B175" s="927"/>
      <c r="C175" s="888"/>
      <c r="D175" s="228" t="s">
        <v>142</v>
      </c>
      <c r="E175" s="95">
        <f>'10'!F175</f>
        <v>23783</v>
      </c>
      <c r="F175" s="155">
        <v>23794</v>
      </c>
      <c r="G175" s="155">
        <f t="shared" si="14"/>
        <v>11</v>
      </c>
      <c r="H175" s="99">
        <f>G175+'10'!H175</f>
        <v>-237</v>
      </c>
      <c r="I175" s="155"/>
      <c r="J175" s="178">
        <f>H175/DAY(B2)</f>
        <v>-21.545454545454547</v>
      </c>
    </row>
    <row r="176" spans="1:10" ht="30.75" customHeight="1">
      <c r="A176" s="876" t="s">
        <v>196</v>
      </c>
      <c r="B176" s="877"/>
      <c r="C176" s="401"/>
      <c r="D176" s="228" t="s">
        <v>142</v>
      </c>
      <c r="E176" s="95"/>
      <c r="F176" s="155"/>
      <c r="G176" s="155">
        <f>SUM(G173:G175)</f>
        <v>36</v>
      </c>
      <c r="H176" s="99">
        <f>G176+'10'!H176</f>
        <v>-468</v>
      </c>
      <c r="I176" s="155"/>
      <c r="J176" s="178">
        <f>H176/DAY(B2)</f>
        <v>-42.545454545454547</v>
      </c>
    </row>
    <row r="177" spans="1:10" ht="30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87" t="s">
        <v>210</v>
      </c>
      <c r="B178" s="888"/>
      <c r="C178" s="333"/>
      <c r="D178" s="228" t="s">
        <v>142</v>
      </c>
      <c r="E178" s="95">
        <f>'10'!F178</f>
        <v>95639</v>
      </c>
      <c r="F178" s="155">
        <v>95747</v>
      </c>
      <c r="G178" s="155">
        <f>F178-E178</f>
        <v>108</v>
      </c>
      <c r="H178" s="99">
        <f>G178+'10'!H178</f>
        <v>-1966</v>
      </c>
      <c r="I178" s="155"/>
      <c r="J178" s="178">
        <f>H178/DAY(B2)</f>
        <v>-178.72727272727272</v>
      </c>
    </row>
    <row r="179" spans="1:10" ht="30.75" customHeight="1">
      <c r="A179" s="887" t="s">
        <v>211</v>
      </c>
      <c r="B179" s="888"/>
      <c r="C179" s="333"/>
      <c r="D179" s="228" t="s">
        <v>142</v>
      </c>
      <c r="E179" s="95">
        <f>'10'!F179</f>
        <v>36002</v>
      </c>
      <c r="F179" s="155">
        <v>36002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887" t="s">
        <v>212</v>
      </c>
      <c r="B180" s="888"/>
      <c r="C180" s="333"/>
      <c r="D180" s="228" t="s">
        <v>142</v>
      </c>
      <c r="E180" s="95">
        <f>'10'!F180</f>
        <v>6953</v>
      </c>
      <c r="F180" s="155">
        <v>6960</v>
      </c>
      <c r="G180" s="155">
        <f t="shared" si="15"/>
        <v>7</v>
      </c>
      <c r="H180" s="99">
        <f>G180+'10'!H180</f>
        <v>-209</v>
      </c>
      <c r="I180" s="155"/>
      <c r="J180" s="178">
        <f>H180/DAY(B2)</f>
        <v>-19</v>
      </c>
    </row>
    <row r="181" spans="1:10" ht="30.75" customHeight="1">
      <c r="A181" s="889" t="s">
        <v>108</v>
      </c>
      <c r="B181" s="890"/>
      <c r="C181" s="401"/>
      <c r="D181" s="228" t="s">
        <v>142</v>
      </c>
      <c r="E181" s="95"/>
      <c r="F181" s="155"/>
      <c r="G181" s="155">
        <f>SUM(G178:G180)</f>
        <v>115</v>
      </c>
      <c r="H181" s="99">
        <f>G181+'10'!H181</f>
        <v>-2175</v>
      </c>
      <c r="I181" s="155"/>
      <c r="J181" s="178">
        <f>H181/DAY(B2)</f>
        <v>-197.72727272727272</v>
      </c>
    </row>
    <row r="182" spans="1:10" ht="30.75" customHeight="1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87" t="s">
        <v>214</v>
      </c>
      <c r="B183" s="888"/>
      <c r="C183" s="334"/>
      <c r="D183" s="228" t="s">
        <v>142</v>
      </c>
      <c r="E183" s="95">
        <f>'10'!F183</f>
        <v>17349</v>
      </c>
      <c r="F183" s="157">
        <v>17352</v>
      </c>
      <c r="G183" s="157">
        <f>F183-E183</f>
        <v>3</v>
      </c>
      <c r="H183" s="99">
        <f>G183+'10'!H183</f>
        <v>-121</v>
      </c>
      <c r="I183" s="155"/>
      <c r="J183" s="178">
        <f>H183/DAY(B2)</f>
        <v>-11</v>
      </c>
    </row>
    <row r="184" spans="1:10" ht="30.75" customHeight="1">
      <c r="A184" s="887" t="s">
        <v>215</v>
      </c>
      <c r="B184" s="888"/>
      <c r="C184" s="334"/>
      <c r="D184" s="228" t="s">
        <v>142</v>
      </c>
      <c r="E184" s="95">
        <f>'10'!F184</f>
        <v>11748</v>
      </c>
      <c r="F184" s="157">
        <v>11761</v>
      </c>
      <c r="G184" s="157">
        <f t="shared" ref="G184:G185" si="16">F184-E184</f>
        <v>13</v>
      </c>
      <c r="H184" s="99">
        <f>G184+'10'!H184</f>
        <v>-174</v>
      </c>
      <c r="I184" s="155"/>
      <c r="J184" s="178">
        <f>H184/DAY(B2)</f>
        <v>-15.818181818181818</v>
      </c>
    </row>
    <row r="185" spans="1:10" ht="30.75" customHeight="1">
      <c r="A185" s="887" t="s">
        <v>216</v>
      </c>
      <c r="B185" s="888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876" t="s">
        <v>196</v>
      </c>
      <c r="B186" s="877"/>
      <c r="C186" s="400"/>
      <c r="D186" s="228" t="s">
        <v>142</v>
      </c>
      <c r="E186" s="95"/>
      <c r="F186" s="157"/>
      <c r="G186" s="157">
        <f>SUM(G183:G185)</f>
        <v>16</v>
      </c>
      <c r="H186" s="99">
        <f>G186+'10'!H186</f>
        <v>-295</v>
      </c>
      <c r="I186" s="157"/>
      <c r="J186" s="178">
        <f>H186/DAY(B2)</f>
        <v>-26.818181818181817</v>
      </c>
    </row>
    <row r="187" spans="1:10" ht="30.75" customHeight="1">
      <c r="A187" s="878" t="s">
        <v>217</v>
      </c>
      <c r="B187" s="879"/>
      <c r="C187" s="333"/>
      <c r="D187" s="230" t="s">
        <v>142</v>
      </c>
      <c r="E187" s="95"/>
      <c r="F187" s="159"/>
      <c r="G187" s="378">
        <f>G62+G19</f>
        <v>173</v>
      </c>
      <c r="H187" s="99">
        <f>G187+'10'!H187</f>
        <v>-3397</v>
      </c>
      <c r="I187" s="158"/>
      <c r="J187" s="179">
        <f>H187/DAY(B2)</f>
        <v>-308.81818181818181</v>
      </c>
    </row>
    <row r="188" spans="1:10" ht="30.75" customHeight="1">
      <c r="A188" s="878" t="s">
        <v>218</v>
      </c>
      <c r="B188" s="879"/>
      <c r="C188" s="333"/>
      <c r="D188" s="230" t="s">
        <v>142</v>
      </c>
      <c r="E188" s="95"/>
      <c r="F188" s="159"/>
      <c r="G188" s="378">
        <f>G65+G66+G67+G69+G70</f>
        <v>138</v>
      </c>
      <c r="H188" s="99">
        <f>G188+'10'!H188</f>
        <v>-3045</v>
      </c>
      <c r="I188" s="158"/>
      <c r="J188" s="179">
        <f>H188/DAY(B2)</f>
        <v>-276.81818181818181</v>
      </c>
    </row>
    <row r="189" spans="1:10" ht="30.75" customHeight="1">
      <c r="A189" s="878" t="s">
        <v>219</v>
      </c>
      <c r="B189" s="879"/>
      <c r="C189" s="333"/>
      <c r="D189" s="230" t="s">
        <v>142</v>
      </c>
      <c r="E189" s="95"/>
      <c r="F189" s="157"/>
      <c r="G189" s="377">
        <f>G181</f>
        <v>115</v>
      </c>
      <c r="H189" s="99">
        <f>G189+'10'!H189</f>
        <v>-2175</v>
      </c>
      <c r="I189" s="158"/>
      <c r="J189" s="179">
        <f>H189/DAY(B2)</f>
        <v>-197.72727272727272</v>
      </c>
    </row>
    <row r="190" spans="1:10" ht="30.75" customHeight="1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18" zoomScale="55" zoomScaleNormal="75" zoomScaleSheetLayoutView="55" workbookViewId="0">
      <selection activeCell="F15" sqref="F15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32.25" customHeight="1">
      <c r="A2" s="191" t="s">
        <v>354</v>
      </c>
      <c r="B2" s="262">
        <v>44754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30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624028</v>
      </c>
      <c r="F7" s="95">
        <f>E7+26200</f>
        <v>650228</v>
      </c>
      <c r="G7" s="112">
        <f>F7-E7</f>
        <v>26200</v>
      </c>
      <c r="H7" s="99">
        <f>G7+'11'!H7</f>
        <v>313098</v>
      </c>
      <c r="I7" s="113">
        <f>'1'!I7</f>
        <v>12000</v>
      </c>
      <c r="J7" s="175">
        <f>H7/DAY(B2)</f>
        <v>26091.5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779353</v>
      </c>
      <c r="F8" s="95">
        <f>E8+26500</f>
        <v>805853</v>
      </c>
      <c r="G8" s="115">
        <f>F8-E8</f>
        <v>26500</v>
      </c>
      <c r="H8" s="99">
        <f>G8+'11'!H8</f>
        <v>317266</v>
      </c>
      <c r="I8" s="116"/>
      <c r="J8" s="175">
        <f>H8/DAY(B2)</f>
        <v>26438.833333333332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3068315.9</v>
      </c>
      <c r="F9" s="469">
        <v>3080354.5</v>
      </c>
      <c r="G9" s="112">
        <f>F9-E9</f>
        <v>12038.600000000093</v>
      </c>
      <c r="H9" s="99">
        <f>G9+'11'!H9</f>
        <v>-198711.5</v>
      </c>
      <c r="I9" s="124">
        <f>I7-J7</f>
        <v>-14091.5</v>
      </c>
      <c r="J9" s="175">
        <f>H9/DAY(B2)</f>
        <v>-16559.291666666668</v>
      </c>
      <c r="K9" s="79">
        <f>K8-100</f>
        <v>1715817</v>
      </c>
      <c r="L9" s="66"/>
      <c r="N9" s="87"/>
      <c r="O9" s="71">
        <f>G9-G10</f>
        <v>-1195.8999999999069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1373052.5</v>
      </c>
      <c r="F10" s="353">
        <v>1386287</v>
      </c>
      <c r="G10" s="112">
        <f t="shared" ref="G10:G12" si="0">F10-E10</f>
        <v>13234.5</v>
      </c>
      <c r="H10" s="99">
        <f>G10+'11'!H10</f>
        <v>-280871</v>
      </c>
      <c r="I10" s="282"/>
      <c r="J10" s="175">
        <f>H10/DAY(B2)</f>
        <v>-23405.916666666668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25273.100000000093</v>
      </c>
      <c r="H13" s="99">
        <f>G13+'11'!H13</f>
        <v>-478247.90000000014</v>
      </c>
      <c r="I13" s="120">
        <f>G7-G13</f>
        <v>926.89999999990687</v>
      </c>
      <c r="J13" s="175">
        <f>H13/DAY(B2)</f>
        <v>-39853.991666666676</v>
      </c>
      <c r="K13" s="79"/>
      <c r="L13" s="66"/>
      <c r="N13" s="87"/>
      <c r="O13" s="71"/>
    </row>
    <row r="14" spans="1:15" ht="32.25" customHeight="1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2112008</v>
      </c>
      <c r="F15" s="469">
        <f>E15+1000</f>
        <v>2113008</v>
      </c>
      <c r="G15" s="112">
        <f>(F15-E15)</f>
        <v>1000</v>
      </c>
      <c r="H15" s="99">
        <f>G15+'11'!H15</f>
        <v>12140</v>
      </c>
      <c r="I15" s="113">
        <f>'1'!I15</f>
        <v>800</v>
      </c>
      <c r="J15" s="175">
        <f>H15/DAY(B2)</f>
        <v>1011.6666666666666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-211.66666666666663</v>
      </c>
      <c r="J16" s="176"/>
      <c r="K16" s="79"/>
      <c r="L16" s="66"/>
      <c r="N16" s="87"/>
      <c r="O16" s="71"/>
    </row>
    <row r="17" spans="1:15" ht="32.25" customHeight="1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915" t="s">
        <v>141</v>
      </c>
      <c r="B18" s="916"/>
      <c r="C18" s="917"/>
      <c r="D18" s="151" t="s">
        <v>142</v>
      </c>
      <c r="E18" s="95">
        <f>'11'!F18</f>
        <v>17</v>
      </c>
      <c r="F18" s="122">
        <v>20</v>
      </c>
      <c r="G18" s="119">
        <f>F18*10</f>
        <v>200</v>
      </c>
      <c r="H18" s="99">
        <f>G18+'11'!H18</f>
        <v>2100</v>
      </c>
      <c r="I18" s="113">
        <f>'1'!I18</f>
        <v>65</v>
      </c>
      <c r="J18" s="175">
        <f>H18/DAY(B2)</f>
        <v>175</v>
      </c>
      <c r="K18" s="79"/>
      <c r="L18" s="66"/>
      <c r="N18" s="87"/>
      <c r="O18" s="71"/>
    </row>
    <row r="19" spans="1:15" ht="32.25" customHeight="1">
      <c r="A19" s="915" t="s">
        <v>69</v>
      </c>
      <c r="B19" s="916"/>
      <c r="C19" s="917"/>
      <c r="D19" s="151" t="s">
        <v>142</v>
      </c>
      <c r="E19" s="95">
        <f>'11'!F19</f>
        <v>161359</v>
      </c>
      <c r="F19" s="122">
        <v>161413</v>
      </c>
      <c r="G19" s="112">
        <f t="shared" ref="G19" si="1">F19-E19</f>
        <v>54</v>
      </c>
      <c r="H19" s="99">
        <f>G19+'11'!H19</f>
        <v>-916</v>
      </c>
      <c r="I19" s="335"/>
      <c r="J19" s="175">
        <f>H19/DAY(B2)</f>
        <v>-76.333333333333329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254</v>
      </c>
      <c r="H20" s="99">
        <f>G20+'11'!H20</f>
        <v>1184</v>
      </c>
      <c r="I20" s="336">
        <f>I18-J20</f>
        <v>-33.666666666666671</v>
      </c>
      <c r="J20" s="175">
        <f>H20/DAY(B2)</f>
        <v>98.666666666666671</v>
      </c>
      <c r="K20" s="79"/>
      <c r="L20" s="66"/>
      <c r="N20" s="87"/>
      <c r="O20" s="71"/>
    </row>
    <row r="21" spans="1:15" ht="32.25" customHeight="1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4470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G27+'11'!H27</f>
        <v>2855394</v>
      </c>
      <c r="I27" s="138"/>
      <c r="J27" s="175">
        <f>H27/DAY(B2)</f>
        <v>237949.5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G28+'11'!H28</f>
        <v>849800</v>
      </c>
      <c r="I28" s="140"/>
      <c r="J28" s="175">
        <f>H28/DAY(B2)</f>
        <v>70816.666666666672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G30+'11'!H30</f>
        <v>-138316</v>
      </c>
      <c r="I30" s="140"/>
      <c r="J30" s="175">
        <f>H30/DAY(B2)</f>
        <v>-11526.333333333334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G31+'11'!H31</f>
        <v>168000</v>
      </c>
      <c r="I31" s="140"/>
      <c r="J31" s="175">
        <f>H31/DAY(B2)</f>
        <v>14000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332654</v>
      </c>
      <c r="H32" s="99">
        <f>G32+'11'!H32</f>
        <v>3734878</v>
      </c>
      <c r="I32" s="144"/>
      <c r="J32" s="175">
        <f>H32/DAY(B2)</f>
        <v>311239.83333333331</v>
      </c>
      <c r="K32" s="63"/>
      <c r="L32" s="89"/>
      <c r="N32" s="87"/>
      <c r="O32" s="71"/>
    </row>
    <row r="33" spans="1:15" ht="32.2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238713.05</v>
      </c>
      <c r="F35" s="145">
        <v>238713</v>
      </c>
      <c r="G35" s="112">
        <f t="shared" ref="G35:G46" si="3">F35-E35</f>
        <v>-4.9999999988358468E-2</v>
      </c>
      <c r="H35" s="99">
        <f>G35+'11'!H35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197092.55</v>
      </c>
      <c r="F36" s="145">
        <v>197796.77</v>
      </c>
      <c r="G36" s="112">
        <f t="shared" si="3"/>
        <v>704.22000000000116</v>
      </c>
      <c r="H36" s="99">
        <f>G36+'11'!H36</f>
        <v>-17733.23000000001</v>
      </c>
      <c r="I36" s="95"/>
      <c r="J36" s="175">
        <f>H36/DAY(B2)</f>
        <v>-1477.7691666666676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304153.39</v>
      </c>
      <c r="F37" s="376">
        <v>305706.03000000003</v>
      </c>
      <c r="G37" s="112">
        <f t="shared" si="3"/>
        <v>1552.640000000014</v>
      </c>
      <c r="H37" s="99">
        <f>G37+'11'!H37</f>
        <v>-17292.969999999972</v>
      </c>
      <c r="I37" s="95"/>
      <c r="J37" s="175">
        <f>H37/DAY(B2)</f>
        <v>-1441.0808333333309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411507.55</v>
      </c>
      <c r="F38" s="108">
        <v>413753.87</v>
      </c>
      <c r="G38" s="112">
        <f t="shared" si="3"/>
        <v>2246.320000000007</v>
      </c>
      <c r="H38" s="99">
        <f>G38+'11'!H38</f>
        <v>-43607.130000000005</v>
      </c>
      <c r="I38" s="95"/>
      <c r="J38" s="175">
        <f>H38/DAY(B2)</f>
        <v>-3633.9275000000002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556009.91</v>
      </c>
      <c r="F39" s="145">
        <v>558849.71</v>
      </c>
      <c r="G39" s="112">
        <f t="shared" si="3"/>
        <v>2839.7999999999302</v>
      </c>
      <c r="H39" s="99">
        <f>G39+'11'!H39</f>
        <v>-32734.290000000037</v>
      </c>
      <c r="I39" s="95"/>
      <c r="J39" s="175">
        <f>H39/DAY(B2)</f>
        <v>-2727.8575000000033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90601.51</v>
      </c>
      <c r="F40" s="145">
        <v>91323.37</v>
      </c>
      <c r="G40" s="112">
        <f t="shared" si="3"/>
        <v>721.86000000000058</v>
      </c>
      <c r="H40" s="99">
        <f>G40+'11'!H40</f>
        <v>-15452.630000000005</v>
      </c>
      <c r="I40" s="95"/>
      <c r="J40" s="175">
        <f>H40/DAY(B2)</f>
        <v>-1287.719166666667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158338.76999999999</v>
      </c>
      <c r="F41" s="145">
        <v>161659.39000000001</v>
      </c>
      <c r="G41" s="112">
        <f t="shared" si="3"/>
        <v>3320.6200000000244</v>
      </c>
      <c r="H41" s="99">
        <f>G41+'11'!H41</f>
        <v>-50043.609999999986</v>
      </c>
      <c r="I41" s="95"/>
      <c r="J41" s="175">
        <f>H41/DAY(B2)</f>
        <v>-4170.3008333333319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724441.83</v>
      </c>
      <c r="F42" s="145">
        <v>724441.83</v>
      </c>
      <c r="G42" s="112">
        <f t="shared" si="3"/>
        <v>0</v>
      </c>
      <c r="H42" s="99">
        <f>G42+'11'!H42</f>
        <v>-23922.170000000042</v>
      </c>
      <c r="I42" s="95"/>
      <c r="J42" s="175">
        <f>H42/DAY(B2)</f>
        <v>-1993.5141666666702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376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11385.409999999989</v>
      </c>
      <c r="H47" s="99">
        <f>G47+'11'!H47</f>
        <v>-200786.03000000009</v>
      </c>
      <c r="I47" s="95"/>
      <c r="J47" s="175">
        <f>H47/DAY(B2)</f>
        <v>-16732.169166666674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407906.59</v>
      </c>
      <c r="F49" s="145">
        <v>411526.27</v>
      </c>
      <c r="G49" s="112">
        <f t="shared" ref="G49:G58" si="4">F49-E49</f>
        <v>3619.679999999993</v>
      </c>
      <c r="H49" s="99">
        <f>G49+'11'!H49</f>
        <v>-73527.729999999981</v>
      </c>
      <c r="I49" s="95"/>
      <c r="J49" s="175">
        <f>H49/DAY(B2)</f>
        <v>-6127.3108333333321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256453.01</v>
      </c>
      <c r="F50" s="145">
        <v>257513.53</v>
      </c>
      <c r="G50" s="112">
        <f t="shared" si="4"/>
        <v>1060.5199999999895</v>
      </c>
      <c r="H50" s="99">
        <f>G50+'11'!H50</f>
        <v>-25236.47</v>
      </c>
      <c r="I50" s="95"/>
      <c r="J50" s="175">
        <f>H50/DAY(B2)</f>
        <v>-2103.0391666666669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75.680000000000007</v>
      </c>
      <c r="G51" s="112">
        <f t="shared" si="4"/>
        <v>-0.31999999999999318</v>
      </c>
      <c r="H51" s="99">
        <f>G51+'11'!H51</f>
        <v>-8432.32</v>
      </c>
      <c r="I51" s="95"/>
      <c r="J51" s="175">
        <f>H51/DAY(B2)</f>
        <v>-702.69333333333327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9.76</v>
      </c>
      <c r="G52" s="112">
        <f t="shared" si="4"/>
        <v>0</v>
      </c>
      <c r="H52" s="99">
        <f>G52+'11'!H52</f>
        <v>-0.24000000000000021</v>
      </c>
      <c r="I52" s="95"/>
      <c r="J52" s="175">
        <f>H52/DAY(B2)</f>
        <v>-2.0000000000000018E-2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-33861</v>
      </c>
      <c r="I53" s="95"/>
      <c r="J53" s="175">
        <f>H53/DAY(B2)</f>
        <v>-2821.75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80904.52</v>
      </c>
      <c r="F54" s="145">
        <v>81254.48</v>
      </c>
      <c r="G54" s="112">
        <f t="shared" si="4"/>
        <v>349.95999999999185</v>
      </c>
      <c r="H54" s="99">
        <f>G54+'11'!H54</f>
        <v>-6688.5200000000041</v>
      </c>
      <c r="I54" s="95"/>
      <c r="J54" s="175">
        <f>H54/DAY(B2)</f>
        <v>-557.37666666666701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306778.34999999998</v>
      </c>
      <c r="F55" s="145">
        <v>310432.33</v>
      </c>
      <c r="G55" s="112">
        <f t="shared" si="4"/>
        <v>3653.9800000000396</v>
      </c>
      <c r="H55" s="99">
        <f>G55+'11'!H55</f>
        <v>-52344.669999999984</v>
      </c>
      <c r="I55" s="95"/>
      <c r="J55" s="175">
        <f>H55/DAY(B2)</f>
        <v>-4362.055833333332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120880.14</v>
      </c>
      <c r="F56" s="145">
        <v>120880.14</v>
      </c>
      <c r="G56" s="112">
        <f t="shared" si="4"/>
        <v>0</v>
      </c>
      <c r="H56" s="99">
        <f>G56+'11'!H56</f>
        <v>-3001.8600000000006</v>
      </c>
      <c r="I56" s="95"/>
      <c r="J56" s="175">
        <f>H56/DAY(B2)</f>
        <v>-250.15500000000006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166092.13</v>
      </c>
      <c r="F57" s="145">
        <v>169223.23</v>
      </c>
      <c r="G57" s="112">
        <f t="shared" si="4"/>
        <v>3131.1000000000058</v>
      </c>
      <c r="H57" s="99">
        <f>G57+'11'!H57</f>
        <v>-56946.76999999999</v>
      </c>
      <c r="I57" s="95"/>
      <c r="J57" s="175">
        <f>H57/DAY(B2)</f>
        <v>-4745.5641666666661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43512.45</v>
      </c>
      <c r="F58" s="145">
        <v>43785.72</v>
      </c>
      <c r="G58" s="112">
        <f t="shared" si="4"/>
        <v>273.27000000000407</v>
      </c>
      <c r="H58" s="99">
        <f>G58+'11'!H58</f>
        <v>-5323.2799999999988</v>
      </c>
      <c r="I58" s="95"/>
      <c r="J58" s="175">
        <f>H58/DAY(B2)</f>
        <v>-443.60666666666657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12088.190000000024</v>
      </c>
      <c r="H59" s="99">
        <f>G59+'11'!H59</f>
        <v>-265362.85999999993</v>
      </c>
      <c r="I59" s="95">
        <f>G7-G60</f>
        <v>2726.3999999999869</v>
      </c>
      <c r="J59" s="175">
        <f>H59/DAY(B2)</f>
        <v>-22113.571666666659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23473.600000000013</v>
      </c>
      <c r="H60" s="99">
        <f>G60+'11'!H60</f>
        <v>-466148.89000000007</v>
      </c>
      <c r="I60" s="95">
        <f>G13-G60</f>
        <v>1799.50000000008</v>
      </c>
      <c r="J60" s="175">
        <f>H60/DAY(B2)</f>
        <v>-38845.740833333337</v>
      </c>
      <c r="K60" s="79"/>
      <c r="L60" s="66"/>
      <c r="N60" s="87"/>
      <c r="O60" s="71"/>
    </row>
    <row r="61" spans="1:15" s="68" customFormat="1" ht="32.25" customHeight="1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915" t="s">
        <v>198</v>
      </c>
      <c r="B62" s="916"/>
      <c r="C62" s="917"/>
      <c r="D62" s="151" t="s">
        <v>142</v>
      </c>
      <c r="E62" s="95">
        <f>'11'!F62</f>
        <v>293848</v>
      </c>
      <c r="F62" s="122">
        <v>293945</v>
      </c>
      <c r="G62" s="112">
        <f t="shared" ref="G62:G63" si="5">F62-E62</f>
        <v>97</v>
      </c>
      <c r="H62" s="99">
        <f>G62+'11'!H62</f>
        <v>-2330</v>
      </c>
      <c r="I62" s="118"/>
      <c r="J62" s="175">
        <f>H62/DAY(B2)</f>
        <v>-194.16666666666666</v>
      </c>
      <c r="K62" s="80"/>
      <c r="L62" s="66"/>
      <c r="N62" s="87"/>
      <c r="O62" s="71"/>
    </row>
    <row r="63" spans="1:15" ht="32.25" customHeight="1">
      <c r="A63" s="915" t="s">
        <v>199</v>
      </c>
      <c r="B63" s="916"/>
      <c r="C63" s="917"/>
      <c r="D63" s="151" t="s">
        <v>142</v>
      </c>
      <c r="E63" s="95">
        <f>'11'!F63</f>
        <v>236265</v>
      </c>
      <c r="F63" s="122">
        <v>236352</v>
      </c>
      <c r="G63" s="112">
        <f t="shared" si="5"/>
        <v>87</v>
      </c>
      <c r="H63" s="99">
        <f>G63+'11'!H63</f>
        <v>-2781</v>
      </c>
      <c r="I63" s="118"/>
      <c r="J63" s="175">
        <f>H63/DAY(B2)</f>
        <v>-231.75</v>
      </c>
      <c r="K63" s="69"/>
      <c r="L63" s="66"/>
      <c r="N63" s="87"/>
      <c r="O63" s="71"/>
    </row>
    <row r="64" spans="1:15" ht="32.25" customHeight="1">
      <c r="A64" s="924" t="s">
        <v>200</v>
      </c>
      <c r="B64" s="925"/>
      <c r="C64" s="926"/>
      <c r="D64" s="151"/>
      <c r="E64" s="95">
        <f>'11'!F64</f>
        <v>0</v>
      </c>
      <c r="F64" s="122"/>
      <c r="G64" s="112">
        <f>G62+G63</f>
        <v>184</v>
      </c>
      <c r="H64" s="99">
        <f>G64+'11'!H64</f>
        <v>-5111</v>
      </c>
      <c r="I64" s="118"/>
      <c r="J64" s="175">
        <f>H64/DAY(B2)</f>
        <v>-425.91666666666669</v>
      </c>
      <c r="K64" s="69"/>
      <c r="L64" s="66"/>
      <c r="N64" s="87"/>
      <c r="O64" s="71"/>
    </row>
    <row r="65" spans="1:15" ht="32.25" customHeight="1">
      <c r="A65" s="915" t="s">
        <v>201</v>
      </c>
      <c r="B65" s="916"/>
      <c r="C65" s="917"/>
      <c r="D65" s="151" t="s">
        <v>142</v>
      </c>
      <c r="E65" s="95">
        <f>'11'!F65</f>
        <v>452475</v>
      </c>
      <c r="F65" s="122">
        <v>452579</v>
      </c>
      <c r="G65" s="112">
        <f t="shared" ref="G65:G70" si="6">F65-E65</f>
        <v>104</v>
      </c>
      <c r="H65" s="99">
        <f>G65+'11'!H65</f>
        <v>-2131</v>
      </c>
      <c r="I65" s="118"/>
      <c r="J65" s="175">
        <f>H65/DAY(B2)</f>
        <v>-177.58333333333334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111231</v>
      </c>
      <c r="F66" s="122">
        <v>111255</v>
      </c>
      <c r="G66" s="112">
        <f t="shared" si="6"/>
        <v>24</v>
      </c>
      <c r="H66" s="99">
        <f>G66+'11'!H66</f>
        <v>-467</v>
      </c>
      <c r="I66" s="118"/>
      <c r="J66" s="175">
        <f>H66/DAY(B2)</f>
        <v>-38.916666666666664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113680</v>
      </c>
      <c r="F67" s="122">
        <v>113680</v>
      </c>
      <c r="G67" s="112">
        <f t="shared" si="6"/>
        <v>0</v>
      </c>
      <c r="H67" s="99">
        <f>G67+'11'!H67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163991</v>
      </c>
      <c r="F68" s="122">
        <v>164032</v>
      </c>
      <c r="G68" s="112">
        <f t="shared" si="6"/>
        <v>41</v>
      </c>
      <c r="H68" s="99">
        <f>G68+'11'!H68</f>
        <v>-630</v>
      </c>
      <c r="I68" s="118"/>
      <c r="J68" s="175">
        <f>H68/DAY(B2)</f>
        <v>-52.5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12181</v>
      </c>
      <c r="F69" s="122">
        <v>12185</v>
      </c>
      <c r="G69" s="112">
        <f t="shared" si="6"/>
        <v>4</v>
      </c>
      <c r="H69" s="99">
        <f>G69+'11'!H69</f>
        <v>-90</v>
      </c>
      <c r="I69" s="118"/>
      <c r="J69" s="175">
        <f>H69/DAY(B2)</f>
        <v>-7.5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9602</v>
      </c>
      <c r="F70" s="122">
        <v>9610</v>
      </c>
      <c r="G70" s="112">
        <f t="shared" si="6"/>
        <v>8</v>
      </c>
      <c r="H70" s="99">
        <f>G70+'11'!H70</f>
        <v>-217</v>
      </c>
      <c r="I70" s="118"/>
      <c r="J70" s="175">
        <f>H70/DAY(B2)</f>
        <v>-18.083333333333332</v>
      </c>
      <c r="K70" s="69"/>
      <c r="L70" s="66"/>
      <c r="N70" s="87"/>
      <c r="O70" s="71"/>
    </row>
    <row r="71" spans="1:15" ht="32.25" customHeight="1">
      <c r="A71" s="924" t="s">
        <v>208</v>
      </c>
      <c r="B71" s="925"/>
      <c r="C71" s="926"/>
      <c r="D71" s="152"/>
      <c r="E71" s="152"/>
      <c r="F71" s="152"/>
      <c r="G71" s="153">
        <f>SUM(G65:G70)</f>
        <v>181</v>
      </c>
      <c r="H71" s="99">
        <f>G71+'11'!H71</f>
        <v>-3535</v>
      </c>
      <c r="I71" s="154"/>
      <c r="J71" s="175">
        <f>H71/DAY(B2)</f>
        <v>-294.58333333333331</v>
      </c>
      <c r="K71" s="69"/>
      <c r="L71" s="66"/>
      <c r="N71" s="87"/>
      <c r="O71" s="71"/>
    </row>
    <row r="72" spans="1:15" s="88" customFormat="1" ht="32.25" customHeight="1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915" t="s">
        <v>220</v>
      </c>
      <c r="B74" s="916"/>
      <c r="C74" s="917"/>
      <c r="D74" s="151" t="s">
        <v>139</v>
      </c>
      <c r="E74" s="95">
        <f>'11'!F74</f>
        <v>951004.73</v>
      </c>
      <c r="F74" s="117">
        <v>951344.02</v>
      </c>
      <c r="G74" s="112">
        <f t="shared" ref="G74:G78" si="7">F74-E74</f>
        <v>339.29000000003725</v>
      </c>
      <c r="H74" s="99">
        <f>G74+'11'!H74</f>
        <v>-6313.8399999999674</v>
      </c>
      <c r="I74" s="154"/>
      <c r="J74" s="175">
        <f>H74/DAY(B2)</f>
        <v>-526.15333333333058</v>
      </c>
      <c r="K74" s="69"/>
      <c r="L74" s="66"/>
      <c r="N74" s="87"/>
      <c r="O74" s="71"/>
    </row>
    <row r="75" spans="1:15" ht="32.25" customHeight="1">
      <c r="A75" s="915" t="s">
        <v>221</v>
      </c>
      <c r="B75" s="916"/>
      <c r="C75" s="917"/>
      <c r="D75" s="151" t="s">
        <v>139</v>
      </c>
      <c r="E75" s="95">
        <f>'11'!F75</f>
        <v>73586.8</v>
      </c>
      <c r="F75" s="123">
        <v>73586.8</v>
      </c>
      <c r="G75" s="112">
        <f t="shared" si="7"/>
        <v>0</v>
      </c>
      <c r="H75" s="99">
        <f>G75+'11'!H75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2.25" customHeight="1">
      <c r="A76" s="912" t="s">
        <v>222</v>
      </c>
      <c r="B76" s="913"/>
      <c r="C76" s="914"/>
      <c r="D76" s="151" t="s">
        <v>139</v>
      </c>
      <c r="E76" s="95">
        <f>'11'!F76</f>
        <v>188055</v>
      </c>
      <c r="F76" s="123">
        <v>188143</v>
      </c>
      <c r="G76" s="112">
        <f t="shared" si="7"/>
        <v>88</v>
      </c>
      <c r="H76" s="99">
        <f>G76+'11'!H76</f>
        <v>-2029</v>
      </c>
      <c r="I76" s="154"/>
      <c r="J76" s="175">
        <f>H76/DAY(B2)</f>
        <v>-169.08333333333334</v>
      </c>
      <c r="K76" s="69"/>
      <c r="L76" s="66"/>
      <c r="N76" s="87"/>
      <c r="O76" s="71"/>
    </row>
    <row r="77" spans="1:15" ht="32.25" customHeight="1">
      <c r="A77" s="912" t="s">
        <v>223</v>
      </c>
      <c r="B77" s="913"/>
      <c r="C77" s="914"/>
      <c r="D77" s="151" t="s">
        <v>139</v>
      </c>
      <c r="E77" s="95">
        <f>'11'!F77</f>
        <v>49267</v>
      </c>
      <c r="F77" s="123">
        <v>49308</v>
      </c>
      <c r="G77" s="112">
        <f t="shared" si="7"/>
        <v>41</v>
      </c>
      <c r="H77" s="99">
        <f>G77+'11'!H77</f>
        <v>-1005</v>
      </c>
      <c r="I77" s="154"/>
      <c r="J77" s="175">
        <f>H77/DAY(B2)</f>
        <v>-83.75</v>
      </c>
      <c r="K77" s="69"/>
      <c r="L77" s="66"/>
      <c r="N77" s="87"/>
      <c r="O77" s="71"/>
    </row>
    <row r="78" spans="1:15" ht="32.25" customHeight="1">
      <c r="A78" s="912" t="s">
        <v>224</v>
      </c>
      <c r="B78" s="913"/>
      <c r="C78" s="914"/>
      <c r="D78" s="151" t="s">
        <v>139</v>
      </c>
      <c r="E78" s="95">
        <f>'11'!F78</f>
        <v>9563</v>
      </c>
      <c r="F78" s="123">
        <v>9563.4</v>
      </c>
      <c r="G78" s="112">
        <f t="shared" si="7"/>
        <v>0.3999999999996362</v>
      </c>
      <c r="H78" s="99">
        <f>G78+'11'!H78</f>
        <v>0.3999999999996362</v>
      </c>
      <c r="I78" s="118"/>
      <c r="J78" s="175">
        <f>H78/DAY(B2)</f>
        <v>3.3333333333303017E-2</v>
      </c>
      <c r="K78" s="69"/>
      <c r="L78" s="66"/>
      <c r="N78" s="87"/>
      <c r="O78" s="71"/>
    </row>
    <row r="79" spans="1:15" s="57" customFormat="1" ht="32.25" customHeight="1">
      <c r="A79" s="912" t="s">
        <v>225</v>
      </c>
      <c r="B79" s="913"/>
      <c r="C79" s="914"/>
      <c r="D79" s="151"/>
      <c r="E79" s="95">
        <f>'11'!F79</f>
        <v>0</v>
      </c>
      <c r="F79" s="117"/>
      <c r="G79" s="112">
        <f>G15-SUM(G74:G78)</f>
        <v>531.30999999996311</v>
      </c>
      <c r="H79" s="99">
        <f>G79+'11'!H79</f>
        <v>21487.439999999966</v>
      </c>
      <c r="I79" s="118"/>
      <c r="J79" s="175">
        <f>H79/DAY(B2)</f>
        <v>1790.6199999999972</v>
      </c>
      <c r="K79" s="59"/>
      <c r="L79" s="58"/>
      <c r="N79" s="87"/>
      <c r="O79" s="71"/>
    </row>
    <row r="80" spans="1:15" s="57" customFormat="1" ht="32.25" customHeight="1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>
        <f>G80+'11'!H80</f>
        <v>1000</v>
      </c>
      <c r="I80" s="118"/>
      <c r="J80" s="175">
        <f>H80/DAY(B2)</f>
        <v>83.333333333333329</v>
      </c>
      <c r="K80" s="59"/>
      <c r="L80" s="58"/>
      <c r="N80" s="87"/>
      <c r="O80" s="71"/>
    </row>
    <row r="81" spans="1:15" ht="32.25" customHeight="1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71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71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42340.05</v>
      </c>
      <c r="F84" s="164">
        <v>42355.41</v>
      </c>
      <c r="G84" s="112">
        <f t="shared" si="8"/>
        <v>15.360000000000582</v>
      </c>
      <c r="H84" s="99">
        <f>G84+'11'!H84</f>
        <v>-233.58999999999651</v>
      </c>
      <c r="I84" s="571"/>
      <c r="J84" s="175">
        <f>H84/DAY(B2)</f>
        <v>-19.465833333333041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5034.22</v>
      </c>
      <c r="F85" s="164">
        <v>5034.22</v>
      </c>
      <c r="G85" s="112">
        <f t="shared" si="8"/>
        <v>0</v>
      </c>
      <c r="H85" s="99">
        <f>G85+'11'!H85</f>
        <v>-105.96999999999935</v>
      </c>
      <c r="I85" s="571"/>
      <c r="J85" s="175">
        <f>H85/DAY(B2)</f>
        <v>-8.8308333333332794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45000.32</v>
      </c>
      <c r="F86" s="164">
        <v>45024.42</v>
      </c>
      <c r="G86" s="112">
        <f t="shared" si="8"/>
        <v>24.099999999998545</v>
      </c>
      <c r="H86" s="99">
        <f>G86+'11'!H86</f>
        <v>-354.58000000000175</v>
      </c>
      <c r="I86" s="571"/>
      <c r="J86" s="175">
        <f>H86/DAY(B2)</f>
        <v>-29.548333333333478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35433.01</v>
      </c>
      <c r="F87" s="164">
        <v>35433.01</v>
      </c>
      <c r="G87" s="112">
        <f t="shared" si="8"/>
        <v>0</v>
      </c>
      <c r="H87" s="99">
        <f>G87+'11'!H87</f>
        <v>-24.419999999998254</v>
      </c>
      <c r="I87" s="571">
        <f>G84+G85+G86+G87</f>
        <v>39.459999999999127</v>
      </c>
      <c r="J87" s="175">
        <f>H87/DAY(B2)</f>
        <v>-2.0349999999998545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24293.88</v>
      </c>
      <c r="F88" s="164">
        <v>24293.83</v>
      </c>
      <c r="G88" s="112">
        <f t="shared" si="8"/>
        <v>-4.9999999999272404E-2</v>
      </c>
      <c r="H88" s="99">
        <f>G88+'11'!H88</f>
        <v>-9.6299999999973807</v>
      </c>
      <c r="I88" s="571"/>
      <c r="J88" s="175">
        <f>H88/DAY(B2)</f>
        <v>-0.80249999999978172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27384.03</v>
      </c>
      <c r="F89" s="164">
        <v>27392.84</v>
      </c>
      <c r="G89" s="112">
        <f t="shared" si="8"/>
        <v>8.8100000000013097</v>
      </c>
      <c r="H89" s="99">
        <f>G89+'11'!H89</f>
        <v>-173.77000000000044</v>
      </c>
      <c r="I89" s="571">
        <f>G88+G89</f>
        <v>8.7600000000020373</v>
      </c>
      <c r="J89" s="175">
        <f>H89/DAY(B2)</f>
        <v>-14.48083333333337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72394.490000000005</v>
      </c>
      <c r="F90" s="164">
        <v>72405.48</v>
      </c>
      <c r="G90" s="112">
        <f t="shared" si="8"/>
        <v>10.989999999990687</v>
      </c>
      <c r="H90" s="99">
        <f>G90+'11'!H90</f>
        <v>-201.07000000000698</v>
      </c>
      <c r="I90" s="571">
        <f>G90</f>
        <v>10.989999999990687</v>
      </c>
      <c r="J90" s="175">
        <f>H90/DAY(B2)</f>
        <v>-16.755833333333914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4194.1499999999996</v>
      </c>
      <c r="F91" s="122">
        <v>4206.62</v>
      </c>
      <c r="G91" s="112">
        <f t="shared" si="8"/>
        <v>12.470000000000255</v>
      </c>
      <c r="H91" s="99">
        <f>G91+'11'!H91</f>
        <v>-82.920000000000073</v>
      </c>
      <c r="I91" s="590"/>
      <c r="J91" s="175">
        <f>H91/DAY(B2)</f>
        <v>-6.9100000000000064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6577.87</v>
      </c>
      <c r="F92" s="122">
        <v>6577.87</v>
      </c>
      <c r="G92" s="112">
        <f t="shared" si="8"/>
        <v>0</v>
      </c>
      <c r="H92" s="99">
        <f>G92+'11'!H92</f>
        <v>-139.46000000000004</v>
      </c>
      <c r="I92" s="596">
        <f>G91+G92</f>
        <v>12.470000000000255</v>
      </c>
      <c r="J92" s="175">
        <f>H92/DAY(B2)</f>
        <v>-11.62166666666667</v>
      </c>
      <c r="O92" s="71"/>
    </row>
    <row r="93" spans="1:15" ht="32.2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6750.7300000000105</v>
      </c>
      <c r="H94" s="99">
        <f>G94+'11'!H94</f>
        <v>-130474.49999999997</v>
      </c>
      <c r="I94" s="118"/>
      <c r="J94" s="175">
        <f>H94/DAY(B2)</f>
        <v>-10872.874999999998</v>
      </c>
      <c r="K94" s="69"/>
      <c r="L94" s="66"/>
      <c r="O94" s="71"/>
    </row>
    <row r="95" spans="1:15" ht="32.25" customHeight="1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0.25766145038167981</v>
      </c>
      <c r="H95" s="99">
        <f>G95+'11'!H95</f>
        <v>-4.9641514871165535</v>
      </c>
      <c r="I95" s="167"/>
      <c r="J95" s="175">
        <f>H95/DAY(B2)</f>
        <v>-0.41367929059304615</v>
      </c>
      <c r="K95" s="69"/>
      <c r="L95" s="66"/>
      <c r="O95" s="71"/>
    </row>
    <row r="96" spans="1:15" ht="32.25" customHeight="1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6974.600000000064</v>
      </c>
      <c r="H96" s="99">
        <f>G96+'11'!H96</f>
        <v>-129312.31</v>
      </c>
      <c r="I96" s="118"/>
      <c r="J96" s="175">
        <f>H96/DAY(B2)</f>
        <v>-10776.025833333333</v>
      </c>
      <c r="K96" s="69"/>
      <c r="L96" s="66"/>
      <c r="O96" s="71"/>
    </row>
    <row r="97" spans="1:15" ht="32.25" customHeight="1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0.26620610687023144</v>
      </c>
      <c r="H97" s="99">
        <f>G97+'11'!H97</f>
        <v>-4.9242527227766635</v>
      </c>
      <c r="I97" s="167"/>
      <c r="J97" s="175">
        <f>H97/DAY(B2)</f>
        <v>-0.41035439356472198</v>
      </c>
      <c r="K97" s="69"/>
      <c r="L97" s="66"/>
      <c r="O97" s="71"/>
    </row>
    <row r="98" spans="1:15" ht="32.25" customHeight="1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2839.7999999999302</v>
      </c>
      <c r="H98" s="99">
        <f>G98+'11'!H98</f>
        <v>-66595.290000000037</v>
      </c>
      <c r="I98" s="168"/>
      <c r="J98" s="175">
        <f>H98/DAY(B2)</f>
        <v>-5549.6075000000028</v>
      </c>
      <c r="K98" s="69"/>
      <c r="L98" s="66"/>
      <c r="O98" s="71"/>
    </row>
    <row r="99" spans="1:15" ht="32.25" customHeight="1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0.10838931297709657</v>
      </c>
      <c r="H99" s="99">
        <f>G99+'11'!H99</f>
        <v>-2.5322033118607701</v>
      </c>
      <c r="I99" s="168"/>
      <c r="J99" s="175">
        <f>H99/DAY(B2)</f>
        <v>-0.21101694265506418</v>
      </c>
      <c r="O99" s="71"/>
    </row>
    <row r="100" spans="1:15" ht="32.25" customHeight="1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2246.320000000007</v>
      </c>
      <c r="H100" s="99">
        <f>G100+'11'!H100</f>
        <v>-43607.37</v>
      </c>
      <c r="I100" s="118"/>
      <c r="J100" s="175">
        <f>H100/DAY(B2)</f>
        <v>-3633.9475000000002</v>
      </c>
      <c r="K100" s="70"/>
      <c r="O100" s="71"/>
    </row>
    <row r="101" spans="1:15" ht="32.25" customHeight="1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8.5737404580152943E-2</v>
      </c>
      <c r="H101" s="99">
        <f>G101+'11'!H101</f>
        <v>-1.6595705731762167</v>
      </c>
      <c r="I101" s="168"/>
      <c r="J101" s="175">
        <f>H101/DAY(B2)</f>
        <v>-0.13829754776468473</v>
      </c>
      <c r="O101" s="71"/>
    </row>
    <row r="102" spans="1:15" ht="32.25" customHeight="1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1764.7399999999907</v>
      </c>
      <c r="H102" s="99">
        <f>G102+'11'!H102</f>
        <v>-42969.700000000012</v>
      </c>
      <c r="I102" s="168"/>
      <c r="J102" s="175">
        <f>H102/DAY(B2)</f>
        <v>-3580.8083333333343</v>
      </c>
      <c r="O102" s="71"/>
    </row>
    <row r="103" spans="1:15" ht="32.25" customHeight="1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6.7356488549617968E-2</v>
      </c>
      <c r="H103" s="99">
        <f>G103+'11'!H103</f>
        <v>-1.6382169450487722</v>
      </c>
      <c r="I103" s="118"/>
      <c r="J103" s="175">
        <f>H103/DAY(B2)</f>
        <v>-0.13651807875406435</v>
      </c>
      <c r="O103" s="71"/>
    </row>
    <row r="104" spans="1:15" ht="32.25" customHeight="1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1552.320000000014</v>
      </c>
      <c r="H104" s="99">
        <f>G104+'11'!H104</f>
        <v>-25725.289999999972</v>
      </c>
      <c r="I104" s="118"/>
      <c r="J104" s="175">
        <f>H104/DAY(B2)</f>
        <v>-2143.7741666666643</v>
      </c>
      <c r="O104" s="71"/>
    </row>
    <row r="105" spans="1:15" ht="32.25" customHeight="1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5.9248854961832596E-2</v>
      </c>
      <c r="H105" s="99">
        <f>G105+'11'!H105</f>
        <v>-0.97949719506701372</v>
      </c>
      <c r="I105" s="187"/>
      <c r="J105" s="188">
        <f>H105/DAY(B2)</f>
        <v>-8.1624766255584472E-2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32.25" customHeight="1">
      <c r="A109" s="932"/>
      <c r="B109" s="932"/>
    </row>
    <row r="110" spans="1:15" ht="32.25" customHeight="1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32.25" customHeight="1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894" t="s">
        <v>252</v>
      </c>
      <c r="B112" s="895"/>
      <c r="C112" s="896"/>
      <c r="D112" s="146" t="s">
        <v>183</v>
      </c>
      <c r="E112" s="95">
        <f>'11'!F112</f>
        <v>5756.73</v>
      </c>
      <c r="F112" s="237">
        <v>5832.18</v>
      </c>
      <c r="G112" s="112">
        <f t="shared" ref="G112:G123" si="9">F112-E112</f>
        <v>75.450000000000728</v>
      </c>
      <c r="H112" s="99">
        <f>G112+'11'!H112</f>
        <v>-1432.8199999999997</v>
      </c>
      <c r="I112" s="165"/>
      <c r="J112" s="328">
        <f>H112/DAY(B2)</f>
        <v>-119.40166666666664</v>
      </c>
    </row>
    <row r="113" spans="1:18" ht="32.25" customHeight="1">
      <c r="A113" s="894" t="s">
        <v>253</v>
      </c>
      <c r="B113" s="895"/>
      <c r="C113" s="896"/>
      <c r="D113" s="146" t="s">
        <v>183</v>
      </c>
      <c r="E113" s="95">
        <f>'11'!F113</f>
        <v>12200.42</v>
      </c>
      <c r="F113" s="237">
        <v>12344.69</v>
      </c>
      <c r="G113" s="112">
        <f t="shared" si="9"/>
        <v>144.27000000000044</v>
      </c>
      <c r="H113" s="99">
        <f>G113+'11'!H113</f>
        <v>-2670.3099999999995</v>
      </c>
      <c r="I113" s="165"/>
      <c r="J113" s="328">
        <f>H113/DAY(B2)</f>
        <v>-222.52583333333328</v>
      </c>
    </row>
    <row r="114" spans="1:18" ht="32.25" customHeight="1">
      <c r="A114" s="894" t="s">
        <v>254</v>
      </c>
      <c r="B114" s="895"/>
      <c r="C114" s="896"/>
      <c r="D114" s="146" t="s">
        <v>183</v>
      </c>
      <c r="E114" s="95">
        <f>'11'!F114</f>
        <v>16719.849999999999</v>
      </c>
      <c r="F114" s="237">
        <v>16958.14</v>
      </c>
      <c r="G114" s="112">
        <f t="shared" si="9"/>
        <v>238.29000000000087</v>
      </c>
      <c r="H114" s="99">
        <f>G114+'11'!H114</f>
        <v>-4309.8600000000006</v>
      </c>
      <c r="I114" s="165"/>
      <c r="J114" s="328">
        <f>H114/DAY(B2)</f>
        <v>-359.15500000000003</v>
      </c>
    </row>
    <row r="115" spans="1:18" ht="32.25" customHeight="1">
      <c r="A115" s="894" t="s">
        <v>255</v>
      </c>
      <c r="B115" s="895"/>
      <c r="C115" s="896"/>
      <c r="D115" s="146" t="s">
        <v>183</v>
      </c>
      <c r="E115" s="95">
        <f>'11'!F115</f>
        <v>10336.459999999999</v>
      </c>
      <c r="F115" s="237">
        <v>10459.32</v>
      </c>
      <c r="G115" s="112">
        <f t="shared" si="9"/>
        <v>122.86000000000058</v>
      </c>
      <c r="H115" s="99">
        <f>G115+'11'!H115</f>
        <v>-3079.9000000000015</v>
      </c>
      <c r="I115" s="165"/>
      <c r="J115" s="328">
        <f>H115/DAY(B2)</f>
        <v>-256.65833333333347</v>
      </c>
    </row>
    <row r="116" spans="1:18" ht="32.25" customHeight="1">
      <c r="A116" s="901" t="s">
        <v>96</v>
      </c>
      <c r="B116" s="902"/>
      <c r="C116" s="903"/>
      <c r="D116" s="146" t="s">
        <v>183</v>
      </c>
      <c r="E116" s="95">
        <f>'11'!F116</f>
        <v>63345.79</v>
      </c>
      <c r="F116" s="237">
        <v>63724.49</v>
      </c>
      <c r="G116" s="112">
        <f t="shared" si="9"/>
        <v>378.69999999999709</v>
      </c>
      <c r="H116" s="99">
        <f>G116+'11'!H116</f>
        <v>-6767.510000000002</v>
      </c>
      <c r="I116" s="165"/>
      <c r="J116" s="328">
        <f>H116/DAY(B2)</f>
        <v>-563.95916666666687</v>
      </c>
      <c r="Q116" s="894" t="s">
        <v>311</v>
      </c>
      <c r="R116" s="896"/>
    </row>
    <row r="117" spans="1:18" ht="32.25" customHeight="1">
      <c r="A117" s="901" t="s">
        <v>184</v>
      </c>
      <c r="B117" s="902"/>
      <c r="C117" s="903"/>
      <c r="D117" s="146" t="s">
        <v>183</v>
      </c>
      <c r="E117" s="95">
        <f>'11'!F117</f>
        <v>35832.589999999997</v>
      </c>
      <c r="F117" s="237">
        <v>36045.71</v>
      </c>
      <c r="G117" s="112">
        <f t="shared" si="9"/>
        <v>213.12000000000262</v>
      </c>
      <c r="H117" s="99">
        <f>G117+'11'!H117</f>
        <v>-4876.2900000000009</v>
      </c>
      <c r="I117" s="165"/>
      <c r="J117" s="328">
        <f>H117/DAY(B2)</f>
        <v>-406.35750000000007</v>
      </c>
      <c r="Q117" s="894" t="s">
        <v>312</v>
      </c>
      <c r="R117" s="896"/>
    </row>
    <row r="118" spans="1:18" ht="32.25" customHeight="1">
      <c r="A118" s="893" t="s">
        <v>97</v>
      </c>
      <c r="B118" s="893"/>
      <c r="C118" s="893"/>
      <c r="D118" s="151" t="s">
        <v>183</v>
      </c>
      <c r="E118" s="95">
        <f>'11'!F118</f>
        <v>51970.400000000001</v>
      </c>
      <c r="F118" s="237">
        <v>52598.66</v>
      </c>
      <c r="G118" s="112">
        <f t="shared" si="9"/>
        <v>628.26000000000204</v>
      </c>
      <c r="H118" s="99">
        <f>G118+'11'!H118</f>
        <v>-12073.339999999997</v>
      </c>
      <c r="I118" s="165"/>
      <c r="J118" s="328">
        <f>H118/DAY(B2)</f>
        <v>-1006.1116666666663</v>
      </c>
      <c r="Q118" s="894" t="s">
        <v>311</v>
      </c>
      <c r="R118" s="896"/>
    </row>
    <row r="119" spans="1:18" ht="32.25" customHeight="1">
      <c r="A119" s="893" t="s">
        <v>98</v>
      </c>
      <c r="B119" s="893"/>
      <c r="C119" s="893"/>
      <c r="D119" s="151" t="s">
        <v>183</v>
      </c>
      <c r="E119" s="95">
        <f>'11'!F119</f>
        <v>32910.54</v>
      </c>
      <c r="F119" s="237">
        <v>33135.129999999997</v>
      </c>
      <c r="G119" s="112">
        <f t="shared" si="9"/>
        <v>224.58999999999651</v>
      </c>
      <c r="H119" s="99">
        <f>G119+'11'!H119</f>
        <v>-4313.8700000000026</v>
      </c>
      <c r="I119" s="165"/>
      <c r="J119" s="328">
        <f>H119/DAY(B2)</f>
        <v>-359.4891666666669</v>
      </c>
    </row>
    <row r="120" spans="1:18" ht="32.25" customHeight="1">
      <c r="A120" s="893" t="s">
        <v>99</v>
      </c>
      <c r="B120" s="893"/>
      <c r="C120" s="893"/>
      <c r="D120" s="151" t="s">
        <v>183</v>
      </c>
      <c r="E120" s="95">
        <f>'11'!F120</f>
        <v>37848.39</v>
      </c>
      <c r="F120" s="237">
        <v>38276.29</v>
      </c>
      <c r="G120" s="112">
        <f t="shared" si="9"/>
        <v>427.90000000000146</v>
      </c>
      <c r="H120" s="99">
        <f>G120+'11'!H120</f>
        <v>-7990.7099999999991</v>
      </c>
      <c r="I120" s="165"/>
      <c r="J120" s="328">
        <f>H120/DAY(B2)</f>
        <v>-665.89249999999993</v>
      </c>
    </row>
    <row r="121" spans="1:18" ht="32.25" customHeight="1">
      <c r="A121" s="893" t="s">
        <v>100</v>
      </c>
      <c r="B121" s="893"/>
      <c r="C121" s="893"/>
      <c r="D121" s="151" t="s">
        <v>183</v>
      </c>
      <c r="E121" s="95">
        <f>'11'!F121</f>
        <v>44543.96</v>
      </c>
      <c r="F121" s="237">
        <v>44982</v>
      </c>
      <c r="G121" s="112">
        <f t="shared" si="9"/>
        <v>438.04000000000087</v>
      </c>
      <c r="H121" s="99">
        <f>G121+'11'!H121</f>
        <v>-8561</v>
      </c>
      <c r="I121" s="165"/>
      <c r="J121" s="328">
        <f>H121/DAY(B2)</f>
        <v>-713.41666666666663</v>
      </c>
    </row>
    <row r="122" spans="1:18" ht="32.25" customHeight="1">
      <c r="A122" s="893" t="s">
        <v>101</v>
      </c>
      <c r="B122" s="893"/>
      <c r="C122" s="893"/>
      <c r="D122" s="151" t="s">
        <v>183</v>
      </c>
      <c r="E122" s="95">
        <f>'11'!F122</f>
        <v>23163.13</v>
      </c>
      <c r="F122" s="237">
        <v>23469.17</v>
      </c>
      <c r="G122" s="112">
        <f t="shared" si="9"/>
        <v>306.03999999999724</v>
      </c>
      <c r="H122" s="99">
        <f>G122+'11'!H122</f>
        <v>-5204.8300000000017</v>
      </c>
      <c r="I122" s="165"/>
      <c r="J122" s="328">
        <f>H122/DAY(B2)</f>
        <v>-433.73583333333346</v>
      </c>
    </row>
    <row r="123" spans="1:18" ht="32.25" customHeight="1">
      <c r="A123" s="893" t="s">
        <v>102</v>
      </c>
      <c r="B123" s="893"/>
      <c r="C123" s="893"/>
      <c r="D123" s="151" t="s">
        <v>183</v>
      </c>
      <c r="E123" s="95">
        <f>'11'!F123</f>
        <v>23848.400000000001</v>
      </c>
      <c r="F123" s="237">
        <v>24141.919999999998</v>
      </c>
      <c r="G123" s="112">
        <f t="shared" si="9"/>
        <v>293.5199999999968</v>
      </c>
      <c r="H123" s="99">
        <f>G123+'11'!H123</f>
        <v>-6046.0800000000017</v>
      </c>
      <c r="I123" s="165"/>
      <c r="J123" s="328">
        <f>H123/DAY(B2)</f>
        <v>-503.84000000000015</v>
      </c>
    </row>
    <row r="124" spans="1:18" ht="32.2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876" t="s">
        <v>196</v>
      </c>
      <c r="B125" s="877"/>
      <c r="C125" s="245"/>
      <c r="D125" s="307"/>
      <c r="E125" s="308"/>
      <c r="F125" s="308"/>
      <c r="G125" s="309">
        <f>SUM(G112:G124)</f>
        <v>3491.0399999999972</v>
      </c>
      <c r="H125" s="156"/>
      <c r="I125" s="327" t="s">
        <v>365</v>
      </c>
      <c r="J125" s="327"/>
    </row>
    <row r="126" spans="1:18" ht="32.25" customHeight="1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32.25" customHeight="1">
      <c r="A127" s="881"/>
      <c r="B127" s="881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894" t="s">
        <v>318</v>
      </c>
      <c r="B128" s="895"/>
      <c r="C128" s="896"/>
      <c r="D128" s="151" t="s">
        <v>183</v>
      </c>
      <c r="E128" s="95">
        <f>'11'!F128</f>
        <v>117561.69</v>
      </c>
      <c r="F128" s="165">
        <v>118100.49</v>
      </c>
      <c r="G128" s="112">
        <f t="shared" ref="G128:G134" si="10">F128-E128</f>
        <v>538.80000000000291</v>
      </c>
      <c r="H128" s="99">
        <f>G128+'11'!H128</f>
        <v>-9543.5099999999948</v>
      </c>
      <c r="I128" s="165"/>
      <c r="J128" s="328">
        <f>H128/DAY(B2)</f>
        <v>-795.29249999999956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68963.98</v>
      </c>
      <c r="F129" s="165">
        <v>69139.69</v>
      </c>
      <c r="G129" s="112">
        <f t="shared" si="10"/>
        <v>175.7100000000064</v>
      </c>
      <c r="H129" s="99">
        <f>G129+'11'!H129</f>
        <v>-3363.3099999999977</v>
      </c>
      <c r="I129" s="165"/>
      <c r="J129" s="328">
        <f>H129/DAY(B2)</f>
        <v>-280.27583333333314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150120.35999999999</v>
      </c>
      <c r="F130" s="165">
        <v>150858.84</v>
      </c>
      <c r="G130" s="112">
        <f t="shared" si="10"/>
        <v>738.48000000001048</v>
      </c>
      <c r="H130" s="99">
        <f>G130+'11'!H130</f>
        <v>-14282.429999999993</v>
      </c>
      <c r="I130" s="165"/>
      <c r="J130" s="328">
        <f>H130/DAY(B2)</f>
        <v>-1190.2024999999994</v>
      </c>
      <c r="N130" s="240"/>
      <c r="O130" s="241"/>
    </row>
    <row r="131" spans="1:15" ht="32.25" customHeight="1">
      <c r="A131" s="894" t="s">
        <v>321</v>
      </c>
      <c r="B131" s="895"/>
      <c r="C131" s="896"/>
      <c r="D131" s="151" t="s">
        <v>183</v>
      </c>
      <c r="E131" s="95">
        <f>'11'!F131</f>
        <v>44532.49</v>
      </c>
      <c r="F131" s="165">
        <v>44698.39</v>
      </c>
      <c r="G131" s="112">
        <f t="shared" si="10"/>
        <v>165.90000000000146</v>
      </c>
      <c r="H131" s="99">
        <f>G131+'11'!H131</f>
        <v>-3750.6100000000006</v>
      </c>
      <c r="I131" s="165"/>
      <c r="J131" s="328">
        <f>H131/DAY(B2)</f>
        <v>-312.5508333333334</v>
      </c>
      <c r="N131" s="240"/>
      <c r="O131" s="241"/>
    </row>
    <row r="132" spans="1:15" ht="32.25" customHeight="1">
      <c r="A132" s="894" t="s">
        <v>322</v>
      </c>
      <c r="B132" s="895"/>
      <c r="C132" s="896"/>
      <c r="D132" s="151" t="s">
        <v>183</v>
      </c>
      <c r="E132" s="95">
        <f>'11'!F132</f>
        <v>120851.79</v>
      </c>
      <c r="F132" s="165">
        <v>121303.35</v>
      </c>
      <c r="G132" s="112">
        <f t="shared" si="10"/>
        <v>451.56000000001222</v>
      </c>
      <c r="H132" s="99">
        <f>G132+'11'!H132</f>
        <v>-6870.6499999999942</v>
      </c>
      <c r="I132" s="165"/>
      <c r="J132" s="328">
        <f>H132/DAY(B2)</f>
        <v>-572.55416666666622</v>
      </c>
    </row>
    <row r="133" spans="1:15" ht="32.25" customHeight="1">
      <c r="A133" s="894" t="s">
        <v>359</v>
      </c>
      <c r="B133" s="895"/>
      <c r="C133" s="896"/>
      <c r="D133" s="151" t="s">
        <v>183</v>
      </c>
      <c r="E133" s="95">
        <f>'11'!F133</f>
        <v>795379</v>
      </c>
      <c r="F133" s="165">
        <v>796164</v>
      </c>
      <c r="G133" s="112">
        <f t="shared" si="10"/>
        <v>785</v>
      </c>
      <c r="H133" s="99">
        <f>G133+'11'!H133</f>
        <v>569602.41</v>
      </c>
      <c r="I133" s="165"/>
      <c r="J133" s="328">
        <f>H133/DAY(B2)</f>
        <v>47466.8675</v>
      </c>
    </row>
    <row r="134" spans="1:15" ht="32.25" customHeight="1">
      <c r="A134" s="894" t="s">
        <v>340</v>
      </c>
      <c r="B134" s="895"/>
      <c r="C134" s="896"/>
      <c r="D134" s="151" t="s">
        <v>183</v>
      </c>
      <c r="E134" s="95">
        <f>'11'!F134</f>
        <v>44457.58</v>
      </c>
      <c r="F134" s="165">
        <v>44711.44</v>
      </c>
      <c r="G134" s="112">
        <f t="shared" si="10"/>
        <v>253.86000000000058</v>
      </c>
      <c r="H134" s="99">
        <f>G134+'11'!H134</f>
        <v>-4323.5599999999977</v>
      </c>
      <c r="I134" s="165"/>
      <c r="J134" s="328">
        <f>H134/DAY(B2)</f>
        <v>-360.29666666666645</v>
      </c>
    </row>
    <row r="135" spans="1:15" ht="32.25" customHeight="1">
      <c r="A135" s="876" t="s">
        <v>196</v>
      </c>
      <c r="B135" s="877"/>
      <c r="C135" s="331"/>
      <c r="D135" s="151"/>
      <c r="E135" s="95"/>
      <c r="F135" s="165"/>
      <c r="G135" s="112">
        <f>SUM(G128:G134)</f>
        <v>3109.3100000000341</v>
      </c>
      <c r="H135" s="99">
        <f>G135+'10'!H135</f>
        <v>524265.91000000009</v>
      </c>
      <c r="I135" s="327">
        <f>G135-(G35+G49)</f>
        <v>-510.31999999997061</v>
      </c>
      <c r="J135" s="328">
        <f>H135/DAY(B2)</f>
        <v>43688.825833333343</v>
      </c>
    </row>
    <row r="136" spans="1:15" ht="32.25" customHeight="1">
      <c r="A136" s="880" t="s">
        <v>207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93" t="s">
        <v>185</v>
      </c>
      <c r="B138" s="893"/>
      <c r="C138" s="893"/>
      <c r="D138" s="151" t="s">
        <v>183</v>
      </c>
      <c r="E138" s="95">
        <f>'11'!F138</f>
        <v>888648</v>
      </c>
      <c r="F138" s="147">
        <v>888762</v>
      </c>
      <c r="G138" s="112">
        <f t="shared" ref="G138:G152" si="11">F138-E138</f>
        <v>114</v>
      </c>
      <c r="H138" s="99">
        <f>G138+'11'!H138</f>
        <v>-2333</v>
      </c>
      <c r="I138" s="118"/>
      <c r="J138" s="328">
        <f>H138/DAY(B2)</f>
        <v>-194.41666666666666</v>
      </c>
    </row>
    <row r="139" spans="1:15" ht="32.25" customHeight="1">
      <c r="A139" s="893" t="s">
        <v>186</v>
      </c>
      <c r="B139" s="893"/>
      <c r="C139" s="893"/>
      <c r="D139" s="151" t="s">
        <v>183</v>
      </c>
      <c r="E139" s="95">
        <f>'11'!F139</f>
        <v>905846</v>
      </c>
      <c r="F139" s="148">
        <v>906000</v>
      </c>
      <c r="G139" s="112">
        <f t="shared" si="11"/>
        <v>154</v>
      </c>
      <c r="H139" s="99">
        <f>G139+'11'!H139</f>
        <v>-2895</v>
      </c>
      <c r="I139" s="118"/>
      <c r="J139" s="328">
        <f>H139/DAY(B2)</f>
        <v>-241.25</v>
      </c>
    </row>
    <row r="140" spans="1:15" ht="32.25" customHeight="1">
      <c r="A140" s="893" t="s">
        <v>187</v>
      </c>
      <c r="B140" s="893"/>
      <c r="C140" s="893"/>
      <c r="D140" s="151" t="s">
        <v>183</v>
      </c>
      <c r="E140" s="95">
        <f>'11'!F140</f>
        <v>89499</v>
      </c>
      <c r="F140" s="149">
        <v>89713</v>
      </c>
      <c r="G140" s="112">
        <f t="shared" si="11"/>
        <v>214</v>
      </c>
      <c r="H140" s="99">
        <f>G140+'11'!H140</f>
        <v>249.39999999999418</v>
      </c>
      <c r="I140" s="118"/>
      <c r="J140" s="328">
        <f>H140/DAY(B2)</f>
        <v>20.783333333332848</v>
      </c>
    </row>
    <row r="141" spans="1:15" ht="32.25" customHeight="1">
      <c r="A141" s="872" t="s">
        <v>188</v>
      </c>
      <c r="B141" s="872"/>
      <c r="C141" s="872"/>
      <c r="D141" s="151" t="s">
        <v>183</v>
      </c>
      <c r="E141" s="95">
        <f>'11'!F141</f>
        <v>86367.67</v>
      </c>
      <c r="F141" s="149">
        <v>86574</v>
      </c>
      <c r="G141" s="112">
        <f t="shared" si="11"/>
        <v>206.33000000000175</v>
      </c>
      <c r="H141" s="99">
        <f>G141+'11'!H141</f>
        <v>-3878</v>
      </c>
      <c r="I141" s="118"/>
      <c r="J141" s="328">
        <f>H141/DAY(B2)</f>
        <v>-323.16666666666669</v>
      </c>
    </row>
    <row r="142" spans="1:15" ht="32.25" customHeight="1">
      <c r="A142" s="872" t="s">
        <v>189</v>
      </c>
      <c r="B142" s="872"/>
      <c r="C142" s="872"/>
      <c r="D142" s="151" t="s">
        <v>183</v>
      </c>
      <c r="E142" s="95">
        <f>'11'!F142</f>
        <v>35190.22</v>
      </c>
      <c r="F142" s="148">
        <v>35264.269999999997</v>
      </c>
      <c r="G142" s="112">
        <f t="shared" si="11"/>
        <v>74.049999999995634</v>
      </c>
      <c r="H142" s="99">
        <f>G142+'11'!H142</f>
        <v>-1396.7300000000032</v>
      </c>
      <c r="I142" s="140"/>
      <c r="J142" s="328">
        <f>H142/DAY(B2)</f>
        <v>-116.39416666666693</v>
      </c>
    </row>
    <row r="143" spans="1:15" ht="32.25" customHeight="1">
      <c r="A143" s="893" t="s">
        <v>91</v>
      </c>
      <c r="B143" s="893"/>
      <c r="C143" s="893"/>
      <c r="D143" s="151" t="s">
        <v>183</v>
      </c>
      <c r="E143" s="95">
        <f>'11'!F143</f>
        <v>8485</v>
      </c>
      <c r="F143" s="149">
        <v>8507.48</v>
      </c>
      <c r="G143" s="112">
        <f t="shared" si="11"/>
        <v>22.479999999999563</v>
      </c>
      <c r="H143" s="99">
        <f>G143+'11'!H143</f>
        <v>-543.52000000000044</v>
      </c>
      <c r="I143" s="140"/>
      <c r="J143" s="328">
        <f>H143/DAY(B2)</f>
        <v>-45.293333333333372</v>
      </c>
    </row>
    <row r="144" spans="1:15" ht="32.25" customHeight="1">
      <c r="A144" s="872" t="s">
        <v>90</v>
      </c>
      <c r="B144" s="872"/>
      <c r="C144" s="872"/>
      <c r="D144" s="151" t="s">
        <v>183</v>
      </c>
      <c r="E144" s="95">
        <f>'11'!F144</f>
        <v>915024</v>
      </c>
      <c r="F144" s="149">
        <v>915262</v>
      </c>
      <c r="G144" s="112">
        <f t="shared" si="11"/>
        <v>238</v>
      </c>
      <c r="H144" s="99">
        <f>G144+'11'!H144</f>
        <v>-4575</v>
      </c>
      <c r="I144" s="140"/>
      <c r="J144" s="328">
        <f>H144/DAY(B2)</f>
        <v>-381.25</v>
      </c>
    </row>
    <row r="145" spans="1:10" ht="32.25" customHeight="1">
      <c r="A145" s="893" t="s">
        <v>190</v>
      </c>
      <c r="B145" s="893"/>
      <c r="C145" s="893"/>
      <c r="D145" s="152" t="s">
        <v>183</v>
      </c>
      <c r="E145" s="95">
        <f>'11'!F145</f>
        <v>5667</v>
      </c>
      <c r="F145" s="149">
        <v>5667</v>
      </c>
      <c r="G145" s="112">
        <f t="shared" si="11"/>
        <v>0</v>
      </c>
      <c r="H145" s="99">
        <f>G145+'11'!H145</f>
        <v>-140</v>
      </c>
      <c r="I145" s="140"/>
      <c r="J145" s="328">
        <f>H145/DAY(B2)</f>
        <v>-11.666666666666666</v>
      </c>
    </row>
    <row r="146" spans="1:10" ht="32.25" customHeight="1">
      <c r="A146" s="928" t="s">
        <v>191</v>
      </c>
      <c r="B146" s="913"/>
      <c r="C146" s="914"/>
      <c r="D146" s="152" t="s">
        <v>183</v>
      </c>
      <c r="E146" s="95">
        <f>'11'!F146</f>
        <v>779819</v>
      </c>
      <c r="F146" s="148">
        <v>779856</v>
      </c>
      <c r="G146" s="112">
        <f t="shared" si="11"/>
        <v>37</v>
      </c>
      <c r="H146" s="99">
        <f>G146+'11'!H146</f>
        <v>-944</v>
      </c>
      <c r="I146" s="140"/>
      <c r="J146" s="328">
        <f>H146/DAY(B2)</f>
        <v>-78.666666666666671</v>
      </c>
    </row>
    <row r="147" spans="1:10" ht="32.25" customHeight="1">
      <c r="A147" s="872" t="s">
        <v>192</v>
      </c>
      <c r="B147" s="872"/>
      <c r="C147" s="872"/>
      <c r="D147" s="152" t="s">
        <v>183</v>
      </c>
      <c r="E147" s="95">
        <f>'11'!F147</f>
        <v>691768.24</v>
      </c>
      <c r="F147" s="148">
        <v>692146.16</v>
      </c>
      <c r="G147" s="112">
        <f t="shared" si="11"/>
        <v>377.92000000004191</v>
      </c>
      <c r="H147" s="99">
        <f>G147+'11'!H147</f>
        <v>-7622.8399999999674</v>
      </c>
      <c r="I147" s="140"/>
      <c r="J147" s="328">
        <f>H147/DAY(B2)</f>
        <v>-635.23666666666395</v>
      </c>
    </row>
    <row r="148" spans="1:10" ht="32.25" customHeight="1">
      <c r="A148" s="873" t="s">
        <v>193</v>
      </c>
      <c r="B148" s="874"/>
      <c r="C148" s="875"/>
      <c r="D148" s="123" t="s">
        <v>130</v>
      </c>
      <c r="E148" s="95">
        <f>'11'!F148</f>
        <v>742356.4</v>
      </c>
      <c r="F148" s="404">
        <v>742640.48</v>
      </c>
      <c r="G148" s="112">
        <f t="shared" si="11"/>
        <v>284.07999999995809</v>
      </c>
      <c r="H148" s="99">
        <f>G148+'11'!H148</f>
        <v>-5889.5200000000186</v>
      </c>
      <c r="I148" s="124"/>
      <c r="J148" s="328">
        <f>H148/DAY(B2)</f>
        <v>-490.79333333333489</v>
      </c>
    </row>
    <row r="149" spans="1:10" ht="32.25" customHeight="1">
      <c r="A149" s="873" t="s">
        <v>336</v>
      </c>
      <c r="B149" s="874"/>
      <c r="C149" s="875"/>
      <c r="D149" s="227" t="s">
        <v>130</v>
      </c>
      <c r="E149" s="95">
        <f>'11'!F149</f>
        <v>122163.56</v>
      </c>
      <c r="F149" s="146">
        <v>122660.76</v>
      </c>
      <c r="G149" s="112">
        <f t="shared" si="11"/>
        <v>497.19999999999709</v>
      </c>
      <c r="H149" s="99">
        <f>G149+'11'!H149</f>
        <v>-9773.2400000000052</v>
      </c>
      <c r="I149" s="119"/>
      <c r="J149" s="328">
        <f>H149/DAY(B2)</f>
        <v>-814.43666666666707</v>
      </c>
    </row>
    <row r="150" spans="1:10" ht="32.25" customHeight="1">
      <c r="A150" s="873" t="s">
        <v>337</v>
      </c>
      <c r="B150" s="874"/>
      <c r="C150" s="875"/>
      <c r="D150" s="117" t="s">
        <v>130</v>
      </c>
      <c r="E150" s="95">
        <f>'11'!F150</f>
        <v>46180.95</v>
      </c>
      <c r="F150" s="233">
        <v>46407.75</v>
      </c>
      <c r="G150" s="112">
        <f t="shared" si="11"/>
        <v>226.80000000000291</v>
      </c>
      <c r="H150" s="99">
        <f>G150+'11'!H150</f>
        <v>-4207.25</v>
      </c>
      <c r="I150" s="119"/>
      <c r="J150" s="328">
        <f>H150/DAY(B2)</f>
        <v>-350.60416666666669</v>
      </c>
    </row>
    <row r="151" spans="1:10" ht="32.25" customHeight="1">
      <c r="A151" s="873" t="s">
        <v>338</v>
      </c>
      <c r="B151" s="874"/>
      <c r="C151" s="875"/>
      <c r="D151" s="117" t="s">
        <v>130</v>
      </c>
      <c r="E151" s="95">
        <f>'11'!F151</f>
        <v>129496</v>
      </c>
      <c r="F151" s="233">
        <v>129753</v>
      </c>
      <c r="G151" s="112">
        <f t="shared" si="11"/>
        <v>257</v>
      </c>
      <c r="H151" s="99">
        <f>G151+'11'!H151</f>
        <v>-5696</v>
      </c>
      <c r="I151" s="119"/>
      <c r="J151" s="328">
        <f>H151/DAY(B2)</f>
        <v>-474.66666666666669</v>
      </c>
    </row>
    <row r="152" spans="1:10" ht="32.25" customHeight="1">
      <c r="A152" s="873" t="s">
        <v>339</v>
      </c>
      <c r="B152" s="874"/>
      <c r="C152" s="875"/>
      <c r="D152" s="117" t="s">
        <v>130</v>
      </c>
      <c r="E152" s="95">
        <f>'11'!F152</f>
        <v>20697.59</v>
      </c>
      <c r="F152" s="233">
        <v>20818.759999999998</v>
      </c>
      <c r="G152" s="112">
        <f t="shared" si="11"/>
        <v>121.16999999999825</v>
      </c>
      <c r="H152" s="99">
        <f>G152+'11'!H152</f>
        <v>-2335.2400000000016</v>
      </c>
      <c r="I152" s="119"/>
      <c r="J152" s="328">
        <f>H152/DAY(B2)</f>
        <v>-194.60333333333347</v>
      </c>
    </row>
    <row r="153" spans="1:10" ht="32.25" customHeight="1">
      <c r="A153" s="876" t="s">
        <v>196</v>
      </c>
      <c r="B153" s="877"/>
      <c r="C153" s="365"/>
      <c r="D153" s="358"/>
      <c r="E153" s="360"/>
      <c r="F153" s="361"/>
      <c r="G153" s="362">
        <f>SUM(G138:G152)</f>
        <v>2824.0299999999952</v>
      </c>
      <c r="H153" s="363"/>
      <c r="I153" s="119">
        <f>G153-(G38+G52)</f>
        <v>577.70999999998821</v>
      </c>
      <c r="J153" s="366"/>
    </row>
    <row r="154" spans="1:10" ht="32.25" customHeight="1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32.25" customHeight="1">
      <c r="A155" s="872" t="s">
        <v>345</v>
      </c>
      <c r="B155" s="872"/>
      <c r="C155" s="872"/>
      <c r="D155" s="117" t="s">
        <v>130</v>
      </c>
      <c r="E155" s="95">
        <f>'11'!F155</f>
        <v>136576.56</v>
      </c>
      <c r="F155" s="374">
        <v>137119.39000000001</v>
      </c>
      <c r="G155" s="112">
        <f t="shared" ref="G155:G158" si="12">F155-E155</f>
        <v>542.8300000000163</v>
      </c>
      <c r="H155" s="99">
        <f>G155+'11'!H155</f>
        <v>-11029.609999999986</v>
      </c>
      <c r="I155" s="364"/>
      <c r="J155" s="328">
        <f>H155/DAY(B2)</f>
        <v>-919.13416666666546</v>
      </c>
    </row>
    <row r="156" spans="1:10" ht="32.25" customHeight="1">
      <c r="A156" s="872" t="s">
        <v>347</v>
      </c>
      <c r="B156" s="872"/>
      <c r="C156" s="872"/>
      <c r="D156" s="117" t="s">
        <v>130</v>
      </c>
      <c r="E156" s="95">
        <f>'11'!F156</f>
        <v>13012</v>
      </c>
      <c r="F156" s="155">
        <v>13093.53</v>
      </c>
      <c r="G156" s="112">
        <f t="shared" si="12"/>
        <v>81.530000000000655</v>
      </c>
      <c r="H156" s="99">
        <f>G156+'11'!H156</f>
        <v>-1640.4699999999993</v>
      </c>
      <c r="I156" s="165"/>
      <c r="J156" s="328">
        <f>H156/DAY(B2)</f>
        <v>-136.70583333333329</v>
      </c>
    </row>
    <row r="157" spans="1:10" ht="32.25" customHeight="1">
      <c r="A157" s="873" t="s">
        <v>360</v>
      </c>
      <c r="B157" s="874"/>
      <c r="C157" s="875"/>
      <c r="D157" s="117" t="s">
        <v>130</v>
      </c>
      <c r="E157" s="95">
        <f>'11'!F157</f>
        <v>24720.080000000002</v>
      </c>
      <c r="F157" s="155">
        <v>24865.97</v>
      </c>
      <c r="G157" s="112">
        <f t="shared" si="12"/>
        <v>145.88999999999942</v>
      </c>
      <c r="H157" s="99">
        <f>G157+'11'!H157</f>
        <v>-2580.0299999999988</v>
      </c>
      <c r="I157" s="165"/>
      <c r="J157" s="328">
        <f>H157/DAY(B2)</f>
        <v>-215.00249999999991</v>
      </c>
    </row>
    <row r="158" spans="1:10" ht="32.25" customHeight="1">
      <c r="A158" s="873" t="s">
        <v>361</v>
      </c>
      <c r="B158" s="874"/>
      <c r="C158" s="875"/>
      <c r="D158" s="117" t="s">
        <v>130</v>
      </c>
      <c r="E158" s="95">
        <f>'11'!F158</f>
        <v>224.4</v>
      </c>
      <c r="F158" s="155">
        <v>225.66</v>
      </c>
      <c r="G158" s="112">
        <f t="shared" si="12"/>
        <v>1.2599999999999909</v>
      </c>
      <c r="H158" s="99">
        <f>G158+'11'!H158</f>
        <v>137.23999999999998</v>
      </c>
      <c r="I158" s="165"/>
      <c r="J158" s="328">
        <f>H158/DAY(B2)</f>
        <v>11.436666666666666</v>
      </c>
    </row>
    <row r="159" spans="1:10" ht="32.25" customHeight="1">
      <c r="A159" s="958"/>
      <c r="B159" s="959"/>
      <c r="C159" s="960"/>
      <c r="D159" s="117"/>
      <c r="E159" s="95"/>
      <c r="F159" s="165"/>
      <c r="G159" s="362">
        <f>SUM(G155:G158)</f>
        <v>771.51000000001636</v>
      </c>
      <c r="H159" s="99"/>
      <c r="I159" s="165"/>
      <c r="J159" s="328"/>
    </row>
    <row r="160" spans="1:10" ht="32.25" customHeight="1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478869.16</v>
      </c>
      <c r="F161" s="235">
        <v>478935.84</v>
      </c>
      <c r="G161" s="238">
        <f t="shared" ref="G161:G165" si="13">F161-E161</f>
        <v>66.680000000051223</v>
      </c>
      <c r="H161" s="99">
        <f>G161+'11'!H161</f>
        <v>-1117.1599999999744</v>
      </c>
      <c r="I161" s="236"/>
      <c r="J161" s="239">
        <f>H161/DAY(B2)</f>
        <v>-93.096666666664532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94188.7</v>
      </c>
      <c r="F162" s="235">
        <v>94228.2</v>
      </c>
      <c r="G162" s="238">
        <f t="shared" si="13"/>
        <v>39.5</v>
      </c>
      <c r="H162" s="99">
        <f>G162+'11'!H162</f>
        <v>-699.80000000000291</v>
      </c>
      <c r="I162" s="236"/>
      <c r="J162" s="239">
        <f>H162/DAY(B2)</f>
        <v>-58.316666666666912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3644.7</v>
      </c>
      <c r="F163" s="235">
        <v>3797.7</v>
      </c>
      <c r="G163" s="238">
        <f t="shared" si="13"/>
        <v>153</v>
      </c>
      <c r="H163" s="99">
        <f>G163+'11'!H163</f>
        <v>-2703.3</v>
      </c>
      <c r="I163" s="236"/>
      <c r="J163" s="239">
        <f>H163/DAY(B2)</f>
        <v>-225.27500000000001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6020.2</v>
      </c>
      <c r="F164" s="235">
        <v>6031.4</v>
      </c>
      <c r="G164" s="238">
        <f t="shared" si="13"/>
        <v>11.199999999999818</v>
      </c>
      <c r="H164" s="99">
        <f>G164+'11'!H164</f>
        <v>-248.60000000000036</v>
      </c>
      <c r="I164" s="236"/>
      <c r="J164" s="239">
        <f>H164/DAY(B2)</f>
        <v>-20.716666666666697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31447.21</v>
      </c>
      <c r="F165" s="235">
        <v>31458.57</v>
      </c>
      <c r="G165" s="238">
        <f t="shared" si="13"/>
        <v>11.360000000000582</v>
      </c>
      <c r="H165" s="99">
        <f>G165+'11'!H165</f>
        <v>-175.43000000000029</v>
      </c>
      <c r="I165" s="236"/>
      <c r="J165" s="239">
        <f>H165/DAY(B2)</f>
        <v>-14.619166666666692</v>
      </c>
    </row>
    <row r="166" spans="1:10" ht="32.25" customHeight="1">
      <c r="A166" s="881"/>
      <c r="B166" s="881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881"/>
      <c r="B167" s="881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881"/>
      <c r="B168" s="881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32.25" customHeight="1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87" t="s">
        <v>209</v>
      </c>
      <c r="B173" s="888"/>
      <c r="C173" s="333"/>
      <c r="D173" s="228" t="s">
        <v>142</v>
      </c>
      <c r="E173" s="157">
        <f>'11'!F173</f>
        <v>8276</v>
      </c>
      <c r="F173" s="155">
        <v>8276</v>
      </c>
      <c r="G173" s="155">
        <f>F173-E173</f>
        <v>0</v>
      </c>
      <c r="H173" s="99">
        <f>G173+'11'!H173</f>
        <v>41</v>
      </c>
      <c r="I173" s="155"/>
      <c r="J173" s="178">
        <f>H173/DAY(B2)</f>
        <v>3.4166666666666665</v>
      </c>
    </row>
    <row r="174" spans="1:10" ht="32.25" customHeight="1">
      <c r="A174" s="887" t="s">
        <v>75</v>
      </c>
      <c r="B174" s="888"/>
      <c r="C174" s="333"/>
      <c r="D174" s="228" t="s">
        <v>142</v>
      </c>
      <c r="E174" s="157">
        <f>'11'!F174</f>
        <v>40932</v>
      </c>
      <c r="F174" s="157">
        <v>40943</v>
      </c>
      <c r="G174" s="155">
        <f t="shared" ref="G174:G175" si="14">F174-E174</f>
        <v>11</v>
      </c>
      <c r="H174" s="99">
        <f>G174+'11'!H174</f>
        <v>-261</v>
      </c>
      <c r="I174" s="155"/>
      <c r="J174" s="178">
        <f>H174/DAY(B2)</f>
        <v>-21.75</v>
      </c>
    </row>
    <row r="175" spans="1:10" ht="32.25" customHeight="1">
      <c r="A175" s="887" t="s">
        <v>76</v>
      </c>
      <c r="B175" s="927"/>
      <c r="C175" s="888"/>
      <c r="D175" s="228" t="s">
        <v>142</v>
      </c>
      <c r="E175" s="157">
        <f>'11'!F175</f>
        <v>23794</v>
      </c>
      <c r="F175" s="155">
        <v>23806</v>
      </c>
      <c r="G175" s="155">
        <f t="shared" si="14"/>
        <v>12</v>
      </c>
      <c r="H175" s="99">
        <f>G175+'11'!H175</f>
        <v>-225</v>
      </c>
      <c r="I175" s="155"/>
      <c r="J175" s="178">
        <f>H175/DAY(B2)</f>
        <v>-18.75</v>
      </c>
    </row>
    <row r="176" spans="1:10" ht="32.25" customHeight="1">
      <c r="A176" s="463" t="s">
        <v>196</v>
      </c>
      <c r="B176" s="464"/>
      <c r="C176" s="401"/>
      <c r="D176" s="228" t="s">
        <v>142</v>
      </c>
      <c r="E176" s="95"/>
      <c r="F176" s="155"/>
      <c r="G176" s="155">
        <f>SUM(G173:G175)</f>
        <v>23</v>
      </c>
      <c r="H176" s="99">
        <f>G176+'11'!H176</f>
        <v>-445</v>
      </c>
      <c r="I176" s="155"/>
      <c r="J176" s="178">
        <f>H176/DAY(B2)</f>
        <v>-37.083333333333336</v>
      </c>
    </row>
    <row r="177" spans="1:10" ht="32.2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87" t="s">
        <v>210</v>
      </c>
      <c r="B178" s="888"/>
      <c r="C178" s="333"/>
      <c r="D178" s="228" t="s">
        <v>142</v>
      </c>
      <c r="E178" s="95">
        <f>'11'!F178</f>
        <v>95747</v>
      </c>
      <c r="F178" s="155">
        <v>95854</v>
      </c>
      <c r="G178" s="155">
        <f>F178-E178</f>
        <v>107</v>
      </c>
      <c r="H178" s="99">
        <f>G178+'11'!H178</f>
        <v>-1859</v>
      </c>
      <c r="I178" s="155"/>
      <c r="J178" s="178">
        <f>H178/DAY(B2)</f>
        <v>-154.91666666666666</v>
      </c>
    </row>
    <row r="179" spans="1:10" ht="32.25" customHeight="1">
      <c r="A179" s="887" t="s">
        <v>211</v>
      </c>
      <c r="B179" s="888"/>
      <c r="C179" s="333"/>
      <c r="D179" s="228" t="s">
        <v>142</v>
      </c>
      <c r="E179" s="95">
        <f>'11'!F179</f>
        <v>36002</v>
      </c>
      <c r="F179" s="155">
        <v>36002</v>
      </c>
      <c r="G179" s="155">
        <f t="shared" ref="G179:G180" si="15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887" t="s">
        <v>212</v>
      </c>
      <c r="B180" s="888"/>
      <c r="C180" s="333"/>
      <c r="D180" s="228" t="s">
        <v>142</v>
      </c>
      <c r="E180" s="95">
        <f>'11'!F180</f>
        <v>6960</v>
      </c>
      <c r="F180" s="155">
        <v>6965</v>
      </c>
      <c r="G180" s="155">
        <f t="shared" si="15"/>
        <v>5</v>
      </c>
      <c r="H180" s="99">
        <f>G180+'11'!H180</f>
        <v>-204</v>
      </c>
      <c r="I180" s="155"/>
      <c r="J180" s="178">
        <f>H180/DAY(B2)</f>
        <v>-17</v>
      </c>
    </row>
    <row r="181" spans="1:10" ht="32.25" customHeight="1">
      <c r="A181" s="889" t="s">
        <v>108</v>
      </c>
      <c r="B181" s="890"/>
      <c r="C181" s="401"/>
      <c r="D181" s="228" t="s">
        <v>142</v>
      </c>
      <c r="E181" s="95"/>
      <c r="F181" s="155"/>
      <c r="G181" s="155">
        <f>SUM(G178:G180)</f>
        <v>112</v>
      </c>
      <c r="H181" s="99">
        <f>G181+'11'!H181</f>
        <v>-2063</v>
      </c>
      <c r="I181" s="155"/>
      <c r="J181" s="178">
        <f>H181/DAY(B2)</f>
        <v>-171.91666666666666</v>
      </c>
    </row>
    <row r="182" spans="1:10" ht="32.25" customHeight="1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87" t="s">
        <v>214</v>
      </c>
      <c r="B183" s="888"/>
      <c r="C183" s="334"/>
      <c r="D183" s="228" t="s">
        <v>142</v>
      </c>
      <c r="E183" s="95">
        <f>'11'!F183</f>
        <v>17352</v>
      </c>
      <c r="F183" s="157">
        <v>17357</v>
      </c>
      <c r="G183" s="157">
        <f>F183-E183</f>
        <v>5</v>
      </c>
      <c r="H183" s="99">
        <f>G183+'11'!H183</f>
        <v>-116</v>
      </c>
      <c r="I183" s="155"/>
      <c r="J183" s="178">
        <f>H183/DAY(B2)</f>
        <v>-9.6666666666666661</v>
      </c>
    </row>
    <row r="184" spans="1:10" ht="32.25" customHeight="1">
      <c r="A184" s="887" t="s">
        <v>215</v>
      </c>
      <c r="B184" s="888"/>
      <c r="C184" s="334"/>
      <c r="D184" s="228" t="s">
        <v>142</v>
      </c>
      <c r="E184" s="95">
        <f>'11'!F184</f>
        <v>11761</v>
      </c>
      <c r="F184" s="157">
        <v>11767</v>
      </c>
      <c r="G184" s="157">
        <f t="shared" ref="G184:G185" si="16">F184-E184</f>
        <v>6</v>
      </c>
      <c r="H184" s="99">
        <f>G184+'11'!H184</f>
        <v>-168</v>
      </c>
      <c r="I184" s="155"/>
      <c r="J184" s="178">
        <f>H184/DAY(B2)</f>
        <v>-14</v>
      </c>
    </row>
    <row r="185" spans="1:10" ht="32.25" customHeight="1">
      <c r="A185" s="887" t="s">
        <v>216</v>
      </c>
      <c r="B185" s="888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876" t="s">
        <v>196</v>
      </c>
      <c r="B186" s="877"/>
      <c r="C186" s="400"/>
      <c r="D186" s="228" t="s">
        <v>142</v>
      </c>
      <c r="E186" s="95"/>
      <c r="F186" s="157"/>
      <c r="G186" s="157">
        <f>SUM(G183:G185)</f>
        <v>11</v>
      </c>
      <c r="H186" s="99">
        <f>G186+'11'!H186</f>
        <v>-284</v>
      </c>
      <c r="I186" s="157"/>
      <c r="J186" s="178">
        <f>H186/DAY(B2)</f>
        <v>-23.666666666666668</v>
      </c>
    </row>
    <row r="187" spans="1:10" ht="32.25" customHeight="1">
      <c r="A187" s="878" t="s">
        <v>217</v>
      </c>
      <c r="B187" s="879"/>
      <c r="C187" s="333"/>
      <c r="D187" s="230" t="s">
        <v>142</v>
      </c>
      <c r="E187" s="95"/>
      <c r="F187" s="159"/>
      <c r="G187" s="159">
        <f>G62+G19</f>
        <v>151</v>
      </c>
      <c r="H187" s="99">
        <f>G187+'11'!H187</f>
        <v>-3246</v>
      </c>
      <c r="I187" s="158"/>
      <c r="J187" s="179">
        <f>H187/DAY(B2)</f>
        <v>-270.5</v>
      </c>
    </row>
    <row r="188" spans="1:10" ht="32.25" customHeight="1">
      <c r="A188" s="878" t="s">
        <v>218</v>
      </c>
      <c r="B188" s="879"/>
      <c r="C188" s="333"/>
      <c r="D188" s="230" t="s">
        <v>142</v>
      </c>
      <c r="E188" s="95"/>
      <c r="F188" s="159"/>
      <c r="G188" s="159">
        <f>G65+G66+G67+G69+G70</f>
        <v>140</v>
      </c>
      <c r="H188" s="99">
        <f>G188+'11'!H188</f>
        <v>-2905</v>
      </c>
      <c r="I188" s="158"/>
      <c r="J188" s="179">
        <f>H188/DAY(B2)</f>
        <v>-242.08333333333334</v>
      </c>
    </row>
    <row r="189" spans="1:10" ht="32.25" customHeight="1">
      <c r="A189" s="878" t="s">
        <v>219</v>
      </c>
      <c r="B189" s="879"/>
      <c r="C189" s="333"/>
      <c r="D189" s="230" t="s">
        <v>142</v>
      </c>
      <c r="E189" s="95"/>
      <c r="F189" s="157"/>
      <c r="G189" s="157">
        <f>G181</f>
        <v>112</v>
      </c>
      <c r="H189" s="99">
        <f>G189+'11'!H189</f>
        <v>-2063</v>
      </c>
      <c r="I189" s="158"/>
      <c r="J189" s="179">
        <f>H189/DAY(B2)</f>
        <v>-171.91666666666666</v>
      </c>
    </row>
    <row r="190" spans="1:10" ht="32.25" customHeight="1">
      <c r="A190" s="885"/>
      <c r="B190" s="886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88" zoomScale="55" zoomScaleSheetLayoutView="55" workbookViewId="0">
      <selection activeCell="F15" sqref="F1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7.75" customHeight="1">
      <c r="A2" s="191" t="s">
        <v>354</v>
      </c>
      <c r="B2" s="262">
        <v>44755</v>
      </c>
      <c r="C2" s="348" t="s">
        <v>67</v>
      </c>
      <c r="D2" s="218">
        <v>0.66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650228</v>
      </c>
      <c r="F7" s="95">
        <f>E7+26200</f>
        <v>676428</v>
      </c>
      <c r="G7" s="112">
        <f>F7-E7</f>
        <v>26200</v>
      </c>
      <c r="H7" s="99">
        <f>G7+'12'!H7</f>
        <v>339298</v>
      </c>
      <c r="I7" s="113">
        <f>'1'!I7</f>
        <v>12000</v>
      </c>
      <c r="J7" s="175">
        <f>H7/DAY(B2)</f>
        <v>26099.846153846152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805853</v>
      </c>
      <c r="F8" s="95">
        <f>E8+26500</f>
        <v>832353</v>
      </c>
      <c r="G8" s="115">
        <f>F8-E8</f>
        <v>26500</v>
      </c>
      <c r="H8" s="99">
        <f>G8+'12'!H8</f>
        <v>343766</v>
      </c>
      <c r="I8" s="116"/>
      <c r="J8" s="175">
        <f>H8/DAY(B2)</f>
        <v>26443.538461538461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3080354.5</v>
      </c>
      <c r="F9" s="469">
        <v>3092961.9</v>
      </c>
      <c r="G9" s="112">
        <f>F9-E9</f>
        <v>12607.399999999907</v>
      </c>
      <c r="H9" s="99">
        <f>G9+'12'!H9</f>
        <v>-186104.10000000009</v>
      </c>
      <c r="I9" s="124">
        <f>I7-J7</f>
        <v>-14099.846153846152</v>
      </c>
      <c r="J9" s="175">
        <f>H9/DAY(B2)</f>
        <v>-14315.700000000008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1386287</v>
      </c>
      <c r="F10" s="353">
        <v>1400037.7</v>
      </c>
      <c r="G10" s="112">
        <f t="shared" ref="G10:G12" si="0">F10-E10</f>
        <v>13750.699999999953</v>
      </c>
      <c r="H10" s="99">
        <f>G10+'12'!H10</f>
        <v>-267120.30000000005</v>
      </c>
      <c r="I10" s="282"/>
      <c r="J10" s="175">
        <f>H10/DAY(B2)</f>
        <v>-20547.715384615389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69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26358.09999999986</v>
      </c>
      <c r="H13" s="99">
        <f>G13+'12'!H13</f>
        <v>-451889.80000000028</v>
      </c>
      <c r="I13" s="120">
        <f>G7-G13</f>
        <v>-158.0999999998603</v>
      </c>
      <c r="J13" s="175">
        <f>H13/DAY(B2)</f>
        <v>-34760.753846153864</v>
      </c>
      <c r="K13" s="79"/>
      <c r="L13" s="66"/>
      <c r="N13" s="87"/>
      <c r="O13" s="71"/>
    </row>
    <row r="14" spans="1:15" ht="27.75" customHeight="1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'12'!F15</f>
        <v>2113008</v>
      </c>
      <c r="F15" s="469">
        <f>E15+1000</f>
        <v>2114008</v>
      </c>
      <c r="G15" s="112">
        <f>(F15-E15)</f>
        <v>1000</v>
      </c>
      <c r="H15" s="99">
        <f>G15+'12'!H15</f>
        <v>13140</v>
      </c>
      <c r="I15" s="113">
        <f>'1'!I15</f>
        <v>800</v>
      </c>
      <c r="J15" s="175">
        <f>H15/DAY(B2)</f>
        <v>1010.7692307692307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-210.76923076923072</v>
      </c>
      <c r="J16" s="176"/>
      <c r="K16" s="79"/>
      <c r="L16" s="66"/>
      <c r="N16" s="87"/>
      <c r="O16" s="71"/>
    </row>
    <row r="17" spans="1:15" ht="27.75" customHeight="1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5" t="s">
        <v>141</v>
      </c>
      <c r="B18" s="916"/>
      <c r="C18" s="917"/>
      <c r="D18" s="151" t="s">
        <v>142</v>
      </c>
      <c r="E18" s="95">
        <f>'12'!F18</f>
        <v>20</v>
      </c>
      <c r="F18" s="122">
        <v>12</v>
      </c>
      <c r="G18" s="119">
        <f>F18*10</f>
        <v>120</v>
      </c>
      <c r="H18" s="99">
        <f>G18+'12'!H18</f>
        <v>2220</v>
      </c>
      <c r="I18" s="113">
        <f>'1'!I18</f>
        <v>65</v>
      </c>
      <c r="J18" s="175">
        <f>H18/DAY(B2)</f>
        <v>170.76923076923077</v>
      </c>
      <c r="K18" s="79"/>
      <c r="L18" s="66"/>
      <c r="N18" s="87"/>
      <c r="O18" s="71"/>
    </row>
    <row r="19" spans="1:15" ht="27.75" customHeight="1">
      <c r="A19" s="915" t="s">
        <v>69</v>
      </c>
      <c r="B19" s="916"/>
      <c r="C19" s="917"/>
      <c r="D19" s="151" t="s">
        <v>142</v>
      </c>
      <c r="E19" s="95">
        <f>'12'!F19</f>
        <v>161413</v>
      </c>
      <c r="F19" s="122">
        <v>161463</v>
      </c>
      <c r="G19" s="112">
        <f t="shared" ref="G19" si="1">F19-E19</f>
        <v>50</v>
      </c>
      <c r="H19" s="99">
        <f>G19+'12'!H19</f>
        <v>-866</v>
      </c>
      <c r="I19" s="335"/>
      <c r="J19" s="175">
        <f>H19/DAY(B2)</f>
        <v>-66.615384615384613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170</v>
      </c>
      <c r="H20" s="99">
        <f>G20+'12'!H20</f>
        <v>1354</v>
      </c>
      <c r="I20" s="336">
        <f>I18-J20</f>
        <v>-39.15384615384616</v>
      </c>
      <c r="J20" s="175">
        <f>H20/DAY(B2)</f>
        <v>104.15384615384616</v>
      </c>
      <c r="K20" s="79"/>
      <c r="L20" s="66"/>
      <c r="N20" s="87"/>
      <c r="O20" s="71"/>
    </row>
    <row r="21" spans="1:15" ht="27.75" customHeight="1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4470</v>
      </c>
      <c r="F24" s="128">
        <v>4470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G27+'12'!H27</f>
        <v>3093894</v>
      </c>
      <c r="I27" s="138"/>
      <c r="J27" s="175">
        <f>H27/DAY(B2)</f>
        <v>237991.84615384616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G28+'12'!H28</f>
        <v>919800</v>
      </c>
      <c r="I28" s="140"/>
      <c r="J28" s="175">
        <f>H28/DAY(B2)</f>
        <v>70753.846153846156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G30+'12'!H30</f>
        <v>-130766</v>
      </c>
      <c r="I30" s="140"/>
      <c r="J30" s="175">
        <f>H30/DAY(B2)</f>
        <v>-10058.923076923076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G31+'12'!H31</f>
        <v>177600</v>
      </c>
      <c r="I31" s="140"/>
      <c r="J31" s="175">
        <f>H31/DAY(B2)</f>
        <v>13661.538461538461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325650</v>
      </c>
      <c r="H32" s="99">
        <f>G32+'12'!H32</f>
        <v>4060528</v>
      </c>
      <c r="I32" s="144"/>
      <c r="J32" s="175">
        <f>H32/DAY(B2)</f>
        <v>312348.30769230769</v>
      </c>
      <c r="K32" s="63"/>
      <c r="L32" s="89"/>
      <c r="N32" s="87"/>
      <c r="O32" s="71"/>
    </row>
    <row r="33" spans="1:15" ht="27.7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238713</v>
      </c>
      <c r="F35" s="145">
        <v>238713</v>
      </c>
      <c r="G35" s="112">
        <f t="shared" ref="G35:G46" si="3">F35-E35</f>
        <v>0</v>
      </c>
      <c r="H35" s="99">
        <f>G35+'12'!H35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197796.77</v>
      </c>
      <c r="F36" s="145">
        <v>198539.83</v>
      </c>
      <c r="G36" s="112">
        <f t="shared" si="3"/>
        <v>743.05999999999767</v>
      </c>
      <c r="H36" s="99">
        <f>G36+'12'!H36</f>
        <v>-16990.170000000013</v>
      </c>
      <c r="I36" s="95"/>
      <c r="J36" s="175">
        <f>H36/DAY(B2)</f>
        <v>-1306.9361538461549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305706.03000000003</v>
      </c>
      <c r="F37" s="145">
        <v>307246.17</v>
      </c>
      <c r="G37" s="112">
        <f t="shared" si="3"/>
        <v>1540.1399999999558</v>
      </c>
      <c r="H37" s="99">
        <f>G37+'12'!H37</f>
        <v>-15752.830000000016</v>
      </c>
      <c r="I37" s="95"/>
      <c r="J37" s="175">
        <f>H37/DAY(B2)</f>
        <v>-1211.756153846155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413753.87</v>
      </c>
      <c r="F38" s="108">
        <v>416043.11</v>
      </c>
      <c r="G38" s="112">
        <f t="shared" si="3"/>
        <v>2289.2399999999907</v>
      </c>
      <c r="H38" s="99">
        <f>G38+'12'!H38</f>
        <v>-41317.890000000014</v>
      </c>
      <c r="I38" s="95"/>
      <c r="J38" s="175">
        <f>H38/DAY(B2)</f>
        <v>-3178.2992307692321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558849.71</v>
      </c>
      <c r="F39" s="145">
        <v>561833.06999999995</v>
      </c>
      <c r="G39" s="112">
        <f t="shared" si="3"/>
        <v>2983.359999999986</v>
      </c>
      <c r="H39" s="99">
        <f>G39+'12'!H39</f>
        <v>-29750.930000000051</v>
      </c>
      <c r="I39" s="95"/>
      <c r="J39" s="175">
        <f>H39/DAY(B2)</f>
        <v>-2288.5330769230809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91323.37</v>
      </c>
      <c r="F40" s="145">
        <v>92077.43</v>
      </c>
      <c r="G40" s="112">
        <f t="shared" si="3"/>
        <v>754.05999999999767</v>
      </c>
      <c r="H40" s="99">
        <f>G40+'12'!H40</f>
        <v>-14698.570000000007</v>
      </c>
      <c r="I40" s="95"/>
      <c r="J40" s="175">
        <f>H40/DAY(B2)</f>
        <v>-1130.6592307692313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161659.39000000001</v>
      </c>
      <c r="F41" s="145">
        <v>161659.39000000001</v>
      </c>
      <c r="G41" s="112">
        <f t="shared" si="3"/>
        <v>0</v>
      </c>
      <c r="H41" s="99">
        <f>G41+'12'!H41</f>
        <v>-50043.609999999986</v>
      </c>
      <c r="I41" s="95"/>
      <c r="J41" s="175">
        <f>H41/DAY(B2)</f>
        <v>-3849.5084615384603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724441.83</v>
      </c>
      <c r="F42" s="145">
        <v>728113.99</v>
      </c>
      <c r="G42" s="112">
        <f t="shared" si="3"/>
        <v>3672.1600000000326</v>
      </c>
      <c r="H42" s="99">
        <f>G42+'12'!H42</f>
        <v>-20250.010000000009</v>
      </c>
      <c r="I42" s="95"/>
      <c r="J42" s="175">
        <f>H42/DAY(B2)</f>
        <v>-1557.6930769230776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11982.01999999996</v>
      </c>
      <c r="H47" s="99">
        <f>G47+'12'!H47</f>
        <v>-188804.01000000013</v>
      </c>
      <c r="I47" s="95"/>
      <c r="J47" s="175">
        <f>H47/DAY(B2)</f>
        <v>-14523.385384615394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411526.27</v>
      </c>
      <c r="F49" s="145">
        <v>414918.31</v>
      </c>
      <c r="G49" s="112">
        <f t="shared" ref="G49:G58" si="4">F49-E49</f>
        <v>3392.039999999979</v>
      </c>
      <c r="H49" s="99">
        <f>G49+'12'!H49</f>
        <v>-70135.69</v>
      </c>
      <c r="I49" s="95"/>
      <c r="J49" s="175">
        <f>H49/DAY(B2)</f>
        <v>-5395.0530769230772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257513.53</v>
      </c>
      <c r="F50" s="145">
        <v>258968.61</v>
      </c>
      <c r="G50" s="112">
        <f t="shared" si="4"/>
        <v>1455.0799999999872</v>
      </c>
      <c r="H50" s="99">
        <f>G50+'12'!H50</f>
        <v>-23781.390000000014</v>
      </c>
      <c r="I50" s="95"/>
      <c r="J50" s="175">
        <f>H50/DAY(B2)</f>
        <v>-1829.3376923076935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75.680000000000007</v>
      </c>
      <c r="F51" s="145">
        <v>75.680000000000007</v>
      </c>
      <c r="G51" s="112">
        <f t="shared" si="4"/>
        <v>0</v>
      </c>
      <c r="H51" s="99">
        <f>G51+'12'!H51</f>
        <v>-8432.32</v>
      </c>
      <c r="I51" s="95"/>
      <c r="J51" s="175">
        <f>H51/DAY(B2)</f>
        <v>-648.64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9.76</v>
      </c>
      <c r="F52" s="145">
        <v>9.76</v>
      </c>
      <c r="G52" s="112">
        <f t="shared" si="4"/>
        <v>0</v>
      </c>
      <c r="H52" s="99">
        <f>G52+'12'!H52</f>
        <v>-0.24000000000000021</v>
      </c>
      <c r="I52" s="95"/>
      <c r="J52" s="175">
        <f>H52/DAY(B2)</f>
        <v>-1.8461538461538477E-2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-33861</v>
      </c>
      <c r="I53" s="95"/>
      <c r="J53" s="175">
        <f>H53/DAY(B2)</f>
        <v>-2604.6923076923076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81254.48</v>
      </c>
      <c r="F54" s="145">
        <v>81608.070000000007</v>
      </c>
      <c r="G54" s="112">
        <f t="shared" si="4"/>
        <v>353.59000000001106</v>
      </c>
      <c r="H54" s="99">
        <f>G54+'12'!H54</f>
        <v>-6334.929999999993</v>
      </c>
      <c r="I54" s="95"/>
      <c r="J54" s="175">
        <f>H54/DAY(B2)</f>
        <v>-487.30230769230718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310432.33</v>
      </c>
      <c r="F55" s="145">
        <v>314366.78999999998</v>
      </c>
      <c r="G55" s="112">
        <f t="shared" si="4"/>
        <v>3934.4599999999627</v>
      </c>
      <c r="H55" s="99">
        <f>G55+'12'!H55</f>
        <v>-48410.210000000021</v>
      </c>
      <c r="I55" s="95"/>
      <c r="J55" s="175">
        <f>H55/DAY(B2)</f>
        <v>-3723.8623076923095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120880.14</v>
      </c>
      <c r="F56" s="145">
        <v>120880.14</v>
      </c>
      <c r="G56" s="112">
        <f t="shared" si="4"/>
        <v>0</v>
      </c>
      <c r="H56" s="99">
        <f>G56+'12'!H56</f>
        <v>-3001.8600000000006</v>
      </c>
      <c r="I56" s="95"/>
      <c r="J56" s="175">
        <f>H56/DAY(B2)</f>
        <v>-230.91230769230773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169223.23</v>
      </c>
      <c r="F57" s="145">
        <v>172222.77</v>
      </c>
      <c r="G57" s="112">
        <f t="shared" si="4"/>
        <v>2999.539999999979</v>
      </c>
      <c r="H57" s="99">
        <f>G57+'12'!H57</f>
        <v>-53947.23000000001</v>
      </c>
      <c r="I57" s="95"/>
      <c r="J57" s="175">
        <f>H57/DAY(B2)</f>
        <v>-4149.7869230769238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43785.72</v>
      </c>
      <c r="F58" s="145">
        <v>44060.639999999999</v>
      </c>
      <c r="G58" s="112">
        <f t="shared" si="4"/>
        <v>274.91999999999825</v>
      </c>
      <c r="H58" s="99">
        <f>G58+'12'!H58</f>
        <v>-5048.3600000000006</v>
      </c>
      <c r="I58" s="95"/>
      <c r="J58" s="175">
        <f>H58/DAY(B2)</f>
        <v>-388.33538461538467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12409.629999999917</v>
      </c>
      <c r="H59" s="99">
        <f>G59+'12'!H59</f>
        <v>-252953.23</v>
      </c>
      <c r="I59" s="95">
        <f>G7-G60</f>
        <v>1808.3500000001222</v>
      </c>
      <c r="J59" s="175">
        <f>H59/DAY(B2)</f>
        <v>-19457.940769230769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24391.649999999878</v>
      </c>
      <c r="H60" s="99">
        <f>G60+'12'!H60</f>
        <v>-441757.24000000022</v>
      </c>
      <c r="I60" s="95">
        <f>G13-G60</f>
        <v>1966.4499999999825</v>
      </c>
      <c r="J60" s="175">
        <f>H60/DAY(B2)</f>
        <v>-33981.326153846174</v>
      </c>
      <c r="K60" s="79"/>
      <c r="L60" s="66"/>
      <c r="N60" s="87"/>
      <c r="O60" s="71"/>
    </row>
    <row r="61" spans="1:15" s="68" customFormat="1" ht="27.75" customHeight="1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915" t="s">
        <v>198</v>
      </c>
      <c r="B62" s="916"/>
      <c r="C62" s="917"/>
      <c r="D62" s="151" t="s">
        <v>142</v>
      </c>
      <c r="E62" s="95">
        <f>'12'!F62</f>
        <v>293945</v>
      </c>
      <c r="F62" s="122">
        <v>294042</v>
      </c>
      <c r="G62" s="112">
        <f t="shared" ref="G62:G63" si="5">F62-E62</f>
        <v>97</v>
      </c>
      <c r="H62" s="99">
        <f>G62+'12'!H62</f>
        <v>-2233</v>
      </c>
      <c r="I62" s="118"/>
      <c r="J62" s="175">
        <f>H62/DAY(B2)</f>
        <v>-171.76923076923077</v>
      </c>
      <c r="K62" s="80"/>
      <c r="L62" s="66"/>
      <c r="N62" s="87"/>
      <c r="O62" s="71"/>
    </row>
    <row r="63" spans="1:15" ht="27.75" customHeight="1">
      <c r="A63" s="915" t="s">
        <v>199</v>
      </c>
      <c r="B63" s="916"/>
      <c r="C63" s="917"/>
      <c r="D63" s="151" t="s">
        <v>142</v>
      </c>
      <c r="E63" s="95">
        <f>'12'!F63</f>
        <v>236352</v>
      </c>
      <c r="F63" s="122">
        <v>236507</v>
      </c>
      <c r="G63" s="112">
        <f t="shared" si="5"/>
        <v>155</v>
      </c>
      <c r="H63" s="99">
        <f>G63+'12'!H63</f>
        <v>-2626</v>
      </c>
      <c r="I63" s="118"/>
      <c r="J63" s="175">
        <f>H63/DAY(B2)</f>
        <v>-202</v>
      </c>
      <c r="K63" s="69"/>
      <c r="L63" s="66"/>
      <c r="N63" s="87"/>
      <c r="O63" s="71"/>
    </row>
    <row r="64" spans="1:15" ht="27.75" customHeight="1">
      <c r="A64" s="924" t="s">
        <v>200</v>
      </c>
      <c r="B64" s="925"/>
      <c r="C64" s="926"/>
      <c r="D64" s="151"/>
      <c r="E64" s="95">
        <f>'12'!F64</f>
        <v>0</v>
      </c>
      <c r="F64" s="122"/>
      <c r="G64" s="112">
        <f>G62+G63</f>
        <v>252</v>
      </c>
      <c r="H64" s="99">
        <f>G64+'12'!H64</f>
        <v>-4859</v>
      </c>
      <c r="I64" s="118"/>
      <c r="J64" s="175">
        <f>H64/DAY(B2)</f>
        <v>-373.76923076923077</v>
      </c>
      <c r="K64" s="69"/>
      <c r="L64" s="66"/>
      <c r="N64" s="87"/>
      <c r="O64" s="71"/>
    </row>
    <row r="65" spans="1:15" ht="27.75" customHeight="1">
      <c r="A65" s="915" t="s">
        <v>201</v>
      </c>
      <c r="B65" s="916"/>
      <c r="C65" s="917"/>
      <c r="D65" s="151" t="s">
        <v>142</v>
      </c>
      <c r="E65" s="95">
        <f>'12'!F65</f>
        <v>452579</v>
      </c>
      <c r="F65" s="122">
        <v>452678</v>
      </c>
      <c r="G65" s="112">
        <f t="shared" ref="G65:G70" si="6">F65-E65</f>
        <v>99</v>
      </c>
      <c r="H65" s="99">
        <f>G65+'12'!H65</f>
        <v>-2032</v>
      </c>
      <c r="I65" s="118"/>
      <c r="J65" s="175">
        <f>H65/DAY(B2)</f>
        <v>-156.30769230769232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111255</v>
      </c>
      <c r="F66" s="122">
        <v>111278</v>
      </c>
      <c r="G66" s="112">
        <f t="shared" si="6"/>
        <v>23</v>
      </c>
      <c r="H66" s="99">
        <f>G66+'12'!H66</f>
        <v>-444</v>
      </c>
      <c r="I66" s="118"/>
      <c r="J66" s="175">
        <f>H66/DAY(B2)</f>
        <v>-34.153846153846153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113680</v>
      </c>
      <c r="F67" s="122">
        <v>113680</v>
      </c>
      <c r="G67" s="112">
        <f t="shared" si="6"/>
        <v>0</v>
      </c>
      <c r="H67" s="99">
        <f>G67+'12'!H67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164032</v>
      </c>
      <c r="F68" s="122">
        <v>164056</v>
      </c>
      <c r="G68" s="112">
        <f t="shared" si="6"/>
        <v>24</v>
      </c>
      <c r="H68" s="99">
        <f>G68+'12'!H68</f>
        <v>-606</v>
      </c>
      <c r="I68" s="118"/>
      <c r="J68" s="175">
        <f>H68/DAY(B2)</f>
        <v>-46.615384615384613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12185</v>
      </c>
      <c r="F69" s="122">
        <v>12188</v>
      </c>
      <c r="G69" s="112">
        <f t="shared" si="6"/>
        <v>3</v>
      </c>
      <c r="H69" s="99">
        <f>G69+'12'!H69</f>
        <v>-87</v>
      </c>
      <c r="I69" s="118"/>
      <c r="J69" s="175">
        <f>H69/DAY(B2)</f>
        <v>-6.6923076923076925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9610</v>
      </c>
      <c r="F70" s="122">
        <v>9619</v>
      </c>
      <c r="G70" s="112">
        <f t="shared" si="6"/>
        <v>9</v>
      </c>
      <c r="H70" s="99">
        <f>G70+'12'!H70</f>
        <v>-208</v>
      </c>
      <c r="I70" s="118"/>
      <c r="J70" s="175">
        <f>H70/DAY(B2)</f>
        <v>-16</v>
      </c>
      <c r="K70" s="69"/>
      <c r="L70" s="66"/>
      <c r="N70" s="87"/>
      <c r="O70" s="71"/>
    </row>
    <row r="71" spans="1:15" ht="27.75" customHeight="1">
      <c r="A71" s="924" t="s">
        <v>208</v>
      </c>
      <c r="B71" s="925"/>
      <c r="C71" s="926"/>
      <c r="D71" s="152"/>
      <c r="E71" s="152"/>
      <c r="F71" s="152" t="s">
        <v>369</v>
      </c>
      <c r="G71" s="153">
        <f>SUM(G65:G70)</f>
        <v>158</v>
      </c>
      <c r="H71" s="99">
        <f>G71+'12'!H71</f>
        <v>-3377</v>
      </c>
      <c r="I71" s="154"/>
      <c r="J71" s="175">
        <f>H71/DAY(B2)</f>
        <v>-259.76923076923077</v>
      </c>
      <c r="K71" s="69"/>
      <c r="L71" s="66"/>
      <c r="N71" s="87"/>
      <c r="O71" s="71"/>
    </row>
    <row r="72" spans="1:15" s="88" customFormat="1" ht="27.75" customHeight="1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915" t="s">
        <v>220</v>
      </c>
      <c r="B74" s="916"/>
      <c r="C74" s="917"/>
      <c r="D74" s="151" t="s">
        <v>139</v>
      </c>
      <c r="E74" s="95">
        <f>'12'!F74</f>
        <v>951344.02</v>
      </c>
      <c r="F74" s="117">
        <v>951719.93</v>
      </c>
      <c r="G74" s="112">
        <f t="shared" ref="G74:G78" si="7">F74-E74</f>
        <v>375.9100000000326</v>
      </c>
      <c r="H74" s="99">
        <f>G74+'12'!H74</f>
        <v>-5937.9299999999348</v>
      </c>
      <c r="I74" s="154"/>
      <c r="J74" s="175">
        <f>H74/DAY(B2)</f>
        <v>-456.76384615384114</v>
      </c>
      <c r="K74" s="69"/>
      <c r="L74" s="66"/>
      <c r="N74" s="87"/>
      <c r="O74" s="71"/>
    </row>
    <row r="75" spans="1:15" ht="27.75" customHeight="1">
      <c r="A75" s="915" t="s">
        <v>221</v>
      </c>
      <c r="B75" s="916"/>
      <c r="C75" s="917"/>
      <c r="D75" s="151" t="s">
        <v>139</v>
      </c>
      <c r="E75" s="95">
        <f>'12'!F75</f>
        <v>73586.8</v>
      </c>
      <c r="F75" s="123">
        <v>73586.8</v>
      </c>
      <c r="G75" s="112">
        <f t="shared" si="7"/>
        <v>0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2" t="s">
        <v>222</v>
      </c>
      <c r="B76" s="913"/>
      <c r="C76" s="914"/>
      <c r="D76" s="151" t="s">
        <v>139</v>
      </c>
      <c r="E76" s="95">
        <f>'12'!F76</f>
        <v>188143</v>
      </c>
      <c r="F76" s="123">
        <v>188259.94</v>
      </c>
      <c r="G76" s="112">
        <f t="shared" si="7"/>
        <v>116.94000000000233</v>
      </c>
      <c r="H76" s="99">
        <f>G76+'12'!H76</f>
        <v>-1912.0599999999977</v>
      </c>
      <c r="I76" s="154"/>
      <c r="J76" s="175">
        <f>H76/DAY(B2)</f>
        <v>-147.08153846153829</v>
      </c>
      <c r="K76" s="69"/>
      <c r="L76" s="66"/>
      <c r="N76" s="87"/>
      <c r="O76" s="71"/>
    </row>
    <row r="77" spans="1:15" ht="27.75" customHeight="1">
      <c r="A77" s="912" t="s">
        <v>223</v>
      </c>
      <c r="B77" s="913"/>
      <c r="C77" s="914"/>
      <c r="D77" s="151" t="s">
        <v>139</v>
      </c>
      <c r="E77" s="95">
        <f>'12'!F77</f>
        <v>49308</v>
      </c>
      <c r="F77" s="123">
        <v>49365.5</v>
      </c>
      <c r="G77" s="112">
        <f t="shared" si="7"/>
        <v>57.5</v>
      </c>
      <c r="H77" s="99">
        <f>G77+'12'!H77</f>
        <v>-947.5</v>
      </c>
      <c r="I77" s="154"/>
      <c r="J77" s="175">
        <f>H77/DAY(B2)</f>
        <v>-72.884615384615387</v>
      </c>
      <c r="K77" s="69"/>
      <c r="L77" s="66"/>
      <c r="N77" s="87"/>
      <c r="O77" s="71"/>
    </row>
    <row r="78" spans="1:15" ht="27.75" customHeight="1">
      <c r="A78" s="912" t="s">
        <v>224</v>
      </c>
      <c r="B78" s="913"/>
      <c r="C78" s="914"/>
      <c r="D78" s="151" t="s">
        <v>139</v>
      </c>
      <c r="E78" s="95">
        <f>'12'!F78</f>
        <v>9563.4</v>
      </c>
      <c r="F78" s="123">
        <v>9563</v>
      </c>
      <c r="G78" s="112">
        <f t="shared" si="7"/>
        <v>-0.3999999999996362</v>
      </c>
      <c r="H78" s="99">
        <f>G78+'12'!H78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2" t="s">
        <v>225</v>
      </c>
      <c r="B79" s="913"/>
      <c r="C79" s="914"/>
      <c r="D79" s="151"/>
      <c r="E79" s="95">
        <f>'12'!F79</f>
        <v>0</v>
      </c>
      <c r="F79" s="117"/>
      <c r="G79" s="112">
        <f>G15-SUM(G74:G78)</f>
        <v>450.04999999996471</v>
      </c>
      <c r="H79" s="99">
        <f>G79+'12'!H79</f>
        <v>21937.489999999932</v>
      </c>
      <c r="I79" s="118"/>
      <c r="J79" s="175">
        <f>H79/DAY(B2)</f>
        <v>1687.4992307692255</v>
      </c>
      <c r="K79" s="59"/>
      <c r="L79" s="58"/>
      <c r="N79" s="87"/>
      <c r="O79" s="71"/>
    </row>
    <row r="80" spans="1:15" s="57" customFormat="1" ht="27.75" customHeight="1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42355.41</v>
      </c>
      <c r="F84" s="164">
        <v>42355.41</v>
      </c>
      <c r="G84" s="112">
        <f t="shared" si="8"/>
        <v>0</v>
      </c>
      <c r="H84" s="99">
        <f>G84+'12'!H84</f>
        <v>-233.58999999999651</v>
      </c>
      <c r="I84" s="571"/>
      <c r="J84" s="175">
        <f>H84/DAY(B2)</f>
        <v>-17.96846153846127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5034.22</v>
      </c>
      <c r="F85" s="164">
        <v>5049.55</v>
      </c>
      <c r="G85" s="112">
        <f t="shared" si="8"/>
        <v>15.329999999999927</v>
      </c>
      <c r="H85" s="99">
        <f>G85+'12'!H85</f>
        <v>-90.639999999999418</v>
      </c>
      <c r="I85" s="571"/>
      <c r="J85" s="175">
        <f>H85/DAY(B2)</f>
        <v>-6.9723076923076475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45024.42</v>
      </c>
      <c r="F86" s="164">
        <v>45048.44</v>
      </c>
      <c r="G86" s="112">
        <f t="shared" si="8"/>
        <v>24.020000000004075</v>
      </c>
      <c r="H86" s="99">
        <f>G86+'12'!H86</f>
        <v>-330.55999999999767</v>
      </c>
      <c r="I86" s="571"/>
      <c r="J86" s="175">
        <f>H86/DAY(B2)</f>
        <v>-25.42769230769213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35433.01</v>
      </c>
      <c r="F87" s="164">
        <v>35433.01</v>
      </c>
      <c r="G87" s="112">
        <f t="shared" si="8"/>
        <v>0</v>
      </c>
      <c r="H87" s="99">
        <f>G87+'12'!H87</f>
        <v>-24.419999999998254</v>
      </c>
      <c r="I87" s="553">
        <f>G84+G85+G86+G87</f>
        <v>39.350000000004002</v>
      </c>
      <c r="J87" s="175">
        <f>H87/DAY(B2)</f>
        <v>-1.8784615384614041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24293.83</v>
      </c>
      <c r="F88" s="164">
        <v>24293.88</v>
      </c>
      <c r="G88" s="112">
        <f t="shared" si="8"/>
        <v>4.9999999999272404E-2</v>
      </c>
      <c r="H88" s="99">
        <f>G88+'12'!H88</f>
        <v>-9.5799999999981083</v>
      </c>
      <c r="I88" s="553"/>
      <c r="J88" s="175">
        <f>H88/DAY(B2)</f>
        <v>-0.73692307692293135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27392.84</v>
      </c>
      <c r="F89" s="164">
        <v>27402.42</v>
      </c>
      <c r="G89" s="112">
        <f t="shared" si="8"/>
        <v>9.5799999999981083</v>
      </c>
      <c r="H89" s="99">
        <f>G89+'12'!H89</f>
        <v>-164.19000000000233</v>
      </c>
      <c r="I89" s="553">
        <f>G88+G89</f>
        <v>9.6299999999973807</v>
      </c>
      <c r="J89" s="175">
        <f>H89/DAY(B2)</f>
        <v>-12.630000000000178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72405.48</v>
      </c>
      <c r="F90" s="164">
        <v>72415.89</v>
      </c>
      <c r="G90" s="112">
        <f t="shared" si="8"/>
        <v>10.410000000003492</v>
      </c>
      <c r="H90" s="99">
        <f>G90+'12'!H90</f>
        <v>-190.66000000000349</v>
      </c>
      <c r="I90" s="553">
        <f>G90</f>
        <v>10.410000000003492</v>
      </c>
      <c r="J90" s="175">
        <f>H90/DAY(B2)</f>
        <v>-14.666153846154115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4206.62</v>
      </c>
      <c r="F91" s="122">
        <v>4220.04</v>
      </c>
      <c r="G91" s="112">
        <f t="shared" si="8"/>
        <v>13.420000000000073</v>
      </c>
      <c r="H91" s="99">
        <f>G91+'12'!H91</f>
        <v>-69.5</v>
      </c>
      <c r="I91" s="613"/>
      <c r="J91" s="175">
        <f>H91/DAY(B2)</f>
        <v>-5.3461538461538458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6577.87</v>
      </c>
      <c r="F92" s="122">
        <v>6577.87</v>
      </c>
      <c r="G92" s="112">
        <f t="shared" si="8"/>
        <v>0</v>
      </c>
      <c r="H92" s="99">
        <f>G92+'12'!H92</f>
        <v>-139.46000000000004</v>
      </c>
      <c r="I92" s="614">
        <f>G91+G92</f>
        <v>13.420000000000073</v>
      </c>
      <c r="J92" s="175">
        <f>H92/DAY(B2)</f>
        <v>-10.72769230769231</v>
      </c>
      <c r="O92" s="71"/>
    </row>
    <row r="93" spans="1:15" ht="27.7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6391.5799999999581</v>
      </c>
      <c r="H94" s="99">
        <f>G94+'12'!H94</f>
        <v>-124082.92000000001</v>
      </c>
      <c r="I94" s="118"/>
      <c r="J94" s="175">
        <f>H94/DAY(B2)</f>
        <v>-9544.84</v>
      </c>
      <c r="K94" s="69"/>
      <c r="L94" s="66"/>
      <c r="O94" s="71"/>
    </row>
    <row r="95" spans="1:15" ht="27.75" customHeight="1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0.24395343511450221</v>
      </c>
      <c r="H95" s="99">
        <f>G95+'12'!H95</f>
        <v>-4.7201980520020514</v>
      </c>
      <c r="I95" s="167"/>
      <c r="J95" s="175">
        <f>H95/DAY(B2)</f>
        <v>-0.36309215784631166</v>
      </c>
      <c r="K95" s="69"/>
      <c r="L95" s="66"/>
      <c r="O95" s="71"/>
    </row>
    <row r="96" spans="1:15" ht="27.75" customHeight="1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7606.6199999999953</v>
      </c>
      <c r="H96" s="99">
        <f>G96+'12'!H96</f>
        <v>-121705.69</v>
      </c>
      <c r="I96" s="118"/>
      <c r="J96" s="175">
        <f>H96/DAY(B2)</f>
        <v>-9361.9761538461535</v>
      </c>
      <c r="K96" s="69"/>
      <c r="L96" s="66"/>
      <c r="O96" s="71"/>
    </row>
    <row r="97" spans="1:15" ht="27.75" customHeight="1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0.2903290076335876</v>
      </c>
      <c r="H97" s="99">
        <f>G97+'12'!H97</f>
        <v>-4.6339237151430757</v>
      </c>
      <c r="I97" s="167"/>
      <c r="J97" s="175">
        <f>H97/DAY(B2)</f>
        <v>-0.3564556703956212</v>
      </c>
      <c r="K97" s="69"/>
      <c r="L97" s="66"/>
      <c r="O97" s="71"/>
    </row>
    <row r="98" spans="1:15" ht="27.75" customHeight="1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2983.359999999986</v>
      </c>
      <c r="H98" s="99">
        <f>G98+'12'!H98</f>
        <v>-63611.930000000051</v>
      </c>
      <c r="I98" s="168"/>
      <c r="J98" s="175">
        <f>H98/DAY(B2)</f>
        <v>-4893.225384615389</v>
      </c>
      <c r="K98" s="69"/>
      <c r="L98" s="66"/>
      <c r="O98" s="71"/>
    </row>
    <row r="99" spans="1:15" ht="27.75" customHeight="1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0.1138687022900758</v>
      </c>
      <c r="H99" s="99">
        <f>G99+'12'!H99</f>
        <v>-2.4183346095706941</v>
      </c>
      <c r="I99" s="168"/>
      <c r="J99" s="175">
        <f>H99/DAY(B2)</f>
        <v>-0.1860257391977457</v>
      </c>
      <c r="O99" s="71"/>
    </row>
    <row r="100" spans="1:15" ht="27.75" customHeight="1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2289.2399999999907</v>
      </c>
      <c r="H100" s="99">
        <f>G100+'12'!H100</f>
        <v>-41318.130000000012</v>
      </c>
      <c r="I100" s="118"/>
      <c r="J100" s="175">
        <f>H100/DAY(B2)</f>
        <v>-3178.3176923076931</v>
      </c>
      <c r="K100" s="70"/>
      <c r="O100" s="71"/>
    </row>
    <row r="101" spans="1:15" ht="27.75" customHeight="1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8.7375572519083608E-2</v>
      </c>
      <c r="H101" s="99">
        <f>G101+'12'!H101</f>
        <v>-1.572195000657133</v>
      </c>
      <c r="I101" s="168"/>
      <c r="J101" s="175">
        <f>H101/DAY(B2)</f>
        <v>-0.12093807697362562</v>
      </c>
      <c r="O101" s="71"/>
    </row>
    <row r="102" spans="1:15" ht="27.75" customHeight="1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2198.1399999999849</v>
      </c>
      <c r="H102" s="99">
        <f>G102+'12'!H102</f>
        <v>-40771.560000000027</v>
      </c>
      <c r="I102" s="168"/>
      <c r="J102" s="175">
        <f>H102/DAY(B2)</f>
        <v>-3136.2738461538484</v>
      </c>
      <c r="O102" s="71"/>
    </row>
    <row r="103" spans="1:15" ht="27.75" customHeight="1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8.3898473282442168E-2</v>
      </c>
      <c r="H103" s="99">
        <f>G103+'12'!H103</f>
        <v>-1.5543184717663301</v>
      </c>
      <c r="I103" s="118"/>
      <c r="J103" s="175">
        <f>H103/DAY(B2)</f>
        <v>-0.11956295936664077</v>
      </c>
      <c r="O103" s="71"/>
    </row>
    <row r="104" spans="1:15" ht="27.75" customHeight="1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1540.1399999999558</v>
      </c>
      <c r="H104" s="99">
        <f>G104+'12'!H104</f>
        <v>-24185.150000000016</v>
      </c>
      <c r="I104" s="118"/>
      <c r="J104" s="175">
        <f>H104/DAY(B2)</f>
        <v>-1860.3961538461551</v>
      </c>
      <c r="O104" s="71"/>
    </row>
    <row r="105" spans="1:15" ht="27.75" customHeight="1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5.8783969465647165E-2</v>
      </c>
      <c r="H105" s="99">
        <f>G105+'12'!H105</f>
        <v>-0.92071322560136659</v>
      </c>
      <c r="I105" s="187"/>
      <c r="J105" s="188">
        <f>H105/DAY(B2)</f>
        <v>-7.0824094277028196E-2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7.75" customHeight="1">
      <c r="A109" s="932"/>
      <c r="B109" s="932"/>
    </row>
    <row r="110" spans="1:15" ht="27.75" customHeight="1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7.75" customHeight="1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94" t="s">
        <v>252</v>
      </c>
      <c r="B112" s="895"/>
      <c r="C112" s="896"/>
      <c r="D112" s="146" t="s">
        <v>183</v>
      </c>
      <c r="E112" s="95">
        <f>'12'!F112</f>
        <v>5832.18</v>
      </c>
      <c r="F112" s="237">
        <v>5908.57</v>
      </c>
      <c r="G112" s="112">
        <f t="shared" ref="G112:G123" si="9">F112-E112</f>
        <v>76.389999999999418</v>
      </c>
      <c r="H112" s="99">
        <f>G112+'12'!H112</f>
        <v>-1356.4300000000003</v>
      </c>
      <c r="I112" s="165"/>
      <c r="J112" s="328">
        <f>H112/DAY(B2)</f>
        <v>-104.34076923076925</v>
      </c>
    </row>
    <row r="113" spans="1:18" ht="27.75" customHeight="1">
      <c r="A113" s="894" t="s">
        <v>253</v>
      </c>
      <c r="B113" s="895"/>
      <c r="C113" s="896"/>
      <c r="D113" s="146" t="s">
        <v>183</v>
      </c>
      <c r="E113" s="95">
        <f>'12'!F113</f>
        <v>12344.69</v>
      </c>
      <c r="F113" s="237">
        <v>12491.55</v>
      </c>
      <c r="G113" s="112">
        <f t="shared" si="9"/>
        <v>146.85999999999876</v>
      </c>
      <c r="H113" s="99">
        <f>G113+'12'!H113</f>
        <v>-2523.4500000000007</v>
      </c>
      <c r="I113" s="165"/>
      <c r="J113" s="328">
        <f>H113/DAY(B2)</f>
        <v>-194.11153846153852</v>
      </c>
    </row>
    <row r="114" spans="1:18" ht="27.75" customHeight="1">
      <c r="A114" s="894" t="s">
        <v>254</v>
      </c>
      <c r="B114" s="895"/>
      <c r="C114" s="896"/>
      <c r="D114" s="146" t="s">
        <v>183</v>
      </c>
      <c r="E114" s="95">
        <f>'12'!F114</f>
        <v>16958.14</v>
      </c>
      <c r="F114" s="237">
        <v>17194.75</v>
      </c>
      <c r="G114" s="112">
        <f t="shared" si="9"/>
        <v>236.61000000000058</v>
      </c>
      <c r="H114" s="99">
        <f>G114+'12'!H114</f>
        <v>-4073.25</v>
      </c>
      <c r="I114" s="165"/>
      <c r="J114" s="328">
        <f>H114/DAY(B2)</f>
        <v>-313.32692307692309</v>
      </c>
    </row>
    <row r="115" spans="1:18" ht="27.75" customHeight="1">
      <c r="A115" s="894" t="s">
        <v>255</v>
      </c>
      <c r="B115" s="895"/>
      <c r="C115" s="896"/>
      <c r="D115" s="146" t="s">
        <v>183</v>
      </c>
      <c r="E115" s="95">
        <f>'12'!F115</f>
        <v>10459.32</v>
      </c>
      <c r="F115" s="237">
        <v>10608.75</v>
      </c>
      <c r="G115" s="112">
        <f t="shared" si="9"/>
        <v>149.43000000000029</v>
      </c>
      <c r="H115" s="99">
        <f>G115+'12'!H115</f>
        <v>-2930.4700000000012</v>
      </c>
      <c r="I115" s="165"/>
      <c r="J115" s="328">
        <f>H115/DAY(B2)</f>
        <v>-225.42076923076931</v>
      </c>
    </row>
    <row r="116" spans="1:18" ht="27.75" customHeight="1">
      <c r="A116" s="901" t="s">
        <v>96</v>
      </c>
      <c r="B116" s="902"/>
      <c r="C116" s="903"/>
      <c r="D116" s="146" t="s">
        <v>183</v>
      </c>
      <c r="E116" s="95">
        <f>'12'!F116</f>
        <v>63724.49</v>
      </c>
      <c r="F116" s="237">
        <v>64135.61</v>
      </c>
      <c r="G116" s="112">
        <f t="shared" si="9"/>
        <v>411.12000000000262</v>
      </c>
      <c r="H116" s="99">
        <f>G116+'12'!H116</f>
        <v>-6356.3899999999994</v>
      </c>
      <c r="I116" s="165"/>
      <c r="J116" s="328">
        <f>H116/DAY(B2)</f>
        <v>-488.95307692307688</v>
      </c>
      <c r="Q116" s="894"/>
      <c r="R116" s="896"/>
    </row>
    <row r="117" spans="1:18" ht="27.75" customHeight="1">
      <c r="A117" s="901" t="s">
        <v>184</v>
      </c>
      <c r="B117" s="902"/>
      <c r="C117" s="903"/>
      <c r="D117" s="146" t="s">
        <v>183</v>
      </c>
      <c r="E117" s="95">
        <f>'12'!F117</f>
        <v>36045.71</v>
      </c>
      <c r="F117" s="237">
        <v>36328.120000000003</v>
      </c>
      <c r="G117" s="112">
        <f t="shared" si="9"/>
        <v>282.41000000000349</v>
      </c>
      <c r="H117" s="99">
        <f>G117+'12'!H117</f>
        <v>-4593.8799999999974</v>
      </c>
      <c r="I117" s="165"/>
      <c r="J117" s="328">
        <f>H117/DAY(B2)</f>
        <v>-353.37538461538441</v>
      </c>
      <c r="Q117" s="894"/>
      <c r="R117" s="896"/>
    </row>
    <row r="118" spans="1:18" ht="27.75" customHeight="1">
      <c r="A118" s="893" t="s">
        <v>97</v>
      </c>
      <c r="B118" s="893"/>
      <c r="C118" s="893"/>
      <c r="D118" s="151" t="s">
        <v>183</v>
      </c>
      <c r="E118" s="95">
        <f>'12'!F118</f>
        <v>52598.66</v>
      </c>
      <c r="F118" s="237">
        <v>53240.51</v>
      </c>
      <c r="G118" s="112">
        <f t="shared" si="9"/>
        <v>641.84999999999854</v>
      </c>
      <c r="H118" s="99">
        <f>G118+'12'!H118</f>
        <v>-11431.489999999998</v>
      </c>
      <c r="I118" s="165"/>
      <c r="J118" s="328">
        <f>H118/DAY(B2)</f>
        <v>-879.34538461538443</v>
      </c>
      <c r="Q118" s="894"/>
      <c r="R118" s="896"/>
    </row>
    <row r="119" spans="1:18" ht="27.75" customHeight="1">
      <c r="A119" s="893" t="s">
        <v>98</v>
      </c>
      <c r="B119" s="893"/>
      <c r="C119" s="893"/>
      <c r="D119" s="151" t="s">
        <v>183</v>
      </c>
      <c r="E119" s="95">
        <f>'12'!F119</f>
        <v>33135.129999999997</v>
      </c>
      <c r="F119" s="237">
        <v>33362.99</v>
      </c>
      <c r="G119" s="112">
        <f t="shared" si="9"/>
        <v>227.86000000000058</v>
      </c>
      <c r="H119" s="99">
        <f>G119+'12'!H119</f>
        <v>-4086.010000000002</v>
      </c>
      <c r="I119" s="165"/>
      <c r="J119" s="328">
        <f>H119/DAY(B2)</f>
        <v>-314.3084615384617</v>
      </c>
    </row>
    <row r="120" spans="1:18" ht="27.75" customHeight="1">
      <c r="A120" s="893" t="s">
        <v>99</v>
      </c>
      <c r="B120" s="893"/>
      <c r="C120" s="893"/>
      <c r="D120" s="151" t="s">
        <v>183</v>
      </c>
      <c r="E120" s="95">
        <f>'12'!F120</f>
        <v>38276.29</v>
      </c>
      <c r="F120" s="237">
        <v>38728.33</v>
      </c>
      <c r="G120" s="112">
        <f t="shared" si="9"/>
        <v>452.04000000000087</v>
      </c>
      <c r="H120" s="99">
        <f>G120+'12'!H120</f>
        <v>-7538.6699999999983</v>
      </c>
      <c r="I120" s="165"/>
      <c r="J120" s="328">
        <f>H120/DAY(B2)</f>
        <v>-579.89769230769218</v>
      </c>
    </row>
    <row r="121" spans="1:18" ht="27.75" customHeight="1">
      <c r="A121" s="893" t="s">
        <v>100</v>
      </c>
      <c r="B121" s="893"/>
      <c r="C121" s="893"/>
      <c r="D121" s="151" t="s">
        <v>183</v>
      </c>
      <c r="E121" s="95">
        <f>'12'!F121</f>
        <v>44982</v>
      </c>
      <c r="F121" s="237">
        <v>45432</v>
      </c>
      <c r="G121" s="112">
        <f t="shared" si="9"/>
        <v>450</v>
      </c>
      <c r="H121" s="99">
        <f>G121+'12'!H121</f>
        <v>-8111</v>
      </c>
      <c r="I121" s="165"/>
      <c r="J121" s="328">
        <f>H121/DAY(B2)</f>
        <v>-623.92307692307691</v>
      </c>
    </row>
    <row r="122" spans="1:18" ht="27.75" customHeight="1">
      <c r="A122" s="893" t="s">
        <v>101</v>
      </c>
      <c r="B122" s="893"/>
      <c r="C122" s="893"/>
      <c r="D122" s="151" t="s">
        <v>183</v>
      </c>
      <c r="E122" s="95">
        <f>'12'!F122</f>
        <v>23469.17</v>
      </c>
      <c r="F122" s="237">
        <v>23748.22</v>
      </c>
      <c r="G122" s="112">
        <f t="shared" si="9"/>
        <v>279.05000000000291</v>
      </c>
      <c r="H122" s="99">
        <f>G122+'12'!H122</f>
        <v>-4925.7799999999988</v>
      </c>
      <c r="I122" s="165"/>
      <c r="J122" s="328">
        <f>H122/DAY(B2)</f>
        <v>-378.90615384615376</v>
      </c>
    </row>
    <row r="123" spans="1:18" ht="27.75" customHeight="1">
      <c r="A123" s="893" t="s">
        <v>102</v>
      </c>
      <c r="B123" s="893"/>
      <c r="C123" s="893"/>
      <c r="D123" s="151" t="s">
        <v>183</v>
      </c>
      <c r="E123" s="95">
        <f>'12'!F123</f>
        <v>24141.919999999998</v>
      </c>
      <c r="F123" s="237">
        <v>24456.04</v>
      </c>
      <c r="G123" s="112">
        <f t="shared" si="9"/>
        <v>314.12000000000262</v>
      </c>
      <c r="H123" s="99">
        <f>G123+'12'!H123</f>
        <v>-5731.9599999999991</v>
      </c>
      <c r="I123" s="165"/>
      <c r="J123" s="328">
        <f>H123/DAY(B2)</f>
        <v>-440.91999999999996</v>
      </c>
    </row>
    <row r="124" spans="1:18" ht="27.7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76" t="s">
        <v>196</v>
      </c>
      <c r="B125" s="877"/>
      <c r="C125" s="245"/>
      <c r="D125" s="307"/>
      <c r="E125" s="308"/>
      <c r="F125" s="308"/>
      <c r="G125" s="309">
        <f>SUM(G112:G124)</f>
        <v>3667.7400000000107</v>
      </c>
      <c r="H125" s="156"/>
      <c r="I125" s="327">
        <f>G125-(G39+G53)</f>
        <v>684.38000000002467</v>
      </c>
      <c r="J125" s="327"/>
    </row>
    <row r="126" spans="1:18" ht="27.75" customHeight="1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7.75" customHeight="1">
      <c r="A127" s="881"/>
      <c r="B127" s="881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894" t="s">
        <v>318</v>
      </c>
      <c r="B128" s="895"/>
      <c r="C128" s="896"/>
      <c r="D128" s="151" t="s">
        <v>183</v>
      </c>
      <c r="E128" s="95">
        <f>'12'!F128</f>
        <v>118100.49</v>
      </c>
      <c r="F128" s="165">
        <v>118617.57</v>
      </c>
      <c r="G128" s="112">
        <f t="shared" ref="G128:G134" si="10">F128-E128</f>
        <v>517.08000000000175</v>
      </c>
      <c r="H128" s="99">
        <f>G128+'12'!H128</f>
        <v>-9026.429999999993</v>
      </c>
      <c r="I128" s="165"/>
      <c r="J128" s="328">
        <f>H128/DAY(B2)</f>
        <v>-694.34076923076873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69139.69</v>
      </c>
      <c r="F129" s="165">
        <v>69317</v>
      </c>
      <c r="G129" s="112">
        <f t="shared" si="10"/>
        <v>177.30999999999767</v>
      </c>
      <c r="H129" s="99">
        <f>G129+'12'!H129</f>
        <v>-3186</v>
      </c>
      <c r="I129" s="165"/>
      <c r="J129" s="328">
        <f>H129/DAY(B2)</f>
        <v>-245.07692307692307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150858.84</v>
      </c>
      <c r="F130" s="165">
        <v>151595.98000000001</v>
      </c>
      <c r="G130" s="112">
        <f t="shared" si="10"/>
        <v>737.14000000001397</v>
      </c>
      <c r="H130" s="99">
        <f>G130+'12'!H130</f>
        <v>-13545.289999999979</v>
      </c>
      <c r="I130" s="165"/>
      <c r="J130" s="328">
        <f>H130/DAY(B2)</f>
        <v>-1041.9453846153831</v>
      </c>
      <c r="N130" s="240"/>
      <c r="O130" s="241"/>
    </row>
    <row r="131" spans="1:15" ht="27.75" customHeight="1">
      <c r="A131" s="894" t="s">
        <v>321</v>
      </c>
      <c r="B131" s="895"/>
      <c r="C131" s="896"/>
      <c r="D131" s="151" t="s">
        <v>183</v>
      </c>
      <c r="E131" s="95">
        <f>'12'!F131</f>
        <v>44698.39</v>
      </c>
      <c r="F131" s="165">
        <v>44869.69</v>
      </c>
      <c r="G131" s="112">
        <f t="shared" si="10"/>
        <v>171.30000000000291</v>
      </c>
      <c r="H131" s="99">
        <f>G131+'12'!H131</f>
        <v>-3579.3099999999977</v>
      </c>
      <c r="I131" s="165"/>
      <c r="J131" s="328">
        <f>H131/DAY(B2)</f>
        <v>-275.33153846153829</v>
      </c>
      <c r="N131" s="240"/>
      <c r="O131" s="241"/>
    </row>
    <row r="132" spans="1:15" ht="27.75" customHeight="1">
      <c r="A132" s="894" t="s">
        <v>322</v>
      </c>
      <c r="B132" s="895"/>
      <c r="C132" s="896"/>
      <c r="D132" s="151" t="s">
        <v>183</v>
      </c>
      <c r="E132" s="95">
        <f>'12'!F132</f>
        <v>121303.35</v>
      </c>
      <c r="F132" s="165">
        <v>121741.45</v>
      </c>
      <c r="G132" s="112">
        <f t="shared" si="10"/>
        <v>438.09999999999127</v>
      </c>
      <c r="H132" s="99">
        <f>G132+'12'!H132</f>
        <v>-6432.5500000000029</v>
      </c>
      <c r="I132" s="165"/>
      <c r="J132" s="328">
        <f>H132/DAY(B2)</f>
        <v>-494.8115384615387</v>
      </c>
    </row>
    <row r="133" spans="1:15" ht="27.75" customHeight="1">
      <c r="A133" s="894" t="s">
        <v>359</v>
      </c>
      <c r="B133" s="895"/>
      <c r="C133" s="896"/>
      <c r="D133" s="151" t="s">
        <v>183</v>
      </c>
      <c r="E133" s="95">
        <v>222404.57</v>
      </c>
      <c r="F133" s="165">
        <v>223091.25</v>
      </c>
      <c r="G133" s="112">
        <f t="shared" si="10"/>
        <v>686.67999999999302</v>
      </c>
      <c r="H133" s="99">
        <f>G133+'12'!H133</f>
        <v>570289.09000000008</v>
      </c>
      <c r="I133" s="165"/>
      <c r="J133" s="328">
        <f>H133/DAY(B2)</f>
        <v>43868.391538461547</v>
      </c>
    </row>
    <row r="134" spans="1:15" ht="27.75" customHeight="1">
      <c r="A134" s="894" t="s">
        <v>340</v>
      </c>
      <c r="B134" s="895"/>
      <c r="C134" s="896"/>
      <c r="D134" s="151" t="s">
        <v>183</v>
      </c>
      <c r="E134" s="95">
        <f>'12'!F134</f>
        <v>44711.44</v>
      </c>
      <c r="F134" s="165">
        <v>44968.21</v>
      </c>
      <c r="G134" s="112">
        <f t="shared" si="10"/>
        <v>256.7699999999968</v>
      </c>
      <c r="H134" s="99">
        <f>G134+'12'!H134</f>
        <v>-4066.7900000000009</v>
      </c>
      <c r="I134" s="165"/>
      <c r="J134" s="328">
        <f>H134/DAY(B2)</f>
        <v>-312.83000000000004</v>
      </c>
    </row>
    <row r="135" spans="1:15" ht="27.75" customHeight="1">
      <c r="A135" s="876" t="s">
        <v>196</v>
      </c>
      <c r="B135" s="877"/>
      <c r="C135" s="331"/>
      <c r="D135" s="151"/>
      <c r="E135" s="95"/>
      <c r="F135" s="165"/>
      <c r="G135" s="112">
        <f>SUM(G128:G134)</f>
        <v>2984.3799999999974</v>
      </c>
      <c r="H135" s="99">
        <f>G135+'12'!H135</f>
        <v>527250.29</v>
      </c>
      <c r="I135" s="327">
        <f>G135-(G35+G49)</f>
        <v>-407.65999999998166</v>
      </c>
      <c r="J135" s="328">
        <f>H135/DAY(B2)</f>
        <v>40557.714615384619</v>
      </c>
    </row>
    <row r="136" spans="1:15" ht="27.75" customHeight="1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3" t="s">
        <v>185</v>
      </c>
      <c r="B138" s="893"/>
      <c r="C138" s="893"/>
      <c r="D138" s="151" t="s">
        <v>183</v>
      </c>
      <c r="E138" s="95">
        <f>'12'!F138</f>
        <v>888762</v>
      </c>
      <c r="F138" s="147">
        <v>888846</v>
      </c>
      <c r="G138" s="112">
        <f t="shared" ref="G138:G152" si="11">F138-E138</f>
        <v>84</v>
      </c>
      <c r="H138" s="99">
        <f>G138+'12'!H138</f>
        <v>-2249</v>
      </c>
      <c r="I138" s="118"/>
      <c r="J138" s="328">
        <f>H138/DAY(B2)</f>
        <v>-173</v>
      </c>
    </row>
    <row r="139" spans="1:15" ht="27.75" customHeight="1">
      <c r="A139" s="893" t="s">
        <v>186</v>
      </c>
      <c r="B139" s="893"/>
      <c r="C139" s="893"/>
      <c r="D139" s="151" t="s">
        <v>183</v>
      </c>
      <c r="E139" s="95">
        <f>'12'!F139</f>
        <v>906000</v>
      </c>
      <c r="F139" s="148">
        <v>906162</v>
      </c>
      <c r="G139" s="112">
        <f t="shared" si="11"/>
        <v>162</v>
      </c>
      <c r="H139" s="99">
        <f>G139+'12'!H139</f>
        <v>-2733</v>
      </c>
      <c r="I139" s="118"/>
      <c r="J139" s="328">
        <f>H139/DAY(B2)</f>
        <v>-210.23076923076923</v>
      </c>
    </row>
    <row r="140" spans="1:15" ht="27.75" customHeight="1">
      <c r="A140" s="893" t="s">
        <v>187</v>
      </c>
      <c r="B140" s="893"/>
      <c r="C140" s="893"/>
      <c r="D140" s="151" t="s">
        <v>183</v>
      </c>
      <c r="E140" s="95">
        <f>'12'!F140</f>
        <v>89713</v>
      </c>
      <c r="F140" s="149">
        <v>89803</v>
      </c>
      <c r="G140" s="112">
        <f t="shared" si="11"/>
        <v>90</v>
      </c>
      <c r="H140" s="99">
        <f>G140+'12'!H140</f>
        <v>339.39999999999418</v>
      </c>
      <c r="I140" s="118"/>
      <c r="J140" s="328">
        <f>H140/DAY(B2)</f>
        <v>26.10769230769186</v>
      </c>
    </row>
    <row r="141" spans="1:15" ht="27.75" customHeight="1">
      <c r="A141" s="872" t="s">
        <v>188</v>
      </c>
      <c r="B141" s="872"/>
      <c r="C141" s="872"/>
      <c r="D141" s="151" t="s">
        <v>183</v>
      </c>
      <c r="E141" s="95">
        <f>'12'!F141</f>
        <v>86574</v>
      </c>
      <c r="F141" s="149">
        <v>86779.35</v>
      </c>
      <c r="G141" s="112">
        <f t="shared" si="11"/>
        <v>205.35000000000582</v>
      </c>
      <c r="H141" s="99">
        <f>G141+'12'!H141</f>
        <v>-3672.6499999999942</v>
      </c>
      <c r="I141" s="118"/>
      <c r="J141" s="328">
        <f>H141/DAY(B2)</f>
        <v>-282.51153846153801</v>
      </c>
    </row>
    <row r="142" spans="1:15" ht="27.75" customHeight="1">
      <c r="A142" s="872" t="s">
        <v>189</v>
      </c>
      <c r="B142" s="872"/>
      <c r="C142" s="872"/>
      <c r="D142" s="151" t="s">
        <v>183</v>
      </c>
      <c r="E142" s="95">
        <f>'12'!F142</f>
        <v>35264.269999999997</v>
      </c>
      <c r="F142" s="148">
        <v>35336.79</v>
      </c>
      <c r="G142" s="112">
        <f t="shared" si="11"/>
        <v>72.520000000004075</v>
      </c>
      <c r="H142" s="99">
        <f>G142+'12'!H142</f>
        <v>-1324.2099999999991</v>
      </c>
      <c r="I142" s="140"/>
      <c r="J142" s="328">
        <f>H142/DAY(B2)</f>
        <v>-101.86230769230762</v>
      </c>
    </row>
    <row r="143" spans="1:15" ht="27.75" customHeight="1">
      <c r="A143" s="893" t="s">
        <v>91</v>
      </c>
      <c r="B143" s="893"/>
      <c r="C143" s="893"/>
      <c r="D143" s="151" t="s">
        <v>183</v>
      </c>
      <c r="E143" s="95">
        <f>'12'!F143</f>
        <v>8507.48</v>
      </c>
      <c r="F143" s="149">
        <v>8532.8799999999992</v>
      </c>
      <c r="G143" s="112">
        <f t="shared" si="11"/>
        <v>25.399999999999636</v>
      </c>
      <c r="H143" s="99">
        <f>G143+'12'!H143</f>
        <v>-518.1200000000008</v>
      </c>
      <c r="I143" s="140"/>
      <c r="J143" s="328">
        <f>H143/DAY(B2)</f>
        <v>-39.855384615384679</v>
      </c>
    </row>
    <row r="144" spans="1:15" ht="27.75" customHeight="1">
      <c r="A144" s="872" t="s">
        <v>90</v>
      </c>
      <c r="B144" s="872"/>
      <c r="C144" s="872"/>
      <c r="D144" s="151" t="s">
        <v>183</v>
      </c>
      <c r="E144" s="95">
        <f>'12'!F144</f>
        <v>915262</v>
      </c>
      <c r="F144" s="149">
        <v>915547</v>
      </c>
      <c r="G144" s="112">
        <f t="shared" si="11"/>
        <v>285</v>
      </c>
      <c r="H144" s="99">
        <f>G144+'12'!H144</f>
        <v>-4290</v>
      </c>
      <c r="I144" s="140"/>
      <c r="J144" s="328">
        <f>H144/DAY(B2)</f>
        <v>-330</v>
      </c>
    </row>
    <row r="145" spans="1:10" ht="27.75" customHeight="1">
      <c r="A145" s="893" t="s">
        <v>190</v>
      </c>
      <c r="B145" s="893"/>
      <c r="C145" s="893"/>
      <c r="D145" s="152" t="s">
        <v>183</v>
      </c>
      <c r="E145" s="95">
        <f>'12'!F145</f>
        <v>5667</v>
      </c>
      <c r="F145" s="149">
        <v>5665</v>
      </c>
      <c r="G145" s="112">
        <f t="shared" si="11"/>
        <v>-2</v>
      </c>
      <c r="H145" s="99">
        <f>G145+'12'!H145</f>
        <v>-142</v>
      </c>
      <c r="I145" s="140"/>
      <c r="J145" s="328">
        <f>H145/DAY(B2)</f>
        <v>-10.923076923076923</v>
      </c>
    </row>
    <row r="146" spans="1:10" ht="27.75" customHeight="1">
      <c r="A146" s="928" t="s">
        <v>191</v>
      </c>
      <c r="B146" s="913"/>
      <c r="C146" s="914"/>
      <c r="D146" s="152" t="s">
        <v>183</v>
      </c>
      <c r="E146" s="95">
        <f>'12'!F146</f>
        <v>779856</v>
      </c>
      <c r="F146" s="148">
        <v>779888</v>
      </c>
      <c r="G146" s="112">
        <f t="shared" si="11"/>
        <v>32</v>
      </c>
      <c r="H146" s="99">
        <f>G146+'12'!H146</f>
        <v>-912</v>
      </c>
      <c r="I146" s="140"/>
      <c r="J146" s="328">
        <f>H146/DAY(B2)</f>
        <v>-70.15384615384616</v>
      </c>
    </row>
    <row r="147" spans="1:10" ht="27.75" customHeight="1">
      <c r="A147" s="872" t="s">
        <v>192</v>
      </c>
      <c r="B147" s="872"/>
      <c r="C147" s="872"/>
      <c r="D147" s="152" t="s">
        <v>183</v>
      </c>
      <c r="E147" s="95">
        <f>'12'!F147</f>
        <v>692146.16</v>
      </c>
      <c r="F147" s="148">
        <v>692535</v>
      </c>
      <c r="G147" s="112">
        <f t="shared" si="11"/>
        <v>388.8399999999674</v>
      </c>
      <c r="H147" s="99">
        <f>G147+'12'!H147</f>
        <v>-7234</v>
      </c>
      <c r="I147" s="140"/>
      <c r="J147" s="328">
        <f>H147/DAY(B2)</f>
        <v>-556.46153846153845</v>
      </c>
    </row>
    <row r="148" spans="1:10" ht="27.75" customHeight="1">
      <c r="A148" s="873" t="s">
        <v>193</v>
      </c>
      <c r="B148" s="874"/>
      <c r="C148" s="875"/>
      <c r="D148" s="123" t="s">
        <v>130</v>
      </c>
      <c r="E148" s="95">
        <f>'12'!F148</f>
        <v>742640.48</v>
      </c>
      <c r="F148" s="150">
        <v>742896</v>
      </c>
      <c r="G148" s="112">
        <f t="shared" si="11"/>
        <v>255.52000000001863</v>
      </c>
      <c r="H148" s="99">
        <f>G148+'12'!H148</f>
        <v>-5634</v>
      </c>
      <c r="I148" s="124"/>
      <c r="J148" s="328">
        <f>H148/DAY(B2)</f>
        <v>-433.38461538461536</v>
      </c>
    </row>
    <row r="149" spans="1:10" ht="27.75" customHeight="1">
      <c r="A149" s="873" t="s">
        <v>336</v>
      </c>
      <c r="B149" s="874"/>
      <c r="C149" s="875"/>
      <c r="D149" s="227" t="s">
        <v>130</v>
      </c>
      <c r="E149" s="95">
        <f>'12'!F149</f>
        <v>122660.76</v>
      </c>
      <c r="F149" s="146">
        <v>123158.9</v>
      </c>
      <c r="G149" s="112">
        <f t="shared" si="11"/>
        <v>498.13999999999942</v>
      </c>
      <c r="H149" s="99">
        <f>G149+'12'!H149</f>
        <v>-9275.1000000000058</v>
      </c>
      <c r="I149" s="119"/>
      <c r="J149" s="328">
        <f>H149/DAY(B2)</f>
        <v>-713.46923076923122</v>
      </c>
    </row>
    <row r="150" spans="1:10" ht="27.75" customHeight="1">
      <c r="A150" s="873" t="s">
        <v>337</v>
      </c>
      <c r="B150" s="874"/>
      <c r="C150" s="875"/>
      <c r="D150" s="117" t="s">
        <v>130</v>
      </c>
      <c r="E150" s="95">
        <f>'12'!F150</f>
        <v>46407.75</v>
      </c>
      <c r="F150" s="233">
        <v>46623</v>
      </c>
      <c r="G150" s="112">
        <f t="shared" si="11"/>
        <v>215.25</v>
      </c>
      <c r="H150" s="99">
        <f>G150+'12'!H150</f>
        <v>-3992</v>
      </c>
      <c r="I150" s="119"/>
      <c r="J150" s="328">
        <f>H150/DAY(B2)</f>
        <v>-307.07692307692309</v>
      </c>
    </row>
    <row r="151" spans="1:10" ht="27.75" customHeight="1">
      <c r="A151" s="873" t="s">
        <v>338</v>
      </c>
      <c r="B151" s="874"/>
      <c r="C151" s="875"/>
      <c r="D151" s="117" t="s">
        <v>130</v>
      </c>
      <c r="E151" s="95">
        <f>'12'!F151</f>
        <v>129753</v>
      </c>
      <c r="F151" s="233">
        <v>130066</v>
      </c>
      <c r="G151" s="112">
        <f t="shared" si="11"/>
        <v>313</v>
      </c>
      <c r="H151" s="99">
        <f>G151+'12'!H151</f>
        <v>-5383</v>
      </c>
      <c r="I151" s="119"/>
      <c r="J151" s="328">
        <f>H151/DAY(B2)</f>
        <v>-414.07692307692309</v>
      </c>
    </row>
    <row r="152" spans="1:10" ht="27.75" customHeight="1">
      <c r="A152" s="873" t="s">
        <v>339</v>
      </c>
      <c r="B152" s="874"/>
      <c r="C152" s="875"/>
      <c r="D152" s="117" t="s">
        <v>130</v>
      </c>
      <c r="E152" s="95">
        <f>'12'!F152</f>
        <v>20818.759999999998</v>
      </c>
      <c r="F152" s="233">
        <v>20941.62</v>
      </c>
      <c r="G152" s="112">
        <f t="shared" si="11"/>
        <v>122.86000000000058</v>
      </c>
      <c r="H152" s="99">
        <f>G152+'12'!H152</f>
        <v>-2212.380000000001</v>
      </c>
      <c r="I152" s="119"/>
      <c r="J152" s="328">
        <f>H152/DAY(B2)</f>
        <v>-170.18307692307701</v>
      </c>
    </row>
    <row r="153" spans="1:10" ht="27.75" customHeight="1">
      <c r="A153" s="876" t="s">
        <v>196</v>
      </c>
      <c r="B153" s="877"/>
      <c r="C153" s="365"/>
      <c r="D153" s="358"/>
      <c r="E153" s="360"/>
      <c r="F153" s="361"/>
      <c r="G153" s="362">
        <f>SUM(G138:G152)</f>
        <v>2747.8799999999956</v>
      </c>
      <c r="H153" s="363"/>
      <c r="I153" s="119">
        <f>G153-(G38+G52)</f>
        <v>458.64000000000487</v>
      </c>
      <c r="J153" s="366"/>
    </row>
    <row r="154" spans="1:10" ht="27.75" customHeight="1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 customHeight="1">
      <c r="A155" s="872" t="s">
        <v>345</v>
      </c>
      <c r="B155" s="872"/>
      <c r="C155" s="872"/>
      <c r="D155" s="117" t="s">
        <v>130</v>
      </c>
      <c r="E155" s="374">
        <f>'12'!F155</f>
        <v>137119.39000000001</v>
      </c>
      <c r="F155" s="374">
        <v>137657.68</v>
      </c>
      <c r="G155" s="112">
        <f t="shared" ref="G155:G158" si="12">F155-E155</f>
        <v>538.28999999997905</v>
      </c>
      <c r="H155" s="99">
        <f>G155+'12'!H155</f>
        <v>-10491.320000000007</v>
      </c>
      <c r="I155" s="364"/>
      <c r="J155" s="328">
        <f>H155/DAY(B2)</f>
        <v>-807.02461538461591</v>
      </c>
    </row>
    <row r="156" spans="1:10" ht="27.75" customHeight="1">
      <c r="A156" s="872" t="s">
        <v>347</v>
      </c>
      <c r="B156" s="872"/>
      <c r="C156" s="872"/>
      <c r="D156" s="117" t="s">
        <v>130</v>
      </c>
      <c r="E156" s="374">
        <f>'12'!F156</f>
        <v>13093.53</v>
      </c>
      <c r="F156" s="155">
        <v>13177.7</v>
      </c>
      <c r="G156" s="112">
        <f t="shared" si="12"/>
        <v>84.170000000000073</v>
      </c>
      <c r="H156" s="99">
        <f>G156+'12'!H156</f>
        <v>-1556.2999999999993</v>
      </c>
      <c r="I156" s="165"/>
      <c r="J156" s="328">
        <f>H156/DAY(B2)</f>
        <v>-119.71538461538456</v>
      </c>
    </row>
    <row r="157" spans="1:10" ht="27.75" customHeight="1">
      <c r="A157" s="873" t="s">
        <v>360</v>
      </c>
      <c r="B157" s="874"/>
      <c r="C157" s="875"/>
      <c r="D157" s="117" t="s">
        <v>130</v>
      </c>
      <c r="E157" s="374">
        <f>'12'!F157</f>
        <v>24865.97</v>
      </c>
      <c r="F157" s="155">
        <v>25005.85</v>
      </c>
      <c r="G157" s="112">
        <f t="shared" si="12"/>
        <v>139.87999999999738</v>
      </c>
      <c r="H157" s="99">
        <f>G157+'12'!H157</f>
        <v>-2440.1500000000015</v>
      </c>
      <c r="I157" s="165"/>
      <c r="J157" s="328">
        <f>H157/DAY(B2)</f>
        <v>-187.70384615384626</v>
      </c>
    </row>
    <row r="158" spans="1:10" ht="27.75" customHeight="1">
      <c r="A158" s="873" t="s">
        <v>361</v>
      </c>
      <c r="B158" s="874"/>
      <c r="C158" s="875"/>
      <c r="D158" s="117" t="s">
        <v>130</v>
      </c>
      <c r="E158" s="374">
        <f>'12'!F158</f>
        <v>225.66</v>
      </c>
      <c r="F158" s="155">
        <v>225.71</v>
      </c>
      <c r="G158" s="112">
        <f t="shared" si="12"/>
        <v>5.0000000000011369E-2</v>
      </c>
      <c r="H158" s="99">
        <f>G158+'12'!H158</f>
        <v>137.29</v>
      </c>
      <c r="I158" s="165"/>
      <c r="J158" s="328">
        <f>H158/DAY(B2)</f>
        <v>10.56076923076923</v>
      </c>
    </row>
    <row r="159" spans="1:10" ht="27.75" customHeight="1">
      <c r="A159" s="958"/>
      <c r="B159" s="959"/>
      <c r="C159" s="960"/>
      <c r="D159" s="117"/>
      <c r="E159" s="95"/>
      <c r="F159" s="165"/>
      <c r="G159" s="362">
        <f>SUM(G155:G158)</f>
        <v>762.38999999997645</v>
      </c>
      <c r="H159" s="99"/>
      <c r="I159" s="165"/>
      <c r="J159" s="328"/>
    </row>
    <row r="160" spans="1:10" ht="27.75" customHeight="1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478935.84</v>
      </c>
      <c r="F161" s="235">
        <v>479031.96</v>
      </c>
      <c r="G161" s="238">
        <f t="shared" ref="G161:G165" si="13">F161-E161</f>
        <v>96.119999999995343</v>
      </c>
      <c r="H161" s="99">
        <f>G161+'12'!H161</f>
        <v>-1021.039999999979</v>
      </c>
      <c r="I161" s="236"/>
      <c r="J161" s="239">
        <f>H161/DAY(B2)</f>
        <v>-78.541538461536845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94228.2</v>
      </c>
      <c r="F162" s="235">
        <v>94266</v>
      </c>
      <c r="G162" s="238">
        <f t="shared" si="13"/>
        <v>37.80000000000291</v>
      </c>
      <c r="H162" s="99">
        <f>G162+'12'!H162</f>
        <v>-662</v>
      </c>
      <c r="I162" s="236"/>
      <c r="J162" s="239">
        <f>H162/DAY(B2)</f>
        <v>-50.92307692307692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3797.7</v>
      </c>
      <c r="F163" s="235">
        <v>3952.2</v>
      </c>
      <c r="G163" s="238">
        <f t="shared" si="13"/>
        <v>154.5</v>
      </c>
      <c r="H163" s="99">
        <f>G163+'12'!H163</f>
        <v>-2548.8000000000002</v>
      </c>
      <c r="I163" s="236"/>
      <c r="J163" s="239">
        <f>H163/DAY(B2)</f>
        <v>-196.06153846153848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6031.4</v>
      </c>
      <c r="F164" s="235">
        <v>6042.6</v>
      </c>
      <c r="G164" s="238">
        <f t="shared" si="13"/>
        <v>11.200000000000728</v>
      </c>
      <c r="H164" s="99">
        <f>G164+'12'!H164</f>
        <v>-237.39999999999964</v>
      </c>
      <c r="I164" s="236"/>
      <c r="J164" s="239">
        <f>H164/DAY(B2)</f>
        <v>-18.261538461538432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31458.57</v>
      </c>
      <c r="F165" s="235">
        <v>31470.42</v>
      </c>
      <c r="G165" s="238">
        <f t="shared" si="13"/>
        <v>11.849999999998545</v>
      </c>
      <c r="H165" s="99">
        <f>G165+'12'!H165</f>
        <v>-163.58000000000175</v>
      </c>
      <c r="I165" s="236"/>
      <c r="J165" s="239">
        <f>H165/DAY(B2)</f>
        <v>-12.583076923077057</v>
      </c>
    </row>
    <row r="166" spans="1:10" ht="27.75" customHeight="1">
      <c r="A166" s="881"/>
      <c r="B166" s="881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881"/>
      <c r="B167" s="881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881"/>
      <c r="B168" s="881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7.75" customHeight="1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87" t="s">
        <v>209</v>
      </c>
      <c r="B173" s="888"/>
      <c r="C173" s="333"/>
      <c r="D173" s="228" t="s">
        <v>142</v>
      </c>
      <c r="E173" s="95">
        <f>'12'!F173</f>
        <v>8276</v>
      </c>
      <c r="F173" s="155">
        <v>8276</v>
      </c>
      <c r="G173" s="155">
        <f>F173-E173</f>
        <v>0</v>
      </c>
      <c r="H173" s="99">
        <f>G173+'12'!H173</f>
        <v>41</v>
      </c>
      <c r="I173" s="155"/>
      <c r="J173" s="178">
        <f>H173/DAY(B2)</f>
        <v>3.1538461538461537</v>
      </c>
    </row>
    <row r="174" spans="1:10" ht="27.75" customHeight="1">
      <c r="A174" s="887" t="s">
        <v>75</v>
      </c>
      <c r="B174" s="888"/>
      <c r="C174" s="333"/>
      <c r="D174" s="228" t="s">
        <v>142</v>
      </c>
      <c r="E174" s="95">
        <f>'12'!F174</f>
        <v>40943</v>
      </c>
      <c r="F174" s="157">
        <v>40953</v>
      </c>
      <c r="G174" s="155">
        <f t="shared" ref="G174:G175" si="14">F174-E174</f>
        <v>10</v>
      </c>
      <c r="H174" s="99">
        <f>G174+'12'!H174</f>
        <v>-251</v>
      </c>
      <c r="I174" s="155"/>
      <c r="J174" s="178">
        <f>H174/DAY(B2)</f>
        <v>-19.307692307692307</v>
      </c>
    </row>
    <row r="175" spans="1:10" ht="27.75" customHeight="1">
      <c r="A175" s="887" t="s">
        <v>76</v>
      </c>
      <c r="B175" s="927"/>
      <c r="C175" s="888"/>
      <c r="D175" s="228" t="s">
        <v>142</v>
      </c>
      <c r="E175" s="95">
        <f>'12'!F175</f>
        <v>23806</v>
      </c>
      <c r="F175" s="155">
        <v>23816</v>
      </c>
      <c r="G175" s="155">
        <f t="shared" si="14"/>
        <v>10</v>
      </c>
      <c r="H175" s="99">
        <f>G175+'12'!H175</f>
        <v>-215</v>
      </c>
      <c r="I175" s="155"/>
      <c r="J175" s="178">
        <f>H175/DAY(B2)</f>
        <v>-16.53846153846154</v>
      </c>
    </row>
    <row r="176" spans="1:10" ht="27.75" customHeight="1">
      <c r="A176" s="876" t="s">
        <v>196</v>
      </c>
      <c r="B176" s="877"/>
      <c r="C176" s="401"/>
      <c r="D176" s="228" t="s">
        <v>142</v>
      </c>
      <c r="E176" s="95"/>
      <c r="F176" s="155"/>
      <c r="G176" s="155">
        <f>SUM(G173:G175)</f>
        <v>20</v>
      </c>
      <c r="H176" s="99">
        <f>G176+'12'!H176</f>
        <v>-425</v>
      </c>
      <c r="I176" s="155"/>
      <c r="J176" s="178">
        <f>H176/DAY(B2)</f>
        <v>-32.692307692307693</v>
      </c>
    </row>
    <row r="177" spans="1:15" ht="27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87" t="s">
        <v>210</v>
      </c>
      <c r="B178" s="888"/>
      <c r="C178" s="333"/>
      <c r="D178" s="228" t="s">
        <v>142</v>
      </c>
      <c r="E178" s="95">
        <f>'12'!F178</f>
        <v>95854</v>
      </c>
      <c r="F178" s="155">
        <v>95963</v>
      </c>
      <c r="G178" s="155">
        <f>F178-E178</f>
        <v>109</v>
      </c>
      <c r="H178" s="99">
        <f>G178+'12'!H178</f>
        <v>-1750</v>
      </c>
      <c r="I178" s="155"/>
      <c r="J178" s="178">
        <f>H178/DAY(B2)</f>
        <v>-134.61538461538461</v>
      </c>
    </row>
    <row r="179" spans="1:15" ht="27.75" customHeight="1">
      <c r="A179" s="887" t="s">
        <v>211</v>
      </c>
      <c r="B179" s="888"/>
      <c r="C179" s="333"/>
      <c r="D179" s="228" t="s">
        <v>142</v>
      </c>
      <c r="E179" s="95">
        <f>'12'!F179</f>
        <v>36002</v>
      </c>
      <c r="F179" s="155">
        <v>36002</v>
      </c>
      <c r="G179" s="155">
        <f t="shared" ref="G179:G180" si="15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887" t="s">
        <v>212</v>
      </c>
      <c r="B180" s="888"/>
      <c r="C180" s="333"/>
      <c r="D180" s="228" t="s">
        <v>142</v>
      </c>
      <c r="E180" s="95">
        <f>'12'!F180</f>
        <v>6965</v>
      </c>
      <c r="F180" s="155">
        <v>6982</v>
      </c>
      <c r="G180" s="155">
        <f t="shared" si="15"/>
        <v>17</v>
      </c>
      <c r="H180" s="99">
        <f>G180+'12'!H180</f>
        <v>-187</v>
      </c>
      <c r="I180" s="155"/>
      <c r="J180" s="178">
        <f>H180/DAY(B2)</f>
        <v>-14.384615384615385</v>
      </c>
    </row>
    <row r="181" spans="1:15" ht="27.75" customHeight="1">
      <c r="A181" s="889" t="s">
        <v>108</v>
      </c>
      <c r="B181" s="890"/>
      <c r="C181" s="401"/>
      <c r="D181" s="228" t="s">
        <v>142</v>
      </c>
      <c r="E181" s="95"/>
      <c r="F181" s="155"/>
      <c r="G181" s="155">
        <f>SUM(G178:G180)</f>
        <v>126</v>
      </c>
      <c r="H181" s="99">
        <f>G181+'12'!H181</f>
        <v>-1937</v>
      </c>
      <c r="I181" s="155"/>
      <c r="J181" s="178">
        <f>H181/DAY(B2)</f>
        <v>-149</v>
      </c>
    </row>
    <row r="182" spans="1:15" ht="27.75" customHeight="1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87" t="s">
        <v>214</v>
      </c>
      <c r="B183" s="888"/>
      <c r="C183" s="334"/>
      <c r="D183" s="228" t="s">
        <v>142</v>
      </c>
      <c r="E183" s="95">
        <f>'12'!F183</f>
        <v>17357</v>
      </c>
      <c r="F183" s="157">
        <v>17361</v>
      </c>
      <c r="G183" s="157">
        <f>F183-E183</f>
        <v>4</v>
      </c>
      <c r="H183" s="99">
        <f>G183+'12'!H183</f>
        <v>-112</v>
      </c>
      <c r="I183" s="155"/>
      <c r="J183" s="178">
        <f>H183/DAY(B2)</f>
        <v>-8.615384615384615</v>
      </c>
    </row>
    <row r="184" spans="1:15" ht="27.75" customHeight="1">
      <c r="A184" s="887" t="s">
        <v>215</v>
      </c>
      <c r="B184" s="888"/>
      <c r="C184" s="334"/>
      <c r="D184" s="228" t="s">
        <v>142</v>
      </c>
      <c r="E184" s="95">
        <f>'12'!F184</f>
        <v>11767</v>
      </c>
      <c r="F184" s="157">
        <v>11773</v>
      </c>
      <c r="G184" s="157">
        <f t="shared" ref="G184:G185" si="16">F184-E184</f>
        <v>6</v>
      </c>
      <c r="H184" s="99">
        <f>G184+'12'!H184</f>
        <v>-162</v>
      </c>
      <c r="I184" s="155"/>
      <c r="J184" s="178">
        <f>H184/DAY(B2)</f>
        <v>-12.461538461538462</v>
      </c>
      <c r="O184" s="65" t="s">
        <v>362</v>
      </c>
    </row>
    <row r="185" spans="1:15" ht="27.75" customHeight="1">
      <c r="A185" s="887" t="s">
        <v>216</v>
      </c>
      <c r="B185" s="888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876" t="s">
        <v>196</v>
      </c>
      <c r="B186" s="877"/>
      <c r="C186" s="400"/>
      <c r="D186" s="228" t="s">
        <v>142</v>
      </c>
      <c r="E186" s="95"/>
      <c r="F186" s="157"/>
      <c r="G186" s="157">
        <f>SUM(G183:G185)</f>
        <v>10</v>
      </c>
      <c r="H186" s="99">
        <f>G186+'12'!H186</f>
        <v>-274</v>
      </c>
      <c r="I186" s="157"/>
      <c r="J186" s="178">
        <f>H186/DAY(B2)</f>
        <v>-21.076923076923077</v>
      </c>
    </row>
    <row r="187" spans="1:15" ht="27.75" customHeight="1">
      <c r="A187" s="878" t="s">
        <v>217</v>
      </c>
      <c r="B187" s="879"/>
      <c r="C187" s="333"/>
      <c r="D187" s="230" t="s">
        <v>142</v>
      </c>
      <c r="E187" s="95"/>
      <c r="F187" s="159"/>
      <c r="G187" s="159">
        <f>G62+G19</f>
        <v>147</v>
      </c>
      <c r="H187" s="99">
        <f>G187+'12'!H187</f>
        <v>-3099</v>
      </c>
      <c r="I187" s="158"/>
      <c r="J187" s="179">
        <f>H187/DAY(B2)</f>
        <v>-238.38461538461539</v>
      </c>
    </row>
    <row r="188" spans="1:15" ht="27.75" customHeight="1">
      <c r="A188" s="878" t="s">
        <v>218</v>
      </c>
      <c r="B188" s="879"/>
      <c r="C188" s="333"/>
      <c r="D188" s="230" t="s">
        <v>142</v>
      </c>
      <c r="E188" s="95"/>
      <c r="F188" s="159"/>
      <c r="G188" s="159">
        <f>G65+G66+G67+G69+G70</f>
        <v>134</v>
      </c>
      <c r="H188" s="99">
        <f>G188+'12'!H188</f>
        <v>-2771</v>
      </c>
      <c r="I188" s="158"/>
      <c r="J188" s="179">
        <f>H188/DAY(B2)</f>
        <v>-213.15384615384616</v>
      </c>
    </row>
    <row r="189" spans="1:15" ht="27.75" customHeight="1">
      <c r="A189" s="878" t="s">
        <v>219</v>
      </c>
      <c r="B189" s="879"/>
      <c r="C189" s="333"/>
      <c r="D189" s="230" t="s">
        <v>142</v>
      </c>
      <c r="E189" s="95"/>
      <c r="F189" s="157"/>
      <c r="G189" s="157">
        <f>G181</f>
        <v>126</v>
      </c>
      <c r="H189" s="99">
        <f>G189+'12'!H189</f>
        <v>-1937</v>
      </c>
      <c r="I189" s="158"/>
      <c r="J189" s="179">
        <f>H189/DAY(B2)</f>
        <v>-149</v>
      </c>
    </row>
    <row r="190" spans="1:15" ht="27.75" customHeight="1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94" zoomScale="55" zoomScaleSheetLayoutView="55" workbookViewId="0">
      <selection activeCell="F15" sqref="F15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7.75" customHeight="1">
      <c r="A2" s="191" t="s">
        <v>349</v>
      </c>
      <c r="B2" s="262">
        <v>44756</v>
      </c>
      <c r="C2" s="348" t="s">
        <v>67</v>
      </c>
      <c r="D2" s="218">
        <v>0.56999999999999995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676428</v>
      </c>
      <c r="F7" s="95">
        <f>E7+26200</f>
        <v>702628</v>
      </c>
      <c r="G7" s="112">
        <f>F7-E7</f>
        <v>26200</v>
      </c>
      <c r="H7" s="99">
        <f>G7+'13'!H7</f>
        <v>365498</v>
      </c>
      <c r="I7" s="113">
        <f>'1'!I7</f>
        <v>12000</v>
      </c>
      <c r="J7" s="175">
        <f>H7/DAY(B2)</f>
        <v>26107</v>
      </c>
      <c r="K7" s="172">
        <v>1375467</v>
      </c>
      <c r="L7" s="66"/>
      <c r="N7" s="87">
        <f>G8-G7</f>
        <v>300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832353</v>
      </c>
      <c r="F8" s="95">
        <f>E8+26500</f>
        <v>858853</v>
      </c>
      <c r="G8" s="115">
        <f>F8-E8</f>
        <v>26500</v>
      </c>
      <c r="H8" s="99">
        <f>G8+'13'!H8</f>
        <v>370266</v>
      </c>
      <c r="I8" s="116"/>
      <c r="J8" s="175">
        <f>H8/DAY(B2)</f>
        <v>26447.571428571428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3092961.9</v>
      </c>
      <c r="F9" s="469">
        <v>3105580.9</v>
      </c>
      <c r="G9" s="112">
        <f>F9-E9</f>
        <v>12619</v>
      </c>
      <c r="H9" s="99">
        <f>G9+'13'!H9</f>
        <v>-173485.10000000009</v>
      </c>
      <c r="I9" s="124">
        <f>I7-J7</f>
        <v>-14107</v>
      </c>
      <c r="J9" s="175">
        <f>H9/DAY(B2)</f>
        <v>-12391.792857142864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1400037.7</v>
      </c>
      <c r="F10" s="353">
        <v>1413421</v>
      </c>
      <c r="G10" s="112">
        <f t="shared" ref="G10:G12" si="0">F10-E10</f>
        <v>13383.300000000047</v>
      </c>
      <c r="H10" s="99">
        <f>G10+'13'!H10</f>
        <v>-253737</v>
      </c>
      <c r="I10" s="282"/>
      <c r="J10" s="175">
        <f>H10/DAY(B2)</f>
        <v>-18124.071428571428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26002.300000000047</v>
      </c>
      <c r="H13" s="99">
        <f>G13+'13'!H13</f>
        <v>-425887.50000000023</v>
      </c>
      <c r="I13" s="120">
        <f>G7-G13</f>
        <v>197.69999999995343</v>
      </c>
      <c r="J13" s="175">
        <f>H13/DAY(B2)</f>
        <v>-30420.535714285732</v>
      </c>
      <c r="K13" s="79"/>
      <c r="L13" s="66"/>
      <c r="N13" s="87"/>
      <c r="O13" s="71"/>
    </row>
    <row r="14" spans="1:15" ht="27.75" customHeight="1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'13'!F15</f>
        <v>2114008</v>
      </c>
      <c r="F15" s="469">
        <f>E15+1000</f>
        <v>2115008</v>
      </c>
      <c r="G15" s="112">
        <f>(F15-E15)</f>
        <v>1000</v>
      </c>
      <c r="H15" s="99">
        <f>G15+'13'!H15</f>
        <v>14140</v>
      </c>
      <c r="I15" s="113">
        <f>'1'!I15</f>
        <v>800</v>
      </c>
      <c r="J15" s="175">
        <f>H15/DAY(B2)</f>
        <v>1010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-210</v>
      </c>
      <c r="J16" s="176"/>
      <c r="K16" s="79"/>
      <c r="L16" s="66"/>
      <c r="N16" s="87"/>
      <c r="O16" s="71"/>
    </row>
    <row r="17" spans="1:15" ht="27.75" customHeight="1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5" t="s">
        <v>141</v>
      </c>
      <c r="B18" s="916"/>
      <c r="C18" s="917"/>
      <c r="D18" s="151" t="s">
        <v>142</v>
      </c>
      <c r="E18" s="95">
        <f>'13'!F18</f>
        <v>12</v>
      </c>
      <c r="F18" s="122">
        <v>14</v>
      </c>
      <c r="G18" s="119">
        <f>F18*10</f>
        <v>140</v>
      </c>
      <c r="H18" s="99">
        <f>G18+'13'!H18</f>
        <v>2360</v>
      </c>
      <c r="I18" s="113">
        <f>'1'!I18</f>
        <v>65</v>
      </c>
      <c r="J18" s="175">
        <f>H18/DAY(B2)</f>
        <v>168.57142857142858</v>
      </c>
      <c r="K18" s="79"/>
      <c r="L18" s="66"/>
      <c r="N18" s="87"/>
      <c r="O18" s="71"/>
    </row>
    <row r="19" spans="1:15" ht="27.75" customHeight="1">
      <c r="A19" s="915" t="s">
        <v>69</v>
      </c>
      <c r="B19" s="916"/>
      <c r="C19" s="917"/>
      <c r="D19" s="151" t="s">
        <v>142</v>
      </c>
      <c r="E19" s="95">
        <f>'13'!F19</f>
        <v>161463</v>
      </c>
      <c r="F19" s="122">
        <v>161515</v>
      </c>
      <c r="G19" s="112">
        <f t="shared" ref="G19" si="1">F19-E19</f>
        <v>52</v>
      </c>
      <c r="H19" s="99">
        <f>G19+'13'!H19</f>
        <v>-814</v>
      </c>
      <c r="I19" s="335"/>
      <c r="J19" s="175">
        <f>H19/DAY(B2)</f>
        <v>-58.142857142857146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192</v>
      </c>
      <c r="H20" s="99">
        <f>G20+'13'!H20</f>
        <v>1546</v>
      </c>
      <c r="I20" s="336">
        <f>I18-J20</f>
        <v>-45.428571428571431</v>
      </c>
      <c r="J20" s="175">
        <f>H20/DAY(B2)</f>
        <v>110.42857142857143</v>
      </c>
      <c r="K20" s="79"/>
      <c r="L20" s="66"/>
      <c r="N20" s="87"/>
      <c r="O20" s="71"/>
    </row>
    <row r="21" spans="1:15" ht="27.75" customHeight="1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4470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G27+'13'!H27</f>
        <v>3332394</v>
      </c>
      <c r="I27" s="138"/>
      <c r="J27" s="175">
        <f>H27/DAY(B2)</f>
        <v>238028.14285714287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G28+'13'!H28</f>
        <v>989800</v>
      </c>
      <c r="I28" s="140"/>
      <c r="J28" s="175">
        <f>H28/DAY(B2)</f>
        <v>70700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G30+'13'!H30</f>
        <v>-122914</v>
      </c>
      <c r="I30" s="140"/>
      <c r="J30" s="175">
        <f>H30/DAY(B2)</f>
        <v>-8779.5714285714294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G31+'13'!H31</f>
        <v>188800</v>
      </c>
      <c r="I31" s="140"/>
      <c r="J31" s="175">
        <f>H31/DAY(B2)</f>
        <v>13485.714285714286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327552</v>
      </c>
      <c r="H32" s="99">
        <f>G32+'13'!H32</f>
        <v>4388080</v>
      </c>
      <c r="I32" s="144"/>
      <c r="J32" s="175">
        <f>H32/DAY(B2)</f>
        <v>313434.28571428574</v>
      </c>
      <c r="K32" s="63"/>
      <c r="L32" s="89"/>
      <c r="N32" s="87"/>
      <c r="O32" s="71"/>
    </row>
    <row r="33" spans="1:15" ht="27.7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238713</v>
      </c>
      <c r="F35" s="145">
        <v>238713</v>
      </c>
      <c r="G35" s="112">
        <f t="shared" ref="G35:G46" si="3">F35-E35</f>
        <v>0</v>
      </c>
      <c r="H35" s="99">
        <f>G35+'13'!H35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198539.83</v>
      </c>
      <c r="F36" s="145">
        <v>199421.73</v>
      </c>
      <c r="G36" s="112">
        <f t="shared" si="3"/>
        <v>881.90000000002328</v>
      </c>
      <c r="H36" s="99">
        <f>G36+'13'!H36</f>
        <v>-16108.26999999999</v>
      </c>
      <c r="I36" s="95"/>
      <c r="J36" s="175">
        <f>H36/DAY(B2)</f>
        <v>-1150.5907142857136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307246.17</v>
      </c>
      <c r="F37" s="145">
        <v>308772.73</v>
      </c>
      <c r="G37" s="112">
        <f t="shared" si="3"/>
        <v>1526.5599999999977</v>
      </c>
      <c r="H37" s="99">
        <f>G37+'13'!H37</f>
        <v>-14226.270000000019</v>
      </c>
      <c r="I37" s="95"/>
      <c r="J37" s="175">
        <f>H37/DAY(B2)</f>
        <v>-1016.1621428571442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416043.11</v>
      </c>
      <c r="F38" s="108">
        <v>418309.47</v>
      </c>
      <c r="G38" s="112">
        <f t="shared" si="3"/>
        <v>2266.359999999986</v>
      </c>
      <c r="H38" s="99">
        <f>G38+'13'!H38</f>
        <v>-39051.530000000028</v>
      </c>
      <c r="I38" s="95"/>
      <c r="J38" s="175">
        <f>H38/DAY(B2)</f>
        <v>-2789.3950000000018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561833.06999999995</v>
      </c>
      <c r="F39" s="145">
        <v>564757.27</v>
      </c>
      <c r="G39" s="112">
        <f t="shared" si="3"/>
        <v>2924.2000000000698</v>
      </c>
      <c r="H39" s="99">
        <f>G39+'13'!H39</f>
        <v>-26826.729999999981</v>
      </c>
      <c r="I39" s="95"/>
      <c r="J39" s="175">
        <f>H39/DAY(B2)</f>
        <v>-1916.1949999999986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92077.43</v>
      </c>
      <c r="F40" s="145">
        <v>92819.8</v>
      </c>
      <c r="G40" s="112">
        <f t="shared" si="3"/>
        <v>742.3700000000099</v>
      </c>
      <c r="H40" s="99">
        <f>G40+'13'!H40</f>
        <v>-13956.199999999997</v>
      </c>
      <c r="I40" s="95"/>
      <c r="J40" s="175">
        <f>H40/DAY(B2)</f>
        <v>-996.8714285714284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161659.39000000001</v>
      </c>
      <c r="F41" s="145">
        <v>165365.25</v>
      </c>
      <c r="G41" s="112">
        <f t="shared" si="3"/>
        <v>3705.859999999986</v>
      </c>
      <c r="H41" s="99">
        <f>G41+'13'!H41</f>
        <v>-46337.75</v>
      </c>
      <c r="I41" s="95"/>
      <c r="J41" s="175">
        <f>H41/DAY(B2)</f>
        <v>-3309.8392857142858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728113.99</v>
      </c>
      <c r="F42" s="145">
        <v>728113.99</v>
      </c>
      <c r="G42" s="112">
        <f t="shared" si="3"/>
        <v>0</v>
      </c>
      <c r="H42" s="99">
        <f>G42+'13'!H42</f>
        <v>-20250.010000000009</v>
      </c>
      <c r="I42" s="95"/>
      <c r="J42" s="175">
        <f>H42/DAY(B2)</f>
        <v>-1446.4292857142864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3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12047.250000000073</v>
      </c>
      <c r="H47" s="99">
        <f>G47+'13'!H47</f>
        <v>-176756.76000000007</v>
      </c>
      <c r="I47" s="95"/>
      <c r="J47" s="175">
        <f>H47/DAY(B2)</f>
        <v>-12625.482857142862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414918.31</v>
      </c>
      <c r="F49" s="145">
        <v>418002.83</v>
      </c>
      <c r="G49" s="112">
        <f t="shared" ref="G49:G58" si="4">F49-E49</f>
        <v>3084.5200000000186</v>
      </c>
      <c r="H49" s="99">
        <f>G49+'13'!H49</f>
        <v>-67051.169999999984</v>
      </c>
      <c r="I49" s="95"/>
      <c r="J49" s="175">
        <f>H49/DAY(B2)</f>
        <v>-4789.3692857142842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258968.61</v>
      </c>
      <c r="F50" s="145">
        <v>260294.59</v>
      </c>
      <c r="G50" s="112">
        <f t="shared" si="4"/>
        <v>1325.9800000000105</v>
      </c>
      <c r="H50" s="99">
        <f>G50+'13'!H50</f>
        <v>-22455.410000000003</v>
      </c>
      <c r="I50" s="95"/>
      <c r="J50" s="175">
        <f>H50/DAY(B2)</f>
        <v>-1603.9578571428574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75.680000000000007</v>
      </c>
      <c r="F51" s="145">
        <v>76</v>
      </c>
      <c r="G51" s="112">
        <f t="shared" si="4"/>
        <v>0.31999999999999318</v>
      </c>
      <c r="H51" s="99">
        <f>G51+'13'!H51</f>
        <v>-8432</v>
      </c>
      <c r="I51" s="95"/>
      <c r="J51" s="175">
        <f>H51/DAY(B2)</f>
        <v>-602.28571428571433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9.76</v>
      </c>
      <c r="F52" s="145">
        <v>10</v>
      </c>
      <c r="G52" s="112">
        <f t="shared" si="4"/>
        <v>0.24000000000000021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-33861</v>
      </c>
      <c r="I53" s="95"/>
      <c r="J53" s="175">
        <f>H53/DAY(B2)</f>
        <v>-2418.6428571428573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81608.070000000007</v>
      </c>
      <c r="F54" s="145">
        <v>81955.990000000005</v>
      </c>
      <c r="G54" s="112">
        <f t="shared" si="4"/>
        <v>347.91999999999825</v>
      </c>
      <c r="H54" s="99">
        <f>G54+'13'!H54</f>
        <v>-5987.0099999999948</v>
      </c>
      <c r="I54" s="95"/>
      <c r="J54" s="175">
        <f>H54/DAY(B2)</f>
        <v>-427.64357142857108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314366.78999999998</v>
      </c>
      <c r="F55" s="145">
        <v>318223.15000000002</v>
      </c>
      <c r="G55" s="112">
        <f t="shared" si="4"/>
        <v>3856.3600000000442</v>
      </c>
      <c r="H55" s="99">
        <f>G55+'13'!H55</f>
        <v>-44553.849999999977</v>
      </c>
      <c r="I55" s="95"/>
      <c r="J55" s="175">
        <f>H55/DAY(B2)</f>
        <v>-3182.4178571428556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120880.14</v>
      </c>
      <c r="F56" s="145">
        <v>120880.145</v>
      </c>
      <c r="G56" s="112">
        <f t="shared" si="4"/>
        <v>5.0000000046566129E-3</v>
      </c>
      <c r="H56" s="99">
        <f>G56+'13'!H56</f>
        <v>-3001.8549999999959</v>
      </c>
      <c r="I56" s="95"/>
      <c r="J56" s="175">
        <f>H56/DAY(B2)</f>
        <v>-214.41821428571399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172222.77</v>
      </c>
      <c r="F57" s="145">
        <v>175387.77</v>
      </c>
      <c r="G57" s="112">
        <f t="shared" si="4"/>
        <v>3165</v>
      </c>
      <c r="H57" s="99">
        <f>G57+'13'!H57</f>
        <v>-50782.23000000001</v>
      </c>
      <c r="I57" s="95"/>
      <c r="J57" s="175">
        <f>H57/DAY(B2)</f>
        <v>-3627.3021428571437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44060.639999999999</v>
      </c>
      <c r="F58" s="145">
        <v>44326.35</v>
      </c>
      <c r="G58" s="112">
        <f t="shared" si="4"/>
        <v>265.70999999999913</v>
      </c>
      <c r="H58" s="99">
        <f>G58+'13'!H58</f>
        <v>-4782.6500000000015</v>
      </c>
      <c r="I58" s="95"/>
      <c r="J58" s="175">
        <f>H58/DAY(B2)</f>
        <v>-341.61785714285725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12046.055000000075</v>
      </c>
      <c r="H59" s="99">
        <f>G59+'13'!H59</f>
        <v>-240907.17499999993</v>
      </c>
      <c r="I59" s="95">
        <f>G7-G60</f>
        <v>2106.6949999998542</v>
      </c>
      <c r="J59" s="175">
        <f>H59/DAY(B2)</f>
        <v>-17207.655357142852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24093.305000000146</v>
      </c>
      <c r="H60" s="99">
        <f>G60+'13'!H60</f>
        <v>-417663.93500000006</v>
      </c>
      <c r="I60" s="95">
        <f>G13-G60</f>
        <v>1908.9949999999008</v>
      </c>
      <c r="J60" s="175">
        <f>H60/DAY(B2)</f>
        <v>-29833.138214285718</v>
      </c>
      <c r="K60" s="79"/>
      <c r="L60" s="66"/>
      <c r="N60" s="87"/>
      <c r="O60" s="71"/>
    </row>
    <row r="61" spans="1:15" s="68" customFormat="1" ht="27.75" customHeight="1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915" t="s">
        <v>198</v>
      </c>
      <c r="B62" s="916"/>
      <c r="C62" s="917"/>
      <c r="D62" s="151" t="s">
        <v>142</v>
      </c>
      <c r="E62" s="95">
        <f>'13'!F62</f>
        <v>294042</v>
      </c>
      <c r="F62" s="122">
        <v>294145</v>
      </c>
      <c r="G62" s="112">
        <f t="shared" ref="G62:G63" si="5">F62-E62</f>
        <v>103</v>
      </c>
      <c r="H62" s="99">
        <f>G62+'13'!H62</f>
        <v>-2130</v>
      </c>
      <c r="I62" s="118"/>
      <c r="J62" s="175">
        <f>H62/DAY(B2)</f>
        <v>-152.14285714285714</v>
      </c>
      <c r="K62" s="80"/>
      <c r="L62" s="66"/>
      <c r="N62" s="87"/>
      <c r="O62" s="71"/>
    </row>
    <row r="63" spans="1:15" ht="27.75" customHeight="1">
      <c r="A63" s="915" t="s">
        <v>199</v>
      </c>
      <c r="B63" s="916"/>
      <c r="C63" s="917"/>
      <c r="D63" s="151" t="s">
        <v>142</v>
      </c>
      <c r="E63" s="95">
        <f>'13'!F63</f>
        <v>236507</v>
      </c>
      <c r="F63" s="122">
        <v>236640</v>
      </c>
      <c r="G63" s="112">
        <f t="shared" si="5"/>
        <v>133</v>
      </c>
      <c r="H63" s="99">
        <f>G63+'13'!H63</f>
        <v>-2493</v>
      </c>
      <c r="I63" s="118"/>
      <c r="J63" s="175">
        <f>H63/DAY(B2)</f>
        <v>-178.07142857142858</v>
      </c>
      <c r="K63" s="69"/>
      <c r="L63" s="66"/>
      <c r="N63" s="87"/>
      <c r="O63" s="71"/>
    </row>
    <row r="64" spans="1:15" ht="27.75" customHeight="1">
      <c r="A64" s="924" t="s">
        <v>200</v>
      </c>
      <c r="B64" s="925"/>
      <c r="C64" s="926"/>
      <c r="D64" s="151"/>
      <c r="E64" s="95">
        <f>'13'!F64</f>
        <v>0</v>
      </c>
      <c r="F64" s="122"/>
      <c r="G64" s="112">
        <f>G62+G63</f>
        <v>236</v>
      </c>
      <c r="H64" s="99">
        <f>G64+'13'!H64</f>
        <v>-4623</v>
      </c>
      <c r="I64" s="118"/>
      <c r="J64" s="175">
        <f>H64/DAY(B2)</f>
        <v>-330.21428571428572</v>
      </c>
      <c r="K64" s="69"/>
      <c r="L64" s="66"/>
      <c r="N64" s="87"/>
      <c r="O64" s="71"/>
    </row>
    <row r="65" spans="1:15" ht="27.75" customHeight="1">
      <c r="A65" s="915" t="s">
        <v>201</v>
      </c>
      <c r="B65" s="916"/>
      <c r="C65" s="917"/>
      <c r="D65" s="151" t="s">
        <v>142</v>
      </c>
      <c r="E65" s="95">
        <f>'13'!F65</f>
        <v>452678</v>
      </c>
      <c r="F65" s="122">
        <v>452784</v>
      </c>
      <c r="G65" s="112">
        <f t="shared" ref="G65:G70" si="6">F65-E65</f>
        <v>106</v>
      </c>
      <c r="H65" s="99">
        <f>G65+'13'!H65</f>
        <v>-1926</v>
      </c>
      <c r="I65" s="118"/>
      <c r="J65" s="175">
        <f>H65/DAY(B2)</f>
        <v>-137.57142857142858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111278</v>
      </c>
      <c r="F66" s="122">
        <v>111305</v>
      </c>
      <c r="G66" s="112">
        <f t="shared" si="6"/>
        <v>27</v>
      </c>
      <c r="H66" s="99">
        <f>G66+'13'!H66</f>
        <v>-417</v>
      </c>
      <c r="I66" s="118"/>
      <c r="J66" s="175">
        <f>H66/DAY(B2)</f>
        <v>-29.785714285714285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113680</v>
      </c>
      <c r="F67" s="122">
        <v>113680</v>
      </c>
      <c r="G67" s="112">
        <f t="shared" si="6"/>
        <v>0</v>
      </c>
      <c r="H67" s="99">
        <f>G67+'13'!H67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164056</v>
      </c>
      <c r="F68" s="122">
        <v>164096</v>
      </c>
      <c r="G68" s="112">
        <f t="shared" si="6"/>
        <v>40</v>
      </c>
      <c r="H68" s="99">
        <f>G68+'13'!H68</f>
        <v>-566</v>
      </c>
      <c r="I68" s="118"/>
      <c r="J68" s="175">
        <f>H68/DAY(B2)</f>
        <v>-40.428571428571431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12188</v>
      </c>
      <c r="F69" s="122">
        <v>12193</v>
      </c>
      <c r="G69" s="112">
        <f t="shared" si="6"/>
        <v>5</v>
      </c>
      <c r="H69" s="99">
        <f>G69+'13'!H69</f>
        <v>-82</v>
      </c>
      <c r="I69" s="118"/>
      <c r="J69" s="175">
        <f>H69/DAY(B2)</f>
        <v>-5.8571428571428568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9619</v>
      </c>
      <c r="F70" s="122">
        <v>9626</v>
      </c>
      <c r="G70" s="112">
        <f t="shared" si="6"/>
        <v>7</v>
      </c>
      <c r="H70" s="99">
        <f>G70+'13'!H70</f>
        <v>-201</v>
      </c>
      <c r="I70" s="118"/>
      <c r="J70" s="175">
        <f>H70/DAY(B2)</f>
        <v>-14.357142857142858</v>
      </c>
      <c r="K70" s="69"/>
      <c r="L70" s="66"/>
      <c r="N70" s="87"/>
      <c r="O70" s="71"/>
    </row>
    <row r="71" spans="1:15" ht="27.75" customHeight="1">
      <c r="A71" s="924" t="s">
        <v>208</v>
      </c>
      <c r="B71" s="925"/>
      <c r="C71" s="926"/>
      <c r="D71" s="152"/>
      <c r="E71" s="152"/>
      <c r="F71" s="152"/>
      <c r="G71" s="153">
        <f>SUM(G65:G70)</f>
        <v>185</v>
      </c>
      <c r="H71" s="99">
        <f>G71+'13'!H71</f>
        <v>-3192</v>
      </c>
      <c r="I71" s="154"/>
      <c r="J71" s="175">
        <f>H71/DAY(B2)</f>
        <v>-228</v>
      </c>
      <c r="K71" s="69"/>
      <c r="L71" s="66"/>
      <c r="N71" s="87"/>
      <c r="O71" s="71"/>
    </row>
    <row r="72" spans="1:15" s="88" customFormat="1" ht="27.75" customHeight="1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915" t="s">
        <v>220</v>
      </c>
      <c r="B74" s="916"/>
      <c r="C74" s="917"/>
      <c r="D74" s="151" t="s">
        <v>139</v>
      </c>
      <c r="E74" s="95">
        <f>'13'!F74</f>
        <v>951719.93</v>
      </c>
      <c r="F74" s="410">
        <v>952084.08</v>
      </c>
      <c r="G74" s="112">
        <f t="shared" ref="G74:G78" si="7">F74-E74</f>
        <v>364.14999999990687</v>
      </c>
      <c r="H74" s="99">
        <f>G74+'13'!H74</f>
        <v>-5573.7800000000279</v>
      </c>
      <c r="I74" s="154"/>
      <c r="J74" s="175">
        <f>H74/DAY(B2)</f>
        <v>-398.12714285714486</v>
      </c>
      <c r="K74" s="69"/>
      <c r="L74" s="66"/>
      <c r="N74" s="87"/>
      <c r="O74" s="71"/>
    </row>
    <row r="75" spans="1:15" ht="27.75" customHeight="1">
      <c r="A75" s="915" t="s">
        <v>221</v>
      </c>
      <c r="B75" s="916"/>
      <c r="C75" s="917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2" t="s">
        <v>222</v>
      </c>
      <c r="B76" s="913"/>
      <c r="C76" s="914"/>
      <c r="D76" s="151" t="s">
        <v>139</v>
      </c>
      <c r="E76" s="95">
        <f>'13'!F76</f>
        <v>188259.94</v>
      </c>
      <c r="F76" s="123">
        <v>188376</v>
      </c>
      <c r="G76" s="112">
        <f t="shared" si="7"/>
        <v>116.05999999999767</v>
      </c>
      <c r="H76" s="99">
        <f>G76+'13'!H76</f>
        <v>-1796</v>
      </c>
      <c r="I76" s="154"/>
      <c r="J76" s="175">
        <f>H76/DAY(B2)</f>
        <v>-128.28571428571428</v>
      </c>
      <c r="K76" s="69"/>
      <c r="L76" s="66"/>
      <c r="N76" s="87"/>
      <c r="O76" s="71"/>
    </row>
    <row r="77" spans="1:15" ht="27.75" customHeight="1">
      <c r="A77" s="912" t="s">
        <v>223</v>
      </c>
      <c r="B77" s="913"/>
      <c r="C77" s="914"/>
      <c r="D77" s="151" t="s">
        <v>139</v>
      </c>
      <c r="E77" s="95">
        <f>'13'!F77</f>
        <v>49365.5</v>
      </c>
      <c r="F77" s="123">
        <v>49416</v>
      </c>
      <c r="G77" s="112">
        <f t="shared" si="7"/>
        <v>50.5</v>
      </c>
      <c r="H77" s="99">
        <f>G77+'13'!H77</f>
        <v>-897</v>
      </c>
      <c r="I77" s="154"/>
      <c r="J77" s="175">
        <f>H77/DAY(B2)</f>
        <v>-64.071428571428569</v>
      </c>
      <c r="K77" s="69"/>
      <c r="L77" s="66"/>
      <c r="N77" s="87"/>
      <c r="O77" s="71"/>
    </row>
    <row r="78" spans="1:15" ht="27.75" customHeight="1">
      <c r="A78" s="912" t="s">
        <v>224</v>
      </c>
      <c r="B78" s="913"/>
      <c r="C78" s="914"/>
      <c r="D78" s="151" t="s">
        <v>139</v>
      </c>
      <c r="E78" s="123">
        <v>9564</v>
      </c>
      <c r="F78" s="123">
        <v>9563</v>
      </c>
      <c r="G78" s="112">
        <f t="shared" si="7"/>
        <v>-1</v>
      </c>
      <c r="H78" s="99">
        <f>G78+'13'!H78</f>
        <v>-1</v>
      </c>
      <c r="I78" s="118"/>
      <c r="J78" s="175">
        <f>H78/DAY(B2)</f>
        <v>-7.1428571428571425E-2</v>
      </c>
      <c r="K78" s="69"/>
      <c r="L78" s="66"/>
      <c r="N78" s="87"/>
      <c r="O78" s="71"/>
    </row>
    <row r="79" spans="1:15" s="57" customFormat="1" ht="27.75" customHeight="1">
      <c r="A79" s="912" t="s">
        <v>225</v>
      </c>
      <c r="B79" s="913"/>
      <c r="C79" s="914"/>
      <c r="D79" s="151"/>
      <c r="E79" s="95">
        <f>'13'!F79</f>
        <v>0</v>
      </c>
      <c r="F79" s="117"/>
      <c r="G79" s="112">
        <f>G15-SUM(G74:G78)</f>
        <v>470.29000000009546</v>
      </c>
      <c r="H79" s="99">
        <f>G79+'13'!H79</f>
        <v>22407.780000000028</v>
      </c>
      <c r="I79" s="118"/>
      <c r="J79" s="175">
        <f>H79/DAY(B2)</f>
        <v>1600.5557142857162</v>
      </c>
      <c r="K79" s="59"/>
      <c r="L79" s="58"/>
      <c r="N79" s="87"/>
      <c r="O79" s="71"/>
    </row>
    <row r="80" spans="1:15" s="57" customFormat="1" ht="27.75" customHeight="1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42355.41</v>
      </c>
      <c r="F84" s="164">
        <v>42371.16</v>
      </c>
      <c r="G84" s="112">
        <f t="shared" si="8"/>
        <v>15.75</v>
      </c>
      <c r="H84" s="99">
        <f>G84+'13'!H84</f>
        <v>-217.83999999999651</v>
      </c>
      <c r="I84" s="571"/>
      <c r="J84" s="175">
        <f>H84/DAY(B2)</f>
        <v>-15.55999999999975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5049.55</v>
      </c>
      <c r="F85" s="164">
        <v>5049.5</v>
      </c>
      <c r="G85" s="112">
        <f t="shared" si="8"/>
        <v>-5.0000000000181899E-2</v>
      </c>
      <c r="H85" s="99">
        <f>G85+'13'!H85</f>
        <v>-90.6899999999996</v>
      </c>
      <c r="I85" s="571"/>
      <c r="J85" s="175">
        <f>H85/DAY(B2)</f>
        <v>-6.4778571428571139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45048.44</v>
      </c>
      <c r="F86" s="164">
        <v>45072</v>
      </c>
      <c r="G86" s="112">
        <f t="shared" si="8"/>
        <v>23.559999999997672</v>
      </c>
      <c r="H86" s="99">
        <f>G86+'13'!H86</f>
        <v>-307</v>
      </c>
      <c r="I86" s="571"/>
      <c r="J86" s="175">
        <f>H86/DAY(B2)</f>
        <v>-21.928571428571427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35433.01</v>
      </c>
      <c r="F87" s="164">
        <v>35433.01</v>
      </c>
      <c r="G87" s="112">
        <f t="shared" si="8"/>
        <v>0</v>
      </c>
      <c r="H87" s="99">
        <f>G87+'13'!H87</f>
        <v>-24.419999999998254</v>
      </c>
      <c r="I87" s="553">
        <f>G84+G85+G86+G87</f>
        <v>39.25999999999749</v>
      </c>
      <c r="J87" s="175">
        <f>H87/DAY(B2)</f>
        <v>-1.7442857142855897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24293.88</v>
      </c>
      <c r="F88" s="164">
        <v>24293.88</v>
      </c>
      <c r="G88" s="112">
        <f t="shared" si="8"/>
        <v>0</v>
      </c>
      <c r="H88" s="99">
        <f>G88+'13'!H88</f>
        <v>-9.5799999999981083</v>
      </c>
      <c r="I88" s="553"/>
      <c r="J88" s="175">
        <f>H88/DAY(B2)</f>
        <v>-0.68428571428557916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27402.42</v>
      </c>
      <c r="F89" s="164">
        <v>27411.53</v>
      </c>
      <c r="G89" s="112">
        <f t="shared" si="8"/>
        <v>9.1100000000005821</v>
      </c>
      <c r="H89" s="99">
        <f>G89+'13'!H89</f>
        <v>-155.08000000000175</v>
      </c>
      <c r="I89" s="553">
        <f>G88+G89</f>
        <v>9.1100000000005821</v>
      </c>
      <c r="J89" s="175">
        <f>H89/DAY(B2)</f>
        <v>-11.077142857142983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72415.89</v>
      </c>
      <c r="F90" s="164">
        <v>72425.600000000006</v>
      </c>
      <c r="G90" s="112">
        <f t="shared" si="8"/>
        <v>9.7100000000064028</v>
      </c>
      <c r="H90" s="99">
        <f>G90+'13'!H90</f>
        <v>-180.94999999999709</v>
      </c>
      <c r="I90" s="553">
        <f>G90</f>
        <v>9.7100000000064028</v>
      </c>
      <c r="J90" s="175">
        <f>H90/DAY(B2)</f>
        <v>-12.924999999999793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4220.04</v>
      </c>
      <c r="F91" s="122">
        <v>4233.63</v>
      </c>
      <c r="G91" s="112">
        <f t="shared" si="8"/>
        <v>13.590000000000146</v>
      </c>
      <c r="H91" s="99">
        <f>G91+'13'!H91</f>
        <v>-55.909999999999854</v>
      </c>
      <c r="I91" s="613"/>
      <c r="J91" s="175">
        <f>H91/DAY(B2)</f>
        <v>-3.9935714285714181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6577.87</v>
      </c>
      <c r="F92" s="122">
        <v>6577.87</v>
      </c>
      <c r="G92" s="112">
        <f t="shared" si="8"/>
        <v>0</v>
      </c>
      <c r="H92" s="99">
        <f>G92+'13'!H92</f>
        <v>-139.46000000000004</v>
      </c>
      <c r="I92" s="614">
        <f>G91+G92</f>
        <v>13.590000000000146</v>
      </c>
      <c r="J92" s="175">
        <f>H92/DAY(B2)</f>
        <v>-9.9614285714285735</v>
      </c>
      <c r="O92" s="71"/>
    </row>
    <row r="93" spans="1:15" ht="27.7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6249.5200000000186</v>
      </c>
      <c r="H94" s="99">
        <f>G94+'13'!H94</f>
        <v>-117833.4</v>
      </c>
      <c r="I94" s="118"/>
      <c r="J94" s="175">
        <f>H94/DAY(B2)</f>
        <v>-8416.6714285714279</v>
      </c>
      <c r="K94" s="69"/>
      <c r="L94" s="66"/>
      <c r="O94" s="71"/>
    </row>
    <row r="95" spans="1:15" ht="27.75" customHeight="1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0.23853129770992437</v>
      </c>
      <c r="H95" s="99">
        <f>G95+'13'!H95</f>
        <v>-4.4816667542921271</v>
      </c>
      <c r="I95" s="167"/>
      <c r="J95" s="175">
        <f>H95/DAY(B2)</f>
        <v>-0.3201190538780091</v>
      </c>
      <c r="K95" s="69"/>
      <c r="L95" s="66"/>
      <c r="O95" s="71"/>
    </row>
    <row r="96" spans="1:15" ht="27.75" customHeight="1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7562.2250000000349</v>
      </c>
      <c r="H96" s="99">
        <f>G96+'13'!H96</f>
        <v>-114143.46499999997</v>
      </c>
      <c r="I96" s="118"/>
      <c r="J96" s="175">
        <f>H96/DAY(B2)</f>
        <v>-8153.1046428571408</v>
      </c>
      <c r="K96" s="69"/>
      <c r="L96" s="66"/>
      <c r="O96" s="71"/>
    </row>
    <row r="97" spans="1:15" ht="27.75" customHeight="1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0.28863454198473415</v>
      </c>
      <c r="H97" s="99">
        <f>G97+'13'!H97</f>
        <v>-4.3452891731583412</v>
      </c>
      <c r="I97" s="167"/>
      <c r="J97" s="175">
        <f>H97/DAY(B2)</f>
        <v>-0.31037779808273863</v>
      </c>
      <c r="K97" s="69"/>
      <c r="L97" s="66"/>
      <c r="O97" s="71"/>
    </row>
    <row r="98" spans="1:15" ht="27.75" customHeight="1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2924.2000000000698</v>
      </c>
      <c r="H98" s="99">
        <f>G98+'13'!H98</f>
        <v>-60687.729999999981</v>
      </c>
      <c r="I98" s="168"/>
      <c r="J98" s="175">
        <f>H98/DAY(B2)</f>
        <v>-4334.8378571428557</v>
      </c>
      <c r="K98" s="69"/>
      <c r="L98" s="66"/>
      <c r="O98" s="71"/>
    </row>
    <row r="99" spans="1:15" ht="27.75" customHeight="1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0.11161068702290343</v>
      </c>
      <c r="H99" s="99">
        <f>G99+'13'!H99</f>
        <v>-2.3067239225477909</v>
      </c>
      <c r="I99" s="168"/>
      <c r="J99" s="175">
        <f>H99/DAY(B2)</f>
        <v>-0.16476599446769935</v>
      </c>
      <c r="O99" s="71"/>
    </row>
    <row r="100" spans="1:15" ht="27.75" customHeight="1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2266.5999999999858</v>
      </c>
      <c r="H100" s="99">
        <f>G100+'13'!H100</f>
        <v>-39051.530000000028</v>
      </c>
      <c r="I100" s="118"/>
      <c r="J100" s="175">
        <f>H100/DAY(B2)</f>
        <v>-2789.3950000000018</v>
      </c>
      <c r="K100" s="70"/>
      <c r="O100" s="71"/>
    </row>
    <row r="101" spans="1:15" ht="27.75" customHeight="1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8.6511450381678845E-2</v>
      </c>
      <c r="H101" s="99">
        <f>G101+'13'!H101</f>
        <v>-1.4856835502754542</v>
      </c>
      <c r="I101" s="168"/>
      <c r="J101" s="175">
        <f>H101/DAY(B2)</f>
        <v>-0.10612025359110387</v>
      </c>
      <c r="O101" s="71"/>
    </row>
    <row r="102" spans="1:15" ht="27.75" customHeight="1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2207.8800000000338</v>
      </c>
      <c r="H102" s="99">
        <f>G102+'13'!H102</f>
        <v>-38563.679999999993</v>
      </c>
      <c r="I102" s="168"/>
      <c r="J102" s="175">
        <f>H102/DAY(B2)</f>
        <v>-2754.548571428571</v>
      </c>
      <c r="O102" s="71"/>
    </row>
    <row r="103" spans="1:15" ht="27.75" customHeight="1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8.4270229007634881E-2</v>
      </c>
      <c r="H103" s="99">
        <f>G103+'13'!H103</f>
        <v>-1.4700482427586952</v>
      </c>
      <c r="I103" s="118"/>
      <c r="J103" s="175">
        <f>H103/DAY(B2)</f>
        <v>-0.10500344591133537</v>
      </c>
      <c r="O103" s="71"/>
    </row>
    <row r="104" spans="1:15" ht="27.75" customHeight="1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1526.8799999999976</v>
      </c>
      <c r="H104" s="99">
        <f>G104+'13'!H104</f>
        <v>-22658.270000000019</v>
      </c>
      <c r="I104" s="118"/>
      <c r="J104" s="175">
        <f>H104/DAY(B2)</f>
        <v>-1618.4478571428585</v>
      </c>
      <c r="O104" s="71"/>
    </row>
    <row r="105" spans="1:15" ht="27.75" customHeight="1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5.8277862595419755E-2</v>
      </c>
      <c r="H105" s="99">
        <f>G105+'13'!H105</f>
        <v>-0.86243536300594681</v>
      </c>
      <c r="I105" s="187"/>
      <c r="J105" s="188">
        <f>H105/DAY(B2)</f>
        <v>-6.1602525928996198E-2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7.75" customHeight="1">
      <c r="A109" s="932"/>
      <c r="B109" s="932"/>
    </row>
    <row r="110" spans="1:15" ht="27.75" customHeight="1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7.75" customHeight="1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94" t="s">
        <v>252</v>
      </c>
      <c r="B112" s="895"/>
      <c r="C112" s="896"/>
      <c r="D112" s="146" t="s">
        <v>183</v>
      </c>
      <c r="E112" s="95">
        <f>'13'!F112</f>
        <v>5908.57</v>
      </c>
      <c r="F112" s="237">
        <v>5984.32</v>
      </c>
      <c r="G112" s="112">
        <f t="shared" ref="G112:G123" si="9">F112-E112</f>
        <v>75.75</v>
      </c>
      <c r="H112" s="99">
        <f>G112+'13'!H112</f>
        <v>-1280.6800000000003</v>
      </c>
      <c r="I112" s="165"/>
      <c r="J112" s="328">
        <f>H112/DAY(B2)</f>
        <v>-91.47714285714288</v>
      </c>
    </row>
    <row r="113" spans="1:18" ht="27.75" customHeight="1">
      <c r="A113" s="894" t="s">
        <v>253</v>
      </c>
      <c r="B113" s="895"/>
      <c r="C113" s="896"/>
      <c r="D113" s="146" t="s">
        <v>183</v>
      </c>
      <c r="E113" s="95">
        <f>'13'!F113</f>
        <v>12491.55</v>
      </c>
      <c r="F113" s="237">
        <v>12636.61</v>
      </c>
      <c r="G113" s="112">
        <f t="shared" si="9"/>
        <v>145.06000000000131</v>
      </c>
      <c r="H113" s="99">
        <f>G113+'13'!H113</f>
        <v>-2378.3899999999994</v>
      </c>
      <c r="I113" s="165"/>
      <c r="J113" s="328">
        <f>H113/DAY(B2)</f>
        <v>-169.88499999999996</v>
      </c>
    </row>
    <row r="114" spans="1:18" ht="27.75" customHeight="1">
      <c r="A114" s="894" t="s">
        <v>254</v>
      </c>
      <c r="B114" s="895"/>
      <c r="C114" s="896"/>
      <c r="D114" s="146" t="s">
        <v>183</v>
      </c>
      <c r="E114" s="95">
        <f>'13'!F114</f>
        <v>17194.75</v>
      </c>
      <c r="F114" s="237">
        <v>17431.150000000001</v>
      </c>
      <c r="G114" s="112">
        <f t="shared" si="9"/>
        <v>236.40000000000146</v>
      </c>
      <c r="H114" s="99">
        <f>G114+'13'!H114</f>
        <v>-3836.8499999999985</v>
      </c>
      <c r="I114" s="165"/>
      <c r="J114" s="328">
        <f>H114/DAY(B2)</f>
        <v>-274.0607142857142</v>
      </c>
    </row>
    <row r="115" spans="1:18" ht="27.75" customHeight="1">
      <c r="A115" s="894" t="s">
        <v>255</v>
      </c>
      <c r="B115" s="895"/>
      <c r="C115" s="896"/>
      <c r="D115" s="146" t="s">
        <v>183</v>
      </c>
      <c r="E115" s="95">
        <f>'13'!F115</f>
        <v>10608.75</v>
      </c>
      <c r="F115" s="237">
        <v>10742.7</v>
      </c>
      <c r="G115" s="112">
        <f t="shared" si="9"/>
        <v>133.95000000000073</v>
      </c>
      <c r="H115" s="99">
        <f>G115+'13'!H115</f>
        <v>-2796.5200000000004</v>
      </c>
      <c r="I115" s="165"/>
      <c r="J115" s="328">
        <f>H115/DAY(B2)</f>
        <v>-199.75142857142859</v>
      </c>
    </row>
    <row r="116" spans="1:18" ht="27.75" customHeight="1">
      <c r="A116" s="901" t="s">
        <v>96</v>
      </c>
      <c r="B116" s="902"/>
      <c r="C116" s="903"/>
      <c r="D116" s="146" t="s">
        <v>183</v>
      </c>
      <c r="E116" s="95">
        <f>'13'!F116</f>
        <v>64135.61</v>
      </c>
      <c r="F116" s="237">
        <v>64467.59</v>
      </c>
      <c r="G116" s="112">
        <f t="shared" si="9"/>
        <v>331.97999999999593</v>
      </c>
      <c r="H116" s="99">
        <f>G116+'13'!H116</f>
        <v>-6024.4100000000035</v>
      </c>
      <c r="I116" s="165"/>
      <c r="J116" s="328">
        <f>H116/DAY(B2)</f>
        <v>-430.31500000000023</v>
      </c>
      <c r="Q116" s="894"/>
      <c r="R116" s="896"/>
    </row>
    <row r="117" spans="1:18" ht="27.75" customHeight="1">
      <c r="A117" s="901" t="s">
        <v>184</v>
      </c>
      <c r="B117" s="902"/>
      <c r="C117" s="903"/>
      <c r="D117" s="146" t="s">
        <v>183</v>
      </c>
      <c r="E117" s="95">
        <f>'13'!F117</f>
        <v>36328.120000000003</v>
      </c>
      <c r="F117" s="237">
        <v>36626.92</v>
      </c>
      <c r="G117" s="112">
        <f t="shared" si="9"/>
        <v>298.79999999999563</v>
      </c>
      <c r="H117" s="99">
        <f>G117+'13'!H117</f>
        <v>-4295.0800000000017</v>
      </c>
      <c r="I117" s="165"/>
      <c r="J117" s="328">
        <f>H117/DAY(B2)</f>
        <v>-306.7914285714287</v>
      </c>
      <c r="Q117" s="894"/>
      <c r="R117" s="896"/>
    </row>
    <row r="118" spans="1:18" ht="27.75" customHeight="1">
      <c r="A118" s="893" t="s">
        <v>97</v>
      </c>
      <c r="B118" s="893"/>
      <c r="C118" s="893"/>
      <c r="D118" s="151" t="s">
        <v>183</v>
      </c>
      <c r="E118" s="95">
        <f>'13'!F118</f>
        <v>53240.51</v>
      </c>
      <c r="F118" s="237">
        <v>53874.96</v>
      </c>
      <c r="G118" s="112">
        <f t="shared" si="9"/>
        <v>634.44999999999709</v>
      </c>
      <c r="H118" s="99">
        <f>G118+'13'!H118</f>
        <v>-10797.04</v>
      </c>
      <c r="I118" s="165"/>
      <c r="J118" s="328">
        <f>H118/DAY(B2)</f>
        <v>-771.2171428571429</v>
      </c>
      <c r="Q118" s="894"/>
      <c r="R118" s="896"/>
    </row>
    <row r="119" spans="1:18" ht="27.75" customHeight="1">
      <c r="A119" s="893" t="s">
        <v>98</v>
      </c>
      <c r="B119" s="893"/>
      <c r="C119" s="893"/>
      <c r="D119" s="151" t="s">
        <v>183</v>
      </c>
      <c r="E119" s="95">
        <f>'13'!F119</f>
        <v>33362.99</v>
      </c>
      <c r="F119" s="237">
        <v>33589.9</v>
      </c>
      <c r="G119" s="112">
        <f t="shared" si="9"/>
        <v>226.91000000000349</v>
      </c>
      <c r="H119" s="99">
        <f>G119+'13'!H119</f>
        <v>-3859.0999999999985</v>
      </c>
      <c r="I119" s="165"/>
      <c r="J119" s="328">
        <f>H119/DAY(B2)</f>
        <v>-275.64999999999992</v>
      </c>
    </row>
    <row r="120" spans="1:18" ht="27.75" customHeight="1">
      <c r="A120" s="893" t="s">
        <v>99</v>
      </c>
      <c r="B120" s="893"/>
      <c r="C120" s="893"/>
      <c r="D120" s="151" t="s">
        <v>183</v>
      </c>
      <c r="E120" s="95">
        <f>'13'!F120</f>
        <v>38728.33</v>
      </c>
      <c r="F120" s="237">
        <v>39162.21</v>
      </c>
      <c r="G120" s="112">
        <f t="shared" si="9"/>
        <v>433.87999999999738</v>
      </c>
      <c r="H120" s="99">
        <f>G120+'13'!H120</f>
        <v>-7104.7900000000009</v>
      </c>
      <c r="I120" s="165"/>
      <c r="J120" s="328">
        <f>H120/DAY(B2)</f>
        <v>-507.48500000000007</v>
      </c>
    </row>
    <row r="121" spans="1:18" ht="27.75" customHeight="1">
      <c r="A121" s="893" t="s">
        <v>100</v>
      </c>
      <c r="B121" s="893"/>
      <c r="C121" s="893"/>
      <c r="D121" s="151" t="s">
        <v>183</v>
      </c>
      <c r="E121" s="95">
        <f>'13'!F121</f>
        <v>45432</v>
      </c>
      <c r="F121" s="237">
        <v>45870.13</v>
      </c>
      <c r="G121" s="112">
        <f t="shared" si="9"/>
        <v>438.12999999999738</v>
      </c>
      <c r="H121" s="99">
        <f>G121+'13'!H121</f>
        <v>-7672.8700000000026</v>
      </c>
      <c r="I121" s="165"/>
      <c r="J121" s="328">
        <f>H121/DAY(B2)</f>
        <v>-548.06214285714304</v>
      </c>
    </row>
    <row r="122" spans="1:18" ht="27.75" customHeight="1">
      <c r="A122" s="893" t="s">
        <v>101</v>
      </c>
      <c r="B122" s="893"/>
      <c r="C122" s="893"/>
      <c r="D122" s="151" t="s">
        <v>183</v>
      </c>
      <c r="E122" s="95">
        <f>'13'!F122</f>
        <v>23748.22</v>
      </c>
      <c r="F122" s="237">
        <v>24024.6</v>
      </c>
      <c r="G122" s="112">
        <f t="shared" si="9"/>
        <v>276.37999999999738</v>
      </c>
      <c r="H122" s="99">
        <f>G122+'13'!H122</f>
        <v>-4649.4000000000015</v>
      </c>
      <c r="I122" s="165"/>
      <c r="J122" s="328">
        <f>H122/DAY(B2)</f>
        <v>-332.10000000000008</v>
      </c>
    </row>
    <row r="123" spans="1:18" ht="27.75" customHeight="1">
      <c r="A123" s="893" t="s">
        <v>102</v>
      </c>
      <c r="B123" s="893"/>
      <c r="C123" s="893"/>
      <c r="D123" s="151" t="s">
        <v>183</v>
      </c>
      <c r="E123" s="95">
        <f>'13'!F123</f>
        <v>24456.04</v>
      </c>
      <c r="F123" s="237">
        <v>24772.98</v>
      </c>
      <c r="G123" s="112">
        <f t="shared" si="9"/>
        <v>316.93999999999869</v>
      </c>
      <c r="H123" s="99">
        <f>G123+'13'!H123</f>
        <v>-5415.02</v>
      </c>
      <c r="I123" s="165"/>
      <c r="J123" s="328">
        <f>H123/DAY(B2)</f>
        <v>-386.7871428571429</v>
      </c>
    </row>
    <row r="124" spans="1:18" ht="27.7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76" t="s">
        <v>196</v>
      </c>
      <c r="B125" s="877"/>
      <c r="C125" s="245"/>
      <c r="D125" s="307"/>
      <c r="E125" s="308"/>
      <c r="F125" s="308"/>
      <c r="G125" s="309">
        <f>SUM(G112:G124)</f>
        <v>3548.6299999999865</v>
      </c>
      <c r="H125" s="156"/>
      <c r="I125" s="327">
        <f>G125-(G39+G53)</f>
        <v>624.42999999991662</v>
      </c>
      <c r="J125" s="327"/>
    </row>
    <row r="126" spans="1:18" ht="27.75" customHeight="1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7.75" customHeight="1">
      <c r="A127" s="881"/>
      <c r="B127" s="881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894" t="s">
        <v>318</v>
      </c>
      <c r="B128" s="895"/>
      <c r="C128" s="896"/>
      <c r="D128" s="151" t="s">
        <v>183</v>
      </c>
      <c r="E128" s="95">
        <f>'13'!F128</f>
        <v>118617.57</v>
      </c>
      <c r="F128" s="165">
        <v>119110.18</v>
      </c>
      <c r="G128" s="112">
        <f t="shared" ref="G128:G134" si="10">F128-E128</f>
        <v>492.60999999998603</v>
      </c>
      <c r="H128" s="99">
        <f>G128+'13'!H128</f>
        <v>-8533.820000000007</v>
      </c>
      <c r="I128" s="165"/>
      <c r="J128" s="328">
        <f>H128/DAY(B2)</f>
        <v>-609.5585714285719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69317</v>
      </c>
      <c r="F129" s="165">
        <v>69492.850000000006</v>
      </c>
      <c r="G129" s="112">
        <f t="shared" si="10"/>
        <v>175.85000000000582</v>
      </c>
      <c r="H129" s="99">
        <f>G129+'13'!H129</f>
        <v>-3010.1499999999942</v>
      </c>
      <c r="I129" s="165"/>
      <c r="J129" s="328">
        <f>H129/DAY(B2)</f>
        <v>-215.01071428571387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151595.98000000001</v>
      </c>
      <c r="F130" s="165">
        <v>152136.76</v>
      </c>
      <c r="G130" s="112">
        <f t="shared" si="10"/>
        <v>540.77999999999884</v>
      </c>
      <c r="H130" s="99">
        <f>G130+'13'!H130</f>
        <v>-13004.50999999998</v>
      </c>
      <c r="I130" s="165"/>
      <c r="J130" s="328">
        <f>H130/DAY(B2)</f>
        <v>-928.89357142857</v>
      </c>
      <c r="N130" s="240"/>
      <c r="O130" s="241"/>
    </row>
    <row r="131" spans="1:15" ht="27.75" customHeight="1">
      <c r="A131" s="894" t="s">
        <v>321</v>
      </c>
      <c r="B131" s="895"/>
      <c r="C131" s="896"/>
      <c r="D131" s="151" t="s">
        <v>183</v>
      </c>
      <c r="E131" s="95">
        <f>'13'!F131</f>
        <v>44869.69</v>
      </c>
      <c r="F131" s="165">
        <v>45039.11</v>
      </c>
      <c r="G131" s="112">
        <f t="shared" si="10"/>
        <v>169.41999999999825</v>
      </c>
      <c r="H131" s="99">
        <f>G131+'13'!H131</f>
        <v>-3409.8899999999994</v>
      </c>
      <c r="I131" s="165"/>
      <c r="J131" s="328">
        <f>H131/DAY(B2)</f>
        <v>-243.56357142857138</v>
      </c>
      <c r="N131" s="240"/>
      <c r="O131" s="241"/>
    </row>
    <row r="132" spans="1:15" ht="27.75" customHeight="1">
      <c r="A132" s="894" t="s">
        <v>322</v>
      </c>
      <c r="B132" s="895"/>
      <c r="C132" s="896"/>
      <c r="D132" s="151" t="s">
        <v>183</v>
      </c>
      <c r="E132" s="95">
        <f>'13'!F132</f>
        <v>121741.45</v>
      </c>
      <c r="F132" s="165">
        <v>122180.28</v>
      </c>
      <c r="G132" s="112">
        <f t="shared" si="10"/>
        <v>438.83000000000175</v>
      </c>
      <c r="H132" s="99">
        <f>G132+'13'!H132</f>
        <v>-5993.7200000000012</v>
      </c>
      <c r="I132" s="165"/>
      <c r="J132" s="328">
        <f>H132/DAY(B2)</f>
        <v>-428.12285714285724</v>
      </c>
    </row>
    <row r="133" spans="1:15" ht="27.75" customHeight="1">
      <c r="A133" s="894" t="s">
        <v>341</v>
      </c>
      <c r="B133" s="895"/>
      <c r="C133" s="896"/>
      <c r="D133" s="151" t="s">
        <v>183</v>
      </c>
      <c r="E133" s="95">
        <f>'13'!F133</f>
        <v>223091.25</v>
      </c>
      <c r="F133" s="165">
        <v>223698.81</v>
      </c>
      <c r="G133" s="112">
        <f t="shared" si="10"/>
        <v>607.55999999999767</v>
      </c>
      <c r="H133" s="99">
        <f>G133+'13'!H133</f>
        <v>570896.65000000014</v>
      </c>
      <c r="I133" s="165"/>
      <c r="J133" s="328">
        <f>H133/DAY(B2)</f>
        <v>40778.332142857151</v>
      </c>
    </row>
    <row r="134" spans="1:15" ht="27.75" customHeight="1">
      <c r="A134" s="894" t="s">
        <v>340</v>
      </c>
      <c r="B134" s="895"/>
      <c r="C134" s="896"/>
      <c r="D134" s="151" t="s">
        <v>183</v>
      </c>
      <c r="E134" s="95">
        <f>'13'!F134</f>
        <v>44968.21</v>
      </c>
      <c r="F134" s="165">
        <v>45220.77</v>
      </c>
      <c r="G134" s="112">
        <f t="shared" si="10"/>
        <v>252.55999999999767</v>
      </c>
      <c r="H134" s="99">
        <f>G134+'13'!H134</f>
        <v>-3814.2300000000032</v>
      </c>
      <c r="I134" s="165"/>
      <c r="J134" s="328">
        <f>H134/DAY(B2)</f>
        <v>-272.44500000000022</v>
      </c>
    </row>
    <row r="135" spans="1:15" ht="27.75" customHeight="1">
      <c r="A135" s="876" t="s">
        <v>196</v>
      </c>
      <c r="B135" s="877"/>
      <c r="C135" s="331"/>
      <c r="D135" s="151"/>
      <c r="E135" s="95"/>
      <c r="F135" s="165"/>
      <c r="G135" s="112">
        <f>SUM(G128:G134)</f>
        <v>2677.609999999986</v>
      </c>
      <c r="H135" s="119">
        <f>H128+H134</f>
        <v>-12348.05000000001</v>
      </c>
      <c r="I135" s="327">
        <f>G135-(G35+G49)</f>
        <v>-406.9100000000326</v>
      </c>
      <c r="J135" s="328">
        <f>H135/DAY(B2)</f>
        <v>-882.00357142857217</v>
      </c>
    </row>
    <row r="136" spans="1:15" ht="27.75" customHeight="1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3" t="s">
        <v>185</v>
      </c>
      <c r="B138" s="893"/>
      <c r="C138" s="893"/>
      <c r="D138" s="151" t="s">
        <v>183</v>
      </c>
      <c r="E138" s="95">
        <f>'13'!F138</f>
        <v>888846</v>
      </c>
      <c r="F138" s="147">
        <v>888948</v>
      </c>
      <c r="G138" s="112">
        <f t="shared" ref="G138:G152" si="11">F138-E138</f>
        <v>102</v>
      </c>
      <c r="H138" s="99">
        <f>G138+'13'!H138</f>
        <v>-2147</v>
      </c>
      <c r="I138" s="118"/>
      <c r="J138" s="328">
        <f>H138/DAY(B2)</f>
        <v>-153.35714285714286</v>
      </c>
    </row>
    <row r="139" spans="1:15" ht="27.75" customHeight="1">
      <c r="A139" s="893" t="s">
        <v>186</v>
      </c>
      <c r="B139" s="893"/>
      <c r="C139" s="893"/>
      <c r="D139" s="151" t="s">
        <v>183</v>
      </c>
      <c r="E139" s="95">
        <f>'13'!F139</f>
        <v>906162</v>
      </c>
      <c r="F139" s="148">
        <v>906333</v>
      </c>
      <c r="G139" s="112">
        <f t="shared" si="11"/>
        <v>171</v>
      </c>
      <c r="H139" s="99">
        <f>G139+'13'!H139</f>
        <v>-2562</v>
      </c>
      <c r="I139" s="118"/>
      <c r="J139" s="328">
        <f>H139/DAY(B2)</f>
        <v>-183</v>
      </c>
    </row>
    <row r="140" spans="1:15" ht="27.75" customHeight="1">
      <c r="A140" s="893" t="s">
        <v>187</v>
      </c>
      <c r="B140" s="893"/>
      <c r="C140" s="893"/>
      <c r="D140" s="151" t="s">
        <v>183</v>
      </c>
      <c r="E140" s="95">
        <f>'13'!F140</f>
        <v>89803</v>
      </c>
      <c r="F140" s="149">
        <v>89803</v>
      </c>
      <c r="G140" s="112">
        <f t="shared" si="11"/>
        <v>0</v>
      </c>
      <c r="H140" s="99">
        <f>G140+'13'!H140</f>
        <v>339.39999999999418</v>
      </c>
      <c r="I140" s="118"/>
      <c r="J140" s="328">
        <f>H140/DAY(B2)</f>
        <v>24.242857142856728</v>
      </c>
    </row>
    <row r="141" spans="1:15" ht="27.75" customHeight="1">
      <c r="A141" s="872" t="s">
        <v>188</v>
      </c>
      <c r="B141" s="872"/>
      <c r="C141" s="872"/>
      <c r="D141" s="151" t="s">
        <v>183</v>
      </c>
      <c r="E141" s="95">
        <f>'13'!F141</f>
        <v>86779.35</v>
      </c>
      <c r="F141" s="149">
        <v>86973.759999999995</v>
      </c>
      <c r="G141" s="112">
        <f t="shared" si="11"/>
        <v>194.40999999998894</v>
      </c>
      <c r="H141" s="99">
        <f>G141+'13'!H141</f>
        <v>-3478.2400000000052</v>
      </c>
      <c r="I141" s="118"/>
      <c r="J141" s="328">
        <f>H141/DAY(B2)</f>
        <v>-248.44571428571467</v>
      </c>
    </row>
    <row r="142" spans="1:15" ht="27.75" customHeight="1">
      <c r="A142" s="872" t="s">
        <v>189</v>
      </c>
      <c r="B142" s="872"/>
      <c r="C142" s="872"/>
      <c r="D142" s="151" t="s">
        <v>183</v>
      </c>
      <c r="E142" s="95">
        <f>'13'!F142</f>
        <v>35336.79</v>
      </c>
      <c r="F142" s="148">
        <v>35411.99</v>
      </c>
      <c r="G142" s="112">
        <f t="shared" si="11"/>
        <v>75.19999999999709</v>
      </c>
      <c r="H142" s="99">
        <f>G142+'13'!H142</f>
        <v>-1249.010000000002</v>
      </c>
      <c r="I142" s="140"/>
      <c r="J142" s="328">
        <f>H142/DAY(B2)</f>
        <v>-89.215000000000146</v>
      </c>
    </row>
    <row r="143" spans="1:15" ht="27.75" customHeight="1">
      <c r="A143" s="893" t="s">
        <v>91</v>
      </c>
      <c r="B143" s="893"/>
      <c r="C143" s="893"/>
      <c r="D143" s="151" t="s">
        <v>183</v>
      </c>
      <c r="E143" s="95">
        <f>'13'!F143</f>
        <v>8532.8799999999992</v>
      </c>
      <c r="F143" s="149">
        <v>8555.5400000000009</v>
      </c>
      <c r="G143" s="112">
        <f t="shared" si="11"/>
        <v>22.660000000001673</v>
      </c>
      <c r="H143" s="99">
        <f>G143+'13'!H143</f>
        <v>-495.45999999999913</v>
      </c>
      <c r="I143" s="140"/>
      <c r="J143" s="328">
        <f>H143/DAY(B2)</f>
        <v>-35.389999999999937</v>
      </c>
    </row>
    <row r="144" spans="1:15" ht="27.75" customHeight="1">
      <c r="A144" s="872" t="s">
        <v>90</v>
      </c>
      <c r="B144" s="872"/>
      <c r="C144" s="872"/>
      <c r="D144" s="151" t="s">
        <v>183</v>
      </c>
      <c r="E144" s="95">
        <f>'13'!F144</f>
        <v>915547</v>
      </c>
      <c r="F144" s="149">
        <v>915807</v>
      </c>
      <c r="G144" s="112">
        <f t="shared" si="11"/>
        <v>260</v>
      </c>
      <c r="H144" s="99">
        <f>G144+'13'!H144</f>
        <v>-4030</v>
      </c>
      <c r="I144" s="140"/>
      <c r="J144" s="328">
        <f>H144/DAY(B2)</f>
        <v>-287.85714285714283</v>
      </c>
    </row>
    <row r="145" spans="1:10" ht="27.75" customHeight="1">
      <c r="A145" s="893" t="s">
        <v>190</v>
      </c>
      <c r="B145" s="893"/>
      <c r="C145" s="893"/>
      <c r="D145" s="152" t="s">
        <v>183</v>
      </c>
      <c r="E145" s="95">
        <f>'13'!F145</f>
        <v>5665</v>
      </c>
      <c r="F145" s="149">
        <v>5665</v>
      </c>
      <c r="G145" s="112">
        <f t="shared" si="11"/>
        <v>0</v>
      </c>
      <c r="H145" s="99">
        <f>G145+'13'!H145</f>
        <v>-142</v>
      </c>
      <c r="I145" s="140"/>
      <c r="J145" s="328">
        <f>H145/DAY(B2)</f>
        <v>-10.142857142857142</v>
      </c>
    </row>
    <row r="146" spans="1:10" ht="27.75" customHeight="1">
      <c r="A146" s="928" t="s">
        <v>191</v>
      </c>
      <c r="B146" s="913"/>
      <c r="C146" s="914"/>
      <c r="D146" s="152" t="s">
        <v>183</v>
      </c>
      <c r="E146" s="95">
        <f>'13'!F146</f>
        <v>779888</v>
      </c>
      <c r="F146" s="148">
        <v>779924</v>
      </c>
      <c r="G146" s="112">
        <f t="shared" si="11"/>
        <v>36</v>
      </c>
      <c r="H146" s="99">
        <f>G146+'13'!H146</f>
        <v>-876</v>
      </c>
      <c r="I146" s="140"/>
      <c r="J146" s="328">
        <f>H146/DAY(B2)</f>
        <v>-62.571428571428569</v>
      </c>
    </row>
    <row r="147" spans="1:10" ht="27.75" customHeight="1">
      <c r="A147" s="872" t="s">
        <v>192</v>
      </c>
      <c r="B147" s="872"/>
      <c r="C147" s="872"/>
      <c r="D147" s="152" t="s">
        <v>183</v>
      </c>
      <c r="E147" s="95">
        <f>'13'!F147</f>
        <v>692535</v>
      </c>
      <c r="F147" s="148">
        <v>692952.8</v>
      </c>
      <c r="G147" s="112">
        <f t="shared" si="11"/>
        <v>417.80000000004657</v>
      </c>
      <c r="H147" s="99">
        <f>G147+'13'!H147</f>
        <v>-6816.1999999999534</v>
      </c>
      <c r="I147" s="140"/>
      <c r="J147" s="328">
        <f>H147/DAY(B2)</f>
        <v>-486.87142857142527</v>
      </c>
    </row>
    <row r="148" spans="1:10" ht="27.75" customHeight="1">
      <c r="A148" s="873" t="s">
        <v>193</v>
      </c>
      <c r="B148" s="874"/>
      <c r="C148" s="875"/>
      <c r="D148" s="123" t="s">
        <v>130</v>
      </c>
      <c r="E148" s="95">
        <f>'13'!F148</f>
        <v>742896</v>
      </c>
      <c r="F148" s="150">
        <v>743185.28</v>
      </c>
      <c r="G148" s="112">
        <f t="shared" si="11"/>
        <v>289.28000000002794</v>
      </c>
      <c r="H148" s="99">
        <f>G148+'13'!H148</f>
        <v>-5344.7199999999721</v>
      </c>
      <c r="I148" s="124"/>
      <c r="J148" s="328">
        <f>H148/DAY(B2)</f>
        <v>-381.76571428571231</v>
      </c>
    </row>
    <row r="149" spans="1:10" ht="27.75" customHeight="1">
      <c r="A149" s="873" t="s">
        <v>336</v>
      </c>
      <c r="B149" s="874"/>
      <c r="C149" s="875"/>
      <c r="D149" s="227" t="s">
        <v>130</v>
      </c>
      <c r="E149" s="95">
        <f>'13'!F149</f>
        <v>123158.9</v>
      </c>
      <c r="F149" s="227">
        <v>123664.82</v>
      </c>
      <c r="G149" s="112">
        <f t="shared" si="11"/>
        <v>505.92000000001281</v>
      </c>
      <c r="H149" s="99">
        <f>G149+'13'!H149</f>
        <v>-8769.179999999993</v>
      </c>
      <c r="I149" s="119"/>
      <c r="J149" s="328">
        <f>H149/DAY(B2)</f>
        <v>-626.36999999999955</v>
      </c>
    </row>
    <row r="150" spans="1:10" ht="27.75" customHeight="1">
      <c r="A150" s="873" t="s">
        <v>337</v>
      </c>
      <c r="B150" s="874"/>
      <c r="C150" s="875"/>
      <c r="D150" s="117" t="s">
        <v>130</v>
      </c>
      <c r="E150" s="95">
        <f>'13'!F150</f>
        <v>46623</v>
      </c>
      <c r="F150" s="233">
        <v>46832.53</v>
      </c>
      <c r="G150" s="112">
        <f t="shared" si="11"/>
        <v>209.52999999999884</v>
      </c>
      <c r="H150" s="99">
        <f>G150+'13'!H150</f>
        <v>-3782.4700000000012</v>
      </c>
      <c r="I150" s="119"/>
      <c r="J150" s="328">
        <f>H150/DAY(B2)</f>
        <v>-270.17642857142863</v>
      </c>
    </row>
    <row r="151" spans="1:10" ht="27.75" customHeight="1">
      <c r="A151" s="873" t="s">
        <v>338</v>
      </c>
      <c r="B151" s="874"/>
      <c r="C151" s="875"/>
      <c r="D151" s="117" t="s">
        <v>130</v>
      </c>
      <c r="E151" s="95">
        <f>'13'!F151</f>
        <v>130066</v>
      </c>
      <c r="F151" s="233">
        <v>130371</v>
      </c>
      <c r="G151" s="112">
        <f t="shared" si="11"/>
        <v>305</v>
      </c>
      <c r="H151" s="99">
        <f>G151+'13'!H151</f>
        <v>-5078</v>
      </c>
      <c r="I151" s="119"/>
      <c r="J151" s="328">
        <f>H151/DAY(B2)</f>
        <v>-362.71428571428572</v>
      </c>
    </row>
    <row r="152" spans="1:10" ht="27.75" customHeight="1">
      <c r="A152" s="873" t="s">
        <v>339</v>
      </c>
      <c r="B152" s="874"/>
      <c r="C152" s="875"/>
      <c r="D152" s="117" t="s">
        <v>130</v>
      </c>
      <c r="E152" s="95">
        <f>'13'!F152</f>
        <v>20941.62</v>
      </c>
      <c r="F152" s="233">
        <v>21064.6</v>
      </c>
      <c r="G152" s="112">
        <f t="shared" si="11"/>
        <v>122.97999999999956</v>
      </c>
      <c r="H152" s="99">
        <f>G152+'13'!H152</f>
        <v>-2089.4000000000015</v>
      </c>
      <c r="I152" s="119"/>
      <c r="J152" s="328">
        <f>H152/DAY(B2)</f>
        <v>-149.24285714285725</v>
      </c>
    </row>
    <row r="153" spans="1:10" ht="27.75" customHeight="1">
      <c r="A153" s="876" t="s">
        <v>196</v>
      </c>
      <c r="B153" s="877"/>
      <c r="C153" s="365"/>
      <c r="D153" s="358"/>
      <c r="E153" s="360"/>
      <c r="F153" s="361"/>
      <c r="G153" s="362">
        <f>SUM(G138:G152)</f>
        <v>2711.7800000000734</v>
      </c>
      <c r="H153" s="363"/>
      <c r="I153" s="119">
        <f>G153-(G38+G52)</f>
        <v>445.1800000000876</v>
      </c>
      <c r="J153" s="366"/>
    </row>
    <row r="154" spans="1:10" ht="27.75" customHeight="1">
      <c r="A154" s="880"/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 customHeight="1">
      <c r="A155" s="872" t="s">
        <v>345</v>
      </c>
      <c r="B155" s="872"/>
      <c r="C155" s="872"/>
      <c r="D155" s="117" t="s">
        <v>130</v>
      </c>
      <c r="E155" s="374">
        <f>'13'!F155</f>
        <v>137657.68</v>
      </c>
      <c r="F155" s="374">
        <v>138195</v>
      </c>
      <c r="G155" s="112">
        <f t="shared" ref="G155:G158" si="12">F155-E155</f>
        <v>537.32000000000698</v>
      </c>
      <c r="H155" s="99">
        <f>G155+'13'!H155</f>
        <v>-9954</v>
      </c>
      <c r="I155" s="364"/>
      <c r="J155" s="328">
        <f>H155/DAY(B2)</f>
        <v>-711</v>
      </c>
    </row>
    <row r="156" spans="1:10" ht="27.75" customHeight="1">
      <c r="A156" s="872" t="s">
        <v>347</v>
      </c>
      <c r="B156" s="872"/>
      <c r="C156" s="872"/>
      <c r="D156" s="117" t="s">
        <v>130</v>
      </c>
      <c r="E156" s="374">
        <f>'13'!F156</f>
        <v>13177.7</v>
      </c>
      <c r="F156" s="155">
        <v>13200</v>
      </c>
      <c r="G156" s="112">
        <f t="shared" si="12"/>
        <v>22.299999999999272</v>
      </c>
      <c r="H156" s="99">
        <f>G156+'13'!H156</f>
        <v>-1534</v>
      </c>
      <c r="I156" s="165"/>
      <c r="J156" s="328">
        <f>H156/DAY(B2)</f>
        <v>-109.57142857142857</v>
      </c>
    </row>
    <row r="157" spans="1:10" ht="27.75" customHeight="1">
      <c r="A157" s="873" t="s">
        <v>360</v>
      </c>
      <c r="B157" s="874"/>
      <c r="C157" s="875"/>
      <c r="D157" s="117" t="s">
        <v>130</v>
      </c>
      <c r="E157" s="374">
        <f>'13'!F157</f>
        <v>25005.85</v>
      </c>
      <c r="F157" s="155">
        <v>25143.07</v>
      </c>
      <c r="G157" s="112">
        <f t="shared" si="12"/>
        <v>137.22000000000116</v>
      </c>
      <c r="H157" s="99">
        <f>G157+'13'!H157</f>
        <v>-2302.9300000000003</v>
      </c>
      <c r="I157" s="165"/>
      <c r="J157" s="328">
        <f>H157/DAY(B2)</f>
        <v>-164.49500000000003</v>
      </c>
    </row>
    <row r="158" spans="1:10" ht="27.75" customHeight="1">
      <c r="A158" s="873" t="s">
        <v>361</v>
      </c>
      <c r="B158" s="874"/>
      <c r="C158" s="875"/>
      <c r="D158" s="117" t="s">
        <v>130</v>
      </c>
      <c r="E158" s="374">
        <f>'13'!F158</f>
        <v>225.71</v>
      </c>
      <c r="F158" s="155">
        <v>225.7</v>
      </c>
      <c r="G158" s="112">
        <f t="shared" si="12"/>
        <v>-1.0000000000019327E-2</v>
      </c>
      <c r="H158" s="99">
        <f>G158+'13'!H158</f>
        <v>137.27999999999997</v>
      </c>
      <c r="I158" s="165"/>
      <c r="J158" s="328">
        <f>H158/DAY(B2)</f>
        <v>9.8057142857142843</v>
      </c>
    </row>
    <row r="159" spans="1:10" ht="27.75" customHeight="1">
      <c r="A159" s="958"/>
      <c r="B159" s="959"/>
      <c r="C159" s="960"/>
      <c r="D159" s="117"/>
      <c r="E159" s="165"/>
      <c r="F159" s="165"/>
      <c r="G159" s="362">
        <f>SUM(G155:G158)</f>
        <v>696.83000000000743</v>
      </c>
      <c r="H159" s="99"/>
      <c r="I159" s="165"/>
      <c r="J159" s="328"/>
    </row>
    <row r="160" spans="1:10" ht="27.75" customHeight="1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479031.96</v>
      </c>
      <c r="F161" s="235">
        <v>479084.04</v>
      </c>
      <c r="G161" s="238">
        <f t="shared" ref="G161:G165" si="13">F161-E161</f>
        <v>52.07999999995809</v>
      </c>
      <c r="H161" s="99">
        <f>G161+'13'!H161</f>
        <v>-968.96000000002095</v>
      </c>
      <c r="I161" s="236"/>
      <c r="J161" s="239">
        <f>H161/DAY(B2)</f>
        <v>-69.211428571430062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94266</v>
      </c>
      <c r="F162" s="235">
        <v>94311</v>
      </c>
      <c r="G162" s="238">
        <f t="shared" si="13"/>
        <v>45</v>
      </c>
      <c r="H162" s="99">
        <f>G162+'13'!H162</f>
        <v>-617</v>
      </c>
      <c r="I162" s="236"/>
      <c r="J162" s="239">
        <f>H162/DAY(B2)</f>
        <v>-44.071428571428569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3952.2</v>
      </c>
      <c r="F163" s="235">
        <v>4107.1000000000004</v>
      </c>
      <c r="G163" s="238">
        <f t="shared" si="13"/>
        <v>154.90000000000055</v>
      </c>
      <c r="H163" s="99">
        <f>G163+'13'!H163</f>
        <v>-2393.8999999999996</v>
      </c>
      <c r="I163" s="236"/>
      <c r="J163" s="239">
        <f>H163/DAY(B2)</f>
        <v>-170.9928571428571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6042.6</v>
      </c>
      <c r="F164" s="235">
        <v>6054</v>
      </c>
      <c r="G164" s="238">
        <f t="shared" si="13"/>
        <v>11.399999999999636</v>
      </c>
      <c r="H164" s="99">
        <f>G164+'13'!H164</f>
        <v>-226</v>
      </c>
      <c r="I164" s="236"/>
      <c r="J164" s="239">
        <f>H164/DAY(B2)</f>
        <v>-16.142857142857142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31470.42</v>
      </c>
      <c r="F165" s="235">
        <v>31479.205999999998</v>
      </c>
      <c r="G165" s="238">
        <f t="shared" si="13"/>
        <v>8.7860000000000582</v>
      </c>
      <c r="H165" s="99">
        <f>G165+'13'!H165</f>
        <v>-154.79400000000169</v>
      </c>
      <c r="I165" s="236"/>
      <c r="J165" s="239">
        <f>H165/DAY(B2)</f>
        <v>-11.056714285714406</v>
      </c>
    </row>
    <row r="166" spans="1:10" ht="27.75" customHeight="1">
      <c r="A166" s="881"/>
      <c r="B166" s="881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881"/>
      <c r="B167" s="881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881"/>
      <c r="B168" s="881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7.75" customHeight="1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87" t="s">
        <v>209</v>
      </c>
      <c r="B173" s="888"/>
      <c r="C173" s="333"/>
      <c r="D173" s="228" t="s">
        <v>142</v>
      </c>
      <c r="E173" s="95">
        <f>'13'!F173</f>
        <v>8276</v>
      </c>
      <c r="F173" s="155">
        <v>8276</v>
      </c>
      <c r="G173" s="155">
        <f>F173-E173</f>
        <v>0</v>
      </c>
      <c r="H173" s="99">
        <f>G173+'13'!H173</f>
        <v>41</v>
      </c>
      <c r="I173" s="155"/>
      <c r="J173" s="178">
        <f>H173/DAY(B2)</f>
        <v>2.9285714285714284</v>
      </c>
    </row>
    <row r="174" spans="1:10" ht="27.75" customHeight="1">
      <c r="A174" s="887" t="s">
        <v>75</v>
      </c>
      <c r="B174" s="888"/>
      <c r="C174" s="333"/>
      <c r="D174" s="228" t="s">
        <v>142</v>
      </c>
      <c r="E174" s="95">
        <f>'13'!F174</f>
        <v>40953</v>
      </c>
      <c r="F174" s="157">
        <v>40968</v>
      </c>
      <c r="G174" s="155">
        <f t="shared" ref="G174:G175" si="14">F174-E174</f>
        <v>15</v>
      </c>
      <c r="H174" s="99">
        <f>G174+'13'!H174</f>
        <v>-236</v>
      </c>
      <c r="I174" s="155"/>
      <c r="J174" s="178">
        <f>H174/DAY(B2)</f>
        <v>-16.857142857142858</v>
      </c>
    </row>
    <row r="175" spans="1:10" ht="27.75" customHeight="1">
      <c r="A175" s="887" t="s">
        <v>76</v>
      </c>
      <c r="B175" s="927"/>
      <c r="C175" s="888"/>
      <c r="D175" s="228" t="s">
        <v>142</v>
      </c>
      <c r="E175" s="95">
        <f>'13'!F175</f>
        <v>23816</v>
      </c>
      <c r="F175" s="155">
        <v>23827</v>
      </c>
      <c r="G175" s="155">
        <f t="shared" si="14"/>
        <v>11</v>
      </c>
      <c r="H175" s="99">
        <f>G175+'13'!H175</f>
        <v>-204</v>
      </c>
      <c r="I175" s="155"/>
      <c r="J175" s="178">
        <f>H175/DAY(B2)</f>
        <v>-14.571428571428571</v>
      </c>
    </row>
    <row r="176" spans="1:10" ht="27.75" customHeight="1">
      <c r="A176" s="876" t="s">
        <v>196</v>
      </c>
      <c r="B176" s="877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G176+'13'!H176</f>
        <v>-399</v>
      </c>
      <c r="I176" s="155"/>
      <c r="J176" s="178">
        <f>H176/DAY(B2)</f>
        <v>-28.5</v>
      </c>
    </row>
    <row r="177" spans="1:10" ht="27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87" t="s">
        <v>210</v>
      </c>
      <c r="B178" s="888"/>
      <c r="C178" s="333"/>
      <c r="D178" s="228" t="s">
        <v>142</v>
      </c>
      <c r="E178" s="95">
        <f>'13'!F178</f>
        <v>95963</v>
      </c>
      <c r="F178" s="157">
        <v>96095</v>
      </c>
      <c r="G178" s="155">
        <f>F178-E178</f>
        <v>132</v>
      </c>
      <c r="H178" s="99">
        <f>G178+'13'!H178</f>
        <v>-1618</v>
      </c>
      <c r="I178" s="155"/>
      <c r="J178" s="178">
        <f>H178/DAY(B2)</f>
        <v>-115.57142857142857</v>
      </c>
    </row>
    <row r="179" spans="1:10" ht="27.75" customHeight="1">
      <c r="A179" s="887" t="s">
        <v>211</v>
      </c>
      <c r="B179" s="888"/>
      <c r="C179" s="333"/>
      <c r="D179" s="228" t="s">
        <v>142</v>
      </c>
      <c r="E179" s="95">
        <f>'13'!F179</f>
        <v>36002</v>
      </c>
      <c r="F179" s="155">
        <v>36002</v>
      </c>
      <c r="G179" s="155">
        <f t="shared" ref="G179:G180" si="15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887" t="s">
        <v>212</v>
      </c>
      <c r="B180" s="888"/>
      <c r="C180" s="333"/>
      <c r="D180" s="228" t="s">
        <v>142</v>
      </c>
      <c r="E180" s="95">
        <f>'13'!F180</f>
        <v>6982</v>
      </c>
      <c r="F180" s="155">
        <v>7010</v>
      </c>
      <c r="G180" s="155">
        <f t="shared" si="15"/>
        <v>28</v>
      </c>
      <c r="H180" s="99">
        <f>G180+'13'!H180</f>
        <v>-159</v>
      </c>
      <c r="I180" s="155"/>
      <c r="J180" s="178">
        <f>H180/DAY(B2)</f>
        <v>-11.357142857142858</v>
      </c>
    </row>
    <row r="181" spans="1:10" ht="27.75" customHeight="1">
      <c r="A181" s="889" t="s">
        <v>108</v>
      </c>
      <c r="B181" s="890"/>
      <c r="C181" s="401"/>
      <c r="D181" s="228" t="s">
        <v>142</v>
      </c>
      <c r="E181" s="95"/>
      <c r="F181" s="155" t="s">
        <v>207</v>
      </c>
      <c r="G181" s="155">
        <f>SUM(G178:G180)</f>
        <v>160</v>
      </c>
      <c r="H181" s="99">
        <f>G181+'13'!H181</f>
        <v>-1777</v>
      </c>
      <c r="I181" s="155"/>
      <c r="J181" s="178">
        <f>H181/DAY(B2)</f>
        <v>-126.92857142857143</v>
      </c>
    </row>
    <row r="182" spans="1:10" ht="27.75" customHeight="1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87" t="s">
        <v>214</v>
      </c>
      <c r="B183" s="888"/>
      <c r="C183" s="334"/>
      <c r="D183" s="228" t="s">
        <v>142</v>
      </c>
      <c r="E183" s="95">
        <f>'13'!F183</f>
        <v>17361</v>
      </c>
      <c r="F183" s="157">
        <v>17368</v>
      </c>
      <c r="G183" s="157">
        <f>F183-E183</f>
        <v>7</v>
      </c>
      <c r="H183" s="99">
        <f>G183+'13'!H183</f>
        <v>-105</v>
      </c>
      <c r="I183" s="155"/>
      <c r="J183" s="178">
        <f>H183/DAY(B2)</f>
        <v>-7.5</v>
      </c>
    </row>
    <row r="184" spans="1:10" ht="27.75" customHeight="1">
      <c r="A184" s="887" t="s">
        <v>215</v>
      </c>
      <c r="B184" s="888"/>
      <c r="C184" s="334"/>
      <c r="D184" s="228" t="s">
        <v>142</v>
      </c>
      <c r="E184" s="95">
        <f>'13'!F184</f>
        <v>11773</v>
      </c>
      <c r="F184" s="157">
        <v>11779</v>
      </c>
      <c r="G184" s="157">
        <f t="shared" ref="G184:G185" si="16">F184-E184</f>
        <v>6</v>
      </c>
      <c r="H184" s="99">
        <f>G184+'13'!H184</f>
        <v>-156</v>
      </c>
      <c r="I184" s="155"/>
      <c r="J184" s="178">
        <f>H184/DAY(B2)</f>
        <v>-11.142857142857142</v>
      </c>
    </row>
    <row r="185" spans="1:10" ht="27.75" customHeight="1">
      <c r="A185" s="887" t="s">
        <v>216</v>
      </c>
      <c r="B185" s="888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876" t="s">
        <v>196</v>
      </c>
      <c r="B186" s="877"/>
      <c r="C186" s="400"/>
      <c r="D186" s="228" t="s">
        <v>142</v>
      </c>
      <c r="E186" s="95"/>
      <c r="F186" s="157"/>
      <c r="G186" s="157">
        <f>SUM(G183:G185)</f>
        <v>13</v>
      </c>
      <c r="H186" s="99">
        <f>G186+'13'!H186</f>
        <v>-261</v>
      </c>
      <c r="I186" s="157"/>
      <c r="J186" s="178">
        <f>H186/DAY(B2)</f>
        <v>-18.642857142857142</v>
      </c>
    </row>
    <row r="187" spans="1:10" ht="27.75" customHeight="1">
      <c r="A187" s="878" t="s">
        <v>217</v>
      </c>
      <c r="B187" s="879"/>
      <c r="C187" s="333"/>
      <c r="D187" s="230" t="s">
        <v>142</v>
      </c>
      <c r="E187" s="95"/>
      <c r="F187" s="159"/>
      <c r="G187" s="159">
        <f>G62+G19</f>
        <v>155</v>
      </c>
      <c r="H187" s="99">
        <f>G187+'13'!H187</f>
        <v>-2944</v>
      </c>
      <c r="I187" s="158"/>
      <c r="J187" s="179">
        <f>H187/DAY(B2)</f>
        <v>-210.28571428571428</v>
      </c>
    </row>
    <row r="188" spans="1:10" ht="27.75" customHeight="1">
      <c r="A188" s="878" t="s">
        <v>218</v>
      </c>
      <c r="B188" s="879"/>
      <c r="C188" s="333"/>
      <c r="D188" s="230" t="s">
        <v>142</v>
      </c>
      <c r="E188" s="95"/>
      <c r="F188" s="159"/>
      <c r="G188" s="159">
        <f>G65+G66+G67+G69+G70</f>
        <v>145</v>
      </c>
      <c r="H188" s="99"/>
      <c r="I188" s="158"/>
      <c r="J188" s="405">
        <f>H188/DAY(B2)</f>
        <v>0</v>
      </c>
    </row>
    <row r="189" spans="1:10" ht="27.75" customHeight="1">
      <c r="A189" s="878" t="s">
        <v>219</v>
      </c>
      <c r="B189" s="879"/>
      <c r="C189" s="333"/>
      <c r="D189" s="230" t="s">
        <v>142</v>
      </c>
      <c r="E189" s="95"/>
      <c r="F189" s="157"/>
      <c r="G189" s="157">
        <f>G181</f>
        <v>160</v>
      </c>
      <c r="H189" s="99">
        <f>G189+'13'!H189</f>
        <v>-1777</v>
      </c>
      <c r="I189" s="158"/>
      <c r="J189" s="179">
        <f>H189/DAY(B2)</f>
        <v>-126.92857142857143</v>
      </c>
    </row>
    <row r="190" spans="1:10" ht="27.75" customHeight="1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03" zoomScale="5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349</v>
      </c>
      <c r="B2" s="262">
        <v>44727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30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702628</v>
      </c>
      <c r="F7" s="95">
        <f>E7+26200</f>
        <v>728828</v>
      </c>
      <c r="G7" s="236">
        <f>F7-E7</f>
        <v>26200</v>
      </c>
      <c r="H7" s="99">
        <f>G7+'14'!H7</f>
        <v>391698</v>
      </c>
      <c r="I7" s="113">
        <f>'1'!I7</f>
        <v>12000</v>
      </c>
      <c r="J7" s="175">
        <f>H7/DAY(B2)</f>
        <v>26113.200000000001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43344.4</v>
      </c>
      <c r="F8" s="95">
        <f>E8+26500</f>
        <v>69844.399999999994</v>
      </c>
      <c r="G8" s="519">
        <f>F8-E8</f>
        <v>26499.999999999993</v>
      </c>
      <c r="H8" s="99">
        <f>G8+'14'!H8</f>
        <v>396766</v>
      </c>
      <c r="I8" s="116"/>
      <c r="J8" s="175">
        <f>H8/DAY(B2)</f>
        <v>26451.066666666666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3105580.9</v>
      </c>
      <c r="F9" s="469">
        <v>3118476.9</v>
      </c>
      <c r="G9" s="112">
        <f>F9-E9</f>
        <v>12896</v>
      </c>
      <c r="H9" s="99">
        <f>G9+'14'!H9</f>
        <v>-160589.10000000009</v>
      </c>
      <c r="I9" s="124">
        <f>I7-J7</f>
        <v>-14113.2</v>
      </c>
      <c r="J9" s="175">
        <f>H9/DAY(B2)</f>
        <v>-10705.940000000006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1413421</v>
      </c>
      <c r="F10" s="353">
        <v>1426403.1</v>
      </c>
      <c r="G10" s="112">
        <f>F10-E10</f>
        <v>12982.100000000093</v>
      </c>
      <c r="H10" s="99">
        <f>G10+'14'!H10</f>
        <v>-240754.89999999991</v>
      </c>
      <c r="I10" s="282"/>
      <c r="J10" s="175">
        <f>H10/DAY(B2)</f>
        <v>-16050.32666666666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25878.100000000093</v>
      </c>
      <c r="H13" s="99">
        <f>G13+'14'!H13</f>
        <v>-400009.40000000014</v>
      </c>
      <c r="I13" s="120">
        <f>G7-G13</f>
        <v>321.89999999990687</v>
      </c>
      <c r="J13" s="175">
        <f>H13/DAY(B2)</f>
        <v>-26667.293333333342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'14'!F15</f>
        <v>2115008</v>
      </c>
      <c r="F15" s="469">
        <f>E15+1000</f>
        <v>2116008</v>
      </c>
      <c r="G15" s="112">
        <f>(F15-E15)</f>
        <v>1000</v>
      </c>
      <c r="H15" s="99">
        <f>G15+'14'!H15</f>
        <v>15140</v>
      </c>
      <c r="I15" s="113">
        <f>'1'!I15</f>
        <v>800</v>
      </c>
      <c r="J15" s="175">
        <f>H15/DAY(B2)</f>
        <v>1009.3333333333334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-209.33333333333337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'14'!F18</f>
        <v>14</v>
      </c>
      <c r="F18" s="122">
        <v>20</v>
      </c>
      <c r="G18" s="119">
        <f>F18*10</f>
        <v>200</v>
      </c>
      <c r="H18" s="99">
        <f>G18+'14'!H18</f>
        <v>2560</v>
      </c>
      <c r="I18" s="113">
        <f>'1'!I18</f>
        <v>65</v>
      </c>
      <c r="J18" s="175">
        <f>H18/DAY(B2)</f>
        <v>170.66666666666666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'14'!F19</f>
        <v>161515</v>
      </c>
      <c r="F19" s="122">
        <v>161558</v>
      </c>
      <c r="G19" s="112">
        <f t="shared" ref="G19" si="1">F19-E19</f>
        <v>43</v>
      </c>
      <c r="H19" s="99">
        <f>G19+'14'!H19</f>
        <v>-771</v>
      </c>
      <c r="I19" s="335"/>
      <c r="J19" s="175">
        <f>H19/DAY(B2)</f>
        <v>-51.4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243</v>
      </c>
      <c r="H20" s="99">
        <f>G20+'14'!H20</f>
        <v>1789</v>
      </c>
      <c r="I20" s="336">
        <f>I18-J20</f>
        <v>-54.266666666666666</v>
      </c>
      <c r="J20" s="175">
        <f>H20/DAY(B2)</f>
        <v>119.26666666666667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26499.999999999993</v>
      </c>
      <c r="F27" s="136">
        <v>9</v>
      </c>
      <c r="G27" s="137">
        <f>E27*F27</f>
        <v>238499.99999999994</v>
      </c>
      <c r="H27" s="99">
        <f>G27+'14'!H27</f>
        <v>3570894</v>
      </c>
      <c r="I27" s="138"/>
      <c r="J27" s="175">
        <f>H27/DAY(B2)</f>
        <v>238059.6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G28+'14'!H28</f>
        <v>1059800</v>
      </c>
      <c r="I28" s="140"/>
      <c r="J28" s="175">
        <f>H28/DAY(B2)</f>
        <v>70653.333333333328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151</v>
      </c>
      <c r="G30" s="137">
        <f>E30*F30</f>
        <v>6493</v>
      </c>
      <c r="H30" s="99">
        <f>G30+'14'!H30</f>
        <v>-116421</v>
      </c>
      <c r="I30" s="140"/>
      <c r="J30" s="175">
        <f>H30/DAY(B2)</f>
        <v>-7761.4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G31+'14'!H31</f>
        <v>204800</v>
      </c>
      <c r="I31" s="140"/>
      <c r="J31" s="175">
        <f>H31/DAY(B2)</f>
        <v>13653.333333333334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330992.99999999994</v>
      </c>
      <c r="H32" s="99">
        <f>G32+'14'!H32</f>
        <v>4719073</v>
      </c>
      <c r="I32" s="144"/>
      <c r="J32" s="175">
        <f>H32/DAY(B2)</f>
        <v>314604.86666666664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238713</v>
      </c>
      <c r="F35" s="145">
        <v>238713.05</v>
      </c>
      <c r="G35" s="112">
        <f t="shared" ref="G35:G46" si="3">F35-E35</f>
        <v>4.9999999988358468E-2</v>
      </c>
      <c r="H35" s="99">
        <f>G35+'14'!H35</f>
        <v>4.9999999988358468E-2</v>
      </c>
      <c r="I35" s="95"/>
      <c r="J35" s="175">
        <f>H35/DAY(B2)</f>
        <v>3.3333333325572313E-3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199421.73</v>
      </c>
      <c r="F36" s="145">
        <v>200544.65</v>
      </c>
      <c r="G36" s="112">
        <f t="shared" si="3"/>
        <v>1122.9199999999837</v>
      </c>
      <c r="H36" s="99">
        <f>G36+'14'!H36</f>
        <v>-14985.350000000006</v>
      </c>
      <c r="I36" s="95"/>
      <c r="J36" s="175">
        <f>H36/DAY(B2)</f>
        <v>-999.02333333333377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308772.73</v>
      </c>
      <c r="F37" s="145">
        <v>310339.13</v>
      </c>
      <c r="G37" s="112">
        <f t="shared" si="3"/>
        <v>1566.4000000000233</v>
      </c>
      <c r="H37" s="99">
        <f>G37+'14'!H37</f>
        <v>-12659.869999999995</v>
      </c>
      <c r="I37" s="95"/>
      <c r="J37" s="175">
        <f>H37/DAY(B2)</f>
        <v>-843.99133333333305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418309.47</v>
      </c>
      <c r="F38" s="108">
        <v>420726.11</v>
      </c>
      <c r="G38" s="112">
        <f t="shared" si="3"/>
        <v>2416.640000000014</v>
      </c>
      <c r="H38" s="99">
        <f>G38+'14'!H38</f>
        <v>-36634.890000000014</v>
      </c>
      <c r="I38" s="95"/>
      <c r="J38" s="175">
        <f>H38/DAY(B2)</f>
        <v>-2442.3260000000009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564757.27</v>
      </c>
      <c r="F39" s="145">
        <v>567642.99</v>
      </c>
      <c r="G39" s="112">
        <f t="shared" si="3"/>
        <v>2885.7199999999721</v>
      </c>
      <c r="H39" s="99">
        <f>G39+'14'!H39</f>
        <v>-23941.010000000009</v>
      </c>
      <c r="I39" s="95"/>
      <c r="J39" s="175">
        <f>H39/DAY(B2)</f>
        <v>-1596.0673333333339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92819.8</v>
      </c>
      <c r="F40" s="145">
        <v>93565.39</v>
      </c>
      <c r="G40" s="112">
        <f t="shared" si="3"/>
        <v>745.58999999999651</v>
      </c>
      <c r="H40" s="99">
        <f>G40+'14'!H40</f>
        <v>-13210.61</v>
      </c>
      <c r="I40" s="95"/>
      <c r="J40" s="175">
        <f>H40/DAY(B2)</f>
        <v>-880.70733333333339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165365.25</v>
      </c>
      <c r="F41" s="145">
        <v>168992.15</v>
      </c>
      <c r="G41" s="112">
        <f t="shared" si="3"/>
        <v>3626.8999999999942</v>
      </c>
      <c r="H41" s="99">
        <f>G41+'14'!H41</f>
        <v>-42710.850000000006</v>
      </c>
      <c r="I41" s="95"/>
      <c r="J41" s="175">
        <f>H41/DAY(B2)</f>
        <v>-2847.3900000000003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728113.99</v>
      </c>
      <c r="F42" s="145">
        <v>728113.99</v>
      </c>
      <c r="G42" s="112">
        <f t="shared" si="3"/>
        <v>0</v>
      </c>
      <c r="H42" s="99">
        <f>G42+'14'!H42</f>
        <v>-20250.010000000009</v>
      </c>
      <c r="I42" s="95"/>
      <c r="J42" s="175">
        <f>H42/DAY(B2)</f>
        <v>-1350.0006666666673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12364.219999999972</v>
      </c>
      <c r="H47" s="99">
        <f>G47+'14'!H47</f>
        <v>-164392.5400000001</v>
      </c>
      <c r="I47" s="95"/>
      <c r="J47" s="175">
        <f>H47/DAY(B2)</f>
        <v>-10959.502666666673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418002.83</v>
      </c>
      <c r="F49" s="145">
        <v>421479.87</v>
      </c>
      <c r="G49" s="112">
        <f t="shared" ref="G49:G58" si="4">F49-E49</f>
        <v>3477.039999999979</v>
      </c>
      <c r="H49" s="99">
        <f>G49+'14'!H49</f>
        <v>-63574.130000000005</v>
      </c>
      <c r="I49" s="95"/>
      <c r="J49" s="175">
        <f>H49/DAY(B2)</f>
        <v>-4238.2753333333339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260294.59</v>
      </c>
      <c r="F50" s="145">
        <v>261314.29</v>
      </c>
      <c r="G50" s="112">
        <f t="shared" si="4"/>
        <v>1019.7000000000116</v>
      </c>
      <c r="H50" s="99">
        <f>G50+'14'!H50</f>
        <v>-21435.709999999992</v>
      </c>
      <c r="I50" s="95"/>
      <c r="J50" s="175">
        <f>H50/DAY(B2)</f>
        <v>-1429.0473333333327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76</v>
      </c>
      <c r="G51" s="112">
        <f t="shared" si="4"/>
        <v>0</v>
      </c>
      <c r="H51" s="99">
        <f>G51+'14'!H51</f>
        <v>-8432</v>
      </c>
      <c r="I51" s="95"/>
      <c r="J51" s="175">
        <f>H51/DAY(B2)</f>
        <v>-562.13333333333333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10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-33861</v>
      </c>
      <c r="I53" s="95"/>
      <c r="J53" s="175">
        <f>H53/DAY(B2)</f>
        <v>-2257.4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81955.990000000005</v>
      </c>
      <c r="F54" s="145">
        <v>82304.37</v>
      </c>
      <c r="G54" s="112">
        <f t="shared" si="4"/>
        <v>348.3799999999901</v>
      </c>
      <c r="H54" s="99">
        <f>G54+'14'!H54</f>
        <v>-5638.6300000000047</v>
      </c>
      <c r="I54" s="95"/>
      <c r="J54" s="175">
        <f>H54/DAY(B2)</f>
        <v>-375.90866666666699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318223.15000000002</v>
      </c>
      <c r="F55" s="145">
        <v>321921.73</v>
      </c>
      <c r="G55" s="112">
        <f t="shared" si="4"/>
        <v>3698.5799999999581</v>
      </c>
      <c r="H55" s="99">
        <f>G55+'14'!H55</f>
        <v>-40855.270000000019</v>
      </c>
      <c r="I55" s="95"/>
      <c r="J55" s="175">
        <f>H55/DAY(B2)</f>
        <v>-2723.6846666666679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120880.145</v>
      </c>
      <c r="F56" s="145">
        <v>120880.14</v>
      </c>
      <c r="G56" s="112">
        <f t="shared" si="4"/>
        <v>-5.0000000046566129E-3</v>
      </c>
      <c r="H56" s="99">
        <f>G56+'14'!H56</f>
        <v>-3001.8600000000006</v>
      </c>
      <c r="I56" s="95"/>
      <c r="J56" s="175">
        <f>H56/DAY(B2)</f>
        <v>-200.12400000000005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175387.77</v>
      </c>
      <c r="F57" s="145">
        <v>178392.65</v>
      </c>
      <c r="G57" s="112">
        <f t="shared" si="4"/>
        <v>3004.8800000000047</v>
      </c>
      <c r="H57" s="99">
        <f>G57+'14'!H57</f>
        <v>-47777.350000000006</v>
      </c>
      <c r="I57" s="95"/>
      <c r="J57" s="175">
        <f>H57/DAY(B2)</f>
        <v>-3185.1566666666672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44326.35</v>
      </c>
      <c r="F58" s="145">
        <v>44622.99</v>
      </c>
      <c r="G58" s="112">
        <f t="shared" si="4"/>
        <v>296.63999999999942</v>
      </c>
      <c r="H58" s="99">
        <f>G58+'14'!H58</f>
        <v>-4486.010000000002</v>
      </c>
      <c r="I58" s="95"/>
      <c r="J58" s="175">
        <f>H58/DAY(B2)</f>
        <v>-299.06733333333347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11845.214999999938</v>
      </c>
      <c r="H59" s="99">
        <f>G59+'14'!H59</f>
        <v>-229061.96</v>
      </c>
      <c r="I59" s="95">
        <f>G7-G60</f>
        <v>1990.5650000000896</v>
      </c>
      <c r="J59" s="175">
        <f>H59/DAY(B2)</f>
        <v>-15270.797333333332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24209.43499999991</v>
      </c>
      <c r="H60" s="99">
        <f>G60+'14'!H60</f>
        <v>-393454.50000000012</v>
      </c>
      <c r="I60" s="95">
        <f>G13-G60</f>
        <v>1668.6650000001828</v>
      </c>
      <c r="J60" s="175">
        <f>H60/DAY(B2)</f>
        <v>-26230.300000000007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'14'!F62</f>
        <v>294145</v>
      </c>
      <c r="F62" s="122">
        <v>294302</v>
      </c>
      <c r="G62" s="112">
        <f t="shared" ref="G62:G63" si="5">F62-E62</f>
        <v>157</v>
      </c>
      <c r="H62" s="99">
        <f>G62+'14'!H62</f>
        <v>-1973</v>
      </c>
      <c r="I62" s="118"/>
      <c r="J62" s="175">
        <f>H62/DAY(B2)</f>
        <v>-131.53333333333333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'14'!F63</f>
        <v>236640</v>
      </c>
      <c r="F63" s="122">
        <v>236785</v>
      </c>
      <c r="G63" s="112">
        <f t="shared" si="5"/>
        <v>145</v>
      </c>
      <c r="H63" s="99">
        <f>G63+'14'!H63</f>
        <v>-2348</v>
      </c>
      <c r="I63" s="118"/>
      <c r="J63" s="175">
        <f>H63/DAY(B2)</f>
        <v>-156.53333333333333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/>
      <c r="F64" s="122"/>
      <c r="G64" s="112">
        <f>G62+G63</f>
        <v>302</v>
      </c>
      <c r="H64" s="99">
        <f>G64+'14'!H64</f>
        <v>-4321</v>
      </c>
      <c r="I64" s="118"/>
      <c r="J64" s="175">
        <f>H64/DAY(B2)</f>
        <v>-288.06666666666666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'14'!F65</f>
        <v>452784</v>
      </c>
      <c r="F65" s="122">
        <v>452923</v>
      </c>
      <c r="G65" s="112">
        <f t="shared" ref="G65:G70" si="6">F65-E65</f>
        <v>139</v>
      </c>
      <c r="H65" s="99">
        <f>G65+'14'!H65</f>
        <v>-1787</v>
      </c>
      <c r="I65" s="118"/>
      <c r="J65" s="175">
        <f>H65/DAY(B2)</f>
        <v>-119.13333333333334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111305</v>
      </c>
      <c r="F66" s="122">
        <v>111339</v>
      </c>
      <c r="G66" s="112">
        <f t="shared" si="6"/>
        <v>34</v>
      </c>
      <c r="H66" s="99">
        <f>G66+'14'!H66</f>
        <v>-383</v>
      </c>
      <c r="I66" s="118"/>
      <c r="J66" s="175">
        <f>H66/DAY(B2)</f>
        <v>-25.533333333333335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113680</v>
      </c>
      <c r="F67" s="122">
        <v>113680</v>
      </c>
      <c r="G67" s="112">
        <f t="shared" si="6"/>
        <v>0</v>
      </c>
      <c r="H67" s="99">
        <f>G67+'14'!H67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164096</v>
      </c>
      <c r="F68" s="122">
        <v>164134</v>
      </c>
      <c r="G68" s="112">
        <f t="shared" si="6"/>
        <v>38</v>
      </c>
      <c r="H68" s="99">
        <f>G68+'14'!H68</f>
        <v>-528</v>
      </c>
      <c r="I68" s="118"/>
      <c r="J68" s="175">
        <f>H68/DAY(B2)</f>
        <v>-35.200000000000003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12193</v>
      </c>
      <c r="F69" s="122">
        <v>12198</v>
      </c>
      <c r="G69" s="112">
        <f t="shared" si="6"/>
        <v>5</v>
      </c>
      <c r="H69" s="99">
        <f>G69+'14'!H69</f>
        <v>-77</v>
      </c>
      <c r="I69" s="118"/>
      <c r="J69" s="175">
        <f>H69/DAY(B2)</f>
        <v>-5.1333333333333337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9626</v>
      </c>
      <c r="F70" s="122">
        <v>9640</v>
      </c>
      <c r="G70" s="112">
        <f t="shared" si="6"/>
        <v>14</v>
      </c>
      <c r="H70" s="99">
        <f>G70+'14'!H70</f>
        <v>-187</v>
      </c>
      <c r="I70" s="118"/>
      <c r="J70" s="175">
        <f>H70/DAY(B2)</f>
        <v>-12.466666666666667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230</v>
      </c>
      <c r="H71" s="99">
        <f>G71+'14'!H71</f>
        <v>-2962</v>
      </c>
      <c r="I71" s="154"/>
      <c r="J71" s="175">
        <f>H71/DAY(B2)</f>
        <v>-197.46666666666667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'14'!F74</f>
        <v>952084.08</v>
      </c>
      <c r="F74" s="123">
        <v>952412.5</v>
      </c>
      <c r="G74" s="112">
        <f t="shared" ref="G74:G78" si="7">F74-E74</f>
        <v>328.42000000004191</v>
      </c>
      <c r="H74" s="99">
        <f>G74+'14'!H74</f>
        <v>-5245.359999999986</v>
      </c>
      <c r="I74" s="154"/>
      <c r="J74" s="175">
        <f>H74/DAY(B2)</f>
        <v>-349.69066666666572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'14'!F76</f>
        <v>188376</v>
      </c>
      <c r="F76" s="123">
        <v>188490</v>
      </c>
      <c r="G76" s="112">
        <f t="shared" si="7"/>
        <v>114</v>
      </c>
      <c r="H76" s="99">
        <f>G76+'14'!H76</f>
        <v>-1682</v>
      </c>
      <c r="I76" s="154"/>
      <c r="J76" s="175">
        <f>H76/DAY(B2)</f>
        <v>-112.13333333333334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'14'!F77</f>
        <v>49416</v>
      </c>
      <c r="F77" s="123">
        <v>49467</v>
      </c>
      <c r="G77" s="112">
        <f t="shared" si="7"/>
        <v>51</v>
      </c>
      <c r="H77" s="99">
        <f>G77+'14'!H77</f>
        <v>-846</v>
      </c>
      <c r="I77" s="154"/>
      <c r="J77" s="175">
        <f>H77/DAY(B2)</f>
        <v>-56.4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'14'!F78</f>
        <v>9563</v>
      </c>
      <c r="F78" s="410">
        <v>9564</v>
      </c>
      <c r="G78" s="112">
        <f t="shared" si="7"/>
        <v>1</v>
      </c>
      <c r="H78" s="99">
        <f>G78+'14'!H78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'14'!F79</f>
        <v>0</v>
      </c>
      <c r="F79" s="123"/>
      <c r="G79" s="112">
        <f>G15-SUM(G74:G78)</f>
        <v>505.57999999995809</v>
      </c>
      <c r="H79" s="99">
        <f>G79+'14'!H79</f>
        <v>22913.359999999986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42371.16</v>
      </c>
      <c r="F84" s="164">
        <v>42387.44</v>
      </c>
      <c r="G84" s="112">
        <f t="shared" si="8"/>
        <v>16.279999999998836</v>
      </c>
      <c r="H84" s="99">
        <f>G84+'14'!H84</f>
        <v>-201.55999999999767</v>
      </c>
      <c r="I84" s="571"/>
      <c r="J84" s="175">
        <f>H84/DAY(B2)</f>
        <v>-13.437333333333179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5049.5</v>
      </c>
      <c r="F85" s="164">
        <v>5049.5</v>
      </c>
      <c r="G85" s="112">
        <f t="shared" si="8"/>
        <v>0</v>
      </c>
      <c r="H85" s="99">
        <f>G85+'14'!H85</f>
        <v>-90.6899999999996</v>
      </c>
      <c r="I85" s="571"/>
      <c r="J85" s="175">
        <f>H85/DAY(B2)</f>
        <v>-6.0459999999999736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45072</v>
      </c>
      <c r="F86" s="164">
        <v>45096.05</v>
      </c>
      <c r="G86" s="112">
        <f t="shared" si="8"/>
        <v>24.05000000000291</v>
      </c>
      <c r="H86" s="99">
        <f>G86+'14'!H86</f>
        <v>-282.94999999999709</v>
      </c>
      <c r="I86" s="571"/>
      <c r="J86" s="175">
        <f>H86/DAY(B2)</f>
        <v>-18.863333333333138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35433.01</v>
      </c>
      <c r="F87" s="164">
        <v>35433.01</v>
      </c>
      <c r="G87" s="112">
        <f t="shared" si="8"/>
        <v>0</v>
      </c>
      <c r="H87" s="99">
        <f>G87+'14'!H87</f>
        <v>-24.419999999998254</v>
      </c>
      <c r="I87" s="553">
        <f>G84+G85+G86+G87</f>
        <v>40.330000000001746</v>
      </c>
      <c r="J87" s="175">
        <f>H87/DAY(B2)</f>
        <v>-1.6279999999998835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24293.88</v>
      </c>
      <c r="F88" s="164">
        <v>24295.47</v>
      </c>
      <c r="G88" s="112">
        <f t="shared" si="8"/>
        <v>1.5900000000001455</v>
      </c>
      <c r="H88" s="99">
        <f>G88+'14'!H88</f>
        <v>-7.9899999999979627</v>
      </c>
      <c r="I88" s="553"/>
      <c r="J88" s="175">
        <f>H88/DAY(B2)</f>
        <v>-0.53266666666653084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27411.53</v>
      </c>
      <c r="F89" s="164">
        <v>27419.95</v>
      </c>
      <c r="G89" s="112">
        <f t="shared" si="8"/>
        <v>8.4200000000018917</v>
      </c>
      <c r="H89" s="99">
        <f>G89+'14'!H89</f>
        <v>-146.65999999999985</v>
      </c>
      <c r="I89" s="553">
        <f>G88+G89</f>
        <v>10.010000000002037</v>
      </c>
      <c r="J89" s="175">
        <f>H89/DAY(B2)</f>
        <v>-9.7773333333333241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72425.600000000006</v>
      </c>
      <c r="F90" s="164">
        <v>72436.56</v>
      </c>
      <c r="G90" s="112">
        <f t="shared" si="8"/>
        <v>10.959999999991851</v>
      </c>
      <c r="H90" s="99">
        <f>G90+'14'!H90</f>
        <v>-169.99000000000524</v>
      </c>
      <c r="I90" s="553">
        <f>G90</f>
        <v>10.959999999991851</v>
      </c>
      <c r="J90" s="175">
        <f>H90/DAY(B2)</f>
        <v>-11.332666666667016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4233.63</v>
      </c>
      <c r="F91" s="122">
        <v>4245.6000000000004</v>
      </c>
      <c r="G91" s="112">
        <f t="shared" si="8"/>
        <v>11.970000000000255</v>
      </c>
      <c r="H91" s="99">
        <f>G91+'14'!H91</f>
        <v>-43.9399999999996</v>
      </c>
      <c r="I91" s="613"/>
      <c r="J91" s="175">
        <f>H91/DAY(B2)</f>
        <v>-2.9293333333333065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6577.87</v>
      </c>
      <c r="F92" s="122">
        <v>6577.87</v>
      </c>
      <c r="G92" s="112">
        <f t="shared" si="8"/>
        <v>0</v>
      </c>
      <c r="H92" s="99">
        <f>G92+'14'!H92</f>
        <v>-139.46000000000004</v>
      </c>
      <c r="I92" s="614">
        <f>G91+G92</f>
        <v>11.970000000000255</v>
      </c>
      <c r="J92" s="175">
        <f>H92/DAY(B2)</f>
        <v>-9.2973333333333361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6481.9699999999721</v>
      </c>
      <c r="H94" s="99">
        <f>G94+'14'!H94</f>
        <v>-111351.43000000002</v>
      </c>
      <c r="I94" s="118"/>
      <c r="J94" s="175">
        <f>H94/DAY(B2)</f>
        <v>-7423.4286666666685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0.24740343511450275</v>
      </c>
      <c r="H95" s="99">
        <f>G95+'14'!H95</f>
        <v>-4.2342633191776242</v>
      </c>
      <c r="I95" s="167"/>
      <c r="J95" s="175">
        <f>H95/DAY(B2)</f>
        <v>-0.28228422127850827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7325.4749999999476</v>
      </c>
      <c r="H96" s="99">
        <f>G96+'14'!H96</f>
        <v>-106817.99000000002</v>
      </c>
      <c r="I96" s="118"/>
      <c r="J96" s="175">
        <f>H96/DAY(B2)</f>
        <v>-7121.1993333333348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0.27959828244274609</v>
      </c>
      <c r="H97" s="99">
        <f>G97+'14'!H97</f>
        <v>-4.0656908907155955</v>
      </c>
      <c r="I97" s="167"/>
      <c r="J97" s="175">
        <f>H97/DAY(B2)</f>
        <v>-0.27104605938103971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2885.7199999999721</v>
      </c>
      <c r="H98" s="99">
        <f>G98+'14'!H98</f>
        <v>-57802.010000000009</v>
      </c>
      <c r="I98" s="168"/>
      <c r="J98" s="175">
        <f>H98/DAY(B2)</f>
        <v>-3853.467333333334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0.11014198473282336</v>
      </c>
      <c r="H99" s="99">
        <f>G99+'14'!H99</f>
        <v>-2.1965819378149676</v>
      </c>
      <c r="I99" s="168"/>
      <c r="J99" s="175">
        <f>H99/DAY(B2)</f>
        <v>-0.14643879585433117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2416.640000000014</v>
      </c>
      <c r="H100" s="99">
        <f>G100+'14'!H100</f>
        <v>-36634.890000000014</v>
      </c>
      <c r="I100" s="118"/>
      <c r="J100" s="175">
        <f>H100/DAY(B2)</f>
        <v>-2442.3260000000009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9.2238167938931831E-2</v>
      </c>
      <c r="H101" s="99">
        <f>G101+'14'!H101</f>
        <v>-1.3934453823365223</v>
      </c>
      <c r="I101" s="168"/>
      <c r="J101" s="175">
        <f>H101/DAY(B2)</f>
        <v>-9.2896358822434813E-2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2142.6199999999953</v>
      </c>
      <c r="H102" s="99">
        <f>G102+'14'!H102</f>
        <v>-36421.06</v>
      </c>
      <c r="I102" s="168"/>
      <c r="J102" s="175">
        <f>H102/DAY(B2)</f>
        <v>-2428.0706666666665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8.1779389312976916E-2</v>
      </c>
      <c r="H103" s="99">
        <f>G103+'14'!H103</f>
        <v>-1.3882688534457182</v>
      </c>
      <c r="I103" s="118"/>
      <c r="J103" s="175">
        <f>H103/DAY(B2)</f>
        <v>-9.2551256896381204E-2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1566.4000000000233</v>
      </c>
      <c r="H104" s="99">
        <f>G104+'14'!H104</f>
        <v>-21091.869999999995</v>
      </c>
      <c r="I104" s="118"/>
      <c r="J104" s="175">
        <f>H104/DAY(B2)</f>
        <v>-1406.1246666666664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5.9786259541985624E-2</v>
      </c>
      <c r="H105" s="99">
        <f>G105+'14'!H105</f>
        <v>-0.80264910346396123</v>
      </c>
      <c r="I105" s="187"/>
      <c r="J105" s="188">
        <f>H105/DAY(B2)</f>
        <v>-5.3509940230930746E-2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'14'!F112</f>
        <v>5984.32</v>
      </c>
      <c r="F112" s="237">
        <v>6059.7</v>
      </c>
      <c r="G112" s="112">
        <f t="shared" ref="G112:G123" si="9">F112-E112</f>
        <v>75.380000000000109</v>
      </c>
      <c r="H112" s="99">
        <f>G112+'14'!H112</f>
        <v>-1205.3000000000002</v>
      </c>
      <c r="I112" s="165"/>
      <c r="J112" s="328">
        <f>H112/DAY(B2)</f>
        <v>-80.353333333333339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'14'!F113</f>
        <v>12636.61</v>
      </c>
      <c r="F113" s="237">
        <v>12781.76</v>
      </c>
      <c r="G113" s="112">
        <f t="shared" si="9"/>
        <v>145.14999999999964</v>
      </c>
      <c r="H113" s="99">
        <f>G113+'14'!H113</f>
        <v>-2233.2399999999998</v>
      </c>
      <c r="I113" s="165"/>
      <c r="J113" s="328">
        <f>H113/DAY(B2)</f>
        <v>-148.88266666666667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'14'!F114</f>
        <v>17431.150000000001</v>
      </c>
      <c r="F114" s="237">
        <v>17662.82</v>
      </c>
      <c r="G114" s="112">
        <f t="shared" si="9"/>
        <v>231.66999999999825</v>
      </c>
      <c r="H114" s="99">
        <f>G114+'14'!H114</f>
        <v>-3605.1800000000003</v>
      </c>
      <c r="I114" s="165"/>
      <c r="J114" s="328">
        <f>H114/DAY(B2)</f>
        <v>-240.34533333333334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'14'!F115</f>
        <v>10742.7</v>
      </c>
      <c r="F115" s="237">
        <v>10908.6</v>
      </c>
      <c r="G115" s="112">
        <f t="shared" si="9"/>
        <v>165.89999999999964</v>
      </c>
      <c r="H115" s="99">
        <f>G115+'14'!H115</f>
        <v>-2630.6200000000008</v>
      </c>
      <c r="I115" s="165"/>
      <c r="J115" s="328">
        <f>H115/DAY(B2)</f>
        <v>-175.37466666666671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'14'!F116</f>
        <v>64467.59</v>
      </c>
      <c r="F116" s="417">
        <v>64655.73</v>
      </c>
      <c r="G116" s="112">
        <f t="shared" si="9"/>
        <v>188.14000000000669</v>
      </c>
      <c r="H116" s="99">
        <f>G116+'14'!H116</f>
        <v>-5836.2699999999968</v>
      </c>
      <c r="I116" s="165"/>
      <c r="J116" s="328">
        <f>H116/DAY(B2)</f>
        <v>-389.08466666666646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'14'!F117</f>
        <v>36626.92</v>
      </c>
      <c r="F117" s="237">
        <v>36938.47</v>
      </c>
      <c r="G117" s="112">
        <f t="shared" si="9"/>
        <v>311.55000000000291</v>
      </c>
      <c r="H117" s="99">
        <f>G117+'14'!H117</f>
        <v>-3983.5299999999988</v>
      </c>
      <c r="I117" s="165"/>
      <c r="J117" s="328">
        <f>H117/DAY(B2)</f>
        <v>-265.56866666666662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'14'!F118</f>
        <v>53874.96</v>
      </c>
      <c r="F118" s="237">
        <v>54502.85</v>
      </c>
      <c r="G118" s="112">
        <f t="shared" si="9"/>
        <v>627.88999999999942</v>
      </c>
      <c r="H118" s="99">
        <f>G118+'14'!H118</f>
        <v>-10169.150000000001</v>
      </c>
      <c r="I118" s="165"/>
      <c r="J118" s="328">
        <f>H118/DAY(B2)</f>
        <v>-677.94333333333338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'14'!F119</f>
        <v>33589.9</v>
      </c>
      <c r="F119" s="237">
        <v>33816.199999999997</v>
      </c>
      <c r="G119" s="112">
        <f t="shared" si="9"/>
        <v>226.29999999999563</v>
      </c>
      <c r="H119" s="99">
        <f>G119+'14'!H119</f>
        <v>-3632.8000000000029</v>
      </c>
      <c r="I119" s="165"/>
      <c r="J119" s="328">
        <f>H119/DAY(B2)</f>
        <v>-242.18666666666687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'14'!F120</f>
        <v>39162.21</v>
      </c>
      <c r="F120" s="237">
        <v>39617.800000000003</v>
      </c>
      <c r="G120" s="112">
        <f t="shared" si="9"/>
        <v>455.59000000000378</v>
      </c>
      <c r="H120" s="99">
        <f>G120+'14'!H120</f>
        <v>-6649.1999999999971</v>
      </c>
      <c r="I120" s="165"/>
      <c r="J120" s="328">
        <f>H120/DAY(B2)</f>
        <v>-443.2799999999998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'14'!F121</f>
        <v>45870.13</v>
      </c>
      <c r="F121" s="237">
        <v>46323</v>
      </c>
      <c r="G121" s="112">
        <f t="shared" si="9"/>
        <v>452.87000000000262</v>
      </c>
      <c r="H121" s="99">
        <f>G121+'14'!H121</f>
        <v>-7220</v>
      </c>
      <c r="I121" s="165"/>
      <c r="J121" s="328">
        <f>H121/DAY(B2)</f>
        <v>-481.33333333333331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'14'!F122</f>
        <v>24024.6</v>
      </c>
      <c r="F122" s="237">
        <v>24297.9</v>
      </c>
      <c r="G122" s="112">
        <f t="shared" si="9"/>
        <v>273.30000000000291</v>
      </c>
      <c r="H122" s="99">
        <f>G122+'14'!H122</f>
        <v>-4376.0999999999985</v>
      </c>
      <c r="I122" s="165"/>
      <c r="J122" s="328">
        <f>H122/DAY(B2)</f>
        <v>-291.7399999999999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'14'!F123</f>
        <v>24772.98</v>
      </c>
      <c r="F123" s="237">
        <v>25090.154999999999</v>
      </c>
      <c r="G123" s="112">
        <f t="shared" si="9"/>
        <v>317.17499999999927</v>
      </c>
      <c r="H123" s="99">
        <f>G123+'14'!H123</f>
        <v>-5097.8450000000012</v>
      </c>
      <c r="I123" s="165"/>
      <c r="J123" s="328">
        <f>H123/DAY(B2)</f>
        <v>-339.8563333333334</v>
      </c>
    </row>
    <row r="124" spans="1:18" ht="29.2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3470.9150000000109</v>
      </c>
      <c r="H125" s="156"/>
      <c r="I125" s="327">
        <f>G125-(G39+G53)</f>
        <v>585.19500000003882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'14'!F128</f>
        <v>119110.18</v>
      </c>
      <c r="F128" s="165">
        <v>119625.99</v>
      </c>
      <c r="G128" s="112">
        <f t="shared" ref="G128:G134" si="10">F128-E128</f>
        <v>515.81000000001222</v>
      </c>
      <c r="H128" s="99">
        <f>G128+'14'!H128</f>
        <v>-8018.0099999999948</v>
      </c>
      <c r="I128" s="165"/>
      <c r="J128" s="328">
        <f>H128/DAY(B2)</f>
        <v>-534.53399999999965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69492.850000000006</v>
      </c>
      <c r="F129" s="165">
        <v>69682.59</v>
      </c>
      <c r="G129" s="112">
        <f t="shared" si="10"/>
        <v>189.73999999999069</v>
      </c>
      <c r="H129" s="99">
        <f>G129+'14'!H129</f>
        <v>-2820.4100000000035</v>
      </c>
      <c r="I129" s="165"/>
      <c r="J129" s="328">
        <f>H129/DAY(B2)</f>
        <v>-188.02733333333356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152136.76</v>
      </c>
      <c r="F130" s="165">
        <v>152846.37</v>
      </c>
      <c r="G130" s="112">
        <f t="shared" si="10"/>
        <v>709.60999999998603</v>
      </c>
      <c r="H130" s="99">
        <f>G130+'14'!H130</f>
        <v>-12294.899999999994</v>
      </c>
      <c r="I130" s="165"/>
      <c r="J130" s="328">
        <f>H130/DAY(B2)</f>
        <v>-819.65999999999963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'14'!F131</f>
        <v>45039.11</v>
      </c>
      <c r="F131" s="158">
        <v>45236</v>
      </c>
      <c r="G131" s="112">
        <f t="shared" si="10"/>
        <v>196.88999999999942</v>
      </c>
      <c r="H131" s="99">
        <f>G131+'14'!H131</f>
        <v>-3213</v>
      </c>
      <c r="I131" s="165"/>
      <c r="J131" s="328">
        <f>H131/DAY(B2)</f>
        <v>-214.2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'14'!F132</f>
        <v>122180.28</v>
      </c>
      <c r="F132" s="165">
        <v>122624</v>
      </c>
      <c r="G132" s="112">
        <f t="shared" si="10"/>
        <v>443.72000000000116</v>
      </c>
      <c r="H132" s="99">
        <f>G132+'14'!H132</f>
        <v>-5550</v>
      </c>
      <c r="I132" s="165"/>
      <c r="J132" s="328">
        <f>H132/DAY(B2)</f>
        <v>-370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'14'!F133</f>
        <v>223698.81</v>
      </c>
      <c r="F133" s="165">
        <v>224036.59</v>
      </c>
      <c r="G133" s="112">
        <f t="shared" si="10"/>
        <v>337.77999999999884</v>
      </c>
      <c r="H133" s="99">
        <f>G133+'14'!H133</f>
        <v>571234.43000000017</v>
      </c>
      <c r="I133" s="165"/>
      <c r="J133" s="328">
        <f>H133/DAY(B2)</f>
        <v>38082.295333333343</v>
      </c>
    </row>
    <row r="134" spans="1:15" s="409" customFormat="1" ht="25.5">
      <c r="A134" s="968" t="s">
        <v>340</v>
      </c>
      <c r="B134" s="969"/>
      <c r="C134" s="970"/>
      <c r="D134" s="233" t="s">
        <v>183</v>
      </c>
      <c r="E134" s="406">
        <f>'14'!F134</f>
        <v>45220.77</v>
      </c>
      <c r="F134" s="158">
        <v>45469.37</v>
      </c>
      <c r="G134" s="236">
        <f t="shared" si="10"/>
        <v>248.60000000000582</v>
      </c>
      <c r="H134" s="238">
        <f>G134+'14'!H134</f>
        <v>-3565.6299999999974</v>
      </c>
      <c r="I134" s="158"/>
      <c r="J134" s="408">
        <f>H134/DAY(B2)</f>
        <v>-237.70866666666649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2642.1499999999942</v>
      </c>
      <c r="H135" s="99">
        <f>G135+'10'!H135</f>
        <v>523798.75</v>
      </c>
      <c r="I135" s="327">
        <f>G135-(G35+G49)</f>
        <v>-834.93999999997322</v>
      </c>
      <c r="J135" s="408">
        <f>H135/DAY(B2)</f>
        <v>34919.916666666664</v>
      </c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'14'!F138</f>
        <v>888948</v>
      </c>
      <c r="F138" s="147">
        <v>889024</v>
      </c>
      <c r="G138" s="112">
        <f t="shared" ref="G138:G152" si="11">F138-E138</f>
        <v>76</v>
      </c>
      <c r="H138" s="99">
        <f>G138+'14'!H138</f>
        <v>-2071</v>
      </c>
      <c r="I138" s="118"/>
      <c r="J138" s="328">
        <f>H138/DAY(B2)</f>
        <v>-138.06666666666666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'14'!F139</f>
        <v>906333</v>
      </c>
      <c r="F139" s="148">
        <v>906483</v>
      </c>
      <c r="G139" s="112">
        <f t="shared" si="11"/>
        <v>150</v>
      </c>
      <c r="H139" s="99">
        <f>G139+'14'!H139</f>
        <v>-2412</v>
      </c>
      <c r="I139" s="118"/>
      <c r="J139" s="328">
        <f>H139/DAY(B2)</f>
        <v>-160.80000000000001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'14'!F140</f>
        <v>89803</v>
      </c>
      <c r="F140" s="149">
        <v>89803</v>
      </c>
      <c r="G140" s="112">
        <f t="shared" si="11"/>
        <v>0</v>
      </c>
      <c r="H140" s="99">
        <f>G140+'14'!H140</f>
        <v>339.39999999999418</v>
      </c>
      <c r="I140" s="118"/>
      <c r="J140" s="328">
        <f>H140/DAY(B2)</f>
        <v>22.626666666666278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'14'!F141</f>
        <v>86973.759999999995</v>
      </c>
      <c r="F141" s="149">
        <v>87185</v>
      </c>
      <c r="G141" s="112">
        <f t="shared" si="11"/>
        <v>211.24000000000524</v>
      </c>
      <c r="H141" s="99">
        <f>G141+'14'!H141</f>
        <v>-3267</v>
      </c>
      <c r="I141" s="118"/>
      <c r="J141" s="328">
        <f>H141/DAY(B2)</f>
        <v>-217.8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'14'!F142</f>
        <v>35411.99</v>
      </c>
      <c r="F142" s="148">
        <v>35488.04</v>
      </c>
      <c r="G142" s="112">
        <f t="shared" si="11"/>
        <v>76.05000000000291</v>
      </c>
      <c r="H142" s="99">
        <f>G142+'14'!H142</f>
        <v>-1172.9599999999991</v>
      </c>
      <c r="I142" s="140"/>
      <c r="J142" s="328">
        <f>H142/DAY(B2)</f>
        <v>-78.197333333333276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'14'!F143</f>
        <v>8555.5400000000009</v>
      </c>
      <c r="F143" s="149">
        <v>8585.4500000000007</v>
      </c>
      <c r="G143" s="112">
        <f t="shared" si="11"/>
        <v>29.909999999999854</v>
      </c>
      <c r="H143" s="99">
        <f>G143+'14'!H143</f>
        <v>-465.54999999999927</v>
      </c>
      <c r="I143" s="140"/>
      <c r="J143" s="328">
        <f>H143/DAY(B2)</f>
        <v>-31.036666666666619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'14'!F144</f>
        <v>915807</v>
      </c>
      <c r="F144" s="149">
        <v>916051</v>
      </c>
      <c r="G144" s="112">
        <f t="shared" si="11"/>
        <v>244</v>
      </c>
      <c r="H144" s="99">
        <f>G144+'14'!H144</f>
        <v>-3786</v>
      </c>
      <c r="I144" s="140"/>
      <c r="J144" s="328">
        <f>H144/DAY(B2)</f>
        <v>-252.4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'14'!F145</f>
        <v>5665</v>
      </c>
      <c r="F145" s="148">
        <v>5678.5</v>
      </c>
      <c r="G145" s="112">
        <f t="shared" si="11"/>
        <v>13.5</v>
      </c>
      <c r="H145" s="99">
        <f>G145+'14'!H145</f>
        <v>-128.5</v>
      </c>
      <c r="I145" s="140"/>
      <c r="J145" s="328">
        <f>H145/DAY(B2)</f>
        <v>-8.5666666666666664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'14'!F146</f>
        <v>779924</v>
      </c>
      <c r="F146" s="148">
        <v>779965</v>
      </c>
      <c r="G146" s="112">
        <f t="shared" si="11"/>
        <v>41</v>
      </c>
      <c r="H146" s="99">
        <f>G146+'14'!H146</f>
        <v>-835</v>
      </c>
      <c r="I146" s="140"/>
      <c r="J146" s="328">
        <f>H146/DAY(B2)</f>
        <v>-55.666666666666664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'14'!F147</f>
        <v>692952.8</v>
      </c>
      <c r="F147" s="148">
        <v>693372</v>
      </c>
      <c r="G147" s="112">
        <f t="shared" si="11"/>
        <v>419.19999999995343</v>
      </c>
      <c r="H147" s="99">
        <f>G147+'14'!H147</f>
        <v>-6397</v>
      </c>
      <c r="I147" s="140"/>
      <c r="J147" s="328">
        <f>H147/DAY(B2)</f>
        <v>-426.46666666666664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'14'!F148</f>
        <v>743185.28</v>
      </c>
      <c r="F148" s="150">
        <v>743513.44</v>
      </c>
      <c r="G148" s="112">
        <f t="shared" si="11"/>
        <v>328.15999999991618</v>
      </c>
      <c r="H148" s="99">
        <f>G148+'14'!H148</f>
        <v>-5016.5600000000559</v>
      </c>
      <c r="I148" s="124"/>
      <c r="J148" s="328">
        <f>H148/DAY(B2)</f>
        <v>-334.43733333333705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'14'!F149</f>
        <v>123664.82</v>
      </c>
      <c r="F149" s="416">
        <v>124300.74</v>
      </c>
      <c r="G149" s="112">
        <f t="shared" si="11"/>
        <v>635.91999999999825</v>
      </c>
      <c r="H149" s="99">
        <f>G149+'14'!H149</f>
        <v>-8133.2599999999948</v>
      </c>
      <c r="I149" s="119"/>
      <c r="J149" s="328">
        <f>H149/DAY(B2)</f>
        <v>-542.21733333333293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'14'!F150</f>
        <v>46832.53</v>
      </c>
      <c r="F150" s="233">
        <v>47058</v>
      </c>
      <c r="G150" s="112">
        <f t="shared" si="11"/>
        <v>225.47000000000116</v>
      </c>
      <c r="H150" s="99">
        <f>G150+'14'!H150</f>
        <v>-3557</v>
      </c>
      <c r="I150" s="119"/>
      <c r="J150" s="328">
        <f>H150/DAY(B2)</f>
        <v>-237.13333333333333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'14'!F151</f>
        <v>130371</v>
      </c>
      <c r="F151" s="233">
        <v>130651</v>
      </c>
      <c r="G151" s="112">
        <f t="shared" si="11"/>
        <v>280</v>
      </c>
      <c r="H151" s="99">
        <f>G151+'14'!H151</f>
        <v>-4798</v>
      </c>
      <c r="I151" s="119"/>
      <c r="J151" s="328">
        <f>H151/DAY(B2)</f>
        <v>-319.86666666666667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'14'!F152</f>
        <v>21064.6</v>
      </c>
      <c r="F152" s="233">
        <v>21184.42</v>
      </c>
      <c r="G152" s="112">
        <f t="shared" si="11"/>
        <v>119.81999999999971</v>
      </c>
      <c r="H152" s="99">
        <f>G152+'14'!H152</f>
        <v>-1969.5800000000017</v>
      </c>
      <c r="I152" s="119"/>
      <c r="J152" s="328">
        <f>H152/DAY(B2)</f>
        <v>-131.30533333333344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2850.2699999998767</v>
      </c>
      <c r="H153" s="363"/>
      <c r="I153" s="119">
        <f>G153-(G38+G52)</f>
        <v>433.62999999986278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'14'!F155</f>
        <v>138195</v>
      </c>
      <c r="F155" s="157">
        <v>138770.37</v>
      </c>
      <c r="G155" s="112">
        <f t="shared" ref="G155:G158" si="12">F155-E155</f>
        <v>575.36999999999534</v>
      </c>
      <c r="H155" s="99">
        <f>G155+'14'!H155</f>
        <v>-9378.6300000000047</v>
      </c>
      <c r="I155" s="364"/>
      <c r="J155" s="328">
        <f>H155/DAY(B2)</f>
        <v>-625.2420000000003</v>
      </c>
    </row>
    <row r="156" spans="1:10" ht="25.5">
      <c r="A156" s="872" t="s">
        <v>347</v>
      </c>
      <c r="B156" s="872"/>
      <c r="C156" s="872"/>
      <c r="D156" s="117" t="s">
        <v>130</v>
      </c>
      <c r="E156" s="95">
        <f>'14'!F156</f>
        <v>13200</v>
      </c>
      <c r="F156" s="157">
        <v>13332.43</v>
      </c>
      <c r="G156" s="112">
        <f t="shared" si="12"/>
        <v>132.43000000000029</v>
      </c>
      <c r="H156" s="99">
        <f>G156+'14'!H156</f>
        <v>-1401.5699999999997</v>
      </c>
      <c r="I156" s="165"/>
      <c r="J156" s="328">
        <f>H156/DAY(B2)</f>
        <v>-93.437999999999974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'14'!F157</f>
        <v>25143.07</v>
      </c>
      <c r="F157" s="157">
        <v>25277.200000000001</v>
      </c>
      <c r="G157" s="112">
        <f t="shared" si="12"/>
        <v>134.13000000000102</v>
      </c>
      <c r="H157" s="99">
        <f>G157+'14'!H157</f>
        <v>-2168.7999999999993</v>
      </c>
      <c r="I157" s="165"/>
      <c r="J157" s="328">
        <f>H157/DAY(B2)</f>
        <v>-144.58666666666662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'14'!F158</f>
        <v>225.7</v>
      </c>
      <c r="F158" s="157">
        <v>225.7</v>
      </c>
      <c r="G158" s="112">
        <f t="shared" si="12"/>
        <v>0</v>
      </c>
      <c r="H158" s="99">
        <f>G158+'14'!H158</f>
        <v>137.27999999999997</v>
      </c>
      <c r="I158" s="165"/>
      <c r="J158" s="328">
        <f>H158/DAY(B2)</f>
        <v>9.1519999999999975</v>
      </c>
    </row>
    <row r="159" spans="1:10" ht="25.5">
      <c r="A159" s="958"/>
      <c r="B159" s="959"/>
      <c r="C159" s="960"/>
      <c r="D159" s="117"/>
      <c r="E159" s="95"/>
      <c r="F159" s="165"/>
      <c r="G159" s="362">
        <f>SUM(G155:G158)</f>
        <v>841.92999999999665</v>
      </c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479084.04</v>
      </c>
      <c r="F161" s="235">
        <v>479107.44</v>
      </c>
      <c r="G161" s="238">
        <f t="shared" ref="G161:G165" si="13">F161-E161</f>
        <v>23.400000000023283</v>
      </c>
      <c r="H161" s="99">
        <f>G161+'14'!H161</f>
        <v>-945.55999999999767</v>
      </c>
      <c r="I161" s="236"/>
      <c r="J161" s="239">
        <f>H161/DAY(B2)</f>
        <v>-63.03733333333318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94311</v>
      </c>
      <c r="F162" s="235">
        <v>94359</v>
      </c>
      <c r="G162" s="238">
        <f t="shared" si="13"/>
        <v>48</v>
      </c>
      <c r="H162" s="99">
        <f>G162+'14'!H162</f>
        <v>-569</v>
      </c>
      <c r="I162" s="236"/>
      <c r="J162" s="239">
        <f>H162/DAY(B2)</f>
        <v>-37.93333333333333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4107.1000000000004</v>
      </c>
      <c r="F163" s="235">
        <v>4246</v>
      </c>
      <c r="G163" s="238">
        <f t="shared" si="13"/>
        <v>138.89999999999964</v>
      </c>
      <c r="H163" s="99">
        <f>G163+'14'!H163</f>
        <v>-2255</v>
      </c>
      <c r="I163" s="236"/>
      <c r="J163" s="239">
        <f>H163/DAY(B2)</f>
        <v>-150.33333333333334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6054</v>
      </c>
      <c r="F164" s="235">
        <v>6066.7</v>
      </c>
      <c r="G164" s="238">
        <f t="shared" si="13"/>
        <v>12.699999999999818</v>
      </c>
      <c r="H164" s="99">
        <f>G164+'14'!H164</f>
        <v>-213.30000000000018</v>
      </c>
      <c r="I164" s="236"/>
      <c r="J164" s="239">
        <f>H164/DAY(B2)</f>
        <v>-14.220000000000011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31479.205999999998</v>
      </c>
      <c r="F165" s="235">
        <v>31490</v>
      </c>
      <c r="G165" s="238">
        <f t="shared" si="13"/>
        <v>10.794000000001688</v>
      </c>
      <c r="H165" s="99">
        <f>G165+'14'!H165</f>
        <v>-144</v>
      </c>
      <c r="I165" s="236"/>
      <c r="J165" s="239">
        <f>H165/DAY(B2)</f>
        <v>-9.6</v>
      </c>
    </row>
    <row r="166" spans="1:10" ht="26.25">
      <c r="A166" s="881"/>
      <c r="B166" s="881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1.75" customHeight="1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87" t="s">
        <v>209</v>
      </c>
      <c r="B173" s="888"/>
      <c r="C173" s="333"/>
      <c r="D173" s="228" t="s">
        <v>142</v>
      </c>
      <c r="E173" s="95">
        <f>'14'!F173</f>
        <v>8276</v>
      </c>
      <c r="F173" s="155">
        <v>8276</v>
      </c>
      <c r="G173" s="155">
        <f>F173-E173</f>
        <v>0</v>
      </c>
      <c r="H173" s="99">
        <f>G173+'14'!H173</f>
        <v>41</v>
      </c>
      <c r="I173" s="155"/>
      <c r="J173" s="178">
        <f>H173/DAY(B2)</f>
        <v>2.7333333333333334</v>
      </c>
    </row>
    <row r="174" spans="1:10" ht="21.75" customHeight="1">
      <c r="A174" s="887" t="s">
        <v>75</v>
      </c>
      <c r="B174" s="888"/>
      <c r="C174" s="333"/>
      <c r="D174" s="228" t="s">
        <v>142</v>
      </c>
      <c r="E174" s="95">
        <f>'14'!F174</f>
        <v>40968</v>
      </c>
      <c r="F174" s="157">
        <v>40981</v>
      </c>
      <c r="G174" s="155">
        <f t="shared" ref="G174:G175" si="14">F174-E174</f>
        <v>13</v>
      </c>
      <c r="H174" s="99">
        <f>G174+'14'!H174</f>
        <v>-223</v>
      </c>
      <c r="I174" s="155"/>
      <c r="J174" s="178">
        <f>H174/DAY(B2)</f>
        <v>-14.866666666666667</v>
      </c>
    </row>
    <row r="175" spans="1:10" ht="21.75" customHeight="1">
      <c r="A175" s="887" t="s">
        <v>76</v>
      </c>
      <c r="B175" s="927"/>
      <c r="C175" s="888"/>
      <c r="D175" s="228" t="s">
        <v>142</v>
      </c>
      <c r="E175" s="95">
        <f>'14'!F175</f>
        <v>23827</v>
      </c>
      <c r="F175" s="155">
        <v>23839</v>
      </c>
      <c r="G175" s="155">
        <f t="shared" si="14"/>
        <v>12</v>
      </c>
      <c r="H175" s="99">
        <f>G175+'14'!H175</f>
        <v>-192</v>
      </c>
      <c r="I175" s="155"/>
      <c r="J175" s="178">
        <f>H175/DAY(B2)</f>
        <v>-12.8</v>
      </c>
    </row>
    <row r="176" spans="1:10" ht="21.75" customHeight="1">
      <c r="A176" s="876" t="s">
        <v>196</v>
      </c>
      <c r="B176" s="877"/>
      <c r="C176" s="333"/>
      <c r="D176" s="228" t="s">
        <v>142</v>
      </c>
      <c r="E176" s="95"/>
      <c r="F176" s="155"/>
      <c r="G176" s="155">
        <f>SUM(G173:G175)</f>
        <v>25</v>
      </c>
      <c r="H176" s="99">
        <f>G176+'14'!H176</f>
        <v>-374</v>
      </c>
      <c r="I176" s="155"/>
      <c r="J176" s="178">
        <f>H176/DAY(B2)</f>
        <v>-24.933333333333334</v>
      </c>
    </row>
    <row r="177" spans="1:10" ht="21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87" t="s">
        <v>210</v>
      </c>
      <c r="B178" s="888"/>
      <c r="C178" s="333"/>
      <c r="D178" s="228" t="s">
        <v>142</v>
      </c>
      <c r="E178" s="95">
        <f>'14'!F178</f>
        <v>96095</v>
      </c>
      <c r="F178" s="155">
        <v>96203</v>
      </c>
      <c r="G178" s="155">
        <f>F178-E178</f>
        <v>108</v>
      </c>
      <c r="H178" s="99">
        <f>G178+'14'!H178</f>
        <v>-1510</v>
      </c>
      <c r="I178" s="155"/>
      <c r="J178" s="178">
        <f>H178/DAY(B2)</f>
        <v>-100.66666666666667</v>
      </c>
    </row>
    <row r="179" spans="1:10" ht="24" customHeight="1">
      <c r="A179" s="887" t="s">
        <v>211</v>
      </c>
      <c r="B179" s="888"/>
      <c r="C179" s="333"/>
      <c r="D179" s="228" t="s">
        <v>142</v>
      </c>
      <c r="E179" s="95">
        <f>'14'!F179</f>
        <v>36002</v>
      </c>
      <c r="F179" s="155">
        <v>36002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'14'!F180</f>
        <v>7010</v>
      </c>
      <c r="F180" s="155">
        <v>7015</v>
      </c>
      <c r="G180" s="155">
        <f t="shared" si="15"/>
        <v>5</v>
      </c>
      <c r="H180" s="99">
        <f>G180+'14'!H180</f>
        <v>-154</v>
      </c>
      <c r="I180" s="155"/>
      <c r="J180" s="178">
        <f>H180/DAY(B2)</f>
        <v>-10.266666666666667</v>
      </c>
    </row>
    <row r="181" spans="1:10" ht="25.5">
      <c r="A181" s="889" t="s">
        <v>108</v>
      </c>
      <c r="B181" s="890"/>
      <c r="C181" s="333"/>
      <c r="D181" s="228" t="s">
        <v>142</v>
      </c>
      <c r="E181" s="95"/>
      <c r="F181" s="155"/>
      <c r="G181" s="155">
        <f>SUM(G178:G180)</f>
        <v>113</v>
      </c>
      <c r="H181" s="99">
        <f>G181+'14'!H181</f>
        <v>-1664</v>
      </c>
      <c r="I181" s="155"/>
      <c r="J181" s="178">
        <f>H181/DAY(B2)</f>
        <v>-110.93333333333334</v>
      </c>
    </row>
    <row r="182" spans="1:10" ht="25.5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'14'!F183</f>
        <v>17368</v>
      </c>
      <c r="F183" s="157">
        <v>17374</v>
      </c>
      <c r="G183" s="157">
        <f>F183-E183</f>
        <v>6</v>
      </c>
      <c r="H183" s="99">
        <f>G183+'14'!H183</f>
        <v>-99</v>
      </c>
      <c r="I183" s="155"/>
      <c r="J183" s="178">
        <f>H183/DAY(B2)</f>
        <v>-6.6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'14'!F184</f>
        <v>11779</v>
      </c>
      <c r="F184" s="157">
        <v>11789</v>
      </c>
      <c r="G184" s="157">
        <f t="shared" ref="G184:G185" si="16">F184-E184</f>
        <v>10</v>
      </c>
      <c r="H184" s="99">
        <f>G184+'14'!H184</f>
        <v>-146</v>
      </c>
      <c r="I184" s="155"/>
      <c r="J184" s="178">
        <f>H184/DAY(B2)</f>
        <v>-9.7333333333333325</v>
      </c>
    </row>
    <row r="185" spans="1:10" ht="32.25" customHeight="1">
      <c r="A185" s="887" t="s">
        <v>216</v>
      </c>
      <c r="B185" s="888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G186+'14'!H186</f>
        <v>-245</v>
      </c>
      <c r="I186" s="157"/>
      <c r="J186" s="178">
        <f>H186/DAY(B2)</f>
        <v>-16.333333333333332</v>
      </c>
    </row>
    <row r="187" spans="1:10" ht="25.5">
      <c r="A187" s="878" t="s">
        <v>217</v>
      </c>
      <c r="B187" s="879"/>
      <c r="C187" s="333"/>
      <c r="D187" s="230" t="s">
        <v>142</v>
      </c>
      <c r="E187" s="95"/>
      <c r="F187" s="159"/>
      <c r="G187" s="159">
        <f>G62+G19</f>
        <v>200</v>
      </c>
      <c r="H187" s="99">
        <f>G187+'14'!H187</f>
        <v>-2744</v>
      </c>
      <c r="I187" s="158"/>
      <c r="J187" s="179">
        <f>H187/DAY(B2)</f>
        <v>-182.93333333333334</v>
      </c>
    </row>
    <row r="188" spans="1:10" ht="25.5">
      <c r="A188" s="878" t="s">
        <v>218</v>
      </c>
      <c r="B188" s="879"/>
      <c r="C188" s="333"/>
      <c r="D188" s="230" t="s">
        <v>142</v>
      </c>
      <c r="E188" s="95"/>
      <c r="F188" s="159"/>
      <c r="G188" s="159">
        <f>G65+G66+G67+G69+G70</f>
        <v>192</v>
      </c>
      <c r="H188" s="99">
        <f>G188+'14'!H188</f>
        <v>192</v>
      </c>
      <c r="I188" s="158"/>
      <c r="J188" s="179">
        <f>H188/DAY(B2)</f>
        <v>12.8</v>
      </c>
    </row>
    <row r="189" spans="1:10" ht="27" customHeight="1">
      <c r="A189" s="878" t="s">
        <v>219</v>
      </c>
      <c r="B189" s="879"/>
      <c r="C189" s="333"/>
      <c r="D189" s="230" t="s">
        <v>142</v>
      </c>
      <c r="E189" s="95"/>
      <c r="F189" s="157"/>
      <c r="G189" s="157">
        <f>G181</f>
        <v>113</v>
      </c>
      <c r="H189" s="99">
        <f>G189+'14'!H189</f>
        <v>-1664</v>
      </c>
      <c r="I189" s="158"/>
      <c r="J189" s="179">
        <f>H189/DAY(B2)</f>
        <v>-110.93333333333334</v>
      </c>
    </row>
    <row r="190" spans="1:10" ht="27" customHeight="1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52" zoomScale="55" zoomScaleNormal="90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6" s="57" customFormat="1" ht="23.25">
      <c r="A2" s="191" t="s">
        <v>349</v>
      </c>
      <c r="B2" s="262">
        <v>44758</v>
      </c>
      <c r="C2" s="348" t="s">
        <v>67</v>
      </c>
      <c r="D2" s="218">
        <v>0.6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30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36" t="s">
        <v>128</v>
      </c>
      <c r="B6" s="937"/>
      <c r="C6" s="938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728828</v>
      </c>
      <c r="F7" s="95">
        <f>E7+26200</f>
        <v>755028</v>
      </c>
      <c r="G7" s="112">
        <f>F7-E7</f>
        <v>26200</v>
      </c>
      <c r="H7" s="99">
        <f>G7+'15'!H7</f>
        <v>417898</v>
      </c>
      <c r="I7" s="113">
        <f>'1'!I7</f>
        <v>12000</v>
      </c>
      <c r="J7" s="175">
        <f>H7/DAY(B2)</f>
        <v>26118.625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69844.399999999994</v>
      </c>
      <c r="F8" s="95">
        <f>E8+26500</f>
        <v>96344.4</v>
      </c>
      <c r="G8" s="115">
        <f>F8-E8</f>
        <v>26500</v>
      </c>
      <c r="H8" s="99">
        <f>G8+'15'!H8</f>
        <v>423266</v>
      </c>
      <c r="I8" s="116"/>
      <c r="J8" s="175">
        <f>H8/DAY(B2)</f>
        <v>26454.125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3118476.9</v>
      </c>
      <c r="F9" s="469">
        <v>3133290.3</v>
      </c>
      <c r="G9" s="112">
        <f>F9-E9</f>
        <v>14813.399999999907</v>
      </c>
      <c r="H9" s="99">
        <f>G9+'15'!H9</f>
        <v>-145775.70000000019</v>
      </c>
      <c r="I9" s="124">
        <f>I7-J7</f>
        <v>-14118.625</v>
      </c>
      <c r="J9" s="175">
        <f>H9/DAY(B2)</f>
        <v>-9110.9812500000116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1426403.1</v>
      </c>
      <c r="F10" s="353">
        <v>1437959.4</v>
      </c>
      <c r="G10" s="112">
        <f t="shared" ref="G10:G12" si="0">F10-E10</f>
        <v>11556.299999999814</v>
      </c>
      <c r="H10" s="99">
        <f>G10+'15'!H10</f>
        <v>-229198.60000000009</v>
      </c>
      <c r="I10" s="282"/>
      <c r="J10" s="175">
        <f>H10/DAY(B2)</f>
        <v>-14324.912500000006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26369.699999999721</v>
      </c>
      <c r="H13" s="99">
        <f>G13+'15'!H13</f>
        <v>-373639.70000000042</v>
      </c>
      <c r="I13" s="120">
        <f>G7-G13</f>
        <v>-169.6999999997206</v>
      </c>
      <c r="J13" s="175">
        <f>H13/DAY(B2)</f>
        <v>-23352.481250000026</v>
      </c>
      <c r="K13" s="79"/>
      <c r="L13" s="66"/>
      <c r="N13" s="87"/>
      <c r="O13" s="71"/>
    </row>
    <row r="14" spans="1:16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2116008</v>
      </c>
      <c r="F15" s="469">
        <f>E15+1000</f>
        <v>2117008</v>
      </c>
      <c r="G15" s="112">
        <f>(F15-E15)</f>
        <v>1000</v>
      </c>
      <c r="H15" s="99">
        <f>G15+'15'!H15</f>
        <v>16140</v>
      </c>
      <c r="I15" s="113">
        <f>'1'!I15</f>
        <v>800</v>
      </c>
      <c r="J15" s="175">
        <f>H15/DAY(B2)</f>
        <v>1008.75</v>
      </c>
      <c r="K15" s="79"/>
      <c r="L15" s="66"/>
      <c r="N15" s="87">
        <v>735868</v>
      </c>
      <c r="O15" s="71">
        <v>719798</v>
      </c>
      <c r="P15" s="426">
        <f>O15-N15</f>
        <v>-16070</v>
      </c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-208.75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'15'!F18</f>
        <v>20</v>
      </c>
      <c r="F18" s="164">
        <v>22</v>
      </c>
      <c r="G18" s="119">
        <f>F18*10</f>
        <v>220</v>
      </c>
      <c r="H18" s="99">
        <f>G18+'15'!H18</f>
        <v>2780</v>
      </c>
      <c r="I18" s="113">
        <f>'1'!I18</f>
        <v>65</v>
      </c>
      <c r="J18" s="175">
        <f>H18/DAY(B2)</f>
        <v>173.75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'15'!F19</f>
        <v>161558</v>
      </c>
      <c r="F19" s="122">
        <v>161610</v>
      </c>
      <c r="G19" s="112">
        <f t="shared" ref="G19" si="1">F19-E19</f>
        <v>52</v>
      </c>
      <c r="H19" s="99">
        <f>G19+'15'!H19</f>
        <v>-719</v>
      </c>
      <c r="I19" s="335"/>
      <c r="J19" s="175">
        <f>H19/DAY(B2)</f>
        <v>-44.9375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G20+'15'!H20</f>
        <v>2061</v>
      </c>
      <c r="I20" s="336">
        <f>I18-J20</f>
        <v>-63.8125</v>
      </c>
      <c r="J20" s="175">
        <f>H20/DAY(B2)</f>
        <v>128.8125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G27+'15'!H27</f>
        <v>3809394</v>
      </c>
      <c r="I27" s="138"/>
      <c r="J27" s="175">
        <f>H27/DAY(B2)</f>
        <v>238087.125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G28+'15'!H28</f>
        <v>1129800</v>
      </c>
      <c r="I28" s="140"/>
      <c r="J28" s="175">
        <f>H28/DAY(B2)</f>
        <v>70612.5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-108569</v>
      </c>
      <c r="I30" s="140"/>
      <c r="J30" s="175">
        <f>H30/DAY(B2)</f>
        <v>-6785.5625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G31+'15'!H31</f>
        <v>222400</v>
      </c>
      <c r="I31" s="140"/>
      <c r="J31" s="175">
        <f>H31/DAY(B2)</f>
        <v>13900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333952</v>
      </c>
      <c r="H32" s="99">
        <f>G32+'15'!H32</f>
        <v>5053025</v>
      </c>
      <c r="I32" s="144"/>
      <c r="J32" s="175">
        <f>H32/DAY(B2)</f>
        <v>315814.0625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238713.05</v>
      </c>
      <c r="F35" s="117">
        <v>238713.05</v>
      </c>
      <c r="G35" s="112">
        <f t="shared" ref="G35:G46" si="3">F35-E35</f>
        <v>0</v>
      </c>
      <c r="H35" s="99">
        <f>G35+'15'!H35</f>
        <v>4.9999999988358468E-2</v>
      </c>
      <c r="I35" s="95"/>
      <c r="J35" s="175">
        <f>H35/DAY(B2)</f>
        <v>3.1249999992724042E-3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200544.65</v>
      </c>
      <c r="F36" s="117">
        <v>201446.21</v>
      </c>
      <c r="G36" s="112">
        <f t="shared" si="3"/>
        <v>901.55999999999767</v>
      </c>
      <c r="H36" s="99">
        <f>G36+'15'!H36</f>
        <v>-14083.790000000008</v>
      </c>
      <c r="I36" s="95"/>
      <c r="J36" s="175">
        <f>H36/DAY(B2)</f>
        <v>-880.23687500000051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310339.13</v>
      </c>
      <c r="F37" s="117">
        <v>311940.71000000002</v>
      </c>
      <c r="G37" s="112">
        <f t="shared" si="3"/>
        <v>1601.5800000000163</v>
      </c>
      <c r="H37" s="99">
        <f>G37+'15'!H37</f>
        <v>-11058.289999999979</v>
      </c>
      <c r="I37" s="95"/>
      <c r="J37" s="175">
        <f>H37/DAY(B2)</f>
        <v>-691.14312499999869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420726.11</v>
      </c>
      <c r="F38" s="95">
        <v>423163.59</v>
      </c>
      <c r="G38" s="112">
        <f t="shared" si="3"/>
        <v>2437.4800000000396</v>
      </c>
      <c r="H38" s="99">
        <f>G38+'15'!H38</f>
        <v>-34197.409999999974</v>
      </c>
      <c r="I38" s="95"/>
      <c r="J38" s="175">
        <f>H38/DAY(B2)</f>
        <v>-2137.3381249999984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567642.99</v>
      </c>
      <c r="F39" s="117">
        <v>570603.67000000004</v>
      </c>
      <c r="G39" s="112">
        <f t="shared" si="3"/>
        <v>2960.6800000000512</v>
      </c>
      <c r="H39" s="99">
        <f>G39+'15'!H39</f>
        <v>-20980.329999999958</v>
      </c>
      <c r="I39" s="95"/>
      <c r="J39" s="175">
        <f>H39/DAY(B2)</f>
        <v>-1311.2706249999974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93565.39</v>
      </c>
      <c r="F40" s="117">
        <v>94390</v>
      </c>
      <c r="G40" s="112">
        <f t="shared" si="3"/>
        <v>824.61000000000058</v>
      </c>
      <c r="H40" s="99">
        <f>G40+'15'!H40</f>
        <v>-12386</v>
      </c>
      <c r="I40" s="95"/>
      <c r="J40" s="175">
        <f>H40/DAY(B2)</f>
        <v>-774.125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168992.15</v>
      </c>
      <c r="F41" s="117">
        <v>174657.19</v>
      </c>
      <c r="G41" s="112">
        <f t="shared" si="3"/>
        <v>5665.0400000000081</v>
      </c>
      <c r="H41" s="99">
        <f>G41+'15'!H41</f>
        <v>-37045.81</v>
      </c>
      <c r="I41" s="95"/>
      <c r="J41" s="175">
        <f>H41/DAY(B2)</f>
        <v>-2315.3631249999999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728113.99</v>
      </c>
      <c r="F42" s="117">
        <v>728113.99</v>
      </c>
      <c r="G42" s="112">
        <f t="shared" si="3"/>
        <v>0</v>
      </c>
      <c r="H42" s="99">
        <f>G42+'15'!H42</f>
        <v>-20250.010000000009</v>
      </c>
      <c r="I42" s="95"/>
      <c r="J42" s="175">
        <f>H42/DAY(B2)</f>
        <v>-1265.6256250000006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407028</v>
      </c>
      <c r="G43" s="112">
        <f t="shared" si="3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14390.950000000114</v>
      </c>
      <c r="H47" s="99">
        <f>G47+'15'!H47</f>
        <v>-150001.58999999997</v>
      </c>
      <c r="I47" s="95"/>
      <c r="J47" s="175">
        <f>H47/DAY(B2)</f>
        <v>-9375.099374999998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421479.87</v>
      </c>
      <c r="F49" s="117">
        <v>425076.87</v>
      </c>
      <c r="G49" s="112">
        <f t="shared" ref="G49:G58" si="4">F49-E49</f>
        <v>3597</v>
      </c>
      <c r="H49" s="99">
        <f>G49+'15'!H49</f>
        <v>-59977.130000000005</v>
      </c>
      <c r="I49" s="95"/>
      <c r="J49" s="175">
        <f>H49/DAY(B2)</f>
        <v>-3748.5706250000003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261314.29</v>
      </c>
      <c r="F50" s="117">
        <v>262672</v>
      </c>
      <c r="G50" s="112">
        <f t="shared" si="4"/>
        <v>1357.7099999999919</v>
      </c>
      <c r="H50" s="99">
        <f>G50+'15'!H50</f>
        <v>-20078</v>
      </c>
      <c r="I50" s="95"/>
      <c r="J50" s="175">
        <f>H50/DAY(B2)</f>
        <v>-1254.875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76</v>
      </c>
      <c r="F51" s="117">
        <v>76</v>
      </c>
      <c r="G51" s="112">
        <f t="shared" si="4"/>
        <v>0</v>
      </c>
      <c r="H51" s="99">
        <f>G51+'15'!H51</f>
        <v>-8432</v>
      </c>
      <c r="I51" s="95"/>
      <c r="J51" s="175">
        <f>H51/DAY(B2)</f>
        <v>-527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10</v>
      </c>
      <c r="F52" s="117">
        <v>10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-33861</v>
      </c>
      <c r="I53" s="95"/>
      <c r="J53" s="175">
        <f>H53/DAY(B2)</f>
        <v>-2116.3125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82304.37</v>
      </c>
      <c r="F54" s="410">
        <v>82663.55</v>
      </c>
      <c r="G54" s="236">
        <f t="shared" si="4"/>
        <v>359.18000000000757</v>
      </c>
      <c r="H54" s="99">
        <f>G54+'15'!H54</f>
        <v>-5279.4499999999971</v>
      </c>
      <c r="I54" s="95"/>
      <c r="J54" s="175">
        <f>H54/DAY(B2)</f>
        <v>-329.96562499999982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321921.73</v>
      </c>
      <c r="F55" s="410">
        <v>324250.17</v>
      </c>
      <c r="G55" s="236">
        <f t="shared" si="4"/>
        <v>2328.4400000000023</v>
      </c>
      <c r="H55" s="99">
        <f>G55+'15'!H55</f>
        <v>-38526.830000000016</v>
      </c>
      <c r="I55" s="95"/>
      <c r="J55" s="175">
        <f>H55/DAY(B2)</f>
        <v>-2407.926875000001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120880.14</v>
      </c>
      <c r="F56" s="117">
        <v>120880.14</v>
      </c>
      <c r="G56" s="112">
        <f t="shared" si="4"/>
        <v>0</v>
      </c>
      <c r="H56" s="99">
        <f>G56+'15'!H56</f>
        <v>-3001.8600000000006</v>
      </c>
      <c r="I56" s="95"/>
      <c r="J56" s="175">
        <f>H56/DAY(B2)</f>
        <v>-187.61625000000004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178392.65</v>
      </c>
      <c r="F57" s="117">
        <v>181476.31</v>
      </c>
      <c r="G57" s="112">
        <f t="shared" si="4"/>
        <v>3083.6600000000035</v>
      </c>
      <c r="H57" s="99">
        <f>G57+'15'!H57</f>
        <v>-44693.69</v>
      </c>
      <c r="I57" s="95"/>
      <c r="J57" s="175">
        <f>H57/DAY(B2)</f>
        <v>-2793.3556250000001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44622.99</v>
      </c>
      <c r="F58" s="117">
        <v>44905.79</v>
      </c>
      <c r="G58" s="112">
        <f t="shared" si="4"/>
        <v>282.80000000000291</v>
      </c>
      <c r="H58" s="99">
        <f>G58+'15'!H58</f>
        <v>-4203.2099999999991</v>
      </c>
      <c r="I58" s="95"/>
      <c r="J58" s="175">
        <f>H58/DAY(B2)</f>
        <v>-262.70062499999995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11008.790000000008</v>
      </c>
      <c r="H59" s="99">
        <f>G59+'15'!H59</f>
        <v>-218053.16999999998</v>
      </c>
      <c r="I59" s="95">
        <f>G7-G60</f>
        <v>800.25999999987835</v>
      </c>
      <c r="J59" s="175">
        <f>H59/DAY(B2)</f>
        <v>-13628.323124999999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25399.740000000122</v>
      </c>
      <c r="H60" s="99">
        <f>G60+'15'!H60</f>
        <v>-368054.76</v>
      </c>
      <c r="I60" s="95">
        <f>G13-G60</f>
        <v>969.95999999959895</v>
      </c>
      <c r="J60" s="175">
        <f>H60/DAY(B2)</f>
        <v>-23003.422500000001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'15'!F62</f>
        <v>294302</v>
      </c>
      <c r="F62" s="122">
        <v>294439</v>
      </c>
      <c r="G62" s="112">
        <f t="shared" ref="G62:G63" si="5">F62-E62</f>
        <v>137</v>
      </c>
      <c r="H62" s="99">
        <f>G62+'15'!H62</f>
        <v>-1836</v>
      </c>
      <c r="I62" s="118"/>
      <c r="J62" s="175">
        <f>H62/DAY(B2)</f>
        <v>-114.75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'15'!F63</f>
        <v>236785</v>
      </c>
      <c r="F63" s="122">
        <v>236905</v>
      </c>
      <c r="G63" s="112">
        <f t="shared" si="5"/>
        <v>120</v>
      </c>
      <c r="H63" s="99">
        <f>G63+'15'!H63</f>
        <v>-2228</v>
      </c>
      <c r="I63" s="118"/>
      <c r="J63" s="175">
        <f>H63/DAY(B2)</f>
        <v>-139.25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v>0</v>
      </c>
      <c r="F64" s="122"/>
      <c r="G64" s="112">
        <f>G62+G63</f>
        <v>257</v>
      </c>
      <c r="H64" s="99">
        <f>G64+'15'!H64</f>
        <v>-4064</v>
      </c>
      <c r="I64" s="118"/>
      <c r="J64" s="175">
        <f>H64/DAY(B2)</f>
        <v>-254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'15'!F65</f>
        <v>452923</v>
      </c>
      <c r="F65" s="150">
        <v>453032</v>
      </c>
      <c r="G65" s="112">
        <f t="shared" ref="G65:G70" si="6">F65-E65</f>
        <v>109</v>
      </c>
      <c r="H65" s="99">
        <f>G65+'15'!H65</f>
        <v>-1678</v>
      </c>
      <c r="I65" s="118"/>
      <c r="J65" s="175">
        <f>H65/DAY(B2)</f>
        <v>-104.875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111339</v>
      </c>
      <c r="F66" s="122">
        <v>111365</v>
      </c>
      <c r="G66" s="112">
        <f t="shared" si="6"/>
        <v>26</v>
      </c>
      <c r="H66" s="99">
        <f>G66+'15'!H66</f>
        <v>-357</v>
      </c>
      <c r="I66" s="118"/>
      <c r="J66" s="175">
        <f>H66/DAY(B2)</f>
        <v>-22.3125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113680</v>
      </c>
      <c r="F67" s="122">
        <v>113680</v>
      </c>
      <c r="G67" s="112">
        <f t="shared" si="6"/>
        <v>0</v>
      </c>
      <c r="H67" s="99">
        <f>G67+'15'!H67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164134</v>
      </c>
      <c r="F68" s="122">
        <v>164172</v>
      </c>
      <c r="G68" s="112">
        <f t="shared" si="6"/>
        <v>38</v>
      </c>
      <c r="H68" s="99">
        <f>G68+'15'!H68</f>
        <v>-490</v>
      </c>
      <c r="I68" s="118"/>
      <c r="J68" s="175">
        <f>H68/DAY(B2)</f>
        <v>-30.625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12198</v>
      </c>
      <c r="F69" s="122">
        <v>12204</v>
      </c>
      <c r="G69" s="112">
        <f t="shared" si="6"/>
        <v>6</v>
      </c>
      <c r="H69" s="99">
        <f>G69+'15'!H69</f>
        <v>-71</v>
      </c>
      <c r="I69" s="118"/>
      <c r="J69" s="175">
        <f>H69/DAY(B2)</f>
        <v>-4.4375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9640</v>
      </c>
      <c r="F70" s="122">
        <v>9653</v>
      </c>
      <c r="G70" s="112">
        <f t="shared" si="6"/>
        <v>13</v>
      </c>
      <c r="H70" s="99">
        <f>G70+'15'!H70</f>
        <v>-174</v>
      </c>
      <c r="I70" s="118"/>
      <c r="J70" s="175">
        <f>H70/DAY(B2)</f>
        <v>-10.875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192</v>
      </c>
      <c r="H71" s="99">
        <f>G71+'15'!H71</f>
        <v>-2770</v>
      </c>
      <c r="I71" s="154"/>
      <c r="J71" s="175">
        <f>H71/DAY(B2)</f>
        <v>-173.125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'15'!F74</f>
        <v>952412.5</v>
      </c>
      <c r="F74" s="117">
        <v>952721.65</v>
      </c>
      <c r="G74" s="112">
        <f t="shared" ref="G74:G78" si="7">F74-E74</f>
        <v>309.15000000002328</v>
      </c>
      <c r="H74" s="99">
        <f>G74+'15'!H74</f>
        <v>-4936.2099999999627</v>
      </c>
      <c r="I74" s="154"/>
      <c r="J74" s="175">
        <f>H74/DAY(B2)</f>
        <v>-308.51312499999767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'15'!F76</f>
        <v>188490</v>
      </c>
      <c r="F76" s="123">
        <v>188594</v>
      </c>
      <c r="G76" s="112">
        <f t="shared" si="7"/>
        <v>104</v>
      </c>
      <c r="H76" s="99">
        <f>G76+'15'!H76</f>
        <v>-1578</v>
      </c>
      <c r="I76" s="154"/>
      <c r="J76" s="175">
        <f>H76/DAY(B2)</f>
        <v>-98.625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'15'!F77</f>
        <v>49467</v>
      </c>
      <c r="F77" s="123">
        <v>49524</v>
      </c>
      <c r="G77" s="112">
        <f t="shared" si="7"/>
        <v>57</v>
      </c>
      <c r="H77" s="99">
        <f>G77+'15'!H77</f>
        <v>-789</v>
      </c>
      <c r="I77" s="154"/>
      <c r="J77" s="175">
        <f>H77/DAY(B2)</f>
        <v>-49.3125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'15'!F79</f>
        <v>0</v>
      </c>
      <c r="F79" s="123"/>
      <c r="G79" s="112">
        <f>G15-SUM(G74:G78)</f>
        <v>529.84999999997672</v>
      </c>
      <c r="H79" s="99">
        <f>G79+'15'!H79</f>
        <v>23443.209999999963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>
        <f>G80+'15'!H80</f>
        <v>1000</v>
      </c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42387.44</v>
      </c>
      <c r="F84" s="164">
        <v>42411.5</v>
      </c>
      <c r="G84" s="112">
        <f t="shared" si="8"/>
        <v>24.059999999997672</v>
      </c>
      <c r="H84" s="99">
        <f>G84+'15'!H84</f>
        <v>-177.5</v>
      </c>
      <c r="I84" s="571"/>
      <c r="J84" s="175">
        <f>H84/DAY(B2)</f>
        <v>-11.09375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5049.5</v>
      </c>
      <c r="F85" s="164">
        <v>5049.5</v>
      </c>
      <c r="G85" s="112">
        <f t="shared" si="8"/>
        <v>0</v>
      </c>
      <c r="H85" s="99">
        <f>G85+'15'!H85</f>
        <v>-90.6899999999996</v>
      </c>
      <c r="I85" s="571"/>
      <c r="J85" s="175">
        <f>H85/DAY(B2)</f>
        <v>-5.668124999999975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45096.05</v>
      </c>
      <c r="F86" s="164">
        <v>45111.56</v>
      </c>
      <c r="G86" s="112">
        <f t="shared" si="8"/>
        <v>15.509999999994761</v>
      </c>
      <c r="H86" s="99">
        <f>G86+'15'!H86</f>
        <v>-267.44000000000233</v>
      </c>
      <c r="I86" s="571"/>
      <c r="J86" s="175">
        <f>H86/DAY(B2)</f>
        <v>-16.715000000000146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35433.01</v>
      </c>
      <c r="F87" s="164">
        <v>35433.01</v>
      </c>
      <c r="G87" s="112">
        <f t="shared" si="8"/>
        <v>0</v>
      </c>
      <c r="H87" s="99">
        <f>G87+'15'!H87</f>
        <v>-24.419999999998254</v>
      </c>
      <c r="I87" s="571">
        <f>G84+G85+G86+G87</f>
        <v>39.569999999992433</v>
      </c>
      <c r="J87" s="175">
        <f>H87/DAY(B2)</f>
        <v>-1.5262499999998909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24295.47</v>
      </c>
      <c r="F88" s="164">
        <v>24297.42</v>
      </c>
      <c r="G88" s="112">
        <f t="shared" si="8"/>
        <v>1.9499999999970896</v>
      </c>
      <c r="H88" s="99">
        <f>G88+'15'!H88</f>
        <v>-6.0400000000008731</v>
      </c>
      <c r="I88" s="571"/>
      <c r="J88" s="175">
        <f>H88/DAY(B2)</f>
        <v>-0.37750000000005457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27419.95</v>
      </c>
      <c r="F89" s="164">
        <v>27428.57</v>
      </c>
      <c r="G89" s="112">
        <f t="shared" si="8"/>
        <v>8.6199999999989814</v>
      </c>
      <c r="H89" s="99">
        <f>G89+'15'!H89</f>
        <v>-138.04000000000087</v>
      </c>
      <c r="I89" s="571">
        <f>G88+G89</f>
        <v>10.569999999996071</v>
      </c>
      <c r="J89" s="175">
        <f>H89/DAY(B2)</f>
        <v>-8.6275000000000546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72436.56</v>
      </c>
      <c r="F90" s="164">
        <v>72447.210000000006</v>
      </c>
      <c r="G90" s="112">
        <f t="shared" si="8"/>
        <v>10.650000000008731</v>
      </c>
      <c r="H90" s="99">
        <f>G90+'15'!H90</f>
        <v>-159.33999999999651</v>
      </c>
      <c r="I90" s="571">
        <f>G90</f>
        <v>10.650000000008731</v>
      </c>
      <c r="J90" s="175">
        <f>H90/DAY(B2)</f>
        <v>-9.9587499999997817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4245.6000000000004</v>
      </c>
      <c r="F91" s="122">
        <v>4256.92</v>
      </c>
      <c r="G91" s="112">
        <f t="shared" si="8"/>
        <v>11.319999999999709</v>
      </c>
      <c r="H91" s="99">
        <f>G91+'15'!H91</f>
        <v>-32.619999999999891</v>
      </c>
      <c r="I91" s="590"/>
      <c r="J91" s="175">
        <f>H91/DAY(B2)</f>
        <v>-2.0387499999999932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6577.87</v>
      </c>
      <c r="F92" s="122">
        <v>6577.87</v>
      </c>
      <c r="G92" s="112">
        <f t="shared" si="8"/>
        <v>0</v>
      </c>
      <c r="H92" s="99">
        <f>G92+'15'!H92</f>
        <v>-139.46000000000004</v>
      </c>
      <c r="I92" s="596">
        <f>G91+G92</f>
        <v>11.319999999999709</v>
      </c>
      <c r="J92" s="175">
        <f>H92/DAY(B2)</f>
        <v>-8.7162500000000023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6680.6600000000035</v>
      </c>
      <c r="H94" s="99">
        <f>G94+'15'!H94</f>
        <v>-104670.77000000002</v>
      </c>
      <c r="I94" s="118"/>
      <c r="J94" s="175">
        <f>H94/DAY(B2)</f>
        <v>-6541.9231250000012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51"/>
      <c r="G95" s="166">
        <f>G94/G7</f>
        <v>0.25498702290076347</v>
      </c>
      <c r="H95" s="99">
        <f>G95+'15'!H95</f>
        <v>-3.9792762962768609</v>
      </c>
      <c r="I95" s="167"/>
      <c r="J95" s="175">
        <f>H95/DAY(B2)</f>
        <v>-0.2487047685173038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7993.4800000000105</v>
      </c>
      <c r="H96" s="99">
        <f>G96+'15'!H96</f>
        <v>-98824.510000000009</v>
      </c>
      <c r="I96" s="118"/>
      <c r="J96" s="175">
        <f>H96/DAY(B2)</f>
        <v>-6176.5318750000006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0.30509465648855</v>
      </c>
      <c r="H97" s="99">
        <f>G97+'15'!H97</f>
        <v>-3.7605962342270454</v>
      </c>
      <c r="I97" s="167"/>
      <c r="J97" s="175">
        <f>H97/DAY(B2)</f>
        <v>-0.23503726463919034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2960.6800000000512</v>
      </c>
      <c r="H98" s="99">
        <f>G98+'15'!H98</f>
        <v>-54841.329999999958</v>
      </c>
      <c r="I98" s="168"/>
      <c r="J98" s="175">
        <f>H98/DAY(B2)</f>
        <v>-3427.5831249999974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0.11300305343511646</v>
      </c>
      <c r="H99" s="99">
        <f>G99+'15'!H99</f>
        <v>-2.0835788843798513</v>
      </c>
      <c r="I99" s="168"/>
      <c r="J99" s="175">
        <f>H99/DAY(B2)</f>
        <v>-0.13022368027374071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2437.4800000000396</v>
      </c>
      <c r="H100" s="99">
        <f>G100+'15'!H100</f>
        <v>-34197.409999999974</v>
      </c>
      <c r="I100" s="118"/>
      <c r="J100" s="175">
        <f>H100/DAY(B2)</f>
        <v>-2137.3381249999984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9.3033587786261057E-2</v>
      </c>
      <c r="H101" s="99">
        <f>G101+'15'!H101</f>
        <v>-1.3004117945502611</v>
      </c>
      <c r="I101" s="168"/>
      <c r="J101" s="175">
        <f>H101/DAY(B2)</f>
        <v>-8.127573715939132E-2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2259.2699999999895</v>
      </c>
      <c r="H102" s="99">
        <f>G102+'15'!H102</f>
        <v>-34161.790000000008</v>
      </c>
      <c r="I102" s="168"/>
      <c r="J102" s="175">
        <f>H102/DAY(B2)</f>
        <v>-2135.1118750000005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8.6231679389312574E-2</v>
      </c>
      <c r="H103" s="99">
        <f>G103+'15'!H103</f>
        <v>-1.3020371740564056</v>
      </c>
      <c r="I103" s="118"/>
      <c r="J103" s="175">
        <f>H103/DAY(B2)</f>
        <v>-8.1377323378525351E-2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1601.5800000000163</v>
      </c>
      <c r="H104" s="99">
        <f>G104+'15'!H104</f>
        <v>-19490.289999999979</v>
      </c>
      <c r="I104" s="118"/>
      <c r="J104" s="175">
        <f>H104/DAY(B2)</f>
        <v>-1218.1431249999987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6.112900763358841E-2</v>
      </c>
      <c r="H105" s="99">
        <f>G105+'15'!H105</f>
        <v>-0.74152009583037282</v>
      </c>
      <c r="I105" s="187"/>
      <c r="J105" s="188">
        <f>H105/DAY(B2)</f>
        <v>-4.6345005989398301E-2</v>
      </c>
      <c r="O105" s="71"/>
    </row>
    <row r="106" spans="1:15" ht="25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5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'15'!F112</f>
        <v>6059.7</v>
      </c>
      <c r="F112" s="237">
        <v>6137</v>
      </c>
      <c r="G112" s="112">
        <f t="shared" ref="G112:G123" si="9">F112-E112</f>
        <v>77.300000000000182</v>
      </c>
      <c r="H112" s="99">
        <f>G112+'15'!H112</f>
        <v>-1128</v>
      </c>
      <c r="I112" s="165"/>
      <c r="J112" s="328">
        <f>H112/DAY(B2)</f>
        <v>-70.5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'15'!F113</f>
        <v>12781.76</v>
      </c>
      <c r="F113" s="237">
        <v>12929.86</v>
      </c>
      <c r="G113" s="112">
        <f t="shared" si="9"/>
        <v>148.10000000000036</v>
      </c>
      <c r="H113" s="99">
        <f>G113+'15'!H113</f>
        <v>-2085.1399999999994</v>
      </c>
      <c r="I113" s="165"/>
      <c r="J113" s="328">
        <f>H113/DAY(B2)</f>
        <v>-130.32124999999996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'15'!F114</f>
        <v>17662.82</v>
      </c>
      <c r="F114" s="417">
        <v>17896.5</v>
      </c>
      <c r="G114" s="112">
        <f t="shared" si="9"/>
        <v>233.68000000000029</v>
      </c>
      <c r="H114" s="99">
        <f>G114+'15'!H114</f>
        <v>-3371.5</v>
      </c>
      <c r="I114" s="165"/>
      <c r="J114" s="328">
        <f>H114/DAY(B2)</f>
        <v>-210.71875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'15'!F115</f>
        <v>10908.6</v>
      </c>
      <c r="F115" s="468">
        <f>10908+130</f>
        <v>11038</v>
      </c>
      <c r="G115" s="236">
        <f t="shared" si="9"/>
        <v>129.39999999999964</v>
      </c>
      <c r="H115" s="99">
        <f>G115+'15'!H115</f>
        <v>-2501.2200000000012</v>
      </c>
      <c r="I115" s="165"/>
      <c r="J115" s="328">
        <f>H115/DAY(B2)</f>
        <v>-156.32625000000007</v>
      </c>
      <c r="N115" s="470" t="s">
        <v>363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'15'!F116</f>
        <v>64655.73</v>
      </c>
      <c r="F116" s="237">
        <v>64927.8</v>
      </c>
      <c r="G116" s="112">
        <f t="shared" si="9"/>
        <v>272.06999999999971</v>
      </c>
      <c r="H116" s="99">
        <f>G116+'15'!H116</f>
        <v>-5564.1999999999971</v>
      </c>
      <c r="I116" s="165"/>
      <c r="J116" s="328">
        <f>H116/DAY(B2)</f>
        <v>-347.76249999999982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'15'!F117</f>
        <v>36938.47</v>
      </c>
      <c r="F117" s="237">
        <v>37239.5</v>
      </c>
      <c r="G117" s="112">
        <f t="shared" si="9"/>
        <v>301.02999999999884</v>
      </c>
      <c r="H117" s="99">
        <f>G117+'15'!H117</f>
        <v>-3682.5</v>
      </c>
      <c r="I117" s="165"/>
      <c r="J117" s="328">
        <f>H117/DAY(B2)</f>
        <v>-230.15625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'15'!F118</f>
        <v>54502.85</v>
      </c>
      <c r="F118" s="237">
        <v>55149.09</v>
      </c>
      <c r="G118" s="112">
        <f t="shared" si="9"/>
        <v>646.23999999999796</v>
      </c>
      <c r="H118" s="99">
        <f>G118+'15'!H118</f>
        <v>-9522.9100000000035</v>
      </c>
      <c r="I118" s="165"/>
      <c r="J118" s="328">
        <f>H118/DAY(B2)</f>
        <v>-595.18187500000022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'15'!F119</f>
        <v>33816.199999999997</v>
      </c>
      <c r="F119" s="468">
        <v>34049.9</v>
      </c>
      <c r="G119" s="112">
        <f t="shared" si="9"/>
        <v>233.70000000000437</v>
      </c>
      <c r="H119" s="99">
        <f>G119+'15'!H119</f>
        <v>-3399.0999999999985</v>
      </c>
      <c r="I119" s="165"/>
      <c r="J119" s="328">
        <f>H119/DAY(B2)</f>
        <v>-212.44374999999991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'15'!F120</f>
        <v>39617.800000000003</v>
      </c>
      <c r="F120" s="237">
        <v>40088.480000000003</v>
      </c>
      <c r="G120" s="112">
        <f t="shared" si="9"/>
        <v>470.68000000000029</v>
      </c>
      <c r="H120" s="99">
        <f>G120+'15'!H120</f>
        <v>-6178.5199999999968</v>
      </c>
      <c r="I120" s="165"/>
      <c r="J120" s="328">
        <f>H120/DAY(B2)</f>
        <v>-386.1574999999998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'15'!F121</f>
        <v>46323</v>
      </c>
      <c r="F121" s="237">
        <v>46782.2</v>
      </c>
      <c r="G121" s="112">
        <f t="shared" si="9"/>
        <v>459.19999999999709</v>
      </c>
      <c r="H121" s="99">
        <f>G121+'15'!H121</f>
        <v>-6760.8000000000029</v>
      </c>
      <c r="I121" s="165"/>
      <c r="J121" s="328">
        <f>H121/DAY(B2)</f>
        <v>-422.55000000000018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'15'!F122</f>
        <v>24297.9</v>
      </c>
      <c r="F122" s="237">
        <v>24555.5</v>
      </c>
      <c r="G122" s="112">
        <f t="shared" si="9"/>
        <v>257.59999999999854</v>
      </c>
      <c r="H122" s="99">
        <f>G122+'15'!H122</f>
        <v>-4118.5</v>
      </c>
      <c r="I122" s="165"/>
      <c r="J122" s="328">
        <f>H122/DAY(B2)</f>
        <v>-257.40625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'15'!F123</f>
        <v>25090.154999999999</v>
      </c>
      <c r="F123" s="237">
        <v>25416.959999999999</v>
      </c>
      <c r="G123" s="112">
        <f t="shared" si="9"/>
        <v>326.80500000000029</v>
      </c>
      <c r="H123" s="99">
        <f>G123+'15'!H123</f>
        <v>-4771.0400000000009</v>
      </c>
      <c r="I123" s="165"/>
      <c r="J123" s="328">
        <f>H123/DAY(B2)</f>
        <v>-298.19000000000005</v>
      </c>
    </row>
    <row r="124" spans="1:18" ht="29.25" customHeight="1">
      <c r="A124" s="898"/>
      <c r="B124" s="899"/>
      <c r="C124" s="900"/>
      <c r="D124" s="165"/>
      <c r="E124" s="165"/>
      <c r="F124" s="155"/>
      <c r="G124" s="327"/>
      <c r="H124" s="156"/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3555.8049999999976</v>
      </c>
      <c r="H125" s="156"/>
      <c r="I125" s="327">
        <f>G125-(G39+G53)</f>
        <v>595.12499999994634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'15'!F128</f>
        <v>119625.99</v>
      </c>
      <c r="F128" s="155">
        <v>120151.1</v>
      </c>
      <c r="G128" s="112">
        <f t="shared" ref="G128:G134" si="10">F128-E128</f>
        <v>525.11000000000058</v>
      </c>
      <c r="H128" s="99">
        <f>G128+'15'!H128</f>
        <v>-7492.8999999999942</v>
      </c>
      <c r="I128" s="165"/>
      <c r="J128" s="328">
        <f>H128/DAY(B2)</f>
        <v>-468.30624999999964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69682.59</v>
      </c>
      <c r="F129" s="155">
        <v>69846.59</v>
      </c>
      <c r="G129" s="112">
        <f t="shared" si="10"/>
        <v>164</v>
      </c>
      <c r="H129" s="99">
        <f>G129+'15'!H129</f>
        <v>-2656.4100000000035</v>
      </c>
      <c r="I129" s="165"/>
      <c r="J129" s="328">
        <f>H129/DAY(B2)</f>
        <v>-166.02562500000022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152846.37</v>
      </c>
      <c r="F130" s="157">
        <v>153502.71</v>
      </c>
      <c r="G130" s="112">
        <f t="shared" si="10"/>
        <v>656.33999999999651</v>
      </c>
      <c r="H130" s="99">
        <f>G130+'15'!H130</f>
        <v>-11638.559999999998</v>
      </c>
      <c r="I130" s="165"/>
      <c r="J130" s="328">
        <f>H130/DAY(B2)</f>
        <v>-727.40999999999985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'15'!F131</f>
        <v>45236</v>
      </c>
      <c r="F131" s="155">
        <v>45395.98</v>
      </c>
      <c r="G131" s="112">
        <f t="shared" si="10"/>
        <v>159.9800000000032</v>
      </c>
      <c r="H131" s="99">
        <f>G131+'15'!H131</f>
        <v>-3053.0199999999968</v>
      </c>
      <c r="I131" s="165"/>
      <c r="J131" s="328">
        <f>H131/DAY(B2)</f>
        <v>-190.8137499999998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'15'!F132</f>
        <v>122624</v>
      </c>
      <c r="F132" s="155">
        <v>123102.16</v>
      </c>
      <c r="G132" s="112">
        <f t="shared" si="10"/>
        <v>478.16000000000349</v>
      </c>
      <c r="H132" s="99">
        <f>G132+'15'!H132</f>
        <v>-5071.8399999999965</v>
      </c>
      <c r="I132" s="165"/>
      <c r="J132" s="328">
        <f>H132/DAY(B2)</f>
        <v>-316.98999999999978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'15'!F133</f>
        <v>224036.59</v>
      </c>
      <c r="F133" s="155">
        <v>224035.9</v>
      </c>
      <c r="G133" s="112">
        <f t="shared" si="10"/>
        <v>-0.69000000000232831</v>
      </c>
      <c r="H133" s="99">
        <f>G133+'15'!H133</f>
        <v>571233.74000000022</v>
      </c>
      <c r="I133" s="165"/>
      <c r="J133" s="328">
        <f>H133/DAY(B2)</f>
        <v>35702.108750000014</v>
      </c>
    </row>
    <row r="134" spans="1:15" s="409" customFormat="1" ht="25.5">
      <c r="A134" s="968" t="s">
        <v>340</v>
      </c>
      <c r="B134" s="969"/>
      <c r="C134" s="970"/>
      <c r="D134" s="233" t="s">
        <v>183</v>
      </c>
      <c r="E134" s="406">
        <f>'15'!F134</f>
        <v>45469.37</v>
      </c>
      <c r="F134" s="157">
        <v>45720.4</v>
      </c>
      <c r="G134" s="236">
        <f t="shared" si="10"/>
        <v>251.02999999999884</v>
      </c>
      <c r="H134" s="238">
        <f>G134+'15'!H134</f>
        <v>-3314.5999999999985</v>
      </c>
      <c r="I134" s="158"/>
      <c r="J134" s="408">
        <f>H134/DAY(B2)</f>
        <v>-207.16249999999991</v>
      </c>
    </row>
    <row r="135" spans="1:15" ht="25.5">
      <c r="A135" s="876" t="s">
        <v>196</v>
      </c>
      <c r="B135" s="877"/>
      <c r="C135" s="331"/>
      <c r="D135" s="151"/>
      <c r="E135" s="95"/>
      <c r="F135" s="155"/>
      <c r="G135" s="112">
        <f>SUM(G128:G134)</f>
        <v>2233.9300000000003</v>
      </c>
      <c r="H135" s="99">
        <f>G135+'10'!H135</f>
        <v>523390.53</v>
      </c>
      <c r="I135" s="327">
        <f>G135-(G35+G49)</f>
        <v>-1363.0699999999997</v>
      </c>
      <c r="J135" s="328"/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5.5">
      <c r="A138" s="973" t="s">
        <v>185</v>
      </c>
      <c r="B138" s="973"/>
      <c r="C138" s="973"/>
      <c r="D138" s="233" t="s">
        <v>183</v>
      </c>
      <c r="E138" s="406">
        <f>'15'!F138</f>
        <v>889024</v>
      </c>
      <c r="F138" s="148">
        <v>889129</v>
      </c>
      <c r="G138" s="236">
        <f t="shared" ref="G138:G152" si="11">F138-E138</f>
        <v>105</v>
      </c>
      <c r="H138" s="238">
        <f>G138+'15'!H138</f>
        <v>-1966</v>
      </c>
      <c r="I138" s="407"/>
      <c r="J138" s="408">
        <f>H138/DAY(B2)</f>
        <v>-122.875</v>
      </c>
    </row>
    <row r="139" spans="1:15" ht="25.5">
      <c r="A139" s="893" t="s">
        <v>186</v>
      </c>
      <c r="B139" s="893"/>
      <c r="C139" s="893"/>
      <c r="D139" s="151" t="s">
        <v>183</v>
      </c>
      <c r="E139" s="120">
        <f>'15'!F139</f>
        <v>906483</v>
      </c>
      <c r="F139" s="147">
        <v>906649</v>
      </c>
      <c r="G139" s="112">
        <f t="shared" si="11"/>
        <v>166</v>
      </c>
      <c r="H139" s="99">
        <f>G139+'15'!H139</f>
        <v>-2246</v>
      </c>
      <c r="I139" s="118"/>
      <c r="J139" s="328">
        <f>H139/DAY(B2)</f>
        <v>-140.375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v>1256.6300000000001</v>
      </c>
      <c r="F140" s="149">
        <v>1286</v>
      </c>
      <c r="G140" s="112">
        <f t="shared" si="11"/>
        <v>29.369999999999891</v>
      </c>
      <c r="H140" s="99">
        <f>G140+'15'!H140</f>
        <v>368.76999999999407</v>
      </c>
      <c r="I140" s="118"/>
      <c r="J140" s="328">
        <f>H140/DAY(B2)</f>
        <v>23.048124999999629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'15'!F141</f>
        <v>87185</v>
      </c>
      <c r="F141" s="149">
        <v>87395</v>
      </c>
      <c r="G141" s="112">
        <f t="shared" si="11"/>
        <v>210</v>
      </c>
      <c r="H141" s="99">
        <f>G141+'15'!H141</f>
        <v>-3057</v>
      </c>
      <c r="I141" s="118"/>
      <c r="J141" s="328">
        <f>H141/DAY(B2)</f>
        <v>-191.0625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'15'!F142</f>
        <v>35488.04</v>
      </c>
      <c r="F142" s="148">
        <v>35569.160000000003</v>
      </c>
      <c r="G142" s="112">
        <f t="shared" si="11"/>
        <v>81.120000000002619</v>
      </c>
      <c r="H142" s="99">
        <f>G142+'15'!H142</f>
        <v>-1091.8399999999965</v>
      </c>
      <c r="I142" s="140"/>
      <c r="J142" s="328">
        <f>H142/DAY(B2)</f>
        <v>-68.239999999999782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'15'!F143</f>
        <v>8585.4500000000007</v>
      </c>
      <c r="F143" s="149">
        <v>8616.58</v>
      </c>
      <c r="G143" s="112">
        <f t="shared" si="11"/>
        <v>31.1299999999992</v>
      </c>
      <c r="H143" s="99">
        <f>G143+'15'!H143</f>
        <v>-434.42000000000007</v>
      </c>
      <c r="I143" s="140"/>
      <c r="J143" s="328">
        <f>H143/DAY(B2)</f>
        <v>-27.151250000000005</v>
      </c>
    </row>
    <row r="144" spans="1:15" ht="25.5">
      <c r="A144" s="872" t="s">
        <v>90</v>
      </c>
      <c r="B144" s="872"/>
      <c r="C144" s="872"/>
      <c r="D144" s="151" t="s">
        <v>183</v>
      </c>
      <c r="E144" s="120">
        <f>'15'!F144</f>
        <v>916051</v>
      </c>
      <c r="F144" s="147">
        <v>916287</v>
      </c>
      <c r="G144" s="112">
        <f t="shared" si="11"/>
        <v>236</v>
      </c>
      <c r="H144" s="99">
        <f>G144+'15'!H144</f>
        <v>-3550</v>
      </c>
      <c r="I144" s="140"/>
      <c r="J144" s="328">
        <f>H144/DAY(B2)</f>
        <v>-221.875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'15'!F145</f>
        <v>5678.5</v>
      </c>
      <c r="F145" s="148">
        <v>5687.59</v>
      </c>
      <c r="G145" s="112">
        <f t="shared" si="11"/>
        <v>9.0900000000001455</v>
      </c>
      <c r="H145" s="99">
        <f>G145+'15'!H145</f>
        <v>-119.40999999999985</v>
      </c>
      <c r="I145" s="140"/>
      <c r="J145" s="328">
        <f>H145/DAY(B2)</f>
        <v>-7.4631249999999909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'15'!F146</f>
        <v>779965</v>
      </c>
      <c r="F146" s="148">
        <v>780005</v>
      </c>
      <c r="G146" s="112">
        <f t="shared" si="11"/>
        <v>40</v>
      </c>
      <c r="H146" s="99">
        <f>G146+'15'!H146</f>
        <v>-795</v>
      </c>
      <c r="I146" s="140"/>
      <c r="J146" s="328">
        <f>H146/DAY(B2)</f>
        <v>-49.6875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'15'!F147</f>
        <v>693372</v>
      </c>
      <c r="F147" s="148">
        <v>693771.76</v>
      </c>
      <c r="G147" s="112">
        <f t="shared" si="11"/>
        <v>399.76000000000931</v>
      </c>
      <c r="H147" s="99">
        <f>G147+'15'!H147</f>
        <v>-5997.2399999999907</v>
      </c>
      <c r="I147" s="140"/>
      <c r="J147" s="328">
        <f>H147/DAY(B2)</f>
        <v>-374.82749999999942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'15'!F148</f>
        <v>743513.44</v>
      </c>
      <c r="F148" s="164">
        <v>743846.48</v>
      </c>
      <c r="G148" s="112">
        <f t="shared" si="11"/>
        <v>333.04000000003725</v>
      </c>
      <c r="H148" s="99">
        <f>G148+'15'!H148</f>
        <v>-4683.5200000000186</v>
      </c>
      <c r="I148" s="124"/>
      <c r="J148" s="328">
        <f>H148/DAY(B2)</f>
        <v>-292.72000000000116</v>
      </c>
    </row>
    <row r="149" spans="1:10" ht="25.5">
      <c r="A149" s="873" t="s">
        <v>336</v>
      </c>
      <c r="B149" s="874"/>
      <c r="C149" s="875"/>
      <c r="D149" s="227" t="s">
        <v>130</v>
      </c>
      <c r="E149" s="120">
        <f>'15'!F149</f>
        <v>124300.74</v>
      </c>
      <c r="F149" s="152">
        <v>124918.54</v>
      </c>
      <c r="G149" s="112">
        <f t="shared" si="11"/>
        <v>617.79999999998836</v>
      </c>
      <c r="H149" s="99">
        <f>G149+'15'!H149</f>
        <v>-7515.4600000000064</v>
      </c>
      <c r="I149" s="119"/>
      <c r="J149" s="328">
        <f>H149/DAY(B2)</f>
        <v>-469.7162500000004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'15'!F150</f>
        <v>47058</v>
      </c>
      <c r="F150" s="233">
        <v>47291.4</v>
      </c>
      <c r="G150" s="112">
        <f t="shared" si="11"/>
        <v>233.40000000000146</v>
      </c>
      <c r="H150" s="99">
        <f>G150+'15'!H150</f>
        <v>-3323.5999999999985</v>
      </c>
      <c r="I150" s="119"/>
      <c r="J150" s="328">
        <f>H150/DAY(B2)</f>
        <v>-207.72499999999991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'15'!F151</f>
        <v>130651</v>
      </c>
      <c r="F151" s="233">
        <v>130952</v>
      </c>
      <c r="G151" s="112">
        <f t="shared" si="11"/>
        <v>301</v>
      </c>
      <c r="H151" s="99">
        <f>G151+'15'!H151</f>
        <v>-4497</v>
      </c>
      <c r="I151" s="119"/>
      <c r="J151" s="328">
        <f>H151/DAY(B2)</f>
        <v>-281.0625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'15'!F152</f>
        <v>21184.42</v>
      </c>
      <c r="F152" s="233">
        <v>21312</v>
      </c>
      <c r="G152" s="112">
        <f t="shared" si="11"/>
        <v>127.58000000000175</v>
      </c>
      <c r="H152" s="99">
        <f>G152+'15'!H152</f>
        <v>-1842</v>
      </c>
      <c r="I152" s="119"/>
      <c r="J152" s="328">
        <f>H152/DAY(B2)</f>
        <v>-115.125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2920.29000000004</v>
      </c>
      <c r="H153" s="363"/>
      <c r="I153" s="119">
        <f>G153-(G38+G52)</f>
        <v>482.8100000000004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406">
        <f>'15'!F155</f>
        <v>138770.37</v>
      </c>
      <c r="F155" s="752">
        <v>139352.29999999999</v>
      </c>
      <c r="G155" s="236">
        <f>F155-E155</f>
        <v>581.92999999999302</v>
      </c>
      <c r="H155" s="99">
        <f>G155+'15'!H155</f>
        <v>-8796.7000000000116</v>
      </c>
      <c r="I155" s="364"/>
      <c r="J155" s="328">
        <f>H155/DAY(B2)</f>
        <v>-549.79375000000073</v>
      </c>
    </row>
    <row r="156" spans="1:10" ht="25.5">
      <c r="A156" s="872" t="s">
        <v>347</v>
      </c>
      <c r="B156" s="872"/>
      <c r="C156" s="872"/>
      <c r="D156" s="117" t="s">
        <v>130</v>
      </c>
      <c r="E156" s="406">
        <f>'15'!F156</f>
        <v>13332.43</v>
      </c>
      <c r="F156" s="157">
        <v>13414</v>
      </c>
      <c r="G156" s="236">
        <f t="shared" ref="G156:G158" si="12">F156-E156</f>
        <v>81.569999999999709</v>
      </c>
      <c r="H156" s="99">
        <f>G156+'15'!H156</f>
        <v>-1320</v>
      </c>
      <c r="I156" s="165"/>
      <c r="J156" s="328">
        <f>H156/DAY(B2)</f>
        <v>-82.5</v>
      </c>
    </row>
    <row r="157" spans="1:10" ht="25.5">
      <c r="A157" s="873" t="s">
        <v>360</v>
      </c>
      <c r="B157" s="874"/>
      <c r="C157" s="875"/>
      <c r="D157" s="117" t="s">
        <v>130</v>
      </c>
      <c r="E157" s="406">
        <f>'15'!F157</f>
        <v>25277.200000000001</v>
      </c>
      <c r="F157" s="157">
        <v>25425.62</v>
      </c>
      <c r="G157" s="236">
        <f t="shared" si="12"/>
        <v>148.41999999999825</v>
      </c>
      <c r="H157" s="99">
        <f>G157+'15'!H157</f>
        <v>-2020.380000000001</v>
      </c>
      <c r="I157" s="165"/>
      <c r="J157" s="328">
        <f>H157/DAY(B2)</f>
        <v>-126.27375000000006</v>
      </c>
    </row>
    <row r="158" spans="1:10" ht="25.5">
      <c r="A158" s="873" t="s">
        <v>361</v>
      </c>
      <c r="B158" s="874"/>
      <c r="C158" s="875"/>
      <c r="D158" s="117" t="s">
        <v>130</v>
      </c>
      <c r="E158" s="406">
        <f>'15'!F158</f>
        <v>225.7</v>
      </c>
      <c r="F158" s="157">
        <v>225.9</v>
      </c>
      <c r="G158" s="236">
        <f t="shared" si="12"/>
        <v>0.20000000000001705</v>
      </c>
      <c r="H158" s="99">
        <f>G158+'15'!H158</f>
        <v>137.47999999999999</v>
      </c>
      <c r="I158" s="165"/>
      <c r="J158" s="328">
        <f>H158/DAY(B2)</f>
        <v>8.5924999999999994</v>
      </c>
    </row>
    <row r="159" spans="1:10" ht="25.5">
      <c r="A159" s="958"/>
      <c r="B159" s="959"/>
      <c r="C159" s="960"/>
      <c r="D159" s="117"/>
      <c r="E159" s="95"/>
      <c r="F159" s="155"/>
      <c r="G159" s="362">
        <f>SUM(G155:G158)</f>
        <v>812.11999999999102</v>
      </c>
      <c r="H159" s="99">
        <f>G159+'15'!H159</f>
        <v>812.11999999999102</v>
      </c>
      <c r="I159" s="165"/>
      <c r="J159" s="328">
        <f>H159/DAY(B2)</f>
        <v>50.757499999999439</v>
      </c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479107.44</v>
      </c>
      <c r="F161" s="235">
        <v>479143.4</v>
      </c>
      <c r="G161" s="238">
        <f t="shared" ref="G161:G165" si="13">F161-E161</f>
        <v>35.960000000020955</v>
      </c>
      <c r="H161" s="99">
        <f>G161+'15'!H161</f>
        <v>-909.59999999997672</v>
      </c>
      <c r="I161" s="236"/>
      <c r="J161" s="239">
        <f>H161/DAY(B2)</f>
        <v>-56.849999999998545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94359</v>
      </c>
      <c r="F162" s="235">
        <v>94390</v>
      </c>
      <c r="G162" s="238">
        <f t="shared" si="13"/>
        <v>31</v>
      </c>
      <c r="H162" s="99">
        <f>G162+'15'!H162</f>
        <v>-538</v>
      </c>
      <c r="I162" s="236"/>
      <c r="J162" s="239">
        <f>H162/DAY(B2)</f>
        <v>-33.625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4246</v>
      </c>
      <c r="F163" s="235">
        <v>4385.6000000000004</v>
      </c>
      <c r="G163" s="238">
        <f t="shared" si="13"/>
        <v>139.60000000000036</v>
      </c>
      <c r="H163" s="99">
        <f>G163+'15'!H163</f>
        <v>-2115.3999999999996</v>
      </c>
      <c r="I163" s="236"/>
      <c r="J163" s="239">
        <f>H163/DAY(B2)</f>
        <v>-132.21249999999998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6066.7</v>
      </c>
      <c r="F164" s="235">
        <v>6081</v>
      </c>
      <c r="G164" s="238">
        <f t="shared" si="13"/>
        <v>14.300000000000182</v>
      </c>
      <c r="H164" s="99">
        <f>G164+'15'!H164</f>
        <v>-199</v>
      </c>
      <c r="I164" s="236"/>
      <c r="J164" s="239">
        <f>H164/DAY(B2)</f>
        <v>-12.4375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31490</v>
      </c>
      <c r="F165" s="235">
        <v>31496.91</v>
      </c>
      <c r="G165" s="238">
        <f t="shared" si="13"/>
        <v>6.9099999999998545</v>
      </c>
      <c r="H165" s="99">
        <f>G165+'15'!H165</f>
        <v>-137.09000000000015</v>
      </c>
      <c r="I165" s="236"/>
      <c r="J165" s="239">
        <f>H165/DAY(B2)</f>
        <v>-8.5681250000000091</v>
      </c>
    </row>
    <row r="166" spans="1:10" ht="26.25">
      <c r="A166" s="881"/>
      <c r="B166" s="881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'15'!F173</f>
        <v>8276</v>
      </c>
      <c r="F173" s="155">
        <v>8276</v>
      </c>
      <c r="G173" s="155">
        <f>F173-E173</f>
        <v>0</v>
      </c>
      <c r="H173" s="99">
        <f>G173+'15'!H173</f>
        <v>41</v>
      </c>
      <c r="I173" s="155"/>
      <c r="J173" s="178">
        <f>H173/DAY(B2)</f>
        <v>2.5625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'15'!F174</f>
        <v>40981</v>
      </c>
      <c r="F174" s="157">
        <v>40994</v>
      </c>
      <c r="G174" s="155">
        <f t="shared" ref="G174:G175" si="14">F174-E174</f>
        <v>13</v>
      </c>
      <c r="H174" s="99">
        <f>G174+'15'!H174</f>
        <v>-210</v>
      </c>
      <c r="I174" s="155"/>
      <c r="J174" s="178">
        <f>H174/DAY(B2)</f>
        <v>-13.125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'15'!F175</f>
        <v>23839</v>
      </c>
      <c r="F175" s="155">
        <v>23858</v>
      </c>
      <c r="G175" s="155">
        <f t="shared" si="14"/>
        <v>19</v>
      </c>
      <c r="H175" s="99">
        <f>G175+'15'!H175</f>
        <v>-173</v>
      </c>
      <c r="I175" s="155"/>
      <c r="J175" s="178">
        <f>H175/DAY(B2)</f>
        <v>-10.8125</v>
      </c>
    </row>
    <row r="176" spans="1:10" ht="25.5">
      <c r="A176" s="876" t="s">
        <v>196</v>
      </c>
      <c r="B176" s="877"/>
      <c r="C176" s="333"/>
      <c r="D176" s="228" t="s">
        <v>142</v>
      </c>
      <c r="E176" s="95">
        <f>'15'!F176</f>
        <v>0</v>
      </c>
      <c r="F176" s="155"/>
      <c r="G176" s="155">
        <f>SUM(G173:G175)</f>
        <v>32</v>
      </c>
      <c r="H176" s="99">
        <f>G176+'15'!H176</f>
        <v>-342</v>
      </c>
      <c r="I176" s="155"/>
      <c r="J176" s="178">
        <f>H176/DAY(B2)</f>
        <v>-21.375</v>
      </c>
    </row>
    <row r="177" spans="1:11" ht="25.5">
      <c r="A177" s="887" t="s">
        <v>77</v>
      </c>
      <c r="B177" s="888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87" t="s">
        <v>210</v>
      </c>
      <c r="B178" s="888"/>
      <c r="C178" s="333"/>
      <c r="D178" s="228" t="s">
        <v>142</v>
      </c>
      <c r="E178" s="95">
        <f>'15'!F178</f>
        <v>96203</v>
      </c>
      <c r="F178" s="155">
        <v>96313</v>
      </c>
      <c r="G178" s="155">
        <f>F178-E178</f>
        <v>110</v>
      </c>
      <c r="H178" s="99">
        <f>G178+'15'!H178</f>
        <v>-1400</v>
      </c>
      <c r="I178" s="155"/>
      <c r="J178" s="178">
        <f>H178/DAY(B2)</f>
        <v>-87.5</v>
      </c>
    </row>
    <row r="179" spans="1:11" ht="25.5">
      <c r="A179" s="887" t="s">
        <v>211</v>
      </c>
      <c r="B179" s="888"/>
      <c r="C179" s="333"/>
      <c r="D179" s="228" t="s">
        <v>142</v>
      </c>
      <c r="E179" s="95">
        <f>'15'!F179</f>
        <v>36002</v>
      </c>
      <c r="F179" s="155">
        <v>36002</v>
      </c>
      <c r="G179" s="155">
        <f t="shared" ref="G179:G180" si="15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887" t="s">
        <v>212</v>
      </c>
      <c r="B180" s="888"/>
      <c r="C180" s="333"/>
      <c r="D180" s="228" t="s">
        <v>142</v>
      </c>
      <c r="E180" s="95">
        <f>'15'!F180</f>
        <v>7015</v>
      </c>
      <c r="F180" s="155">
        <v>7023</v>
      </c>
      <c r="G180" s="155">
        <f t="shared" si="15"/>
        <v>8</v>
      </c>
      <c r="H180" s="99">
        <f>G180+'15'!H180</f>
        <v>-146</v>
      </c>
      <c r="I180" s="155"/>
      <c r="J180" s="178">
        <f>H180/DAY(B2)</f>
        <v>-9.125</v>
      </c>
    </row>
    <row r="181" spans="1:11" ht="25.5">
      <c r="A181" s="889" t="s">
        <v>108</v>
      </c>
      <c r="B181" s="890"/>
      <c r="C181" s="333"/>
      <c r="D181" s="228" t="s">
        <v>142</v>
      </c>
      <c r="E181" s="95">
        <f>'15'!F181</f>
        <v>0</v>
      </c>
      <c r="F181" s="155"/>
      <c r="G181" s="155">
        <f>SUM(G178:G180)</f>
        <v>118</v>
      </c>
      <c r="H181" s="99">
        <f>G181+'15'!H181</f>
        <v>-1546</v>
      </c>
      <c r="I181" s="155"/>
      <c r="J181" s="178">
        <f>H181/DAY(B2)</f>
        <v>-96.625</v>
      </c>
    </row>
    <row r="182" spans="1:11" ht="25.5">
      <c r="A182" s="887" t="s">
        <v>213</v>
      </c>
      <c r="B182" s="888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87" t="s">
        <v>214</v>
      </c>
      <c r="B183" s="888"/>
      <c r="C183" s="334"/>
      <c r="D183" s="228" t="s">
        <v>142</v>
      </c>
      <c r="E183" s="95">
        <f>'15'!F183</f>
        <v>17374</v>
      </c>
      <c r="F183" s="157">
        <v>17382</v>
      </c>
      <c r="G183" s="157">
        <f>F183-E183</f>
        <v>8</v>
      </c>
      <c r="H183" s="99">
        <f>G183+'15'!H183</f>
        <v>-91</v>
      </c>
      <c r="I183" s="155"/>
      <c r="J183" s="178">
        <f>H183/DAY(B2)</f>
        <v>-5.6875</v>
      </c>
    </row>
    <row r="184" spans="1:11" ht="25.5">
      <c r="A184" s="887" t="s">
        <v>215</v>
      </c>
      <c r="B184" s="888"/>
      <c r="C184" s="334"/>
      <c r="D184" s="228" t="s">
        <v>142</v>
      </c>
      <c r="E184" s="95">
        <f>'15'!F184</f>
        <v>11789</v>
      </c>
      <c r="F184" s="157">
        <v>11803</v>
      </c>
      <c r="G184" s="157">
        <f t="shared" ref="G184:G185" si="16">F184-E184</f>
        <v>14</v>
      </c>
      <c r="H184" s="99">
        <f>G184+'15'!H184</f>
        <v>-132</v>
      </c>
      <c r="I184" s="155"/>
      <c r="J184" s="178">
        <f>H184/DAY(B2)</f>
        <v>-8.25</v>
      </c>
    </row>
    <row r="185" spans="1:11" ht="32.25" customHeight="1">
      <c r="A185" s="887" t="s">
        <v>216</v>
      </c>
      <c r="B185" s="888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876" t="s">
        <v>196</v>
      </c>
      <c r="B186" s="877"/>
      <c r="C186" s="334"/>
      <c r="D186" s="228" t="s">
        <v>142</v>
      </c>
      <c r="E186" s="95">
        <f>'15'!F186</f>
        <v>0</v>
      </c>
      <c r="F186" s="157"/>
      <c r="G186" s="157">
        <f>SUM(G183:G185)</f>
        <v>22</v>
      </c>
      <c r="H186" s="99">
        <f>G186+'15'!H186</f>
        <v>-223</v>
      </c>
      <c r="I186" s="157"/>
      <c r="J186" s="178">
        <f>H186/DAY(B2)</f>
        <v>-13.9375</v>
      </c>
    </row>
    <row r="187" spans="1:11" ht="25.5">
      <c r="A187" s="878" t="s">
        <v>217</v>
      </c>
      <c r="B187" s="879"/>
      <c r="C187" s="333"/>
      <c r="D187" s="230" t="s">
        <v>142</v>
      </c>
      <c r="E187" s="95">
        <f>'15'!F187</f>
        <v>0</v>
      </c>
      <c r="F187" s="159"/>
      <c r="G187" s="159">
        <f>G62+G19</f>
        <v>189</v>
      </c>
      <c r="H187" s="99">
        <f>G187+'15'!H187</f>
        <v>-2555</v>
      </c>
      <c r="I187" s="158"/>
      <c r="J187" s="179">
        <f>H187/DAY(B2)</f>
        <v>-159.6875</v>
      </c>
    </row>
    <row r="188" spans="1:11" ht="25.5">
      <c r="A188" s="878" t="s">
        <v>218</v>
      </c>
      <c r="B188" s="879"/>
      <c r="C188" s="333"/>
      <c r="D188" s="230" t="s">
        <v>142</v>
      </c>
      <c r="E188" s="95">
        <f>'15'!F188</f>
        <v>0</v>
      </c>
      <c r="F188" s="159"/>
      <c r="G188" s="159">
        <f>G65+G66+G67+G69+G70</f>
        <v>154</v>
      </c>
      <c r="H188" s="99">
        <f>G188+'15'!H188</f>
        <v>346</v>
      </c>
      <c r="I188" s="158"/>
      <c r="J188" s="179">
        <f>H188/DAY(B2)</f>
        <v>21.625</v>
      </c>
    </row>
    <row r="189" spans="1:11" ht="23.25" customHeight="1">
      <c r="A189" s="878" t="s">
        <v>219</v>
      </c>
      <c r="B189" s="879"/>
      <c r="C189" s="333"/>
      <c r="D189" s="230" t="s">
        <v>142</v>
      </c>
      <c r="E189" s="95">
        <f>'15'!F189</f>
        <v>0</v>
      </c>
      <c r="F189" s="157"/>
      <c r="G189" s="157">
        <f>G181</f>
        <v>118</v>
      </c>
      <c r="H189" s="99">
        <f>G189+'15'!H189</f>
        <v>-1546</v>
      </c>
      <c r="I189" s="158"/>
      <c r="J189" s="179">
        <f>H189/DAY(B2)</f>
        <v>-96.625</v>
      </c>
    </row>
    <row r="190" spans="1:11" ht="23.25" customHeight="1">
      <c r="A190" s="971"/>
      <c r="B190" s="972"/>
      <c r="C190" s="427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>
      <c r="A191" s="245" t="s">
        <v>358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14">
        <v>0</v>
      </c>
      <c r="G192" s="160" t="s">
        <v>366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zoomScale="55" zoomScaleSheetLayoutView="55" zoomScalePageLayoutView="60" workbookViewId="0">
      <selection activeCell="F15" sqref="F1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7.75" customHeight="1">
      <c r="A2" s="191" t="s">
        <v>349</v>
      </c>
      <c r="B2" s="262">
        <v>44759</v>
      </c>
      <c r="C2" s="348" t="s">
        <v>67</v>
      </c>
      <c r="D2" s="218">
        <v>0.91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942" t="s">
        <v>119</v>
      </c>
      <c r="F3" s="943"/>
      <c r="G3" s="472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72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36" t="s">
        <v>128</v>
      </c>
      <c r="B6" s="937"/>
      <c r="C6" s="938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755028</v>
      </c>
      <c r="F7" s="95">
        <f>E7+26200</f>
        <v>781228</v>
      </c>
      <c r="G7" s="475">
        <f>F7-E7</f>
        <v>26200</v>
      </c>
      <c r="H7" s="99">
        <f>G7+'16'!H7</f>
        <v>444098</v>
      </c>
      <c r="I7" s="113">
        <f>'1'!I7</f>
        <v>12000</v>
      </c>
      <c r="J7" s="175">
        <f>H7/DAY(B2)</f>
        <v>26123.411764705881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96344.4</v>
      </c>
      <c r="F8" s="95">
        <f>E8+26500</f>
        <v>122844.4</v>
      </c>
      <c r="G8" s="476">
        <f>F8-E8</f>
        <v>26500</v>
      </c>
      <c r="H8" s="99">
        <f>G8+'16'!H8</f>
        <v>449766</v>
      </c>
      <c r="I8" s="116"/>
      <c r="J8" s="175">
        <f>H8/DAY(B2)</f>
        <v>26456.823529411766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-300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3133290.3</v>
      </c>
      <c r="F9" s="469">
        <v>3146033.5</v>
      </c>
      <c r="G9" s="475">
        <f>F9-E9</f>
        <v>12743.200000000186</v>
      </c>
      <c r="H9" s="99">
        <f>G9+'16'!H9</f>
        <v>-133032.5</v>
      </c>
      <c r="I9" s="124">
        <f>I7-J7</f>
        <v>-14123.411764705881</v>
      </c>
      <c r="J9" s="175">
        <f>H9/DAY(B2)</f>
        <v>-7825.4411764705883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1437959.4</v>
      </c>
      <c r="F10" s="353">
        <v>1450214.2</v>
      </c>
      <c r="G10" s="475">
        <f t="shared" ref="G10:G12" si="0">F10-E10</f>
        <v>12254.800000000047</v>
      </c>
      <c r="H10" s="99">
        <f>G10+'16'!H10</f>
        <v>-216943.80000000005</v>
      </c>
      <c r="I10" s="282"/>
      <c r="J10" s="175">
        <f>H10/DAY(B2)</f>
        <v>-12761.400000000003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5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>
        <f>G8-G7</f>
        <v>300</v>
      </c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5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7">
        <f>G9+G10+G11+G12</f>
        <v>24998.000000000233</v>
      </c>
      <c r="H13" s="99">
        <f>G13+'16'!H13</f>
        <v>-348641.70000000019</v>
      </c>
      <c r="I13" s="120">
        <f>G7-G13</f>
        <v>1201.9999999997672</v>
      </c>
      <c r="J13" s="175">
        <f>H13/DAY(B2)</f>
        <v>-20508.335294117656</v>
      </c>
      <c r="K13" s="79"/>
      <c r="L13" s="66"/>
      <c r="N13" s="87"/>
      <c r="O13" s="71"/>
    </row>
    <row r="14" spans="1:15" ht="27.75" customHeight="1">
      <c r="A14" s="939" t="s">
        <v>137</v>
      </c>
      <c r="B14" s="940"/>
      <c r="C14" s="941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'16'!F15</f>
        <v>2117008</v>
      </c>
      <c r="F15" s="469">
        <f>E15+1000</f>
        <v>2118008</v>
      </c>
      <c r="G15" s="475">
        <f>(F15-E15)</f>
        <v>1000</v>
      </c>
      <c r="H15" s="99">
        <f>G15+'16'!H15</f>
        <v>17140</v>
      </c>
      <c r="I15" s="113">
        <f>'1'!I15</f>
        <v>800</v>
      </c>
      <c r="J15" s="175">
        <f>H15/DAY(B2)</f>
        <v>1008.2352941176471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5"/>
      <c r="H16" s="124"/>
      <c r="I16" s="120">
        <f>I15-J15</f>
        <v>-208.23529411764707</v>
      </c>
      <c r="J16" s="176"/>
      <c r="K16" s="79"/>
      <c r="L16" s="66"/>
      <c r="N16" s="87"/>
      <c r="O16" s="71"/>
    </row>
    <row r="17" spans="1:15" ht="27.75" customHeight="1">
      <c r="A17" s="939" t="s">
        <v>140</v>
      </c>
      <c r="B17" s="940"/>
      <c r="C17" s="941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5" t="s">
        <v>141</v>
      </c>
      <c r="B18" s="916"/>
      <c r="C18" s="917"/>
      <c r="D18" s="151" t="s">
        <v>142</v>
      </c>
      <c r="E18" s="95">
        <f>'16'!F18</f>
        <v>22</v>
      </c>
      <c r="F18" s="122">
        <v>27</v>
      </c>
      <c r="G18" s="477">
        <f>F18*10</f>
        <v>270</v>
      </c>
      <c r="H18" s="99">
        <f>G18+'16'!H18</f>
        <v>3050</v>
      </c>
      <c r="I18" s="113">
        <f>'1'!I18</f>
        <v>65</v>
      </c>
      <c r="J18" s="175">
        <f>H18/DAY(B2)</f>
        <v>179.41176470588235</v>
      </c>
      <c r="K18" s="79"/>
      <c r="L18" s="66"/>
      <c r="N18" s="87"/>
      <c r="O18" s="71"/>
    </row>
    <row r="19" spans="1:15" ht="27.75" customHeight="1">
      <c r="A19" s="915" t="s">
        <v>69</v>
      </c>
      <c r="B19" s="916"/>
      <c r="C19" s="917"/>
      <c r="D19" s="151" t="s">
        <v>142</v>
      </c>
      <c r="E19" s="95">
        <f>'16'!F19</f>
        <v>161610</v>
      </c>
      <c r="F19" s="122">
        <v>161660</v>
      </c>
      <c r="G19" s="475">
        <f t="shared" ref="G19" si="1">F19-E19</f>
        <v>50</v>
      </c>
      <c r="H19" s="99">
        <f>G19+'16'!H19</f>
        <v>-669</v>
      </c>
      <c r="I19" s="335"/>
      <c r="J19" s="175">
        <f>H19/DAY(B2)</f>
        <v>-39.352941176470587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9">
        <f>G18+G19</f>
        <v>320</v>
      </c>
      <c r="H20" s="99">
        <f>G20+'16'!H20</f>
        <v>2381</v>
      </c>
      <c r="I20" s="336">
        <f>I18-J20</f>
        <v>-75.058823529411768</v>
      </c>
      <c r="J20" s="175">
        <f>H20/DAY(B2)</f>
        <v>140.05882352941177</v>
      </c>
      <c r="K20" s="79"/>
      <c r="L20" s="66"/>
      <c r="N20" s="87"/>
      <c r="O20" s="71"/>
    </row>
    <row r="21" spans="1:15" ht="27.75" customHeight="1">
      <c r="A21" s="939" t="s">
        <v>144</v>
      </c>
      <c r="B21" s="940"/>
      <c r="C21" s="941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7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7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7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4" t="s">
        <v>149</v>
      </c>
      <c r="B25" s="945"/>
      <c r="C25" s="946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482">
        <f>E27*F27</f>
        <v>238500</v>
      </c>
      <c r="H27" s="99">
        <f>G27+'16'!H27</f>
        <v>4047894</v>
      </c>
      <c r="I27" s="138"/>
      <c r="J27" s="175">
        <f>H27/DAY(B2)</f>
        <v>238111.41176470587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482">
        <f>E28*F28</f>
        <v>70000</v>
      </c>
      <c r="H28" s="99">
        <f>G28+'16'!H28</f>
        <v>1199800</v>
      </c>
      <c r="I28" s="140"/>
      <c r="J28" s="175">
        <f>H28/DAY(B2)</f>
        <v>70576.470588235301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482">
        <f>E30*F30</f>
        <v>7550</v>
      </c>
      <c r="H30" s="99">
        <f>G30+'16'!H30</f>
        <v>-101019</v>
      </c>
      <c r="I30" s="140"/>
      <c r="J30" s="175">
        <f>H30/DAY(B2)</f>
        <v>-5942.2941176470586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482">
        <f>E31*F31</f>
        <v>21600</v>
      </c>
      <c r="H31" s="99">
        <f>G31+'16'!H31</f>
        <v>244000</v>
      </c>
      <c r="I31" s="140"/>
      <c r="J31" s="175">
        <f>H31/DAY(B2)</f>
        <v>14352.941176470587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3">
        <f>G27+G28+G29+G30+G31</f>
        <v>337650</v>
      </c>
      <c r="H32" s="99">
        <f>G32+'16'!H32</f>
        <v>5390675</v>
      </c>
      <c r="I32" s="144"/>
      <c r="J32" s="175">
        <f>H32/DAY(B2)</f>
        <v>317098.5294117647</v>
      </c>
      <c r="K32" s="63"/>
      <c r="L32" s="89"/>
      <c r="N32" s="87"/>
      <c r="O32" s="71"/>
    </row>
    <row r="33" spans="1:15" ht="27.75" customHeight="1">
      <c r="A33" s="947" t="s">
        <v>331</v>
      </c>
      <c r="B33" s="948"/>
      <c r="C33" s="948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238713.05</v>
      </c>
      <c r="F35" s="145">
        <v>238713.05</v>
      </c>
      <c r="G35" s="475">
        <f t="shared" ref="G35:G46" si="3">F35-E35</f>
        <v>0</v>
      </c>
      <c r="H35" s="99">
        <f>G35+'16'!H35</f>
        <v>4.9999999988358468E-2</v>
      </c>
      <c r="I35" s="95"/>
      <c r="J35" s="175">
        <f>H35/DAY(B2)</f>
        <v>2.9411764699034393E-3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201446.21</v>
      </c>
      <c r="F36" s="145">
        <v>202211.53</v>
      </c>
      <c r="G36" s="475">
        <f t="shared" si="3"/>
        <v>765.32000000000698</v>
      </c>
      <c r="H36" s="99">
        <f>G36+'16'!H36</f>
        <v>-13318.470000000001</v>
      </c>
      <c r="I36" s="95"/>
      <c r="J36" s="175">
        <f>H36/DAY(B2)</f>
        <v>-783.43941176470594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311940.71000000002</v>
      </c>
      <c r="F37" s="145">
        <v>313485.31</v>
      </c>
      <c r="G37" s="475">
        <f t="shared" si="3"/>
        <v>1544.5999999999767</v>
      </c>
      <c r="H37" s="99">
        <f>G37+'16'!H37</f>
        <v>-9513.6900000000023</v>
      </c>
      <c r="I37" s="95"/>
      <c r="J37" s="175">
        <f>H37/DAY(B2)</f>
        <v>-559.62882352941187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423163.59</v>
      </c>
      <c r="F38" s="108">
        <v>425622.47</v>
      </c>
      <c r="G38" s="475">
        <f t="shared" si="3"/>
        <v>2458.8799999999464</v>
      </c>
      <c r="H38" s="99">
        <f>G38+'16'!H38</f>
        <v>-31738.530000000028</v>
      </c>
      <c r="I38" s="95"/>
      <c r="J38" s="175">
        <f>H38/DAY(B2)</f>
        <v>-1866.9723529411781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570603.67000000004</v>
      </c>
      <c r="F39" s="145">
        <v>573491.31000000006</v>
      </c>
      <c r="G39" s="475">
        <f t="shared" si="3"/>
        <v>2887.640000000014</v>
      </c>
      <c r="H39" s="99">
        <f>G39+'16'!H39</f>
        <v>-18092.689999999944</v>
      </c>
      <c r="I39" s="95"/>
      <c r="J39" s="175">
        <f>H39/DAY(B2)</f>
        <v>-1064.275882352938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94390</v>
      </c>
      <c r="F40" s="423">
        <v>95148.3</v>
      </c>
      <c r="G40" s="475">
        <f t="shared" si="3"/>
        <v>758.30000000000291</v>
      </c>
      <c r="H40" s="99">
        <f>G40+'16'!H40</f>
        <v>-11627.699999999997</v>
      </c>
      <c r="I40" s="95"/>
      <c r="J40" s="175">
        <f>H40/DAY(B2)</f>
        <v>-683.98235294117626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174657.19</v>
      </c>
      <c r="F41" s="145">
        <v>178466.67</v>
      </c>
      <c r="G41" s="475">
        <f t="shared" si="3"/>
        <v>3809.4800000000105</v>
      </c>
      <c r="H41" s="99">
        <f>G41+'16'!H41</f>
        <v>-33236.329999999987</v>
      </c>
      <c r="I41" s="95"/>
      <c r="J41" s="175">
        <f>H41/DAY(B2)</f>
        <v>-1955.0782352941169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728113.99</v>
      </c>
      <c r="F42" s="145">
        <v>728113.99</v>
      </c>
      <c r="G42" s="475">
        <f t="shared" si="3"/>
        <v>0</v>
      </c>
      <c r="H42" s="99">
        <f>G42+'16'!H42</f>
        <v>-20250.010000000009</v>
      </c>
      <c r="I42" s="95"/>
      <c r="J42" s="175">
        <f>H42/DAY(B2)</f>
        <v>-1191.1770588235299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407028</v>
      </c>
      <c r="F43" s="145">
        <v>407028</v>
      </c>
      <c r="G43" s="475">
        <f t="shared" si="3"/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5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5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5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12224.219999999958</v>
      </c>
      <c r="H47" s="99">
        <f>G47+'16'!H47</f>
        <v>-137777.37</v>
      </c>
      <c r="I47" s="95"/>
      <c r="J47" s="175">
        <f>H47/DAY(B2)</f>
        <v>-8104.551176470588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425076.87</v>
      </c>
      <c r="F49" s="145">
        <v>428562.2</v>
      </c>
      <c r="G49" s="475">
        <f t="shared" ref="G49:G58" si="4">F49-E49</f>
        <v>3485.3300000000163</v>
      </c>
      <c r="H49" s="99">
        <f>G49+'16'!H49</f>
        <v>-56491.799999999988</v>
      </c>
      <c r="I49" s="95"/>
      <c r="J49" s="175">
        <f>H49/DAY(B2)</f>
        <v>-3323.0470588235289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262672</v>
      </c>
      <c r="F50" s="145">
        <v>263749.65000000002</v>
      </c>
      <c r="G50" s="475">
        <f t="shared" si="4"/>
        <v>1077.6500000000233</v>
      </c>
      <c r="H50" s="99">
        <f>G50+'16'!H50</f>
        <v>-19000.349999999977</v>
      </c>
      <c r="I50" s="95"/>
      <c r="J50" s="175">
        <f>H50/DAY(B2)</f>
        <v>-1117.6676470588222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76</v>
      </c>
      <c r="F51" s="145">
        <v>76</v>
      </c>
      <c r="G51" s="475">
        <f t="shared" si="4"/>
        <v>0</v>
      </c>
      <c r="H51" s="99">
        <f>G51+'16'!H51</f>
        <v>-8432</v>
      </c>
      <c r="I51" s="95"/>
      <c r="J51" s="175">
        <f>H51/DAY(B2)</f>
        <v>-496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10</v>
      </c>
      <c r="F52" s="145">
        <v>10</v>
      </c>
      <c r="G52" s="475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475">
        <f t="shared" si="4"/>
        <v>0</v>
      </c>
      <c r="H53" s="99">
        <f>G53+'16'!H53</f>
        <v>-33861</v>
      </c>
      <c r="I53" s="95"/>
      <c r="J53" s="175">
        <f>H53/DAY(B2)</f>
        <v>-1991.8235294117646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82663.55</v>
      </c>
      <c r="F54" s="145">
        <v>83021.039999999994</v>
      </c>
      <c r="G54" s="475">
        <f t="shared" si="4"/>
        <v>357.48999999999069</v>
      </c>
      <c r="H54" s="99">
        <f>G54+'16'!H54</f>
        <v>-4921.9600000000064</v>
      </c>
      <c r="I54" s="95"/>
      <c r="J54" s="175">
        <f>H54/DAY(B2)</f>
        <v>-289.52705882352979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324250.17</v>
      </c>
      <c r="F55" s="145">
        <v>327512.90999999997</v>
      </c>
      <c r="G55" s="475">
        <f t="shared" si="4"/>
        <v>3262.7399999999907</v>
      </c>
      <c r="H55" s="99">
        <f>G55+'16'!H55</f>
        <v>-35264.090000000026</v>
      </c>
      <c r="I55" s="95"/>
      <c r="J55" s="175">
        <f>H55/DAY(B2)</f>
        <v>-2074.3582352941194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120880.14</v>
      </c>
      <c r="F56" s="145">
        <v>120880.14</v>
      </c>
      <c r="G56" s="475">
        <f t="shared" si="4"/>
        <v>0</v>
      </c>
      <c r="H56" s="99">
        <f>G56+'16'!H56</f>
        <v>-3001.8600000000006</v>
      </c>
      <c r="I56" s="95"/>
      <c r="J56" s="175">
        <f>H56/DAY(B2)</f>
        <v>-176.58000000000004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181476.31</v>
      </c>
      <c r="F57" s="145">
        <v>184465.51</v>
      </c>
      <c r="G57" s="475">
        <f t="shared" si="4"/>
        <v>2989.2000000000116</v>
      </c>
      <c r="H57" s="99">
        <f>G57+'16'!H57</f>
        <v>-41704.489999999991</v>
      </c>
      <c r="I57" s="95"/>
      <c r="J57" s="175">
        <f>H57/DAY(B2)</f>
        <v>-2453.2052941176466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44905.79</v>
      </c>
      <c r="F58" s="423">
        <v>45176.55</v>
      </c>
      <c r="G58" s="475">
        <f t="shared" si="4"/>
        <v>270.76000000000204</v>
      </c>
      <c r="H58" s="99">
        <f>G58+'16'!H58</f>
        <v>-3932.4499999999971</v>
      </c>
      <c r="I58" s="95"/>
      <c r="J58" s="175">
        <f>H58/DAY(B2)</f>
        <v>-231.32058823529394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11443.170000000035</v>
      </c>
      <c r="H59" s="99">
        <f>G59+'16'!H59</f>
        <v>-206609.99999999994</v>
      </c>
      <c r="I59" s="95">
        <f>G7-G60</f>
        <v>2532.6100000000079</v>
      </c>
      <c r="J59" s="175">
        <f>H59/DAY(B2)</f>
        <v>-12153.529411764703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7">
        <f>G47+G59</f>
        <v>23667.389999999992</v>
      </c>
      <c r="H60" s="99">
        <f>G60+'16'!H60</f>
        <v>-344387.37</v>
      </c>
      <c r="I60" s="95">
        <f>G13-G60</f>
        <v>1330.6100000002407</v>
      </c>
      <c r="J60" s="175">
        <f>H60/DAY(B2)</f>
        <v>-20258.080588235294</v>
      </c>
      <c r="K60" s="79"/>
      <c r="L60" s="66"/>
      <c r="N60" s="87"/>
      <c r="O60" s="71"/>
    </row>
    <row r="61" spans="1:15" s="68" customFormat="1" ht="27.75" customHeight="1">
      <c r="A61" s="949" t="s">
        <v>332</v>
      </c>
      <c r="B61" s="950"/>
      <c r="C61" s="951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7.75" customHeight="1">
      <c r="A62" s="915" t="s">
        <v>198</v>
      </c>
      <c r="B62" s="916"/>
      <c r="C62" s="917"/>
      <c r="D62" s="151" t="s">
        <v>142</v>
      </c>
      <c r="E62" s="95">
        <f>'16'!F62</f>
        <v>294439</v>
      </c>
      <c r="F62" s="122">
        <v>294605</v>
      </c>
      <c r="G62" s="475">
        <f t="shared" ref="G62:G63" si="5">F62-E62</f>
        <v>166</v>
      </c>
      <c r="H62" s="99">
        <f>G62+'16'!H62</f>
        <v>-1670</v>
      </c>
      <c r="I62" s="118"/>
      <c r="J62" s="175">
        <f>H62/DAY(B2)</f>
        <v>-98.235294117647058</v>
      </c>
      <c r="K62" s="80"/>
      <c r="L62" s="66"/>
      <c r="N62" s="87"/>
      <c r="O62" s="71"/>
    </row>
    <row r="63" spans="1:15" ht="27.75" customHeight="1">
      <c r="A63" s="915" t="s">
        <v>199</v>
      </c>
      <c r="B63" s="916"/>
      <c r="C63" s="917"/>
      <c r="D63" s="151" t="s">
        <v>142</v>
      </c>
      <c r="E63" s="95">
        <f>'16'!F63</f>
        <v>236905</v>
      </c>
      <c r="F63" s="122">
        <v>237042</v>
      </c>
      <c r="G63" s="475">
        <f t="shared" si="5"/>
        <v>137</v>
      </c>
      <c r="H63" s="99">
        <f>G63+'16'!H63</f>
        <v>-2091</v>
      </c>
      <c r="I63" s="118"/>
      <c r="J63" s="175">
        <f>H63/DAY(B2)</f>
        <v>-123</v>
      </c>
      <c r="K63" s="69"/>
      <c r="L63" s="66"/>
      <c r="N63" s="87"/>
      <c r="O63" s="71"/>
    </row>
    <row r="64" spans="1:15" ht="27.75" customHeight="1">
      <c r="A64" s="924" t="s">
        <v>200</v>
      </c>
      <c r="B64" s="925"/>
      <c r="C64" s="926"/>
      <c r="D64" s="151"/>
      <c r="E64" s="95">
        <f>'16'!F64</f>
        <v>0</v>
      </c>
      <c r="F64" s="122"/>
      <c r="G64" s="475">
        <f>G62+G63</f>
        <v>303</v>
      </c>
      <c r="H64" s="99">
        <f>G64+'16'!H64</f>
        <v>-3761</v>
      </c>
      <c r="I64" s="118"/>
      <c r="J64" s="175">
        <f>H64/DAY(B2)</f>
        <v>-221.23529411764707</v>
      </c>
      <c r="K64" s="69"/>
      <c r="L64" s="66"/>
      <c r="N64" s="87"/>
      <c r="O64" s="71"/>
    </row>
    <row r="65" spans="1:15" ht="27.75" customHeight="1">
      <c r="A65" s="915" t="s">
        <v>201</v>
      </c>
      <c r="B65" s="916"/>
      <c r="C65" s="917"/>
      <c r="D65" s="151" t="s">
        <v>142</v>
      </c>
      <c r="E65" s="95">
        <f>'16'!F65</f>
        <v>453032</v>
      </c>
      <c r="F65" s="122">
        <v>453168</v>
      </c>
      <c r="G65" s="475">
        <f t="shared" ref="G65:G70" si="6">F65-E65</f>
        <v>136</v>
      </c>
      <c r="H65" s="99">
        <f>G65+'16'!H65</f>
        <v>-1542</v>
      </c>
      <c r="I65" s="118"/>
      <c r="J65" s="175">
        <f>H65/DAY(B2)</f>
        <v>-90.705882352941174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111365</v>
      </c>
      <c r="F66" s="122">
        <v>111393</v>
      </c>
      <c r="G66" s="475">
        <f t="shared" si="6"/>
        <v>28</v>
      </c>
      <c r="H66" s="99">
        <f>G66+'16'!H66</f>
        <v>-329</v>
      </c>
      <c r="I66" s="118"/>
      <c r="J66" s="175">
        <f>H66/DAY(B2)</f>
        <v>-19.352941176470587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113680</v>
      </c>
      <c r="F67" s="122">
        <v>113681</v>
      </c>
      <c r="G67" s="475">
        <f t="shared" si="6"/>
        <v>1</v>
      </c>
      <c r="H67" s="99">
        <f>G67+'16'!H67</f>
        <v>1</v>
      </c>
      <c r="I67" s="118"/>
      <c r="J67" s="175">
        <f>H67/DAY(B2)</f>
        <v>5.8823529411764705E-2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164172</v>
      </c>
      <c r="F68" s="122">
        <v>164219</v>
      </c>
      <c r="G68" s="475">
        <f t="shared" si="6"/>
        <v>47</v>
      </c>
      <c r="H68" s="99">
        <f>G68+'16'!H68</f>
        <v>-443</v>
      </c>
      <c r="I68" s="118"/>
      <c r="J68" s="175">
        <f>H68/DAY(B2)</f>
        <v>-26.058823529411764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12204</v>
      </c>
      <c r="F69" s="122">
        <v>12209</v>
      </c>
      <c r="G69" s="475">
        <f t="shared" si="6"/>
        <v>5</v>
      </c>
      <c r="H69" s="99">
        <f>G69+'16'!H69</f>
        <v>-66</v>
      </c>
      <c r="I69" s="118"/>
      <c r="J69" s="175">
        <f>H69/DAY(B2)</f>
        <v>-3.8823529411764706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9653</v>
      </c>
      <c r="F70" s="122">
        <v>9672</v>
      </c>
      <c r="G70" s="475">
        <f t="shared" si="6"/>
        <v>19</v>
      </c>
      <c r="H70" s="99">
        <f>G70+'16'!H70</f>
        <v>-155</v>
      </c>
      <c r="I70" s="118"/>
      <c r="J70" s="175">
        <f>H70/DAY(B2)</f>
        <v>-9.117647058823529</v>
      </c>
      <c r="K70" s="69"/>
      <c r="L70" s="66"/>
      <c r="N70" s="87"/>
      <c r="O70" s="71"/>
    </row>
    <row r="71" spans="1:15" ht="27.75" customHeight="1">
      <c r="A71" s="924" t="s">
        <v>208</v>
      </c>
      <c r="B71" s="925"/>
      <c r="C71" s="926"/>
      <c r="D71" s="152"/>
      <c r="E71" s="152"/>
      <c r="F71" s="152"/>
      <c r="G71" s="487">
        <f>SUM(G65:G70)</f>
        <v>236</v>
      </c>
      <c r="H71" s="99">
        <f>G71+'16'!H71</f>
        <v>-2534</v>
      </c>
      <c r="I71" s="154"/>
      <c r="J71" s="175">
        <f>H71/DAY(B2)</f>
        <v>-149.05882352941177</v>
      </c>
      <c r="K71" s="69"/>
      <c r="L71" s="66"/>
      <c r="N71" s="87"/>
      <c r="O71" s="71"/>
    </row>
    <row r="72" spans="1:15" s="88" customFormat="1" ht="27.75" customHeight="1">
      <c r="A72" s="911"/>
      <c r="B72" s="896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7.75" customHeight="1">
      <c r="A73" s="921" t="s">
        <v>333</v>
      </c>
      <c r="B73" s="922"/>
      <c r="C73" s="923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7.75" customHeight="1">
      <c r="A74" s="915" t="s">
        <v>220</v>
      </c>
      <c r="B74" s="916"/>
      <c r="C74" s="917"/>
      <c r="D74" s="151" t="s">
        <v>139</v>
      </c>
      <c r="E74" s="95">
        <f>'16'!F74</f>
        <v>952721.65</v>
      </c>
      <c r="F74" s="117">
        <v>953057.23</v>
      </c>
      <c r="G74" s="475">
        <f t="shared" ref="G74:G78" si="7">F74-E74</f>
        <v>335.57999999995809</v>
      </c>
      <c r="H74" s="99">
        <f>G74+'16'!H74</f>
        <v>-4600.6300000000047</v>
      </c>
      <c r="I74" s="154"/>
      <c r="J74" s="175">
        <f>H74/DAY(B2)</f>
        <v>-270.62529411764734</v>
      </c>
      <c r="K74" s="69"/>
      <c r="L74" s="66"/>
      <c r="N74" s="87"/>
      <c r="O74" s="71"/>
    </row>
    <row r="75" spans="1:15" ht="27.75" customHeight="1">
      <c r="A75" s="915" t="s">
        <v>221</v>
      </c>
      <c r="B75" s="916"/>
      <c r="C75" s="917"/>
      <c r="D75" s="151" t="s">
        <v>139</v>
      </c>
      <c r="E75" s="95">
        <f>'16'!F75</f>
        <v>73586.8</v>
      </c>
      <c r="F75" s="123">
        <v>73586.8</v>
      </c>
      <c r="G75" s="475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2" t="s">
        <v>222</v>
      </c>
      <c r="B76" s="913"/>
      <c r="C76" s="914"/>
      <c r="D76" s="151" t="s">
        <v>139</v>
      </c>
      <c r="E76" s="95">
        <f>'16'!F76</f>
        <v>188594</v>
      </c>
      <c r="F76" s="123">
        <v>188708</v>
      </c>
      <c r="G76" s="475">
        <f t="shared" si="7"/>
        <v>114</v>
      </c>
      <c r="H76" s="99">
        <f>G76+'16'!H76</f>
        <v>-1464</v>
      </c>
      <c r="I76" s="154"/>
      <c r="J76" s="175">
        <f>H76/DAY(B2)</f>
        <v>-86.117647058823536</v>
      </c>
      <c r="K76" s="69"/>
      <c r="L76" s="66"/>
      <c r="N76" s="87"/>
      <c r="O76" s="71"/>
    </row>
    <row r="77" spans="1:15" ht="27.75" customHeight="1">
      <c r="A77" s="912" t="s">
        <v>223</v>
      </c>
      <c r="B77" s="913"/>
      <c r="C77" s="914"/>
      <c r="D77" s="151" t="s">
        <v>139</v>
      </c>
      <c r="E77" s="95">
        <f>'16'!F77</f>
        <v>49524</v>
      </c>
      <c r="F77" s="123">
        <v>49583.3</v>
      </c>
      <c r="G77" s="475">
        <f t="shared" si="7"/>
        <v>59.30000000000291</v>
      </c>
      <c r="H77" s="99">
        <f>G77+'16'!H77</f>
        <v>-729.69999999999709</v>
      </c>
      <c r="I77" s="154"/>
      <c r="J77" s="175">
        <f>H77/DAY(B2)</f>
        <v>-42.923529411764534</v>
      </c>
      <c r="K77" s="69"/>
      <c r="L77" s="66"/>
      <c r="N77" s="87"/>
      <c r="O77" s="71"/>
    </row>
    <row r="78" spans="1:15" ht="27.75" customHeight="1">
      <c r="A78" s="912" t="s">
        <v>224</v>
      </c>
      <c r="B78" s="913"/>
      <c r="C78" s="914"/>
      <c r="D78" s="151" t="s">
        <v>139</v>
      </c>
      <c r="E78" s="95">
        <f>'16'!F78</f>
        <v>9564</v>
      </c>
      <c r="F78" s="123">
        <v>9564</v>
      </c>
      <c r="G78" s="475">
        <f t="shared" si="7"/>
        <v>0</v>
      </c>
      <c r="H78" s="99">
        <f>G78+'16'!H78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2" t="s">
        <v>225</v>
      </c>
      <c r="B79" s="913"/>
      <c r="C79" s="914"/>
      <c r="D79" s="151"/>
      <c r="E79" s="95">
        <f>'16'!F79</f>
        <v>0</v>
      </c>
      <c r="F79" s="123"/>
      <c r="G79" s="475">
        <f>G15-SUM(G74:G78)</f>
        <v>491.120000000039</v>
      </c>
      <c r="H79" s="99">
        <f>G79+'16'!H79</f>
        <v>23934.33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24" t="s">
        <v>329</v>
      </c>
      <c r="B80" s="925"/>
      <c r="C80" s="926"/>
      <c r="D80" s="151"/>
      <c r="E80" s="117"/>
      <c r="F80" s="117"/>
      <c r="G80" s="475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29" t="s">
        <v>226</v>
      </c>
      <c r="B81" s="930"/>
      <c r="C81" s="931"/>
      <c r="D81" s="110"/>
      <c r="E81" s="110"/>
      <c r="F81" s="110"/>
      <c r="G81" s="489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5">
        <f t="shared" ref="G82:G92" si="8">F82-E82</f>
        <v>0</v>
      </c>
      <c r="H82" s="99">
        <f>G82+'16'!H82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5">
        <f t="shared" si="8"/>
        <v>0</v>
      </c>
      <c r="H83" s="99">
        <f>G83+'16'!H83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42411.5</v>
      </c>
      <c r="F84" s="164">
        <v>42430</v>
      </c>
      <c r="G84" s="475">
        <f t="shared" si="8"/>
        <v>18.5</v>
      </c>
      <c r="H84" s="99">
        <f>G84+'16'!H84</f>
        <v>-159</v>
      </c>
      <c r="I84" s="571"/>
      <c r="J84" s="175">
        <f>H84/DAY(B2)</f>
        <v>-9.3529411764705888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5049.5</v>
      </c>
      <c r="F85" s="164">
        <v>5049.5</v>
      </c>
      <c r="G85" s="475">
        <f t="shared" si="8"/>
        <v>0</v>
      </c>
      <c r="H85" s="99">
        <f>G85+'16'!H85</f>
        <v>-90.6899999999996</v>
      </c>
      <c r="I85" s="571"/>
      <c r="J85" s="175">
        <f>H85/DAY(B2)</f>
        <v>-5.3347058823529174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45111.56</v>
      </c>
      <c r="F86" s="164">
        <v>45133.35</v>
      </c>
      <c r="G86" s="475">
        <f t="shared" si="8"/>
        <v>21.790000000000873</v>
      </c>
      <c r="H86" s="99">
        <f>G86+'16'!H86</f>
        <v>-245.65000000000146</v>
      </c>
      <c r="I86" s="571"/>
      <c r="J86" s="175">
        <f>H86/DAY(B2)</f>
        <v>-14.450000000000086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35433.01</v>
      </c>
      <c r="F87" s="164">
        <v>35433.01</v>
      </c>
      <c r="G87" s="475">
        <f t="shared" si="8"/>
        <v>0</v>
      </c>
      <c r="H87" s="99">
        <f>G87+'16'!H87</f>
        <v>-24.419999999998254</v>
      </c>
      <c r="I87" s="571">
        <f>G84+G85+G86+G87</f>
        <v>40.290000000000873</v>
      </c>
      <c r="J87" s="175">
        <f>H87/DAY(B2)</f>
        <v>-1.4364705882351914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24297.42</v>
      </c>
      <c r="F88" s="164">
        <v>24297.43</v>
      </c>
      <c r="G88" s="475">
        <f t="shared" si="8"/>
        <v>1.0000000002037268E-2</v>
      </c>
      <c r="H88" s="99">
        <f>G88+'16'!H88</f>
        <v>-6.0299999999988358</v>
      </c>
      <c r="I88" s="571"/>
      <c r="J88" s="175">
        <f>H88/DAY(B2)</f>
        <v>-0.3547058823528727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27428.57</v>
      </c>
      <c r="F89" s="164">
        <v>27438.01</v>
      </c>
      <c r="G89" s="475">
        <f t="shared" si="8"/>
        <v>9.4399999999986903</v>
      </c>
      <c r="H89" s="99">
        <f>G89+'16'!H89</f>
        <v>-128.60000000000218</v>
      </c>
      <c r="I89" s="571">
        <f>G88+G89</f>
        <v>9.4500000000007276</v>
      </c>
      <c r="J89" s="175">
        <f>H89/DAY(B2)</f>
        <v>-7.5647058823530697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72447.210000000006</v>
      </c>
      <c r="F90" s="164">
        <v>72457.046000000002</v>
      </c>
      <c r="G90" s="475">
        <f t="shared" si="8"/>
        <v>9.8359999999956926</v>
      </c>
      <c r="H90" s="99">
        <f>G90+'16'!H90</f>
        <v>-149.50400000000081</v>
      </c>
      <c r="I90" s="571">
        <f>G90</f>
        <v>9.8359999999956926</v>
      </c>
      <c r="J90" s="175">
        <f>H90/DAY(B2)</f>
        <v>-8.794352941176518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4256.92</v>
      </c>
      <c r="F91" s="122">
        <v>4269.24</v>
      </c>
      <c r="G91" s="475">
        <f t="shared" si="8"/>
        <v>12.319999999999709</v>
      </c>
      <c r="H91" s="99">
        <f>G91+'16'!H91</f>
        <v>-20.300000000000182</v>
      </c>
      <c r="I91" s="590"/>
      <c r="J91" s="175">
        <f>H91/DAY(B2)</f>
        <v>-1.1941176470588342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6577.87</v>
      </c>
      <c r="F92" s="122">
        <v>6577.87</v>
      </c>
      <c r="G92" s="475">
        <f t="shared" si="8"/>
        <v>0</v>
      </c>
      <c r="H92" s="99">
        <f>G92+'16'!H92</f>
        <v>-139.46000000000004</v>
      </c>
      <c r="I92" s="596">
        <f>G91+G92</f>
        <v>12.319999999999709</v>
      </c>
      <c r="J92" s="175">
        <f>H92/DAY(B2)</f>
        <v>-8.2035294117647073</v>
      </c>
      <c r="O92" s="71"/>
    </row>
    <row r="93" spans="1:15" ht="27.75" customHeight="1">
      <c r="A93" s="918" t="s">
        <v>239</v>
      </c>
      <c r="B93" s="919"/>
      <c r="C93" s="920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7.75" customHeight="1">
      <c r="A94" s="915" t="s">
        <v>240</v>
      </c>
      <c r="B94" s="916"/>
      <c r="C94" s="917"/>
      <c r="D94" s="151" t="s">
        <v>130</v>
      </c>
      <c r="E94" s="151"/>
      <c r="F94" s="151"/>
      <c r="G94" s="490">
        <f>G35+G43+G49+G57</f>
        <v>6474.5300000000279</v>
      </c>
      <c r="H94" s="99">
        <f>G94+'16'!H94</f>
        <v>-98196.239999999991</v>
      </c>
      <c r="I94" s="118"/>
      <c r="J94" s="175">
        <f>H94/DAY(B2)</f>
        <v>-5776.2494117647057</v>
      </c>
      <c r="K94" s="69"/>
      <c r="L94" s="66"/>
      <c r="O94" s="71"/>
    </row>
    <row r="95" spans="1:15" ht="27.75" customHeight="1">
      <c r="A95" s="915" t="s">
        <v>241</v>
      </c>
      <c r="B95" s="916"/>
      <c r="C95" s="917"/>
      <c r="D95" s="151" t="s">
        <v>23</v>
      </c>
      <c r="E95" s="146"/>
      <c r="F95" s="146"/>
      <c r="G95" s="491">
        <f>G94/G7</f>
        <v>0.24711946564885603</v>
      </c>
      <c r="H95" s="99">
        <f>G95+'16'!H95</f>
        <v>-3.7321568306280049</v>
      </c>
      <c r="I95" s="167"/>
      <c r="J95" s="175">
        <f>H95/DAY(B2)</f>
        <v>-0.21953863709576499</v>
      </c>
      <c r="K95" s="69"/>
      <c r="L95" s="66"/>
      <c r="O95" s="71"/>
    </row>
    <row r="96" spans="1:15" ht="27.75" customHeight="1">
      <c r="A96" s="915" t="s">
        <v>242</v>
      </c>
      <c r="B96" s="916"/>
      <c r="C96" s="917"/>
      <c r="D96" s="151" t="s">
        <v>130</v>
      </c>
      <c r="E96" s="95"/>
      <c r="F96" s="95"/>
      <c r="G96" s="490">
        <f>G41+G42+G55+G56</f>
        <v>7072.2200000000012</v>
      </c>
      <c r="H96" s="99">
        <f>G96+'16'!H96</f>
        <v>-91752.290000000008</v>
      </c>
      <c r="I96" s="118"/>
      <c r="J96" s="175">
        <f>H96/DAY(B2)</f>
        <v>-5397.1935294117648</v>
      </c>
      <c r="K96" s="69"/>
      <c r="L96" s="66"/>
      <c r="O96" s="71"/>
    </row>
    <row r="97" spans="1:15" ht="27.75" customHeight="1">
      <c r="A97" s="915" t="s">
        <v>243</v>
      </c>
      <c r="B97" s="916"/>
      <c r="C97" s="917"/>
      <c r="D97" s="151" t="s">
        <v>23</v>
      </c>
      <c r="E97" s="95"/>
      <c r="F97" s="95"/>
      <c r="G97" s="491">
        <f>G96/G7</f>
        <v>0.26993206106870232</v>
      </c>
      <c r="H97" s="99">
        <f>G97+'16'!H97</f>
        <v>-3.490664173158343</v>
      </c>
      <c r="I97" s="167"/>
      <c r="J97" s="175">
        <f>H97/DAY(B2)</f>
        <v>-0.20533318665637312</v>
      </c>
      <c r="K97" s="69"/>
      <c r="L97" s="66"/>
      <c r="O97" s="71"/>
    </row>
    <row r="98" spans="1:15" ht="27.75" customHeight="1">
      <c r="A98" s="915" t="s">
        <v>244</v>
      </c>
      <c r="B98" s="916"/>
      <c r="C98" s="917"/>
      <c r="D98" s="151" t="s">
        <v>130</v>
      </c>
      <c r="E98" s="95"/>
      <c r="F98" s="95"/>
      <c r="G98" s="490">
        <f>G39+G53</f>
        <v>2887.640000000014</v>
      </c>
      <c r="H98" s="99">
        <f>G98+'16'!H98</f>
        <v>-51953.689999999944</v>
      </c>
      <c r="I98" s="168"/>
      <c r="J98" s="175">
        <f>H98/DAY(B2)</f>
        <v>-3056.0994117647024</v>
      </c>
      <c r="K98" s="69"/>
      <c r="L98" s="66"/>
      <c r="O98" s="71"/>
    </row>
    <row r="99" spans="1:15" ht="27.75" customHeight="1">
      <c r="A99" s="915" t="s">
        <v>245</v>
      </c>
      <c r="B99" s="916"/>
      <c r="C99" s="917"/>
      <c r="D99" s="151" t="s">
        <v>23</v>
      </c>
      <c r="E99" s="95"/>
      <c r="F99" s="95"/>
      <c r="G99" s="491">
        <f>G98/G7</f>
        <v>0.11021526717557305</v>
      </c>
      <c r="H99" s="99">
        <f>G99+'16'!H99</f>
        <v>-1.9733636172042783</v>
      </c>
      <c r="I99" s="168"/>
      <c r="J99" s="175">
        <f>H99/DAY(B2)</f>
        <v>-0.11608021277672226</v>
      </c>
      <c r="O99" s="71"/>
    </row>
    <row r="100" spans="1:15" ht="27.75" customHeight="1">
      <c r="A100" s="915" t="s">
        <v>246</v>
      </c>
      <c r="B100" s="916"/>
      <c r="C100" s="917"/>
      <c r="D100" s="151" t="s">
        <v>180</v>
      </c>
      <c r="E100" s="95"/>
      <c r="F100" s="95"/>
      <c r="G100" s="490">
        <f>G38+G52</f>
        <v>2458.8799999999464</v>
      </c>
      <c r="H100" s="99">
        <f>G100+'16'!H100</f>
        <v>-31738.530000000028</v>
      </c>
      <c r="I100" s="118"/>
      <c r="J100" s="175">
        <f>H100/DAY(B2)</f>
        <v>-1866.9723529411781</v>
      </c>
      <c r="K100" s="70"/>
      <c r="O100" s="71"/>
    </row>
    <row r="101" spans="1:15" ht="27.75" customHeight="1">
      <c r="A101" s="915" t="s">
        <v>247</v>
      </c>
      <c r="B101" s="916"/>
      <c r="C101" s="917"/>
      <c r="D101" s="151" t="s">
        <v>23</v>
      </c>
      <c r="E101" s="95"/>
      <c r="F101" s="95"/>
      <c r="G101" s="491">
        <f>G100/G7</f>
        <v>9.3850381679387265E-2</v>
      </c>
      <c r="H101" s="99">
        <f>G101+'16'!H101</f>
        <v>-1.2065614128708739</v>
      </c>
      <c r="I101" s="168"/>
      <c r="J101" s="175">
        <f>H101/DAY(B2)</f>
        <v>-7.0974200757110237E-2</v>
      </c>
      <c r="O101" s="71"/>
    </row>
    <row r="102" spans="1:15" ht="27.75" customHeight="1">
      <c r="A102" s="915" t="s">
        <v>248</v>
      </c>
      <c r="B102" s="916"/>
      <c r="C102" s="917"/>
      <c r="D102" s="151" t="s">
        <v>180</v>
      </c>
      <c r="E102" s="95"/>
      <c r="F102" s="95"/>
      <c r="G102" s="490">
        <f>G36+G50</f>
        <v>1842.9700000000303</v>
      </c>
      <c r="H102" s="99">
        <f>G102+'16'!H102</f>
        <v>-32318.819999999978</v>
      </c>
      <c r="I102" s="168"/>
      <c r="J102" s="175">
        <f>H102/DAY(B2)</f>
        <v>-1901.1070588235282</v>
      </c>
      <c r="O102" s="71"/>
    </row>
    <row r="103" spans="1:15" ht="27.75" customHeight="1">
      <c r="A103" s="915" t="s">
        <v>249</v>
      </c>
      <c r="B103" s="916"/>
      <c r="C103" s="917"/>
      <c r="D103" s="151" t="s">
        <v>23</v>
      </c>
      <c r="E103" s="95"/>
      <c r="F103" s="95"/>
      <c r="G103" s="491">
        <f>G102/G7</f>
        <v>7.0342366412214891E-2</v>
      </c>
      <c r="H103" s="99">
        <f>G103+'16'!H103</f>
        <v>-1.2316948076441907</v>
      </c>
      <c r="I103" s="118"/>
      <c r="J103" s="175">
        <f>H103/DAY(B2)</f>
        <v>-7.2452635743775917E-2</v>
      </c>
      <c r="O103" s="71"/>
    </row>
    <row r="104" spans="1:15" ht="27.75" customHeight="1">
      <c r="A104" s="915" t="s">
        <v>250</v>
      </c>
      <c r="B104" s="916"/>
      <c r="C104" s="917"/>
      <c r="D104" s="151" t="s">
        <v>180</v>
      </c>
      <c r="E104" s="95"/>
      <c r="F104" s="95"/>
      <c r="G104" s="490">
        <f>G37+G51</f>
        <v>1544.5999999999767</v>
      </c>
      <c r="H104" s="99">
        <f>G104+'16'!H104</f>
        <v>-17945.690000000002</v>
      </c>
      <c r="I104" s="118"/>
      <c r="J104" s="175">
        <f>H104/DAY(B2)</f>
        <v>-1055.6288235294119</v>
      </c>
      <c r="O104" s="71"/>
    </row>
    <row r="105" spans="1:15" ht="27.75" customHeight="1" thickBot="1">
      <c r="A105" s="908" t="s">
        <v>251</v>
      </c>
      <c r="B105" s="909"/>
      <c r="C105" s="910"/>
      <c r="D105" s="231" t="s">
        <v>23</v>
      </c>
      <c r="E105" s="185"/>
      <c r="F105" s="185"/>
      <c r="G105" s="492">
        <f>G104/G7</f>
        <v>5.8954198473281552E-2</v>
      </c>
      <c r="H105" s="99">
        <f>G105+'16'!H105</f>
        <v>-0.68256589735709128</v>
      </c>
      <c r="I105" s="187"/>
      <c r="J105" s="188">
        <f>H105/DAY(B2)</f>
        <v>-4.0150935138652429E-2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8" spans="1:15" ht="27.75" customHeight="1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7.75" customHeight="1">
      <c r="A109" s="932"/>
      <c r="B109" s="932"/>
    </row>
    <row r="110" spans="1:15" ht="27.75" customHeight="1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7.75" customHeight="1">
      <c r="A111" s="898"/>
      <c r="B111" s="899"/>
      <c r="C111" s="900"/>
      <c r="D111" s="165"/>
      <c r="E111" s="165"/>
      <c r="F111" s="165"/>
      <c r="G111" s="495"/>
      <c r="H111" s="156"/>
      <c r="I111" s="165"/>
      <c r="J111" s="327"/>
    </row>
    <row r="112" spans="1:15" ht="27.75" customHeight="1">
      <c r="A112" s="894" t="s">
        <v>252</v>
      </c>
      <c r="B112" s="895"/>
      <c r="C112" s="896"/>
      <c r="D112" s="146" t="s">
        <v>183</v>
      </c>
      <c r="E112" s="95">
        <f>'16'!F112</f>
        <v>6137</v>
      </c>
      <c r="F112" s="237">
        <v>6213.44</v>
      </c>
      <c r="G112" s="475">
        <f t="shared" ref="G112:G123" si="9">F112-E112</f>
        <v>76.4399999999996</v>
      </c>
      <c r="H112" s="99">
        <f>G112+'16'!H112</f>
        <v>-1051.5600000000004</v>
      </c>
      <c r="I112" s="165"/>
      <c r="J112" s="328">
        <f>H112/DAY(B2)</f>
        <v>-61.856470588235318</v>
      </c>
    </row>
    <row r="113" spans="1:18" ht="27.75" customHeight="1">
      <c r="A113" s="894" t="s">
        <v>253</v>
      </c>
      <c r="B113" s="895"/>
      <c r="C113" s="896"/>
      <c r="D113" s="146" t="s">
        <v>183</v>
      </c>
      <c r="E113" s="95">
        <f>'16'!F113</f>
        <v>12929.86</v>
      </c>
      <c r="F113" s="237">
        <v>13065.6</v>
      </c>
      <c r="G113" s="475">
        <f t="shared" si="9"/>
        <v>135.73999999999978</v>
      </c>
      <c r="H113" s="99">
        <f>G113+'16'!H113</f>
        <v>-1949.3999999999996</v>
      </c>
      <c r="I113" s="165"/>
      <c r="J113" s="328">
        <f>H113/DAY(B2)</f>
        <v>-114.67058823529409</v>
      </c>
    </row>
    <row r="114" spans="1:18" ht="27.75" customHeight="1">
      <c r="A114" s="894" t="s">
        <v>254</v>
      </c>
      <c r="B114" s="895"/>
      <c r="C114" s="896"/>
      <c r="D114" s="146" t="s">
        <v>183</v>
      </c>
      <c r="E114" s="95">
        <f>'16'!F114</f>
        <v>17896.5</v>
      </c>
      <c r="F114" s="417">
        <v>18122.66</v>
      </c>
      <c r="G114" s="475">
        <f t="shared" si="9"/>
        <v>226.15999999999985</v>
      </c>
      <c r="H114" s="99">
        <f>G114+'16'!H114</f>
        <v>-3145.34</v>
      </c>
      <c r="I114" s="165"/>
      <c r="J114" s="328">
        <f>H114/DAY(B2)</f>
        <v>-185.02</v>
      </c>
    </row>
    <row r="115" spans="1:18" ht="27.75" customHeight="1">
      <c r="A115" s="894" t="s">
        <v>255</v>
      </c>
      <c r="B115" s="895"/>
      <c r="C115" s="896"/>
      <c r="D115" s="146" t="s">
        <v>183</v>
      </c>
      <c r="E115" s="95">
        <f>'16'!F115</f>
        <v>11038</v>
      </c>
      <c r="F115" s="417">
        <v>11200.2</v>
      </c>
      <c r="G115" s="606">
        <f t="shared" si="9"/>
        <v>162.20000000000073</v>
      </c>
      <c r="H115" s="99">
        <f>G115+'16'!H115</f>
        <v>-2339.0200000000004</v>
      </c>
      <c r="I115" s="165"/>
      <c r="J115" s="328">
        <f>H115/DAY(B2)</f>
        <v>-137.58941176470591</v>
      </c>
    </row>
    <row r="116" spans="1:18" ht="27.75" customHeight="1">
      <c r="A116" s="901" t="s">
        <v>96</v>
      </c>
      <c r="B116" s="902"/>
      <c r="C116" s="903"/>
      <c r="D116" s="146" t="s">
        <v>183</v>
      </c>
      <c r="E116" s="95">
        <f>'16'!F116</f>
        <v>64927.8</v>
      </c>
      <c r="F116" s="237">
        <v>65249.9</v>
      </c>
      <c r="G116" s="475">
        <f t="shared" si="9"/>
        <v>322.09999999999854</v>
      </c>
      <c r="H116" s="99">
        <f>G116+'16'!H116</f>
        <v>-5242.0999999999985</v>
      </c>
      <c r="I116" s="165"/>
      <c r="J116" s="328">
        <f>H116/DAY(B2)</f>
        <v>-308.35882352941167</v>
      </c>
      <c r="Q116" s="894"/>
      <c r="R116" s="896"/>
    </row>
    <row r="117" spans="1:18" ht="27.75" customHeight="1">
      <c r="A117" s="901" t="s">
        <v>184</v>
      </c>
      <c r="B117" s="902"/>
      <c r="C117" s="903"/>
      <c r="D117" s="146" t="s">
        <v>183</v>
      </c>
      <c r="E117" s="95">
        <f>'16'!F117</f>
        <v>37239.5</v>
      </c>
      <c r="F117" s="237">
        <v>37487.699999999997</v>
      </c>
      <c r="G117" s="475">
        <f t="shared" si="9"/>
        <v>248.19999999999709</v>
      </c>
      <c r="H117" s="99">
        <f>G117+'16'!H117</f>
        <v>-3434.3000000000029</v>
      </c>
      <c r="I117" s="165"/>
      <c r="J117" s="328">
        <f>H117/DAY(B2)</f>
        <v>-202.01764705882371</v>
      </c>
      <c r="Q117" s="894"/>
      <c r="R117" s="896"/>
    </row>
    <row r="118" spans="1:18" ht="27.75" customHeight="1">
      <c r="A118" s="893" t="s">
        <v>97</v>
      </c>
      <c r="B118" s="893"/>
      <c r="C118" s="893"/>
      <c r="D118" s="151" t="s">
        <v>183</v>
      </c>
      <c r="E118" s="95">
        <f>'16'!F118</f>
        <v>55149.09</v>
      </c>
      <c r="F118" s="237">
        <v>55786.5</v>
      </c>
      <c r="G118" s="475">
        <f t="shared" si="9"/>
        <v>637.41000000000349</v>
      </c>
      <c r="H118" s="99">
        <f>G118+'16'!H118</f>
        <v>-8885.5</v>
      </c>
      <c r="I118" s="165"/>
      <c r="J118" s="328">
        <f>H118/DAY(B2)</f>
        <v>-522.67647058823525</v>
      </c>
      <c r="Q118" s="894"/>
      <c r="R118" s="896"/>
    </row>
    <row r="119" spans="1:18" ht="27.75" customHeight="1">
      <c r="A119" s="893" t="s">
        <v>98</v>
      </c>
      <c r="B119" s="893"/>
      <c r="C119" s="893"/>
      <c r="D119" s="151" t="s">
        <v>183</v>
      </c>
      <c r="E119" s="95">
        <f>'16'!F119</f>
        <v>34049.9</v>
      </c>
      <c r="F119" s="237">
        <v>34281.9</v>
      </c>
      <c r="G119" s="475">
        <f t="shared" si="9"/>
        <v>232</v>
      </c>
      <c r="H119" s="99">
        <f>G119+'16'!H119</f>
        <v>-3167.0999999999985</v>
      </c>
      <c r="I119" s="165"/>
      <c r="J119" s="328">
        <f>H119/DAY(B2)</f>
        <v>-186.29999999999993</v>
      </c>
    </row>
    <row r="120" spans="1:18" ht="27.75" customHeight="1">
      <c r="A120" s="893" t="s">
        <v>99</v>
      </c>
      <c r="B120" s="893"/>
      <c r="C120" s="893"/>
      <c r="D120" s="151" t="s">
        <v>183</v>
      </c>
      <c r="E120" s="95">
        <f>'16'!F120</f>
        <v>40088.480000000003</v>
      </c>
      <c r="F120" s="237">
        <v>40523.199999999997</v>
      </c>
      <c r="G120" s="475">
        <f t="shared" si="9"/>
        <v>434.71999999999389</v>
      </c>
      <c r="H120" s="99">
        <f>G120+'16'!H120</f>
        <v>-5743.8000000000029</v>
      </c>
      <c r="I120" s="165"/>
      <c r="J120" s="328">
        <f>H120/DAY(B2)</f>
        <v>-337.87058823529429</v>
      </c>
    </row>
    <row r="121" spans="1:18" ht="27.75" customHeight="1">
      <c r="A121" s="893" t="s">
        <v>100</v>
      </c>
      <c r="B121" s="893"/>
      <c r="C121" s="893"/>
      <c r="D121" s="151" t="s">
        <v>183</v>
      </c>
      <c r="E121" s="95">
        <f>'16'!F121</f>
        <v>46782.2</v>
      </c>
      <c r="F121" s="237">
        <v>47217.4</v>
      </c>
      <c r="G121" s="475">
        <f t="shared" si="9"/>
        <v>435.20000000000437</v>
      </c>
      <c r="H121" s="99">
        <f>G121+'16'!H121</f>
        <v>-6325.5999999999985</v>
      </c>
      <c r="I121" s="165"/>
      <c r="J121" s="328">
        <f>H121/DAY(B2)</f>
        <v>-372.09411764705874</v>
      </c>
    </row>
    <row r="122" spans="1:18" ht="27.75" customHeight="1">
      <c r="A122" s="893" t="s">
        <v>101</v>
      </c>
      <c r="B122" s="893"/>
      <c r="C122" s="893"/>
      <c r="D122" s="151" t="s">
        <v>183</v>
      </c>
      <c r="E122" s="95">
        <f>'16'!F122</f>
        <v>24555.5</v>
      </c>
      <c r="F122" s="237">
        <v>24831.7</v>
      </c>
      <c r="G122" s="475">
        <f t="shared" si="9"/>
        <v>276.20000000000073</v>
      </c>
      <c r="H122" s="99">
        <f>G122+'16'!H122</f>
        <v>-3842.2999999999993</v>
      </c>
      <c r="I122" s="165"/>
      <c r="J122" s="328">
        <f>H122/DAY(B2)</f>
        <v>-226.01764705882348</v>
      </c>
    </row>
    <row r="123" spans="1:18" ht="27.75" customHeight="1">
      <c r="A123" s="893" t="s">
        <v>102</v>
      </c>
      <c r="B123" s="893"/>
      <c r="C123" s="893"/>
      <c r="D123" s="151" t="s">
        <v>183</v>
      </c>
      <c r="E123" s="95">
        <f>'16'!F123</f>
        <v>25416.959999999999</v>
      </c>
      <c r="F123" s="237">
        <v>25741.5</v>
      </c>
      <c r="G123" s="475">
        <f t="shared" si="9"/>
        <v>324.54000000000087</v>
      </c>
      <c r="H123" s="99">
        <f>G123+'16'!H123</f>
        <v>-4446.5</v>
      </c>
      <c r="I123" s="165"/>
      <c r="J123" s="328">
        <f>H123/DAY(B2)</f>
        <v>-261.55882352941177</v>
      </c>
    </row>
    <row r="124" spans="1:18" ht="27.75" customHeight="1">
      <c r="A124" s="898"/>
      <c r="B124" s="899"/>
      <c r="C124" s="900"/>
      <c r="D124" s="165"/>
      <c r="E124" s="95">
        <f>'16'!F124</f>
        <v>0</v>
      </c>
      <c r="F124" s="165"/>
      <c r="G124" s="495"/>
      <c r="H124" s="99">
        <f>G124+'16'!H124</f>
        <v>0</v>
      </c>
      <c r="I124" s="165"/>
      <c r="J124" s="327"/>
    </row>
    <row r="125" spans="1:18" ht="27.75" customHeight="1">
      <c r="A125" s="876" t="s">
        <v>196</v>
      </c>
      <c r="B125" s="877"/>
      <c r="C125" s="245"/>
      <c r="D125" s="307"/>
      <c r="E125" s="308"/>
      <c r="F125" s="308"/>
      <c r="G125" s="496">
        <f>SUM(G112:G124)</f>
        <v>3510.9099999999989</v>
      </c>
      <c r="H125" s="156"/>
      <c r="I125" s="327">
        <f>G125-(G39+G53)</f>
        <v>623.26999999998498</v>
      </c>
      <c r="J125" s="327"/>
    </row>
    <row r="126" spans="1:18" ht="27.75" customHeight="1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7.75" customHeight="1">
      <c r="A127" s="881"/>
      <c r="B127" s="881"/>
      <c r="C127" s="245"/>
      <c r="D127" s="307"/>
      <c r="E127" s="308"/>
      <c r="F127" s="308"/>
      <c r="G127" s="496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894" t="s">
        <v>318</v>
      </c>
      <c r="B128" s="895"/>
      <c r="C128" s="896"/>
      <c r="D128" s="151" t="s">
        <v>183</v>
      </c>
      <c r="E128" s="95">
        <f>'16'!F128</f>
        <v>120151.1</v>
      </c>
      <c r="F128" s="165">
        <v>120608.42</v>
      </c>
      <c r="G128" s="475">
        <f t="shared" ref="G128:G133" si="10">F128-E128</f>
        <v>457.31999999999243</v>
      </c>
      <c r="H128" s="99">
        <f>G128+'16'!H128</f>
        <v>-7035.5800000000017</v>
      </c>
      <c r="I128" s="165"/>
      <c r="J128" s="328">
        <f>H128/DAY(B2)</f>
        <v>-413.85764705882366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69846.59</v>
      </c>
      <c r="F129" s="165">
        <v>69982.899999999994</v>
      </c>
      <c r="G129" s="475">
        <f t="shared" si="10"/>
        <v>136.30999999999767</v>
      </c>
      <c r="H129" s="99">
        <f>G129+'16'!H129</f>
        <v>-2520.1000000000058</v>
      </c>
      <c r="I129" s="165"/>
      <c r="J129" s="328">
        <f>H129/DAY(B2)</f>
        <v>-148.24117647058858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153502.71</v>
      </c>
      <c r="F130" s="165">
        <v>154230.34</v>
      </c>
      <c r="G130" s="475">
        <f t="shared" si="10"/>
        <v>727.63000000000466</v>
      </c>
      <c r="H130" s="99">
        <f>G130+'16'!H130</f>
        <v>-10910.929999999993</v>
      </c>
      <c r="I130" s="165"/>
      <c r="J130" s="328">
        <f>H130/DAY(B2)</f>
        <v>-641.81941176470548</v>
      </c>
      <c r="N130" s="240"/>
      <c r="O130" s="241"/>
    </row>
    <row r="131" spans="1:15" ht="27.75" customHeight="1">
      <c r="A131" s="894" t="s">
        <v>321</v>
      </c>
      <c r="B131" s="895"/>
      <c r="C131" s="896"/>
      <c r="D131" s="151" t="s">
        <v>183</v>
      </c>
      <c r="E131" s="95">
        <f>'16'!F131</f>
        <v>45395.98</v>
      </c>
      <c r="F131" s="165">
        <v>45573.96</v>
      </c>
      <c r="G131" s="475">
        <f t="shared" si="10"/>
        <v>177.97999999999593</v>
      </c>
      <c r="H131" s="99">
        <f>G131+'16'!H131</f>
        <v>-2875.0400000000009</v>
      </c>
      <c r="I131" s="165"/>
      <c r="J131" s="328">
        <f>H131/DAY(B2)</f>
        <v>-169.12000000000006</v>
      </c>
      <c r="N131" s="240"/>
      <c r="O131" s="241"/>
    </row>
    <row r="132" spans="1:15" ht="27.75" customHeight="1">
      <c r="A132" s="894" t="s">
        <v>322</v>
      </c>
      <c r="B132" s="895"/>
      <c r="C132" s="896"/>
      <c r="D132" s="151" t="s">
        <v>183</v>
      </c>
      <c r="E132" s="95">
        <f>'16'!F132</f>
        <v>123102.16</v>
      </c>
      <c r="F132" s="165">
        <v>123460.17</v>
      </c>
      <c r="G132" s="475">
        <f t="shared" si="10"/>
        <v>358.00999999999476</v>
      </c>
      <c r="H132" s="99">
        <f>G132+'16'!H132</f>
        <v>-4713.8300000000017</v>
      </c>
      <c r="I132" s="165"/>
      <c r="J132" s="328">
        <f>H132/DAY(B2)</f>
        <v>-277.28411764705891</v>
      </c>
    </row>
    <row r="133" spans="1:15" ht="27.75" customHeight="1">
      <c r="A133" s="894" t="s">
        <v>359</v>
      </c>
      <c r="B133" s="895"/>
      <c r="C133" s="896"/>
      <c r="D133" s="151" t="s">
        <v>183</v>
      </c>
      <c r="E133" s="95">
        <f>'16'!F133</f>
        <v>224035.9</v>
      </c>
      <c r="F133" s="165">
        <v>224035.59</v>
      </c>
      <c r="G133" s="475">
        <f t="shared" si="10"/>
        <v>-0.30999999999767169</v>
      </c>
      <c r="H133" s="99">
        <f>G133+'16'!H133</f>
        <v>571233.43000000017</v>
      </c>
      <c r="I133" s="165"/>
      <c r="J133" s="328">
        <f>H133/DAY(B2)</f>
        <v>33601.966470588246</v>
      </c>
    </row>
    <row r="134" spans="1:15" ht="27.75" customHeight="1">
      <c r="A134" s="894" t="s">
        <v>340</v>
      </c>
      <c r="B134" s="895"/>
      <c r="C134" s="896"/>
      <c r="D134" s="151" t="s">
        <v>183</v>
      </c>
      <c r="E134" s="95">
        <f>'16'!F134</f>
        <v>45720.4</v>
      </c>
      <c r="F134" s="165">
        <v>45969.89</v>
      </c>
      <c r="G134" s="475">
        <f>F134-E134</f>
        <v>249.48999999999796</v>
      </c>
      <c r="H134" s="99">
        <f>G134+'16'!H134</f>
        <v>-3065.1100000000006</v>
      </c>
      <c r="I134" s="165"/>
      <c r="J134" s="328">
        <f>H134/DAY(B2)</f>
        <v>-180.30058823529416</v>
      </c>
    </row>
    <row r="135" spans="1:15" ht="27.75" customHeight="1">
      <c r="A135" s="876" t="s">
        <v>196</v>
      </c>
      <c r="B135" s="877"/>
      <c r="C135" s="331"/>
      <c r="D135" s="151"/>
      <c r="E135" s="95"/>
      <c r="F135" s="165"/>
      <c r="G135" s="475">
        <f>SUM(G128:G134)</f>
        <v>2106.4299999999857</v>
      </c>
      <c r="H135" s="99">
        <f>G135+'10'!H135</f>
        <v>523263.03</v>
      </c>
      <c r="I135" s="327">
        <f>G135-(G35+G49)</f>
        <v>-1378.9000000000306</v>
      </c>
      <c r="J135" s="328"/>
    </row>
    <row r="136" spans="1:15" ht="27.75" customHeight="1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7.75" customHeight="1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7.75" customHeight="1">
      <c r="A138" s="973" t="s">
        <v>185</v>
      </c>
      <c r="B138" s="973"/>
      <c r="C138" s="973"/>
      <c r="D138" s="233" t="s">
        <v>183</v>
      </c>
      <c r="E138" s="406">
        <f>'16'!F138</f>
        <v>889129</v>
      </c>
      <c r="F138" s="148">
        <v>889271</v>
      </c>
      <c r="G138" s="606">
        <f t="shared" ref="G138:G152" si="11">F138-E138</f>
        <v>142</v>
      </c>
      <c r="H138" s="238">
        <f>G138+'16'!H138</f>
        <v>-1824</v>
      </c>
      <c r="I138" s="407"/>
      <c r="J138" s="408">
        <f>H138/DAY(B2)</f>
        <v>-107.29411764705883</v>
      </c>
    </row>
    <row r="139" spans="1:15" ht="27.75" customHeight="1">
      <c r="A139" s="973" t="s">
        <v>186</v>
      </c>
      <c r="B139" s="973"/>
      <c r="C139" s="973"/>
      <c r="D139" s="233" t="s">
        <v>183</v>
      </c>
      <c r="E139" s="406">
        <f>'16'!F139</f>
        <v>906649</v>
      </c>
      <c r="F139" s="148">
        <v>906802</v>
      </c>
      <c r="G139" s="606">
        <f t="shared" si="11"/>
        <v>153</v>
      </c>
      <c r="H139" s="238">
        <f>G139+'16'!H139</f>
        <v>-2093</v>
      </c>
      <c r="I139" s="407"/>
      <c r="J139" s="408">
        <f>H139/DAY(B2)</f>
        <v>-123.11764705882354</v>
      </c>
    </row>
    <row r="140" spans="1:15" ht="27.75" customHeight="1">
      <c r="A140" s="973" t="s">
        <v>187</v>
      </c>
      <c r="B140" s="973"/>
      <c r="C140" s="973"/>
      <c r="D140" s="233" t="s">
        <v>183</v>
      </c>
      <c r="E140" s="406">
        <f>'16'!F140</f>
        <v>1286</v>
      </c>
      <c r="F140" s="148">
        <v>1301.2</v>
      </c>
      <c r="G140" s="606">
        <f t="shared" si="11"/>
        <v>15.200000000000045</v>
      </c>
      <c r="H140" s="238">
        <f>G140+'16'!H140</f>
        <v>383.96999999999412</v>
      </c>
      <c r="I140" s="407"/>
      <c r="J140" s="408">
        <f>H140/DAY(B2)</f>
        <v>22.586470588234949</v>
      </c>
    </row>
    <row r="141" spans="1:15" ht="27.75" customHeight="1">
      <c r="A141" s="974" t="s">
        <v>188</v>
      </c>
      <c r="B141" s="974"/>
      <c r="C141" s="974"/>
      <c r="D141" s="233" t="s">
        <v>183</v>
      </c>
      <c r="E141" s="406">
        <f>'16'!F141</f>
        <v>87395</v>
      </c>
      <c r="F141" s="148">
        <v>87614</v>
      </c>
      <c r="G141" s="606">
        <f t="shared" si="11"/>
        <v>219</v>
      </c>
      <c r="H141" s="238">
        <f>G141+'16'!H141</f>
        <v>-2838</v>
      </c>
      <c r="I141" s="407"/>
      <c r="J141" s="408">
        <f>H141/DAY(B2)</f>
        <v>-166.94117647058823</v>
      </c>
    </row>
    <row r="142" spans="1:15" ht="27.75" customHeight="1">
      <c r="A142" s="974" t="s">
        <v>189</v>
      </c>
      <c r="B142" s="974"/>
      <c r="C142" s="974"/>
      <c r="D142" s="233" t="s">
        <v>183</v>
      </c>
      <c r="E142" s="406">
        <f>'16'!F142</f>
        <v>35569.160000000003</v>
      </c>
      <c r="F142" s="148">
        <v>35651.06</v>
      </c>
      <c r="G142" s="606">
        <f t="shared" si="11"/>
        <v>81.899999999994179</v>
      </c>
      <c r="H142" s="238">
        <f>G142+'16'!H142</f>
        <v>-1009.9400000000023</v>
      </c>
      <c r="I142" s="534"/>
      <c r="J142" s="408">
        <f>H142/DAY(B2)</f>
        <v>-59.408235294117787</v>
      </c>
    </row>
    <row r="143" spans="1:15" ht="27.75" customHeight="1">
      <c r="A143" s="973" t="s">
        <v>91</v>
      </c>
      <c r="B143" s="973"/>
      <c r="C143" s="973"/>
      <c r="D143" s="233" t="s">
        <v>183</v>
      </c>
      <c r="E143" s="406">
        <f>'16'!F143</f>
        <v>8616.58</v>
      </c>
      <c r="F143" s="148">
        <v>8646.6</v>
      </c>
      <c r="G143" s="606">
        <f t="shared" si="11"/>
        <v>30.020000000000437</v>
      </c>
      <c r="H143" s="238">
        <f>G143+'16'!H143</f>
        <v>-404.39999999999964</v>
      </c>
      <c r="I143" s="534"/>
      <c r="J143" s="408">
        <f>H143/DAY(B2)</f>
        <v>-23.788235294117626</v>
      </c>
    </row>
    <row r="144" spans="1:15" ht="27.75" customHeight="1">
      <c r="A144" s="974" t="s">
        <v>90</v>
      </c>
      <c r="B144" s="974"/>
      <c r="C144" s="974"/>
      <c r="D144" s="233" t="s">
        <v>183</v>
      </c>
      <c r="E144" s="406">
        <f>'16'!F144</f>
        <v>916287</v>
      </c>
      <c r="F144" s="148">
        <v>916532</v>
      </c>
      <c r="G144" s="606">
        <f t="shared" si="11"/>
        <v>245</v>
      </c>
      <c r="H144" s="238">
        <f>G144+'16'!H144</f>
        <v>-3305</v>
      </c>
      <c r="I144" s="534"/>
      <c r="J144" s="408">
        <f>H144/DAY(B2)</f>
        <v>-194.41176470588235</v>
      </c>
    </row>
    <row r="145" spans="1:10" ht="27.75" customHeight="1">
      <c r="A145" s="973" t="s">
        <v>190</v>
      </c>
      <c r="B145" s="973"/>
      <c r="C145" s="973"/>
      <c r="D145" s="233" t="s">
        <v>183</v>
      </c>
      <c r="E145" s="406">
        <f>'16'!F145</f>
        <v>5687.59</v>
      </c>
      <c r="F145" s="148">
        <v>5695.7</v>
      </c>
      <c r="G145" s="606">
        <f t="shared" si="11"/>
        <v>8.1099999999996726</v>
      </c>
      <c r="H145" s="238">
        <f>G145+'16'!H145</f>
        <v>-111.30000000000018</v>
      </c>
      <c r="I145" s="534"/>
      <c r="J145" s="408">
        <f>H145/DAY(B2)</f>
        <v>-6.5470588235294223</v>
      </c>
    </row>
    <row r="146" spans="1:10" ht="27.75" customHeight="1">
      <c r="A146" s="978" t="s">
        <v>191</v>
      </c>
      <c r="B146" s="979"/>
      <c r="C146" s="980"/>
      <c r="D146" s="233" t="s">
        <v>183</v>
      </c>
      <c r="E146" s="406">
        <f>'16'!F146</f>
        <v>780005</v>
      </c>
      <c r="F146" s="148">
        <v>780055</v>
      </c>
      <c r="G146" s="606">
        <f t="shared" si="11"/>
        <v>50</v>
      </c>
      <c r="H146" s="238">
        <f>G146+'16'!H146</f>
        <v>-745</v>
      </c>
      <c r="I146" s="534"/>
      <c r="J146" s="408">
        <f>H146/DAY(B2)</f>
        <v>-43.823529411764703</v>
      </c>
    </row>
    <row r="147" spans="1:10" ht="27.75" customHeight="1">
      <c r="A147" s="974" t="s">
        <v>192</v>
      </c>
      <c r="B147" s="974"/>
      <c r="C147" s="974"/>
      <c r="D147" s="233" t="s">
        <v>183</v>
      </c>
      <c r="E147" s="406">
        <f>'16'!F147</f>
        <v>693771.76</v>
      </c>
      <c r="F147" s="148">
        <v>694187.6</v>
      </c>
      <c r="G147" s="606">
        <f t="shared" si="11"/>
        <v>415.8399999999674</v>
      </c>
      <c r="H147" s="238">
        <f>G147+'16'!H147</f>
        <v>-5581.4000000000233</v>
      </c>
      <c r="I147" s="534"/>
      <c r="J147" s="408">
        <f>H147/DAY(B2)</f>
        <v>-328.31764705882489</v>
      </c>
    </row>
    <row r="148" spans="1:10" ht="27.75" customHeight="1">
      <c r="A148" s="975" t="s">
        <v>193</v>
      </c>
      <c r="B148" s="976"/>
      <c r="C148" s="977"/>
      <c r="D148" s="410" t="s">
        <v>130</v>
      </c>
      <c r="E148" s="406">
        <f>'16'!F148</f>
        <v>743846.48</v>
      </c>
      <c r="F148" s="164">
        <v>744156.56</v>
      </c>
      <c r="G148" s="606">
        <f t="shared" si="11"/>
        <v>310.08000000007451</v>
      </c>
      <c r="H148" s="238">
        <f>G148+'16'!H148</f>
        <v>-4373.4399999999441</v>
      </c>
      <c r="I148" s="238"/>
      <c r="J148" s="408">
        <f>H148/DAY(B2)</f>
        <v>-257.26117647058493</v>
      </c>
    </row>
    <row r="149" spans="1:10" ht="27.75" customHeight="1">
      <c r="A149" s="975" t="s">
        <v>336</v>
      </c>
      <c r="B149" s="976"/>
      <c r="C149" s="977"/>
      <c r="D149" s="416" t="s">
        <v>130</v>
      </c>
      <c r="E149" s="406">
        <f>'16'!F149</f>
        <v>124918.54</v>
      </c>
      <c r="F149" s="416">
        <v>125547.69</v>
      </c>
      <c r="G149" s="606">
        <f t="shared" si="11"/>
        <v>629.15000000000873</v>
      </c>
      <c r="H149" s="238">
        <f>G149+'16'!H149</f>
        <v>-6886.3099999999977</v>
      </c>
      <c r="I149" s="236"/>
      <c r="J149" s="408">
        <f>H149/DAY(B2)</f>
        <v>-405.07705882352928</v>
      </c>
    </row>
    <row r="150" spans="1:10" ht="27.75" customHeight="1">
      <c r="A150" s="975" t="s">
        <v>337</v>
      </c>
      <c r="B150" s="976"/>
      <c r="C150" s="977"/>
      <c r="D150" s="410" t="s">
        <v>130</v>
      </c>
      <c r="E150" s="406">
        <f>'16'!F150</f>
        <v>47291.4</v>
      </c>
      <c r="F150" s="233">
        <v>47510.1</v>
      </c>
      <c r="G150" s="606">
        <f t="shared" si="11"/>
        <v>218.69999999999709</v>
      </c>
      <c r="H150" s="238">
        <f>G150+'16'!H150</f>
        <v>-3104.9000000000015</v>
      </c>
      <c r="I150" s="236"/>
      <c r="J150" s="408">
        <f>H150/DAY(B2)</f>
        <v>-182.64117647058833</v>
      </c>
    </row>
    <row r="151" spans="1:10" ht="27.75" customHeight="1">
      <c r="A151" s="975" t="s">
        <v>338</v>
      </c>
      <c r="B151" s="976"/>
      <c r="C151" s="977"/>
      <c r="D151" s="410" t="s">
        <v>130</v>
      </c>
      <c r="E151" s="406">
        <f>'16'!F151</f>
        <v>130952</v>
      </c>
      <c r="F151" s="233">
        <v>131248</v>
      </c>
      <c r="G151" s="606">
        <f t="shared" si="11"/>
        <v>296</v>
      </c>
      <c r="H151" s="238">
        <f>G151+'16'!H151</f>
        <v>-4201</v>
      </c>
      <c r="I151" s="236"/>
      <c r="J151" s="408">
        <f>H151/DAY(B2)</f>
        <v>-247.11764705882354</v>
      </c>
    </row>
    <row r="152" spans="1:10" ht="27.75" customHeight="1">
      <c r="A152" s="975" t="s">
        <v>339</v>
      </c>
      <c r="B152" s="976"/>
      <c r="C152" s="977"/>
      <c r="D152" s="410" t="s">
        <v>130</v>
      </c>
      <c r="E152" s="406">
        <f>'16'!F152</f>
        <v>21312</v>
      </c>
      <c r="F152" s="233">
        <v>21436.43</v>
      </c>
      <c r="G152" s="606">
        <f t="shared" si="11"/>
        <v>124.43000000000029</v>
      </c>
      <c r="H152" s="238">
        <f>G152+'16'!H152</f>
        <v>-1717.5699999999997</v>
      </c>
      <c r="I152" s="236"/>
      <c r="J152" s="408">
        <f>H152/DAY(B2)</f>
        <v>-101.03352941176469</v>
      </c>
    </row>
    <row r="153" spans="1:10" ht="27.75" customHeight="1">
      <c r="A153" s="982" t="s">
        <v>196</v>
      </c>
      <c r="B153" s="983"/>
      <c r="C153" s="535"/>
      <c r="D153" s="536"/>
      <c r="E153" s="537"/>
      <c r="F153" s="361"/>
      <c r="G153" s="607">
        <f>SUM(G138:G152)</f>
        <v>2938.4300000000421</v>
      </c>
      <c r="H153" s="538"/>
      <c r="I153" s="236">
        <f>G153-(G38+G52)</f>
        <v>479.55000000009568</v>
      </c>
      <c r="J153" s="539"/>
    </row>
    <row r="154" spans="1:10" ht="27.75" customHeight="1">
      <c r="A154" s="981" t="s">
        <v>344</v>
      </c>
      <c r="B154" s="981"/>
      <c r="C154" s="981"/>
      <c r="D154" s="981"/>
      <c r="E154" s="981"/>
      <c r="F154" s="981"/>
      <c r="G154" s="981"/>
      <c r="H154" s="981"/>
      <c r="I154" s="981"/>
      <c r="J154" s="981"/>
    </row>
    <row r="155" spans="1:10" ht="27.75" customHeight="1">
      <c r="A155" s="974" t="s">
        <v>345</v>
      </c>
      <c r="B155" s="974"/>
      <c r="C155" s="974"/>
      <c r="D155" s="410" t="s">
        <v>130</v>
      </c>
      <c r="E155" s="406">
        <f>'16'!F155</f>
        <v>139352.29999999999</v>
      </c>
      <c r="F155" s="419">
        <v>139932</v>
      </c>
      <c r="G155" s="606">
        <f t="shared" ref="G155:G156" si="12">F155-E155</f>
        <v>579.70000000001164</v>
      </c>
      <c r="H155" s="238">
        <f>G155+'16'!H155</f>
        <v>-8217</v>
      </c>
      <c r="I155" s="540"/>
      <c r="J155" s="408">
        <f>H155/DAY(B2)</f>
        <v>-483.35294117647061</v>
      </c>
    </row>
    <row r="156" spans="1:10" ht="27.75" customHeight="1">
      <c r="A156" s="974" t="s">
        <v>347</v>
      </c>
      <c r="B156" s="974"/>
      <c r="C156" s="974"/>
      <c r="D156" s="410" t="s">
        <v>130</v>
      </c>
      <c r="E156" s="406">
        <f>'16'!F156</f>
        <v>13414</v>
      </c>
      <c r="F156" s="157">
        <v>13496</v>
      </c>
      <c r="G156" s="606">
        <f t="shared" si="12"/>
        <v>82</v>
      </c>
      <c r="H156" s="238">
        <f>G156+'16'!H156</f>
        <v>-1238</v>
      </c>
      <c r="I156" s="158"/>
      <c r="J156" s="408">
        <f>H156/DAY(B2)</f>
        <v>-72.82352941176471</v>
      </c>
    </row>
    <row r="157" spans="1:10" ht="27.75" customHeight="1">
      <c r="A157" s="975" t="s">
        <v>360</v>
      </c>
      <c r="B157" s="976"/>
      <c r="C157" s="977"/>
      <c r="D157" s="410" t="s">
        <v>130</v>
      </c>
      <c r="E157" s="406">
        <f>'16'!F157</f>
        <v>25425.62</v>
      </c>
      <c r="F157" s="157">
        <v>25563.78</v>
      </c>
      <c r="G157" s="606">
        <f>F157-E157</f>
        <v>138.15999999999985</v>
      </c>
      <c r="H157" s="238">
        <f>G157+'16'!H157</f>
        <v>-1882.2200000000012</v>
      </c>
      <c r="I157" s="158"/>
      <c r="J157" s="408">
        <f>H157/DAY(B2)</f>
        <v>-110.71882352941184</v>
      </c>
    </row>
    <row r="158" spans="1:10" ht="27.75" customHeight="1">
      <c r="A158" s="975" t="s">
        <v>361</v>
      </c>
      <c r="B158" s="976"/>
      <c r="C158" s="977"/>
      <c r="D158" s="410" t="s">
        <v>130</v>
      </c>
      <c r="E158" s="406">
        <f>'16'!F158</f>
        <v>225.9</v>
      </c>
      <c r="F158" s="158">
        <v>225.9</v>
      </c>
      <c r="G158" s="606">
        <f>F158-E158</f>
        <v>0</v>
      </c>
      <c r="H158" s="238">
        <f>G158+'16'!H158</f>
        <v>137.47999999999999</v>
      </c>
      <c r="I158" s="158"/>
      <c r="J158" s="408">
        <f>H158/DAY(B2)</f>
        <v>8.0870588235294107</v>
      </c>
    </row>
    <row r="159" spans="1:10" ht="27.75" customHeight="1">
      <c r="A159" s="984"/>
      <c r="B159" s="985"/>
      <c r="C159" s="986"/>
      <c r="D159" s="410"/>
      <c r="E159" s="406"/>
      <c r="F159" s="158"/>
      <c r="G159" s="606"/>
      <c r="H159" s="238"/>
      <c r="I159" s="158"/>
      <c r="J159" s="408"/>
    </row>
    <row r="160" spans="1:10" ht="27.75" customHeight="1">
      <c r="A160" s="981" t="s">
        <v>326</v>
      </c>
      <c r="B160" s="981"/>
      <c r="C160" s="981"/>
      <c r="D160" s="981"/>
      <c r="E160" s="981"/>
      <c r="F160" s="981"/>
      <c r="G160" s="981"/>
      <c r="H160" s="981"/>
      <c r="I160" s="981"/>
      <c r="J160" s="981"/>
    </row>
    <row r="161" spans="1:10" ht="27.75" customHeight="1">
      <c r="A161" s="242" t="s">
        <v>92</v>
      </c>
      <c r="B161" s="243"/>
      <c r="C161" s="243"/>
      <c r="D161" s="244" t="s">
        <v>180</v>
      </c>
      <c r="E161" s="406">
        <f>'16'!F161</f>
        <v>479143.4</v>
      </c>
      <c r="F161" s="235">
        <v>479182.28</v>
      </c>
      <c r="G161" s="498">
        <f t="shared" ref="G161:G165" si="13">F161-E161</f>
        <v>38.880000000004657</v>
      </c>
      <c r="H161" s="238">
        <v>0</v>
      </c>
      <c r="I161" s="236"/>
      <c r="J161" s="239">
        <f>H161/DAY(B2)</f>
        <v>0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94390</v>
      </c>
      <c r="F162" s="235">
        <v>94416.2</v>
      </c>
      <c r="G162" s="498">
        <f t="shared" si="13"/>
        <v>26.19999999999709</v>
      </c>
      <c r="H162" s="99">
        <f>G162+'16'!H162</f>
        <v>-511.80000000000291</v>
      </c>
      <c r="I162" s="236"/>
      <c r="J162" s="239">
        <f>H162/DAY(B2)</f>
        <v>-30.105882352941347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4385.6000000000004</v>
      </c>
      <c r="F163" s="235">
        <v>4536.8999999999996</v>
      </c>
      <c r="G163" s="498">
        <f t="shared" si="13"/>
        <v>151.29999999999927</v>
      </c>
      <c r="H163" s="99">
        <f>G163+'16'!H163</f>
        <v>-1964.1000000000004</v>
      </c>
      <c r="I163" s="236"/>
      <c r="J163" s="239">
        <f>H163/DAY(B2)</f>
        <v>-115.53529411764708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6081</v>
      </c>
      <c r="F164" s="235">
        <v>6091.9</v>
      </c>
      <c r="G164" s="498">
        <f t="shared" si="13"/>
        <v>10.899999999999636</v>
      </c>
      <c r="H164" s="99">
        <f>G164+'16'!H164</f>
        <v>-188.10000000000036</v>
      </c>
      <c r="I164" s="236"/>
      <c r="J164" s="239">
        <f>H164/DAY(B2)</f>
        <v>-11.064705882352962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31496.91</v>
      </c>
      <c r="F165" s="235">
        <v>31501.09</v>
      </c>
      <c r="G165" s="498">
        <f t="shared" si="13"/>
        <v>4.180000000000291</v>
      </c>
      <c r="H165" s="99">
        <f>G165+'16'!H165</f>
        <v>-132.90999999999985</v>
      </c>
      <c r="I165" s="236"/>
      <c r="J165" s="239">
        <f>H165/DAY(B2)</f>
        <v>-7.8182352941176383</v>
      </c>
    </row>
    <row r="166" spans="1:10" ht="27.75" customHeight="1">
      <c r="A166" s="881"/>
      <c r="B166" s="881"/>
      <c r="C166" s="246"/>
      <c r="D166" s="244"/>
      <c r="E166" s="95"/>
      <c r="F166" s="165"/>
      <c r="G166" s="495"/>
      <c r="H166" s="99"/>
      <c r="I166" s="165"/>
      <c r="J166" s="239"/>
    </row>
    <row r="167" spans="1:10" ht="27.75" customHeight="1">
      <c r="A167" s="881"/>
      <c r="B167" s="881"/>
      <c r="C167" s="246"/>
      <c r="D167" s="244"/>
      <c r="E167" s="95"/>
      <c r="F167" s="165"/>
      <c r="G167" s="495"/>
      <c r="H167" s="99"/>
      <c r="I167" s="165"/>
      <c r="J167" s="239"/>
    </row>
    <row r="168" spans="1:10" ht="27.75" customHeight="1">
      <c r="A168" s="881"/>
      <c r="B168" s="881"/>
      <c r="C168" s="246"/>
      <c r="D168" s="244"/>
      <c r="E168" s="95"/>
      <c r="F168" s="165"/>
      <c r="G168" s="495"/>
      <c r="H168" s="99"/>
      <c r="I168" s="165"/>
      <c r="J168" s="239"/>
    </row>
    <row r="171" spans="1:10" ht="27.75" customHeight="1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7.75" customHeight="1">
      <c r="A172" s="891"/>
      <c r="B172" s="892"/>
      <c r="C172" s="332"/>
      <c r="D172" s="228"/>
      <c r="E172" s="155"/>
      <c r="F172" s="155"/>
      <c r="G172" s="499"/>
      <c r="H172" s="156"/>
      <c r="I172" s="155"/>
      <c r="J172" s="178"/>
    </row>
    <row r="173" spans="1:10" ht="27.75" customHeight="1">
      <c r="A173" s="887" t="s">
        <v>209</v>
      </c>
      <c r="B173" s="888"/>
      <c r="C173" s="333"/>
      <c r="D173" s="228" t="s">
        <v>142</v>
      </c>
      <c r="E173" s="95">
        <f>'16'!F173</f>
        <v>8276</v>
      </c>
      <c r="F173" s="157">
        <v>8276</v>
      </c>
      <c r="G173" s="499">
        <f>F173-E173</f>
        <v>0</v>
      </c>
      <c r="H173" s="99">
        <f>G173+'16'!H173</f>
        <v>41</v>
      </c>
      <c r="I173" s="155"/>
      <c r="J173" s="178">
        <f>H173/DAY(B2)</f>
        <v>2.4117647058823528</v>
      </c>
    </row>
    <row r="174" spans="1:10" ht="27.75" customHeight="1">
      <c r="A174" s="887" t="s">
        <v>75</v>
      </c>
      <c r="B174" s="888"/>
      <c r="C174" s="333"/>
      <c r="D174" s="228" t="s">
        <v>142</v>
      </c>
      <c r="E174" s="95">
        <f>'16'!F174</f>
        <v>40994</v>
      </c>
      <c r="F174" s="157">
        <v>41009</v>
      </c>
      <c r="G174" s="499">
        <f t="shared" ref="G174:G175" si="14">F174-E174</f>
        <v>15</v>
      </c>
      <c r="H174" s="99">
        <f>G174+'16'!H174</f>
        <v>-195</v>
      </c>
      <c r="I174" s="155"/>
      <c r="J174" s="178">
        <f>H174/DAY(B2)</f>
        <v>-11.470588235294118</v>
      </c>
    </row>
    <row r="175" spans="1:10" ht="27.75" customHeight="1">
      <c r="A175" s="887" t="s">
        <v>76</v>
      </c>
      <c r="B175" s="927"/>
      <c r="C175" s="888"/>
      <c r="D175" s="228" t="s">
        <v>142</v>
      </c>
      <c r="E175" s="95">
        <f>'16'!F175</f>
        <v>23858</v>
      </c>
      <c r="F175" s="155">
        <v>23870</v>
      </c>
      <c r="G175" s="499">
        <f t="shared" si="14"/>
        <v>12</v>
      </c>
      <c r="H175" s="99">
        <f>G175+'16'!H175</f>
        <v>-161</v>
      </c>
      <c r="I175" s="155"/>
      <c r="J175" s="178">
        <f>H175/DAY(B2)</f>
        <v>-9.4705882352941178</v>
      </c>
    </row>
    <row r="176" spans="1:10" ht="27.75" customHeight="1">
      <c r="A176" s="876" t="s">
        <v>196</v>
      </c>
      <c r="B176" s="877"/>
      <c r="C176" s="333"/>
      <c r="D176" s="228" t="s">
        <v>142</v>
      </c>
      <c r="E176" s="95"/>
      <c r="F176" s="155"/>
      <c r="G176" s="499">
        <f>SUM(G173:G175)</f>
        <v>27</v>
      </c>
      <c r="H176" s="99">
        <f>G176+'16'!H176</f>
        <v>-315</v>
      </c>
      <c r="I176" s="155"/>
      <c r="J176" s="178">
        <f>H176/DAY(B2)</f>
        <v>-18.529411764705884</v>
      </c>
    </row>
    <row r="177" spans="1:11" ht="27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499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87" t="s">
        <v>210</v>
      </c>
      <c r="B178" s="888"/>
      <c r="C178" s="333"/>
      <c r="D178" s="228" t="s">
        <v>142</v>
      </c>
      <c r="E178" s="95">
        <f>'16'!F178</f>
        <v>96313</v>
      </c>
      <c r="F178" s="155">
        <v>96397</v>
      </c>
      <c r="G178" s="499">
        <f>F178-E178</f>
        <v>84</v>
      </c>
      <c r="H178" s="99">
        <f>G178+'16'!H178</f>
        <v>-1316</v>
      </c>
      <c r="I178" s="155"/>
      <c r="J178" s="178">
        <f>H178/DAY(B2)</f>
        <v>-77.411764705882348</v>
      </c>
    </row>
    <row r="179" spans="1:11" ht="27.75" customHeight="1">
      <c r="A179" s="887" t="s">
        <v>211</v>
      </c>
      <c r="B179" s="888"/>
      <c r="C179" s="333"/>
      <c r="D179" s="228" t="s">
        <v>142</v>
      </c>
      <c r="E179" s="95">
        <f>'16'!F179</f>
        <v>36002</v>
      </c>
      <c r="F179" s="155">
        <v>36002</v>
      </c>
      <c r="G179" s="499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887" t="s">
        <v>212</v>
      </c>
      <c r="B180" s="888"/>
      <c r="C180" s="333"/>
      <c r="D180" s="228" t="s">
        <v>142</v>
      </c>
      <c r="E180" s="95">
        <f>'16'!F180</f>
        <v>7023</v>
      </c>
      <c r="F180" s="155">
        <v>7038</v>
      </c>
      <c r="G180" s="499">
        <f t="shared" si="15"/>
        <v>15</v>
      </c>
      <c r="H180" s="99">
        <f>G180+'16'!H180</f>
        <v>-131</v>
      </c>
      <c r="I180" s="155"/>
      <c r="J180" s="178">
        <f>H180/DAY(B2)</f>
        <v>-7.7058823529411766</v>
      </c>
    </row>
    <row r="181" spans="1:11" ht="27.75" customHeight="1">
      <c r="A181" s="889" t="s">
        <v>108</v>
      </c>
      <c r="B181" s="890"/>
      <c r="C181" s="333"/>
      <c r="D181" s="228" t="s">
        <v>142</v>
      </c>
      <c r="E181" s="95"/>
      <c r="F181" s="155"/>
      <c r="G181" s="499">
        <f>SUM(G178:G180)</f>
        <v>99</v>
      </c>
      <c r="H181" s="99">
        <f>G181+'16'!H181</f>
        <v>-1447</v>
      </c>
      <c r="I181" s="155"/>
      <c r="J181" s="178">
        <f>H181/DAY(B2)</f>
        <v>-85.117647058823536</v>
      </c>
    </row>
    <row r="182" spans="1:11" ht="27.75" customHeight="1">
      <c r="A182" s="887" t="s">
        <v>213</v>
      </c>
      <c r="B182" s="888"/>
      <c r="C182" s="333"/>
      <c r="D182" s="228" t="s">
        <v>142</v>
      </c>
      <c r="E182" s="95"/>
      <c r="F182" s="155"/>
      <c r="G182" s="499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87" t="s">
        <v>214</v>
      </c>
      <c r="B183" s="888"/>
      <c r="C183" s="334"/>
      <c r="D183" s="228" t="s">
        <v>142</v>
      </c>
      <c r="E183" s="95">
        <f>'16'!F183</f>
        <v>17382</v>
      </c>
      <c r="F183" s="157">
        <v>17388</v>
      </c>
      <c r="G183" s="500">
        <f>F183-E183</f>
        <v>6</v>
      </c>
      <c r="H183" s="99">
        <f>G183+'16'!H183</f>
        <v>-85</v>
      </c>
      <c r="I183" s="155"/>
      <c r="J183" s="178">
        <f>H183/DAY(B2)</f>
        <v>-5</v>
      </c>
    </row>
    <row r="184" spans="1:11" ht="27.75" customHeight="1">
      <c r="A184" s="887" t="s">
        <v>215</v>
      </c>
      <c r="B184" s="888"/>
      <c r="C184" s="334"/>
      <c r="D184" s="228" t="s">
        <v>142</v>
      </c>
      <c r="E184" s="95">
        <f>'16'!F184</f>
        <v>11803</v>
      </c>
      <c r="F184" s="157">
        <v>11812</v>
      </c>
      <c r="G184" s="500">
        <f t="shared" ref="G184:G185" si="16">F184-E184</f>
        <v>9</v>
      </c>
      <c r="H184" s="99">
        <f>G184+'16'!H184</f>
        <v>-123</v>
      </c>
      <c r="I184" s="155"/>
      <c r="J184" s="178">
        <f>H184/DAY(B2)</f>
        <v>-7.2352941176470589</v>
      </c>
    </row>
    <row r="185" spans="1:11" ht="27.75" customHeight="1">
      <c r="A185" s="887" t="s">
        <v>216</v>
      </c>
      <c r="B185" s="888"/>
      <c r="C185" s="334"/>
      <c r="D185" s="228" t="s">
        <v>142</v>
      </c>
      <c r="E185" s="95">
        <f>'16'!F185</f>
        <v>0</v>
      </c>
      <c r="F185" s="157"/>
      <c r="G185" s="500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876" t="s">
        <v>196</v>
      </c>
      <c r="B186" s="877"/>
      <c r="C186" s="334"/>
      <c r="D186" s="228" t="s">
        <v>142</v>
      </c>
      <c r="E186" s="95"/>
      <c r="F186" s="157"/>
      <c r="G186" s="500">
        <f>SUM(G183:G185)</f>
        <v>15</v>
      </c>
      <c r="H186" s="99">
        <f>G186+'16'!H186</f>
        <v>-208</v>
      </c>
      <c r="I186" s="157"/>
      <c r="J186" s="178">
        <f>H186/DAY(B2)</f>
        <v>-12.235294117647058</v>
      </c>
    </row>
    <row r="187" spans="1:11" ht="27.75" customHeight="1">
      <c r="A187" s="878" t="s">
        <v>217</v>
      </c>
      <c r="B187" s="879"/>
      <c r="C187" s="333"/>
      <c r="D187" s="228" t="s">
        <v>142</v>
      </c>
      <c r="E187" s="95"/>
      <c r="F187" s="159"/>
      <c r="G187" s="501">
        <f>G62+G19</f>
        <v>216</v>
      </c>
      <c r="H187" s="99">
        <f>G187+'16'!H187</f>
        <v>-2339</v>
      </c>
      <c r="I187" s="158"/>
      <c r="J187" s="179">
        <f>H187/DAY(B2)</f>
        <v>-137.58823529411765</v>
      </c>
    </row>
    <row r="188" spans="1:11" ht="27.75" customHeight="1">
      <c r="A188" s="878" t="s">
        <v>218</v>
      </c>
      <c r="B188" s="879"/>
      <c r="C188" s="333"/>
      <c r="D188" s="230" t="s">
        <v>142</v>
      </c>
      <c r="E188" s="95"/>
      <c r="F188" s="159"/>
      <c r="G188" s="501">
        <f>G65+G66+G67+G69+G70</f>
        <v>189</v>
      </c>
      <c r="H188" s="99">
        <f>G188+'16'!H188</f>
        <v>535</v>
      </c>
      <c r="I188" s="158"/>
      <c r="J188" s="179">
        <f>H188/DAY(B2)</f>
        <v>31.470588235294116</v>
      </c>
    </row>
    <row r="189" spans="1:11" ht="27.75" customHeight="1">
      <c r="A189" s="878" t="s">
        <v>219</v>
      </c>
      <c r="B189" s="879"/>
      <c r="C189" s="333"/>
      <c r="D189" s="230" t="s">
        <v>142</v>
      </c>
      <c r="E189" s="95"/>
      <c r="F189" s="157"/>
      <c r="G189" s="501">
        <f>G181</f>
        <v>99</v>
      </c>
      <c r="H189" s="99">
        <f>G189+'16'!H189</f>
        <v>-1447</v>
      </c>
      <c r="I189" s="158"/>
      <c r="J189" s="179">
        <f>H189/DAY(B2)</f>
        <v>-85.117647058823536</v>
      </c>
    </row>
    <row r="190" spans="1:11" ht="27.75" customHeight="1">
      <c r="A190" s="885"/>
      <c r="B190" s="886"/>
      <c r="C190" s="399"/>
      <c r="D190" s="396"/>
      <c r="E190" s="396"/>
      <c r="F190" s="396"/>
      <c r="G190" s="608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495"/>
      <c r="H191" s="238"/>
      <c r="I191" s="99"/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58" zoomScale="55" zoomScaleNormal="68" zoomScaleSheetLayoutView="55" workbookViewId="0">
      <selection activeCell="F15" sqref="F1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1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7.75" customHeight="1">
      <c r="A2" s="191" t="s">
        <v>349</v>
      </c>
      <c r="B2" s="262">
        <v>44760</v>
      </c>
      <c r="C2" s="348" t="s">
        <v>67</v>
      </c>
      <c r="D2" s="218">
        <v>0.98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942" t="s">
        <v>119</v>
      </c>
      <c r="F3" s="943"/>
      <c r="G3" s="429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29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36" t="s">
        <v>128</v>
      </c>
      <c r="B6" s="937"/>
      <c r="C6" s="938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781228</v>
      </c>
      <c r="F7" s="95">
        <f>E7+26200</f>
        <v>807428</v>
      </c>
      <c r="G7" s="432">
        <v>25260.899999999994</v>
      </c>
      <c r="H7" s="99">
        <f>G7+'17'!H7</f>
        <v>469358.9</v>
      </c>
      <c r="I7" s="113">
        <f>'1'!I7</f>
        <v>12000</v>
      </c>
      <c r="J7" s="175">
        <f>H7/DAY(B2)</f>
        <v>26075.494444444445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122844.4</v>
      </c>
      <c r="F8" s="95">
        <f>E8+26500</f>
        <v>149344.4</v>
      </c>
      <c r="G8" s="433">
        <f>F8-E8</f>
        <v>26500</v>
      </c>
      <c r="H8" s="99">
        <f>G8+'17'!H8</f>
        <v>476266</v>
      </c>
      <c r="I8" s="116"/>
      <c r="J8" s="175">
        <f>H8/DAY(B2)</f>
        <v>26459.222222222223</v>
      </c>
      <c r="K8" s="172">
        <v>1715917</v>
      </c>
      <c r="L8" s="76">
        <v>1728480</v>
      </c>
      <c r="M8" s="87">
        <f>L8-K8</f>
        <v>12563</v>
      </c>
      <c r="N8" s="87">
        <f>G8-64</f>
        <v>26436</v>
      </c>
      <c r="O8" s="71">
        <f>G7-N8</f>
        <v>-1175.1000000000058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3146033.5</v>
      </c>
      <c r="F9" s="469">
        <v>3160357.3</v>
      </c>
      <c r="G9" s="432">
        <f>F9-E9</f>
        <v>14323.799999999814</v>
      </c>
      <c r="H9" s="99">
        <f>G9+'17'!H9</f>
        <v>-118708.70000000019</v>
      </c>
      <c r="I9" s="124">
        <f>I7-J7</f>
        <v>-14075.494444444445</v>
      </c>
      <c r="J9" s="175">
        <f>H9/DAY(B2)</f>
        <v>-6594.9277777777879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1450214.2</v>
      </c>
      <c r="F10" s="353">
        <v>1460641.2</v>
      </c>
      <c r="G10" s="432">
        <f>F10-E10</f>
        <v>10427</v>
      </c>
      <c r="H10" s="99">
        <f>G10+'17'!H10</f>
        <v>-206516.80000000005</v>
      </c>
      <c r="I10" s="282"/>
      <c r="J10" s="175">
        <f>H10/DAY(B2)</f>
        <v>-11473.155555555559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2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32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4">
        <f>G9+G10+G11+G12</f>
        <v>24750.799999999814</v>
      </c>
      <c r="H13" s="99">
        <f>G13+'17'!H13</f>
        <v>-323890.90000000037</v>
      </c>
      <c r="I13" s="120">
        <f>G7-G13</f>
        <v>510.10000000018044</v>
      </c>
      <c r="J13" s="175">
        <f>H13/DAY(B2)</f>
        <v>-17993.938888888908</v>
      </c>
      <c r="K13" s="79"/>
      <c r="L13" s="66"/>
      <c r="N13" s="87"/>
      <c r="O13" s="71"/>
    </row>
    <row r="14" spans="1:15" ht="27.75" customHeight="1">
      <c r="A14" s="939" t="s">
        <v>137</v>
      </c>
      <c r="B14" s="940"/>
      <c r="C14" s="941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'17'!F15</f>
        <v>2118008</v>
      </c>
      <c r="F15" s="469">
        <f>E15+1000</f>
        <v>2119008</v>
      </c>
      <c r="G15" s="432">
        <f>(F15-E15)</f>
        <v>1000</v>
      </c>
      <c r="H15" s="99">
        <f>G15+'17'!H15</f>
        <v>18140</v>
      </c>
      <c r="I15" s="113">
        <f>'1'!I15</f>
        <v>800</v>
      </c>
      <c r="J15" s="175">
        <f>H15/DAY(B2)</f>
        <v>1007.7777777777778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-207.77777777777783</v>
      </c>
      <c r="J16" s="176"/>
      <c r="K16" s="79"/>
      <c r="L16" s="66"/>
      <c r="N16" s="87"/>
      <c r="O16" s="71"/>
    </row>
    <row r="17" spans="1:15" ht="27.75" customHeight="1">
      <c r="A17" s="939" t="s">
        <v>140</v>
      </c>
      <c r="B17" s="940"/>
      <c r="C17" s="941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15" t="s">
        <v>141</v>
      </c>
      <c r="B18" s="916"/>
      <c r="C18" s="917"/>
      <c r="D18" s="151" t="s">
        <v>142</v>
      </c>
      <c r="E18" s="95">
        <f>'17'!F18</f>
        <v>27</v>
      </c>
      <c r="F18" s="122">
        <v>23</v>
      </c>
      <c r="G18" s="434">
        <f>F18*10</f>
        <v>230</v>
      </c>
      <c r="H18" s="99">
        <f>G18+'17'!H18</f>
        <v>3280</v>
      </c>
      <c r="I18" s="113">
        <f>'1'!I18</f>
        <v>65</v>
      </c>
      <c r="J18" s="175">
        <f>H18/DAY(B2)</f>
        <v>182.22222222222223</v>
      </c>
      <c r="K18" s="79"/>
      <c r="L18" s="66"/>
      <c r="N18" s="87"/>
      <c r="O18" s="71"/>
    </row>
    <row r="19" spans="1:15" ht="27.75" customHeight="1">
      <c r="A19" s="915" t="s">
        <v>69</v>
      </c>
      <c r="B19" s="916"/>
      <c r="C19" s="917"/>
      <c r="D19" s="151" t="s">
        <v>142</v>
      </c>
      <c r="E19" s="95">
        <f>'17'!F19</f>
        <v>161660</v>
      </c>
      <c r="F19" s="122">
        <v>161704</v>
      </c>
      <c r="G19" s="432">
        <f t="shared" ref="G19" si="1">F19-E19</f>
        <v>44</v>
      </c>
      <c r="H19" s="99">
        <f>G19+'17'!H19</f>
        <v>-625</v>
      </c>
      <c r="I19" s="335"/>
      <c r="J19" s="175">
        <f>H19/DAY(B2)</f>
        <v>-34.722222222222221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6">
        <f>G18+G19</f>
        <v>274</v>
      </c>
      <c r="H20" s="99">
        <f>G20+'17'!H20</f>
        <v>2655</v>
      </c>
      <c r="I20" s="336">
        <f>I18-J20</f>
        <v>-82.5</v>
      </c>
      <c r="J20" s="175">
        <f>H20/DAY(B2)</f>
        <v>147.5</v>
      </c>
      <c r="K20" s="79"/>
      <c r="L20" s="66"/>
      <c r="N20" s="87"/>
      <c r="O20" s="71"/>
    </row>
    <row r="21" spans="1:15" ht="27.75" customHeight="1">
      <c r="A21" s="939" t="s">
        <v>144</v>
      </c>
      <c r="B21" s="940"/>
      <c r="C21" s="941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4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0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4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44" t="s">
        <v>149</v>
      </c>
      <c r="B25" s="945"/>
      <c r="C25" s="946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439">
        <f>E27*F27</f>
        <v>238500</v>
      </c>
      <c r="H27" s="99">
        <f>G27+'17'!H27</f>
        <v>4286394</v>
      </c>
      <c r="I27" s="138"/>
      <c r="J27" s="175">
        <f>H27/DAY(B2)</f>
        <v>238133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439">
        <f>E28*F28</f>
        <v>70000</v>
      </c>
      <c r="H28" s="99">
        <f>G28+'17'!H28</f>
        <v>1269800</v>
      </c>
      <c r="I28" s="140"/>
      <c r="J28" s="175">
        <f>H28/DAY(B2)</f>
        <v>70544.444444444438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44</v>
      </c>
      <c r="F30" s="136">
        <v>151</v>
      </c>
      <c r="G30" s="439">
        <f>E30*F30</f>
        <v>6644</v>
      </c>
      <c r="H30" s="99">
        <f>G30+'17'!H30</f>
        <v>-94375</v>
      </c>
      <c r="I30" s="140"/>
      <c r="J30" s="175">
        <f>H30/DAY(B2)</f>
        <v>-5243.0555555555557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439">
        <f>E31*F31</f>
        <v>18400</v>
      </c>
      <c r="H31" s="99">
        <f>G31+'17'!H31</f>
        <v>262400</v>
      </c>
      <c r="I31" s="140"/>
      <c r="J31" s="175">
        <f>H31/DAY(B2)</f>
        <v>14577.777777777777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40">
        <f>G27+G28+G29+G30+G31</f>
        <v>333544</v>
      </c>
      <c r="H32" s="99">
        <f>G32+'17'!H32</f>
        <v>5724219</v>
      </c>
      <c r="I32" s="144"/>
      <c r="J32" s="175">
        <f>H32/DAY(B2)</f>
        <v>318012.16666666669</v>
      </c>
      <c r="K32" s="63"/>
      <c r="L32" s="89"/>
      <c r="N32" s="87"/>
      <c r="O32" s="71"/>
    </row>
    <row r="33" spans="1:15" ht="27.75" customHeight="1">
      <c r="A33" s="947" t="s">
        <v>331</v>
      </c>
      <c r="B33" s="948"/>
      <c r="C33" s="948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238713.05</v>
      </c>
      <c r="F35" s="145">
        <v>238714</v>
      </c>
      <c r="G35" s="432">
        <f t="shared" ref="G35:G46" si="2">F35-E35</f>
        <v>0.95000000001164153</v>
      </c>
      <c r="H35" s="99">
        <f>G35+'17'!H35</f>
        <v>1</v>
      </c>
      <c r="I35" s="95"/>
      <c r="J35" s="175">
        <f>H35/DAY(B2)</f>
        <v>5.5555555555555552E-2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202211.53</v>
      </c>
      <c r="F36" s="145">
        <v>203318.21</v>
      </c>
      <c r="G36" s="432">
        <f t="shared" si="2"/>
        <v>1106.679999999993</v>
      </c>
      <c r="H36" s="99">
        <f>G36+'17'!H36</f>
        <v>-12211.790000000008</v>
      </c>
      <c r="I36" s="95"/>
      <c r="J36" s="175">
        <f>H36/DAY(B2)</f>
        <v>-678.43277777777826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313485.31</v>
      </c>
      <c r="F37" s="145">
        <v>315084.37</v>
      </c>
      <c r="G37" s="432">
        <f t="shared" si="2"/>
        <v>1599.0599999999977</v>
      </c>
      <c r="H37" s="99">
        <f>G37+'17'!H37</f>
        <v>-7914.6300000000047</v>
      </c>
      <c r="I37" s="95"/>
      <c r="J37" s="175">
        <f>H37/DAY(B2)</f>
        <v>-439.70166666666694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425622.47</v>
      </c>
      <c r="F38" s="108">
        <v>428116.18</v>
      </c>
      <c r="G38" s="432">
        <f t="shared" si="2"/>
        <v>2493.710000000021</v>
      </c>
      <c r="H38" s="99">
        <f>G38+'17'!H38</f>
        <v>-29244.820000000007</v>
      </c>
      <c r="I38" s="95"/>
      <c r="J38" s="175">
        <f>H38/DAY(B2)</f>
        <v>-1624.7122222222226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573491.31000000006</v>
      </c>
      <c r="F39" s="145">
        <v>576456.35</v>
      </c>
      <c r="G39" s="432">
        <f t="shared" si="2"/>
        <v>2965.0399999999208</v>
      </c>
      <c r="H39" s="99">
        <f>G39+'17'!H39</f>
        <v>-15127.650000000023</v>
      </c>
      <c r="I39" s="95"/>
      <c r="J39" s="175">
        <f>H39/DAY(B2)</f>
        <v>-840.42500000000132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95148.3</v>
      </c>
      <c r="F40" s="423">
        <v>95931.199999999997</v>
      </c>
      <c r="G40" s="520">
        <f t="shared" si="2"/>
        <v>782.89999999999418</v>
      </c>
      <c r="H40" s="99">
        <f>G40+'17'!H40</f>
        <v>-10844.800000000003</v>
      </c>
      <c r="I40" s="95"/>
      <c r="J40" s="175">
        <f>H40/DAY(B2)</f>
        <v>-602.48888888888905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178466.67</v>
      </c>
      <c r="F41" s="145">
        <v>183358.81</v>
      </c>
      <c r="G41" s="432">
        <f t="shared" si="2"/>
        <v>4892.1399999999849</v>
      </c>
      <c r="H41" s="99">
        <f>G41+'17'!H41</f>
        <v>-28344.190000000002</v>
      </c>
      <c r="I41" s="95"/>
      <c r="J41" s="175">
        <f>H41/DAY(B2)</f>
        <v>-1574.6772222222223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728113.99</v>
      </c>
      <c r="F42" s="145">
        <v>728113.99</v>
      </c>
      <c r="G42" s="432">
        <f t="shared" si="2"/>
        <v>0</v>
      </c>
      <c r="H42" s="99">
        <f>G42+'17'!H42</f>
        <v>-20250.010000000009</v>
      </c>
      <c r="I42" s="95"/>
      <c r="J42" s="175">
        <f>H42/DAY(B2)</f>
        <v>-1125.000555555556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407028</v>
      </c>
      <c r="F43" s="145">
        <v>407028</v>
      </c>
      <c r="G43" s="432">
        <f t="shared" si="2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2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2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2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13840.479999999923</v>
      </c>
      <c r="H47" s="99">
        <f>G47+'17'!H47</f>
        <v>-123936.89000000007</v>
      </c>
      <c r="I47" s="95"/>
      <c r="J47" s="175">
        <f>H47/DAY(B2)</f>
        <v>-6885.3827777777815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428562.2</v>
      </c>
      <c r="F49" s="145">
        <v>432083.21</v>
      </c>
      <c r="G49" s="432">
        <f t="shared" ref="G49:G58" si="3">F49-E49</f>
        <v>3521.0100000000093</v>
      </c>
      <c r="H49" s="99">
        <f>G49+'17'!H49</f>
        <v>-52970.789999999979</v>
      </c>
      <c r="I49" s="95"/>
      <c r="J49" s="175">
        <f>H49/DAY(B2)</f>
        <v>-2942.8216666666654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263749.65000000002</v>
      </c>
      <c r="F50" s="145">
        <v>264911.78999999998</v>
      </c>
      <c r="G50" s="432">
        <f t="shared" si="3"/>
        <v>1162.1399999999558</v>
      </c>
      <c r="H50" s="99">
        <f>G50+'17'!H50</f>
        <v>-17838.210000000021</v>
      </c>
      <c r="I50" s="95"/>
      <c r="J50" s="175">
        <f>H50/DAY(B2)</f>
        <v>-991.01166666666779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76</v>
      </c>
      <c r="F51" s="145">
        <v>76</v>
      </c>
      <c r="G51" s="432">
        <f t="shared" si="3"/>
        <v>0</v>
      </c>
      <c r="H51" s="99">
        <f>G51+'17'!H51</f>
        <v>-8432</v>
      </c>
      <c r="I51" s="95"/>
      <c r="J51" s="175">
        <f>H51/DAY(B2)</f>
        <v>-468.44444444444446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10</v>
      </c>
      <c r="F52" s="145">
        <v>10</v>
      </c>
      <c r="G52" s="432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2">
        <f t="shared" si="3"/>
        <v>0</v>
      </c>
      <c r="H53" s="99">
        <f>G53+'17'!H53</f>
        <v>-33861</v>
      </c>
      <c r="I53" s="95"/>
      <c r="J53" s="175">
        <f>H53/DAY(B2)</f>
        <v>-1881.1666666666667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83021.039999999994</v>
      </c>
      <c r="F54" s="145">
        <v>83384.56</v>
      </c>
      <c r="G54" s="432">
        <f t="shared" si="3"/>
        <v>363.52000000000407</v>
      </c>
      <c r="H54" s="99">
        <f>G54+'17'!H54</f>
        <v>-4558.4400000000023</v>
      </c>
      <c r="I54" s="95"/>
      <c r="J54" s="175">
        <f>H54/DAY(B2)</f>
        <v>-253.24666666666678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327512.90999999997</v>
      </c>
      <c r="F55" s="145">
        <v>329420</v>
      </c>
      <c r="G55" s="432">
        <f t="shared" si="3"/>
        <v>1907.0900000000256</v>
      </c>
      <c r="H55" s="99">
        <f>G55+'17'!H55</f>
        <v>-33357</v>
      </c>
      <c r="I55" s="95"/>
      <c r="J55" s="175">
        <f>H55/DAY(B2)</f>
        <v>-1853.1666666666667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120880.14</v>
      </c>
      <c r="F56" s="145">
        <v>120880.14</v>
      </c>
      <c r="G56" s="432">
        <f t="shared" si="3"/>
        <v>0</v>
      </c>
      <c r="H56" s="99">
        <f>G56+'17'!H56</f>
        <v>-3001.8600000000006</v>
      </c>
      <c r="I56" s="95"/>
      <c r="J56" s="175">
        <f>H56/DAY(B2)</f>
        <v>-166.77000000000004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184465.51</v>
      </c>
      <c r="F57" s="145">
        <v>187347.39</v>
      </c>
      <c r="G57" s="432">
        <f t="shared" si="3"/>
        <v>2881.8800000000047</v>
      </c>
      <c r="H57" s="99">
        <f>G57+'17'!H57</f>
        <v>-38822.609999999986</v>
      </c>
      <c r="I57" s="95"/>
      <c r="J57" s="175">
        <f>H57/DAY(B2)</f>
        <v>-2156.811666666666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45176.55</v>
      </c>
      <c r="F58" s="423">
        <v>45456.6</v>
      </c>
      <c r="G58" s="432">
        <f t="shared" si="3"/>
        <v>280.04999999999563</v>
      </c>
      <c r="H58" s="99">
        <f>G58+'17'!H58</f>
        <v>-3652.4000000000015</v>
      </c>
      <c r="I58" s="95"/>
      <c r="J58" s="175">
        <f>H58/DAY(B2)</f>
        <v>-202.91111111111118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10115.689999999995</v>
      </c>
      <c r="H59" s="99">
        <f>G59+'17'!H59</f>
        <v>-196494.30999999994</v>
      </c>
      <c r="I59" s="95">
        <f>G7-G60</f>
        <v>1304.730000000076</v>
      </c>
      <c r="J59" s="175">
        <f>H59/DAY(B2)</f>
        <v>-10916.350555555553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4">
        <f>G47+G59</f>
        <v>23956.169999999918</v>
      </c>
      <c r="H60" s="99">
        <f>G60+'17'!H60</f>
        <v>-320431.20000000007</v>
      </c>
      <c r="I60" s="95">
        <f>G13-G60</f>
        <v>794.62999999989552</v>
      </c>
      <c r="J60" s="175">
        <f>H60/DAY(B2)</f>
        <v>-17801.733333333337</v>
      </c>
      <c r="K60" s="79"/>
      <c r="L60" s="66"/>
      <c r="N60" s="87"/>
      <c r="O60" s="71"/>
    </row>
    <row r="61" spans="1:15" s="68" customFormat="1" ht="27.75" customHeight="1">
      <c r="A61" s="949" t="s">
        <v>332</v>
      </c>
      <c r="B61" s="950"/>
      <c r="C61" s="951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7.75" customHeight="1">
      <c r="A62" s="915" t="s">
        <v>198</v>
      </c>
      <c r="B62" s="916"/>
      <c r="C62" s="917"/>
      <c r="D62" s="151" t="s">
        <v>142</v>
      </c>
      <c r="E62" s="95">
        <f>'17'!F62</f>
        <v>294605</v>
      </c>
      <c r="F62" s="122">
        <v>294755</v>
      </c>
      <c r="G62" s="432">
        <f t="shared" ref="G62:G63" si="4">F62-E62</f>
        <v>150</v>
      </c>
      <c r="H62" s="99">
        <f>G62+'17'!H62</f>
        <v>-1520</v>
      </c>
      <c r="I62" s="118"/>
      <c r="J62" s="175">
        <f>H62/DAY(B2)</f>
        <v>-84.444444444444443</v>
      </c>
      <c r="K62" s="80"/>
      <c r="L62" s="66"/>
      <c r="N62" s="87"/>
      <c r="O62" s="71"/>
    </row>
    <row r="63" spans="1:15" ht="27.75" customHeight="1">
      <c r="A63" s="915" t="s">
        <v>199</v>
      </c>
      <c r="B63" s="916"/>
      <c r="C63" s="917"/>
      <c r="D63" s="151" t="s">
        <v>142</v>
      </c>
      <c r="E63" s="95">
        <f>'17'!F63</f>
        <v>237042</v>
      </c>
      <c r="F63" s="122">
        <v>237176</v>
      </c>
      <c r="G63" s="432">
        <f t="shared" si="4"/>
        <v>134</v>
      </c>
      <c r="H63" s="99">
        <f>G63+'17'!H63</f>
        <v>-1957</v>
      </c>
      <c r="I63" s="118"/>
      <c r="J63" s="175">
        <f>H63/DAY(B2)</f>
        <v>-108.72222222222223</v>
      </c>
      <c r="K63" s="69"/>
      <c r="L63" s="66"/>
      <c r="N63" s="87"/>
      <c r="O63" s="71"/>
    </row>
    <row r="64" spans="1:15" ht="27.75" customHeight="1">
      <c r="A64" s="924" t="s">
        <v>200</v>
      </c>
      <c r="B64" s="925"/>
      <c r="C64" s="926"/>
      <c r="D64" s="151"/>
      <c r="E64" s="95">
        <f>'17'!F64</f>
        <v>0</v>
      </c>
      <c r="F64" s="122"/>
      <c r="G64" s="432">
        <f>G62+G63</f>
        <v>284</v>
      </c>
      <c r="H64" s="99">
        <f>G64+'17'!H64</f>
        <v>-3477</v>
      </c>
      <c r="I64" s="118"/>
      <c r="J64" s="175">
        <f>H64/DAY(B2)</f>
        <v>-193.16666666666666</v>
      </c>
      <c r="K64" s="69"/>
      <c r="L64" s="66"/>
      <c r="N64" s="87"/>
      <c r="O64" s="71"/>
    </row>
    <row r="65" spans="1:15" ht="27.75" customHeight="1">
      <c r="A65" s="915" t="s">
        <v>201</v>
      </c>
      <c r="B65" s="916"/>
      <c r="C65" s="917"/>
      <c r="D65" s="151" t="s">
        <v>142</v>
      </c>
      <c r="E65" s="95">
        <f>'17'!F65</f>
        <v>453168</v>
      </c>
      <c r="F65" s="122">
        <v>453299</v>
      </c>
      <c r="G65" s="432">
        <f t="shared" ref="G65:G70" si="5">F65-E65</f>
        <v>131</v>
      </c>
      <c r="H65" s="99">
        <f>G65+'17'!H65</f>
        <v>-1411</v>
      </c>
      <c r="I65" s="118"/>
      <c r="J65" s="175">
        <f>H65/DAY(B2)</f>
        <v>-78.388888888888886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111393</v>
      </c>
      <c r="F66" s="122">
        <v>111417</v>
      </c>
      <c r="G66" s="432">
        <f t="shared" si="5"/>
        <v>24</v>
      </c>
      <c r="H66" s="99">
        <f>G66+'17'!H66</f>
        <v>-305</v>
      </c>
      <c r="I66" s="118"/>
      <c r="J66" s="175">
        <f>H66/DAY(B2)</f>
        <v>-16.944444444444443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113681</v>
      </c>
      <c r="F67" s="122">
        <v>113681</v>
      </c>
      <c r="G67" s="432">
        <f t="shared" si="5"/>
        <v>0</v>
      </c>
      <c r="H67" s="99">
        <f>G67+'17'!H67</f>
        <v>1</v>
      </c>
      <c r="I67" s="118"/>
      <c r="J67" s="175">
        <f>H67/DAY(B2)</f>
        <v>5.5555555555555552E-2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164219</v>
      </c>
      <c r="F68" s="122">
        <v>164278</v>
      </c>
      <c r="G68" s="432">
        <f t="shared" si="5"/>
        <v>59</v>
      </c>
      <c r="H68" s="99">
        <f>G68+'17'!H68</f>
        <v>-384</v>
      </c>
      <c r="I68" s="118"/>
      <c r="J68" s="175">
        <f>H68/DAY(B2)</f>
        <v>-21.333333333333332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12209</v>
      </c>
      <c r="F69" s="122">
        <v>12215</v>
      </c>
      <c r="G69" s="432">
        <f t="shared" si="5"/>
        <v>6</v>
      </c>
      <c r="H69" s="99">
        <f>G69+'17'!H69</f>
        <v>-60</v>
      </c>
      <c r="I69" s="118"/>
      <c r="J69" s="175">
        <f>H69/DAY(B2)</f>
        <v>-3.3333333333333335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9672</v>
      </c>
      <c r="F70" s="122">
        <v>9681</v>
      </c>
      <c r="G70" s="432">
        <f t="shared" si="5"/>
        <v>9</v>
      </c>
      <c r="H70" s="99">
        <f>G70+'17'!H70</f>
        <v>-146</v>
      </c>
      <c r="I70" s="118"/>
      <c r="J70" s="175">
        <f>H70/DAY(B2)</f>
        <v>-8.1111111111111107</v>
      </c>
      <c r="K70" s="69"/>
      <c r="L70" s="66"/>
      <c r="N70" s="87"/>
      <c r="O70" s="71"/>
    </row>
    <row r="71" spans="1:15" ht="27.75" customHeight="1">
      <c r="A71" s="924" t="s">
        <v>208</v>
      </c>
      <c r="B71" s="925"/>
      <c r="C71" s="926"/>
      <c r="D71" s="152"/>
      <c r="E71" s="152"/>
      <c r="F71" s="152"/>
      <c r="G71" s="444">
        <f>SUM(G65:G70)</f>
        <v>229</v>
      </c>
      <c r="H71" s="99">
        <f>G71+'17'!H71</f>
        <v>-2305</v>
      </c>
      <c r="I71" s="154"/>
      <c r="J71" s="175">
        <f>H71/DAY(B2)</f>
        <v>-128.05555555555554</v>
      </c>
      <c r="K71" s="69"/>
      <c r="L71" s="66"/>
      <c r="N71" s="87"/>
      <c r="O71" s="71"/>
    </row>
    <row r="72" spans="1:15" s="88" customFormat="1" ht="27.75" customHeight="1">
      <c r="A72" s="911"/>
      <c r="B72" s="896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7.75" customHeight="1">
      <c r="A73" s="921" t="s">
        <v>333</v>
      </c>
      <c r="B73" s="922"/>
      <c r="C73" s="923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7.75" customHeight="1">
      <c r="A74" s="915" t="s">
        <v>220</v>
      </c>
      <c r="B74" s="916"/>
      <c r="C74" s="917"/>
      <c r="D74" s="151" t="s">
        <v>139</v>
      </c>
      <c r="E74" s="95">
        <f>'17'!F74</f>
        <v>953057.23</v>
      </c>
      <c r="F74" s="123">
        <v>953409.94</v>
      </c>
      <c r="G74" s="432">
        <f>F74-E74</f>
        <v>352.70999999996275</v>
      </c>
      <c r="H74" s="99">
        <f>G74+'17'!H74</f>
        <v>-4247.9200000000419</v>
      </c>
      <c r="I74" s="154"/>
      <c r="J74" s="175">
        <f>H74/DAY(B2)</f>
        <v>-235.99555555555787</v>
      </c>
      <c r="K74" s="69"/>
      <c r="L74" s="66"/>
      <c r="N74" s="87"/>
      <c r="O74" s="71"/>
    </row>
    <row r="75" spans="1:15" ht="27.75" customHeight="1">
      <c r="A75" s="915" t="s">
        <v>221</v>
      </c>
      <c r="B75" s="916"/>
      <c r="C75" s="917"/>
      <c r="D75" s="151" t="s">
        <v>139</v>
      </c>
      <c r="E75" s="95">
        <f>'17'!F75</f>
        <v>73586.8</v>
      </c>
      <c r="F75" s="410">
        <v>73586.8</v>
      </c>
      <c r="G75" s="432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2" t="s">
        <v>222</v>
      </c>
      <c r="B76" s="913"/>
      <c r="C76" s="914"/>
      <c r="D76" s="151" t="s">
        <v>139</v>
      </c>
      <c r="E76" s="95">
        <f>'17'!F76</f>
        <v>188708</v>
      </c>
      <c r="F76" s="123">
        <v>188793.41</v>
      </c>
      <c r="G76" s="432">
        <f>F76-E76</f>
        <v>85.410000000003492</v>
      </c>
      <c r="H76" s="99">
        <f>G76+'17'!H76</f>
        <v>-1378.5899999999965</v>
      </c>
      <c r="I76" s="154"/>
      <c r="J76" s="175">
        <f>H76/DAY(B2)</f>
        <v>-76.588333333333139</v>
      </c>
      <c r="K76" s="69"/>
      <c r="L76" s="66"/>
      <c r="N76" s="87"/>
      <c r="O76" s="71"/>
    </row>
    <row r="77" spans="1:15" ht="27.75" customHeight="1">
      <c r="A77" s="912" t="s">
        <v>223</v>
      </c>
      <c r="B77" s="913"/>
      <c r="C77" s="914"/>
      <c r="D77" s="151" t="s">
        <v>139</v>
      </c>
      <c r="E77" s="95">
        <f>'17'!F77</f>
        <v>49583.3</v>
      </c>
      <c r="F77" s="123">
        <v>49637.599999999999</v>
      </c>
      <c r="G77" s="432">
        <f t="shared" si="6"/>
        <v>54.299999999995634</v>
      </c>
      <c r="H77" s="99">
        <f>G77+'17'!H77</f>
        <v>-675.40000000000146</v>
      </c>
      <c r="I77" s="154"/>
      <c r="J77" s="175">
        <f>H77/DAY(B2)</f>
        <v>-37.522222222222304</v>
      </c>
      <c r="K77" s="69"/>
      <c r="L77" s="66"/>
      <c r="N77" s="87"/>
      <c r="O77" s="71"/>
    </row>
    <row r="78" spans="1:15" ht="27.75" customHeight="1">
      <c r="A78" s="912" t="s">
        <v>224</v>
      </c>
      <c r="B78" s="913"/>
      <c r="C78" s="914"/>
      <c r="D78" s="151" t="s">
        <v>139</v>
      </c>
      <c r="E78" s="95">
        <f>'17'!F78</f>
        <v>9564</v>
      </c>
      <c r="F78" s="123">
        <v>9564</v>
      </c>
      <c r="G78" s="432">
        <f t="shared" si="6"/>
        <v>0</v>
      </c>
      <c r="H78" s="99">
        <f>G78+'17'!H78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customHeight="1">
      <c r="A79" s="912" t="s">
        <v>225</v>
      </c>
      <c r="B79" s="913"/>
      <c r="C79" s="914"/>
      <c r="D79" s="151"/>
      <c r="E79" s="95">
        <f>'17'!F79</f>
        <v>0</v>
      </c>
      <c r="F79" s="123">
        <v>0</v>
      </c>
      <c r="G79" s="432">
        <f>G15-SUM(G74:G78)</f>
        <v>507.58000000003813</v>
      </c>
      <c r="H79" s="99">
        <f>G79+'17'!H79</f>
        <v>24441.91000000004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24" t="s">
        <v>329</v>
      </c>
      <c r="B80" s="925"/>
      <c r="C80" s="926"/>
      <c r="D80" s="151"/>
      <c r="E80" s="117"/>
      <c r="F80" s="117"/>
      <c r="G80" s="432">
        <f>SUM(G74:G79)</f>
        <v>1000</v>
      </c>
      <c r="H80" s="99">
        <f>G80+'17'!H80</f>
        <v>1000</v>
      </c>
      <c r="I80" s="118"/>
      <c r="J80" s="175"/>
      <c r="K80" s="59"/>
      <c r="L80" s="58"/>
      <c r="N80" s="87"/>
      <c r="O80" s="71"/>
    </row>
    <row r="81" spans="1:15" ht="27.75" customHeight="1">
      <c r="A81" s="929" t="s">
        <v>226</v>
      </c>
      <c r="B81" s="930"/>
      <c r="C81" s="931"/>
      <c r="D81" s="110"/>
      <c r="E81" s="110"/>
      <c r="F81" s="110"/>
      <c r="G81" s="446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2">
        <f t="shared" ref="G82:G92" si="7">F82-E82</f>
        <v>0</v>
      </c>
      <c r="H82" s="99">
        <f>G82+'17'!H82</f>
        <v>0</v>
      </c>
      <c r="I82" s="571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2">
        <f t="shared" si="7"/>
        <v>0</v>
      </c>
      <c r="H83" s="99">
        <f>G83+'17'!H83</f>
        <v>0</v>
      </c>
      <c r="I83" s="571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42430</v>
      </c>
      <c r="F84" s="164">
        <v>42454</v>
      </c>
      <c r="G84" s="432">
        <f>F84-E84</f>
        <v>24</v>
      </c>
      <c r="H84" s="99">
        <f>G84+'17'!H84</f>
        <v>-135</v>
      </c>
      <c r="I84" s="571"/>
      <c r="J84" s="175">
        <f>H84/DAY(B2)</f>
        <v>-7.5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5049.5</v>
      </c>
      <c r="F85" s="164">
        <v>5049.5</v>
      </c>
      <c r="G85" s="432">
        <f t="shared" si="7"/>
        <v>0</v>
      </c>
      <c r="H85" s="99">
        <f>G85+'17'!H85</f>
        <v>-90.6899999999996</v>
      </c>
      <c r="I85" s="571"/>
      <c r="J85" s="175">
        <f>H85/DAY(B2)</f>
        <v>-5.0383333333333109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45133.35</v>
      </c>
      <c r="F86" s="164">
        <v>45148.2</v>
      </c>
      <c r="G86" s="432">
        <f t="shared" si="7"/>
        <v>14.849999999998545</v>
      </c>
      <c r="H86" s="99">
        <f>G86+'17'!H86</f>
        <v>-230.80000000000291</v>
      </c>
      <c r="I86" s="571"/>
      <c r="J86" s="175">
        <f>H86/DAY(B2)</f>
        <v>-12.822222222222385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35433.01</v>
      </c>
      <c r="F87" s="164">
        <v>35433.01</v>
      </c>
      <c r="G87" s="432">
        <f t="shared" si="7"/>
        <v>0</v>
      </c>
      <c r="H87" s="99">
        <f>G87+'17'!H87</f>
        <v>-24.419999999998254</v>
      </c>
      <c r="I87" s="571">
        <f>G84+G85+G86+G87</f>
        <v>38.849999999998545</v>
      </c>
      <c r="J87" s="175">
        <f>H87/DAY(B2)</f>
        <v>-1.3566666666665697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24297.43</v>
      </c>
      <c r="F88" s="164">
        <v>24297.47</v>
      </c>
      <c r="G88" s="432">
        <f t="shared" si="7"/>
        <v>4.0000000000873115E-2</v>
      </c>
      <c r="H88" s="99">
        <f>G88+'17'!H88</f>
        <v>-5.9899999999979627</v>
      </c>
      <c r="I88" s="571"/>
      <c r="J88" s="175">
        <f>H88/DAY(B2)</f>
        <v>-0.3327777777776646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27438.01</v>
      </c>
      <c r="F89" s="164">
        <v>27446.94</v>
      </c>
      <c r="G89" s="432">
        <f t="shared" si="7"/>
        <v>8.930000000000291</v>
      </c>
      <c r="H89" s="99">
        <f>G89+'17'!H89</f>
        <v>-119.67000000000189</v>
      </c>
      <c r="I89" s="571">
        <f>G88+G89</f>
        <v>8.9700000000011642</v>
      </c>
      <c r="J89" s="175">
        <f>H89/DAY(B2)</f>
        <v>-6.6483333333334382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72457.046000000002</v>
      </c>
      <c r="F90" s="164">
        <v>72469.67</v>
      </c>
      <c r="G90" s="432">
        <f t="shared" si="7"/>
        <v>12.623999999996158</v>
      </c>
      <c r="H90" s="99">
        <f>G90+'17'!H90</f>
        <v>-136.88000000000466</v>
      </c>
      <c r="I90" s="571">
        <f>G90</f>
        <v>12.623999999996158</v>
      </c>
      <c r="J90" s="175">
        <f>H90/DAY(B2)</f>
        <v>-7.6044444444447032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4269.24</v>
      </c>
      <c r="F91" s="164">
        <v>4282.16</v>
      </c>
      <c r="G91" s="432">
        <f t="shared" si="7"/>
        <v>12.920000000000073</v>
      </c>
      <c r="H91" s="99">
        <f>G91+'17'!H91</f>
        <v>-7.3800000000001091</v>
      </c>
      <c r="I91" s="590"/>
      <c r="J91" s="175">
        <f>H91/DAY(B2)</f>
        <v>-0.41000000000000608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6577.87</v>
      </c>
      <c r="F92" s="164">
        <v>6577.87</v>
      </c>
      <c r="G92" s="432">
        <f t="shared" si="7"/>
        <v>0</v>
      </c>
      <c r="H92" s="99">
        <f>G92+'17'!H92</f>
        <v>-139.46000000000004</v>
      </c>
      <c r="I92" s="596">
        <f>G91+G92</f>
        <v>12.920000000000073</v>
      </c>
      <c r="J92" s="175">
        <f>H92/DAY(B2)</f>
        <v>-7.7477777777777801</v>
      </c>
      <c r="O92" s="71"/>
    </row>
    <row r="93" spans="1:15" ht="27.75" customHeight="1">
      <c r="A93" s="918" t="s">
        <v>239</v>
      </c>
      <c r="B93" s="919"/>
      <c r="C93" s="920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7.75" customHeight="1">
      <c r="A94" s="915" t="s">
        <v>240</v>
      </c>
      <c r="B94" s="916"/>
      <c r="C94" s="917"/>
      <c r="D94" s="151" t="s">
        <v>130</v>
      </c>
      <c r="E94" s="151"/>
      <c r="F94" s="151"/>
      <c r="G94" s="447">
        <f>G35+G43+G49+G57</f>
        <v>6403.8400000000256</v>
      </c>
      <c r="H94" s="99">
        <f>G94+'17'!H94</f>
        <v>-91792.399999999965</v>
      </c>
      <c r="I94" s="118"/>
      <c r="J94" s="175">
        <f>H94/DAY(B2)</f>
        <v>-5099.5777777777757</v>
      </c>
      <c r="K94" s="69"/>
      <c r="L94" s="66"/>
      <c r="O94" s="71"/>
    </row>
    <row r="95" spans="1:15" ht="27.75" customHeight="1">
      <c r="A95" s="915" t="s">
        <v>241</v>
      </c>
      <c r="B95" s="916"/>
      <c r="C95" s="917"/>
      <c r="D95" s="151" t="s">
        <v>23</v>
      </c>
      <c r="E95" s="146"/>
      <c r="F95" s="146"/>
      <c r="G95" s="448">
        <f>G94/G7</f>
        <v>0.25350799060999518</v>
      </c>
      <c r="H95" s="99">
        <f>G95+'17'!H95</f>
        <v>-3.4786488400180096</v>
      </c>
      <c r="I95" s="167"/>
      <c r="J95" s="175">
        <f>H95/DAY(B2)</f>
        <v>-0.19325826888988942</v>
      </c>
      <c r="K95" s="69"/>
      <c r="L95" s="66"/>
      <c r="O95" s="71"/>
    </row>
    <row r="96" spans="1:15" ht="27.75" customHeight="1">
      <c r="A96" s="915" t="s">
        <v>242</v>
      </c>
      <c r="B96" s="916"/>
      <c r="C96" s="917"/>
      <c r="D96" s="151" t="s">
        <v>130</v>
      </c>
      <c r="E96" s="95"/>
      <c r="F96" s="95"/>
      <c r="G96" s="447">
        <f>G41+G42+G55+G56</f>
        <v>6799.2300000000105</v>
      </c>
      <c r="H96" s="99">
        <f>G96+'17'!H96</f>
        <v>-84953.06</v>
      </c>
      <c r="I96" s="118"/>
      <c r="J96" s="175">
        <f>H96/DAY(B2)</f>
        <v>-4719.6144444444444</v>
      </c>
      <c r="K96" s="69"/>
      <c r="L96" s="66"/>
      <c r="O96" s="71"/>
    </row>
    <row r="97" spans="1:15" ht="27.75" customHeight="1">
      <c r="A97" s="915" t="s">
        <v>243</v>
      </c>
      <c r="B97" s="916"/>
      <c r="C97" s="917"/>
      <c r="D97" s="151" t="s">
        <v>23</v>
      </c>
      <c r="E97" s="95"/>
      <c r="F97" s="95"/>
      <c r="G97" s="448">
        <f>G96/G7</f>
        <v>0.26916024369678088</v>
      </c>
      <c r="H97" s="99">
        <f>G97+'17'!H97</f>
        <v>-3.2215039294615622</v>
      </c>
      <c r="I97" s="167"/>
      <c r="J97" s="175">
        <f>H97/DAY(B2)</f>
        <v>-0.17897244052564235</v>
      </c>
      <c r="K97" s="69"/>
      <c r="L97" s="66"/>
      <c r="O97" s="71"/>
    </row>
    <row r="98" spans="1:15" ht="27.75" customHeight="1">
      <c r="A98" s="915" t="s">
        <v>244</v>
      </c>
      <c r="B98" s="916"/>
      <c r="C98" s="917"/>
      <c r="D98" s="151" t="s">
        <v>130</v>
      </c>
      <c r="E98" s="95"/>
      <c r="F98" s="95"/>
      <c r="G98" s="447">
        <f>G39+G53</f>
        <v>2965.0399999999208</v>
      </c>
      <c r="H98" s="99">
        <f>G98+'17'!H98</f>
        <v>-48988.650000000023</v>
      </c>
      <c r="I98" s="168"/>
      <c r="J98" s="175">
        <f>H98/DAY(B2)</f>
        <v>-2721.5916666666681</v>
      </c>
      <c r="K98" s="69"/>
      <c r="L98" s="66"/>
      <c r="O98" s="71"/>
    </row>
    <row r="99" spans="1:15" ht="27.75" customHeight="1">
      <c r="A99" s="915" t="s">
        <v>245</v>
      </c>
      <c r="B99" s="916"/>
      <c r="C99" s="917"/>
      <c r="D99" s="151" t="s">
        <v>23</v>
      </c>
      <c r="E99" s="95"/>
      <c r="F99" s="95"/>
      <c r="G99" s="448">
        <f>G98/G7</f>
        <v>0.11737665720540129</v>
      </c>
      <c r="H99" s="99">
        <f>G99+'17'!H99</f>
        <v>-1.855986959998877</v>
      </c>
      <c r="I99" s="168"/>
      <c r="J99" s="175">
        <f>H99/DAY(B2)</f>
        <v>-0.10311038666660427</v>
      </c>
      <c r="O99" s="71"/>
    </row>
    <row r="100" spans="1:15" ht="27.75" customHeight="1">
      <c r="A100" s="915" t="s">
        <v>246</v>
      </c>
      <c r="B100" s="916"/>
      <c r="C100" s="917"/>
      <c r="D100" s="151" t="s">
        <v>180</v>
      </c>
      <c r="E100" s="95"/>
      <c r="F100" s="95"/>
      <c r="G100" s="447">
        <f>G38+G52</f>
        <v>2493.710000000021</v>
      </c>
      <c r="H100" s="99">
        <f>G100+'17'!H100</f>
        <v>-29244.820000000007</v>
      </c>
      <c r="I100" s="118"/>
      <c r="J100" s="175">
        <f>H100/DAY(B2)</f>
        <v>-1624.7122222222226</v>
      </c>
      <c r="K100" s="70"/>
      <c r="O100" s="71"/>
    </row>
    <row r="101" spans="1:15" ht="27.75" customHeight="1">
      <c r="A101" s="915" t="s">
        <v>247</v>
      </c>
      <c r="B101" s="916"/>
      <c r="C101" s="917"/>
      <c r="D101" s="151" t="s">
        <v>23</v>
      </c>
      <c r="E101" s="95"/>
      <c r="F101" s="95"/>
      <c r="G101" s="448">
        <f>G100/G7</f>
        <v>9.8718177103746169E-2</v>
      </c>
      <c r="H101" s="99">
        <f>G101+'17'!H101</f>
        <v>-1.1078432357671277</v>
      </c>
      <c r="I101" s="168"/>
      <c r="J101" s="175">
        <f>H101/DAY(B2)</f>
        <v>-6.1546846431507096E-2</v>
      </c>
      <c r="O101" s="71"/>
    </row>
    <row r="102" spans="1:15" ht="27.75" customHeight="1">
      <c r="A102" s="915" t="s">
        <v>248</v>
      </c>
      <c r="B102" s="916"/>
      <c r="C102" s="917"/>
      <c r="D102" s="151" t="s">
        <v>180</v>
      </c>
      <c r="E102" s="95"/>
      <c r="F102" s="95"/>
      <c r="G102" s="447">
        <f>G36+G50</f>
        <v>2268.8199999999488</v>
      </c>
      <c r="H102" s="99">
        <f>G102+'17'!H102</f>
        <v>-30050.000000000029</v>
      </c>
      <c r="I102" s="168"/>
      <c r="J102" s="175">
        <f>H102/DAY(B2)</f>
        <v>-1669.4444444444462</v>
      </c>
      <c r="O102" s="71"/>
    </row>
    <row r="103" spans="1:15" ht="27.75" customHeight="1">
      <c r="A103" s="915" t="s">
        <v>249</v>
      </c>
      <c r="B103" s="916"/>
      <c r="C103" s="917"/>
      <c r="D103" s="151" t="s">
        <v>23</v>
      </c>
      <c r="E103" s="95"/>
      <c r="F103" s="95"/>
      <c r="G103" s="448">
        <f>G102/G7</f>
        <v>8.9815485592356137E-2</v>
      </c>
      <c r="H103" s="99">
        <f>G103+'17'!H103</f>
        <v>-1.1418793220518346</v>
      </c>
      <c r="I103" s="118"/>
      <c r="J103" s="175">
        <f>H103/DAY(B2)</f>
        <v>-6.3437740113990809E-2</v>
      </c>
      <c r="O103" s="71"/>
    </row>
    <row r="104" spans="1:15" ht="27.75" customHeight="1">
      <c r="A104" s="915" t="s">
        <v>250</v>
      </c>
      <c r="B104" s="916"/>
      <c r="C104" s="917"/>
      <c r="D104" s="151" t="s">
        <v>180</v>
      </c>
      <c r="E104" s="95"/>
      <c r="F104" s="95"/>
      <c r="G104" s="447">
        <f>G37+G51</f>
        <v>1599.0599999999977</v>
      </c>
      <c r="H104" s="99">
        <f>G104+'17'!H104</f>
        <v>-16346.630000000005</v>
      </c>
      <c r="I104" s="118"/>
      <c r="J104" s="175">
        <f>H104/DAY(B2)</f>
        <v>-908.1461111111114</v>
      </c>
      <c r="O104" s="71"/>
    </row>
    <row r="105" spans="1:15" ht="27.75" customHeight="1" thickBot="1">
      <c r="A105" s="908" t="s">
        <v>251</v>
      </c>
      <c r="B105" s="909"/>
      <c r="C105" s="910"/>
      <c r="D105" s="231" t="s">
        <v>23</v>
      </c>
      <c r="E105" s="185"/>
      <c r="F105" s="185"/>
      <c r="G105" s="449">
        <f>G104/G7</f>
        <v>6.3301782596819511E-2</v>
      </c>
      <c r="H105" s="99">
        <f>G105+'17'!H105</f>
        <v>-0.61926411476027177</v>
      </c>
      <c r="I105" s="187"/>
      <c r="J105" s="188">
        <f>H105/DAY(B2)</f>
        <v>-3.440356193112621E-2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8" spans="1:15" ht="27.75" customHeight="1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7.75" customHeight="1">
      <c r="A109" s="932"/>
      <c r="B109" s="932"/>
    </row>
    <row r="110" spans="1:15" ht="27.75" customHeight="1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7.75" customHeight="1">
      <c r="A111" s="898"/>
      <c r="B111" s="899"/>
      <c r="C111" s="900"/>
      <c r="D111" s="165"/>
      <c r="E111" s="165"/>
      <c r="F111" s="165"/>
      <c r="G111" s="452"/>
      <c r="H111" s="156"/>
      <c r="I111" s="165"/>
      <c r="J111" s="327"/>
    </row>
    <row r="112" spans="1:15" ht="27.75" customHeight="1">
      <c r="A112" s="894" t="s">
        <v>252</v>
      </c>
      <c r="B112" s="895"/>
      <c r="C112" s="896"/>
      <c r="D112" s="146" t="s">
        <v>183</v>
      </c>
      <c r="E112" s="95">
        <f>'17'!F112</f>
        <v>6213.44</v>
      </c>
      <c r="F112" s="237">
        <v>6292.76</v>
      </c>
      <c r="G112" s="432">
        <f t="shared" ref="G112:G123" si="8">F112-E112</f>
        <v>79.320000000000618</v>
      </c>
      <c r="H112" s="99">
        <f>G112+'17'!H112</f>
        <v>-972.23999999999978</v>
      </c>
      <c r="I112" s="165"/>
      <c r="J112" s="328">
        <f>H112/DAY(B2)</f>
        <v>-54.013333333333321</v>
      </c>
    </row>
    <row r="113" spans="1:18" ht="27.75" customHeight="1">
      <c r="A113" s="894" t="s">
        <v>253</v>
      </c>
      <c r="B113" s="895"/>
      <c r="C113" s="896"/>
      <c r="D113" s="146" t="s">
        <v>183</v>
      </c>
      <c r="E113" s="95">
        <f>'17'!F113</f>
        <v>13065.6</v>
      </c>
      <c r="F113" s="237">
        <v>13209</v>
      </c>
      <c r="G113" s="432">
        <f t="shared" si="8"/>
        <v>143.39999999999964</v>
      </c>
      <c r="H113" s="99">
        <f>G113+'17'!H113</f>
        <v>-1806</v>
      </c>
      <c r="I113" s="165"/>
      <c r="J113" s="328">
        <f>H113/DAY(B2)</f>
        <v>-100.33333333333333</v>
      </c>
    </row>
    <row r="114" spans="1:18" ht="27.75" customHeight="1">
      <c r="A114" s="894" t="s">
        <v>254</v>
      </c>
      <c r="B114" s="895"/>
      <c r="C114" s="896"/>
      <c r="D114" s="146" t="s">
        <v>183</v>
      </c>
      <c r="E114" s="95">
        <f>'17'!F114</f>
        <v>18122.66</v>
      </c>
      <c r="F114" s="237">
        <v>18360.45</v>
      </c>
      <c r="G114" s="432">
        <f t="shared" si="8"/>
        <v>237.79000000000087</v>
      </c>
      <c r="H114" s="99">
        <f>G114+'17'!H114</f>
        <v>-2907.5499999999993</v>
      </c>
      <c r="I114" s="165"/>
      <c r="J114" s="328">
        <f>H114/DAY(B2)</f>
        <v>-161.53055555555551</v>
      </c>
    </row>
    <row r="115" spans="1:18" ht="27.75" customHeight="1">
      <c r="A115" s="894" t="s">
        <v>255</v>
      </c>
      <c r="B115" s="895"/>
      <c r="C115" s="896"/>
      <c r="D115" s="146" t="s">
        <v>183</v>
      </c>
      <c r="E115" s="95">
        <f>'17'!F115</f>
        <v>11200.2</v>
      </c>
      <c r="F115" s="237">
        <v>11337.2</v>
      </c>
      <c r="G115" s="432">
        <f t="shared" si="8"/>
        <v>137</v>
      </c>
      <c r="H115" s="99">
        <f>G115+'17'!H115</f>
        <v>-2202.0200000000004</v>
      </c>
      <c r="I115" s="165"/>
      <c r="J115" s="328">
        <f>H115/DAY(B2)</f>
        <v>-122.33444444444447</v>
      </c>
    </row>
    <row r="116" spans="1:18" ht="27.75" customHeight="1">
      <c r="A116" s="901" t="s">
        <v>96</v>
      </c>
      <c r="B116" s="902"/>
      <c r="C116" s="903"/>
      <c r="D116" s="146" t="s">
        <v>183</v>
      </c>
      <c r="E116" s="95">
        <f>'17'!F116</f>
        <v>65249.9</v>
      </c>
      <c r="F116" s="237">
        <v>65550.8</v>
      </c>
      <c r="G116" s="432">
        <f t="shared" si="8"/>
        <v>300.90000000000146</v>
      </c>
      <c r="H116" s="99">
        <f>G116+'17'!H116</f>
        <v>-4941.1999999999971</v>
      </c>
      <c r="I116" s="165"/>
      <c r="J116" s="328">
        <f>H116/DAY(B2)</f>
        <v>-274.51111111111095</v>
      </c>
      <c r="Q116" s="894" t="s">
        <v>311</v>
      </c>
      <c r="R116" s="896"/>
    </row>
    <row r="117" spans="1:18" ht="27.75" customHeight="1">
      <c r="A117" s="901" t="s">
        <v>184</v>
      </c>
      <c r="B117" s="902"/>
      <c r="C117" s="903"/>
      <c r="D117" s="146" t="s">
        <v>183</v>
      </c>
      <c r="E117" s="95">
        <f>'17'!F117</f>
        <v>37487.699999999997</v>
      </c>
      <c r="F117" s="237">
        <v>37733.589999999997</v>
      </c>
      <c r="G117" s="432">
        <f t="shared" si="8"/>
        <v>245.88999999999942</v>
      </c>
      <c r="H117" s="99">
        <f>G117+'17'!H117</f>
        <v>-3188.4100000000035</v>
      </c>
      <c r="I117" s="165"/>
      <c r="J117" s="328">
        <f>H117/DAY(B2)</f>
        <v>-177.13388888888909</v>
      </c>
      <c r="Q117" s="894" t="s">
        <v>312</v>
      </c>
      <c r="R117" s="896"/>
    </row>
    <row r="118" spans="1:18" ht="27.75" customHeight="1">
      <c r="A118" s="893" t="s">
        <v>97</v>
      </c>
      <c r="B118" s="893"/>
      <c r="C118" s="893"/>
      <c r="D118" s="151" t="s">
        <v>183</v>
      </c>
      <c r="E118" s="95">
        <f>'17'!F118</f>
        <v>55786.5</v>
      </c>
      <c r="F118" s="237">
        <v>56542.2</v>
      </c>
      <c r="G118" s="432">
        <f t="shared" si="8"/>
        <v>755.69999999999709</v>
      </c>
      <c r="H118" s="99">
        <f>G118+'17'!H118</f>
        <v>-8129.8000000000029</v>
      </c>
      <c r="I118" s="165"/>
      <c r="J118" s="328">
        <f>H118/DAY(B2)</f>
        <v>-451.65555555555574</v>
      </c>
      <c r="Q118" s="894" t="s">
        <v>311</v>
      </c>
      <c r="R118" s="896"/>
    </row>
    <row r="119" spans="1:18" ht="27.75" customHeight="1">
      <c r="A119" s="893" t="s">
        <v>98</v>
      </c>
      <c r="B119" s="893"/>
      <c r="C119" s="893"/>
      <c r="D119" s="151" t="s">
        <v>183</v>
      </c>
      <c r="E119" s="95">
        <f>'17'!F119</f>
        <v>34281.9</v>
      </c>
      <c r="F119" s="237">
        <v>34518.133000000002</v>
      </c>
      <c r="G119" s="432">
        <f t="shared" si="8"/>
        <v>236.23300000000017</v>
      </c>
      <c r="H119" s="99">
        <f>G119+'17'!H119</f>
        <v>-2930.8669999999984</v>
      </c>
      <c r="I119" s="165"/>
      <c r="J119" s="328">
        <f>H119/DAY(B2)</f>
        <v>-162.82594444444436</v>
      </c>
    </row>
    <row r="120" spans="1:18" ht="27.75" customHeight="1">
      <c r="A120" s="893" t="s">
        <v>99</v>
      </c>
      <c r="B120" s="893"/>
      <c r="C120" s="893"/>
      <c r="D120" s="151" t="s">
        <v>183</v>
      </c>
      <c r="E120" s="95">
        <f>'17'!F120</f>
        <v>40523.199999999997</v>
      </c>
      <c r="F120" s="237">
        <v>40971.4</v>
      </c>
      <c r="G120" s="432">
        <f t="shared" si="8"/>
        <v>448.20000000000437</v>
      </c>
      <c r="H120" s="99">
        <f>G120+'17'!H120</f>
        <v>-5295.5999999999985</v>
      </c>
      <c r="I120" s="165"/>
      <c r="J120" s="328">
        <f>H120/DAY(B2)</f>
        <v>-294.19999999999993</v>
      </c>
    </row>
    <row r="121" spans="1:18" ht="27.75" customHeight="1">
      <c r="A121" s="893" t="s">
        <v>100</v>
      </c>
      <c r="B121" s="893"/>
      <c r="C121" s="893"/>
      <c r="D121" s="151" t="s">
        <v>183</v>
      </c>
      <c r="E121" s="95">
        <f>'17'!F121</f>
        <v>47217.4</v>
      </c>
      <c r="F121" s="237">
        <v>47667.9</v>
      </c>
      <c r="G121" s="432">
        <f t="shared" si="8"/>
        <v>450.5</v>
      </c>
      <c r="H121" s="99">
        <f>G121+'17'!H121</f>
        <v>-5875.0999999999985</v>
      </c>
      <c r="I121" s="165"/>
      <c r="J121" s="328">
        <f>H121/DAY(B2)</f>
        <v>-326.39444444444439</v>
      </c>
    </row>
    <row r="122" spans="1:18" ht="27.75" customHeight="1">
      <c r="A122" s="893" t="s">
        <v>101</v>
      </c>
      <c r="B122" s="893"/>
      <c r="C122" s="893"/>
      <c r="D122" s="151" t="s">
        <v>183</v>
      </c>
      <c r="E122" s="95">
        <f>'17'!F122</f>
        <v>24831.7</v>
      </c>
      <c r="F122" s="237">
        <v>25130.240000000002</v>
      </c>
      <c r="G122" s="432">
        <f t="shared" si="8"/>
        <v>298.54000000000087</v>
      </c>
      <c r="H122" s="99">
        <f>G122+'17'!H122</f>
        <v>-3543.7599999999984</v>
      </c>
      <c r="I122" s="165"/>
      <c r="J122" s="328">
        <f>H122/DAY(B2)</f>
        <v>-196.87555555555548</v>
      </c>
    </row>
    <row r="123" spans="1:18" ht="27.75" customHeight="1">
      <c r="A123" s="893" t="s">
        <v>102</v>
      </c>
      <c r="B123" s="893"/>
      <c r="C123" s="893"/>
      <c r="D123" s="151" t="s">
        <v>183</v>
      </c>
      <c r="E123" s="95">
        <f>'17'!F123</f>
        <v>25741.5</v>
      </c>
      <c r="F123" s="237">
        <v>26069.5</v>
      </c>
      <c r="G123" s="432">
        <f t="shared" si="8"/>
        <v>328</v>
      </c>
      <c r="H123" s="99">
        <f>G123+'17'!H123</f>
        <v>-4118.5</v>
      </c>
      <c r="I123" s="165"/>
      <c r="J123" s="328">
        <f>H123/DAY(B2)</f>
        <v>-228.80555555555554</v>
      </c>
    </row>
    <row r="124" spans="1:18" ht="27.75" customHeight="1">
      <c r="A124" s="898"/>
      <c r="B124" s="899"/>
      <c r="C124" s="900"/>
      <c r="D124" s="165"/>
      <c r="E124" s="95">
        <f>'17'!F124</f>
        <v>0</v>
      </c>
      <c r="F124" s="165"/>
      <c r="G124" s="452"/>
      <c r="H124" s="99">
        <f>G124+'17'!H124</f>
        <v>0</v>
      </c>
      <c r="I124" s="165"/>
      <c r="J124" s="327"/>
    </row>
    <row r="125" spans="1:18" ht="27.75" customHeight="1">
      <c r="A125" s="876" t="s">
        <v>196</v>
      </c>
      <c r="B125" s="877"/>
      <c r="C125" s="245"/>
      <c r="D125" s="307"/>
      <c r="E125" s="308"/>
      <c r="F125" s="308"/>
      <c r="G125" s="453">
        <f>SUM(G112:G124)</f>
        <v>3661.4730000000045</v>
      </c>
      <c r="H125" s="156"/>
      <c r="I125" s="327">
        <f>G125-(G39+G53)</f>
        <v>696.43300000008367</v>
      </c>
      <c r="J125" s="327"/>
    </row>
    <row r="126" spans="1:18" ht="27.75" customHeight="1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7.75" customHeight="1">
      <c r="A127" s="881"/>
      <c r="B127" s="881"/>
      <c r="C127" s="245"/>
      <c r="D127" s="307"/>
      <c r="E127" s="308"/>
      <c r="F127" s="308"/>
      <c r="G127" s="453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894" t="s">
        <v>318</v>
      </c>
      <c r="B128" s="895"/>
      <c r="C128" s="896"/>
      <c r="D128" s="151" t="s">
        <v>183</v>
      </c>
      <c r="E128" s="95">
        <f>'17'!F128</f>
        <v>120608.42</v>
      </c>
      <c r="F128" s="165">
        <v>121068.9</v>
      </c>
      <c r="G128" s="432">
        <f t="shared" ref="G128:G134" si="9">F128-E128</f>
        <v>460.47999999999593</v>
      </c>
      <c r="H128" s="99">
        <f>G128+'17'!H128</f>
        <v>-6575.1000000000058</v>
      </c>
      <c r="I128" s="165"/>
      <c r="J128" s="328">
        <f>H128/DAY(B2)</f>
        <v>-365.28333333333364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69982.899999999994</v>
      </c>
      <c r="F129" s="165">
        <v>70152.95</v>
      </c>
      <c r="G129" s="432">
        <f t="shared" si="9"/>
        <v>170.05000000000291</v>
      </c>
      <c r="H129" s="99">
        <f>G129+'17'!H129</f>
        <v>-2350.0500000000029</v>
      </c>
      <c r="I129" s="165"/>
      <c r="J129" s="328">
        <f>H129/DAY(B2)</f>
        <v>-130.55833333333351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154230.34</v>
      </c>
      <c r="F130" s="165">
        <v>154832.73000000001</v>
      </c>
      <c r="G130" s="432">
        <f t="shared" si="9"/>
        <v>602.39000000001397</v>
      </c>
      <c r="H130" s="99">
        <f>G130+'17'!H130</f>
        <v>-10308.539999999979</v>
      </c>
      <c r="I130" s="165"/>
      <c r="J130" s="328">
        <f>H130/DAY(B2)</f>
        <v>-572.69666666666546</v>
      </c>
      <c r="N130" s="240"/>
      <c r="O130" s="241"/>
    </row>
    <row r="131" spans="1:15" ht="27.75" customHeight="1">
      <c r="A131" s="894" t="s">
        <v>321</v>
      </c>
      <c r="B131" s="895"/>
      <c r="C131" s="896"/>
      <c r="D131" s="151" t="s">
        <v>183</v>
      </c>
      <c r="E131" s="95">
        <f>'17'!F131</f>
        <v>45573.96</v>
      </c>
      <c r="F131" s="158">
        <v>45767</v>
      </c>
      <c r="G131" s="432">
        <f t="shared" si="9"/>
        <v>193.04000000000087</v>
      </c>
      <c r="H131" s="99">
        <f>G131+'17'!H131</f>
        <v>-2682</v>
      </c>
      <c r="I131" s="165"/>
      <c r="J131" s="328">
        <f>H131/DAY(B2)</f>
        <v>-149</v>
      </c>
      <c r="N131" s="240"/>
      <c r="O131" s="241"/>
    </row>
    <row r="132" spans="1:15" ht="27.75" customHeight="1">
      <c r="A132" s="894" t="s">
        <v>322</v>
      </c>
      <c r="B132" s="895"/>
      <c r="C132" s="896"/>
      <c r="D132" s="151" t="s">
        <v>183</v>
      </c>
      <c r="E132" s="95">
        <f>'17'!F132</f>
        <v>123460.17</v>
      </c>
      <c r="F132" s="158">
        <v>123795.87</v>
      </c>
      <c r="G132" s="432">
        <f t="shared" si="9"/>
        <v>335.69999999999709</v>
      </c>
      <c r="H132" s="99">
        <f>G132+'17'!H132</f>
        <v>-4378.1300000000047</v>
      </c>
      <c r="I132" s="165"/>
      <c r="J132" s="328">
        <f>H132/DAY(B2)</f>
        <v>-243.22944444444471</v>
      </c>
    </row>
    <row r="133" spans="1:15" ht="27.75" customHeight="1">
      <c r="A133" s="894" t="s">
        <v>359</v>
      </c>
      <c r="B133" s="895"/>
      <c r="C133" s="896"/>
      <c r="D133" s="151" t="s">
        <v>183</v>
      </c>
      <c r="E133" s="95">
        <f>'17'!F133</f>
        <v>224035.59</v>
      </c>
      <c r="F133" s="165">
        <v>224035.59</v>
      </c>
      <c r="G133" s="432">
        <f t="shared" si="9"/>
        <v>0</v>
      </c>
      <c r="H133" s="99">
        <f>G133+'17'!H133</f>
        <v>571233.43000000017</v>
      </c>
      <c r="I133" s="165"/>
      <c r="J133" s="328">
        <f>H133/DAY(B2)</f>
        <v>31735.190555555564</v>
      </c>
    </row>
    <row r="134" spans="1:15" ht="27.75" customHeight="1">
      <c r="A134" s="894" t="s">
        <v>340</v>
      </c>
      <c r="B134" s="895"/>
      <c r="C134" s="896"/>
      <c r="D134" s="151" t="s">
        <v>183</v>
      </c>
      <c r="E134" s="95">
        <f>'17'!F134</f>
        <v>45969.89</v>
      </c>
      <c r="F134" s="158">
        <v>46235</v>
      </c>
      <c r="G134" s="432">
        <f t="shared" si="9"/>
        <v>265.11000000000058</v>
      </c>
      <c r="H134" s="99">
        <f>G134+'17'!H134</f>
        <v>-2800</v>
      </c>
      <c r="I134" s="165"/>
      <c r="J134" s="328">
        <f>H134/DAY(B2)</f>
        <v>-155.55555555555554</v>
      </c>
    </row>
    <row r="135" spans="1:15" ht="27.75" customHeight="1">
      <c r="A135" s="876" t="s">
        <v>196</v>
      </c>
      <c r="B135" s="877"/>
      <c r="C135" s="331"/>
      <c r="D135" s="151"/>
      <c r="E135" s="95"/>
      <c r="F135" s="165"/>
      <c r="G135" s="432">
        <f>SUM(G128:G134)</f>
        <v>2026.7700000000114</v>
      </c>
      <c r="H135" s="99">
        <f>G135+'10'!H135</f>
        <v>523183.37000000005</v>
      </c>
      <c r="I135" s="327">
        <f>G135-(G35+G49)</f>
        <v>-1495.1900000000096</v>
      </c>
      <c r="J135" s="328"/>
    </row>
    <row r="136" spans="1:15" ht="27.75" customHeight="1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7.75" customHeight="1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7.75" customHeight="1">
      <c r="A138" s="893" t="s">
        <v>185</v>
      </c>
      <c r="B138" s="893"/>
      <c r="C138" s="893"/>
      <c r="D138" s="151" t="s">
        <v>183</v>
      </c>
      <c r="E138" s="95">
        <f>'17'!F138</f>
        <v>889271</v>
      </c>
      <c r="F138" s="147">
        <v>889407</v>
      </c>
      <c r="G138" s="432">
        <f t="shared" ref="G138:G152" si="10">F138-E138</f>
        <v>136</v>
      </c>
      <c r="H138" s="99">
        <f>G138+'17'!H138</f>
        <v>-1688</v>
      </c>
      <c r="I138" s="118"/>
      <c r="J138" s="328">
        <f>H138/DAY(B2)</f>
        <v>-93.777777777777771</v>
      </c>
    </row>
    <row r="139" spans="1:15" ht="27.75" customHeight="1">
      <c r="A139" s="893" t="s">
        <v>186</v>
      </c>
      <c r="B139" s="893"/>
      <c r="C139" s="893"/>
      <c r="D139" s="151" t="s">
        <v>183</v>
      </c>
      <c r="E139" s="95">
        <f>'17'!F139</f>
        <v>906802</v>
      </c>
      <c r="F139" s="148">
        <v>906951</v>
      </c>
      <c r="G139" s="432">
        <f t="shared" si="10"/>
        <v>149</v>
      </c>
      <c r="H139" s="99">
        <f>G139+'17'!H139</f>
        <v>-1944</v>
      </c>
      <c r="I139" s="118"/>
      <c r="J139" s="328">
        <f>H139/DAY(B2)</f>
        <v>-108</v>
      </c>
    </row>
    <row r="140" spans="1:15" ht="27.75" customHeight="1">
      <c r="A140" s="893" t="s">
        <v>187</v>
      </c>
      <c r="B140" s="893"/>
      <c r="C140" s="893"/>
      <c r="D140" s="151" t="s">
        <v>183</v>
      </c>
      <c r="E140" s="95">
        <f>'17'!F140</f>
        <v>1301.2</v>
      </c>
      <c r="F140" s="149">
        <v>1317.21</v>
      </c>
      <c r="G140" s="432">
        <f t="shared" si="10"/>
        <v>16.009999999999991</v>
      </c>
      <c r="H140" s="99">
        <f>G140+'17'!H140</f>
        <v>399.97999999999411</v>
      </c>
      <c r="I140" s="118"/>
      <c r="J140" s="328">
        <f>H140/DAY(B2)</f>
        <v>22.221111111110783</v>
      </c>
    </row>
    <row r="141" spans="1:15" ht="27.75" customHeight="1">
      <c r="A141" s="872" t="s">
        <v>188</v>
      </c>
      <c r="B141" s="872"/>
      <c r="C141" s="872"/>
      <c r="D141" s="151" t="s">
        <v>183</v>
      </c>
      <c r="E141" s="95">
        <f>'17'!F141</f>
        <v>87614</v>
      </c>
      <c r="F141" s="149">
        <v>87817.56</v>
      </c>
      <c r="G141" s="432">
        <f t="shared" si="10"/>
        <v>203.55999999999767</v>
      </c>
      <c r="H141" s="99">
        <f>G141+'17'!H141</f>
        <v>-2634.4400000000023</v>
      </c>
      <c r="I141" s="118"/>
      <c r="J141" s="328">
        <f>H141/DAY(B2)</f>
        <v>-146.3577777777779</v>
      </c>
    </row>
    <row r="142" spans="1:15" ht="27.75" customHeight="1">
      <c r="A142" s="872" t="s">
        <v>189</v>
      </c>
      <c r="B142" s="872"/>
      <c r="C142" s="872"/>
      <c r="D142" s="151" t="s">
        <v>183</v>
      </c>
      <c r="E142" s="95">
        <f>'17'!F142</f>
        <v>35651.06</v>
      </c>
      <c r="F142" s="148">
        <v>35728.1</v>
      </c>
      <c r="G142" s="432">
        <f t="shared" si="10"/>
        <v>77.040000000000873</v>
      </c>
      <c r="H142" s="99">
        <f>G142+'17'!H142</f>
        <v>-932.90000000000146</v>
      </c>
      <c r="I142" s="140"/>
      <c r="J142" s="328">
        <f>H142/DAY(B2)</f>
        <v>-51.827777777777861</v>
      </c>
    </row>
    <row r="143" spans="1:15" ht="27.75" customHeight="1">
      <c r="A143" s="893" t="s">
        <v>91</v>
      </c>
      <c r="B143" s="893"/>
      <c r="C143" s="893"/>
      <c r="D143" s="151" t="s">
        <v>183</v>
      </c>
      <c r="E143" s="95">
        <f>'17'!F143</f>
        <v>8646.6</v>
      </c>
      <c r="F143" s="149">
        <v>8675.2000000000007</v>
      </c>
      <c r="G143" s="432">
        <f t="shared" si="10"/>
        <v>28.600000000000364</v>
      </c>
      <c r="H143" s="99">
        <f>G143+'17'!H143</f>
        <v>-375.79999999999927</v>
      </c>
      <c r="I143" s="140"/>
      <c r="J143" s="328">
        <f>H143/DAY(B2)</f>
        <v>-20.877777777777737</v>
      </c>
    </row>
    <row r="144" spans="1:15" ht="27.75" customHeight="1">
      <c r="A144" s="872" t="s">
        <v>90</v>
      </c>
      <c r="B144" s="872"/>
      <c r="C144" s="872"/>
      <c r="D144" s="151" t="s">
        <v>183</v>
      </c>
      <c r="E144" s="95">
        <f>'17'!F144</f>
        <v>916532</v>
      </c>
      <c r="F144" s="148">
        <v>916762</v>
      </c>
      <c r="G144" s="432">
        <f t="shared" si="10"/>
        <v>230</v>
      </c>
      <c r="H144" s="99">
        <f>G144+'17'!H144</f>
        <v>-3075</v>
      </c>
      <c r="I144" s="140"/>
      <c r="J144" s="328">
        <f>H144/DAY(B2)</f>
        <v>-170.83333333333334</v>
      </c>
    </row>
    <row r="145" spans="1:10" ht="27.75" customHeight="1">
      <c r="A145" s="893" t="s">
        <v>190</v>
      </c>
      <c r="B145" s="893"/>
      <c r="C145" s="893"/>
      <c r="D145" s="152" t="s">
        <v>183</v>
      </c>
      <c r="E145" s="95">
        <f>'17'!F145</f>
        <v>5695.7</v>
      </c>
      <c r="F145" s="149">
        <v>5716.19</v>
      </c>
      <c r="G145" s="432">
        <f t="shared" si="10"/>
        <v>20.489999999999782</v>
      </c>
      <c r="H145" s="99">
        <f>G145+'17'!H145</f>
        <v>-90.8100000000004</v>
      </c>
      <c r="I145" s="140"/>
      <c r="J145" s="328">
        <f>H145/DAY(B2)</f>
        <v>-5.0450000000000221</v>
      </c>
    </row>
    <row r="146" spans="1:10" ht="27.75" customHeight="1">
      <c r="A146" s="928" t="s">
        <v>191</v>
      </c>
      <c r="B146" s="913"/>
      <c r="C146" s="914"/>
      <c r="D146" s="152" t="s">
        <v>183</v>
      </c>
      <c r="E146" s="95">
        <f>'17'!F146</f>
        <v>780055</v>
      </c>
      <c r="F146" s="148">
        <v>780077</v>
      </c>
      <c r="G146" s="432">
        <f t="shared" si="10"/>
        <v>22</v>
      </c>
      <c r="H146" s="99">
        <f>G146+'17'!H146</f>
        <v>-723</v>
      </c>
      <c r="I146" s="140"/>
      <c r="J146" s="328">
        <f>H146/DAY(B2)</f>
        <v>-40.166666666666664</v>
      </c>
    </row>
    <row r="147" spans="1:10" ht="27.75" customHeight="1">
      <c r="A147" s="872" t="s">
        <v>192</v>
      </c>
      <c r="B147" s="872"/>
      <c r="C147" s="872"/>
      <c r="D147" s="152" t="s">
        <v>183</v>
      </c>
      <c r="E147" s="95">
        <f>'17'!F147</f>
        <v>694187.6</v>
      </c>
      <c r="F147" s="148">
        <v>694602.8</v>
      </c>
      <c r="G147" s="432">
        <f t="shared" si="10"/>
        <v>415.20000000006985</v>
      </c>
      <c r="H147" s="99">
        <f>G147+'17'!H147</f>
        <v>-5166.1999999999534</v>
      </c>
      <c r="I147" s="140"/>
      <c r="J147" s="328">
        <f>H147/DAY(B2)</f>
        <v>-287.01111111110851</v>
      </c>
    </row>
    <row r="148" spans="1:10" ht="27.75" customHeight="1">
      <c r="A148" s="873" t="s">
        <v>193</v>
      </c>
      <c r="B148" s="874"/>
      <c r="C148" s="875"/>
      <c r="D148" s="123" t="s">
        <v>130</v>
      </c>
      <c r="E148" s="95">
        <f>'17'!F148</f>
        <v>744156.56</v>
      </c>
      <c r="F148" s="150">
        <v>744432.88</v>
      </c>
      <c r="G148" s="432">
        <f t="shared" si="10"/>
        <v>276.31999999994878</v>
      </c>
      <c r="H148" s="99">
        <f>G148+'17'!H148</f>
        <v>-4097.1199999999953</v>
      </c>
      <c r="I148" s="124"/>
      <c r="J148" s="328">
        <f>H148/DAY(B2)</f>
        <v>-227.61777777777752</v>
      </c>
    </row>
    <row r="149" spans="1:10" ht="27.75" customHeight="1">
      <c r="A149" s="873" t="s">
        <v>336</v>
      </c>
      <c r="B149" s="874"/>
      <c r="C149" s="875"/>
      <c r="D149" s="227" t="s">
        <v>130</v>
      </c>
      <c r="E149" s="95">
        <f>'17'!F149</f>
        <v>125547.69</v>
      </c>
      <c r="F149" s="416">
        <v>126157</v>
      </c>
      <c r="G149" s="432">
        <f t="shared" si="10"/>
        <v>609.30999999999767</v>
      </c>
      <c r="H149" s="99">
        <f>G149+'17'!H149</f>
        <v>-6277</v>
      </c>
      <c r="I149" s="119"/>
      <c r="J149" s="328">
        <f>H149/DAY(B2)</f>
        <v>-348.72222222222223</v>
      </c>
    </row>
    <row r="150" spans="1:10" ht="27.75" customHeight="1">
      <c r="A150" s="873" t="s">
        <v>337</v>
      </c>
      <c r="B150" s="874"/>
      <c r="C150" s="875"/>
      <c r="D150" s="117" t="s">
        <v>130</v>
      </c>
      <c r="E150" s="95">
        <f>'17'!F150</f>
        <v>47510.1</v>
      </c>
      <c r="F150" s="233">
        <v>47730.23</v>
      </c>
      <c r="G150" s="432">
        <f t="shared" si="10"/>
        <v>220.13000000000466</v>
      </c>
      <c r="H150" s="99">
        <f>G150+'17'!H150</f>
        <v>-2884.7699999999968</v>
      </c>
      <c r="I150" s="119"/>
      <c r="J150" s="328">
        <f>H150/DAY(B2)</f>
        <v>-160.26499999999982</v>
      </c>
    </row>
    <row r="151" spans="1:10" ht="27.75" customHeight="1">
      <c r="A151" s="873" t="s">
        <v>338</v>
      </c>
      <c r="B151" s="874"/>
      <c r="C151" s="875"/>
      <c r="D151" s="117" t="s">
        <v>130</v>
      </c>
      <c r="E151" s="95">
        <f>'17'!F151</f>
        <v>131248</v>
      </c>
      <c r="F151" s="233">
        <v>131551</v>
      </c>
      <c r="G151" s="432">
        <f t="shared" si="10"/>
        <v>303</v>
      </c>
      <c r="H151" s="99">
        <f>G151+'17'!H151</f>
        <v>-3898</v>
      </c>
      <c r="I151" s="119"/>
      <c r="J151" s="328">
        <f>H151/DAY(B2)</f>
        <v>-216.55555555555554</v>
      </c>
    </row>
    <row r="152" spans="1:10" ht="27.75" customHeight="1">
      <c r="A152" s="873" t="s">
        <v>339</v>
      </c>
      <c r="B152" s="874"/>
      <c r="C152" s="875"/>
      <c r="D152" s="117" t="s">
        <v>130</v>
      </c>
      <c r="E152" s="95">
        <f>'17'!F152</f>
        <v>21436.43</v>
      </c>
      <c r="F152" s="233">
        <v>21562.2</v>
      </c>
      <c r="G152" s="432">
        <f t="shared" si="10"/>
        <v>125.77000000000044</v>
      </c>
      <c r="H152" s="99">
        <f>G152+'17'!H152</f>
        <v>-1591.7999999999993</v>
      </c>
      <c r="I152" s="119"/>
      <c r="J152" s="328">
        <f>H152/DAY(B2)</f>
        <v>-88.433333333333294</v>
      </c>
    </row>
    <row r="153" spans="1:10" ht="27.75" customHeight="1">
      <c r="A153" s="876" t="s">
        <v>196</v>
      </c>
      <c r="B153" s="877"/>
      <c r="C153" s="365"/>
      <c r="D153" s="358"/>
      <c r="E153" s="360"/>
      <c r="F153" s="361"/>
      <c r="G153" s="454">
        <f>SUM(G138:G152)</f>
        <v>2832.4300000000203</v>
      </c>
      <c r="H153" s="363"/>
      <c r="I153" s="119">
        <f>G153-(G38+G52)</f>
        <v>338.71999999999935</v>
      </c>
      <c r="J153" s="366"/>
    </row>
    <row r="154" spans="1:10" ht="27.75" customHeight="1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 customHeight="1">
      <c r="A155" s="872" t="s">
        <v>345</v>
      </c>
      <c r="B155" s="872"/>
      <c r="C155" s="872"/>
      <c r="D155" s="117" t="s">
        <v>130</v>
      </c>
      <c r="E155" s="95">
        <f>'17'!F155</f>
        <v>139932</v>
      </c>
      <c r="F155" s="389">
        <v>140513</v>
      </c>
      <c r="G155" s="432">
        <f t="shared" ref="G155:G157" si="11">F155-E155</f>
        <v>581</v>
      </c>
      <c r="H155" s="99">
        <f>G155+'17'!H155</f>
        <v>-7636</v>
      </c>
      <c r="I155" s="364"/>
      <c r="J155" s="328">
        <f>H155/DAY(B2)</f>
        <v>-424.22222222222223</v>
      </c>
    </row>
    <row r="156" spans="1:10" ht="27.75" customHeight="1">
      <c r="A156" s="872" t="s">
        <v>347</v>
      </c>
      <c r="B156" s="872"/>
      <c r="C156" s="872"/>
      <c r="D156" s="117" t="s">
        <v>130</v>
      </c>
      <c r="E156" s="95">
        <f>'17'!F156</f>
        <v>13496</v>
      </c>
      <c r="F156" s="155">
        <v>13576</v>
      </c>
      <c r="G156" s="432">
        <f t="shared" si="11"/>
        <v>80</v>
      </c>
      <c r="H156" s="99">
        <f>G156+'17'!H156</f>
        <v>-1158</v>
      </c>
      <c r="I156" s="165"/>
      <c r="J156" s="328">
        <f>H156/DAY(B2)</f>
        <v>-64.333333333333329</v>
      </c>
    </row>
    <row r="157" spans="1:10" ht="27.75" customHeight="1">
      <c r="A157" s="873" t="s">
        <v>360</v>
      </c>
      <c r="B157" s="874"/>
      <c r="C157" s="875"/>
      <c r="D157" s="117" t="s">
        <v>130</v>
      </c>
      <c r="E157" s="95">
        <f>'17'!F157</f>
        <v>25563.78</v>
      </c>
      <c r="F157" s="155">
        <v>25716.53</v>
      </c>
      <c r="G157" s="432">
        <f t="shared" si="11"/>
        <v>152.75</v>
      </c>
      <c r="H157" s="99">
        <f>G157+'17'!H157</f>
        <v>-1729.4700000000012</v>
      </c>
      <c r="I157" s="165"/>
      <c r="J157" s="328">
        <f>H157/DAY(B2)</f>
        <v>-96.081666666666734</v>
      </c>
    </row>
    <row r="158" spans="1:10" ht="27.75" customHeight="1">
      <c r="A158" s="873" t="s">
        <v>361</v>
      </c>
      <c r="B158" s="874"/>
      <c r="C158" s="875"/>
      <c r="D158" s="117" t="s">
        <v>130</v>
      </c>
      <c r="E158" s="95">
        <f>'17'!F158</f>
        <v>225.9</v>
      </c>
      <c r="F158" s="155">
        <v>228.4</v>
      </c>
      <c r="G158" s="432">
        <f t="shared" ref="G158" si="12">F158-E158</f>
        <v>2.5</v>
      </c>
      <c r="H158" s="99">
        <f>G158+'17'!H158</f>
        <v>139.97999999999999</v>
      </c>
      <c r="I158" s="165"/>
      <c r="J158" s="328">
        <f>H158/DAY(B2)</f>
        <v>7.7766666666666664</v>
      </c>
    </row>
    <row r="159" spans="1:10" ht="27.75" customHeight="1">
      <c r="A159" s="958"/>
      <c r="B159" s="959"/>
      <c r="C159" s="960"/>
      <c r="D159" s="117"/>
      <c r="E159" s="95"/>
      <c r="F159" s="165"/>
      <c r="G159" s="432"/>
      <c r="H159" s="99"/>
      <c r="I159" s="165"/>
      <c r="J159" s="328"/>
    </row>
    <row r="160" spans="1:10" ht="27.75" customHeight="1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6" ht="27.75" customHeight="1">
      <c r="A161" s="242" t="s">
        <v>92</v>
      </c>
      <c r="B161" s="243"/>
      <c r="C161" s="243"/>
      <c r="D161" s="244" t="s">
        <v>180</v>
      </c>
      <c r="E161" s="95">
        <f>'17'!F161</f>
        <v>479182.28</v>
      </c>
      <c r="F161" s="235">
        <v>479219.72</v>
      </c>
      <c r="G161" s="455">
        <f t="shared" ref="G161:G166" si="13">F161-E161</f>
        <v>37.439999999944121</v>
      </c>
      <c r="H161" s="99">
        <f>G161+'17'!H161</f>
        <v>37.439999999944121</v>
      </c>
      <c r="I161" s="236"/>
      <c r="J161" s="239">
        <f>H161/DAY(B2)</f>
        <v>2.0799999999968954</v>
      </c>
    </row>
    <row r="162" spans="1:16" ht="27.75" customHeight="1">
      <c r="A162" s="242" t="s">
        <v>93</v>
      </c>
      <c r="B162" s="243"/>
      <c r="C162" s="243"/>
      <c r="D162" s="244" t="s">
        <v>180</v>
      </c>
      <c r="E162" s="95">
        <f>'17'!F162</f>
        <v>94416.2</v>
      </c>
      <c r="F162" s="235">
        <v>94456</v>
      </c>
      <c r="G162" s="455">
        <f t="shared" si="13"/>
        <v>39.80000000000291</v>
      </c>
      <c r="H162" s="99">
        <f>G162+'17'!H162</f>
        <v>-472</v>
      </c>
      <c r="I162" s="236"/>
      <c r="J162" s="239">
        <f>H162/DAY(B2)</f>
        <v>-26.222222222222221</v>
      </c>
    </row>
    <row r="163" spans="1:16" ht="27.75" customHeight="1">
      <c r="A163" s="242" t="s">
        <v>197</v>
      </c>
      <c r="B163" s="243"/>
      <c r="C163" s="243"/>
      <c r="D163" s="244" t="s">
        <v>180</v>
      </c>
      <c r="E163" s="95">
        <f>'17'!F163</f>
        <v>4536.8999999999996</v>
      </c>
      <c r="F163" s="235">
        <v>4709</v>
      </c>
      <c r="G163" s="455">
        <f t="shared" si="13"/>
        <v>172.10000000000036</v>
      </c>
      <c r="H163" s="99">
        <f>G163+'17'!H163</f>
        <v>-1792</v>
      </c>
      <c r="I163" s="236"/>
      <c r="J163" s="239">
        <f>H163/DAY(B2)</f>
        <v>-99.555555555555557</v>
      </c>
    </row>
    <row r="164" spans="1:16" ht="27.75" customHeight="1">
      <c r="A164" s="242" t="s">
        <v>197</v>
      </c>
      <c r="B164" s="243"/>
      <c r="C164" s="243"/>
      <c r="D164" s="244" t="s">
        <v>180</v>
      </c>
      <c r="E164" s="95">
        <f>'17'!F164</f>
        <v>6091.9</v>
      </c>
      <c r="F164" s="235">
        <v>6106</v>
      </c>
      <c r="G164" s="455">
        <f t="shared" si="13"/>
        <v>14.100000000000364</v>
      </c>
      <c r="H164" s="99">
        <f>G164+'17'!H164</f>
        <v>-174</v>
      </c>
      <c r="I164" s="236"/>
      <c r="J164" s="239">
        <f>H164/DAY(B2)</f>
        <v>-9.6666666666666661</v>
      </c>
    </row>
    <row r="165" spans="1:16" ht="27.75" customHeight="1">
      <c r="A165" s="242" t="s">
        <v>309</v>
      </c>
      <c r="B165" s="243"/>
      <c r="C165" s="243"/>
      <c r="D165" s="244" t="s">
        <v>180</v>
      </c>
      <c r="E165" s="95">
        <f>'17'!F165</f>
        <v>31501.09</v>
      </c>
      <c r="F165" s="235">
        <v>31511</v>
      </c>
      <c r="G165" s="455">
        <f t="shared" si="13"/>
        <v>9.9099999999998545</v>
      </c>
      <c r="H165" s="99">
        <f>G165+'17'!H165</f>
        <v>-123</v>
      </c>
      <c r="I165" s="236"/>
      <c r="J165" s="239">
        <f>H165/DAY(B2)</f>
        <v>-6.833333333333333</v>
      </c>
    </row>
    <row r="166" spans="1:16" ht="27.75" customHeight="1">
      <c r="A166" s="881"/>
      <c r="B166" s="881"/>
      <c r="C166" s="246"/>
      <c r="D166" s="244" t="s">
        <v>180</v>
      </c>
      <c r="E166" s="95">
        <f>'17'!F166</f>
        <v>0</v>
      </c>
      <c r="F166" s="165"/>
      <c r="G166" s="452">
        <f t="shared" si="13"/>
        <v>0</v>
      </c>
      <c r="H166" s="99">
        <f>G166+'17'!H166</f>
        <v>0</v>
      </c>
      <c r="I166" s="165"/>
      <c r="J166" s="239">
        <f>H166/DAY(B2)</f>
        <v>0</v>
      </c>
    </row>
    <row r="167" spans="1:16" ht="27.75" customHeight="1">
      <c r="A167" s="881"/>
      <c r="B167" s="881"/>
      <c r="C167" s="246"/>
      <c r="D167" s="244" t="s">
        <v>180</v>
      </c>
      <c r="E167" s="95">
        <f>'17'!F167</f>
        <v>0</v>
      </c>
      <c r="F167" s="165"/>
      <c r="G167" s="452"/>
      <c r="H167" s="99">
        <f>G167+'17'!H167</f>
        <v>0</v>
      </c>
      <c r="I167" s="165"/>
      <c r="J167" s="239">
        <f>H167/DAY(B2)</f>
        <v>0</v>
      </c>
    </row>
    <row r="168" spans="1:16" ht="27.75" customHeight="1">
      <c r="A168" s="881"/>
      <c r="B168" s="881"/>
      <c r="C168" s="246"/>
      <c r="D168" s="244" t="s">
        <v>180</v>
      </c>
      <c r="E168" s="95">
        <f>'17'!F168</f>
        <v>0</v>
      </c>
      <c r="F168" s="165"/>
      <c r="G168" s="452"/>
      <c r="H168" s="99">
        <f>G168+'17'!H168</f>
        <v>0</v>
      </c>
      <c r="I168" s="165"/>
      <c r="J168" s="239">
        <f>H168/DAY(B2)</f>
        <v>0</v>
      </c>
    </row>
    <row r="171" spans="1:16" ht="27.75" customHeight="1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6" ht="27.75" customHeight="1">
      <c r="A172" s="891"/>
      <c r="B172" s="892"/>
      <c r="C172" s="332"/>
      <c r="D172" s="228"/>
      <c r="E172" s="155"/>
      <c r="F172" s="155"/>
      <c r="G172" s="456"/>
      <c r="H172" s="156"/>
      <c r="I172" s="155"/>
      <c r="J172" s="178"/>
    </row>
    <row r="173" spans="1:16" ht="27.75" customHeight="1">
      <c r="A173" s="887" t="s">
        <v>209</v>
      </c>
      <c r="B173" s="888"/>
      <c r="C173" s="333"/>
      <c r="D173" s="228" t="s">
        <v>142</v>
      </c>
      <c r="E173" s="95">
        <f>'17'!F173</f>
        <v>8276</v>
      </c>
      <c r="F173" s="155">
        <v>8276</v>
      </c>
      <c r="G173" s="456">
        <f>F173-E173</f>
        <v>0</v>
      </c>
      <c r="H173" s="99">
        <f>G173+'17'!H173</f>
        <v>41</v>
      </c>
      <c r="I173" s="155"/>
      <c r="J173" s="178">
        <f>H173/DAY(B2)</f>
        <v>2.2777777777777777</v>
      </c>
    </row>
    <row r="174" spans="1:16" ht="27.75" customHeight="1">
      <c r="A174" s="887" t="s">
        <v>75</v>
      </c>
      <c r="B174" s="888"/>
      <c r="C174" s="333"/>
      <c r="D174" s="228" t="s">
        <v>142</v>
      </c>
      <c r="E174" s="95">
        <f>'17'!F174</f>
        <v>41009</v>
      </c>
      <c r="F174" s="157">
        <v>41009</v>
      </c>
      <c r="G174" s="757">
        <f t="shared" ref="G174:G175" si="14">F174-E174</f>
        <v>0</v>
      </c>
      <c r="H174" s="99">
        <f>G174+'17'!H174</f>
        <v>-195</v>
      </c>
      <c r="I174" s="155"/>
      <c r="J174" s="178">
        <f>H174/DAY(B2)</f>
        <v>-10.833333333333334</v>
      </c>
      <c r="P174" s="65">
        <v>800561</v>
      </c>
    </row>
    <row r="175" spans="1:16" ht="27.75" customHeight="1">
      <c r="A175" s="887" t="s">
        <v>76</v>
      </c>
      <c r="B175" s="927"/>
      <c r="C175" s="888"/>
      <c r="D175" s="228" t="s">
        <v>142</v>
      </c>
      <c r="E175" s="95">
        <f>'17'!F175</f>
        <v>23870</v>
      </c>
      <c r="F175" s="155">
        <v>23882</v>
      </c>
      <c r="G175" s="456">
        <f t="shared" si="14"/>
        <v>12</v>
      </c>
      <c r="H175" s="99">
        <f>G175+'17'!H175</f>
        <v>-149</v>
      </c>
      <c r="I175" s="155"/>
      <c r="J175" s="178">
        <f>H175/DAY(B2)</f>
        <v>-8.2777777777777786</v>
      </c>
    </row>
    <row r="176" spans="1:16" ht="27.75" customHeight="1">
      <c r="A176" s="876" t="s">
        <v>196</v>
      </c>
      <c r="B176" s="877"/>
      <c r="C176" s="401"/>
      <c r="D176" s="228" t="s">
        <v>142</v>
      </c>
      <c r="E176" s="95"/>
      <c r="F176" s="155"/>
      <c r="G176" s="456">
        <f>SUM(G173:G175)</f>
        <v>12</v>
      </c>
      <c r="H176" s="99">
        <f>G176+'17'!H176</f>
        <v>-303</v>
      </c>
      <c r="I176" s="155"/>
      <c r="J176" s="178">
        <f>H176/DAY(B2)</f>
        <v>-16.833333333333332</v>
      </c>
    </row>
    <row r="177" spans="1:11" ht="27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456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87" t="s">
        <v>210</v>
      </c>
      <c r="B178" s="888"/>
      <c r="C178" s="333"/>
      <c r="D178" s="228" t="s">
        <v>142</v>
      </c>
      <c r="E178" s="95">
        <f>'17'!F178</f>
        <v>96397</v>
      </c>
      <c r="F178" s="155">
        <v>96527</v>
      </c>
      <c r="G178" s="456">
        <f>F178-E178</f>
        <v>130</v>
      </c>
      <c r="H178" s="99">
        <f>G178+'17'!H178</f>
        <v>-1186</v>
      </c>
      <c r="I178" s="155"/>
      <c r="J178" s="178">
        <f>H178/DAY(B2)</f>
        <v>-65.888888888888886</v>
      </c>
    </row>
    <row r="179" spans="1:11" ht="27.75" customHeight="1">
      <c r="A179" s="887" t="s">
        <v>211</v>
      </c>
      <c r="B179" s="888"/>
      <c r="C179" s="333"/>
      <c r="D179" s="228" t="s">
        <v>142</v>
      </c>
      <c r="E179" s="95">
        <f>'17'!F179</f>
        <v>36002</v>
      </c>
      <c r="F179" s="155">
        <v>36002</v>
      </c>
      <c r="G179" s="456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887" t="s">
        <v>212</v>
      </c>
      <c r="B180" s="888"/>
      <c r="C180" s="333"/>
      <c r="D180" s="228" t="s">
        <v>142</v>
      </c>
      <c r="E180" s="95">
        <f>'17'!F180</f>
        <v>7038</v>
      </c>
      <c r="F180" s="155">
        <v>7046</v>
      </c>
      <c r="G180" s="456">
        <f t="shared" si="15"/>
        <v>8</v>
      </c>
      <c r="H180" s="99">
        <f>G180+'17'!H180</f>
        <v>-123</v>
      </c>
      <c r="I180" s="155"/>
      <c r="J180" s="178">
        <f>H180/DAY(B2)</f>
        <v>-6.833333333333333</v>
      </c>
    </row>
    <row r="181" spans="1:11" ht="27.75" customHeight="1">
      <c r="A181" s="889" t="s">
        <v>108</v>
      </c>
      <c r="B181" s="890"/>
      <c r="C181" s="401"/>
      <c r="D181" s="228" t="s">
        <v>142</v>
      </c>
      <c r="E181" s="95"/>
      <c r="F181" s="155"/>
      <c r="G181" s="456">
        <f>SUM(G178:G180)</f>
        <v>138</v>
      </c>
      <c r="H181" s="99">
        <f>G181+'17'!H181</f>
        <v>-1309</v>
      </c>
      <c r="I181" s="155"/>
      <c r="J181" s="178">
        <f>H181/DAY(B2)</f>
        <v>-72.722222222222229</v>
      </c>
    </row>
    <row r="182" spans="1:11" ht="27.75" customHeight="1">
      <c r="A182" s="887" t="s">
        <v>213</v>
      </c>
      <c r="B182" s="888"/>
      <c r="C182" s="333"/>
      <c r="D182" s="228" t="s">
        <v>142</v>
      </c>
      <c r="E182" s="95"/>
      <c r="F182" s="155"/>
      <c r="G182" s="456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87" t="s">
        <v>214</v>
      </c>
      <c r="B183" s="888"/>
      <c r="C183" s="334"/>
      <c r="D183" s="228" t="s">
        <v>142</v>
      </c>
      <c r="E183" s="95">
        <f>'17'!F183</f>
        <v>17388</v>
      </c>
      <c r="F183" s="157">
        <v>17396</v>
      </c>
      <c r="G183" s="457">
        <f>F183-E183</f>
        <v>8</v>
      </c>
      <c r="H183" s="99">
        <f>G183+'17'!H183</f>
        <v>-77</v>
      </c>
      <c r="I183" s="155"/>
      <c r="J183" s="178">
        <f>H183/DAY(B2)</f>
        <v>-4.2777777777777777</v>
      </c>
    </row>
    <row r="184" spans="1:11" ht="27.75" customHeight="1">
      <c r="A184" s="887" t="s">
        <v>215</v>
      </c>
      <c r="B184" s="888"/>
      <c r="C184" s="334"/>
      <c r="D184" s="228" t="s">
        <v>142</v>
      </c>
      <c r="E184" s="95">
        <f>'17'!F184</f>
        <v>11812</v>
      </c>
      <c r="F184" s="157">
        <v>11822</v>
      </c>
      <c r="G184" s="457">
        <f t="shared" ref="G184:G185" si="16">F184-E184</f>
        <v>10</v>
      </c>
      <c r="H184" s="99">
        <f>G184+'17'!H184</f>
        <v>-113</v>
      </c>
      <c r="I184" s="155"/>
      <c r="J184" s="178">
        <f>H184/DAY(B2)</f>
        <v>-6.2777777777777777</v>
      </c>
    </row>
    <row r="185" spans="1:11" ht="27.75" customHeight="1">
      <c r="A185" s="887" t="s">
        <v>216</v>
      </c>
      <c r="B185" s="888"/>
      <c r="C185" s="334"/>
      <c r="D185" s="228" t="s">
        <v>142</v>
      </c>
      <c r="E185" s="95">
        <f>'17'!F185</f>
        <v>0</v>
      </c>
      <c r="F185" s="157"/>
      <c r="G185" s="457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876" t="s">
        <v>196</v>
      </c>
      <c r="B186" s="877"/>
      <c r="C186" s="400"/>
      <c r="D186" s="228" t="s">
        <v>142</v>
      </c>
      <c r="E186" s="95"/>
      <c r="F186" s="157"/>
      <c r="G186" s="457">
        <f>SUM(G183:G185)</f>
        <v>18</v>
      </c>
      <c r="H186" s="99">
        <f>G186+'17'!H186</f>
        <v>-190</v>
      </c>
      <c r="I186" s="157"/>
      <c r="J186" s="178">
        <f>H186/DAY(B2)</f>
        <v>-10.555555555555555</v>
      </c>
    </row>
    <row r="187" spans="1:11" ht="27.75" customHeight="1">
      <c r="A187" s="878" t="s">
        <v>217</v>
      </c>
      <c r="B187" s="879"/>
      <c r="C187" s="333"/>
      <c r="D187" s="230" t="s">
        <v>142</v>
      </c>
      <c r="E187" s="95"/>
      <c r="F187" s="159"/>
      <c r="G187" s="458">
        <f>G62+G19</f>
        <v>194</v>
      </c>
      <c r="H187" s="99">
        <f>G187+'17'!H187</f>
        <v>-2145</v>
      </c>
      <c r="I187" s="158"/>
      <c r="J187" s="179">
        <f>H187/DAY(B2)</f>
        <v>-119.16666666666667</v>
      </c>
    </row>
    <row r="188" spans="1:11" ht="27.75" customHeight="1">
      <c r="A188" s="878" t="s">
        <v>218</v>
      </c>
      <c r="B188" s="879"/>
      <c r="C188" s="333"/>
      <c r="D188" s="230" t="s">
        <v>142</v>
      </c>
      <c r="E188" s="95"/>
      <c r="F188" s="159"/>
      <c r="G188" s="458">
        <f>G65+G66+G67+G69+G70</f>
        <v>170</v>
      </c>
      <c r="H188" s="99">
        <f>G188+'17'!H188</f>
        <v>705</v>
      </c>
      <c r="I188" s="158"/>
      <c r="J188" s="179">
        <f>H188/DAY(B2)</f>
        <v>39.166666666666664</v>
      </c>
    </row>
    <row r="189" spans="1:11" ht="27.75" customHeight="1">
      <c r="A189" s="878" t="s">
        <v>219</v>
      </c>
      <c r="B189" s="879"/>
      <c r="C189" s="333"/>
      <c r="D189" s="230" t="s">
        <v>142</v>
      </c>
      <c r="E189" s="95"/>
      <c r="F189" s="157"/>
      <c r="G189" s="458">
        <f>G181</f>
        <v>138</v>
      </c>
      <c r="H189" s="99">
        <f>G189+'17'!H189</f>
        <v>-1309</v>
      </c>
      <c r="I189" s="158"/>
      <c r="J189" s="179">
        <f>H189/DAY(B2)</f>
        <v>-72.722222222222229</v>
      </c>
    </row>
    <row r="190" spans="1:11" ht="23.25" customHeight="1">
      <c r="A190" s="245"/>
      <c r="B190" s="246"/>
      <c r="C190" s="246"/>
      <c r="D190" s="165"/>
      <c r="E190" s="165"/>
      <c r="F190" s="155"/>
      <c r="G190" s="452"/>
      <c r="H190" s="238"/>
      <c r="I190" s="99"/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70" zoomScale="55" zoomScaleNormal="40" zoomScaleSheetLayoutView="55" zoomScalePageLayoutView="60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349</v>
      </c>
      <c r="B2" s="262">
        <v>44761</v>
      </c>
      <c r="C2" s="348" t="s">
        <v>67</v>
      </c>
      <c r="D2" s="218">
        <v>0.94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2" t="s">
        <v>119</v>
      </c>
      <c r="F3" s="943"/>
      <c r="G3" s="472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472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2947</v>
      </c>
      <c r="F7" s="95">
        <f>E7+26200</f>
        <v>29147</v>
      </c>
      <c r="G7" s="475">
        <f>F7-E7</f>
        <v>26200</v>
      </c>
      <c r="H7" s="99">
        <f>G7+'18 '!H7</f>
        <v>495558.9</v>
      </c>
      <c r="I7" s="113">
        <f>'1'!I7</f>
        <v>12000</v>
      </c>
      <c r="J7" s="175">
        <f>H7/DAY(B2)</f>
        <v>26082.047368421056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149344.4</v>
      </c>
      <c r="F8" s="95">
        <f>E8+26500</f>
        <v>175844.4</v>
      </c>
      <c r="G8" s="476">
        <f>F8-E8</f>
        <v>26500</v>
      </c>
      <c r="H8" s="99">
        <f>G8+'18 '!H8</f>
        <v>502766</v>
      </c>
      <c r="I8" s="116"/>
      <c r="J8" s="175">
        <f>H8/DAY(B2)</f>
        <v>26461.36842105263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3160357.3</v>
      </c>
      <c r="F9" s="469">
        <v>3177901.7</v>
      </c>
      <c r="G9" s="475">
        <f>F9-E9</f>
        <v>17544.400000000373</v>
      </c>
      <c r="H9" s="99">
        <f>G9+'18 '!H9</f>
        <v>-101164.29999999981</v>
      </c>
      <c r="I9" s="124">
        <f>I7-J7</f>
        <v>-14082.047368421056</v>
      </c>
      <c r="J9" s="175">
        <f>H9/DAY(B2)</f>
        <v>-5324.4368421052532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1460641.2</v>
      </c>
      <c r="F10" s="353">
        <v>1469709.8</v>
      </c>
      <c r="G10" s="475">
        <f t="shared" ref="G10:G12" si="0">F10-E10</f>
        <v>9068.6000000000931</v>
      </c>
      <c r="H10" s="99">
        <f>G10+'18 '!H10</f>
        <v>-197448.19999999995</v>
      </c>
      <c r="I10" s="282"/>
      <c r="J10" s="175">
        <f>H10/DAY(B2)</f>
        <v>-10392.010526315788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5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5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7">
        <f>G9+G10+G11+G12</f>
        <v>26613.000000000466</v>
      </c>
      <c r="H13" s="99">
        <f>G13+'18 '!H13</f>
        <v>-297277.89999999991</v>
      </c>
      <c r="I13" s="120">
        <f>G7-G13</f>
        <v>-413.00000000046566</v>
      </c>
      <c r="J13" s="175">
        <f>H13/DAY(B2)</f>
        <v>-15646.20526315789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'18 '!F15</f>
        <v>2119008</v>
      </c>
      <c r="F15" s="469">
        <f>E15+1000</f>
        <v>2120008</v>
      </c>
      <c r="G15" s="475">
        <f>(F15-E15)</f>
        <v>1000</v>
      </c>
      <c r="H15" s="99">
        <f>G15+'18 '!H15</f>
        <v>19140</v>
      </c>
      <c r="I15" s="113">
        <f>'1'!I15</f>
        <v>800</v>
      </c>
      <c r="J15" s="175">
        <f>H15/DAY(B2)</f>
        <v>1007.3684210526316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5" t="s">
        <v>207</v>
      </c>
      <c r="H16" s="124"/>
      <c r="I16" s="120">
        <f>I15-J15</f>
        <v>-207.36842105263156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'18 '!F18</f>
        <v>23</v>
      </c>
      <c r="F18" s="122">
        <v>18</v>
      </c>
      <c r="G18" s="477">
        <f>F18*10</f>
        <v>180</v>
      </c>
      <c r="H18" s="99">
        <f>G18+'18 '!H18</f>
        <v>3460</v>
      </c>
      <c r="I18" s="113">
        <f>'1'!I18</f>
        <v>65</v>
      </c>
      <c r="J18" s="175">
        <f>H18/DAY(B2)</f>
        <v>182.10526315789474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'18 '!F19</f>
        <v>161704</v>
      </c>
      <c r="F19" s="758">
        <v>161750</v>
      </c>
      <c r="G19" s="475">
        <f t="shared" ref="G19" si="1">F19-E19</f>
        <v>46</v>
      </c>
      <c r="H19" s="99">
        <f>G19+'18 '!H19</f>
        <v>-579</v>
      </c>
      <c r="I19" s="335"/>
      <c r="J19" s="175">
        <f>H19/DAY(B2)</f>
        <v>-30.473684210526315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9">
        <f>G18+G19</f>
        <v>226</v>
      </c>
      <c r="H20" s="99">
        <f>G20+'18 '!H20</f>
        <v>2881</v>
      </c>
      <c r="I20" s="336">
        <f>I18-J20</f>
        <v>-86.631578947368411</v>
      </c>
      <c r="J20" s="175">
        <f>H20/DAY(B2)</f>
        <v>151.63157894736841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7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7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7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482">
        <f>E27*F27</f>
        <v>238500</v>
      </c>
      <c r="H27" s="99">
        <f>G27+'18 '!H27</f>
        <v>4524894</v>
      </c>
      <c r="I27" s="138"/>
      <c r="J27" s="175">
        <f>H27/DAY(B2)</f>
        <v>238152.31578947368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482">
        <f>E28*F28</f>
        <v>70000</v>
      </c>
      <c r="H28" s="99">
        <f>G28+'18 '!H28</f>
        <v>1339800</v>
      </c>
      <c r="I28" s="140"/>
      <c r="J28" s="175">
        <f>H28/DAY(B2)</f>
        <v>70515.789473684214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482">
        <f>E30*F30</f>
        <v>6946</v>
      </c>
      <c r="H30" s="99">
        <f>G30+'18 '!H30</f>
        <v>-87429</v>
      </c>
      <c r="I30" s="140"/>
      <c r="J30" s="175">
        <f>H30/DAY(B2)</f>
        <v>-4601.5263157894733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482">
        <f>E31*F31</f>
        <v>14400</v>
      </c>
      <c r="H31" s="99">
        <f>G31+'18 '!H31</f>
        <v>276800</v>
      </c>
      <c r="I31" s="140"/>
      <c r="J31" s="175">
        <f>H31/DAY(B2)</f>
        <v>14568.421052631578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3">
        <f>G27+G28+G29+G30+G31</f>
        <v>329846</v>
      </c>
      <c r="H32" s="99">
        <f>G32+'18 '!H32</f>
        <v>6054065</v>
      </c>
      <c r="I32" s="144"/>
      <c r="J32" s="175">
        <f>H32/DAY(B2)</f>
        <v>318635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238714</v>
      </c>
      <c r="F35" s="145">
        <v>238713.05</v>
      </c>
      <c r="G35" s="475">
        <f t="shared" ref="G35:G46" si="3">F35-E35</f>
        <v>-0.95000000001164153</v>
      </c>
      <c r="H35" s="99">
        <f>G35+'18 '!H35</f>
        <v>4.9999999988358468E-2</v>
      </c>
      <c r="I35" s="95"/>
      <c r="J35" s="175">
        <f>H35/DAY(B2)</f>
        <v>2.6315789467557089E-3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203318.21</v>
      </c>
      <c r="F36" s="145">
        <v>204556.37</v>
      </c>
      <c r="G36" s="475">
        <f t="shared" si="3"/>
        <v>1238.1600000000035</v>
      </c>
      <c r="H36" s="99">
        <f>G36+'18 '!H36</f>
        <v>-10973.630000000005</v>
      </c>
      <c r="I36" s="95"/>
      <c r="J36" s="175">
        <f>H36/DAY(B2)</f>
        <v>-577.55947368421073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315084.37</v>
      </c>
      <c r="F37" s="145">
        <v>316620.49</v>
      </c>
      <c r="G37" s="475">
        <f t="shared" si="3"/>
        <v>1536.1199999999953</v>
      </c>
      <c r="H37" s="99">
        <f>G37+'18 '!H37</f>
        <v>-6378.5100000000093</v>
      </c>
      <c r="I37" s="95"/>
      <c r="J37" s="175">
        <f>H37/DAY(B2)</f>
        <v>-335.71105263157943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428116.18</v>
      </c>
      <c r="F38" s="108">
        <v>430420.39</v>
      </c>
      <c r="G38" s="475">
        <f t="shared" si="3"/>
        <v>2304.210000000021</v>
      </c>
      <c r="H38" s="99">
        <f>G38+'18 '!H38</f>
        <v>-26940.609999999986</v>
      </c>
      <c r="I38" s="95"/>
      <c r="J38" s="175">
        <f>H38/DAY(B2)</f>
        <v>-1417.9268421052625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576456.35</v>
      </c>
      <c r="F39" s="145">
        <v>579359.11</v>
      </c>
      <c r="G39" s="475">
        <f t="shared" si="3"/>
        <v>2902.7600000000093</v>
      </c>
      <c r="H39" s="99">
        <f>G39+'18 '!H39</f>
        <v>-12224.890000000014</v>
      </c>
      <c r="I39" s="95"/>
      <c r="J39" s="175">
        <f>H39/DAY(B2)</f>
        <v>-643.41526315789542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95931.199999999997</v>
      </c>
      <c r="F40" s="418">
        <v>96657.1</v>
      </c>
      <c r="G40" s="475">
        <f t="shared" si="3"/>
        <v>725.90000000000873</v>
      </c>
      <c r="H40" s="99">
        <f>G40+'18 '!H40</f>
        <v>-10118.899999999994</v>
      </c>
      <c r="I40" s="95"/>
      <c r="J40" s="175">
        <f>H40/DAY(B2)</f>
        <v>-532.57368421052604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183358.81</v>
      </c>
      <c r="F41" s="145">
        <v>188004.71</v>
      </c>
      <c r="G41" s="475">
        <f t="shared" si="3"/>
        <v>4645.8999999999942</v>
      </c>
      <c r="H41" s="99">
        <f>G41+'18 '!H41</f>
        <v>-23698.290000000008</v>
      </c>
      <c r="I41" s="95"/>
      <c r="J41" s="175">
        <f>H41/DAY(B2)</f>
        <v>-1247.278421052632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728113.99</v>
      </c>
      <c r="F42" s="145">
        <v>731958.63</v>
      </c>
      <c r="G42" s="475">
        <f t="shared" si="3"/>
        <v>3844.640000000014</v>
      </c>
      <c r="H42" s="99">
        <f>G42+'18 '!H42</f>
        <v>-16405.369999999995</v>
      </c>
      <c r="I42" s="95"/>
      <c r="J42" s="175">
        <f>H42/DAY(B2)</f>
        <v>-863.44052631578927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75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5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5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5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17196.740000000034</v>
      </c>
      <c r="H47" s="99">
        <f>G47+'18 '!H47</f>
        <v>-106740.15000000004</v>
      </c>
      <c r="I47" s="95"/>
      <c r="J47" s="175">
        <f>H47/DAY(B2)</f>
        <v>-5617.9026315789497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432083.21</v>
      </c>
      <c r="F49" s="145">
        <v>435790.19</v>
      </c>
      <c r="G49" s="475">
        <f t="shared" ref="G49:G58" si="4">F49-E49</f>
        <v>3706.9799999999814</v>
      </c>
      <c r="H49" s="99">
        <f>G49+'18 '!H49</f>
        <v>-49263.81</v>
      </c>
      <c r="I49" s="95"/>
      <c r="J49" s="175">
        <f>H49/DAY(B2)</f>
        <v>-2592.8321052631577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264911.78999999998</v>
      </c>
      <c r="F50" s="145">
        <v>266698.17</v>
      </c>
      <c r="G50" s="475">
        <f t="shared" si="4"/>
        <v>1786.3800000000047</v>
      </c>
      <c r="H50" s="99">
        <f>G50+'18 '!H50</f>
        <v>-16051.830000000016</v>
      </c>
      <c r="I50" s="95"/>
      <c r="J50" s="175">
        <f>H50/DAY(B2)</f>
        <v>-844.83315789473772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76</v>
      </c>
      <c r="F51" s="145">
        <v>76</v>
      </c>
      <c r="G51" s="475">
        <f t="shared" si="4"/>
        <v>0</v>
      </c>
      <c r="H51" s="99">
        <f>G51+'18 '!H51</f>
        <v>-8432</v>
      </c>
      <c r="I51" s="95"/>
      <c r="J51" s="175">
        <f>H51/DAY(B2)</f>
        <v>-443.78947368421052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10</v>
      </c>
      <c r="F52" s="145">
        <v>10</v>
      </c>
      <c r="G52" s="475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5">
        <f t="shared" si="4"/>
        <v>0</v>
      </c>
      <c r="H53" s="99">
        <f>G53+'18 '!H53</f>
        <v>-33861</v>
      </c>
      <c r="I53" s="95"/>
      <c r="J53" s="175">
        <f>H53/DAY(B2)</f>
        <v>-1782.1578947368421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83384.56</v>
      </c>
      <c r="F54" s="145">
        <v>83732.45</v>
      </c>
      <c r="G54" s="475">
        <f t="shared" si="4"/>
        <v>347.88999999999942</v>
      </c>
      <c r="H54" s="99">
        <f>G54+'18 '!H54</f>
        <v>-4210.5500000000029</v>
      </c>
      <c r="I54" s="95"/>
      <c r="J54" s="175">
        <f>H54/DAY(B2)</f>
        <v>-221.60789473684227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329420</v>
      </c>
      <c r="F55" s="145">
        <v>329663.57</v>
      </c>
      <c r="G55" s="475">
        <f t="shared" si="4"/>
        <v>243.57000000000698</v>
      </c>
      <c r="H55" s="99">
        <f>G55+'18 '!H55</f>
        <v>-33113.429999999993</v>
      </c>
      <c r="I55" s="95"/>
      <c r="J55" s="175">
        <f>H55/DAY(B2)</f>
        <v>-1742.8121052631575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120880.14</v>
      </c>
      <c r="F56" s="145">
        <v>120880.14</v>
      </c>
      <c r="G56" s="475">
        <f t="shared" si="4"/>
        <v>0</v>
      </c>
      <c r="H56" s="99">
        <f>G56+'18 '!H56</f>
        <v>-3001.8600000000006</v>
      </c>
      <c r="I56" s="95"/>
      <c r="J56" s="175">
        <f>H56/DAY(B2)</f>
        <v>-157.9926315789474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187347.39</v>
      </c>
      <c r="F57" s="145">
        <v>190416.77</v>
      </c>
      <c r="G57" s="475">
        <f t="shared" si="4"/>
        <v>3069.3799999999756</v>
      </c>
      <c r="H57" s="99">
        <f>G57+'18 '!H57</f>
        <v>-35753.23000000001</v>
      </c>
      <c r="I57" s="95"/>
      <c r="J57" s="175">
        <f>H57/DAY(B2)</f>
        <v>-1881.7489473684216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45456.6</v>
      </c>
      <c r="F58" s="145">
        <v>45747.47</v>
      </c>
      <c r="G58" s="475">
        <f t="shared" si="4"/>
        <v>290.87000000000262</v>
      </c>
      <c r="H58" s="99">
        <f>G58+'18 '!H58</f>
        <v>-3361.5299999999988</v>
      </c>
      <c r="I58" s="95"/>
      <c r="J58" s="175">
        <f>H58/DAY(B2)</f>
        <v>-176.92263157894732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9445.0699999999706</v>
      </c>
      <c r="H59" s="99">
        <f>G59+'18 '!H59</f>
        <v>-187049.23999999996</v>
      </c>
      <c r="I59" s="95">
        <f>G7-G60</f>
        <v>-441.81000000000495</v>
      </c>
      <c r="J59" s="175">
        <f>H59/DAY(B2)</f>
        <v>-9844.6968421052607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7">
        <f>G47+G59</f>
        <v>26641.810000000005</v>
      </c>
      <c r="H60" s="99">
        <f>G60+'18 '!H60</f>
        <v>-293789.39000000007</v>
      </c>
      <c r="I60" s="95">
        <f>G13-G60</f>
        <v>-28.809999999539286</v>
      </c>
      <c r="J60" s="175">
        <f>H60/DAY(B2)</f>
        <v>-15462.599473684215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'18 '!F62</f>
        <v>294755</v>
      </c>
      <c r="F62" s="122">
        <v>294880</v>
      </c>
      <c r="G62" s="475">
        <f t="shared" ref="G62:G63" si="5">F62-E62</f>
        <v>125</v>
      </c>
      <c r="H62" s="99">
        <f>G62+'18 '!H62</f>
        <v>-1395</v>
      </c>
      <c r="I62" s="118"/>
      <c r="J62" s="175">
        <f>H62/DAY(B2)</f>
        <v>-73.421052631578945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'18 '!F63</f>
        <v>237176</v>
      </c>
      <c r="F63" s="122">
        <v>237287</v>
      </c>
      <c r="G63" s="475">
        <f t="shared" si="5"/>
        <v>111</v>
      </c>
      <c r="H63" s="99">
        <f>G63+'18 '!H63</f>
        <v>-1846</v>
      </c>
      <c r="I63" s="118"/>
      <c r="J63" s="175">
        <f>H63/DAY(B2)</f>
        <v>-97.15789473684211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'18 '!F64</f>
        <v>0</v>
      </c>
      <c r="F64" s="122"/>
      <c r="G64" s="475">
        <f>G62+G63</f>
        <v>236</v>
      </c>
      <c r="H64" s="99">
        <f>G64+'18 '!H64</f>
        <v>-3241</v>
      </c>
      <c r="I64" s="118"/>
      <c r="J64" s="175">
        <f>H64/DAY(B2)</f>
        <v>-170.57894736842104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'18 '!F65</f>
        <v>453299</v>
      </c>
      <c r="F65" s="122">
        <v>453435</v>
      </c>
      <c r="G65" s="475">
        <f t="shared" ref="G65:G70" si="6">F65-E65</f>
        <v>136</v>
      </c>
      <c r="H65" s="99">
        <f>G65+'18 '!H65</f>
        <v>-1275</v>
      </c>
      <c r="I65" s="118"/>
      <c r="J65" s="175">
        <f>H65/DAY(B2)</f>
        <v>-67.10526315789474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111417</v>
      </c>
      <c r="F66" s="122">
        <v>111436</v>
      </c>
      <c r="G66" s="475">
        <f t="shared" si="6"/>
        <v>19</v>
      </c>
      <c r="H66" s="99">
        <f>G66+'18 '!H66</f>
        <v>-286</v>
      </c>
      <c r="I66" s="118"/>
      <c r="J66" s="175">
        <f>H66/DAY(B2)</f>
        <v>-15.052631578947368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113681</v>
      </c>
      <c r="F67" s="122">
        <v>113681</v>
      </c>
      <c r="G67" s="475">
        <f t="shared" si="6"/>
        <v>0</v>
      </c>
      <c r="H67" s="99">
        <f>G67+'18 '!H67</f>
        <v>1</v>
      </c>
      <c r="I67" s="118"/>
      <c r="J67" s="175">
        <f>H67/DAY(B2)</f>
        <v>5.2631578947368418E-2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164278</v>
      </c>
      <c r="F68" s="122">
        <v>164330</v>
      </c>
      <c r="G68" s="475">
        <f t="shared" si="6"/>
        <v>52</v>
      </c>
      <c r="H68" s="99">
        <f>G68+'18 '!H68</f>
        <v>-332</v>
      </c>
      <c r="I68" s="118"/>
      <c r="J68" s="175">
        <f>H68/DAY(B2)</f>
        <v>-17.473684210526315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12215</v>
      </c>
      <c r="F69" s="122">
        <v>12219</v>
      </c>
      <c r="G69" s="475">
        <f t="shared" si="6"/>
        <v>4</v>
      </c>
      <c r="H69" s="99">
        <f>G69+'18 '!H69</f>
        <v>-56</v>
      </c>
      <c r="I69" s="118"/>
      <c r="J69" s="175">
        <f>H69/DAY(B2)</f>
        <v>-2.9473684210526314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9681</v>
      </c>
      <c r="F70" s="122">
        <v>9687</v>
      </c>
      <c r="G70" s="475">
        <f t="shared" si="6"/>
        <v>6</v>
      </c>
      <c r="H70" s="99">
        <f>G70+'18 '!H70</f>
        <v>-140</v>
      </c>
      <c r="I70" s="118"/>
      <c r="J70" s="175">
        <f>H70/DAY(B2)</f>
        <v>-7.3684210526315788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95">
        <f>'18 '!F71</f>
        <v>0</v>
      </c>
      <c r="F71" s="152"/>
      <c r="G71" s="487">
        <f>SUM(G65:G70)</f>
        <v>217</v>
      </c>
      <c r="H71" s="99">
        <f>G71+'18 '!H71</f>
        <v>-2088</v>
      </c>
      <c r="I71" s="154"/>
      <c r="J71" s="175">
        <f>H71/DAY(B2)</f>
        <v>-109.89473684210526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'18 '!F74</f>
        <v>953409.94</v>
      </c>
      <c r="F74" s="117">
        <v>953753.5</v>
      </c>
      <c r="G74" s="475">
        <f t="shared" ref="G74:G78" si="7">F74-E74</f>
        <v>343.56000000005588</v>
      </c>
      <c r="H74" s="99">
        <f>G74+'18 '!H74</f>
        <v>-3904.359999999986</v>
      </c>
      <c r="I74" s="154"/>
      <c r="J74" s="175">
        <f>H74/DAY(B2)</f>
        <v>-205.49263157894663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'18 '!F75</f>
        <v>73586.8</v>
      </c>
      <c r="F75" s="123">
        <v>73586.8</v>
      </c>
      <c r="G75" s="475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'18 '!F76</f>
        <v>188793.41</v>
      </c>
      <c r="F76" s="123">
        <v>188890.4</v>
      </c>
      <c r="G76" s="475">
        <f t="shared" si="7"/>
        <v>96.989999999990687</v>
      </c>
      <c r="H76" s="99">
        <f>G76+'18 '!H76</f>
        <v>-1281.6000000000058</v>
      </c>
      <c r="I76" s="154"/>
      <c r="J76" s="175">
        <f>H76/DAY(B2)</f>
        <v>-67.452631578947674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'18 '!F77</f>
        <v>49637.599999999999</v>
      </c>
      <c r="F77" s="123">
        <v>49679.9</v>
      </c>
      <c r="G77" s="475">
        <f t="shared" si="7"/>
        <v>42.30000000000291</v>
      </c>
      <c r="H77" s="99">
        <f>G77+'18 '!H77</f>
        <v>-633.09999999999854</v>
      </c>
      <c r="I77" s="154"/>
      <c r="J77" s="175">
        <f>H77/DAY(B2)</f>
        <v>-33.321052631578873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'18 '!F78</f>
        <v>9564</v>
      </c>
      <c r="F78" s="123">
        <v>9564</v>
      </c>
      <c r="G78" s="475">
        <f t="shared" si="7"/>
        <v>0</v>
      </c>
      <c r="H78" s="99">
        <f>G78+'18 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'18 '!F79</f>
        <v>0</v>
      </c>
      <c r="F79" s="123"/>
      <c r="G79" s="475">
        <f>G15-SUM(G74:G78)</f>
        <v>517.14999999995052</v>
      </c>
      <c r="H79" s="99">
        <f>G79+'18 '!H79</f>
        <v>24959.05999999999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475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489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5">
        <f t="shared" ref="G82:G92" si="8">F82-E82</f>
        <v>0</v>
      </c>
      <c r="H82" s="99">
        <f>G82+'18 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5">
        <f t="shared" si="8"/>
        <v>0</v>
      </c>
      <c r="H83" s="99">
        <f>G83+'18 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42454</v>
      </c>
      <c r="F84" s="164">
        <v>42476</v>
      </c>
      <c r="G84" s="475">
        <f t="shared" si="8"/>
        <v>22</v>
      </c>
      <c r="H84" s="99">
        <f>G84+'18 '!H84</f>
        <v>-113</v>
      </c>
      <c r="I84" s="571"/>
      <c r="J84" s="175">
        <f>H84/DAY(B2)</f>
        <v>-5.9473684210526319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5049.5</v>
      </c>
      <c r="F85" s="164">
        <v>5067.0200000000004</v>
      </c>
      <c r="G85" s="475">
        <f t="shared" si="8"/>
        <v>17.520000000000437</v>
      </c>
      <c r="H85" s="99">
        <f>G85+'18 '!H85</f>
        <v>-73.169999999999163</v>
      </c>
      <c r="I85" s="571"/>
      <c r="J85" s="175">
        <f>H85/DAY(B2)</f>
        <v>-3.8510526315789035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45148.2</v>
      </c>
      <c r="F86" s="164">
        <v>45150.19</v>
      </c>
      <c r="G86" s="475">
        <f t="shared" si="8"/>
        <v>1.9900000000052387</v>
      </c>
      <c r="H86" s="99">
        <f>G86+'18 '!H86</f>
        <v>-228.80999999999767</v>
      </c>
      <c r="I86" s="571"/>
      <c r="J86" s="175">
        <f>H86/DAY(B2)</f>
        <v>-12.042631578947246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35433.01</v>
      </c>
      <c r="F87" s="164">
        <v>35433.01</v>
      </c>
      <c r="G87" s="475">
        <f t="shared" si="8"/>
        <v>0</v>
      </c>
      <c r="H87" s="99">
        <f>G87+'18 '!H87</f>
        <v>-24.419999999998254</v>
      </c>
      <c r="I87" s="571">
        <f>G84+G85+G86+G87</f>
        <v>41.510000000005675</v>
      </c>
      <c r="J87" s="175">
        <f>H87/DAY(B2)</f>
        <v>-1.285263157894645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24297.47</v>
      </c>
      <c r="F88" s="164">
        <v>24297.47</v>
      </c>
      <c r="G88" s="475">
        <f t="shared" si="8"/>
        <v>0</v>
      </c>
      <c r="H88" s="99">
        <f>G88+'18 '!H88</f>
        <v>-5.9899999999979627</v>
      </c>
      <c r="I88" s="571"/>
      <c r="J88" s="175">
        <f>H88/DAY(B2)</f>
        <v>-0.31526315789462961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27446.94</v>
      </c>
      <c r="F89" s="164">
        <v>27456.13</v>
      </c>
      <c r="G89" s="475">
        <f t="shared" si="8"/>
        <v>9.1900000000023283</v>
      </c>
      <c r="H89" s="99">
        <f>G89+'18 '!H89</f>
        <v>-110.47999999999956</v>
      </c>
      <c r="I89" s="571">
        <f>G88+G89</f>
        <v>9.1900000000023283</v>
      </c>
      <c r="J89" s="175">
        <f>H89/DAY(B2)</f>
        <v>-5.8147368421052406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72469.67</v>
      </c>
      <c r="F90" s="164">
        <v>72480.600000000006</v>
      </c>
      <c r="G90" s="475">
        <f t="shared" si="8"/>
        <v>10.930000000007567</v>
      </c>
      <c r="H90" s="99">
        <f>G90+'18 '!H90</f>
        <v>-125.94999999999709</v>
      </c>
      <c r="I90" s="571">
        <f>G90</f>
        <v>10.930000000007567</v>
      </c>
      <c r="J90" s="175">
        <f>H90/DAY(B2)</f>
        <v>-6.6289473684208993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4282.16</v>
      </c>
      <c r="F91" s="122">
        <v>4292.16</v>
      </c>
      <c r="G91" s="475">
        <f t="shared" si="8"/>
        <v>10</v>
      </c>
      <c r="H91" s="99">
        <f>G91+'18 '!H91</f>
        <v>2.6199999999998909</v>
      </c>
      <c r="I91" s="590"/>
      <c r="J91" s="175">
        <f>H91/DAY(B2)</f>
        <v>0.13789473684209952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6577.87</v>
      </c>
      <c r="F92" s="122">
        <v>6582.79</v>
      </c>
      <c r="G92" s="475">
        <f t="shared" si="8"/>
        <v>4.9200000000000728</v>
      </c>
      <c r="H92" s="99">
        <f>G92+'18 '!H92</f>
        <v>-134.53999999999996</v>
      </c>
      <c r="I92" s="596">
        <f>G91+G92</f>
        <v>14.920000000000073</v>
      </c>
      <c r="J92" s="175">
        <f>H92/DAY(B2)</f>
        <v>-7.0810526315789453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490">
        <f>G35+G43+G49+G57</f>
        <v>6775.4099999999453</v>
      </c>
      <c r="H94" s="99">
        <f>G94+'18 '!H94</f>
        <v>-85016.99000000002</v>
      </c>
      <c r="I94" s="118"/>
      <c r="J94" s="175">
        <f>H94/DAY(B2)</f>
        <v>-4474.5784210526326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491">
        <f>G94/G7</f>
        <v>0.25860343511450173</v>
      </c>
      <c r="H95" s="99">
        <f>G95+'18 '!H95</f>
        <v>-3.2200454049035079</v>
      </c>
      <c r="I95" s="167"/>
      <c r="J95" s="175">
        <f>H95/DAY(B2)</f>
        <v>-0.16947607394228989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490">
        <f>G41+G42+G55+G56</f>
        <v>8734.1100000000151</v>
      </c>
      <c r="H96" s="99">
        <f>G96+'18 '!H96</f>
        <v>-76218.949999999983</v>
      </c>
      <c r="I96" s="118"/>
      <c r="J96" s="175">
        <f>H96/DAY(B2)</f>
        <v>-4011.5236842105255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491">
        <f>G96/G7</f>
        <v>0.33336297709923723</v>
      </c>
      <c r="H97" s="99">
        <f>G97+'18 '!H97</f>
        <v>-2.8881409523623249</v>
      </c>
      <c r="I97" s="167"/>
      <c r="J97" s="175">
        <f>H97/DAY(B2)</f>
        <v>-0.15200741854538552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490">
        <f>G39+G53</f>
        <v>2902.7600000000093</v>
      </c>
      <c r="H98" s="99">
        <f>G98+'18 '!H98</f>
        <v>-46085.890000000014</v>
      </c>
      <c r="I98" s="168"/>
      <c r="J98" s="175">
        <f>H98/DAY(B2)</f>
        <v>-2425.5731578947375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491">
        <f>G98/G7</f>
        <v>0.1107923664122141</v>
      </c>
      <c r="H99" s="99">
        <f>G99+'18 '!H99</f>
        <v>-1.7451945935866628</v>
      </c>
      <c r="I99" s="168"/>
      <c r="J99" s="175">
        <f>H99/DAY(B2)</f>
        <v>-9.1852347030876996E-2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490">
        <f>G38+G52</f>
        <v>2304.210000000021</v>
      </c>
      <c r="H100" s="99">
        <f>G100+'18 '!H100</f>
        <v>-26940.609999999986</v>
      </c>
      <c r="I100" s="118"/>
      <c r="J100" s="175">
        <f>H100/DAY(B2)</f>
        <v>-1417.9268421052625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491">
        <f>G100/G7</f>
        <v>8.7946946564886302E-2</v>
      </c>
      <c r="H101" s="99">
        <f>G101+'18 '!H101</f>
        <v>-1.0198962892022414</v>
      </c>
      <c r="I101" s="168"/>
      <c r="J101" s="175">
        <f>H101/DAY(B2)</f>
        <v>-5.367875206327586E-2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490">
        <f>G36+G50</f>
        <v>3024.5400000000081</v>
      </c>
      <c r="H102" s="99">
        <f>G102+'18 '!H102</f>
        <v>-27025.460000000021</v>
      </c>
      <c r="I102" s="168"/>
      <c r="J102" s="175">
        <f>H102/DAY(B2)</f>
        <v>-1422.3926315789486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491">
        <f>G102/G7</f>
        <v>0.11544045801526749</v>
      </c>
      <c r="H103" s="99">
        <f>G103+'18 '!H103</f>
        <v>-1.0264388640365671</v>
      </c>
      <c r="I103" s="118"/>
      <c r="J103" s="175">
        <f>H103/DAY(B2)</f>
        <v>-5.4023098107187743E-2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490">
        <f>G37+G51</f>
        <v>1536.1199999999953</v>
      </c>
      <c r="H104" s="99">
        <f>G104+'18 '!H104</f>
        <v>-14810.510000000009</v>
      </c>
      <c r="I104" s="118"/>
      <c r="J104" s="175">
        <f>H104/DAY(B2)</f>
        <v>-779.50052631579001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492">
        <f>G104/G7</f>
        <v>5.8630534351144861E-2</v>
      </c>
      <c r="H105" s="99">
        <f>G105+'18 '!H105</f>
        <v>-0.56063358040912692</v>
      </c>
      <c r="I105" s="187"/>
      <c r="J105" s="188">
        <f>H105/DAY(B2)</f>
        <v>-2.9507030547848784E-2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49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'18 '!F112</f>
        <v>6292.76</v>
      </c>
      <c r="F112" s="237">
        <v>6597.29</v>
      </c>
      <c r="G112" s="475">
        <f t="shared" ref="G112:G123" si="9">F112-E112</f>
        <v>304.52999999999975</v>
      </c>
      <c r="H112" s="99">
        <f>G112+'18 '!H112</f>
        <v>-667.71</v>
      </c>
      <c r="I112" s="165"/>
      <c r="J112" s="328">
        <f>H112/DAY(B2)</f>
        <v>-35.142631578947373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'18 '!F113</f>
        <v>13209</v>
      </c>
      <c r="F113" s="237">
        <v>13347.1</v>
      </c>
      <c r="G113" s="475">
        <f t="shared" si="9"/>
        <v>138.10000000000036</v>
      </c>
      <c r="H113" s="99">
        <f>G113+'18 '!H113</f>
        <v>-1667.8999999999996</v>
      </c>
      <c r="I113" s="165"/>
      <c r="J113" s="328">
        <f>H113/DAY(B2)</f>
        <v>-87.784210526315775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'18 '!F114</f>
        <v>18360.45</v>
      </c>
      <c r="F114" s="237">
        <v>18585.12</v>
      </c>
      <c r="G114" s="475">
        <f t="shared" si="9"/>
        <v>224.66999999999825</v>
      </c>
      <c r="H114" s="99">
        <f>G114+'18 '!H114</f>
        <v>-2682.880000000001</v>
      </c>
      <c r="I114" s="165"/>
      <c r="J114" s="328">
        <f>H114/DAY(B2)</f>
        <v>-141.20421052631585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'18 '!F115</f>
        <v>11337.2</v>
      </c>
      <c r="F115" s="237">
        <v>11484.86</v>
      </c>
      <c r="G115" s="475">
        <f t="shared" si="9"/>
        <v>147.65999999999985</v>
      </c>
      <c r="H115" s="99">
        <f>G115+'18 '!H115</f>
        <v>-2054.3600000000006</v>
      </c>
      <c r="I115" s="165"/>
      <c r="J115" s="328">
        <f>H115/DAY(B2)</f>
        <v>-108.12421052631582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'18 '!F116</f>
        <v>65550.8</v>
      </c>
      <c r="F116" s="417">
        <v>65850</v>
      </c>
      <c r="G116" s="475">
        <f t="shared" si="9"/>
        <v>299.19999999999709</v>
      </c>
      <c r="H116" s="99">
        <f>G116+'18 '!H116</f>
        <v>-4642</v>
      </c>
      <c r="I116" s="165"/>
      <c r="J116" s="328">
        <f>H116/DAY(B2)</f>
        <v>-244.31578947368422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'18 '!F117</f>
        <v>37733.589999999997</v>
      </c>
      <c r="F117" s="237">
        <v>38012.28</v>
      </c>
      <c r="G117" s="475">
        <f t="shared" si="9"/>
        <v>278.69000000000233</v>
      </c>
      <c r="H117" s="99">
        <f>G117+'18 '!H117</f>
        <v>-2909.7200000000012</v>
      </c>
      <c r="I117" s="165"/>
      <c r="J117" s="328">
        <f>H117/DAY(B2)</f>
        <v>-153.1431578947369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'18 '!F118</f>
        <v>56542.2</v>
      </c>
      <c r="F118" s="237">
        <v>57079.9</v>
      </c>
      <c r="G118" s="475">
        <f t="shared" si="9"/>
        <v>537.70000000000437</v>
      </c>
      <c r="H118" s="99">
        <f>G118+'18 '!H118</f>
        <v>-7592.0999999999985</v>
      </c>
      <c r="I118" s="165"/>
      <c r="J118" s="328">
        <f>H118/DAY(B2)</f>
        <v>-399.5842105263157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'18 '!F119</f>
        <v>34518.133000000002</v>
      </c>
      <c r="F119" s="237">
        <v>34736.089999999997</v>
      </c>
      <c r="G119" s="475">
        <f t="shared" si="9"/>
        <v>217.95699999999488</v>
      </c>
      <c r="H119" s="99">
        <f>G119+'18 '!H119</f>
        <v>-2712.9100000000035</v>
      </c>
      <c r="I119" s="165"/>
      <c r="J119" s="328">
        <f>H119/DAY(B2)</f>
        <v>-142.78473684210545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'18 '!F120</f>
        <v>40971.4</v>
      </c>
      <c r="F120" s="237">
        <v>41375.99</v>
      </c>
      <c r="G120" s="475">
        <f t="shared" si="9"/>
        <v>404.58999999999651</v>
      </c>
      <c r="H120" s="99">
        <f>G120+'18 '!H120</f>
        <v>-4891.010000000002</v>
      </c>
      <c r="I120" s="165"/>
      <c r="J120" s="328">
        <f>H120/DAY(B2)</f>
        <v>-257.42157894736852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'18 '!F121</f>
        <v>47667.9</v>
      </c>
      <c r="F121" s="237">
        <v>48065.49</v>
      </c>
      <c r="G121" s="475">
        <f t="shared" si="9"/>
        <v>397.58999999999651</v>
      </c>
      <c r="H121" s="99">
        <f>G121+'18 '!H121</f>
        <v>-5477.510000000002</v>
      </c>
      <c r="I121" s="165"/>
      <c r="J121" s="328">
        <f>H121/DAY(B2)</f>
        <v>-288.29000000000013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'18 '!F122</f>
        <v>25130.240000000002</v>
      </c>
      <c r="F122" s="237">
        <v>25414</v>
      </c>
      <c r="G122" s="475">
        <f t="shared" si="9"/>
        <v>283.7599999999984</v>
      </c>
      <c r="H122" s="99">
        <f>G122+'18 '!H122</f>
        <v>-3260</v>
      </c>
      <c r="I122" s="165"/>
      <c r="J122" s="328">
        <f>H122/DAY(B2)</f>
        <v>-171.57894736842104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'18 '!F123</f>
        <v>26069.5</v>
      </c>
      <c r="F123" s="237">
        <v>26381.919999999998</v>
      </c>
      <c r="G123" s="475">
        <f t="shared" si="9"/>
        <v>312.41999999999825</v>
      </c>
      <c r="H123" s="99">
        <f>G123+'18 '!H123</f>
        <v>-3806.0800000000017</v>
      </c>
      <c r="I123" s="165"/>
      <c r="J123" s="328">
        <f>H123/DAY(B2)</f>
        <v>-200.32000000000008</v>
      </c>
    </row>
    <row r="124" spans="1:18" ht="29.25" customHeight="1">
      <c r="A124" s="898"/>
      <c r="B124" s="899"/>
      <c r="C124" s="900"/>
      <c r="D124" s="165"/>
      <c r="E124" s="95">
        <f>'18 '!F124</f>
        <v>0</v>
      </c>
      <c r="F124" s="165"/>
      <c r="G124" s="495"/>
      <c r="H124" s="156"/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496">
        <f>SUM(G112:G124)</f>
        <v>3546.8669999999865</v>
      </c>
      <c r="H125" s="156"/>
      <c r="I125" s="327">
        <f>G125-(G39+G53)</f>
        <v>644.10699999997723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496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'18 '!F128</f>
        <v>121068.9</v>
      </c>
      <c r="F128" s="165">
        <v>121532.66</v>
      </c>
      <c r="G128" s="475">
        <f t="shared" ref="G128:G134" si="10">F128-E128</f>
        <v>463.76000000000931</v>
      </c>
      <c r="H128" s="99">
        <f>G128+'18 '!H128</f>
        <v>-6111.3399999999965</v>
      </c>
      <c r="I128" s="165"/>
      <c r="J128" s="328">
        <f>H128/DAY(B2)</f>
        <v>-321.64947368421036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70152.95</v>
      </c>
      <c r="F129" s="165">
        <v>70379</v>
      </c>
      <c r="G129" s="475">
        <f t="shared" si="10"/>
        <v>226.05000000000291</v>
      </c>
      <c r="H129" s="99">
        <f>G129+'18 '!H129</f>
        <v>-2124</v>
      </c>
      <c r="I129" s="165"/>
      <c r="J129" s="328">
        <f>H129/DAY(B2)</f>
        <v>-111.78947368421052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154832.73000000001</v>
      </c>
      <c r="F130" s="158">
        <v>155559.94</v>
      </c>
      <c r="G130" s="475">
        <f t="shared" si="10"/>
        <v>727.20999999999185</v>
      </c>
      <c r="H130" s="99">
        <f>G130+'18 '!H130</f>
        <v>-9581.3299999999872</v>
      </c>
      <c r="I130" s="165"/>
      <c r="J130" s="328">
        <f>H130/DAY(B2)</f>
        <v>-504.28052631578879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'18 '!F131</f>
        <v>45767</v>
      </c>
      <c r="F131" s="165">
        <v>45962.22</v>
      </c>
      <c r="G131" s="475">
        <f t="shared" si="10"/>
        <v>195.22000000000116</v>
      </c>
      <c r="H131" s="99">
        <f>G131+'18 '!H131</f>
        <v>-2486.7799999999988</v>
      </c>
      <c r="I131" s="165"/>
      <c r="J131" s="328">
        <f>H131/DAY(B2)</f>
        <v>-130.88315789473677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'18 '!F132</f>
        <v>123795.87</v>
      </c>
      <c r="F132" s="165">
        <v>124127.49</v>
      </c>
      <c r="G132" s="475">
        <f t="shared" si="10"/>
        <v>331.6200000000099</v>
      </c>
      <c r="H132" s="99">
        <f>G132+'18 '!H132</f>
        <v>-4046.5099999999948</v>
      </c>
      <c r="I132" s="165"/>
      <c r="J132" s="328">
        <f>H132/DAY(B2)</f>
        <v>-212.97421052631552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'18 '!F133</f>
        <v>224035.59</v>
      </c>
      <c r="F133" s="165">
        <v>224035.59</v>
      </c>
      <c r="G133" s="475">
        <f t="shared" si="10"/>
        <v>0</v>
      </c>
      <c r="H133" s="99">
        <f>G133+'18 '!H133</f>
        <v>571233.43000000017</v>
      </c>
      <c r="I133" s="165"/>
      <c r="J133" s="328">
        <f>H133/DAY(B2)</f>
        <v>30064.917368421062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'18 '!F134</f>
        <v>46235</v>
      </c>
      <c r="F134" s="165">
        <v>46488.15</v>
      </c>
      <c r="G134" s="475">
        <f t="shared" si="10"/>
        <v>253.15000000000146</v>
      </c>
      <c r="H134" s="99">
        <f>G134+'18 '!H134</f>
        <v>-2546.8499999999985</v>
      </c>
      <c r="I134" s="165"/>
      <c r="J134" s="328">
        <f>H134/DAY(B2)</f>
        <v>-134.04473684210518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475">
        <f>SUM(G128:G134)</f>
        <v>2197.0100000000166</v>
      </c>
      <c r="H135" s="99">
        <f>G135+'10'!H135</f>
        <v>523353.61000000004</v>
      </c>
      <c r="I135" s="327">
        <f>G135-(G35+G49)</f>
        <v>-1509.0199999999531</v>
      </c>
      <c r="J135" s="328"/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'18 '!F138</f>
        <v>889407</v>
      </c>
      <c r="F138" s="147">
        <v>889538</v>
      </c>
      <c r="G138" s="475">
        <f t="shared" ref="G138:G152" si="11">F138-E138</f>
        <v>131</v>
      </c>
      <c r="H138" s="99">
        <f>G138+'18 '!H138</f>
        <v>-1557</v>
      </c>
      <c r="I138" s="118"/>
      <c r="J138" s="328">
        <f>H138/DAY(B2)</f>
        <v>-81.94736842105263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'18 '!F139</f>
        <v>906951</v>
      </c>
      <c r="F139" s="148">
        <v>907097</v>
      </c>
      <c r="G139" s="475">
        <f t="shared" si="11"/>
        <v>146</v>
      </c>
      <c r="H139" s="99">
        <f>G139+'18 '!H139</f>
        <v>-1798</v>
      </c>
      <c r="I139" s="118"/>
      <c r="J139" s="328">
        <f>H139/DAY(B2)</f>
        <v>-94.631578947368425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'18 '!F140</f>
        <v>1317.21</v>
      </c>
      <c r="F140" s="148">
        <v>1332.38</v>
      </c>
      <c r="G140" s="475">
        <f t="shared" si="11"/>
        <v>15.170000000000073</v>
      </c>
      <c r="H140" s="99">
        <f>G140+'18 '!H140</f>
        <v>415.14999999999418</v>
      </c>
      <c r="I140" s="118"/>
      <c r="J140" s="328">
        <f>H140/DAY(B2)</f>
        <v>21.849999999999692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'18 '!F141</f>
        <v>87817.56</v>
      </c>
      <c r="F141" s="148">
        <v>88012.2</v>
      </c>
      <c r="G141" s="475">
        <f t="shared" si="11"/>
        <v>194.63999999999942</v>
      </c>
      <c r="H141" s="99">
        <f>G141+'18 '!H141</f>
        <v>-2439.8000000000029</v>
      </c>
      <c r="I141" s="118"/>
      <c r="J141" s="328">
        <f>H141/DAY(B2)</f>
        <v>-128.41052631578964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'18 '!F142</f>
        <v>35728.1</v>
      </c>
      <c r="F142" s="148">
        <v>35763</v>
      </c>
      <c r="G142" s="475">
        <f t="shared" si="11"/>
        <v>34.900000000001455</v>
      </c>
      <c r="H142" s="99">
        <f>G142+'18 '!H142</f>
        <v>-898</v>
      </c>
      <c r="I142" s="140"/>
      <c r="J142" s="328">
        <f>H142/DAY(B2)</f>
        <v>-47.263157894736842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'18 '!F143</f>
        <v>8675.2000000000007</v>
      </c>
      <c r="F143" s="148">
        <v>8707.42</v>
      </c>
      <c r="G143" s="475">
        <f t="shared" si="11"/>
        <v>32.219999999999345</v>
      </c>
      <c r="H143" s="99">
        <f>G143+'18 '!H143</f>
        <v>-343.57999999999993</v>
      </c>
      <c r="I143" s="140"/>
      <c r="J143" s="328">
        <f>H143/DAY(B2)</f>
        <v>-18.083157894736839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'18 '!F144</f>
        <v>916762</v>
      </c>
      <c r="F144" s="148">
        <v>917000</v>
      </c>
      <c r="G144" s="475">
        <f t="shared" si="11"/>
        <v>238</v>
      </c>
      <c r="H144" s="99">
        <f>G144+'18 '!H144</f>
        <v>-2837</v>
      </c>
      <c r="I144" s="140"/>
      <c r="J144" s="328">
        <f>H144/DAY(B2)</f>
        <v>-149.31578947368422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'18 '!F145</f>
        <v>5716.19</v>
      </c>
      <c r="F145" s="148">
        <v>5731.98</v>
      </c>
      <c r="G145" s="475">
        <f t="shared" si="11"/>
        <v>15.789999999999964</v>
      </c>
      <c r="H145" s="99">
        <f>G145+'18 '!H145</f>
        <v>-75.020000000000437</v>
      </c>
      <c r="I145" s="140"/>
      <c r="J145" s="328">
        <f>H145/DAY(B2)</f>
        <v>-3.9484210526316019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'18 '!F146</f>
        <v>780077</v>
      </c>
      <c r="F146" s="148">
        <v>780107</v>
      </c>
      <c r="G146" s="475">
        <f t="shared" si="11"/>
        <v>30</v>
      </c>
      <c r="H146" s="99">
        <f>G146+'18 '!H146</f>
        <v>-693</v>
      </c>
      <c r="I146" s="140"/>
      <c r="J146" s="328">
        <f>H146/DAY(B2)</f>
        <v>-36.473684210526315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'18 '!F147</f>
        <v>694602.8</v>
      </c>
      <c r="F147" s="148">
        <v>695020.64</v>
      </c>
      <c r="G147" s="475">
        <f t="shared" si="11"/>
        <v>417.8399999999674</v>
      </c>
      <c r="H147" s="99">
        <f>G147+'18 '!H147</f>
        <v>-4748.359999999986</v>
      </c>
      <c r="I147" s="140"/>
      <c r="J147" s="328">
        <f>H147/DAY(B2)</f>
        <v>-249.91368421052559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'18 '!F148</f>
        <v>744432.88</v>
      </c>
      <c r="F148" s="164">
        <v>744724</v>
      </c>
      <c r="G148" s="475">
        <f t="shared" si="11"/>
        <v>291.11999999999534</v>
      </c>
      <c r="H148" s="99">
        <f>G148+'18 '!H148</f>
        <v>-3806</v>
      </c>
      <c r="I148" s="124"/>
      <c r="J148" s="328">
        <f>H148/DAY(B2)</f>
        <v>-200.31578947368422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'18 '!F149</f>
        <v>126157</v>
      </c>
      <c r="F149" s="416">
        <v>126699.76</v>
      </c>
      <c r="G149" s="475">
        <f t="shared" si="11"/>
        <v>542.75999999999476</v>
      </c>
      <c r="H149" s="99">
        <f>G149+'18 '!H149</f>
        <v>-5734.2400000000052</v>
      </c>
      <c r="I149" s="119"/>
      <c r="J149" s="328">
        <f>H149/DAY(B2)</f>
        <v>-301.80210526315818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'18 '!F150</f>
        <v>47730.23</v>
      </c>
      <c r="F150" s="233">
        <v>47942.49</v>
      </c>
      <c r="G150" s="475">
        <f t="shared" si="11"/>
        <v>212.25999999999476</v>
      </c>
      <c r="H150" s="99">
        <f>G150+'18 '!H150</f>
        <v>-2672.510000000002</v>
      </c>
      <c r="I150" s="119"/>
      <c r="J150" s="328">
        <f>H150/DAY(B2)</f>
        <v>-140.6584210526317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'18 '!F151</f>
        <v>131551</v>
      </c>
      <c r="F151" s="233">
        <v>131827</v>
      </c>
      <c r="G151" s="475">
        <f t="shared" si="11"/>
        <v>276</v>
      </c>
      <c r="H151" s="99">
        <f>G151+'18 '!H151</f>
        <v>-3622</v>
      </c>
      <c r="I151" s="119"/>
      <c r="J151" s="328">
        <f>H151/DAY(B2)</f>
        <v>-190.63157894736841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'18 '!F152</f>
        <v>21562.2</v>
      </c>
      <c r="F152" s="233">
        <v>21681.8</v>
      </c>
      <c r="G152" s="475">
        <f t="shared" si="11"/>
        <v>119.59999999999854</v>
      </c>
      <c r="H152" s="99">
        <f>G152+'18 '!H152</f>
        <v>-1472.2000000000007</v>
      </c>
      <c r="I152" s="119"/>
      <c r="J152" s="328">
        <f>H152/DAY(B2)</f>
        <v>-77.484210526315834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497">
        <f>SUM(G138:G152)</f>
        <v>2697.2999999999511</v>
      </c>
      <c r="H153" s="363"/>
      <c r="I153" s="119">
        <f>G153-(G38+G52)</f>
        <v>393.08999999993011</v>
      </c>
      <c r="J153" s="366"/>
    </row>
    <row r="154" spans="1:10" ht="27.75">
      <c r="A154" s="880" t="s">
        <v>207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'18 '!F155</f>
        <v>140513</v>
      </c>
      <c r="F155" s="157">
        <v>141048.6</v>
      </c>
      <c r="G155" s="475">
        <f t="shared" ref="G155:G158" si="12">F155-E155</f>
        <v>535.60000000000582</v>
      </c>
      <c r="H155" s="99">
        <f>G155+'18 '!H155</f>
        <v>-7100.3999999999942</v>
      </c>
      <c r="I155" s="364"/>
      <c r="J155" s="328">
        <f>H155/DAY(B2)</f>
        <v>-373.70526315789442</v>
      </c>
    </row>
    <row r="156" spans="1:10" ht="25.5">
      <c r="A156" s="872" t="s">
        <v>347</v>
      </c>
      <c r="B156" s="872"/>
      <c r="C156" s="872"/>
      <c r="D156" s="117" t="s">
        <v>130</v>
      </c>
      <c r="E156" s="95">
        <f>'18 '!F156</f>
        <v>13576</v>
      </c>
      <c r="F156" s="157">
        <v>13667.08</v>
      </c>
      <c r="G156" s="475">
        <f t="shared" si="12"/>
        <v>91.079999999999927</v>
      </c>
      <c r="H156" s="99">
        <f>G156+'18 '!H156</f>
        <v>-1066.92</v>
      </c>
      <c r="I156" s="165"/>
      <c r="J156" s="328">
        <f>H156/DAY(B2)</f>
        <v>-56.153684210526322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'18 '!F157</f>
        <v>25716.53</v>
      </c>
      <c r="F157" s="374">
        <v>25860.46</v>
      </c>
      <c r="G157" s="475">
        <f t="shared" si="12"/>
        <v>143.93000000000029</v>
      </c>
      <c r="H157" s="99"/>
      <c r="I157" s="165"/>
      <c r="J157" s="328"/>
    </row>
    <row r="158" spans="1:10" ht="25.5">
      <c r="A158" s="873" t="s">
        <v>361</v>
      </c>
      <c r="B158" s="874"/>
      <c r="C158" s="875"/>
      <c r="D158" s="117" t="s">
        <v>130</v>
      </c>
      <c r="E158" s="95">
        <f>'18 '!F158</f>
        <v>228.4</v>
      </c>
      <c r="F158" s="374">
        <v>228.7</v>
      </c>
      <c r="G158" s="475">
        <f t="shared" si="12"/>
        <v>0.29999999999998295</v>
      </c>
      <c r="H158" s="99"/>
      <c r="I158" s="165"/>
      <c r="J158" s="328"/>
    </row>
    <row r="159" spans="1:10" ht="25.5">
      <c r="A159" s="958"/>
      <c r="B159" s="959"/>
      <c r="C159" s="960"/>
      <c r="D159" s="117"/>
      <c r="E159" s="95"/>
      <c r="F159" s="165"/>
      <c r="G159" s="475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479219.72</v>
      </c>
      <c r="F161" s="235">
        <v>479280.64000000001</v>
      </c>
      <c r="G161" s="498">
        <f t="shared" ref="G161:G165" si="13">F161-E161</f>
        <v>60.92000000004191</v>
      </c>
      <c r="H161" s="99">
        <f>G161+'18 '!H161</f>
        <v>98.35999999998603</v>
      </c>
      <c r="I161" s="236"/>
      <c r="J161" s="239">
        <f>H161/DAY(B2)</f>
        <v>5.1768421052624225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94456</v>
      </c>
      <c r="F162" s="235">
        <v>94493.1</v>
      </c>
      <c r="G162" s="498">
        <f t="shared" si="13"/>
        <v>37.100000000005821</v>
      </c>
      <c r="H162" s="99">
        <f>G162+'18 '!H162</f>
        <v>-434.89999999999418</v>
      </c>
      <c r="I162" s="236"/>
      <c r="J162" s="239">
        <f>H162/DAY(B2)</f>
        <v>-22.88947368421022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4709</v>
      </c>
      <c r="F163" s="235">
        <v>4858.3999999999996</v>
      </c>
      <c r="G163" s="498">
        <f t="shared" si="13"/>
        <v>149.39999999999964</v>
      </c>
      <c r="H163" s="99">
        <f>G163+'18 '!H163</f>
        <v>-1642.6000000000004</v>
      </c>
      <c r="I163" s="236"/>
      <c r="J163" s="239">
        <f>H163/DAY(B2)</f>
        <v>-86.45263157894739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6106</v>
      </c>
      <c r="F164" s="235">
        <v>6118.4</v>
      </c>
      <c r="G164" s="498">
        <f t="shared" si="13"/>
        <v>12.399999999999636</v>
      </c>
      <c r="H164" s="99">
        <f>G164+'18 '!H164</f>
        <v>-161.60000000000036</v>
      </c>
      <c r="I164" s="236"/>
      <c r="J164" s="239">
        <f>H164/DAY(B2)</f>
        <v>-8.5052631578947562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31511</v>
      </c>
      <c r="F165" s="235">
        <v>31520.25</v>
      </c>
      <c r="G165" s="498">
        <f t="shared" si="13"/>
        <v>9.25</v>
      </c>
      <c r="H165" s="99">
        <f>G165+'18 '!H165</f>
        <v>-113.75</v>
      </c>
      <c r="I165" s="236"/>
      <c r="J165" s="239">
        <f>H165/DAY(B2)</f>
        <v>-5.9868421052631575</v>
      </c>
    </row>
    <row r="166" spans="1:10" ht="26.25">
      <c r="A166" s="881"/>
      <c r="B166" s="881"/>
      <c r="C166" s="246"/>
      <c r="D166" s="244"/>
      <c r="E166" s="95"/>
      <c r="F166" s="165"/>
      <c r="G166" s="495"/>
      <c r="H166" s="99"/>
      <c r="I166" s="165"/>
      <c r="J166" s="239"/>
    </row>
    <row r="167" spans="1:10" ht="26.25">
      <c r="A167" s="881"/>
      <c r="B167" s="881"/>
      <c r="C167" s="246"/>
      <c r="D167" s="244"/>
      <c r="E167" s="95"/>
      <c r="F167" s="165"/>
      <c r="G167" s="495"/>
      <c r="H167" s="99"/>
      <c r="I167" s="165"/>
      <c r="J167" s="239"/>
    </row>
    <row r="168" spans="1:10" ht="26.25">
      <c r="A168" s="881"/>
      <c r="B168" s="881"/>
      <c r="C168" s="246"/>
      <c r="D168" s="244"/>
      <c r="E168" s="95"/>
      <c r="F168" s="165"/>
      <c r="G168" s="495"/>
      <c r="H168" s="99"/>
      <c r="I168" s="165"/>
      <c r="J168" s="239"/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499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'18 '!F173</f>
        <v>8276</v>
      </c>
      <c r="F173" s="157">
        <v>8276</v>
      </c>
      <c r="G173" s="499">
        <f>F173-E173</f>
        <v>0</v>
      </c>
      <c r="H173" s="99">
        <f>G173+'18 '!H173</f>
        <v>41</v>
      </c>
      <c r="I173" s="155"/>
      <c r="J173" s="178">
        <f>H173/DAY(B2)</f>
        <v>2.1578947368421053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'18 '!F174</f>
        <v>41009</v>
      </c>
      <c r="F174" s="157">
        <v>41036</v>
      </c>
      <c r="G174" s="499">
        <f t="shared" ref="G174:G175" si="14">F174-E174</f>
        <v>27</v>
      </c>
      <c r="H174" s="99">
        <f>G174+'18 '!H174</f>
        <v>-168</v>
      </c>
      <c r="I174" s="155"/>
      <c r="J174" s="178">
        <f>H174/DAY(B2)</f>
        <v>-8.8421052631578956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'18 '!F175</f>
        <v>23882</v>
      </c>
      <c r="F175" s="155">
        <v>23894</v>
      </c>
      <c r="G175" s="499">
        <f t="shared" si="14"/>
        <v>12</v>
      </c>
      <c r="H175" s="99">
        <f>G175+'18 '!H175</f>
        <v>-137</v>
      </c>
      <c r="I175" s="155"/>
      <c r="J175" s="178">
        <f>H175/DAY(B2)</f>
        <v>-7.2105263157894735</v>
      </c>
    </row>
    <row r="176" spans="1:10" ht="25.5">
      <c r="A176" s="876" t="s">
        <v>196</v>
      </c>
      <c r="B176" s="877"/>
      <c r="C176" s="401"/>
      <c r="D176" s="228" t="s">
        <v>142</v>
      </c>
      <c r="E176" s="95"/>
      <c r="F176" s="155"/>
      <c r="G176" s="499">
        <f>SUM(G173:G175)</f>
        <v>39</v>
      </c>
      <c r="H176" s="99">
        <f>G176+'18 '!H176</f>
        <v>-264</v>
      </c>
      <c r="I176" s="155"/>
      <c r="J176" s="178">
        <f>H176/DAY(B2)</f>
        <v>-13.894736842105264</v>
      </c>
    </row>
    <row r="177" spans="1:11" ht="25.5">
      <c r="A177" s="887" t="s">
        <v>77</v>
      </c>
      <c r="B177" s="888"/>
      <c r="C177" s="333"/>
      <c r="D177" s="228" t="s">
        <v>142</v>
      </c>
      <c r="E177" s="95"/>
      <c r="F177" s="155"/>
      <c r="G177" s="499"/>
      <c r="H177" s="99">
        <f>G177+'18 '!H177</f>
        <v>0</v>
      </c>
      <c r="I177" s="155"/>
      <c r="J177" s="178">
        <f>H177/DAY(B2)</f>
        <v>0</v>
      </c>
    </row>
    <row r="178" spans="1:11" ht="25.5">
      <c r="A178" s="887" t="s">
        <v>210</v>
      </c>
      <c r="B178" s="888"/>
      <c r="C178" s="333"/>
      <c r="D178" s="228" t="s">
        <v>142</v>
      </c>
      <c r="E178" s="95">
        <f>'18 '!F178</f>
        <v>96527</v>
      </c>
      <c r="F178" s="155">
        <v>96612</v>
      </c>
      <c r="G178" s="499">
        <f>F178-E178</f>
        <v>85</v>
      </c>
      <c r="H178" s="99">
        <f>G178+'18 '!H178</f>
        <v>-1101</v>
      </c>
      <c r="I178" s="155"/>
      <c r="J178" s="178">
        <f>H178/DAY(B2)</f>
        <v>-57.94736842105263</v>
      </c>
    </row>
    <row r="179" spans="1:11" ht="25.5">
      <c r="A179" s="887" t="s">
        <v>211</v>
      </c>
      <c r="B179" s="888"/>
      <c r="C179" s="333"/>
      <c r="D179" s="228" t="s">
        <v>142</v>
      </c>
      <c r="E179" s="95">
        <f>'18 '!F179</f>
        <v>36002</v>
      </c>
      <c r="F179" s="155">
        <v>36002</v>
      </c>
      <c r="G179" s="499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887" t="s">
        <v>212</v>
      </c>
      <c r="B180" s="888"/>
      <c r="C180" s="333"/>
      <c r="D180" s="228" t="s">
        <v>142</v>
      </c>
      <c r="E180" s="95">
        <f>'18 '!F180</f>
        <v>7046</v>
      </c>
      <c r="F180" s="155">
        <v>7056</v>
      </c>
      <c r="G180" s="499">
        <f t="shared" si="15"/>
        <v>10</v>
      </c>
      <c r="H180" s="99">
        <f>G180+'18 '!H180</f>
        <v>-113</v>
      </c>
      <c r="I180" s="155"/>
      <c r="J180" s="178">
        <f>H180/DAY(B2)</f>
        <v>-5.9473684210526319</v>
      </c>
    </row>
    <row r="181" spans="1:11" ht="25.5">
      <c r="A181" s="889" t="s">
        <v>108</v>
      </c>
      <c r="B181" s="890"/>
      <c r="C181" s="401"/>
      <c r="D181" s="228" t="s">
        <v>142</v>
      </c>
      <c r="E181" s="95"/>
      <c r="F181" s="155"/>
      <c r="G181" s="499">
        <f>SUM(G178:G180)</f>
        <v>95</v>
      </c>
      <c r="H181" s="99">
        <f>G181+'18 '!H181</f>
        <v>-1214</v>
      </c>
      <c r="I181" s="155"/>
      <c r="J181" s="178">
        <f>H181/DAY(B2)</f>
        <v>-63.89473684210526</v>
      </c>
    </row>
    <row r="182" spans="1:11" ht="25.5">
      <c r="A182" s="887" t="s">
        <v>213</v>
      </c>
      <c r="B182" s="888"/>
      <c r="C182" s="333"/>
      <c r="D182" s="228" t="s">
        <v>142</v>
      </c>
      <c r="E182" s="95"/>
      <c r="F182" s="155"/>
      <c r="G182" s="499"/>
      <c r="H182" s="99">
        <f>G182+'18 '!H182</f>
        <v>0</v>
      </c>
      <c r="I182" s="155"/>
      <c r="J182" s="178">
        <f>H182/DAY(B2)</f>
        <v>0</v>
      </c>
    </row>
    <row r="183" spans="1:11" ht="25.5">
      <c r="A183" s="887" t="s">
        <v>214</v>
      </c>
      <c r="B183" s="888"/>
      <c r="C183" s="334"/>
      <c r="D183" s="228" t="s">
        <v>142</v>
      </c>
      <c r="E183" s="95">
        <f>'18 '!F183</f>
        <v>17396</v>
      </c>
      <c r="F183" s="157">
        <v>17401</v>
      </c>
      <c r="G183" s="500">
        <f>F183-E183</f>
        <v>5</v>
      </c>
      <c r="H183" s="99">
        <f>G183+'18 '!H183</f>
        <v>-72</v>
      </c>
      <c r="I183" s="155"/>
      <c r="J183" s="178">
        <f>H183/DAY(B2)</f>
        <v>-3.7894736842105261</v>
      </c>
    </row>
    <row r="184" spans="1:11" ht="25.5">
      <c r="A184" s="887" t="s">
        <v>215</v>
      </c>
      <c r="B184" s="888"/>
      <c r="C184" s="334"/>
      <c r="D184" s="228" t="s">
        <v>142</v>
      </c>
      <c r="E184" s="95">
        <f>'18 '!F184</f>
        <v>11822</v>
      </c>
      <c r="F184" s="157">
        <v>11826</v>
      </c>
      <c r="G184" s="500">
        <f t="shared" ref="G184:G185" si="16">F184-E184</f>
        <v>4</v>
      </c>
      <c r="H184" s="99">
        <f>G184+'18 '!H184</f>
        <v>-109</v>
      </c>
      <c r="I184" s="155"/>
      <c r="J184" s="178">
        <f>H184/DAY(B2)</f>
        <v>-5.7368421052631575</v>
      </c>
    </row>
    <row r="185" spans="1:11" ht="30.75" customHeight="1">
      <c r="A185" s="887" t="s">
        <v>216</v>
      </c>
      <c r="B185" s="888"/>
      <c r="C185" s="334"/>
      <c r="D185" s="228" t="s">
        <v>142</v>
      </c>
      <c r="E185" s="95">
        <f>'18 '!F185</f>
        <v>0</v>
      </c>
      <c r="F185" s="157"/>
      <c r="G185" s="500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876" t="s">
        <v>196</v>
      </c>
      <c r="B186" s="877"/>
      <c r="C186" s="400"/>
      <c r="D186" s="228" t="s">
        <v>142</v>
      </c>
      <c r="E186" s="95"/>
      <c r="F186" s="157"/>
      <c r="G186" s="500">
        <f>SUM(G183:G185)</f>
        <v>9</v>
      </c>
      <c r="H186" s="99">
        <f>G186+'18 '!H186</f>
        <v>-181</v>
      </c>
      <c r="I186" s="157"/>
      <c r="J186" s="178">
        <f>H186/DAY(B2)</f>
        <v>-9.526315789473685</v>
      </c>
    </row>
    <row r="187" spans="1:11" ht="25.5">
      <c r="A187" s="878" t="s">
        <v>217</v>
      </c>
      <c r="B187" s="879"/>
      <c r="C187" s="333"/>
      <c r="D187" s="230" t="s">
        <v>142</v>
      </c>
      <c r="E187" s="95"/>
      <c r="F187" s="159"/>
      <c r="G187" s="501">
        <f>G62+G19</f>
        <v>171</v>
      </c>
      <c r="H187" s="99">
        <f>G187+'18 '!H187</f>
        <v>-1974</v>
      </c>
      <c r="I187" s="158"/>
      <c r="J187" s="179">
        <f>H187/DAY(B2)</f>
        <v>-103.89473684210526</v>
      </c>
    </row>
    <row r="188" spans="1:11" ht="25.5">
      <c r="A188" s="878" t="s">
        <v>218</v>
      </c>
      <c r="B188" s="879"/>
      <c r="C188" s="333"/>
      <c r="D188" s="230" t="s">
        <v>142</v>
      </c>
      <c r="E188" s="95"/>
      <c r="F188" s="159"/>
      <c r="G188" s="501">
        <f>G65+G66+G67+G69+G70</f>
        <v>165</v>
      </c>
      <c r="H188" s="99">
        <f>G188+'18 '!H188</f>
        <v>870</v>
      </c>
      <c r="I188" s="158"/>
      <c r="J188" s="179">
        <f>H188/DAY(B2)</f>
        <v>45.789473684210527</v>
      </c>
    </row>
    <row r="189" spans="1:11" ht="25.5">
      <c r="A189" s="878" t="s">
        <v>219</v>
      </c>
      <c r="B189" s="879"/>
      <c r="C189" s="333"/>
      <c r="D189" s="230" t="s">
        <v>142</v>
      </c>
      <c r="E189" s="95"/>
      <c r="F189" s="157"/>
      <c r="G189" s="501">
        <f>G181</f>
        <v>95</v>
      </c>
      <c r="H189" s="99">
        <f>G189+'30'!H238</f>
        <v>95</v>
      </c>
      <c r="I189" s="158"/>
      <c r="J189" s="179">
        <f>H189/DAY(B2)</f>
        <v>5</v>
      </c>
    </row>
    <row r="190" spans="1:11" ht="23.25" customHeight="1">
      <c r="A190" s="245"/>
      <c r="B190" s="246"/>
      <c r="C190" s="246"/>
      <c r="D190" s="165"/>
      <c r="E190" s="165"/>
      <c r="F190" s="456"/>
      <c r="G190" s="495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52" zoomScale="55" zoomScaleSheetLayoutView="55" zoomScalePageLayoutView="78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355</v>
      </c>
      <c r="B2" s="262">
        <v>44732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29147</v>
      </c>
      <c r="F7" s="95">
        <f>E7+26200</f>
        <v>55347</v>
      </c>
      <c r="G7" s="112">
        <f>F7-E7</f>
        <v>26200</v>
      </c>
      <c r="H7" s="99">
        <f>G7+'19'!H7</f>
        <v>521758.9</v>
      </c>
      <c r="I7" s="113">
        <v>24000</v>
      </c>
      <c r="J7" s="175">
        <f>H7/DAY(B2)</f>
        <v>26087.945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175844.4</v>
      </c>
      <c r="F8" s="95">
        <f>E8+26500</f>
        <v>202344.4</v>
      </c>
      <c r="G8" s="115">
        <f>F8-E8</f>
        <v>26500</v>
      </c>
      <c r="H8" s="99">
        <f>G8+'19'!H8</f>
        <v>529266</v>
      </c>
      <c r="I8" s="116"/>
      <c r="J8" s="175">
        <f>H8/DAY(B2)</f>
        <v>26463.3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3177901.7</v>
      </c>
      <c r="F9" s="469">
        <v>3192564</v>
      </c>
      <c r="G9" s="112">
        <f>F9-E9</f>
        <v>14662.299999999814</v>
      </c>
      <c r="H9" s="99">
        <f>G9+'19'!H9</f>
        <v>-86502</v>
      </c>
      <c r="I9" s="124">
        <f>I7-J7</f>
        <v>-2087.9449999999997</v>
      </c>
      <c r="J9" s="175">
        <f>H9/DAY(B2)</f>
        <v>-4325.1000000000004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1469709.8</v>
      </c>
      <c r="F10" s="353">
        <v>1481028</v>
      </c>
      <c r="G10" s="112">
        <f t="shared" ref="G10:G12" si="0">F10-E10</f>
        <v>11318.199999999953</v>
      </c>
      <c r="H10" s="99">
        <f>G10+'19'!H10</f>
        <v>-186130</v>
      </c>
      <c r="I10" s="282"/>
      <c r="J10" s="175">
        <f>H10/DAY(B2)</f>
        <v>-9306.5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25980.499999999767</v>
      </c>
      <c r="H13" s="99">
        <f>G13+'19'!H13</f>
        <v>-271297.40000000014</v>
      </c>
      <c r="I13" s="120">
        <f>G7-G13</f>
        <v>219.50000000023283</v>
      </c>
      <c r="J13" s="175">
        <f>H13/DAY(B2)</f>
        <v>-13564.870000000006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'19'!F15</f>
        <v>2120008</v>
      </c>
      <c r="F15" s="469">
        <f>E15+1000</f>
        <v>2121008</v>
      </c>
      <c r="G15" s="112">
        <f>(F15-E15)</f>
        <v>1000</v>
      </c>
      <c r="H15" s="99">
        <f>G15+'19'!H15</f>
        <v>20140</v>
      </c>
      <c r="I15" s="113">
        <f>'1'!I15</f>
        <v>800</v>
      </c>
      <c r="J15" s="175">
        <f>H15/DAY(B2)</f>
        <v>1007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-207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'19'!F18</f>
        <v>18</v>
      </c>
      <c r="F18" s="122">
        <v>23</v>
      </c>
      <c r="G18" s="119">
        <f>F18*10</f>
        <v>230</v>
      </c>
      <c r="H18" s="99">
        <f>G18+'19'!H18</f>
        <v>3690</v>
      </c>
      <c r="I18" s="113">
        <f>'1'!I18</f>
        <v>65</v>
      </c>
      <c r="J18" s="175">
        <f>H18/DAY(B2)</f>
        <v>184.5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'19'!F19</f>
        <v>161750</v>
      </c>
      <c r="F19" s="541">
        <v>161793</v>
      </c>
      <c r="G19" s="112">
        <f t="shared" ref="G19" si="1">F19-E19</f>
        <v>43</v>
      </c>
      <c r="H19" s="99">
        <f>G19+'19'!H19</f>
        <v>-536</v>
      </c>
      <c r="I19" s="335"/>
      <c r="J19" s="175">
        <f>H19/DAY(B2)</f>
        <v>-26.8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G20+'19'!H20</f>
        <v>3154</v>
      </c>
      <c r="I20" s="336">
        <f>I18-J20</f>
        <v>-92.699999999999989</v>
      </c>
      <c r="J20" s="175">
        <f>H20/DAY(B2)</f>
        <v>157.69999999999999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G27+'19'!H27</f>
        <v>4763394</v>
      </c>
      <c r="I27" s="138"/>
      <c r="J27" s="175">
        <f>H27/DAY(B2)</f>
        <v>238169.7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G28+'19'!H28</f>
        <v>1409800</v>
      </c>
      <c r="I28" s="140"/>
      <c r="J28" s="175">
        <f>H28/DAY(B2)</f>
        <v>70490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151</v>
      </c>
      <c r="G30" s="137">
        <f>E30*F30</f>
        <v>6493</v>
      </c>
      <c r="H30" s="99">
        <f>G30+'19'!H30</f>
        <v>-80936</v>
      </c>
      <c r="I30" s="140"/>
      <c r="J30" s="175">
        <f>H30/DAY(B2)</f>
        <v>-4046.8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G31+'19'!H31</f>
        <v>295200</v>
      </c>
      <c r="I31" s="140"/>
      <c r="J31" s="175">
        <f>H31/DAY(B2)</f>
        <v>14760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333393</v>
      </c>
      <c r="H32" s="99">
        <f>G32+'19'!H32</f>
        <v>6387458</v>
      </c>
      <c r="I32" s="144"/>
      <c r="J32" s="175">
        <f>H32/DAY(B2)</f>
        <v>319372.90000000002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238713.05</v>
      </c>
      <c r="F35" s="145">
        <v>238713.05</v>
      </c>
      <c r="G35" s="112">
        <f t="shared" ref="G35:G46" si="3">F35-E35</f>
        <v>0</v>
      </c>
      <c r="H35" s="99">
        <f>G35+'19'!H35</f>
        <v>4.9999999988358468E-2</v>
      </c>
      <c r="I35" s="95"/>
      <c r="J35" s="175">
        <f>H35/DAY(B2)</f>
        <v>2.4999999994179236E-3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204556.37</v>
      </c>
      <c r="F36" s="145">
        <v>205737</v>
      </c>
      <c r="G36" s="112">
        <f t="shared" si="3"/>
        <v>1180.6300000000047</v>
      </c>
      <c r="H36" s="99">
        <f>G36+'19'!H36</f>
        <v>-9793</v>
      </c>
      <c r="I36" s="95"/>
      <c r="J36" s="175">
        <f>H36/DAY(B2)</f>
        <v>-489.65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316620.49</v>
      </c>
      <c r="F37" s="418">
        <v>318171</v>
      </c>
      <c r="G37" s="112">
        <f t="shared" si="3"/>
        <v>1550.5100000000093</v>
      </c>
      <c r="H37" s="99">
        <f>G37+'19'!H37</f>
        <v>-4828</v>
      </c>
      <c r="I37" s="95"/>
      <c r="J37" s="175">
        <f>H37/DAY(B2)</f>
        <v>-241.4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430420.39</v>
      </c>
      <c r="F38" s="106">
        <v>432667</v>
      </c>
      <c r="G38" s="112">
        <f t="shared" si="3"/>
        <v>2246.609999999986</v>
      </c>
      <c r="H38" s="99">
        <f>G38+'19'!H38</f>
        <v>-24694</v>
      </c>
      <c r="I38" s="95"/>
      <c r="J38" s="175">
        <f>H38/DAY(B2)</f>
        <v>-1234.7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579359.11</v>
      </c>
      <c r="F39" s="418">
        <v>582311</v>
      </c>
      <c r="G39" s="112">
        <f t="shared" si="3"/>
        <v>2951.890000000014</v>
      </c>
      <c r="H39" s="99">
        <f>G39+'19'!H39</f>
        <v>-9273</v>
      </c>
      <c r="I39" s="95"/>
      <c r="J39" s="175">
        <f>H39/DAY(B2)</f>
        <v>-463.65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96657.1</v>
      </c>
      <c r="F40" s="145">
        <v>97496</v>
      </c>
      <c r="G40" s="112">
        <f t="shared" si="3"/>
        <v>838.89999999999418</v>
      </c>
      <c r="H40" s="99">
        <f>G40+'19'!H40</f>
        <v>-9280</v>
      </c>
      <c r="I40" s="95"/>
      <c r="J40" s="175">
        <f>H40/DAY(B2)</f>
        <v>-464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188004.71</v>
      </c>
      <c r="F41" s="145">
        <v>188004.71</v>
      </c>
      <c r="G41" s="112">
        <f t="shared" si="3"/>
        <v>0</v>
      </c>
      <c r="H41" s="99">
        <f>G41+'19'!H41</f>
        <v>-23698.290000000008</v>
      </c>
      <c r="I41" s="95"/>
      <c r="J41" s="175">
        <f>H41/DAY(B2)</f>
        <v>-1184.9145000000003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731958.63</v>
      </c>
      <c r="F42" s="145">
        <v>737477</v>
      </c>
      <c r="G42" s="112">
        <f t="shared" si="3"/>
        <v>5518.3699999999953</v>
      </c>
      <c r="H42" s="99">
        <f>G42+'19'!H42</f>
        <v>-10887</v>
      </c>
      <c r="I42" s="95"/>
      <c r="J42" s="175">
        <f>H42/DAY(B2)</f>
        <v>-544.35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407028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14286.910000000003</v>
      </c>
      <c r="H47" s="99">
        <f>G47+'19'!H47</f>
        <v>-92453.240000000034</v>
      </c>
      <c r="I47" s="95"/>
      <c r="J47" s="175">
        <f>H47/DAY(B2)</f>
        <v>-4622.6620000000021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435790.19</v>
      </c>
      <c r="F49" s="145">
        <v>439516</v>
      </c>
      <c r="G49" s="112">
        <f t="shared" ref="G49:G58" si="4">F49-E49</f>
        <v>3725.8099999999977</v>
      </c>
      <c r="H49" s="99">
        <f>G49+'19'!H49</f>
        <v>-45538</v>
      </c>
      <c r="I49" s="95"/>
      <c r="J49" s="175">
        <f>H49/DAY(B2)</f>
        <v>-2276.9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266698.17</v>
      </c>
      <c r="F50" s="376">
        <v>268533</v>
      </c>
      <c r="G50" s="112">
        <f t="shared" si="4"/>
        <v>1834.8300000000163</v>
      </c>
      <c r="H50" s="145">
        <v>232086</v>
      </c>
      <c r="I50" s="95"/>
      <c r="J50" s="175">
        <f>H50/DAY(B2)</f>
        <v>11604.3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76</v>
      </c>
      <c r="F51" s="145">
        <v>76</v>
      </c>
      <c r="G51" s="112">
        <f t="shared" si="4"/>
        <v>0</v>
      </c>
      <c r="H51" s="99">
        <f>G51+'19'!H51</f>
        <v>-8432</v>
      </c>
      <c r="I51" s="95"/>
      <c r="J51" s="175">
        <f>H51/DAY(B2)</f>
        <v>-421.6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10</v>
      </c>
      <c r="F52" s="145">
        <v>10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-33861</v>
      </c>
      <c r="I53" s="95"/>
      <c r="J53" s="175">
        <f>H53/DAY(B2)</f>
        <v>-1693.05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83732.45</v>
      </c>
      <c r="F54" s="145">
        <v>84088</v>
      </c>
      <c r="G54" s="112">
        <f t="shared" si="4"/>
        <v>355.55000000000291</v>
      </c>
      <c r="H54" s="99">
        <f>G54+'19'!H54</f>
        <v>-3855</v>
      </c>
      <c r="I54" s="95"/>
      <c r="J54" s="175">
        <f>H54/DAY(B2)</f>
        <v>-192.75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329663.57</v>
      </c>
      <c r="F55" s="145">
        <v>329663.51</v>
      </c>
      <c r="G55" s="112">
        <f t="shared" si="4"/>
        <v>-5.9999999997671694E-2</v>
      </c>
      <c r="H55" s="99">
        <f>G55+'19'!H55</f>
        <v>-33113.489999999991</v>
      </c>
      <c r="I55" s="95"/>
      <c r="J55" s="175">
        <f>H55/DAY(B2)</f>
        <v>-1655.6744999999996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120880.14</v>
      </c>
      <c r="F56" s="145">
        <v>122561</v>
      </c>
      <c r="G56" s="112">
        <f t="shared" si="4"/>
        <v>1680.8600000000006</v>
      </c>
      <c r="H56" s="99">
        <f>G56+'19'!H56</f>
        <v>-1321</v>
      </c>
      <c r="I56" s="95"/>
      <c r="J56" s="175">
        <f>H56/DAY(B2)</f>
        <v>-66.05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190416.77</v>
      </c>
      <c r="F57" s="145">
        <v>193407</v>
      </c>
      <c r="G57" s="112">
        <f t="shared" si="4"/>
        <v>2990.2300000000105</v>
      </c>
      <c r="H57" s="99">
        <f>G57+'19'!H57</f>
        <v>-32763</v>
      </c>
      <c r="I57" s="95"/>
      <c r="J57" s="175">
        <f>H57/DAY(B2)</f>
        <v>-1638.15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45747.47</v>
      </c>
      <c r="F58" s="145">
        <v>46036</v>
      </c>
      <c r="G58" s="112">
        <f t="shared" si="4"/>
        <v>288.52999999999884</v>
      </c>
      <c r="H58" s="99">
        <f>G58+'19'!H58</f>
        <v>-3073</v>
      </c>
      <c r="I58" s="95"/>
      <c r="J58" s="175">
        <f>H58/DAY(B2)</f>
        <v>-153.65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10875.750000000029</v>
      </c>
      <c r="H59" s="99">
        <f>G59+'19'!H59</f>
        <v>-176173.48999999993</v>
      </c>
      <c r="I59" s="95">
        <f>G7-G60</f>
        <v>1037.3399999999674</v>
      </c>
      <c r="J59" s="175">
        <f>H59/DAY(B2)</f>
        <v>-8808.6744999999974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25162.660000000033</v>
      </c>
      <c r="H60" s="99">
        <f>G60+'19'!H60</f>
        <v>-268626.73000000004</v>
      </c>
      <c r="I60" s="95">
        <f>G13-G60</f>
        <v>817.83999999973457</v>
      </c>
      <c r="J60" s="175">
        <f>H60/DAY(B2)</f>
        <v>-13431.336500000001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'19'!F62</f>
        <v>294880</v>
      </c>
      <c r="F62" s="122">
        <v>295004</v>
      </c>
      <c r="G62" s="112">
        <f t="shared" ref="G62:G63" si="5">F62-E62</f>
        <v>124</v>
      </c>
      <c r="H62" s="99">
        <f>G62+'19'!H62</f>
        <v>-1271</v>
      </c>
      <c r="I62" s="118"/>
      <c r="J62" s="175">
        <f>H62/DAY(B2)</f>
        <v>-63.55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'19'!F63</f>
        <v>237287</v>
      </c>
      <c r="F63" s="122">
        <v>237415</v>
      </c>
      <c r="G63" s="112">
        <f t="shared" si="5"/>
        <v>128</v>
      </c>
      <c r="H63" s="99">
        <f>G63+'19'!H63</f>
        <v>-1718</v>
      </c>
      <c r="I63" s="118"/>
      <c r="J63" s="175">
        <f>H63/DAY(B2)</f>
        <v>-85.9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'19'!F64</f>
        <v>0</v>
      </c>
      <c r="F64" s="122"/>
      <c r="G64" s="112">
        <f>G62+G63</f>
        <v>252</v>
      </c>
      <c r="H64" s="99">
        <f>G64+'19'!H64</f>
        <v>-2989</v>
      </c>
      <c r="I64" s="118"/>
      <c r="J64" s="175">
        <f>H64/DAY(B2)</f>
        <v>-149.44999999999999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'19'!F65</f>
        <v>453435</v>
      </c>
      <c r="F65" s="122">
        <v>453547</v>
      </c>
      <c r="G65" s="112">
        <f t="shared" ref="G65:G70" si="6">F65-E65</f>
        <v>112</v>
      </c>
      <c r="H65" s="99">
        <f>G65+'19'!H65</f>
        <v>-1163</v>
      </c>
      <c r="I65" s="118"/>
      <c r="J65" s="175">
        <f>H65/DAY(B2)</f>
        <v>-58.15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111436</v>
      </c>
      <c r="F66" s="122">
        <v>111458</v>
      </c>
      <c r="G66" s="112">
        <f t="shared" si="6"/>
        <v>22</v>
      </c>
      <c r="H66" s="99">
        <f>G66+'19'!H66</f>
        <v>-264</v>
      </c>
      <c r="I66" s="118"/>
      <c r="J66" s="175">
        <f>H66/DAY(B2)</f>
        <v>-13.2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113681</v>
      </c>
      <c r="F67" s="122">
        <v>113681</v>
      </c>
      <c r="G67" s="112">
        <f t="shared" si="6"/>
        <v>0</v>
      </c>
      <c r="H67" s="99">
        <f>G67+'19'!H67</f>
        <v>1</v>
      </c>
      <c r="I67" s="118"/>
      <c r="J67" s="175">
        <f>H67/DAY(B2)</f>
        <v>0.05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164330</v>
      </c>
      <c r="F68" s="122">
        <v>164384</v>
      </c>
      <c r="G68" s="112">
        <f t="shared" si="6"/>
        <v>54</v>
      </c>
      <c r="H68" s="99">
        <f>G68+'19'!H68</f>
        <v>-278</v>
      </c>
      <c r="I68" s="118"/>
      <c r="J68" s="175">
        <f>H68/DAY(B2)</f>
        <v>-13.9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12219</v>
      </c>
      <c r="F69" s="122">
        <v>12222</v>
      </c>
      <c r="G69" s="112">
        <f t="shared" si="6"/>
        <v>3</v>
      </c>
      <c r="H69" s="99">
        <f>G69+'19'!H69</f>
        <v>-53</v>
      </c>
      <c r="I69" s="118"/>
      <c r="J69" s="175">
        <f>H69/DAY(B2)</f>
        <v>-2.65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9687</v>
      </c>
      <c r="F70" s="404">
        <v>9694</v>
      </c>
      <c r="G70" s="112">
        <f t="shared" si="6"/>
        <v>7</v>
      </c>
      <c r="H70" s="99">
        <f>G70+'19'!H70</f>
        <v>-133</v>
      </c>
      <c r="I70" s="118"/>
      <c r="J70" s="175">
        <f>H70/DAY(B2)</f>
        <v>-6.65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198</v>
      </c>
      <c r="H71" s="99">
        <f>G71+'19'!H71</f>
        <v>-1890</v>
      </c>
      <c r="I71" s="154"/>
      <c r="J71" s="175">
        <f>H71/DAY(B2)</f>
        <v>-94.5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'19'!F74</f>
        <v>953753.5</v>
      </c>
      <c r="F74" s="232">
        <v>954100</v>
      </c>
      <c r="G74" s="112">
        <f t="shared" ref="G74:G78" si="7">F74-E74</f>
        <v>346.5</v>
      </c>
      <c r="H74" s="99">
        <f>G74+'19'!H74</f>
        <v>-3557.859999999986</v>
      </c>
      <c r="I74" s="154"/>
      <c r="J74" s="175">
        <f>H74/DAY(B2)</f>
        <v>-177.89299999999929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'19'!F76</f>
        <v>188890.4</v>
      </c>
      <c r="F76" s="123">
        <v>189005</v>
      </c>
      <c r="G76" s="112">
        <f t="shared" si="7"/>
        <v>114.60000000000582</v>
      </c>
      <c r="H76" s="99">
        <f>G76+'19'!H76</f>
        <v>-1167</v>
      </c>
      <c r="I76" s="154"/>
      <c r="J76" s="175">
        <f>H76/DAY(B2)</f>
        <v>-58.35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'19'!F77</f>
        <v>49679.9</v>
      </c>
      <c r="F77" s="123">
        <v>49728</v>
      </c>
      <c r="G77" s="112">
        <f t="shared" si="7"/>
        <v>48.099999999998545</v>
      </c>
      <c r="H77" s="99">
        <f>G77+'19'!H77</f>
        <v>-585</v>
      </c>
      <c r="I77" s="154"/>
      <c r="J77" s="175">
        <f>H77/DAY(B2)</f>
        <v>-29.25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'19'!F79</f>
        <v>0</v>
      </c>
      <c r="F79" s="117"/>
      <c r="G79" s="112">
        <f>G15-SUM(G74:G78)</f>
        <v>490.79999999999563</v>
      </c>
      <c r="H79" s="99">
        <f>G79+'19'!H79</f>
        <v>25449.859999999986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89" t="s">
        <v>329</v>
      </c>
      <c r="B80" s="990"/>
      <c r="C80" s="991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42476</v>
      </c>
      <c r="F84" s="164">
        <v>42476</v>
      </c>
      <c r="G84" s="112">
        <f t="shared" si="8"/>
        <v>0</v>
      </c>
      <c r="H84" s="99">
        <f>G84+'19'!H84</f>
        <v>-113</v>
      </c>
      <c r="I84" s="571"/>
      <c r="J84" s="175">
        <f>H84/DAY(B2)</f>
        <v>-5.65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5067.0200000000004</v>
      </c>
      <c r="F85" s="164">
        <v>5091</v>
      </c>
      <c r="G85" s="112">
        <f t="shared" si="8"/>
        <v>23.979999999999563</v>
      </c>
      <c r="H85" s="99">
        <f>G85+'19'!H85</f>
        <v>-49.1899999999996</v>
      </c>
      <c r="I85" s="571"/>
      <c r="J85" s="175">
        <f>H85/DAY(B2)</f>
        <v>-2.4594999999999798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45150.19</v>
      </c>
      <c r="F86" s="164">
        <v>45150</v>
      </c>
      <c r="G86" s="112">
        <f t="shared" si="8"/>
        <v>-0.19000000000232831</v>
      </c>
      <c r="H86" s="99">
        <f>G86+'19'!H86</f>
        <v>-229</v>
      </c>
      <c r="I86" s="571"/>
      <c r="J86" s="175">
        <f>H86/DAY(B2)</f>
        <v>-11.45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35433.01</v>
      </c>
      <c r="F87" s="164">
        <v>35446.57</v>
      </c>
      <c r="G87" s="112">
        <f t="shared" si="8"/>
        <v>13.559999999997672</v>
      </c>
      <c r="H87" s="99">
        <f>G87+'19'!H87</f>
        <v>-10.860000000000582</v>
      </c>
      <c r="I87" s="571">
        <f>G84+G85+G86+G87</f>
        <v>37.349999999994907</v>
      </c>
      <c r="J87" s="175">
        <f>H87/DAY(B2)</f>
        <v>-0.54300000000002913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24297.47</v>
      </c>
      <c r="F88" s="164">
        <v>24297</v>
      </c>
      <c r="G88" s="112">
        <f t="shared" si="8"/>
        <v>-0.47000000000116415</v>
      </c>
      <c r="H88" s="99">
        <f>G88+'19'!H88</f>
        <v>-6.4599999999991269</v>
      </c>
      <c r="I88" s="571"/>
      <c r="J88" s="175">
        <f>H88/DAY(B2)</f>
        <v>-0.32299999999995632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27456.13</v>
      </c>
      <c r="F89" s="164">
        <v>27465</v>
      </c>
      <c r="G89" s="112">
        <f t="shared" si="8"/>
        <v>8.8699999999989814</v>
      </c>
      <c r="H89" s="99">
        <f>G89+'19'!H89</f>
        <v>-101.61000000000058</v>
      </c>
      <c r="I89" s="571">
        <f>G88+G89</f>
        <v>8.3999999999978172</v>
      </c>
      <c r="J89" s="175">
        <f>H89/DAY(B2)</f>
        <v>-5.0805000000000291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72480.600000000006</v>
      </c>
      <c r="F90" s="164">
        <v>72491</v>
      </c>
      <c r="G90" s="112">
        <f t="shared" si="8"/>
        <v>10.399999999994179</v>
      </c>
      <c r="H90" s="99">
        <f>G90+'19'!H90</f>
        <v>-115.55000000000291</v>
      </c>
      <c r="I90" s="571">
        <f>G90</f>
        <v>10.399999999994179</v>
      </c>
      <c r="J90" s="175">
        <f>H90/DAY(B2)</f>
        <v>-5.7775000000001455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4292.16</v>
      </c>
      <c r="F91" s="122">
        <v>4292.16</v>
      </c>
      <c r="G91" s="112">
        <f t="shared" si="8"/>
        <v>0</v>
      </c>
      <c r="H91" s="99">
        <f>G91+'19'!H91</f>
        <v>2.6199999999998909</v>
      </c>
      <c r="I91" s="590"/>
      <c r="J91" s="175">
        <f>H91/DAY(B2)</f>
        <v>0.13099999999999454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6582.79</v>
      </c>
      <c r="F92" s="122">
        <v>6594.9</v>
      </c>
      <c r="G92" s="112">
        <f t="shared" si="8"/>
        <v>12.109999999999673</v>
      </c>
      <c r="H92" s="99">
        <f>G92+'19'!H92</f>
        <v>-122.43000000000029</v>
      </c>
      <c r="I92" s="596">
        <f>G91+G92</f>
        <v>12.109999999999673</v>
      </c>
      <c r="J92" s="175">
        <f>H92/DAY(B2)</f>
        <v>-6.1215000000000144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6716.0400000000081</v>
      </c>
      <c r="H94" s="99">
        <f>G94+'19'!H94</f>
        <v>-78300.950000000012</v>
      </c>
      <c r="I94" s="118"/>
      <c r="J94" s="175">
        <f>H94/DAY(B2)</f>
        <v>-3915.0475000000006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0.25633740458015297</v>
      </c>
      <c r="H95" s="99">
        <f>G95+'19'!H95</f>
        <v>-2.9637080003233551</v>
      </c>
      <c r="I95" s="167"/>
      <c r="J95" s="175">
        <f>H95/DAY(B2)</f>
        <v>-0.14818540001616776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7199.1699999999983</v>
      </c>
      <c r="H96" s="99">
        <f>G96+'19'!H96</f>
        <v>-69019.779999999984</v>
      </c>
      <c r="I96" s="118"/>
      <c r="J96" s="175">
        <f>H96/DAY(B2)</f>
        <v>-3450.9889999999991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0.27477748091603049</v>
      </c>
      <c r="H97" s="99">
        <f>G97+'19'!H97</f>
        <v>-2.6133634714462946</v>
      </c>
      <c r="I97" s="167"/>
      <c r="J97" s="175">
        <f>H97/DAY(B2)</f>
        <v>-0.13066817357231472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2951.890000000014</v>
      </c>
      <c r="H98" s="99">
        <f>G98+'19'!H98</f>
        <v>-43134</v>
      </c>
      <c r="I98" s="168"/>
      <c r="J98" s="175">
        <f>H98/DAY(B2)</f>
        <v>-2156.6999999999998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0.11266755725190893</v>
      </c>
      <c r="H99" s="99">
        <f>G99+'19'!H99</f>
        <v>-1.6325270363347539</v>
      </c>
      <c r="I99" s="168"/>
      <c r="J99" s="175">
        <f>H99/DAY(B2)</f>
        <v>-8.1626351816737691E-2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2246.609999999986</v>
      </c>
      <c r="H100" s="99">
        <f>G100+'19'!H100</f>
        <v>-24694</v>
      </c>
      <c r="I100" s="118"/>
      <c r="J100" s="175">
        <f>H100/DAY(B2)</f>
        <v>-1234.7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8.5748473282442214E-2</v>
      </c>
      <c r="H101" s="99">
        <f>G101+'19'!H101</f>
        <v>-0.93414781591979923</v>
      </c>
      <c r="I101" s="168"/>
      <c r="J101" s="175">
        <f>H101/DAY(B2)</f>
        <v>-4.6707390795989963E-2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3015.460000000021</v>
      </c>
      <c r="H102" s="99">
        <f>G102+'19'!H102</f>
        <v>-24010</v>
      </c>
      <c r="I102" s="168"/>
      <c r="J102" s="175">
        <f>H102/DAY(B2)</f>
        <v>-1200.5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0.11509389312977179</v>
      </c>
      <c r="H103" s="99">
        <f>G103+'19'!H103</f>
        <v>-0.91134497090679534</v>
      </c>
      <c r="I103" s="118"/>
      <c r="J103" s="175">
        <f>H103/DAY(B2)</f>
        <v>-4.5567248545339764E-2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1550.5100000000093</v>
      </c>
      <c r="H104" s="99">
        <f>G104+'19'!H104</f>
        <v>-13260</v>
      </c>
      <c r="I104" s="118"/>
      <c r="J104" s="175">
        <f>H104/DAY(B2)</f>
        <v>-663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5.9179770992366765E-2</v>
      </c>
      <c r="H105" s="99">
        <f>G105+'19'!H105</f>
        <v>-0.50145380941676021</v>
      </c>
      <c r="I105" s="187"/>
      <c r="J105" s="188">
        <f>H105/DAY(B2)</f>
        <v>-2.5072690470838009E-2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'19'!F112</f>
        <v>6597.29</v>
      </c>
      <c r="F112" s="759">
        <v>6903</v>
      </c>
      <c r="G112" s="112">
        <f t="shared" ref="G112:G123" si="9">F112-E112</f>
        <v>305.71000000000004</v>
      </c>
      <c r="H112" s="99">
        <f>G112+'19'!H112</f>
        <v>-362</v>
      </c>
      <c r="I112" s="165"/>
      <c r="J112" s="328">
        <f>H112/DAY(B2)</f>
        <v>-18.100000000000001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'19'!F113</f>
        <v>13347.1</v>
      </c>
      <c r="F113" s="237">
        <v>13485</v>
      </c>
      <c r="G113" s="112">
        <f t="shared" si="9"/>
        <v>137.89999999999964</v>
      </c>
      <c r="H113" s="99">
        <f>G113+'19'!H113</f>
        <v>-1530</v>
      </c>
      <c r="I113" s="165"/>
      <c r="J113" s="328">
        <f>H113/DAY(B2)</f>
        <v>-76.5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'19'!F114</f>
        <v>18585.12</v>
      </c>
      <c r="F114" s="237">
        <v>18817</v>
      </c>
      <c r="G114" s="112">
        <f t="shared" si="9"/>
        <v>231.88000000000102</v>
      </c>
      <c r="H114" s="99">
        <f>G114+'19'!H114</f>
        <v>-2451</v>
      </c>
      <c r="I114" s="165"/>
      <c r="J114" s="328">
        <f>H114/DAY(B2)</f>
        <v>-122.55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'19'!F115</f>
        <v>11484.86</v>
      </c>
      <c r="F115" s="237">
        <v>11633</v>
      </c>
      <c r="G115" s="112">
        <f t="shared" si="9"/>
        <v>148.13999999999942</v>
      </c>
      <c r="H115" s="99">
        <f>G115+'19'!H115</f>
        <v>-1906.2200000000012</v>
      </c>
      <c r="I115" s="165"/>
      <c r="J115" s="328">
        <f>H115/DAY(B2)</f>
        <v>-95.311000000000064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'19'!F116</f>
        <v>65850</v>
      </c>
      <c r="F116" s="237">
        <v>66405</v>
      </c>
      <c r="G116" s="112">
        <f t="shared" si="9"/>
        <v>555</v>
      </c>
      <c r="H116" s="99">
        <f>G116+'19'!H116</f>
        <v>-4087</v>
      </c>
      <c r="I116" s="165"/>
      <c r="J116" s="328">
        <f>H116/DAY(B2)</f>
        <v>-204.35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'19'!F117</f>
        <v>38012.28</v>
      </c>
      <c r="F117" s="237">
        <v>38226</v>
      </c>
      <c r="G117" s="112">
        <f t="shared" si="9"/>
        <v>213.72000000000116</v>
      </c>
      <c r="H117" s="99">
        <f>G117+'19'!H117</f>
        <v>-2696</v>
      </c>
      <c r="I117" s="165"/>
      <c r="J117" s="328">
        <f>H117/DAY(B2)</f>
        <v>-134.80000000000001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'19'!F118</f>
        <v>57079.9</v>
      </c>
      <c r="F118" s="237">
        <v>57750</v>
      </c>
      <c r="G118" s="112">
        <f t="shared" si="9"/>
        <v>670.09999999999854</v>
      </c>
      <c r="H118" s="99">
        <f>G118+'19'!H118</f>
        <v>-6922</v>
      </c>
      <c r="I118" s="165"/>
      <c r="J118" s="328">
        <f>H118/DAY(B2)</f>
        <v>-346.1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'19'!F119</f>
        <v>34736.089999999997</v>
      </c>
      <c r="F119" s="237">
        <v>34958</v>
      </c>
      <c r="G119" s="112">
        <f t="shared" si="9"/>
        <v>221.91000000000349</v>
      </c>
      <c r="H119" s="99">
        <f>G119+'19'!H119</f>
        <v>-2491</v>
      </c>
      <c r="I119" s="165"/>
      <c r="J119" s="328">
        <f>H119/DAY(B2)</f>
        <v>-124.55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'19'!F120</f>
        <v>41375.99</v>
      </c>
      <c r="F120" s="237">
        <v>41788</v>
      </c>
      <c r="G120" s="112">
        <f t="shared" si="9"/>
        <v>412.01000000000204</v>
      </c>
      <c r="H120" s="99">
        <f>G120+'19'!H120</f>
        <v>-4479</v>
      </c>
      <c r="I120" s="165"/>
      <c r="J120" s="328">
        <f>H120/DAY(B2)</f>
        <v>-223.95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'19'!F121</f>
        <v>48065.49</v>
      </c>
      <c r="F121" s="237">
        <v>48485</v>
      </c>
      <c r="G121" s="112">
        <f t="shared" si="9"/>
        <v>419.51000000000204</v>
      </c>
      <c r="H121" s="99">
        <f>G121+'19'!H121</f>
        <v>-5058</v>
      </c>
      <c r="I121" s="165"/>
      <c r="J121" s="328">
        <f>H121/DAY(B2)</f>
        <v>-252.9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'19'!F122</f>
        <v>25414</v>
      </c>
      <c r="F122" s="237">
        <v>25699</v>
      </c>
      <c r="G122" s="112">
        <f t="shared" si="9"/>
        <v>285</v>
      </c>
      <c r="H122" s="99">
        <f>G122+'19'!H122</f>
        <v>-2975</v>
      </c>
      <c r="I122" s="165"/>
      <c r="J122" s="328">
        <f>H122/DAY(B2)</f>
        <v>-148.75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'19'!F123</f>
        <v>26381.919999999998</v>
      </c>
      <c r="F123" s="237">
        <v>26703</v>
      </c>
      <c r="G123" s="112">
        <f t="shared" si="9"/>
        <v>321.08000000000175</v>
      </c>
      <c r="H123" s="99">
        <f>G123+'19'!H123</f>
        <v>-3485</v>
      </c>
      <c r="I123" s="165"/>
      <c r="J123" s="328">
        <f>H123/DAY(B2)</f>
        <v>-174.25</v>
      </c>
    </row>
    <row r="124" spans="1:18" ht="29.25" customHeight="1">
      <c r="A124" s="898"/>
      <c r="B124" s="899"/>
      <c r="C124" s="900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66" t="s">
        <v>108</v>
      </c>
      <c r="B125" s="966"/>
      <c r="C125" s="245"/>
      <c r="D125" s="307"/>
      <c r="E125" s="308"/>
      <c r="F125" s="308"/>
      <c r="G125" s="309">
        <f>SUM(G112:G124)</f>
        <v>3921.9600000000091</v>
      </c>
      <c r="H125" s="156"/>
      <c r="I125" s="327">
        <f>G125-(G39+G53)</f>
        <v>970.06999999999516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'19'!F128</f>
        <v>121532.66</v>
      </c>
      <c r="F128" s="165">
        <v>122020</v>
      </c>
      <c r="G128" s="112">
        <f t="shared" ref="G128:G134" si="10">F128-E128</f>
        <v>487.33999999999651</v>
      </c>
      <c r="H128" s="99">
        <f>G128+'19'!H128</f>
        <v>-5624</v>
      </c>
      <c r="I128" s="165"/>
      <c r="J128" s="328">
        <f>H128/DAY(B2)</f>
        <v>-281.2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70379</v>
      </c>
      <c r="F129" s="165">
        <v>70538</v>
      </c>
      <c r="G129" s="112">
        <f t="shared" si="10"/>
        <v>159</v>
      </c>
      <c r="H129" s="99">
        <f>G129+'19'!H129</f>
        <v>-1965</v>
      </c>
      <c r="I129" s="165"/>
      <c r="J129" s="328">
        <f>H129/DAY(B2)</f>
        <v>-98.25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155559.94</v>
      </c>
      <c r="F130" s="165">
        <v>156261</v>
      </c>
      <c r="G130" s="112">
        <f t="shared" si="10"/>
        <v>701.05999999999767</v>
      </c>
      <c r="H130" s="99">
        <f>G130+'19'!H130</f>
        <v>-8880.2699999999895</v>
      </c>
      <c r="I130" s="165"/>
      <c r="J130" s="328">
        <f>H130/DAY(B2)</f>
        <v>-444.01349999999945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'19'!F131</f>
        <v>45962.22</v>
      </c>
      <c r="F131" s="165">
        <v>46180</v>
      </c>
      <c r="G131" s="112">
        <f t="shared" si="10"/>
        <v>217.77999999999884</v>
      </c>
      <c r="H131" s="99">
        <f>G131+'19'!H131</f>
        <v>-2269</v>
      </c>
      <c r="I131" s="165"/>
      <c r="J131" s="328">
        <f>H131/DAY(B2)</f>
        <v>-113.45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'19'!F132</f>
        <v>124127.49</v>
      </c>
      <c r="F132" s="165">
        <v>124466</v>
      </c>
      <c r="G132" s="112">
        <f t="shared" si="10"/>
        <v>338.50999999999476</v>
      </c>
      <c r="H132" s="99">
        <f>G132+'19'!H132</f>
        <v>-3708</v>
      </c>
      <c r="I132" s="165"/>
      <c r="J132" s="328">
        <f>H132/DAY(B2)</f>
        <v>-185.4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'19'!F133</f>
        <v>224035.59</v>
      </c>
      <c r="F133" s="612">
        <v>224035.59</v>
      </c>
      <c r="G133" s="112">
        <f t="shared" si="10"/>
        <v>0</v>
      </c>
      <c r="H133" s="99">
        <f>G133+'19'!H133</f>
        <v>571233.43000000017</v>
      </c>
      <c r="I133" s="165"/>
      <c r="J133" s="328">
        <f>H133/DAY(B2)</f>
        <v>28561.671500000008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'19'!F134</f>
        <v>46488.15</v>
      </c>
      <c r="F134" s="465">
        <v>46732</v>
      </c>
      <c r="G134" s="112">
        <f t="shared" si="10"/>
        <v>243.84999999999854</v>
      </c>
      <c r="H134" s="99">
        <f>G134+'19'!H134</f>
        <v>-2303</v>
      </c>
      <c r="I134" s="165"/>
      <c r="J134" s="328">
        <f>H134/DAY(B2)</f>
        <v>-115.15</v>
      </c>
    </row>
    <row r="135" spans="1:15" ht="25.5">
      <c r="A135" s="987" t="s">
        <v>108</v>
      </c>
      <c r="B135" s="988"/>
      <c r="C135" s="890"/>
      <c r="D135" s="151"/>
      <c r="E135" s="95"/>
      <c r="F135" s="165"/>
      <c r="G135" s="112">
        <f>SUM(G128:G134)</f>
        <v>2147.5399999999863</v>
      </c>
      <c r="H135" s="99"/>
      <c r="I135" s="327">
        <f>G135-(G35+G49)</f>
        <v>-1578.2700000000114</v>
      </c>
      <c r="J135" s="328"/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'19'!F138</f>
        <v>889538</v>
      </c>
      <c r="F138" s="147">
        <v>889648</v>
      </c>
      <c r="G138" s="112">
        <f t="shared" ref="G138:G152" si="11">F138-E138</f>
        <v>110</v>
      </c>
      <c r="H138" s="99">
        <f>G138+'19'!H138</f>
        <v>-1447</v>
      </c>
      <c r="I138" s="118"/>
      <c r="J138" s="328">
        <f>H138/DAY(B2)</f>
        <v>-72.349999999999994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'19'!F139</f>
        <v>907097</v>
      </c>
      <c r="F139" s="148">
        <v>907274</v>
      </c>
      <c r="G139" s="112">
        <f t="shared" si="11"/>
        <v>177</v>
      </c>
      <c r="H139" s="99">
        <f>G139+'19'!H139</f>
        <v>-1621</v>
      </c>
      <c r="I139" s="118"/>
      <c r="J139" s="328">
        <f>H139/DAY(B2)</f>
        <v>-81.05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'19'!F140</f>
        <v>1332.38</v>
      </c>
      <c r="F140" s="149">
        <v>1348</v>
      </c>
      <c r="G140" s="112">
        <f>F140-E140</f>
        <v>15.619999999999891</v>
      </c>
      <c r="H140" s="99">
        <f>G140+'19'!H140</f>
        <v>430.76999999999407</v>
      </c>
      <c r="I140" s="118"/>
      <c r="J140" s="328">
        <f>H140/DAY(B2)</f>
        <v>21.538499999999704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'19'!F141</f>
        <v>88012.2</v>
      </c>
      <c r="F141" s="149">
        <v>88203</v>
      </c>
      <c r="G141" s="112">
        <f t="shared" si="11"/>
        <v>190.80000000000291</v>
      </c>
      <c r="H141" s="99">
        <f>G141+'19'!H141</f>
        <v>-2249</v>
      </c>
      <c r="I141" s="118"/>
      <c r="J141" s="328">
        <f>H141/DAY(B2)</f>
        <v>-112.45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'19'!F142</f>
        <v>35763</v>
      </c>
      <c r="F142" s="148">
        <v>35855</v>
      </c>
      <c r="G142" s="112">
        <f t="shared" si="11"/>
        <v>92</v>
      </c>
      <c r="H142" s="99">
        <f>G142+'19'!H142</f>
        <v>-806</v>
      </c>
      <c r="I142" s="140"/>
      <c r="J142" s="328">
        <f>H142/DAY(B2)</f>
        <v>-40.299999999999997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'19'!F143</f>
        <v>8707.42</v>
      </c>
      <c r="F143" s="149">
        <v>8736</v>
      </c>
      <c r="G143" s="112">
        <f t="shared" si="11"/>
        <v>28.579999999999927</v>
      </c>
      <c r="H143" s="99">
        <f>G143+'19'!H143</f>
        <v>-315</v>
      </c>
      <c r="I143" s="140"/>
      <c r="J143" s="328">
        <f>H143/DAY(B2)</f>
        <v>-15.75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'19'!F144</f>
        <v>917000</v>
      </c>
      <c r="F144" s="518">
        <v>917258</v>
      </c>
      <c r="G144" s="112">
        <f t="shared" si="11"/>
        <v>258</v>
      </c>
      <c r="H144" s="99">
        <f>G144+'19'!H144</f>
        <v>-2579</v>
      </c>
      <c r="I144" s="140"/>
      <c r="J144" s="328">
        <f>H144/DAY(B2)</f>
        <v>-128.94999999999999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'19'!F145</f>
        <v>5731.98</v>
      </c>
      <c r="F145" s="149">
        <v>5746</v>
      </c>
      <c r="G145" s="112">
        <f t="shared" si="11"/>
        <v>14.020000000000437</v>
      </c>
      <c r="H145" s="99">
        <f>G145+'19'!H145</f>
        <v>-61</v>
      </c>
      <c r="I145" s="140"/>
      <c r="J145" s="328">
        <f>H145/DAY(B2)</f>
        <v>-3.05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'19'!F146</f>
        <v>780107</v>
      </c>
      <c r="F146" s="148">
        <v>780144</v>
      </c>
      <c r="G146" s="112">
        <f t="shared" si="11"/>
        <v>37</v>
      </c>
      <c r="H146" s="99">
        <f>G146+'19'!H146</f>
        <v>-656</v>
      </c>
      <c r="I146" s="140"/>
      <c r="J146" s="328">
        <f>H146/DAY(B2)</f>
        <v>-32.799999999999997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'19'!F147</f>
        <v>695020.64</v>
      </c>
      <c r="F147" s="148">
        <v>695435</v>
      </c>
      <c r="G147" s="112">
        <f t="shared" si="11"/>
        <v>414.35999999998603</v>
      </c>
      <c r="H147" s="99">
        <f>G147+'19'!H147</f>
        <v>-4334</v>
      </c>
      <c r="I147" s="140"/>
      <c r="J147" s="328">
        <f>H147/DAY(B2)</f>
        <v>-216.7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'19'!F148</f>
        <v>744724</v>
      </c>
      <c r="F148" s="150">
        <v>745028</v>
      </c>
      <c r="G148" s="112">
        <f t="shared" si="11"/>
        <v>304</v>
      </c>
      <c r="H148" s="99">
        <f>G148+'19'!H148</f>
        <v>-3502</v>
      </c>
      <c r="I148" s="124"/>
      <c r="J148" s="328">
        <f>H148/DAY(B2)</f>
        <v>-175.1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'19'!F149</f>
        <v>126699.76</v>
      </c>
      <c r="F149" s="146">
        <v>127236</v>
      </c>
      <c r="G149" s="112">
        <f t="shared" si="11"/>
        <v>536.24000000000524</v>
      </c>
      <c r="H149" s="99">
        <f>G149+'19'!H149</f>
        <v>-5198</v>
      </c>
      <c r="I149" s="119"/>
      <c r="J149" s="328">
        <f>H149/DAY(B2)</f>
        <v>-259.89999999999998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'19'!F150</f>
        <v>47942.49</v>
      </c>
      <c r="F150" s="233">
        <v>48157</v>
      </c>
      <c r="G150" s="112">
        <f t="shared" si="11"/>
        <v>214.51000000000204</v>
      </c>
      <c r="H150" s="99">
        <f>G150+'19'!H150</f>
        <v>-2458</v>
      </c>
      <c r="I150" s="119"/>
      <c r="J150" s="328">
        <f>H150/DAY(B2)</f>
        <v>-122.9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'19'!F151</f>
        <v>131827</v>
      </c>
      <c r="F151" s="233">
        <v>132108</v>
      </c>
      <c r="G151" s="112">
        <f t="shared" si="11"/>
        <v>281</v>
      </c>
      <c r="H151" s="99">
        <f>G151+'19'!H151</f>
        <v>-3341</v>
      </c>
      <c r="I151" s="119"/>
      <c r="J151" s="328">
        <f>H151/DAY(B2)</f>
        <v>-167.05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'19'!F152</f>
        <v>21681.8</v>
      </c>
      <c r="F152" s="233">
        <v>21804</v>
      </c>
      <c r="G152" s="112">
        <f t="shared" si="11"/>
        <v>122.20000000000073</v>
      </c>
      <c r="H152" s="99">
        <f>G152+'19'!H152</f>
        <v>-1350</v>
      </c>
      <c r="I152" s="119"/>
      <c r="J152" s="328">
        <f>H152/DAY(B2)</f>
        <v>-67.5</v>
      </c>
    </row>
    <row r="153" spans="1:10" ht="25.5">
      <c r="A153" s="459" t="s">
        <v>108</v>
      </c>
      <c r="B153" s="365"/>
      <c r="C153" s="365"/>
      <c r="D153" s="117"/>
      <c r="E153" s="95"/>
      <c r="F153" s="233"/>
      <c r="G153" s="112">
        <f>SUM(G138:G152)</f>
        <v>2795.3299999999972</v>
      </c>
      <c r="H153" s="99"/>
      <c r="I153" s="119">
        <f>G153-(G38+G52)</f>
        <v>548.72000000001117</v>
      </c>
      <c r="J153" s="328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'19'!F155</f>
        <v>141048.6</v>
      </c>
      <c r="F155" s="374">
        <v>141618</v>
      </c>
      <c r="G155" s="112">
        <f t="shared" ref="G155:G158" si="12">F155-E155</f>
        <v>569.39999999999418</v>
      </c>
      <c r="H155" s="99">
        <f>G155+'19'!H155</f>
        <v>-6531</v>
      </c>
      <c r="I155" s="364"/>
      <c r="J155" s="328">
        <f>H155/DAY(B2)</f>
        <v>-326.55</v>
      </c>
    </row>
    <row r="156" spans="1:10" ht="25.5">
      <c r="A156" s="872" t="s">
        <v>347</v>
      </c>
      <c r="B156" s="872"/>
      <c r="C156" s="872"/>
      <c r="D156" s="117" t="s">
        <v>130</v>
      </c>
      <c r="E156" s="95">
        <f>'19'!F156</f>
        <v>13667.08</v>
      </c>
      <c r="F156" s="155">
        <v>13751</v>
      </c>
      <c r="G156" s="112">
        <f t="shared" si="12"/>
        <v>83.920000000000073</v>
      </c>
      <c r="H156" s="99">
        <f>G156+'19'!H156</f>
        <v>-983</v>
      </c>
      <c r="I156" s="165"/>
      <c r="J156" s="328">
        <f>H156/DAY(B2)</f>
        <v>-49.15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'19'!F157</f>
        <v>25860.46</v>
      </c>
      <c r="F157" s="155">
        <v>25995</v>
      </c>
      <c r="G157" s="112">
        <f t="shared" si="12"/>
        <v>134.54000000000087</v>
      </c>
      <c r="H157" s="99">
        <f>G157+'19'!H157</f>
        <v>134.54000000000087</v>
      </c>
      <c r="I157" s="165"/>
      <c r="J157" s="328">
        <f>H157/DAY(B2)</f>
        <v>6.7270000000000438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'19'!F158</f>
        <v>228.7</v>
      </c>
      <c r="F158" s="155">
        <v>229</v>
      </c>
      <c r="G158" s="112">
        <f t="shared" si="12"/>
        <v>0.30000000000001137</v>
      </c>
      <c r="H158" s="99">
        <f>G158+'19'!H158</f>
        <v>0.30000000000001137</v>
      </c>
      <c r="I158" s="165"/>
      <c r="J158" s="328">
        <f>H158/DAY(B2)</f>
        <v>1.5000000000000568E-2</v>
      </c>
    </row>
    <row r="159" spans="1:10" ht="25.5">
      <c r="A159" s="958"/>
      <c r="B159" s="959"/>
      <c r="C159" s="960"/>
      <c r="D159" s="117"/>
      <c r="E159" s="95"/>
      <c r="F159" s="15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479280.64000000001</v>
      </c>
      <c r="F161" s="235">
        <v>479384</v>
      </c>
      <c r="G161" s="238">
        <f t="shared" ref="G161:G166" si="13">F161-E161</f>
        <v>103.35999999998603</v>
      </c>
      <c r="H161" s="99">
        <f>G161+'19'!H161</f>
        <v>201.71999999997206</v>
      </c>
      <c r="I161" s="236"/>
      <c r="J161" s="239">
        <f>H161/DAY(B2)</f>
        <v>10.085999999998602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94493.1</v>
      </c>
      <c r="F162" s="235">
        <v>94533</v>
      </c>
      <c r="G162" s="238">
        <f t="shared" si="13"/>
        <v>39.899999999994179</v>
      </c>
      <c r="H162" s="99">
        <f>G162+'19'!H162</f>
        <v>-395</v>
      </c>
      <c r="I162" s="236"/>
      <c r="J162" s="239">
        <f>H162/DAY(B2)</f>
        <v>-19.75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4858.3999999999996</v>
      </c>
      <c r="F163" s="235">
        <v>5019</v>
      </c>
      <c r="G163" s="238">
        <f t="shared" si="13"/>
        <v>160.60000000000036</v>
      </c>
      <c r="H163" s="99">
        <f>G163+'19'!H163</f>
        <v>-1482</v>
      </c>
      <c r="I163" s="236"/>
      <c r="J163" s="239">
        <f>H163/DAY(B2)</f>
        <v>-74.099999999999994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6118.4</v>
      </c>
      <c r="F164" s="235">
        <v>6134</v>
      </c>
      <c r="G164" s="238">
        <f t="shared" si="13"/>
        <v>15.600000000000364</v>
      </c>
      <c r="H164" s="99">
        <f>G164+'19'!H164</f>
        <v>-146</v>
      </c>
      <c r="I164" s="236"/>
      <c r="J164" s="239">
        <f>H164/DAY(B2)</f>
        <v>-7.3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31520.25</v>
      </c>
      <c r="F165" s="235">
        <v>31529</v>
      </c>
      <c r="G165" s="238">
        <f t="shared" si="13"/>
        <v>8.75</v>
      </c>
      <c r="H165" s="99">
        <f>G165+'19'!H165</f>
        <v>-105</v>
      </c>
      <c r="I165" s="236"/>
      <c r="J165" s="239">
        <f>H165/DAY(B2)</f>
        <v>-5.25</v>
      </c>
    </row>
    <row r="166" spans="1:10" ht="26.25">
      <c r="A166" s="881"/>
      <c r="B166" s="881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'19'!F173</f>
        <v>8276</v>
      </c>
      <c r="F173" s="155">
        <v>8276</v>
      </c>
      <c r="G173" s="155">
        <f>F173-E173</f>
        <v>0</v>
      </c>
      <c r="H173" s="99">
        <f>G173+'19'!H173</f>
        <v>41</v>
      </c>
      <c r="I173" s="155"/>
      <c r="J173" s="178">
        <f>H173/DAY(B2)</f>
        <v>2.0499999999999998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'19'!F174</f>
        <v>41036</v>
      </c>
      <c r="F174" s="157">
        <v>41050</v>
      </c>
      <c r="G174" s="155">
        <f t="shared" ref="G174:G175" si="14">F174-E174</f>
        <v>14</v>
      </c>
      <c r="H174" s="99">
        <f>G174+'19'!H174</f>
        <v>-154</v>
      </c>
      <c r="I174" s="155"/>
      <c r="J174" s="178">
        <f>H174/DAY(B2)</f>
        <v>-7.7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'19'!F175</f>
        <v>23894</v>
      </c>
      <c r="F175" s="155">
        <v>23906</v>
      </c>
      <c r="G175" s="155">
        <f t="shared" si="14"/>
        <v>12</v>
      </c>
      <c r="H175" s="99">
        <f>G175+'19'!H175</f>
        <v>-125</v>
      </c>
      <c r="I175" s="155"/>
      <c r="J175" s="178">
        <f>H175/DAY(B2)</f>
        <v>-6.25</v>
      </c>
    </row>
    <row r="176" spans="1:10" ht="25.5">
      <c r="A176" s="876" t="s">
        <v>196</v>
      </c>
      <c r="B176" s="877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G176+'19'!H176</f>
        <v>-238</v>
      </c>
      <c r="I176" s="155"/>
      <c r="J176" s="178">
        <f>H176/DAY(B2)</f>
        <v>-11.9</v>
      </c>
    </row>
    <row r="177" spans="1:10" ht="25.5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'19'!F178</f>
        <v>96612</v>
      </c>
      <c r="F178" s="155">
        <v>96674</v>
      </c>
      <c r="G178" s="155">
        <f>F178-E178</f>
        <v>62</v>
      </c>
      <c r="H178" s="99">
        <f>G178+'19'!H178</f>
        <v>-1039</v>
      </c>
      <c r="I178" s="155"/>
      <c r="J178" s="178">
        <f>H178/DAY(B2)</f>
        <v>-51.95</v>
      </c>
    </row>
    <row r="179" spans="1:10" ht="25.5">
      <c r="A179" s="887" t="s">
        <v>211</v>
      </c>
      <c r="B179" s="888"/>
      <c r="C179" s="333"/>
      <c r="D179" s="228" t="s">
        <v>142</v>
      </c>
      <c r="E179" s="95">
        <f>'19'!F179</f>
        <v>36002</v>
      </c>
      <c r="F179" s="155">
        <v>36002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'19'!F180</f>
        <v>7056</v>
      </c>
      <c r="F180" s="155">
        <v>7056</v>
      </c>
      <c r="G180" s="155">
        <f t="shared" si="15"/>
        <v>0</v>
      </c>
      <c r="H180" s="99">
        <f>G180+'19'!H180</f>
        <v>-113</v>
      </c>
      <c r="I180" s="155"/>
      <c r="J180" s="178">
        <f>H180/DAY(B2)</f>
        <v>-5.65</v>
      </c>
    </row>
    <row r="181" spans="1:10" ht="24.75" customHeight="1">
      <c r="A181" s="889" t="s">
        <v>108</v>
      </c>
      <c r="B181" s="890"/>
      <c r="C181" s="401"/>
      <c r="D181" s="228" t="s">
        <v>142</v>
      </c>
      <c r="E181" s="95"/>
      <c r="F181" s="155"/>
      <c r="G181" s="155">
        <f>SUM(G178:G180)</f>
        <v>62</v>
      </c>
      <c r="H181" s="99">
        <f>G181+'19'!H181</f>
        <v>-1152</v>
      </c>
      <c r="I181" s="155"/>
      <c r="J181" s="178">
        <f>H181/DAY(B2)</f>
        <v>-57.6</v>
      </c>
    </row>
    <row r="182" spans="1:10" ht="24.75" customHeight="1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87" t="s">
        <v>214</v>
      </c>
      <c r="B183" s="888"/>
      <c r="C183" s="334"/>
      <c r="D183" s="228" t="s">
        <v>142</v>
      </c>
      <c r="E183" s="95">
        <f>'19'!F183</f>
        <v>17401</v>
      </c>
      <c r="F183" s="157">
        <v>17405</v>
      </c>
      <c r="G183" s="157">
        <f>F183-E183</f>
        <v>4</v>
      </c>
      <c r="H183" s="99">
        <f>G183+'19'!H183</f>
        <v>-68</v>
      </c>
      <c r="I183" s="155"/>
      <c r="J183" s="178">
        <f>H183/DAY(B2)</f>
        <v>-3.4</v>
      </c>
    </row>
    <row r="184" spans="1:10" ht="24.75" customHeight="1">
      <c r="A184" s="887" t="s">
        <v>215</v>
      </c>
      <c r="B184" s="888"/>
      <c r="C184" s="334"/>
      <c r="D184" s="228" t="s">
        <v>142</v>
      </c>
      <c r="E184" s="95">
        <f>'19'!F184</f>
        <v>11826</v>
      </c>
      <c r="F184" s="157">
        <v>11833</v>
      </c>
      <c r="G184" s="157">
        <f t="shared" ref="G184:G185" si="16">F184-E184</f>
        <v>7</v>
      </c>
      <c r="H184" s="99">
        <f>G184+'19'!H184</f>
        <v>-102</v>
      </c>
      <c r="I184" s="155"/>
      <c r="J184" s="178">
        <f>H184/DAY(B2)</f>
        <v>-5.0999999999999996</v>
      </c>
    </row>
    <row r="185" spans="1:10" ht="24.75" customHeight="1">
      <c r="A185" s="887" t="s">
        <v>216</v>
      </c>
      <c r="B185" s="888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400"/>
      <c r="D186" s="228" t="s">
        <v>142</v>
      </c>
      <c r="E186" s="95"/>
      <c r="F186" s="157"/>
      <c r="G186" s="157">
        <f>SUM(G183:G185)</f>
        <v>11</v>
      </c>
      <c r="H186" s="99">
        <f>G186+'19'!H186</f>
        <v>-170</v>
      </c>
      <c r="I186" s="157"/>
      <c r="J186" s="178">
        <f>H186/DAY(B2)</f>
        <v>-8.5</v>
      </c>
    </row>
    <row r="187" spans="1:10" ht="25.5">
      <c r="A187" s="878" t="s">
        <v>217</v>
      </c>
      <c r="B187" s="879"/>
      <c r="C187" s="333"/>
      <c r="D187" s="230" t="s">
        <v>142</v>
      </c>
      <c r="E187" s="95"/>
      <c r="F187" s="159"/>
      <c r="G187" s="378">
        <f>G62+G19</f>
        <v>167</v>
      </c>
      <c r="H187" s="99">
        <f>G187+'19'!H187</f>
        <v>-1807</v>
      </c>
      <c r="I187" s="158"/>
      <c r="J187" s="179">
        <f>H187/DAY(B2)</f>
        <v>-90.35</v>
      </c>
    </row>
    <row r="188" spans="1:10" ht="25.5">
      <c r="A188" s="878" t="s">
        <v>218</v>
      </c>
      <c r="B188" s="879"/>
      <c r="C188" s="333"/>
      <c r="D188" s="230" t="s">
        <v>142</v>
      </c>
      <c r="E188" s="95"/>
      <c r="F188" s="159"/>
      <c r="G188" s="378">
        <f>G65+G66+G67+G69+G70</f>
        <v>144</v>
      </c>
      <c r="H188" s="99">
        <f>G188+'19'!H188</f>
        <v>1014</v>
      </c>
      <c r="I188" s="158"/>
      <c r="J188" s="179">
        <f>H188/DAY(B2)</f>
        <v>50.7</v>
      </c>
    </row>
    <row r="189" spans="1:10" ht="25.5">
      <c r="A189" s="878" t="s">
        <v>219</v>
      </c>
      <c r="B189" s="879"/>
      <c r="C189" s="333"/>
      <c r="D189" s="230" t="s">
        <v>142</v>
      </c>
      <c r="E189" s="95"/>
      <c r="F189" s="157"/>
      <c r="G189" s="377">
        <f>G181</f>
        <v>62</v>
      </c>
      <c r="H189" s="99">
        <f>G189+'19'!H189</f>
        <v>157</v>
      </c>
      <c r="I189" s="158"/>
      <c r="J189" s="179">
        <f>H189/DAY(B2)</f>
        <v>7.85</v>
      </c>
    </row>
    <row r="190" spans="1:10" ht="25.5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58" zoomScale="60" zoomScaleNormal="60" zoomScalePageLayoutView="20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355</v>
      </c>
      <c r="B2" s="262">
        <v>44763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375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55347</v>
      </c>
      <c r="F7" s="95">
        <f>E7+26200</f>
        <v>81547</v>
      </c>
      <c r="G7" s="112">
        <f>F7-E7</f>
        <v>26200</v>
      </c>
      <c r="H7" s="99">
        <f>G7+'20'!H7</f>
        <v>547958.9</v>
      </c>
      <c r="I7" s="113">
        <f>'1'!I7</f>
        <v>12000</v>
      </c>
      <c r="J7" s="175">
        <f>H7/DAY(B2)</f>
        <v>26093.280952380952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202344.4</v>
      </c>
      <c r="F8" s="95">
        <f>E8+26500</f>
        <v>228844.4</v>
      </c>
      <c r="G8" s="115">
        <f>F8-E8</f>
        <v>26500</v>
      </c>
      <c r="H8" s="99">
        <f>G8+'20'!H8</f>
        <v>555766</v>
      </c>
      <c r="I8" s="116"/>
      <c r="J8" s="175">
        <f>H8/DAY(B2)</f>
        <v>26465.047619047618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3192564</v>
      </c>
      <c r="F9" s="469">
        <v>3205659</v>
      </c>
      <c r="G9" s="112">
        <f>F9-E9</f>
        <v>13095</v>
      </c>
      <c r="H9" s="99">
        <f>G9+'20'!H9</f>
        <v>-73407</v>
      </c>
      <c r="I9" s="124">
        <f>I7-J7</f>
        <v>-14093.280952380952</v>
      </c>
      <c r="J9" s="175">
        <f>H9/DAY(B2)</f>
        <v>-3495.5714285714284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1481028</v>
      </c>
      <c r="F10" s="353">
        <v>1492364</v>
      </c>
      <c r="G10" s="112">
        <f t="shared" ref="G10:G12" si="0">F10-E10</f>
        <v>11336</v>
      </c>
      <c r="H10" s="99">
        <f>G10+'20'!H10</f>
        <v>-174794</v>
      </c>
      <c r="I10" s="282"/>
      <c r="J10" s="175">
        <f>H10/DAY(B2)</f>
        <v>-8323.5238095238092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24431</v>
      </c>
      <c r="H13" s="99">
        <f>G13+'20'!H13</f>
        <v>-246866.40000000014</v>
      </c>
      <c r="I13" s="120">
        <f>G7-G13</f>
        <v>1769</v>
      </c>
      <c r="J13" s="175">
        <f>H13/DAY(B2)</f>
        <v>-11755.542857142864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2121008</v>
      </c>
      <c r="F15" s="469">
        <f>E15+1000</f>
        <v>2122008</v>
      </c>
      <c r="G15" s="112">
        <f>(F15-E15)</f>
        <v>1000</v>
      </c>
      <c r="H15" s="99">
        <f>G15+'20'!H15</f>
        <v>21140</v>
      </c>
      <c r="I15" s="113">
        <f>'1'!I15</f>
        <v>800</v>
      </c>
      <c r="J15" s="175">
        <f>H15/DAY(B2)</f>
        <v>1006.6666666666666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-206.66666666666663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'20'!F18</f>
        <v>23</v>
      </c>
      <c r="F18" s="404">
        <v>17</v>
      </c>
      <c r="G18" s="119">
        <f>F18*10</f>
        <v>170</v>
      </c>
      <c r="H18" s="99">
        <f>G18+'20'!H18</f>
        <v>3860</v>
      </c>
      <c r="I18" s="113">
        <f>'1'!I18</f>
        <v>65</v>
      </c>
      <c r="J18" s="175">
        <f>H18/DAY(B2)</f>
        <v>183.8095238095238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'20'!F19</f>
        <v>161793</v>
      </c>
      <c r="F19" s="122">
        <v>161843</v>
      </c>
      <c r="G19" s="112">
        <f t="shared" ref="G19" si="1">F19-E19</f>
        <v>50</v>
      </c>
      <c r="H19" s="99">
        <f>G19+'20'!H19</f>
        <v>-486</v>
      </c>
      <c r="I19" s="335"/>
      <c r="J19" s="175">
        <f>H19/DAY(B2)</f>
        <v>-23.142857142857142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G20+'20'!H20</f>
        <v>3374</v>
      </c>
      <c r="I20" s="336">
        <f>I18-J20</f>
        <v>-95.666666666666657</v>
      </c>
      <c r="J20" s="175">
        <f>H20/DAY(B2)</f>
        <v>160.66666666666666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G27+'20'!H27</f>
        <v>5001894</v>
      </c>
      <c r="I27" s="138"/>
      <c r="J27" s="175">
        <f>H27/DAY(B2)</f>
        <v>238185.42857142858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G28+'20'!H28</f>
        <v>1479800</v>
      </c>
      <c r="I28" s="140"/>
      <c r="J28" s="175">
        <f>H28/DAY(B2)</f>
        <v>70466.666666666672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G30+'20'!H30</f>
        <v>-73386</v>
      </c>
      <c r="I30" s="140"/>
      <c r="J30" s="175">
        <f>H30/DAY(B2)</f>
        <v>-3494.5714285714284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G31+'20'!H31</f>
        <v>308800</v>
      </c>
      <c r="I31" s="140"/>
      <c r="J31" s="175">
        <f>H31/DAY(B2)</f>
        <v>14704.761904761905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329650</v>
      </c>
      <c r="H32" s="99">
        <f>G32+'20'!H32</f>
        <v>6717108</v>
      </c>
      <c r="I32" s="144"/>
      <c r="J32" s="175">
        <f>H32/DAY(B2)</f>
        <v>319862.28571428574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238713.05</v>
      </c>
      <c r="F35" s="145">
        <v>238713</v>
      </c>
      <c r="G35" s="112">
        <f t="shared" ref="G35:G46" si="3">F35-E35</f>
        <v>-4.9999999988358468E-2</v>
      </c>
      <c r="H35" s="99">
        <f>G35+'20'!H35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205737</v>
      </c>
      <c r="F36" s="145">
        <v>206463</v>
      </c>
      <c r="G36" s="112">
        <f t="shared" si="3"/>
        <v>726</v>
      </c>
      <c r="H36" s="99">
        <f>G36+'20'!H36</f>
        <v>-9067</v>
      </c>
      <c r="I36" s="95"/>
      <c r="J36" s="175">
        <f>H36/DAY(B2)</f>
        <v>-431.76190476190476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318171</v>
      </c>
      <c r="F37" s="418">
        <v>319734</v>
      </c>
      <c r="G37" s="112">
        <f t="shared" si="3"/>
        <v>1563</v>
      </c>
      <c r="H37" s="99">
        <f>G37+'20'!H37</f>
        <v>-3265</v>
      </c>
      <c r="I37" s="95"/>
      <c r="J37" s="175">
        <f>H37/DAY(B2)</f>
        <v>-155.47619047619048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432667</v>
      </c>
      <c r="F38" s="108">
        <v>434876</v>
      </c>
      <c r="G38" s="112">
        <f t="shared" si="3"/>
        <v>2209</v>
      </c>
      <c r="H38" s="99">
        <f>G38+'20'!H38</f>
        <v>-22485</v>
      </c>
      <c r="I38" s="95"/>
      <c r="J38" s="175">
        <f>H38/DAY(B2)</f>
        <v>-1070.7142857142858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582311</v>
      </c>
      <c r="F39" s="418">
        <v>585171</v>
      </c>
      <c r="G39" s="112">
        <f t="shared" si="3"/>
        <v>2860</v>
      </c>
      <c r="H39" s="99">
        <f>G39+'20'!H39</f>
        <v>-6413</v>
      </c>
      <c r="I39" s="95"/>
      <c r="J39" s="175">
        <f>H39/DAY(B2)</f>
        <v>-305.38095238095241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97496</v>
      </c>
      <c r="F40" s="145">
        <v>98334</v>
      </c>
      <c r="G40" s="112">
        <f t="shared" si="3"/>
        <v>838</v>
      </c>
      <c r="H40" s="99">
        <f>G40+'20'!H40</f>
        <v>-8442</v>
      </c>
      <c r="I40" s="95"/>
      <c r="J40" s="175">
        <f>H40/DAY(B2)</f>
        <v>-402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188004.71</v>
      </c>
      <c r="F41" s="145">
        <v>188005</v>
      </c>
      <c r="G41" s="112">
        <f t="shared" si="3"/>
        <v>0.29000000000814907</v>
      </c>
      <c r="H41" s="99">
        <f>G41+'20'!H41</f>
        <v>-23698</v>
      </c>
      <c r="I41" s="95"/>
      <c r="J41" s="175">
        <f>H41/DAY(B2)</f>
        <v>-1128.4761904761904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737477</v>
      </c>
      <c r="F42" s="145">
        <v>741988</v>
      </c>
      <c r="G42" s="112">
        <f t="shared" si="3"/>
        <v>4511</v>
      </c>
      <c r="H42" s="99">
        <f>G42+'20'!H42</f>
        <v>-6376</v>
      </c>
      <c r="I42" s="95"/>
      <c r="J42" s="175">
        <f>H42/DAY(B2)</f>
        <v>-303.61904761904759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407028</v>
      </c>
      <c r="F43" s="145">
        <v>407028</v>
      </c>
      <c r="G43" s="112">
        <f t="shared" si="3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12707.24000000002</v>
      </c>
      <c r="H47" s="99">
        <f>G47+'20'!H47</f>
        <v>-79746.000000000015</v>
      </c>
      <c r="I47" s="95"/>
      <c r="J47" s="175">
        <f>H47/DAY(B2)</f>
        <v>-3797.428571428572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439516</v>
      </c>
      <c r="F49" s="145">
        <v>443144</v>
      </c>
      <c r="G49" s="112">
        <f t="shared" ref="G49:G58" si="4">F49-E49</f>
        <v>3628</v>
      </c>
      <c r="H49" s="99">
        <f>G49+'20'!H49</f>
        <v>-41910</v>
      </c>
      <c r="I49" s="95"/>
      <c r="J49" s="175">
        <f>H49/DAY(B2)</f>
        <v>-1995.7142857142858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268533</v>
      </c>
      <c r="F50" s="145">
        <v>269967</v>
      </c>
      <c r="G50" s="112">
        <f t="shared" si="4"/>
        <v>1434</v>
      </c>
      <c r="H50" s="99">
        <f>G50+'20'!H50</f>
        <v>233520</v>
      </c>
      <c r="I50" s="95"/>
      <c r="J50" s="175">
        <f>H50/DAY(B2)</f>
        <v>11120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76</v>
      </c>
      <c r="F51" s="145">
        <v>76</v>
      </c>
      <c r="G51" s="112">
        <f t="shared" si="4"/>
        <v>0</v>
      </c>
      <c r="H51" s="99">
        <f>G51+'20'!H51</f>
        <v>-8432</v>
      </c>
      <c r="I51" s="95"/>
      <c r="J51" s="175">
        <f>H51/DAY(B2)</f>
        <v>-401.52380952380952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10</v>
      </c>
      <c r="F52" s="145">
        <v>10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-33861</v>
      </c>
      <c r="I53" s="95"/>
      <c r="J53" s="175">
        <f>H53/DAY(B2)</f>
        <v>-1612.4285714285713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84088</v>
      </c>
      <c r="F54" s="145">
        <v>84443</v>
      </c>
      <c r="G54" s="112">
        <f t="shared" si="4"/>
        <v>355</v>
      </c>
      <c r="H54" s="99">
        <f>G54+'20'!H54</f>
        <v>-3500</v>
      </c>
      <c r="I54" s="95"/>
      <c r="J54" s="175">
        <f>H54/DAY(B2)</f>
        <v>-166.66666666666666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329663.51</v>
      </c>
      <c r="F55" s="145">
        <v>331721</v>
      </c>
      <c r="G55" s="112">
        <f t="shared" si="4"/>
        <v>2057.4899999999907</v>
      </c>
      <c r="H55" s="99">
        <f>G55+'20'!H55</f>
        <v>-31056</v>
      </c>
      <c r="I55" s="95"/>
      <c r="J55" s="175">
        <f>H55/DAY(B2)</f>
        <v>-1478.8571428571429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122561</v>
      </c>
      <c r="F56" s="418">
        <v>122561</v>
      </c>
      <c r="G56" s="112">
        <f t="shared" si="4"/>
        <v>0</v>
      </c>
      <c r="H56" s="99">
        <f>G56+'20'!H56</f>
        <v>-1321</v>
      </c>
      <c r="I56" s="95"/>
      <c r="J56" s="175">
        <f>H56/DAY(B2)</f>
        <v>-62.904761904761905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193407</v>
      </c>
      <c r="F57" s="145">
        <v>196547</v>
      </c>
      <c r="G57" s="112">
        <f t="shared" si="4"/>
        <v>3140</v>
      </c>
      <c r="H57" s="99">
        <f>G57+'20'!H57</f>
        <v>-29623</v>
      </c>
      <c r="I57" s="95"/>
      <c r="J57" s="175">
        <f>H57/DAY(B2)</f>
        <v>-1410.6190476190477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46036</v>
      </c>
      <c r="F58" s="145">
        <v>46322</v>
      </c>
      <c r="G58" s="112">
        <f t="shared" si="4"/>
        <v>286</v>
      </c>
      <c r="H58" s="99">
        <f>G58+'20'!H58</f>
        <v>-2787</v>
      </c>
      <c r="I58" s="95"/>
      <c r="J58" s="175">
        <f>H58/DAY(B2)</f>
        <v>-132.71428571428572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10900.489999999991</v>
      </c>
      <c r="H59" s="99">
        <f>G59+'20'!H59</f>
        <v>-165272.99999999994</v>
      </c>
      <c r="I59" s="95">
        <f>G7-G60</f>
        <v>2592.2699999999895</v>
      </c>
      <c r="J59" s="175">
        <f>H59/DAY(B2)</f>
        <v>-7870.1428571428542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23607.73000000001</v>
      </c>
      <c r="H60" s="99">
        <f>G60+'20'!H60</f>
        <v>-245019.00000000003</v>
      </c>
      <c r="I60" s="95">
        <f>G13-G60</f>
        <v>823.26999999998952</v>
      </c>
      <c r="J60" s="175">
        <f>H60/DAY(B2)</f>
        <v>-11667.571428571429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'20'!F62</f>
        <v>295004</v>
      </c>
      <c r="F62" s="122">
        <v>295109</v>
      </c>
      <c r="G62" s="112">
        <f t="shared" ref="G62:G63" si="5">F62-E62</f>
        <v>105</v>
      </c>
      <c r="H62" s="99">
        <f>G62+'20'!H62</f>
        <v>-1166</v>
      </c>
      <c r="I62" s="118"/>
      <c r="J62" s="175">
        <f>H62/DAY(B2)</f>
        <v>-55.523809523809526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'20'!F63</f>
        <v>237415</v>
      </c>
      <c r="F63" s="150">
        <v>237558</v>
      </c>
      <c r="G63" s="112">
        <f t="shared" si="5"/>
        <v>143</v>
      </c>
      <c r="H63" s="99">
        <f>G63+'20'!H63</f>
        <v>-1575</v>
      </c>
      <c r="I63" s="118"/>
      <c r="J63" s="175">
        <f>H63/DAY(B2)</f>
        <v>-75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'20'!F64</f>
        <v>0</v>
      </c>
      <c r="F64" s="122"/>
      <c r="G64" s="112">
        <f>G62+G63</f>
        <v>248</v>
      </c>
      <c r="H64" s="99">
        <f>G64+'20'!H64</f>
        <v>-2741</v>
      </c>
      <c r="I64" s="118"/>
      <c r="J64" s="175">
        <f>H64/DAY(B2)</f>
        <v>-130.52380952380952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'20'!F65</f>
        <v>453547</v>
      </c>
      <c r="F65" s="122">
        <v>453646</v>
      </c>
      <c r="G65" s="112">
        <f t="shared" ref="G65:G70" si="6">F65-E65</f>
        <v>99</v>
      </c>
      <c r="H65" s="99">
        <f>G65+'20'!H65</f>
        <v>-1064</v>
      </c>
      <c r="I65" s="118"/>
      <c r="J65" s="175">
        <f>H65/DAY(B2)</f>
        <v>-50.666666666666664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111458</v>
      </c>
      <c r="F66" s="122">
        <v>111479</v>
      </c>
      <c r="G66" s="112">
        <f t="shared" si="6"/>
        <v>21</v>
      </c>
      <c r="H66" s="99">
        <f>G66+'20'!H66</f>
        <v>-243</v>
      </c>
      <c r="I66" s="118"/>
      <c r="J66" s="175">
        <f>H66/DAY(B2)</f>
        <v>-11.571428571428571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113681</v>
      </c>
      <c r="F67" s="122">
        <v>113681</v>
      </c>
      <c r="G67" s="112">
        <f t="shared" si="6"/>
        <v>0</v>
      </c>
      <c r="H67" s="99">
        <f>G67+'20'!H67</f>
        <v>1</v>
      </c>
      <c r="I67" s="118"/>
      <c r="J67" s="175">
        <f>H67/DAY(B2)</f>
        <v>4.7619047619047616E-2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164384</v>
      </c>
      <c r="F68" s="122">
        <v>164440</v>
      </c>
      <c r="G68" s="112">
        <f t="shared" si="6"/>
        <v>56</v>
      </c>
      <c r="H68" s="99">
        <f>G68+'20'!H68</f>
        <v>-222</v>
      </c>
      <c r="I68" s="118"/>
      <c r="J68" s="175">
        <f>H68/DAY(B2)</f>
        <v>-10.571428571428571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12222</v>
      </c>
      <c r="F69" s="122">
        <v>12227</v>
      </c>
      <c r="G69" s="112">
        <f t="shared" si="6"/>
        <v>5</v>
      </c>
      <c r="H69" s="99">
        <f>G69+'20'!H69</f>
        <v>-48</v>
      </c>
      <c r="I69" s="118"/>
      <c r="J69" s="175">
        <f>H69/DAY(B2)</f>
        <v>-2.2857142857142856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9694</v>
      </c>
      <c r="F70" s="122">
        <v>9715</v>
      </c>
      <c r="G70" s="112">
        <f t="shared" si="6"/>
        <v>21</v>
      </c>
      <c r="H70" s="99">
        <f>G70+'20'!H70</f>
        <v>-112</v>
      </c>
      <c r="I70" s="118"/>
      <c r="J70" s="175">
        <f>H70/DAY(B2)</f>
        <v>-5.333333333333333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202</v>
      </c>
      <c r="H71" s="99">
        <f>G71+'20'!H71</f>
        <v>-1688</v>
      </c>
      <c r="I71" s="154"/>
      <c r="J71" s="175">
        <f>H71/DAY(B2)</f>
        <v>-80.38095238095238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'20'!F74</f>
        <v>954100</v>
      </c>
      <c r="F74" s="232">
        <v>954437</v>
      </c>
      <c r="G74" s="112">
        <f t="shared" ref="G74:G78" si="7">F74-E74</f>
        <v>337</v>
      </c>
      <c r="H74" s="99">
        <f>G74+'20'!H74</f>
        <v>-3220.859999999986</v>
      </c>
      <c r="I74" s="154"/>
      <c r="J74" s="175">
        <f>H74/DAY(B2)</f>
        <v>-153.37428571428504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'20'!F76</f>
        <v>189005</v>
      </c>
      <c r="F76" s="123">
        <v>189112</v>
      </c>
      <c r="G76" s="112">
        <f t="shared" si="7"/>
        <v>107</v>
      </c>
      <c r="H76" s="99">
        <f>G76+'20'!H76</f>
        <v>-1060</v>
      </c>
      <c r="I76" s="154"/>
      <c r="J76" s="175">
        <f>H76/DAY(B2)</f>
        <v>-50.476190476190474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'20'!F77</f>
        <v>49728</v>
      </c>
      <c r="F77" s="123">
        <v>49777</v>
      </c>
      <c r="G77" s="112">
        <f t="shared" si="7"/>
        <v>49</v>
      </c>
      <c r="H77" s="99">
        <f>G77+'20'!H77</f>
        <v>-536</v>
      </c>
      <c r="I77" s="154"/>
      <c r="J77" s="175">
        <f>H77/DAY(B2)</f>
        <v>-25.523809523809526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'20'!F79</f>
        <v>0</v>
      </c>
      <c r="F79" s="123"/>
      <c r="G79" s="112">
        <f>G15-SUM(G74:G78)</f>
        <v>507</v>
      </c>
      <c r="H79" s="99">
        <f>G79+'20'!H79</f>
        <v>25956.859999999986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42476</v>
      </c>
      <c r="F84" s="164">
        <v>42476</v>
      </c>
      <c r="G84" s="112">
        <f t="shared" si="8"/>
        <v>0</v>
      </c>
      <c r="H84" s="99">
        <f>G84+'20'!H84</f>
        <v>-113</v>
      </c>
      <c r="I84" s="571"/>
      <c r="J84" s="175">
        <f>H84/DAY(B2)</f>
        <v>-5.3809523809523814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5091</v>
      </c>
      <c r="F85" s="164">
        <v>5112</v>
      </c>
      <c r="G85" s="112">
        <f t="shared" si="8"/>
        <v>21</v>
      </c>
      <c r="H85" s="99">
        <f>G85+'20'!H85</f>
        <v>-28.1899999999996</v>
      </c>
      <c r="I85" s="571"/>
      <c r="J85" s="175">
        <f>H85/DAY(B2)</f>
        <v>-1.3423809523809334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45150</v>
      </c>
      <c r="F86" s="164">
        <v>45165.48</v>
      </c>
      <c r="G86" s="112">
        <f t="shared" si="8"/>
        <v>15.480000000003201</v>
      </c>
      <c r="H86" s="99">
        <f>G86+'20'!H86</f>
        <v>-213.5199999999968</v>
      </c>
      <c r="I86" s="571"/>
      <c r="J86" s="175">
        <f>H86/DAY(B2)</f>
        <v>-10.167619047618896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35446.57</v>
      </c>
      <c r="F87" s="164">
        <v>35446.57</v>
      </c>
      <c r="G87" s="112">
        <f t="shared" si="8"/>
        <v>0</v>
      </c>
      <c r="H87" s="99">
        <f>G87+'20'!H87</f>
        <v>-10.860000000000582</v>
      </c>
      <c r="I87" s="571">
        <f>G84+G85+G86+G87</f>
        <v>36.480000000003201</v>
      </c>
      <c r="J87" s="175">
        <f>H87/DAY(B2)</f>
        <v>-0.51714285714288488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24297</v>
      </c>
      <c r="F88" s="164">
        <v>24297</v>
      </c>
      <c r="G88" s="112">
        <f t="shared" si="8"/>
        <v>0</v>
      </c>
      <c r="H88" s="99">
        <f>G88+'20'!H88</f>
        <v>-6.4599999999991269</v>
      </c>
      <c r="I88" s="571"/>
      <c r="J88" s="175">
        <f>H88/DAY(B2)</f>
        <v>-0.30761904761900605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27465</v>
      </c>
      <c r="F89" s="164">
        <v>27474</v>
      </c>
      <c r="G89" s="112">
        <f t="shared" si="8"/>
        <v>9</v>
      </c>
      <c r="H89" s="99">
        <f>G89+'20'!H89</f>
        <v>-92.610000000000582</v>
      </c>
      <c r="I89" s="571">
        <f>G88+G89</f>
        <v>9</v>
      </c>
      <c r="J89" s="175">
        <f>H89/DAY(B2)</f>
        <v>-4.4100000000000277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72491</v>
      </c>
      <c r="F90" s="164">
        <v>72501</v>
      </c>
      <c r="G90" s="112">
        <f t="shared" si="8"/>
        <v>10</v>
      </c>
      <c r="H90" s="99">
        <f>G90+'20'!H90</f>
        <v>-105.55000000000291</v>
      </c>
      <c r="I90" s="571">
        <f>G90</f>
        <v>10</v>
      </c>
      <c r="J90" s="175">
        <f>H90/DAY(B2)</f>
        <v>-5.0261904761906147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v>4289.54</v>
      </c>
      <c r="F91" s="122">
        <v>4289.54</v>
      </c>
      <c r="G91" s="112">
        <f t="shared" si="8"/>
        <v>0</v>
      </c>
      <c r="H91" s="99">
        <f>G91+'20'!H91</f>
        <v>2.6199999999998909</v>
      </c>
      <c r="I91" s="590"/>
      <c r="J91" s="175">
        <f>H91/DAY(B2)</f>
        <v>0.12476190476189956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6594.9</v>
      </c>
      <c r="F92" s="122">
        <v>6606</v>
      </c>
      <c r="G92" s="112">
        <f t="shared" si="8"/>
        <v>11.100000000000364</v>
      </c>
      <c r="H92" s="99">
        <f>G92+'20'!H92</f>
        <v>-111.32999999999993</v>
      </c>
      <c r="I92" s="596">
        <f>G91+G92</f>
        <v>11.100000000000364</v>
      </c>
      <c r="J92" s="175">
        <f>H92/DAY(B2)</f>
        <v>-5.301428571428568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6767.9500000000116</v>
      </c>
      <c r="H94" s="99">
        <f>G94+'20'!H94</f>
        <v>-71533</v>
      </c>
      <c r="I94" s="118"/>
      <c r="J94" s="175">
        <f>H94/DAY(B2)</f>
        <v>-3406.3333333333335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0.25831870229007681</v>
      </c>
      <c r="H95" s="99">
        <f>G95+'20'!H95</f>
        <v>-2.7053892980332783</v>
      </c>
      <c r="I95" s="167"/>
      <c r="J95" s="175">
        <f>H95/DAY(B2)</f>
        <v>-0.12882806181110848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6568.7799999999988</v>
      </c>
      <c r="H96" s="99">
        <f>G96+'20'!H96</f>
        <v>-62450.999999999985</v>
      </c>
      <c r="I96" s="118"/>
      <c r="J96" s="175">
        <f>H96/DAY(B2)</f>
        <v>-2973.8571428571422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0.25071679389312973</v>
      </c>
      <c r="H97" s="99">
        <f>G97+'20'!H97</f>
        <v>-2.3626466775531649</v>
      </c>
      <c r="I97" s="167"/>
      <c r="J97" s="175">
        <f>H97/DAY(B2)</f>
        <v>-0.1125069846453888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2860</v>
      </c>
      <c r="H98" s="99">
        <f>G98+'20'!H98</f>
        <v>-40274</v>
      </c>
      <c r="I98" s="168"/>
      <c r="J98" s="175">
        <f>H98/DAY(B2)</f>
        <v>-1917.8095238095239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0.10916030534351145</v>
      </c>
      <c r="H99" s="99">
        <f>G99+'20'!H99</f>
        <v>-1.5233667309912424</v>
      </c>
      <c r="I99" s="168"/>
      <c r="J99" s="175">
        <f>H99/DAY(B2)</f>
        <v>-7.2541272904344881E-2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2209</v>
      </c>
      <c r="H100" s="99">
        <f>G100+'20'!H100</f>
        <v>-22485</v>
      </c>
      <c r="I100" s="118"/>
      <c r="J100" s="175">
        <f>H100/DAY(B2)</f>
        <v>-1070.7142857142858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8.4312977099236644E-2</v>
      </c>
      <c r="H101" s="99">
        <f>G101+'20'!H101</f>
        <v>-0.84983483882056254</v>
      </c>
      <c r="I101" s="168"/>
      <c r="J101" s="175">
        <f>H101/DAY(B2)</f>
        <v>-4.0468325658122029E-2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2160</v>
      </c>
      <c r="H102" s="99">
        <f>G102+'20'!H102</f>
        <v>-21850</v>
      </c>
      <c r="I102" s="168"/>
      <c r="J102" s="175">
        <f>H102/DAY(B2)</f>
        <v>-1040.4761904761904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8.2442748091603055E-2</v>
      </c>
      <c r="H103" s="99">
        <f>G103+'20'!H103</f>
        <v>-0.82890222281519232</v>
      </c>
      <c r="I103" s="118"/>
      <c r="J103" s="175">
        <f>H103/DAY(B2)</f>
        <v>-3.9471534419771061E-2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1563</v>
      </c>
      <c r="H104" s="99">
        <f>G104+'20'!H104</f>
        <v>-11697</v>
      </c>
      <c r="I104" s="118"/>
      <c r="J104" s="175">
        <f>H104/DAY(B2)</f>
        <v>-557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5.9656488549618324E-2</v>
      </c>
      <c r="H105" s="99">
        <f>G105+'20'!H105</f>
        <v>-0.44179732086714191</v>
      </c>
      <c r="I105" s="187"/>
      <c r="J105" s="188">
        <f>H105/DAY(B2)</f>
        <v>-2.1037967660340089E-2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v>6444</v>
      </c>
      <c r="F112" s="237">
        <v>6520</v>
      </c>
      <c r="G112" s="112">
        <f t="shared" ref="G112:G123" si="9">F112-E112</f>
        <v>76</v>
      </c>
      <c r="H112" s="99">
        <f>G112+'20'!H112</f>
        <v>-286</v>
      </c>
      <c r="I112" s="165"/>
      <c r="J112" s="328">
        <f>H112/DAY(B2)</f>
        <v>-13.619047619047619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'20'!F113</f>
        <v>13485</v>
      </c>
      <c r="F113" s="468">
        <v>13623</v>
      </c>
      <c r="G113" s="112">
        <f t="shared" si="9"/>
        <v>138</v>
      </c>
      <c r="H113" s="99">
        <f>G113+'20'!H113</f>
        <v>-1392</v>
      </c>
      <c r="I113" s="165"/>
      <c r="J113" s="328">
        <f>H113/DAY(B2)</f>
        <v>-66.285714285714292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'20'!F114</f>
        <v>18817</v>
      </c>
      <c r="F114" s="237">
        <v>19045</v>
      </c>
      <c r="G114" s="112">
        <f t="shared" si="9"/>
        <v>228</v>
      </c>
      <c r="H114" s="99">
        <f>G114+'20'!H114</f>
        <v>-2223</v>
      </c>
      <c r="I114" s="165"/>
      <c r="J114" s="328">
        <f>H114/DAY(B2)</f>
        <v>-105.85714285714286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'20'!F115</f>
        <v>11633</v>
      </c>
      <c r="F115" s="237">
        <v>11766</v>
      </c>
      <c r="G115" s="112">
        <f t="shared" si="9"/>
        <v>133</v>
      </c>
      <c r="H115" s="99">
        <f>G115+'20'!H115</f>
        <v>-1773.2200000000012</v>
      </c>
      <c r="I115" s="165"/>
      <c r="J115" s="328">
        <f>H115/DAY(B2)</f>
        <v>-84.43904761904767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'20'!F116</f>
        <v>66405</v>
      </c>
      <c r="F116" s="237">
        <v>66750</v>
      </c>
      <c r="G116" s="112">
        <f t="shared" si="9"/>
        <v>345</v>
      </c>
      <c r="H116" s="99">
        <f>G116+'20'!H116</f>
        <v>-3742</v>
      </c>
      <c r="I116" s="165"/>
      <c r="J116" s="328">
        <f>H116/DAY(B2)</f>
        <v>-178.1904761904762</v>
      </c>
      <c r="Q116" s="894" t="s">
        <v>311</v>
      </c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'20'!F117</f>
        <v>38226</v>
      </c>
      <c r="F117" s="237">
        <v>38432</v>
      </c>
      <c r="G117" s="112">
        <f t="shared" si="9"/>
        <v>206</v>
      </c>
      <c r="H117" s="99">
        <f>G117+'20'!H117</f>
        <v>-2490</v>
      </c>
      <c r="I117" s="165"/>
      <c r="J117" s="328">
        <f>H117/DAY(B2)</f>
        <v>-118.57142857142857</v>
      </c>
      <c r="Q117" s="894" t="s">
        <v>312</v>
      </c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'20'!F118</f>
        <v>57750</v>
      </c>
      <c r="F118" s="237">
        <v>58395</v>
      </c>
      <c r="G118" s="112">
        <f t="shared" si="9"/>
        <v>645</v>
      </c>
      <c r="H118" s="99">
        <f>G118+'20'!H118</f>
        <v>-6277</v>
      </c>
      <c r="I118" s="165"/>
      <c r="J118" s="328">
        <f>H118/DAY(B2)</f>
        <v>-298.90476190476193</v>
      </c>
      <c r="Q118" s="894" t="s">
        <v>311</v>
      </c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'20'!F119</f>
        <v>34958</v>
      </c>
      <c r="F119" s="237">
        <v>35174</v>
      </c>
      <c r="G119" s="112">
        <f t="shared" si="9"/>
        <v>216</v>
      </c>
      <c r="H119" s="99">
        <f>G119+'20'!H119</f>
        <v>-2275</v>
      </c>
      <c r="I119" s="165"/>
      <c r="J119" s="328">
        <f>H119/DAY(B2)</f>
        <v>-108.33333333333333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'20'!F120</f>
        <v>41788</v>
      </c>
      <c r="F120" s="468">
        <v>42198</v>
      </c>
      <c r="G120" s="112">
        <f t="shared" si="9"/>
        <v>410</v>
      </c>
      <c r="H120" s="99">
        <f>G120+'20'!H120</f>
        <v>-4069</v>
      </c>
      <c r="I120" s="165"/>
      <c r="J120" s="328">
        <f>H120/DAY(B2)</f>
        <v>-193.76190476190476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'20'!F121</f>
        <v>48485</v>
      </c>
      <c r="F121" s="237">
        <v>48914</v>
      </c>
      <c r="G121" s="112">
        <f t="shared" si="9"/>
        <v>429</v>
      </c>
      <c r="H121" s="99">
        <f>G121+'20'!H121</f>
        <v>-4629</v>
      </c>
      <c r="I121" s="165"/>
      <c r="J121" s="328">
        <f>H121/DAY(B2)</f>
        <v>-220.42857142857142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'20'!F122</f>
        <v>25699</v>
      </c>
      <c r="F122" s="237">
        <v>25985</v>
      </c>
      <c r="G122" s="112">
        <f t="shared" si="9"/>
        <v>286</v>
      </c>
      <c r="H122" s="99">
        <f>G122+'20'!H122</f>
        <v>-2689</v>
      </c>
      <c r="I122" s="165"/>
      <c r="J122" s="328">
        <f>H122/DAY(B2)</f>
        <v>-128.04761904761904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'20'!F123</f>
        <v>26703</v>
      </c>
      <c r="F123" s="237">
        <v>27020</v>
      </c>
      <c r="G123" s="112">
        <f t="shared" si="9"/>
        <v>317</v>
      </c>
      <c r="H123" s="99">
        <f>G123+'20'!H123</f>
        <v>-3168</v>
      </c>
      <c r="I123" s="165"/>
      <c r="J123" s="328">
        <f>H123/DAY(B2)</f>
        <v>-150.85714285714286</v>
      </c>
    </row>
    <row r="124" spans="1:18" ht="29.25" customHeight="1">
      <c r="A124" s="898"/>
      <c r="B124" s="899"/>
      <c r="C124" s="900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3429</v>
      </c>
      <c r="H125" s="156"/>
      <c r="I125" s="327">
        <f>G125-(G39+G53)</f>
        <v>569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'20'!F128</f>
        <v>122020</v>
      </c>
      <c r="F128" s="165">
        <v>122508</v>
      </c>
      <c r="G128" s="112">
        <f t="shared" ref="G128:G134" si="10">F128-E128</f>
        <v>488</v>
      </c>
      <c r="H128" s="99">
        <f>G128+'20'!H128</f>
        <v>-5136</v>
      </c>
      <c r="I128" s="165"/>
      <c r="J128" s="328">
        <f>H128/DAY(B2)</f>
        <v>-244.57142857142858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70538</v>
      </c>
      <c r="F129" s="165">
        <v>70716</v>
      </c>
      <c r="G129" s="112">
        <f t="shared" si="10"/>
        <v>178</v>
      </c>
      <c r="H129" s="99">
        <f>G129+'20'!H129</f>
        <v>-1787</v>
      </c>
      <c r="I129" s="165"/>
      <c r="J129" s="328">
        <f>H129/DAY(B2)</f>
        <v>-85.095238095238102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156261</v>
      </c>
      <c r="F130" s="465">
        <v>157015</v>
      </c>
      <c r="G130" s="112">
        <f t="shared" si="10"/>
        <v>754</v>
      </c>
      <c r="H130" s="99">
        <f>G130+'20'!H130</f>
        <v>-8126.2699999999895</v>
      </c>
      <c r="I130" s="165"/>
      <c r="J130" s="328">
        <f>H130/DAY(B2)</f>
        <v>-386.96523809523762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'20'!F131</f>
        <v>46180</v>
      </c>
      <c r="F131" s="165">
        <v>46371</v>
      </c>
      <c r="G131" s="112">
        <f t="shared" si="10"/>
        <v>191</v>
      </c>
      <c r="H131" s="99">
        <f>G131+'20'!H131</f>
        <v>-2078</v>
      </c>
      <c r="I131" s="165"/>
      <c r="J131" s="328">
        <f>H131/DAY(B2)</f>
        <v>-98.952380952380949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'20'!F132</f>
        <v>124466</v>
      </c>
      <c r="F132" s="165">
        <v>124804</v>
      </c>
      <c r="G132" s="112">
        <f t="shared" si="10"/>
        <v>338</v>
      </c>
      <c r="H132" s="99">
        <f>G132+'20'!H132</f>
        <v>-3370</v>
      </c>
      <c r="I132" s="165"/>
      <c r="J132" s="328">
        <f>H132/DAY(B2)</f>
        <v>-160.47619047619048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'20'!F133</f>
        <v>224035.59</v>
      </c>
      <c r="F133" s="165">
        <v>224036</v>
      </c>
      <c r="G133" s="112">
        <f t="shared" si="10"/>
        <v>0.41000000000349246</v>
      </c>
      <c r="H133" s="99">
        <f>G133+'20'!H133</f>
        <v>571233.8400000002</v>
      </c>
      <c r="I133" s="165"/>
      <c r="J133" s="328">
        <f>H133/DAY(B2)</f>
        <v>27201.611428571439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'20'!F134</f>
        <v>46732</v>
      </c>
      <c r="F134" s="165">
        <v>46941</v>
      </c>
      <c r="G134" s="112">
        <f t="shared" si="10"/>
        <v>209</v>
      </c>
      <c r="H134" s="99">
        <f>G134+'20'!H134</f>
        <v>-2094</v>
      </c>
      <c r="I134" s="165"/>
      <c r="J134" s="328">
        <f>H134/DAY(B2)</f>
        <v>-99.714285714285708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2158.4100000000035</v>
      </c>
      <c r="H135" s="99">
        <f>G135+'10'!H135</f>
        <v>523315.01</v>
      </c>
      <c r="I135" s="327">
        <f>G135-(G35+G49)</f>
        <v>-1469.5400000000081</v>
      </c>
      <c r="J135" s="328"/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'20'!F138</f>
        <v>889648</v>
      </c>
      <c r="F138" s="147">
        <v>889739</v>
      </c>
      <c r="G138" s="112">
        <f t="shared" ref="G138:G152" si="11">F138-E138</f>
        <v>91</v>
      </c>
      <c r="H138" s="99">
        <f>G138+'20'!H138</f>
        <v>-1356</v>
      </c>
      <c r="I138" s="118"/>
      <c r="J138" s="328">
        <f>H138/DAY(B2)</f>
        <v>-64.571428571428569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'20'!F139</f>
        <v>907274</v>
      </c>
      <c r="F139" s="148">
        <v>907429</v>
      </c>
      <c r="G139" s="112">
        <f t="shared" si="11"/>
        <v>155</v>
      </c>
      <c r="H139" s="99">
        <f>G139+'20'!H139</f>
        <v>-1466</v>
      </c>
      <c r="I139" s="118"/>
      <c r="J139" s="328">
        <f>H139/DAY(B2)</f>
        <v>-69.80952380952381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'20'!F140</f>
        <v>1348</v>
      </c>
      <c r="F140" s="149">
        <v>1364</v>
      </c>
      <c r="G140" s="112">
        <f t="shared" si="11"/>
        <v>16</v>
      </c>
      <c r="H140" s="99">
        <f>G140+'20'!H140</f>
        <v>446.76999999999407</v>
      </c>
      <c r="I140" s="118"/>
      <c r="J140" s="328">
        <f>H140/DAY(B2)</f>
        <v>21.274761904761622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'20'!F141</f>
        <v>88203</v>
      </c>
      <c r="F141" s="149">
        <v>88390</v>
      </c>
      <c r="G141" s="112">
        <f t="shared" si="11"/>
        <v>187</v>
      </c>
      <c r="H141" s="99">
        <f>G141+'20'!H141</f>
        <v>-2062</v>
      </c>
      <c r="I141" s="118"/>
      <c r="J141" s="328">
        <f>H141/DAY(B2)</f>
        <v>-98.19047619047619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'20'!F142</f>
        <v>35855</v>
      </c>
      <c r="F142" s="148">
        <v>35914</v>
      </c>
      <c r="G142" s="112">
        <f t="shared" si="11"/>
        <v>59</v>
      </c>
      <c r="H142" s="99">
        <f>G142+'20'!H142</f>
        <v>-747</v>
      </c>
      <c r="I142" s="140"/>
      <c r="J142" s="328">
        <f>H142/DAY(B2)</f>
        <v>-35.571428571428569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'20'!F143</f>
        <v>8736</v>
      </c>
      <c r="F143" s="149">
        <v>8763</v>
      </c>
      <c r="G143" s="112">
        <f t="shared" si="11"/>
        <v>27</v>
      </c>
      <c r="H143" s="99">
        <f>G143+'20'!H143</f>
        <v>-288</v>
      </c>
      <c r="I143" s="140"/>
      <c r="J143" s="328">
        <f>H143/DAY(B2)</f>
        <v>-13.714285714285714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'20'!F144</f>
        <v>917258</v>
      </c>
      <c r="F144" s="147">
        <v>917503</v>
      </c>
      <c r="G144" s="112">
        <f t="shared" si="11"/>
        <v>245</v>
      </c>
      <c r="H144" s="99">
        <f>G144+'20'!H144</f>
        <v>-2334</v>
      </c>
      <c r="I144" s="140"/>
      <c r="J144" s="328">
        <f>H144/DAY(B2)</f>
        <v>-111.14285714285714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'20'!F145</f>
        <v>5746</v>
      </c>
      <c r="F145" s="147">
        <v>5767</v>
      </c>
      <c r="G145" s="112">
        <f t="shared" si="11"/>
        <v>21</v>
      </c>
      <c r="H145" s="99">
        <f>G145+'20'!H145</f>
        <v>-40</v>
      </c>
      <c r="I145" s="140"/>
      <c r="J145" s="328">
        <f>H145/DAY(B2)</f>
        <v>-1.9047619047619047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'20'!F146</f>
        <v>780144</v>
      </c>
      <c r="F146" s="148">
        <v>780178</v>
      </c>
      <c r="G146" s="112">
        <f t="shared" si="11"/>
        <v>34</v>
      </c>
      <c r="H146" s="99">
        <f>G146+'20'!H146</f>
        <v>-622</v>
      </c>
      <c r="I146" s="140"/>
      <c r="J146" s="328">
        <f>H146/DAY(B2)</f>
        <v>-29.61904761904762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'20'!F147</f>
        <v>695435</v>
      </c>
      <c r="F147" s="148">
        <v>695838</v>
      </c>
      <c r="G147" s="112">
        <f t="shared" si="11"/>
        <v>403</v>
      </c>
      <c r="H147" s="99">
        <f>G147+'20'!H147</f>
        <v>-3931</v>
      </c>
      <c r="I147" s="140"/>
      <c r="J147" s="328">
        <f>H147/DAY(B2)</f>
        <v>-187.1904761904762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'20'!F148</f>
        <v>745028</v>
      </c>
      <c r="F148" s="150">
        <v>745301</v>
      </c>
      <c r="G148" s="112">
        <f t="shared" si="11"/>
        <v>273</v>
      </c>
      <c r="H148" s="99">
        <f>G148+'20'!H148</f>
        <v>-3229</v>
      </c>
      <c r="I148" s="124"/>
      <c r="J148" s="328">
        <f>H148/DAY(B2)</f>
        <v>-153.76190476190476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'20'!F149</f>
        <v>127236</v>
      </c>
      <c r="F149" s="146">
        <v>127739</v>
      </c>
      <c r="G149" s="112">
        <f t="shared" si="11"/>
        <v>503</v>
      </c>
      <c r="H149" s="99">
        <f>G149+'20'!H149</f>
        <v>-4695</v>
      </c>
      <c r="I149" s="119"/>
      <c r="J149" s="328">
        <f>H149/DAY(B2)</f>
        <v>-223.57142857142858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'20'!F150</f>
        <v>48157</v>
      </c>
      <c r="F150" s="233">
        <v>48374</v>
      </c>
      <c r="G150" s="112">
        <f t="shared" si="11"/>
        <v>217</v>
      </c>
      <c r="H150" s="99">
        <f>G150+'20'!H150</f>
        <v>-2241</v>
      </c>
      <c r="I150" s="119"/>
      <c r="J150" s="328">
        <f>H150/DAY(B2)</f>
        <v>-106.71428571428571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'20'!F151</f>
        <v>132108</v>
      </c>
      <c r="F151" s="152">
        <v>132401</v>
      </c>
      <c r="G151" s="112">
        <f t="shared" si="11"/>
        <v>293</v>
      </c>
      <c r="H151" s="99">
        <f>G151+'20'!H151</f>
        <v>-3048</v>
      </c>
      <c r="I151" s="119"/>
      <c r="J151" s="328">
        <f>H151/DAY(B2)</f>
        <v>-145.14285714285714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'20'!F152</f>
        <v>21804</v>
      </c>
      <c r="F152" s="233">
        <v>21925</v>
      </c>
      <c r="G152" s="112">
        <f t="shared" si="11"/>
        <v>121</v>
      </c>
      <c r="H152" s="99">
        <f>G152+'20'!H152</f>
        <v>-1229</v>
      </c>
      <c r="I152" s="119"/>
      <c r="J152" s="328">
        <f>H152/DAY(B2)</f>
        <v>-58.523809523809526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2645</v>
      </c>
      <c r="H153" s="363"/>
      <c r="I153" s="119">
        <f>G153-(G38+G52)</f>
        <v>436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'20'!F155</f>
        <v>141618</v>
      </c>
      <c r="F155" s="374">
        <v>142179</v>
      </c>
      <c r="G155" s="112">
        <f t="shared" ref="G155:G158" si="12">F155-E155</f>
        <v>561</v>
      </c>
      <c r="H155" s="99">
        <f>G155+'20'!H155</f>
        <v>-5970</v>
      </c>
      <c r="I155" s="364"/>
      <c r="J155" s="328">
        <f>H155/DAY(B2)</f>
        <v>-284.28571428571428</v>
      </c>
    </row>
    <row r="156" spans="1:10" ht="25.5">
      <c r="A156" s="872" t="s">
        <v>347</v>
      </c>
      <c r="B156" s="872"/>
      <c r="C156" s="872"/>
      <c r="D156" s="117" t="s">
        <v>130</v>
      </c>
      <c r="E156" s="95">
        <f>'20'!F156</f>
        <v>13751</v>
      </c>
      <c r="F156" s="155">
        <v>13830</v>
      </c>
      <c r="G156" s="112">
        <f t="shared" si="12"/>
        <v>79</v>
      </c>
      <c r="H156" s="99">
        <f>G156+'20'!H156</f>
        <v>-904</v>
      </c>
      <c r="I156" s="165"/>
      <c r="J156" s="328">
        <f>H156/DAY(B2)</f>
        <v>-43.047619047619051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'20'!F157</f>
        <v>25995</v>
      </c>
      <c r="F157" s="155">
        <v>26140</v>
      </c>
      <c r="G157" s="112">
        <f t="shared" si="12"/>
        <v>145</v>
      </c>
      <c r="H157" s="99">
        <f>G157+'20'!H157</f>
        <v>279.54000000000087</v>
      </c>
      <c r="I157" s="165"/>
      <c r="J157" s="328">
        <f>H157/DAY(B2)</f>
        <v>13.311428571428612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'20'!F158</f>
        <v>229</v>
      </c>
      <c r="F158" s="155">
        <v>230</v>
      </c>
      <c r="G158" s="112">
        <f t="shared" si="12"/>
        <v>1</v>
      </c>
      <c r="H158" s="99">
        <f>G158+'20'!H158</f>
        <v>1.3000000000000114</v>
      </c>
      <c r="I158" s="165"/>
      <c r="J158" s="328">
        <f>H158/DAY(B2)</f>
        <v>6.1904761904762448E-2</v>
      </c>
    </row>
    <row r="159" spans="1:10" ht="25.5">
      <c r="A159" s="958"/>
      <c r="B159" s="959"/>
      <c r="C159" s="960"/>
      <c r="D159" s="117"/>
      <c r="E159" s="95"/>
      <c r="F159" s="16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479384</v>
      </c>
      <c r="F161" s="235">
        <v>479501</v>
      </c>
      <c r="G161" s="238">
        <f t="shared" ref="G161:G165" si="13">F161-E161</f>
        <v>117</v>
      </c>
      <c r="H161" s="99">
        <f>G161+'20'!H161</f>
        <v>318.71999999997206</v>
      </c>
      <c r="I161" s="236"/>
      <c r="J161" s="239">
        <f>H161/DAY(B2)</f>
        <v>15.177142857141527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94533</v>
      </c>
      <c r="F162" s="235">
        <v>94572</v>
      </c>
      <c r="G162" s="238">
        <f t="shared" si="13"/>
        <v>39</v>
      </c>
      <c r="H162" s="99">
        <f>G162+'20'!H162</f>
        <v>-356</v>
      </c>
      <c r="I162" s="236"/>
      <c r="J162" s="239">
        <f>H162/DAY(B2)</f>
        <v>-16.952380952380953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5019</v>
      </c>
      <c r="F163" s="502">
        <v>5154</v>
      </c>
      <c r="G163" s="238">
        <f t="shared" si="13"/>
        <v>135</v>
      </c>
      <c r="H163" s="99">
        <f>G163+'20'!H163</f>
        <v>-1347</v>
      </c>
      <c r="I163" s="236"/>
      <c r="J163" s="239">
        <f>H163/DAY(B2)</f>
        <v>-64.142857142857139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6134</v>
      </c>
      <c r="F164" s="502">
        <v>6146</v>
      </c>
      <c r="G164" s="238">
        <f t="shared" si="13"/>
        <v>12</v>
      </c>
      <c r="H164" s="99">
        <f>G164+'20'!H164</f>
        <v>-134</v>
      </c>
      <c r="I164" s="236"/>
      <c r="J164" s="239">
        <f>H164/DAY(B2)</f>
        <v>-6.3809523809523814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31529</v>
      </c>
      <c r="F165" s="235">
        <v>31541</v>
      </c>
      <c r="G165" s="238">
        <f t="shared" si="13"/>
        <v>12</v>
      </c>
      <c r="H165" s="99">
        <f>G165+'20'!H165</f>
        <v>-93</v>
      </c>
      <c r="I165" s="236"/>
      <c r="J165" s="239">
        <f>H165/DAY(B2)</f>
        <v>-4.4285714285714288</v>
      </c>
    </row>
    <row r="166" spans="1:10" ht="26.25">
      <c r="A166" s="881"/>
      <c r="B166" s="881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'20'!F173</f>
        <v>8276</v>
      </c>
      <c r="F173" s="155">
        <v>8276</v>
      </c>
      <c r="G173" s="155">
        <f>F173-E173</f>
        <v>0</v>
      </c>
      <c r="H173" s="99">
        <f>G173+'20'!H173</f>
        <v>41</v>
      </c>
      <c r="I173" s="155"/>
      <c r="J173" s="178">
        <f>H173/DAY(B2)</f>
        <v>1.9523809523809523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'20'!F174</f>
        <v>41050</v>
      </c>
      <c r="F174" s="157">
        <v>41064</v>
      </c>
      <c r="G174" s="155">
        <f t="shared" ref="G174:G175" si="14">F174-E174</f>
        <v>14</v>
      </c>
      <c r="H174" s="99">
        <f>G174+'20'!H174</f>
        <v>-140</v>
      </c>
      <c r="I174" s="155"/>
      <c r="J174" s="178">
        <f>H174/DAY(B2)</f>
        <v>-6.666666666666667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'20'!F175</f>
        <v>23906</v>
      </c>
      <c r="F175" s="155">
        <v>23916</v>
      </c>
      <c r="G175" s="155">
        <f t="shared" si="14"/>
        <v>10</v>
      </c>
      <c r="H175" s="99">
        <f>G175+'20'!H175</f>
        <v>-115</v>
      </c>
      <c r="I175" s="155"/>
      <c r="J175" s="178">
        <f>H175/DAY(B2)</f>
        <v>-5.4761904761904763</v>
      </c>
    </row>
    <row r="176" spans="1:10" ht="25.5">
      <c r="A176" s="876" t="s">
        <v>196</v>
      </c>
      <c r="B176" s="877"/>
      <c r="C176" s="401"/>
      <c r="D176" s="228" t="s">
        <v>142</v>
      </c>
      <c r="E176" s="95"/>
      <c r="F176" s="155"/>
      <c r="G176" s="155">
        <f>SUM(G173:G175)</f>
        <v>24</v>
      </c>
      <c r="H176" s="99">
        <f>G176+'20'!H176</f>
        <v>-214</v>
      </c>
      <c r="I176" s="155"/>
      <c r="J176" s="178">
        <f>H176/DAY(B2)</f>
        <v>-10.19047619047619</v>
      </c>
    </row>
    <row r="177" spans="1:10" ht="25.5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'20'!F178</f>
        <v>96674</v>
      </c>
      <c r="F178" s="155">
        <v>96735</v>
      </c>
      <c r="G178" s="155">
        <f>F178-E178</f>
        <v>61</v>
      </c>
      <c r="H178" s="99">
        <f>G178+'20'!H178</f>
        <v>-978</v>
      </c>
      <c r="I178" s="155"/>
      <c r="J178" s="178">
        <f>H178/DAY(B2)</f>
        <v>-46.571428571428569</v>
      </c>
    </row>
    <row r="179" spans="1:10" ht="25.5">
      <c r="A179" s="887" t="s">
        <v>211</v>
      </c>
      <c r="B179" s="888"/>
      <c r="C179" s="333"/>
      <c r="D179" s="228" t="s">
        <v>142</v>
      </c>
      <c r="E179" s="95">
        <f>'20'!F179</f>
        <v>36002</v>
      </c>
      <c r="F179" s="155">
        <v>36002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'20'!F180</f>
        <v>7056</v>
      </c>
      <c r="F180" s="155">
        <v>7065</v>
      </c>
      <c r="G180" s="155">
        <f t="shared" si="15"/>
        <v>9</v>
      </c>
      <c r="H180" s="99">
        <f>G180+'20'!H180</f>
        <v>-104</v>
      </c>
      <c r="I180" s="155"/>
      <c r="J180" s="178">
        <f>H180/DAY(B2)</f>
        <v>-4.9523809523809526</v>
      </c>
    </row>
    <row r="181" spans="1:10" ht="25.5">
      <c r="A181" s="889" t="s">
        <v>108</v>
      </c>
      <c r="B181" s="890"/>
      <c r="C181" s="401"/>
      <c r="D181" s="228" t="s">
        <v>142</v>
      </c>
      <c r="E181" s="95"/>
      <c r="F181" s="155"/>
      <c r="G181" s="155">
        <f>SUM(G178:G180)</f>
        <v>70</v>
      </c>
      <c r="H181" s="99">
        <f>G181+'20'!H181</f>
        <v>-1082</v>
      </c>
      <c r="I181" s="155"/>
      <c r="J181" s="178">
        <f>H181/DAY(B2)</f>
        <v>-51.523809523809526</v>
      </c>
    </row>
    <row r="182" spans="1:10" ht="25.5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'20'!F183</f>
        <v>17405</v>
      </c>
      <c r="F183" s="157">
        <v>17411</v>
      </c>
      <c r="G183" s="157">
        <f>F183-E183</f>
        <v>6</v>
      </c>
      <c r="H183" s="99">
        <f>G183+'20'!H183</f>
        <v>-62</v>
      </c>
      <c r="I183" s="155"/>
      <c r="J183" s="178">
        <f>H183/DAY(B2)</f>
        <v>-2.9523809523809526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'20'!F184</f>
        <v>11833</v>
      </c>
      <c r="F184" s="157">
        <v>11849</v>
      </c>
      <c r="G184" s="157">
        <f t="shared" ref="G184:G185" si="16">F184-E184</f>
        <v>16</v>
      </c>
      <c r="H184" s="99">
        <f>G184+'20'!H184</f>
        <v>-86</v>
      </c>
      <c r="I184" s="155"/>
      <c r="J184" s="178">
        <f>H184/DAY(B2)</f>
        <v>-4.0952380952380949</v>
      </c>
    </row>
    <row r="185" spans="1:10" ht="32.25" customHeight="1">
      <c r="A185" s="887" t="s">
        <v>216</v>
      </c>
      <c r="B185" s="888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400"/>
      <c r="D186" s="228" t="s">
        <v>142</v>
      </c>
      <c r="E186" s="95"/>
      <c r="F186" s="157"/>
      <c r="G186" s="157">
        <f>SUM(G183:G185)</f>
        <v>22</v>
      </c>
      <c r="H186" s="99">
        <f>G186+'20'!H186</f>
        <v>-148</v>
      </c>
      <c r="I186" s="157"/>
      <c r="J186" s="178">
        <f>H186/DAY(B2)</f>
        <v>-7.0476190476190474</v>
      </c>
    </row>
    <row r="187" spans="1:10" ht="25.5">
      <c r="A187" s="878" t="s">
        <v>217</v>
      </c>
      <c r="B187" s="879"/>
      <c r="C187" s="333"/>
      <c r="D187" s="230" t="s">
        <v>142</v>
      </c>
      <c r="E187" s="95"/>
      <c r="F187" s="159"/>
      <c r="G187" s="378">
        <f>G62+G19</f>
        <v>155</v>
      </c>
      <c r="H187" s="99">
        <f>G187+'20'!H187</f>
        <v>-1652</v>
      </c>
      <c r="I187" s="158"/>
      <c r="J187" s="179">
        <f>H187/DAY(B2)</f>
        <v>-78.666666666666671</v>
      </c>
    </row>
    <row r="188" spans="1:10" ht="25.5">
      <c r="A188" s="878" t="s">
        <v>218</v>
      </c>
      <c r="B188" s="879"/>
      <c r="C188" s="333"/>
      <c r="D188" s="230" t="s">
        <v>142</v>
      </c>
      <c r="E188" s="95"/>
      <c r="F188" s="159"/>
      <c r="G188" s="378">
        <f>G65+G66+G67+G69+G70</f>
        <v>146</v>
      </c>
      <c r="H188" s="99">
        <f>G188+'20'!H188</f>
        <v>1160</v>
      </c>
      <c r="I188" s="158"/>
      <c r="J188" s="179">
        <f>H188/DAY(B2)</f>
        <v>55.238095238095241</v>
      </c>
    </row>
    <row r="189" spans="1:10" ht="21" customHeight="1">
      <c r="A189" s="878" t="s">
        <v>219</v>
      </c>
      <c r="B189" s="879"/>
      <c r="C189" s="333"/>
      <c r="D189" s="230" t="s">
        <v>142</v>
      </c>
      <c r="E189" s="95"/>
      <c r="F189" s="157"/>
      <c r="G189" s="377">
        <f>G181</f>
        <v>70</v>
      </c>
      <c r="H189" s="99">
        <f>G189+'20'!H189</f>
        <v>227</v>
      </c>
      <c r="I189" s="158"/>
      <c r="J189" s="179">
        <f>H189/DAY(B2)</f>
        <v>10.80952380952381</v>
      </c>
    </row>
    <row r="190" spans="1:10" ht="25.5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27" zoomScale="60" zoomScaleNormal="71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355</v>
      </c>
      <c r="B2" s="262">
        <v>44764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81547</v>
      </c>
      <c r="F7" s="95">
        <f>E7+26200</f>
        <v>107747</v>
      </c>
      <c r="G7" s="112">
        <f>F7-E7</f>
        <v>26200</v>
      </c>
      <c r="H7" s="99">
        <f>G7+'21'!H7</f>
        <v>574158.9</v>
      </c>
      <c r="I7" s="113">
        <f>'1'!I7</f>
        <v>12000</v>
      </c>
      <c r="J7" s="175">
        <f>H7/DAY(B2)</f>
        <v>26098.131818181821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228844.4</v>
      </c>
      <c r="F8" s="95">
        <f>E8+26500</f>
        <v>255344.4</v>
      </c>
      <c r="G8" s="115">
        <f>F8-E8</f>
        <v>26500</v>
      </c>
      <c r="H8" s="99">
        <f>G8+'21'!H8</f>
        <v>582266</v>
      </c>
      <c r="I8" s="116"/>
      <c r="J8" s="175">
        <f>H8/DAY(B2)</f>
        <v>26466.636363636364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3205659</v>
      </c>
      <c r="F9" s="469">
        <v>3217563</v>
      </c>
      <c r="G9" s="112">
        <f>F9-E9</f>
        <v>11904</v>
      </c>
      <c r="H9" s="99">
        <f>G9+'21'!H9</f>
        <v>-61503</v>
      </c>
      <c r="I9" s="124">
        <f>I7-J7</f>
        <v>-14098.131818181821</v>
      </c>
      <c r="J9" s="175">
        <f>H9/DAY(B2)</f>
        <v>-2795.590909090909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1492364</v>
      </c>
      <c r="F10" s="353">
        <v>1504389</v>
      </c>
      <c r="G10" s="112">
        <f t="shared" ref="G10:G12" si="0">F10-E10</f>
        <v>12025</v>
      </c>
      <c r="H10" s="99">
        <f>G10+'21'!H10</f>
        <v>-162769</v>
      </c>
      <c r="I10" s="282"/>
      <c r="J10" s="175">
        <f>H10/DAY(B2)</f>
        <v>-7398.590909090909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23929</v>
      </c>
      <c r="H13" s="99">
        <f>G13+'21'!H13</f>
        <v>-222937.40000000014</v>
      </c>
      <c r="I13" s="120">
        <f>G7-G13</f>
        <v>2271</v>
      </c>
      <c r="J13" s="175">
        <f>H13/DAY(B2)</f>
        <v>-10133.518181818188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2122008</v>
      </c>
      <c r="F15" s="469">
        <f>E15+1000</f>
        <v>2123008</v>
      </c>
      <c r="G15" s="112">
        <f>(F15-E15)</f>
        <v>1000</v>
      </c>
      <c r="H15" s="99">
        <f>G15+'21'!H15</f>
        <v>22140</v>
      </c>
      <c r="I15" s="113">
        <f>'1'!I15</f>
        <v>800</v>
      </c>
      <c r="J15" s="175">
        <f>H15/DAY(B2)</f>
        <v>1006.3636363636364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-206.36363636363637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'21'!F18</f>
        <v>17</v>
      </c>
      <c r="F18" s="122">
        <v>22</v>
      </c>
      <c r="G18" s="119">
        <f>F18*10</f>
        <v>220</v>
      </c>
      <c r="H18" s="99">
        <f>G18+'21'!H18</f>
        <v>4080</v>
      </c>
      <c r="I18" s="113">
        <f>'1'!I18</f>
        <v>65</v>
      </c>
      <c r="J18" s="175">
        <f>H18/DAY(B2)</f>
        <v>185.45454545454547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'21'!F19</f>
        <v>161843</v>
      </c>
      <c r="F19" s="122">
        <v>161892</v>
      </c>
      <c r="G19" s="112">
        <f t="shared" ref="G19" si="1">F19-E19</f>
        <v>49</v>
      </c>
      <c r="H19" s="99">
        <f>G19+'21'!H19</f>
        <v>-437</v>
      </c>
      <c r="I19" s="335"/>
      <c r="J19" s="175">
        <f>H19/DAY(B2)</f>
        <v>-19.863636363636363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G20+'21'!H20</f>
        <v>3643</v>
      </c>
      <c r="I20" s="336">
        <f>I18-J20</f>
        <v>-100.59090909090909</v>
      </c>
      <c r="J20" s="175">
        <f>H20/DAY(B2)</f>
        <v>165.59090909090909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G27+'21'!H27</f>
        <v>5240394</v>
      </c>
      <c r="I27" s="138"/>
      <c r="J27" s="175">
        <f>H27/DAY(B2)</f>
        <v>238199.72727272726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G28+'21'!H28</f>
        <v>1549800</v>
      </c>
      <c r="I28" s="140"/>
      <c r="J28" s="175">
        <f>H28/DAY(B2)</f>
        <v>70445.454545454544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G30+'21'!H30</f>
        <v>-65987</v>
      </c>
      <c r="I30" s="140"/>
      <c r="J30" s="175">
        <f>H30/DAY(B2)</f>
        <v>-2999.409090909091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G31+'21'!H31</f>
        <v>326400</v>
      </c>
      <c r="I31" s="140"/>
      <c r="J31" s="175">
        <f>H31/DAY(B2)</f>
        <v>14836.363636363636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333499</v>
      </c>
      <c r="H32" s="99">
        <f>G32+'21'!H32</f>
        <v>7050607</v>
      </c>
      <c r="I32" s="144"/>
      <c r="J32" s="175">
        <f>H32/DAY(B2)</f>
        <v>320482.13636363635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238713</v>
      </c>
      <c r="F35" s="418">
        <v>238713</v>
      </c>
      <c r="G35" s="112">
        <f t="shared" ref="G35:G46" si="3">F35-E35</f>
        <v>0</v>
      </c>
      <c r="H35" s="99">
        <f>G35+'21'!H35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206463</v>
      </c>
      <c r="F36" s="145">
        <v>207250</v>
      </c>
      <c r="G36" s="112">
        <f t="shared" si="3"/>
        <v>787</v>
      </c>
      <c r="H36" s="99">
        <f>G36+'21'!H36</f>
        <v>-8280</v>
      </c>
      <c r="I36" s="95"/>
      <c r="J36" s="175">
        <f>H36/DAY(B2)</f>
        <v>-376.36363636363637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319734</v>
      </c>
      <c r="F37" s="418">
        <v>321229</v>
      </c>
      <c r="G37" s="112">
        <f t="shared" si="3"/>
        <v>1495</v>
      </c>
      <c r="H37" s="99">
        <f>G37+'21'!H37</f>
        <v>-1770</v>
      </c>
      <c r="I37" s="95"/>
      <c r="J37" s="175">
        <f>H37/DAY(B2)</f>
        <v>-80.454545454545453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434876</v>
      </c>
      <c r="F38" s="108">
        <v>437071</v>
      </c>
      <c r="G38" s="112">
        <f t="shared" si="3"/>
        <v>2195</v>
      </c>
      <c r="H38" s="99">
        <f>G38+'21'!H38</f>
        <v>-20290</v>
      </c>
      <c r="I38" s="95"/>
      <c r="J38" s="175">
        <f>H38/DAY(B2)</f>
        <v>-922.27272727272725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585171</v>
      </c>
      <c r="F39" s="418">
        <v>588053</v>
      </c>
      <c r="G39" s="112">
        <f t="shared" si="3"/>
        <v>2882</v>
      </c>
      <c r="H39" s="99">
        <f>G39+'21'!H39</f>
        <v>-3531</v>
      </c>
      <c r="I39" s="95"/>
      <c r="J39" s="175">
        <f>H39/DAY(B2)</f>
        <v>-160.5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98334</v>
      </c>
      <c r="F40" s="145">
        <v>99163</v>
      </c>
      <c r="G40" s="112">
        <f t="shared" si="3"/>
        <v>829</v>
      </c>
      <c r="H40" s="99">
        <f>G40+'21'!H40</f>
        <v>-7613</v>
      </c>
      <c r="I40" s="95"/>
      <c r="J40" s="175">
        <f>H40/DAY(B2)</f>
        <v>-346.04545454545456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188005</v>
      </c>
      <c r="F41" s="145">
        <v>191237</v>
      </c>
      <c r="G41" s="112">
        <f t="shared" si="3"/>
        <v>3232</v>
      </c>
      <c r="H41" s="99">
        <f>G41+'21'!H41</f>
        <v>-20466</v>
      </c>
      <c r="I41" s="95"/>
      <c r="J41" s="175">
        <f>H41/DAY(B2)</f>
        <v>-930.27272727272725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741988</v>
      </c>
      <c r="F42" s="145">
        <v>741988</v>
      </c>
      <c r="G42" s="112">
        <f t="shared" si="3"/>
        <v>0</v>
      </c>
      <c r="H42" s="99">
        <f>G42+'21'!H42</f>
        <v>-6376</v>
      </c>
      <c r="I42" s="95"/>
      <c r="J42" s="175">
        <f>H42/DAY(B2)</f>
        <v>-289.81818181818181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407028.03</v>
      </c>
      <c r="G43" s="112">
        <f t="shared" si="3"/>
        <v>3.0000000027939677E-2</v>
      </c>
      <c r="H43" s="99">
        <f>G43+'21'!H43</f>
        <v>3.0000000027939677E-2</v>
      </c>
      <c r="I43" s="95"/>
      <c r="J43" s="175">
        <f>H43/DAY(B2)</f>
        <v>1.3636363649063489E-3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11420.030000000028</v>
      </c>
      <c r="H47" s="99">
        <f>G47+'21'!H47</f>
        <v>-68325.969999999987</v>
      </c>
      <c r="I47" s="95"/>
      <c r="J47" s="175">
        <f>H47/DAY(B2)</f>
        <v>-3105.7259090909083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443144</v>
      </c>
      <c r="F49" s="145">
        <v>446574</v>
      </c>
      <c r="G49" s="112">
        <f t="shared" ref="G49:G58" si="4">F49-E49</f>
        <v>3430</v>
      </c>
      <c r="H49" s="99">
        <f>G49+'21'!H49</f>
        <v>-38480</v>
      </c>
      <c r="I49" s="95"/>
      <c r="J49" s="175">
        <f>H49/DAY(B2)</f>
        <v>-1749.090909090909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269967</v>
      </c>
      <c r="F50" s="145">
        <v>271130</v>
      </c>
      <c r="G50" s="112">
        <f t="shared" si="4"/>
        <v>1163</v>
      </c>
      <c r="H50" s="99">
        <f>G50+'21'!H50</f>
        <v>234683</v>
      </c>
      <c r="I50" s="95"/>
      <c r="J50" s="175">
        <f>H50/DAY(B2)</f>
        <v>10667.40909090909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76</v>
      </c>
      <c r="F51" s="145">
        <v>76</v>
      </c>
      <c r="G51" s="112">
        <f t="shared" si="4"/>
        <v>0</v>
      </c>
      <c r="H51" s="99">
        <f>G51+'21'!H51</f>
        <v>-8432</v>
      </c>
      <c r="I51" s="95"/>
      <c r="J51" s="175">
        <f>H51/DAY(B2)</f>
        <v>-383.27272727272725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10</v>
      </c>
      <c r="F52" s="145">
        <v>10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-33861</v>
      </c>
      <c r="I53" s="95"/>
      <c r="J53" s="175">
        <f>H53/DAY(B2)</f>
        <v>-1539.1363636363637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84443</v>
      </c>
      <c r="F54" s="145">
        <v>84795</v>
      </c>
      <c r="G54" s="112">
        <f t="shared" si="4"/>
        <v>352</v>
      </c>
      <c r="H54" s="99">
        <f>G54+'21'!H54</f>
        <v>-3148</v>
      </c>
      <c r="I54" s="95"/>
      <c r="J54" s="175">
        <f>H54/DAY(B2)</f>
        <v>-143.09090909090909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331721</v>
      </c>
      <c r="F55" s="418">
        <v>334832</v>
      </c>
      <c r="G55" s="112">
        <f t="shared" si="4"/>
        <v>3111</v>
      </c>
      <c r="H55" s="99">
        <f>G55+'21'!H55</f>
        <v>-27945</v>
      </c>
      <c r="I55" s="95"/>
      <c r="J55" s="175">
        <f>H55/DAY(B2)</f>
        <v>-1270.2272727272727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122561</v>
      </c>
      <c r="F56" s="418">
        <v>122561</v>
      </c>
      <c r="G56" s="112">
        <f>F56-E56</f>
        <v>0</v>
      </c>
      <c r="H56" s="99">
        <f>G56+'21'!H56</f>
        <v>-1321</v>
      </c>
      <c r="I56" s="95"/>
      <c r="J56" s="175">
        <f>H56/DAY(B2)</f>
        <v>-60.045454545454547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196547</v>
      </c>
      <c r="F57" s="145">
        <v>199284</v>
      </c>
      <c r="G57" s="112">
        <f t="shared" si="4"/>
        <v>2737</v>
      </c>
      <c r="H57" s="99">
        <f>G57+'21'!H57</f>
        <v>-26886</v>
      </c>
      <c r="I57" s="95"/>
      <c r="J57" s="175">
        <f>H57/DAY(B2)</f>
        <v>-1222.090909090909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46322</v>
      </c>
      <c r="F58" s="145">
        <v>46610</v>
      </c>
      <c r="G58" s="112">
        <f t="shared" si="4"/>
        <v>288</v>
      </c>
      <c r="H58" s="99">
        <f>G58+'21'!H58</f>
        <v>-2499</v>
      </c>
      <c r="I58" s="95"/>
      <c r="J58" s="175">
        <f>H58/DAY(B2)</f>
        <v>-113.59090909090909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11081</v>
      </c>
      <c r="H59" s="99">
        <f>G59+'21'!H59</f>
        <v>-154191.99999999994</v>
      </c>
      <c r="I59" s="95">
        <f>G7-G60</f>
        <v>3698.9699999999721</v>
      </c>
      <c r="J59" s="175">
        <f>H59/DAY(B2)</f>
        <v>-7008.7272727272702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22501.030000000028</v>
      </c>
      <c r="H60" s="99">
        <f>G60+'21'!H60</f>
        <v>-222517.97</v>
      </c>
      <c r="I60" s="95">
        <f>G13-G60</f>
        <v>1427.9699999999721</v>
      </c>
      <c r="J60" s="175">
        <f>H60/DAY(B2)</f>
        <v>-10114.453181818182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'21'!F62</f>
        <v>295109</v>
      </c>
      <c r="F62" s="122">
        <v>295208</v>
      </c>
      <c r="G62" s="112">
        <f t="shared" ref="G62:G63" si="5">F62-E62</f>
        <v>99</v>
      </c>
      <c r="H62" s="99">
        <f>G62+'21'!H62</f>
        <v>-1067</v>
      </c>
      <c r="I62" s="118"/>
      <c r="J62" s="175">
        <f>H62/DAY(B2)</f>
        <v>-48.5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'21'!F63</f>
        <v>237558</v>
      </c>
      <c r="F63" s="122">
        <v>237711</v>
      </c>
      <c r="G63" s="112">
        <f t="shared" si="5"/>
        <v>153</v>
      </c>
      <c r="H63" s="99">
        <f>G63+'21'!H63</f>
        <v>-1422</v>
      </c>
      <c r="I63" s="118"/>
      <c r="J63" s="175">
        <f>H63/DAY(B2)</f>
        <v>-64.63636363636364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'21'!F64</f>
        <v>0</v>
      </c>
      <c r="F64" s="122"/>
      <c r="G64" s="112">
        <f>G62+G63</f>
        <v>252</v>
      </c>
      <c r="H64" s="99">
        <f>G64+'21'!H64</f>
        <v>-2489</v>
      </c>
      <c r="I64" s="118"/>
      <c r="J64" s="175">
        <f>H64/DAY(B2)</f>
        <v>-113.13636363636364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'21'!F65</f>
        <v>453646</v>
      </c>
      <c r="F65" s="122">
        <v>453751</v>
      </c>
      <c r="G65" s="112">
        <f t="shared" ref="G65:G70" si="6">F65-E65</f>
        <v>105</v>
      </c>
      <c r="H65" s="99">
        <f>G65+'21'!H65</f>
        <v>-959</v>
      </c>
      <c r="I65" s="118"/>
      <c r="J65" s="175">
        <f>H65/DAY(B2)</f>
        <v>-43.590909090909093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111479</v>
      </c>
      <c r="F66" s="122">
        <v>111501</v>
      </c>
      <c r="G66" s="112">
        <f t="shared" si="6"/>
        <v>22</v>
      </c>
      <c r="H66" s="99">
        <f>G66+'21'!H66</f>
        <v>-221</v>
      </c>
      <c r="I66" s="118"/>
      <c r="J66" s="175">
        <f>H66/DAY(B2)</f>
        <v>-10.045454545454545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113681</v>
      </c>
      <c r="F67" s="122">
        <v>113681</v>
      </c>
      <c r="G67" s="112">
        <f t="shared" si="6"/>
        <v>0</v>
      </c>
      <c r="H67" s="99">
        <f>G67+'21'!H67</f>
        <v>1</v>
      </c>
      <c r="I67" s="118"/>
      <c r="J67" s="175">
        <f>H67/DAY(B2)</f>
        <v>4.5454545454545456E-2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164440</v>
      </c>
      <c r="F68" s="122">
        <v>164466</v>
      </c>
      <c r="G68" s="112">
        <f t="shared" si="6"/>
        <v>26</v>
      </c>
      <c r="H68" s="99">
        <f>G68+'21'!H68</f>
        <v>-196</v>
      </c>
      <c r="I68" s="118"/>
      <c r="J68" s="175">
        <f>H68/DAY(B2)</f>
        <v>-8.9090909090909083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12227</v>
      </c>
      <c r="F69" s="122">
        <v>12230</v>
      </c>
      <c r="G69" s="112">
        <f t="shared" si="6"/>
        <v>3</v>
      </c>
      <c r="H69" s="99">
        <f>G69+'21'!H69</f>
        <v>-45</v>
      </c>
      <c r="I69" s="118"/>
      <c r="J69" s="175">
        <f>H69/DAY(B2)</f>
        <v>-2.0454545454545454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9715</v>
      </c>
      <c r="F70" s="122">
        <v>9721</v>
      </c>
      <c r="G70" s="112">
        <f t="shared" si="6"/>
        <v>6</v>
      </c>
      <c r="H70" s="99">
        <f>G70+'21'!H70</f>
        <v>-106</v>
      </c>
      <c r="I70" s="118"/>
      <c r="J70" s="175">
        <f>H70/DAY(B2)</f>
        <v>-4.8181818181818183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162</v>
      </c>
      <c r="H71" s="99">
        <f>G71+'21'!H71</f>
        <v>-1526</v>
      </c>
      <c r="I71" s="154"/>
      <c r="J71" s="175">
        <f>H71/DAY(B2)</f>
        <v>-69.36363636363636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'21'!F74</f>
        <v>954437</v>
      </c>
      <c r="F74" s="123">
        <v>954766</v>
      </c>
      <c r="G74" s="112">
        <f t="shared" ref="G74:G78" si="7">F74-E74</f>
        <v>329</v>
      </c>
      <c r="H74" s="99">
        <f>G74+'21'!H74</f>
        <v>-2891.859999999986</v>
      </c>
      <c r="I74" s="154"/>
      <c r="J74" s="175">
        <f>H74/DAY(B2)</f>
        <v>-131.44818181818118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'21'!F76</f>
        <v>189112</v>
      </c>
      <c r="F76" s="123">
        <v>189237</v>
      </c>
      <c r="G76" s="112">
        <f t="shared" si="7"/>
        <v>125</v>
      </c>
      <c r="H76" s="99">
        <f>G76+'21'!H76</f>
        <v>-935</v>
      </c>
      <c r="I76" s="154"/>
      <c r="J76" s="175">
        <f>H76/DAY(B2)</f>
        <v>-42.5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'21'!F77</f>
        <v>49777</v>
      </c>
      <c r="F77" s="123">
        <v>49828</v>
      </c>
      <c r="G77" s="112">
        <f t="shared" si="7"/>
        <v>51</v>
      </c>
      <c r="H77" s="99">
        <f>G77+'21'!H77</f>
        <v>-485</v>
      </c>
      <c r="I77" s="154"/>
      <c r="J77" s="175">
        <f>H77/DAY(B2)</f>
        <v>-22.045454545454547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'21'!F79</f>
        <v>0</v>
      </c>
      <c r="F79" s="123"/>
      <c r="G79" s="112">
        <f>G15-SUM(G74:G78)</f>
        <v>495</v>
      </c>
      <c r="H79" s="99">
        <f>G79+'21'!H79</f>
        <v>26451.859999999986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42476</v>
      </c>
      <c r="F84" s="164">
        <v>42490</v>
      </c>
      <c r="G84" s="112">
        <f t="shared" si="8"/>
        <v>14</v>
      </c>
      <c r="H84" s="99">
        <f>G84+'21'!H84</f>
        <v>-99</v>
      </c>
      <c r="I84" s="571"/>
      <c r="J84" s="175">
        <f>H84/DAY(B2)</f>
        <v>-4.5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5112</v>
      </c>
      <c r="F85" s="164">
        <v>5112</v>
      </c>
      <c r="G85" s="112">
        <f t="shared" si="8"/>
        <v>0</v>
      </c>
      <c r="H85" s="99">
        <f>G85+'21'!H85</f>
        <v>-28.1899999999996</v>
      </c>
      <c r="I85" s="571"/>
      <c r="J85" s="175">
        <f>H85/DAY(B2)</f>
        <v>-1.2813636363636183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45165.48</v>
      </c>
      <c r="F86" s="164">
        <v>45186</v>
      </c>
      <c r="G86" s="112">
        <f t="shared" si="8"/>
        <v>20.519999999996799</v>
      </c>
      <c r="H86" s="99">
        <f>G86+'21'!H86</f>
        <v>-193</v>
      </c>
      <c r="I86" s="571"/>
      <c r="J86" s="175">
        <f>H86/DAY(B2)</f>
        <v>-8.7727272727272734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35446.57</v>
      </c>
      <c r="F87" s="164">
        <v>35446.57</v>
      </c>
      <c r="G87" s="112">
        <f t="shared" si="8"/>
        <v>0</v>
      </c>
      <c r="H87" s="99">
        <f>G87+'21'!H87</f>
        <v>-10.860000000000582</v>
      </c>
      <c r="I87" s="571">
        <f>G84+G85+G86+G87</f>
        <v>34.519999999996799</v>
      </c>
      <c r="J87" s="175">
        <f>H87/DAY(B2)</f>
        <v>-0.49363636363639007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24297</v>
      </c>
      <c r="F88" s="164">
        <v>24297</v>
      </c>
      <c r="G88" s="112">
        <f t="shared" si="8"/>
        <v>0</v>
      </c>
      <c r="H88" s="99">
        <f>G88+'21'!H88</f>
        <v>-6.4599999999991269</v>
      </c>
      <c r="I88" s="571"/>
      <c r="J88" s="175">
        <f>H88/DAY(B2)</f>
        <v>-0.29363636363632395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27474</v>
      </c>
      <c r="F89" s="164">
        <v>27484</v>
      </c>
      <c r="G89" s="112">
        <f t="shared" si="8"/>
        <v>10</v>
      </c>
      <c r="H89" s="99">
        <f>G89+'21'!H89</f>
        <v>-82.610000000000582</v>
      </c>
      <c r="I89" s="571">
        <f>G88+G89</f>
        <v>10</v>
      </c>
      <c r="J89" s="175">
        <f>H89/DAY(B2)</f>
        <v>-3.7550000000000265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72501</v>
      </c>
      <c r="F90" s="164">
        <v>72512</v>
      </c>
      <c r="G90" s="112">
        <f t="shared" si="8"/>
        <v>11</v>
      </c>
      <c r="H90" s="99">
        <f>G90+'21'!H90</f>
        <v>-94.55000000000291</v>
      </c>
      <c r="I90" s="571">
        <f>G90</f>
        <v>11</v>
      </c>
      <c r="J90" s="175">
        <f>H90/DAY(B2)</f>
        <v>-4.2977272727274052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4289.54</v>
      </c>
      <c r="F91" s="122">
        <v>4289.54</v>
      </c>
      <c r="G91" s="112">
        <f t="shared" si="8"/>
        <v>0</v>
      </c>
      <c r="H91" s="99">
        <f>G91+'21'!H91</f>
        <v>2.6199999999998909</v>
      </c>
      <c r="I91" s="590"/>
      <c r="J91" s="175">
        <f>H91/DAY(B2)</f>
        <v>0.11909090909090413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6606</v>
      </c>
      <c r="F92" s="122">
        <v>6618</v>
      </c>
      <c r="G92" s="112">
        <f t="shared" si="8"/>
        <v>12</v>
      </c>
      <c r="H92" s="99">
        <f>G92+'21'!H92</f>
        <v>-99.329999999999927</v>
      </c>
      <c r="I92" s="596">
        <f>G91+G92</f>
        <v>12</v>
      </c>
      <c r="J92" s="175">
        <f>H92/DAY(B2)</f>
        <v>-4.514999999999997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6167.0300000000279</v>
      </c>
      <c r="H94" s="99">
        <f>G94+'21'!H94</f>
        <v>-65365.969999999972</v>
      </c>
      <c r="I94" s="118"/>
      <c r="J94" s="175">
        <f>H94/DAY(B2)</f>
        <v>-2971.1804545454534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0.23538282442748198</v>
      </c>
      <c r="H95" s="99">
        <f>G95+'21'!H95</f>
        <v>-2.4700064736057965</v>
      </c>
      <c r="I95" s="167"/>
      <c r="J95" s="175">
        <f>H95/DAY(B2)</f>
        <v>-0.11227302152753621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6343</v>
      </c>
      <c r="H96" s="99">
        <f>G96+'21'!H96</f>
        <v>-56107.999999999985</v>
      </c>
      <c r="I96" s="118"/>
      <c r="J96" s="175">
        <f>H96/DAY(B2)</f>
        <v>-2550.3636363636356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0.24209923664122138</v>
      </c>
      <c r="H97" s="99">
        <f>G97+'21'!H97</f>
        <v>-2.1205474409119436</v>
      </c>
      <c r="I97" s="167"/>
      <c r="J97" s="175">
        <f>H97/DAY(B2)</f>
        <v>-9.6388520041451986E-2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2882</v>
      </c>
      <c r="H98" s="99">
        <f>G98+'21'!H98</f>
        <v>-37392</v>
      </c>
      <c r="I98" s="168"/>
      <c r="J98" s="175">
        <f>H98/DAY(B2)</f>
        <v>-1699.6363636363637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0.11</v>
      </c>
      <c r="H99" s="99">
        <f>G99+'21'!H99</f>
        <v>-1.4133667309912423</v>
      </c>
      <c r="I99" s="168"/>
      <c r="J99" s="175">
        <f>H99/DAY(B2)</f>
        <v>-6.4243942317783742E-2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2195</v>
      </c>
      <c r="H100" s="99">
        <f>G100+'21'!H100</f>
        <v>-20290</v>
      </c>
      <c r="I100" s="118"/>
      <c r="J100" s="175">
        <f>H100/DAY(B2)</f>
        <v>-922.27272727272725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8.377862595419848E-2</v>
      </c>
      <c r="H101" s="99">
        <f>G101+'21'!H101</f>
        <v>-0.76605621286636405</v>
      </c>
      <c r="I101" s="168"/>
      <c r="J101" s="175">
        <f>H101/DAY(B2)</f>
        <v>-3.4820736948471091E-2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1950</v>
      </c>
      <c r="H102" s="99">
        <f>G102+'21'!H102</f>
        <v>-19900</v>
      </c>
      <c r="I102" s="168"/>
      <c r="J102" s="175">
        <f>H102/DAY(B2)</f>
        <v>-904.5454545454545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7.4427480916030533E-2</v>
      </c>
      <c r="H103" s="99">
        <f>G103+'21'!H103</f>
        <v>-0.75447474189916175</v>
      </c>
      <c r="I103" s="118"/>
      <c r="J103" s="175">
        <f>H103/DAY(B2)</f>
        <v>-3.4294306449961898E-2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1495</v>
      </c>
      <c r="H104" s="99">
        <f>G104+'21'!H104</f>
        <v>-10202</v>
      </c>
      <c r="I104" s="118"/>
      <c r="J104" s="175">
        <f>H104/DAY(B2)</f>
        <v>-463.72727272727275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5.706106870229008E-2</v>
      </c>
      <c r="H105" s="99">
        <f>G105+'21'!H105</f>
        <v>-0.38473625216485186</v>
      </c>
      <c r="I105" s="187"/>
      <c r="J105" s="188">
        <f>H105/DAY(B2)</f>
        <v>-1.7488011462038721E-2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'21'!F112</f>
        <v>6520</v>
      </c>
      <c r="F112" s="237">
        <v>6596</v>
      </c>
      <c r="G112" s="112">
        <f t="shared" ref="G112:G123" si="9">F112-E112</f>
        <v>76</v>
      </c>
      <c r="H112" s="99">
        <f>G112+'21'!H112</f>
        <v>-210</v>
      </c>
      <c r="I112" s="165"/>
      <c r="J112" s="328">
        <f>H112/DAY(B2)</f>
        <v>-9.545454545454545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'21'!F113</f>
        <v>13623</v>
      </c>
      <c r="F113" s="237">
        <v>13763</v>
      </c>
      <c r="G113" s="112">
        <f t="shared" si="9"/>
        <v>140</v>
      </c>
      <c r="H113" s="99">
        <f>G113+'21'!H113</f>
        <v>-1252</v>
      </c>
      <c r="I113" s="165"/>
      <c r="J113" s="328">
        <f>H113/DAY(B2)</f>
        <v>-56.909090909090907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'21'!F114</f>
        <v>19045</v>
      </c>
      <c r="F114" s="237">
        <v>19277</v>
      </c>
      <c r="G114" s="112">
        <f t="shared" si="9"/>
        <v>232</v>
      </c>
      <c r="H114" s="99">
        <f>G114+'21'!H114</f>
        <v>-1991</v>
      </c>
      <c r="I114" s="165"/>
      <c r="J114" s="328">
        <f>H114/DAY(B2)</f>
        <v>-90.5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'21'!F115</f>
        <v>11766</v>
      </c>
      <c r="F115" s="237">
        <v>11936</v>
      </c>
      <c r="G115" s="112">
        <f t="shared" si="9"/>
        <v>170</v>
      </c>
      <c r="H115" s="99">
        <f>G115+'21'!H115</f>
        <v>-1603.2200000000012</v>
      </c>
      <c r="I115" s="165"/>
      <c r="J115" s="328">
        <f>H115/DAY(B2)</f>
        <v>-72.873636363636422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'21'!F116</f>
        <v>66750</v>
      </c>
      <c r="F116" s="237">
        <v>67089</v>
      </c>
      <c r="G116" s="112">
        <f t="shared" si="9"/>
        <v>339</v>
      </c>
      <c r="H116" s="99">
        <f>G116+'21'!H116</f>
        <v>-3403</v>
      </c>
      <c r="I116" s="165"/>
      <c r="J116" s="328">
        <f>H116/DAY(B2)</f>
        <v>-154.68181818181819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'21'!F117</f>
        <v>38432</v>
      </c>
      <c r="F117" s="237">
        <v>38631</v>
      </c>
      <c r="G117" s="112">
        <f t="shared" si="9"/>
        <v>199</v>
      </c>
      <c r="H117" s="99">
        <f>G117+'21'!H117</f>
        <v>-2291</v>
      </c>
      <c r="I117" s="165"/>
      <c r="J117" s="328">
        <f>H117/DAY(B2)</f>
        <v>-104.13636363636364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'21'!F118</f>
        <v>58395</v>
      </c>
      <c r="F118" s="237">
        <v>59089</v>
      </c>
      <c r="G118" s="112">
        <f t="shared" si="9"/>
        <v>694</v>
      </c>
      <c r="H118" s="99">
        <f>G118+'21'!H118</f>
        <v>-5583</v>
      </c>
      <c r="I118" s="165"/>
      <c r="J118" s="328">
        <f>H118/DAY(B2)</f>
        <v>-253.77272727272728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'21'!F119</f>
        <v>35174</v>
      </c>
      <c r="F119" s="237">
        <v>35398</v>
      </c>
      <c r="G119" s="112">
        <f t="shared" si="9"/>
        <v>224</v>
      </c>
      <c r="H119" s="99">
        <f>G119+'21'!H119</f>
        <v>-2051</v>
      </c>
      <c r="I119" s="165"/>
      <c r="J119" s="328">
        <f>H119/DAY(B2)</f>
        <v>-93.227272727272734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'21'!F120</f>
        <v>42198</v>
      </c>
      <c r="F120" s="237">
        <v>42612</v>
      </c>
      <c r="G120" s="112">
        <f t="shared" si="9"/>
        <v>414</v>
      </c>
      <c r="H120" s="99">
        <f>G120+'21'!H120</f>
        <v>-3655</v>
      </c>
      <c r="I120" s="165"/>
      <c r="J120" s="328">
        <f>H120/DAY(B2)</f>
        <v>-166.13636363636363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'21'!F121</f>
        <v>48914</v>
      </c>
      <c r="F121" s="237">
        <v>49351</v>
      </c>
      <c r="G121" s="112">
        <f t="shared" si="9"/>
        <v>437</v>
      </c>
      <c r="H121" s="99">
        <f>G121+'21'!H121</f>
        <v>-4192</v>
      </c>
      <c r="I121" s="165"/>
      <c r="J121" s="328">
        <f>H121/DAY(B2)</f>
        <v>-190.54545454545453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'21'!F122</f>
        <v>25985</v>
      </c>
      <c r="F122" s="237">
        <v>26281</v>
      </c>
      <c r="G122" s="112">
        <f t="shared" si="9"/>
        <v>296</v>
      </c>
      <c r="H122" s="99">
        <f>G122+'21'!H122</f>
        <v>-2393</v>
      </c>
      <c r="I122" s="165"/>
      <c r="J122" s="328">
        <f>H122/DAY(B2)</f>
        <v>-108.77272727272727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'21'!F123</f>
        <v>27020</v>
      </c>
      <c r="F123" s="237">
        <v>27332</v>
      </c>
      <c r="G123" s="112">
        <f t="shared" si="9"/>
        <v>312</v>
      </c>
      <c r="H123" s="99">
        <f>G123+'21'!H123</f>
        <v>-2856</v>
      </c>
      <c r="I123" s="165"/>
      <c r="J123" s="328">
        <f>H123/DAY(B2)</f>
        <v>-129.81818181818181</v>
      </c>
    </row>
    <row r="124" spans="1:18" ht="29.25" customHeight="1">
      <c r="A124" s="898"/>
      <c r="B124" s="899"/>
      <c r="C124" s="900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3533</v>
      </c>
      <c r="H125" s="156"/>
      <c r="I125" s="327">
        <f>G125-(G39+G53)</f>
        <v>651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'21'!F128</f>
        <v>122508</v>
      </c>
      <c r="F128" s="165">
        <v>122995</v>
      </c>
      <c r="G128" s="112">
        <f t="shared" ref="G128:G134" si="10">F128-E128</f>
        <v>487</v>
      </c>
      <c r="H128" s="99">
        <f>G128+'21'!H128</f>
        <v>-4649</v>
      </c>
      <c r="I128" s="165"/>
      <c r="J128" s="328">
        <f>H128/DAY(B2)</f>
        <v>-211.31818181818181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70716</v>
      </c>
      <c r="F129" s="165">
        <v>70896</v>
      </c>
      <c r="G129" s="112">
        <f t="shared" si="10"/>
        <v>180</v>
      </c>
      <c r="H129" s="99">
        <f>G129+'21'!H129</f>
        <v>-1607</v>
      </c>
      <c r="I129" s="165"/>
      <c r="J129" s="328">
        <f>H129/DAY(B2)</f>
        <v>-73.045454545454547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157015</v>
      </c>
      <c r="F130" s="165">
        <v>157769</v>
      </c>
      <c r="G130" s="112">
        <f t="shared" si="10"/>
        <v>754</v>
      </c>
      <c r="H130" s="99">
        <f>G130+'21'!H130</f>
        <v>-7372.2699999999895</v>
      </c>
      <c r="I130" s="165"/>
      <c r="J130" s="328">
        <f>H130/DAY(B2)</f>
        <v>-335.10318181818133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'21'!F131</f>
        <v>46371</v>
      </c>
      <c r="F131" s="165">
        <v>46550</v>
      </c>
      <c r="G131" s="112">
        <f t="shared" si="10"/>
        <v>179</v>
      </c>
      <c r="H131" s="99">
        <f>G131+'21'!H131</f>
        <v>-1899</v>
      </c>
      <c r="I131" s="165"/>
      <c r="J131" s="328">
        <f>H131/DAY(B2)</f>
        <v>-86.318181818181813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'21'!F132</f>
        <v>124804</v>
      </c>
      <c r="F132" s="165">
        <v>125142</v>
      </c>
      <c r="G132" s="112">
        <f t="shared" si="10"/>
        <v>338</v>
      </c>
      <c r="H132" s="99">
        <f>G132+'21'!H132</f>
        <v>-3032</v>
      </c>
      <c r="I132" s="165"/>
      <c r="J132" s="328">
        <f>H132/DAY(B2)</f>
        <v>-137.81818181818181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'21'!F133</f>
        <v>224036</v>
      </c>
      <c r="F133" s="165">
        <v>224036</v>
      </c>
      <c r="G133" s="112">
        <f t="shared" si="10"/>
        <v>0</v>
      </c>
      <c r="H133" s="99">
        <f>G133+'21'!H133</f>
        <v>571233.8400000002</v>
      </c>
      <c r="I133" s="165"/>
      <c r="J133" s="328">
        <f>H133/DAY(B2)</f>
        <v>25965.174545454556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'21'!F134</f>
        <v>46941</v>
      </c>
      <c r="F134" s="165">
        <v>47151</v>
      </c>
      <c r="G134" s="112">
        <f t="shared" si="10"/>
        <v>210</v>
      </c>
      <c r="H134" s="99">
        <f>G134+'21'!H134</f>
        <v>-1884</v>
      </c>
      <c r="I134" s="165"/>
      <c r="J134" s="328">
        <f>H134/DAY(B2)</f>
        <v>-85.63636363636364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2148</v>
      </c>
      <c r="H135" s="99">
        <f>G135+'10'!H135</f>
        <v>523304.60000000003</v>
      </c>
      <c r="I135" s="327">
        <f>G135-(G35+G49)</f>
        <v>-1282</v>
      </c>
      <c r="J135" s="328"/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'21'!F138</f>
        <v>889739</v>
      </c>
      <c r="F138" s="147">
        <v>889864</v>
      </c>
      <c r="G138" s="112">
        <f t="shared" ref="G138:G152" si="11">F138-E138</f>
        <v>125</v>
      </c>
      <c r="H138" s="99">
        <f>G138+'21'!H138</f>
        <v>-1231</v>
      </c>
      <c r="I138" s="118"/>
      <c r="J138" s="328">
        <f>H138/DAY(B2)</f>
        <v>-55.954545454545453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'21'!F139</f>
        <v>907429</v>
      </c>
      <c r="F139" s="148">
        <v>907580</v>
      </c>
      <c r="G139" s="112">
        <f t="shared" si="11"/>
        <v>151</v>
      </c>
      <c r="H139" s="99">
        <f>G139+'21'!H139</f>
        <v>-1315</v>
      </c>
      <c r="I139" s="118"/>
      <c r="J139" s="328">
        <f>H139/DAY(B2)</f>
        <v>-59.772727272727273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'21'!F140</f>
        <v>1364</v>
      </c>
      <c r="F140" s="149">
        <v>1380</v>
      </c>
      <c r="G140" s="112">
        <f t="shared" si="11"/>
        <v>16</v>
      </c>
      <c r="H140" s="99">
        <f>G140+'21'!H140</f>
        <v>462.76999999999407</v>
      </c>
      <c r="I140" s="118"/>
      <c r="J140" s="328">
        <f>H140/DAY(B2)</f>
        <v>21.03499999999973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'21'!F141</f>
        <v>88390</v>
      </c>
      <c r="F141" s="149">
        <v>88588</v>
      </c>
      <c r="G141" s="112">
        <f t="shared" si="11"/>
        <v>198</v>
      </c>
      <c r="H141" s="99">
        <f>G141+'21'!H141</f>
        <v>-1864</v>
      </c>
      <c r="I141" s="118"/>
      <c r="J141" s="328">
        <f>H141/DAY(B2)</f>
        <v>-84.727272727272734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'21'!F142</f>
        <v>35914</v>
      </c>
      <c r="F142" s="148">
        <v>35981</v>
      </c>
      <c r="G142" s="112">
        <f t="shared" si="11"/>
        <v>67</v>
      </c>
      <c r="H142" s="99">
        <f>G142+'21'!H142</f>
        <v>-680</v>
      </c>
      <c r="I142" s="140"/>
      <c r="J142" s="328">
        <f>H142/DAY(B2)</f>
        <v>-30.90909090909091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'21'!F143</f>
        <v>8763</v>
      </c>
      <c r="F143" s="149">
        <v>8796</v>
      </c>
      <c r="G143" s="112">
        <f t="shared" si="11"/>
        <v>33</v>
      </c>
      <c r="H143" s="99">
        <f>G143+'21'!H143</f>
        <v>-255</v>
      </c>
      <c r="I143" s="140"/>
      <c r="J143" s="328">
        <f>H143/DAY(B2)</f>
        <v>-11.590909090909092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'21'!F144</f>
        <v>917503</v>
      </c>
      <c r="F144" s="149">
        <v>917750</v>
      </c>
      <c r="G144" s="112">
        <f t="shared" si="11"/>
        <v>247</v>
      </c>
      <c r="H144" s="99">
        <f>G144+'21'!H144</f>
        <v>-2087</v>
      </c>
      <c r="I144" s="140"/>
      <c r="J144" s="328">
        <f>H144/DAY(B2)</f>
        <v>-94.86363636363636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'21'!F145</f>
        <v>5767</v>
      </c>
      <c r="F145" s="149">
        <v>5779</v>
      </c>
      <c r="G145" s="112">
        <f t="shared" si="11"/>
        <v>12</v>
      </c>
      <c r="H145" s="99">
        <f>G145+'21'!H145</f>
        <v>-28</v>
      </c>
      <c r="I145" s="140"/>
      <c r="J145" s="328">
        <f>H145/DAY(B2)</f>
        <v>-1.2727272727272727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'21'!F146</f>
        <v>780178</v>
      </c>
      <c r="F146" s="148">
        <v>780212</v>
      </c>
      <c r="G146" s="112">
        <f t="shared" si="11"/>
        <v>34</v>
      </c>
      <c r="H146" s="99">
        <f>G146+'21'!H146</f>
        <v>-588</v>
      </c>
      <c r="I146" s="140"/>
      <c r="J146" s="328">
        <f>H146/DAY(B2)</f>
        <v>-26.727272727272727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'21'!F147</f>
        <v>695838</v>
      </c>
      <c r="F147" s="148">
        <v>696232</v>
      </c>
      <c r="G147" s="112">
        <f t="shared" si="11"/>
        <v>394</v>
      </c>
      <c r="H147" s="99">
        <f>G147+'21'!H147</f>
        <v>-3537</v>
      </c>
      <c r="I147" s="140"/>
      <c r="J147" s="328">
        <f>H147/DAY(B2)</f>
        <v>-160.77272727272728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'21'!F148</f>
        <v>745301</v>
      </c>
      <c r="F148" s="150">
        <v>745586</v>
      </c>
      <c r="G148" s="112">
        <f t="shared" si="11"/>
        <v>285</v>
      </c>
      <c r="H148" s="99">
        <f>G148+'21'!H148</f>
        <v>-2944</v>
      </c>
      <c r="I148" s="124"/>
      <c r="J148" s="328">
        <f>H148/DAY(B2)</f>
        <v>-133.81818181818181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'21'!F149</f>
        <v>127739</v>
      </c>
      <c r="F149" s="146">
        <v>128168</v>
      </c>
      <c r="G149" s="112">
        <f t="shared" si="11"/>
        <v>429</v>
      </c>
      <c r="H149" s="99">
        <f>G149+'21'!H149</f>
        <v>-4266</v>
      </c>
      <c r="I149" s="119"/>
      <c r="J149" s="328">
        <f>H149/DAY(B2)</f>
        <v>-193.90909090909091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'21'!F150</f>
        <v>48374</v>
      </c>
      <c r="F150" s="233">
        <v>48593</v>
      </c>
      <c r="G150" s="112">
        <f t="shared" si="11"/>
        <v>219</v>
      </c>
      <c r="H150" s="99">
        <f>G150+'21'!H150</f>
        <v>-2022</v>
      </c>
      <c r="I150" s="119"/>
      <c r="J150" s="328">
        <f>H150/DAY(B2)</f>
        <v>-91.909090909090907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'21'!F151</f>
        <v>132401</v>
      </c>
      <c r="F151" s="233">
        <v>132702</v>
      </c>
      <c r="G151" s="112">
        <f t="shared" si="11"/>
        <v>301</v>
      </c>
      <c r="H151" s="99">
        <f>G151+'21'!H151</f>
        <v>-2747</v>
      </c>
      <c r="I151" s="119"/>
      <c r="J151" s="328">
        <f>H151/DAY(B2)</f>
        <v>-124.86363636363636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'21'!F152</f>
        <v>21925</v>
      </c>
      <c r="F152" s="233">
        <v>22048</v>
      </c>
      <c r="G152" s="112">
        <f t="shared" si="11"/>
        <v>123</v>
      </c>
      <c r="H152" s="99">
        <f>G152+'21'!H152</f>
        <v>-1106</v>
      </c>
      <c r="I152" s="119"/>
      <c r="J152" s="328">
        <f>H152/DAY(B2)</f>
        <v>-50.272727272727273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2634</v>
      </c>
      <c r="H153" s="363"/>
      <c r="I153" s="119">
        <f>G153-(G38+G52)</f>
        <v>439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'21'!F155</f>
        <v>142179</v>
      </c>
      <c r="F155" s="374">
        <v>142730</v>
      </c>
      <c r="G155" s="112">
        <f t="shared" ref="G155:G158" si="12">F155-E155</f>
        <v>551</v>
      </c>
      <c r="H155" s="99">
        <f>G155+'21'!H155</f>
        <v>-5419</v>
      </c>
      <c r="I155" s="364"/>
      <c r="J155" s="328">
        <f>H155/DAY(B2)</f>
        <v>-246.31818181818181</v>
      </c>
    </row>
    <row r="156" spans="1:10" ht="25.5">
      <c r="A156" s="872" t="s">
        <v>347</v>
      </c>
      <c r="B156" s="872"/>
      <c r="C156" s="872"/>
      <c r="D156" s="117" t="s">
        <v>130</v>
      </c>
      <c r="E156" s="95">
        <f>'21'!F156</f>
        <v>13830</v>
      </c>
      <c r="F156" s="155">
        <v>13910</v>
      </c>
      <c r="G156" s="112">
        <f t="shared" si="12"/>
        <v>80</v>
      </c>
      <c r="H156" s="99">
        <f>G156+'21'!H156</f>
        <v>-824</v>
      </c>
      <c r="I156" s="165"/>
      <c r="J156" s="328">
        <f>H156/DAY(B2)</f>
        <v>-37.454545454545453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'21'!F157</f>
        <v>26140</v>
      </c>
      <c r="F157" s="155">
        <v>26242</v>
      </c>
      <c r="G157" s="112">
        <f t="shared" si="12"/>
        <v>102</v>
      </c>
      <c r="H157" s="99">
        <f>G157+'21'!H157</f>
        <v>381.54000000000087</v>
      </c>
      <c r="I157" s="165"/>
      <c r="J157" s="328">
        <f>H157/DAY(B2)</f>
        <v>17.342727272727313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'21'!F158</f>
        <v>230</v>
      </c>
      <c r="F158" s="155">
        <v>230.62</v>
      </c>
      <c r="G158" s="112">
        <f t="shared" si="12"/>
        <v>0.62000000000000455</v>
      </c>
      <c r="H158" s="99">
        <f>G158+'21'!H158</f>
        <v>1.9200000000000159</v>
      </c>
      <c r="I158" s="165"/>
      <c r="J158" s="328">
        <f>H158/DAY(B2)</f>
        <v>8.7272727272728001E-2</v>
      </c>
    </row>
    <row r="159" spans="1:10" ht="25.5">
      <c r="A159" s="958"/>
      <c r="B159" s="959"/>
      <c r="C159" s="960"/>
      <c r="D159" s="117"/>
      <c r="E159" s="95"/>
      <c r="F159" s="16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479501</v>
      </c>
      <c r="F161" s="235">
        <v>479632</v>
      </c>
      <c r="G161" s="238">
        <f t="shared" ref="G161:G165" si="13">F161-E161</f>
        <v>131</v>
      </c>
      <c r="H161" s="99">
        <f>G161+'21'!H161</f>
        <v>449.71999999997206</v>
      </c>
      <c r="I161" s="236"/>
      <c r="J161" s="239">
        <f>H161/DAY(B2)</f>
        <v>20.441818181816913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94572</v>
      </c>
      <c r="F162" s="235">
        <v>94612</v>
      </c>
      <c r="G162" s="238">
        <f t="shared" si="13"/>
        <v>40</v>
      </c>
      <c r="H162" s="99">
        <f>G162+'21'!H162</f>
        <v>-316</v>
      </c>
      <c r="I162" s="236"/>
      <c r="J162" s="239">
        <f>H162/DAY(B2)</f>
        <v>-14.363636363636363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5154</v>
      </c>
      <c r="F163" s="235">
        <v>5293</v>
      </c>
      <c r="G163" s="238">
        <f t="shared" si="13"/>
        <v>139</v>
      </c>
      <c r="H163" s="99">
        <f>G163+'21'!H163</f>
        <v>-1208</v>
      </c>
      <c r="I163" s="236"/>
      <c r="J163" s="239">
        <f>H163/DAY(B2)</f>
        <v>-54.909090909090907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6146</v>
      </c>
      <c r="F164" s="235">
        <v>6168</v>
      </c>
      <c r="G164" s="238">
        <f t="shared" si="13"/>
        <v>22</v>
      </c>
      <c r="H164" s="99">
        <f>G164+'21'!H164</f>
        <v>-112</v>
      </c>
      <c r="I164" s="236"/>
      <c r="J164" s="239">
        <f>H164/DAY(B2)</f>
        <v>-5.0909090909090908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31541</v>
      </c>
      <c r="F165" s="235">
        <v>31556</v>
      </c>
      <c r="G165" s="238">
        <f t="shared" si="13"/>
        <v>15</v>
      </c>
      <c r="H165" s="99">
        <f>G165+'21'!H165</f>
        <v>-78</v>
      </c>
      <c r="I165" s="236"/>
      <c r="J165" s="239">
        <f>H165/DAY(B2)</f>
        <v>-3.5454545454545454</v>
      </c>
    </row>
    <row r="166" spans="1:10" ht="21.95" customHeight="1">
      <c r="A166" s="881"/>
      <c r="B166" s="881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881"/>
      <c r="B167" s="881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881"/>
      <c r="B168" s="881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'21'!F173</f>
        <v>8276</v>
      </c>
      <c r="F173" s="155">
        <v>8276</v>
      </c>
      <c r="G173" s="155">
        <f>F173-E173</f>
        <v>0</v>
      </c>
      <c r="H173" s="99">
        <f>G173+'21'!H173</f>
        <v>41</v>
      </c>
      <c r="I173" s="155"/>
      <c r="J173" s="178">
        <f>H173/DAY(B2)</f>
        <v>1.8636363636363635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'21'!F174</f>
        <v>41064</v>
      </c>
      <c r="F174" s="157">
        <v>41078</v>
      </c>
      <c r="G174" s="155">
        <f t="shared" ref="G174:G175" si="14">F174-E174</f>
        <v>14</v>
      </c>
      <c r="H174" s="99">
        <f>G174+'21'!H174</f>
        <v>-126</v>
      </c>
      <c r="I174" s="155"/>
      <c r="J174" s="178">
        <f>H174/DAY(B2)</f>
        <v>-5.7272727272727275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'21'!F175</f>
        <v>23916</v>
      </c>
      <c r="F175" s="155">
        <v>23928</v>
      </c>
      <c r="G175" s="155">
        <f t="shared" si="14"/>
        <v>12</v>
      </c>
      <c r="H175" s="99">
        <f>G175+'21'!H175</f>
        <v>-103</v>
      </c>
      <c r="I175" s="155"/>
      <c r="J175" s="178">
        <f>H175/DAY(B2)</f>
        <v>-4.6818181818181817</v>
      </c>
    </row>
    <row r="176" spans="1:10" ht="25.5">
      <c r="A176" s="876" t="s">
        <v>196</v>
      </c>
      <c r="B176" s="877"/>
      <c r="C176" s="401"/>
      <c r="D176" s="228" t="s">
        <v>142</v>
      </c>
      <c r="E176" s="95"/>
      <c r="F176" s="155"/>
      <c r="G176" s="155">
        <f>SUM(G173:G175)</f>
        <v>26</v>
      </c>
      <c r="H176" s="99">
        <f>G176+'21'!H176</f>
        <v>-188</v>
      </c>
      <c r="I176" s="155"/>
      <c r="J176" s="178">
        <f>H176/DAY(B2)</f>
        <v>-8.545454545454545</v>
      </c>
    </row>
    <row r="177" spans="1:10" ht="25.5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'21'!F178</f>
        <v>96735</v>
      </c>
      <c r="F178" s="425">
        <v>96798</v>
      </c>
      <c r="G178" s="155">
        <f>F178-E178</f>
        <v>63</v>
      </c>
      <c r="H178" s="99">
        <f>G178+'21'!H178</f>
        <v>-915</v>
      </c>
      <c r="I178" s="155"/>
      <c r="J178" s="178">
        <f>H178/DAY(B2)</f>
        <v>-41.590909090909093</v>
      </c>
    </row>
    <row r="179" spans="1:10" ht="25.5">
      <c r="A179" s="887" t="s">
        <v>211</v>
      </c>
      <c r="B179" s="888"/>
      <c r="C179" s="333"/>
      <c r="D179" s="228" t="s">
        <v>142</v>
      </c>
      <c r="E179" s="95">
        <f>'21'!F179</f>
        <v>36002</v>
      </c>
      <c r="F179" s="155">
        <v>36002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'21'!F180</f>
        <v>7065</v>
      </c>
      <c r="F180" s="155">
        <v>7071</v>
      </c>
      <c r="G180" s="374">
        <f t="shared" si="15"/>
        <v>6</v>
      </c>
      <c r="H180" s="99">
        <f>G180+'21'!H180</f>
        <v>-98</v>
      </c>
      <c r="I180" s="155"/>
      <c r="J180" s="178">
        <f>H180/DAY(B2)</f>
        <v>-4.4545454545454541</v>
      </c>
    </row>
    <row r="181" spans="1:10" ht="27.75" customHeight="1">
      <c r="A181" s="889" t="s">
        <v>108</v>
      </c>
      <c r="B181" s="890"/>
      <c r="C181" s="401"/>
      <c r="D181" s="228" t="s">
        <v>142</v>
      </c>
      <c r="E181" s="95"/>
      <c r="F181" s="155"/>
      <c r="G181" s="155">
        <f>SUM(G178:G180)</f>
        <v>69</v>
      </c>
      <c r="H181" s="99">
        <f>G181+'21'!H181</f>
        <v>-1013</v>
      </c>
      <c r="I181" s="155"/>
      <c r="J181" s="178">
        <f>H181/DAY(B2)</f>
        <v>-46.045454545454547</v>
      </c>
    </row>
    <row r="182" spans="1:10" ht="25.5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'21'!F183</f>
        <v>17411</v>
      </c>
      <c r="F183" s="157">
        <v>17415</v>
      </c>
      <c r="G183" s="157">
        <f>F183-E183</f>
        <v>4</v>
      </c>
      <c r="H183" s="99">
        <f>G183+'21'!H183</f>
        <v>-58</v>
      </c>
      <c r="I183" s="155"/>
      <c r="J183" s="178">
        <f>H183/DAY(B2)</f>
        <v>-2.6363636363636362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'21'!F184</f>
        <v>11849</v>
      </c>
      <c r="F184" s="157">
        <v>11855</v>
      </c>
      <c r="G184" s="157">
        <f t="shared" ref="G184:G185" si="16">F184-E184</f>
        <v>6</v>
      </c>
      <c r="H184" s="99">
        <f>G184+'21'!H184</f>
        <v>-80</v>
      </c>
      <c r="I184" s="155"/>
      <c r="J184" s="178">
        <f>H184/DAY(B2)</f>
        <v>-3.6363636363636362</v>
      </c>
    </row>
    <row r="185" spans="1:10" ht="25.5">
      <c r="A185" s="887" t="s">
        <v>216</v>
      </c>
      <c r="B185" s="888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400"/>
      <c r="D186" s="228" t="s">
        <v>142</v>
      </c>
      <c r="E186" s="95"/>
      <c r="F186" s="157"/>
      <c r="G186" s="157">
        <f>SUM(G183:G185)</f>
        <v>10</v>
      </c>
      <c r="H186" s="99">
        <f>G186+'21'!H186</f>
        <v>-138</v>
      </c>
      <c r="I186" s="157"/>
      <c r="J186" s="178">
        <f>H186/DAY(B2)</f>
        <v>-6.2727272727272725</v>
      </c>
    </row>
    <row r="187" spans="1:10" ht="25.5">
      <c r="A187" s="878" t="s">
        <v>217</v>
      </c>
      <c r="B187" s="879"/>
      <c r="C187" s="333"/>
      <c r="D187" s="230" t="s">
        <v>142</v>
      </c>
      <c r="E187" s="95"/>
      <c r="F187" s="159"/>
      <c r="G187" s="378">
        <f>G62+G19</f>
        <v>148</v>
      </c>
      <c r="H187" s="99">
        <f>G187+'21'!H187</f>
        <v>-1504</v>
      </c>
      <c r="I187" s="158"/>
      <c r="J187" s="179">
        <f>H187/DAY(B2)</f>
        <v>-68.36363636363636</v>
      </c>
    </row>
    <row r="188" spans="1:10" ht="25.5">
      <c r="A188" s="878" t="s">
        <v>218</v>
      </c>
      <c r="B188" s="879"/>
      <c r="C188" s="333"/>
      <c r="D188" s="230" t="s">
        <v>142</v>
      </c>
      <c r="E188" s="95"/>
      <c r="F188" s="159"/>
      <c r="G188" s="378">
        <f>G65+G66+G67+G69+G70</f>
        <v>136</v>
      </c>
      <c r="H188" s="99">
        <f>G188+'21'!H188</f>
        <v>1296</v>
      </c>
      <c r="I188" s="158"/>
      <c r="J188" s="179">
        <f>H188/DAY(B2)</f>
        <v>58.909090909090907</v>
      </c>
    </row>
    <row r="189" spans="1:10" ht="25.5">
      <c r="A189" s="878" t="s">
        <v>219</v>
      </c>
      <c r="B189" s="879"/>
      <c r="C189" s="333"/>
      <c r="D189" s="230" t="s">
        <v>142</v>
      </c>
      <c r="E189" s="95"/>
      <c r="F189" s="157"/>
      <c r="G189" s="377">
        <f>G181</f>
        <v>69</v>
      </c>
      <c r="H189" s="99">
        <f>G189+'21'!H189</f>
        <v>296</v>
      </c>
      <c r="I189" s="158"/>
      <c r="J189" s="179">
        <f>H189/DAY(B2)</f>
        <v>13.454545454545455</v>
      </c>
    </row>
    <row r="190" spans="1:10" ht="25.5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zoomScale="50" zoomScaleNormal="80" zoomScaleSheetLayoutView="50" workbookViewId="0">
      <selection activeCell="F15" sqref="F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30.75" customHeight="1">
      <c r="A2" s="191" t="s">
        <v>355</v>
      </c>
      <c r="B2" s="262">
        <v>44765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27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107747</v>
      </c>
      <c r="F7" s="95">
        <f>E7+26200</f>
        <v>133947</v>
      </c>
      <c r="G7" s="112">
        <f>F7-E7</f>
        <v>26200</v>
      </c>
      <c r="H7" s="99">
        <f>G7+'22'!H7</f>
        <v>600358.9</v>
      </c>
      <c r="I7" s="113">
        <f>'1'!I7</f>
        <v>12000</v>
      </c>
      <c r="J7" s="175">
        <f>H7/DAY(B2)</f>
        <v>26102.560869565219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255344.4</v>
      </c>
      <c r="F8" s="95">
        <f>E8+26500</f>
        <v>281844.40000000002</v>
      </c>
      <c r="G8" s="115">
        <f>F8-E8</f>
        <v>26500.000000000029</v>
      </c>
      <c r="H8" s="99">
        <f>G8+'22'!H8</f>
        <v>608766</v>
      </c>
      <c r="I8" s="116"/>
      <c r="J8" s="175">
        <f>H8/DAY(B2)</f>
        <v>26468.08695652174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3217563</v>
      </c>
      <c r="F9" s="469">
        <v>3231701</v>
      </c>
      <c r="G9" s="112">
        <f>F9-E9</f>
        <v>14138</v>
      </c>
      <c r="H9" s="99">
        <f>G9+'22'!H9</f>
        <v>-47365</v>
      </c>
      <c r="I9" s="124">
        <f>I7-J7</f>
        <v>-14102.560869565219</v>
      </c>
      <c r="J9" s="175">
        <f>H9/DAY(B2)</f>
        <v>-2059.3478260869565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1504389</v>
      </c>
      <c r="F10" s="353">
        <v>1515405</v>
      </c>
      <c r="G10" s="112">
        <f t="shared" ref="G10:G11" si="0">F10-E10</f>
        <v>11016</v>
      </c>
      <c r="H10" s="99">
        <f>G10+'22'!H10</f>
        <v>-151753</v>
      </c>
      <c r="I10" s="282"/>
      <c r="J10" s="175">
        <f>H10/DAY(B2)</f>
        <v>-6597.95652173913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25154</v>
      </c>
      <c r="H13" s="99">
        <f>G13+'22'!H13</f>
        <v>-197783.40000000014</v>
      </c>
      <c r="I13" s="120">
        <f>G7-G13</f>
        <v>1046</v>
      </c>
      <c r="J13" s="175">
        <f>H13/DAY(B2)</f>
        <v>-8599.2782608695707</v>
      </c>
      <c r="K13" s="79"/>
      <c r="L13" s="66"/>
      <c r="N13" s="87"/>
      <c r="O13" s="71"/>
    </row>
    <row r="14" spans="1:15" ht="30.75" customHeight="1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2123008</v>
      </c>
      <c r="F15" s="469">
        <f>E15+1000</f>
        <v>2124008</v>
      </c>
      <c r="G15" s="112">
        <f>(F15-E15)</f>
        <v>1000</v>
      </c>
      <c r="H15" s="99">
        <f>G15+'22'!H15</f>
        <v>23140</v>
      </c>
      <c r="I15" s="113">
        <f>'1'!I15</f>
        <v>800</v>
      </c>
      <c r="J15" s="175">
        <f>H15/DAY(B2)</f>
        <v>1006.0869565217391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-206.08695652173913</v>
      </c>
      <c r="J16" s="176"/>
      <c r="K16" s="79"/>
      <c r="L16" s="66"/>
      <c r="N16" s="87"/>
      <c r="O16" s="71"/>
    </row>
    <row r="17" spans="1:15" ht="30.75" customHeight="1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15" t="s">
        <v>141</v>
      </c>
      <c r="B18" s="916"/>
      <c r="C18" s="917"/>
      <c r="D18" s="151" t="s">
        <v>142</v>
      </c>
      <c r="E18" s="95">
        <f>'22'!F18</f>
        <v>22</v>
      </c>
      <c r="F18" s="122">
        <v>19</v>
      </c>
      <c r="G18" s="119">
        <f>F18*10</f>
        <v>190</v>
      </c>
      <c r="H18" s="99">
        <f>G18+'22'!H18</f>
        <v>4270</v>
      </c>
      <c r="I18" s="113">
        <f>'1'!I18</f>
        <v>65</v>
      </c>
      <c r="J18" s="175">
        <f>H18/DAY(B2)</f>
        <v>185.65217391304347</v>
      </c>
      <c r="K18" s="79"/>
      <c r="L18" s="66"/>
      <c r="N18" s="87"/>
      <c r="O18" s="71"/>
    </row>
    <row r="19" spans="1:15" ht="30.75" customHeight="1">
      <c r="A19" s="915" t="s">
        <v>69</v>
      </c>
      <c r="B19" s="916"/>
      <c r="C19" s="917"/>
      <c r="D19" s="151" t="s">
        <v>142</v>
      </c>
      <c r="E19" s="95">
        <f>'22'!F19</f>
        <v>161892</v>
      </c>
      <c r="F19" s="122">
        <v>161933</v>
      </c>
      <c r="G19" s="112">
        <f t="shared" ref="G19" si="1">F19-E19</f>
        <v>41</v>
      </c>
      <c r="H19" s="99">
        <f>G19+'22'!H19</f>
        <v>-396</v>
      </c>
      <c r="I19" s="335"/>
      <c r="J19" s="175">
        <f>H19/DAY(B2)</f>
        <v>-17.217391304347824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231</v>
      </c>
      <c r="H20" s="99">
        <f>G20+'22'!H20</f>
        <v>3874</v>
      </c>
      <c r="I20" s="336">
        <f>I18-J20</f>
        <v>-103.43478260869566</v>
      </c>
      <c r="J20" s="175">
        <f>H20/DAY(B2)</f>
        <v>168.43478260869566</v>
      </c>
      <c r="K20" s="79"/>
      <c r="L20" s="66"/>
      <c r="N20" s="87"/>
      <c r="O20" s="71"/>
    </row>
    <row r="21" spans="1:15" ht="30.75" customHeight="1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26500.000000000029</v>
      </c>
      <c r="F27" s="136">
        <v>9</v>
      </c>
      <c r="G27" s="137">
        <f>E27*F27</f>
        <v>238500.00000000026</v>
      </c>
      <c r="H27" s="99">
        <f>G27+'22'!H27</f>
        <v>5478894</v>
      </c>
      <c r="I27" s="138"/>
      <c r="J27" s="175">
        <f>H27/DAY(B2)</f>
        <v>238212.78260869565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G28+'22'!H28</f>
        <v>1619800</v>
      </c>
      <c r="I28" s="140"/>
      <c r="J28" s="175">
        <f>H28/DAY(B2)</f>
        <v>70426.086956521744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41</v>
      </c>
      <c r="F30" s="136">
        <v>151</v>
      </c>
      <c r="G30" s="137">
        <f>E30*F30</f>
        <v>6191</v>
      </c>
      <c r="H30" s="99">
        <f>G30+'22'!H30</f>
        <v>-59796</v>
      </c>
      <c r="I30" s="140"/>
      <c r="J30" s="175">
        <f>H30/DAY(B2)</f>
        <v>-2599.8260869565215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G31+'22'!H31</f>
        <v>341600</v>
      </c>
      <c r="I31" s="140"/>
      <c r="J31" s="175">
        <f>H31/DAY(B2)</f>
        <v>14852.173913043478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329891.00000000023</v>
      </c>
      <c r="H32" s="99">
        <f>G32+'22'!H32</f>
        <v>7380498</v>
      </c>
      <c r="I32" s="144"/>
      <c r="J32" s="175">
        <f>H32/DAY(B2)</f>
        <v>320891.21739130432</v>
      </c>
      <c r="K32" s="63"/>
      <c r="L32" s="89"/>
      <c r="N32" s="87"/>
      <c r="O32" s="71"/>
    </row>
    <row r="33" spans="1:15" ht="30.7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238713</v>
      </c>
      <c r="F35" s="145">
        <v>238713</v>
      </c>
      <c r="G35" s="112">
        <f t="shared" ref="G35:G46" si="3">F35-E35</f>
        <v>0</v>
      </c>
      <c r="H35" s="99">
        <f>G35+'22'!H35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207250</v>
      </c>
      <c r="F36" s="145">
        <v>208266</v>
      </c>
      <c r="G36" s="112">
        <f t="shared" si="3"/>
        <v>1016</v>
      </c>
      <c r="H36" s="99">
        <f>G36+'22'!H36</f>
        <v>-7264</v>
      </c>
      <c r="I36" s="95"/>
      <c r="J36" s="175">
        <f>H36/DAY(B2)</f>
        <v>-315.82608695652175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321229</v>
      </c>
      <c r="F37" s="145">
        <v>322725</v>
      </c>
      <c r="G37" s="112">
        <f t="shared" si="3"/>
        <v>1496</v>
      </c>
      <c r="H37" s="99">
        <f>G37+'22'!H37</f>
        <v>-274</v>
      </c>
      <c r="I37" s="95"/>
      <c r="J37" s="175">
        <f>H37/DAY(B2)</f>
        <v>-11.913043478260869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437071</v>
      </c>
      <c r="F38" s="108">
        <v>439360</v>
      </c>
      <c r="G38" s="112">
        <f t="shared" si="3"/>
        <v>2289</v>
      </c>
      <c r="H38" s="99">
        <f>G38+'22'!H38</f>
        <v>-18001</v>
      </c>
      <c r="I38" s="95"/>
      <c r="J38" s="175">
        <f>H38/DAY(B2)</f>
        <v>-782.6521739130435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588053</v>
      </c>
      <c r="F39" s="145">
        <v>590987</v>
      </c>
      <c r="G39" s="112">
        <f t="shared" si="3"/>
        <v>2934</v>
      </c>
      <c r="H39" s="99">
        <f>G39+'22'!H39</f>
        <v>-597</v>
      </c>
      <c r="I39" s="95"/>
      <c r="J39" s="175">
        <f>H39/DAY(B2)</f>
        <v>-25.956521739130434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99163</v>
      </c>
      <c r="F40" s="145">
        <v>100008</v>
      </c>
      <c r="G40" s="112">
        <f t="shared" si="3"/>
        <v>845</v>
      </c>
      <c r="H40" s="99">
        <f>G40+'22'!H40</f>
        <v>-6768</v>
      </c>
      <c r="I40" s="95"/>
      <c r="J40" s="175">
        <f>H40/DAY(B2)</f>
        <v>-294.26086956521738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191237</v>
      </c>
      <c r="F41" s="145">
        <v>196381</v>
      </c>
      <c r="G41" s="112">
        <f t="shared" si="3"/>
        <v>5144</v>
      </c>
      <c r="H41" s="99">
        <f>G41+'22'!H41</f>
        <v>-15322</v>
      </c>
      <c r="I41" s="95"/>
      <c r="J41" s="175">
        <f>H41/DAY(B2)</f>
        <v>-666.17391304347825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741988</v>
      </c>
      <c r="F42" s="145">
        <v>741988</v>
      </c>
      <c r="G42" s="112">
        <f t="shared" si="3"/>
        <v>0</v>
      </c>
      <c r="H42" s="99">
        <f>G42+'22'!H42</f>
        <v>-6376</v>
      </c>
      <c r="I42" s="95"/>
      <c r="J42" s="175">
        <f>H42/DAY(B2)</f>
        <v>-277.21739130434781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407028.03</v>
      </c>
      <c r="F43" s="145">
        <v>407028.03</v>
      </c>
      <c r="G43" s="112">
        <f t="shared" si="3"/>
        <v>0</v>
      </c>
      <c r="H43" s="99">
        <f>G43+'22'!H43</f>
        <v>3.0000000027939677E-2</v>
      </c>
      <c r="I43" s="95"/>
      <c r="J43" s="175">
        <f>H43/DAY(B2)</f>
        <v>1.3043478273017251E-3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13724</v>
      </c>
      <c r="H47" s="99">
        <f>G47+'22'!H47</f>
        <v>-54601.969999999987</v>
      </c>
      <c r="I47" s="95"/>
      <c r="J47" s="175">
        <f>H47/DAY(B2)</f>
        <v>-2373.9986956521734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446574</v>
      </c>
      <c r="F49" s="145">
        <v>450094</v>
      </c>
      <c r="G49" s="112">
        <f t="shared" ref="G49:G58" si="4">F49-E49</f>
        <v>3520</v>
      </c>
      <c r="H49" s="99">
        <f>G49+'22'!H49</f>
        <v>-34960</v>
      </c>
      <c r="I49" s="95"/>
      <c r="J49" s="175">
        <f>H49/DAY(B2)</f>
        <v>-1520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271130</v>
      </c>
      <c r="F50" s="145">
        <v>272462</v>
      </c>
      <c r="G50" s="112">
        <f t="shared" si="4"/>
        <v>1332</v>
      </c>
      <c r="H50" s="99">
        <f>G50+'22'!H50</f>
        <v>236015</v>
      </c>
      <c r="I50" s="95"/>
      <c r="J50" s="175">
        <f>H50/DAY(B2)</f>
        <v>10261.521739130434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76</v>
      </c>
      <c r="F51" s="145">
        <v>76</v>
      </c>
      <c r="G51" s="112">
        <f t="shared" si="4"/>
        <v>0</v>
      </c>
      <c r="H51" s="99">
        <f>G51+'22'!H51</f>
        <v>-8432</v>
      </c>
      <c r="I51" s="95"/>
      <c r="J51" s="175">
        <f>H51/DAY(B2)</f>
        <v>-366.60869565217394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10</v>
      </c>
      <c r="F52" s="145">
        <v>10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-33861</v>
      </c>
      <c r="I53" s="95"/>
      <c r="J53" s="175">
        <f>H53/DAY(B2)</f>
        <v>-1472.2173913043478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84795</v>
      </c>
      <c r="F54" s="145">
        <v>85147</v>
      </c>
      <c r="G54" s="112">
        <f t="shared" si="4"/>
        <v>352</v>
      </c>
      <c r="H54" s="99">
        <f>G54+'22'!H54</f>
        <v>-2796</v>
      </c>
      <c r="I54" s="95"/>
      <c r="J54" s="175">
        <f>H54/DAY(B2)</f>
        <v>-121.56521739130434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334832</v>
      </c>
      <c r="F55" s="145">
        <v>336843</v>
      </c>
      <c r="G55" s="112">
        <f t="shared" si="4"/>
        <v>2011</v>
      </c>
      <c r="H55" s="99">
        <f>G55+'22'!H55</f>
        <v>-25934</v>
      </c>
      <c r="I55" s="95"/>
      <c r="J55" s="175">
        <f>H55/DAY(B2)</f>
        <v>-1127.5652173913043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122561</v>
      </c>
      <c r="F56" s="145">
        <v>122561</v>
      </c>
      <c r="G56" s="112">
        <f t="shared" si="4"/>
        <v>0</v>
      </c>
      <c r="H56" s="99">
        <f>G56+'22'!H56</f>
        <v>-1321</v>
      </c>
      <c r="I56" s="95"/>
      <c r="J56" s="175">
        <f>H56/DAY(B2)</f>
        <v>-57.434782608695649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199284</v>
      </c>
      <c r="F57" s="145">
        <v>202425</v>
      </c>
      <c r="G57" s="112">
        <f t="shared" si="4"/>
        <v>3141</v>
      </c>
      <c r="H57" s="99">
        <f>G57+'22'!H57</f>
        <v>-23745</v>
      </c>
      <c r="I57" s="95"/>
      <c r="J57" s="175">
        <f>H57/DAY(B2)</f>
        <v>-1032.391304347826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46610</v>
      </c>
      <c r="F58" s="145">
        <v>46871</v>
      </c>
      <c r="G58" s="112">
        <f t="shared" si="4"/>
        <v>261</v>
      </c>
      <c r="H58" s="99">
        <f>G58+'22'!H58</f>
        <v>-2238</v>
      </c>
      <c r="I58" s="95"/>
      <c r="J58" s="175">
        <f>H58/DAY(B2)</f>
        <v>-97.304347826086953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10617</v>
      </c>
      <c r="H59" s="99">
        <f>G59+'22'!H59</f>
        <v>-143574.99999999994</v>
      </c>
      <c r="I59" s="95">
        <f>G7-G60</f>
        <v>1859</v>
      </c>
      <c r="J59" s="175">
        <f>H59/DAY(B2)</f>
        <v>-6242.3913043478233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24341</v>
      </c>
      <c r="H60" s="99">
        <f>G60+'22'!H60</f>
        <v>-198176.97</v>
      </c>
      <c r="I60" s="95">
        <f>G13-G60</f>
        <v>813</v>
      </c>
      <c r="J60" s="175">
        <f>H60/DAY(B2)</f>
        <v>-8616.39</v>
      </c>
      <c r="K60" s="79"/>
      <c r="L60" s="66"/>
      <c r="N60" s="87"/>
      <c r="O60" s="71"/>
    </row>
    <row r="61" spans="1:15" s="68" customFormat="1" ht="30.75" customHeight="1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915" t="s">
        <v>198</v>
      </c>
      <c r="B62" s="916"/>
      <c r="C62" s="917"/>
      <c r="D62" s="151" t="s">
        <v>142</v>
      </c>
      <c r="E62" s="95">
        <f>'22'!F62</f>
        <v>295208</v>
      </c>
      <c r="F62" s="122">
        <v>295316</v>
      </c>
      <c r="G62" s="112">
        <f t="shared" ref="G62:G63" si="5">F62-E62</f>
        <v>108</v>
      </c>
      <c r="H62" s="99">
        <f>G62+'22'!H62</f>
        <v>-959</v>
      </c>
      <c r="I62" s="118"/>
      <c r="J62" s="175">
        <f>H62/DAY(B2)</f>
        <v>-41.695652173913047</v>
      </c>
      <c r="K62" s="80"/>
      <c r="L62" s="66"/>
      <c r="N62" s="87"/>
      <c r="O62" s="71"/>
    </row>
    <row r="63" spans="1:15" ht="30.75" customHeight="1">
      <c r="A63" s="915" t="s">
        <v>199</v>
      </c>
      <c r="B63" s="916"/>
      <c r="C63" s="917"/>
      <c r="D63" s="151" t="s">
        <v>142</v>
      </c>
      <c r="E63" s="95">
        <f>'22'!F63</f>
        <v>237711</v>
      </c>
      <c r="F63" s="122">
        <v>237907</v>
      </c>
      <c r="G63" s="112">
        <f t="shared" si="5"/>
        <v>196</v>
      </c>
      <c r="H63" s="99">
        <f>G63+'22'!H63</f>
        <v>-1226</v>
      </c>
      <c r="I63" s="118"/>
      <c r="J63" s="175">
        <f>H63/DAY(B2)</f>
        <v>-53.304347826086953</v>
      </c>
      <c r="K63" s="69"/>
      <c r="L63" s="66"/>
      <c r="N63" s="87"/>
      <c r="O63" s="71"/>
    </row>
    <row r="64" spans="1:15" ht="30.75" customHeight="1">
      <c r="A64" s="924" t="s">
        <v>200</v>
      </c>
      <c r="B64" s="925"/>
      <c r="C64" s="926"/>
      <c r="D64" s="151"/>
      <c r="E64" s="95">
        <f>'22'!F64</f>
        <v>0</v>
      </c>
      <c r="F64" s="122"/>
      <c r="G64" s="112">
        <f>G62+G63</f>
        <v>304</v>
      </c>
      <c r="H64" s="99">
        <f>G64+'22'!H64</f>
        <v>-2185</v>
      </c>
      <c r="I64" s="118"/>
      <c r="J64" s="175">
        <f>H64/DAY(B2)</f>
        <v>-95</v>
      </c>
      <c r="K64" s="69"/>
      <c r="L64" s="66"/>
      <c r="N64" s="87"/>
      <c r="O64" s="71"/>
    </row>
    <row r="65" spans="1:15" ht="30.75" customHeight="1">
      <c r="A65" s="915" t="s">
        <v>201</v>
      </c>
      <c r="B65" s="916"/>
      <c r="C65" s="917"/>
      <c r="D65" s="151" t="s">
        <v>142</v>
      </c>
      <c r="E65" s="95">
        <f>'22'!F65</f>
        <v>453751</v>
      </c>
      <c r="F65" s="122">
        <v>453849</v>
      </c>
      <c r="G65" s="112">
        <f t="shared" ref="G65:G70" si="6">F65-E65</f>
        <v>98</v>
      </c>
      <c r="H65" s="99">
        <f>G65+'22'!H65</f>
        <v>-861</v>
      </c>
      <c r="I65" s="118"/>
      <c r="J65" s="175">
        <f>H65/DAY(B2)</f>
        <v>-37.434782608695649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111501</v>
      </c>
      <c r="F66" s="122">
        <v>111521</v>
      </c>
      <c r="G66" s="112">
        <f t="shared" si="6"/>
        <v>20</v>
      </c>
      <c r="H66" s="99">
        <f>G66+'22'!H66</f>
        <v>-201</v>
      </c>
      <c r="I66" s="118"/>
      <c r="J66" s="175">
        <f>H66/DAY(B2)</f>
        <v>-8.7391304347826093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113681</v>
      </c>
      <c r="F67" s="150">
        <v>113681</v>
      </c>
      <c r="G67" s="112">
        <f t="shared" si="6"/>
        <v>0</v>
      </c>
      <c r="H67" s="99">
        <f>G67+'22'!H67</f>
        <v>1</v>
      </c>
      <c r="I67" s="118"/>
      <c r="J67" s="175">
        <f>H67/DAY(B2)</f>
        <v>4.3478260869565216E-2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164466</v>
      </c>
      <c r="F68" s="122">
        <v>164514</v>
      </c>
      <c r="G68" s="112">
        <f t="shared" si="6"/>
        <v>48</v>
      </c>
      <c r="H68" s="99">
        <f>G68+'22'!H68</f>
        <v>-148</v>
      </c>
      <c r="I68" s="118"/>
      <c r="J68" s="175">
        <f>H68/DAY(B2)</f>
        <v>-6.4347826086956523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12230</v>
      </c>
      <c r="F69" s="122">
        <v>12234</v>
      </c>
      <c r="G69" s="112">
        <f t="shared" si="6"/>
        <v>4</v>
      </c>
      <c r="H69" s="99">
        <f>G69+'22'!H69</f>
        <v>-41</v>
      </c>
      <c r="I69" s="118"/>
      <c r="J69" s="175">
        <f>H69/DAY(B2)</f>
        <v>-1.7826086956521738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9721</v>
      </c>
      <c r="F70" s="150">
        <v>9738</v>
      </c>
      <c r="G70" s="112">
        <f t="shared" si="6"/>
        <v>17</v>
      </c>
      <c r="H70" s="99">
        <f>G70+'22'!H70</f>
        <v>-89</v>
      </c>
      <c r="I70" s="118"/>
      <c r="J70" s="175">
        <f>H70/DAY(B2)</f>
        <v>-3.8695652173913042</v>
      </c>
      <c r="K70" s="69"/>
      <c r="L70" s="66"/>
      <c r="N70" s="87"/>
      <c r="O70" s="71"/>
    </row>
    <row r="71" spans="1:15" ht="30.75" customHeight="1">
      <c r="A71" s="924" t="s">
        <v>208</v>
      </c>
      <c r="B71" s="925"/>
      <c r="C71" s="926"/>
      <c r="D71" s="152"/>
      <c r="E71" s="152"/>
      <c r="F71" s="152"/>
      <c r="G71" s="153">
        <f>SUM(G65:G70)</f>
        <v>187</v>
      </c>
      <c r="H71" s="99">
        <f>G71+'22'!H71</f>
        <v>-1339</v>
      </c>
      <c r="I71" s="154"/>
      <c r="J71" s="175">
        <f>H71/DAY(B2)</f>
        <v>-58.217391304347828</v>
      </c>
      <c r="K71" s="69"/>
      <c r="L71" s="66"/>
      <c r="N71" s="87"/>
      <c r="O71" s="71"/>
    </row>
    <row r="72" spans="1:15" s="88" customFormat="1" ht="30.75" customHeight="1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15" t="s">
        <v>220</v>
      </c>
      <c r="B74" s="916"/>
      <c r="C74" s="917"/>
      <c r="D74" s="151" t="s">
        <v>139</v>
      </c>
      <c r="E74" s="95">
        <f>'22'!F74</f>
        <v>954766</v>
      </c>
      <c r="F74" s="117">
        <v>955104</v>
      </c>
      <c r="G74" s="112">
        <f t="shared" ref="G74:G78" si="7">F74-E74</f>
        <v>338</v>
      </c>
      <c r="H74" s="99">
        <f>G74+'22'!H74</f>
        <v>-2553.859999999986</v>
      </c>
      <c r="I74" s="154"/>
      <c r="J74" s="175">
        <f>H74/DAY(B2)</f>
        <v>-111.03739130434722</v>
      </c>
      <c r="K74" s="69"/>
      <c r="L74" s="66"/>
      <c r="N74" s="87"/>
      <c r="O74" s="71"/>
    </row>
    <row r="75" spans="1:15" ht="30.75" customHeight="1">
      <c r="A75" s="915" t="s">
        <v>221</v>
      </c>
      <c r="B75" s="916"/>
      <c r="C75" s="917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2" t="s">
        <v>222</v>
      </c>
      <c r="B76" s="913"/>
      <c r="C76" s="914"/>
      <c r="D76" s="151" t="s">
        <v>139</v>
      </c>
      <c r="E76" s="95">
        <f>'22'!F76</f>
        <v>189237</v>
      </c>
      <c r="F76" s="123">
        <v>189336</v>
      </c>
      <c r="G76" s="112">
        <f t="shared" si="7"/>
        <v>99</v>
      </c>
      <c r="H76" s="99">
        <f>G76+'22'!H76</f>
        <v>-836</v>
      </c>
      <c r="I76" s="154"/>
      <c r="J76" s="175">
        <f>H76/DAY(B2)</f>
        <v>-36.347826086956523</v>
      </c>
      <c r="K76" s="69"/>
      <c r="L76" s="66"/>
      <c r="N76" s="87"/>
      <c r="O76" s="71"/>
    </row>
    <row r="77" spans="1:15" ht="30.75" customHeight="1">
      <c r="A77" s="912" t="s">
        <v>223</v>
      </c>
      <c r="B77" s="913"/>
      <c r="C77" s="914"/>
      <c r="D77" s="151" t="s">
        <v>139</v>
      </c>
      <c r="E77" s="95">
        <f>'22'!F77</f>
        <v>49828</v>
      </c>
      <c r="F77" s="123">
        <v>49904</v>
      </c>
      <c r="G77" s="112">
        <f t="shared" si="7"/>
        <v>76</v>
      </c>
      <c r="H77" s="99">
        <f>G77+'22'!H77</f>
        <v>-409</v>
      </c>
      <c r="I77" s="154"/>
      <c r="J77" s="175">
        <f>H77/DAY(B2)</f>
        <v>-17.782608695652176</v>
      </c>
      <c r="K77" s="69"/>
      <c r="L77" s="66"/>
      <c r="N77" s="87"/>
      <c r="O77" s="71"/>
    </row>
    <row r="78" spans="1:15" ht="30.75" customHeight="1">
      <c r="A78" s="912" t="s">
        <v>224</v>
      </c>
      <c r="B78" s="913"/>
      <c r="C78" s="914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2" t="s">
        <v>225</v>
      </c>
      <c r="B79" s="913"/>
      <c r="C79" s="914"/>
      <c r="D79" s="151"/>
      <c r="E79" s="95">
        <f>'22'!F79</f>
        <v>0</v>
      </c>
      <c r="F79" s="123"/>
      <c r="G79" s="112">
        <f>G15-SUM(G74:G78)</f>
        <v>487</v>
      </c>
      <c r="H79" s="99">
        <f>G79+'22'!H79</f>
        <v>26938.859999999986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71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71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42490</v>
      </c>
      <c r="F84" s="164">
        <v>42514</v>
      </c>
      <c r="G84" s="112">
        <f t="shared" si="8"/>
        <v>24</v>
      </c>
      <c r="H84" s="99">
        <f>G84+'22'!H84</f>
        <v>-75</v>
      </c>
      <c r="I84" s="571"/>
      <c r="J84" s="175">
        <f>H84/DAY(B2)</f>
        <v>-3.2608695652173911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5112</v>
      </c>
      <c r="F85" s="164">
        <v>5112</v>
      </c>
      <c r="G85" s="112">
        <f t="shared" si="8"/>
        <v>0</v>
      </c>
      <c r="H85" s="99">
        <f>G85+'22'!H85</f>
        <v>-28.1899999999996</v>
      </c>
      <c r="I85" s="571"/>
      <c r="J85" s="175">
        <f>H85/DAY(B2)</f>
        <v>-1.2256521739130262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45186</v>
      </c>
      <c r="F86" s="164">
        <v>45201</v>
      </c>
      <c r="G86" s="112">
        <f t="shared" si="8"/>
        <v>15</v>
      </c>
      <c r="H86" s="99">
        <f>G86+'22'!H86</f>
        <v>-178</v>
      </c>
      <c r="I86" s="571"/>
      <c r="J86" s="175">
        <f>H86/DAY(B2)</f>
        <v>-7.7391304347826084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35446.57</v>
      </c>
      <c r="F87" s="164">
        <v>35446.57</v>
      </c>
      <c r="G87" s="112">
        <f t="shared" si="8"/>
        <v>0</v>
      </c>
      <c r="H87" s="99">
        <f>G87+'22'!H87</f>
        <v>-10.860000000000582</v>
      </c>
      <c r="I87" s="571">
        <f>G84+G85+G86+G87</f>
        <v>39</v>
      </c>
      <c r="J87" s="175">
        <f>H87/DAY(B2)</f>
        <v>-0.47217391304350359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24297</v>
      </c>
      <c r="F88" s="164">
        <v>24297</v>
      </c>
      <c r="G88" s="112">
        <f t="shared" si="8"/>
        <v>0</v>
      </c>
      <c r="H88" s="99">
        <f>G88+'22'!H88</f>
        <v>-6.4599999999991269</v>
      </c>
      <c r="I88" s="571"/>
      <c r="J88" s="175">
        <f>H88/DAY(B2)</f>
        <v>-0.28086956521735335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27484</v>
      </c>
      <c r="F89" s="164">
        <v>27493</v>
      </c>
      <c r="G89" s="112">
        <f t="shared" si="8"/>
        <v>9</v>
      </c>
      <c r="H89" s="99">
        <f>G89+'22'!H89</f>
        <v>-73.610000000000582</v>
      </c>
      <c r="I89" s="571">
        <f>G88+G89</f>
        <v>9</v>
      </c>
      <c r="J89" s="175">
        <f>H89/DAY(B2)</f>
        <v>-3.2004347826087209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72512</v>
      </c>
      <c r="F90" s="164">
        <v>72521.73</v>
      </c>
      <c r="G90" s="112">
        <f t="shared" si="8"/>
        <v>9.7299999999959255</v>
      </c>
      <c r="H90" s="99">
        <f>G90+'22'!H90</f>
        <v>-84.820000000006985</v>
      </c>
      <c r="I90" s="571">
        <f>G90</f>
        <v>9.7299999999959255</v>
      </c>
      <c r="J90" s="175">
        <f>H90/DAY(B2)</f>
        <v>-3.6878260869568256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4289.54</v>
      </c>
      <c r="F91" s="122">
        <v>4289.54</v>
      </c>
      <c r="G91" s="112">
        <f t="shared" si="8"/>
        <v>0</v>
      </c>
      <c r="H91" s="99">
        <f>G91+'22'!H91</f>
        <v>2.6199999999998909</v>
      </c>
      <c r="I91" s="590"/>
      <c r="J91" s="175">
        <f>H91/DAY(B2)</f>
        <v>0.11391304347825612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6618</v>
      </c>
      <c r="F92" s="122">
        <v>6629</v>
      </c>
      <c r="G92" s="112">
        <f t="shared" si="8"/>
        <v>11</v>
      </c>
      <c r="H92" s="99">
        <f>G92+'22'!H92</f>
        <v>-88.329999999999927</v>
      </c>
      <c r="I92" s="596">
        <f>G91+G92</f>
        <v>11</v>
      </c>
      <c r="J92" s="175">
        <f>H92/DAY(B2)</f>
        <v>-3.8404347826086926</v>
      </c>
      <c r="O92" s="71"/>
    </row>
    <row r="93" spans="1:15" ht="30.7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6661</v>
      </c>
      <c r="H94" s="99">
        <f>G94+'22'!H94</f>
        <v>-58704.969999999972</v>
      </c>
      <c r="I94" s="118"/>
      <c r="J94" s="175">
        <f>H94/DAY(B2)</f>
        <v>-2552.389999999999</v>
      </c>
      <c r="K94" s="69"/>
      <c r="L94" s="66"/>
      <c r="O94" s="71"/>
    </row>
    <row r="95" spans="1:15" ht="30.75" customHeight="1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0.25423664122137407</v>
      </c>
      <c r="H95" s="99">
        <f>G95+'22'!H95</f>
        <v>-2.2157698323844226</v>
      </c>
      <c r="I95" s="167"/>
      <c r="J95" s="175">
        <f>H95/DAY(B2)</f>
        <v>-9.6337818799322725E-2</v>
      </c>
      <c r="K95" s="69"/>
      <c r="L95" s="66"/>
      <c r="O95" s="71"/>
    </row>
    <row r="96" spans="1:15" ht="30.75" customHeight="1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7155</v>
      </c>
      <c r="H96" s="99">
        <f>G96+'22'!H96</f>
        <v>-48952.999999999985</v>
      </c>
      <c r="I96" s="118"/>
      <c r="J96" s="175">
        <f>H96/DAY(B2)</f>
        <v>-2128.3913043478256</v>
      </c>
      <c r="K96" s="69"/>
      <c r="L96" s="66"/>
      <c r="O96" s="71"/>
    </row>
    <row r="97" spans="1:15" ht="30.75" customHeight="1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0.27309160305343511</v>
      </c>
      <c r="H97" s="99">
        <f>G97+'22'!H97</f>
        <v>-1.8474558378585084</v>
      </c>
      <c r="I97" s="167"/>
      <c r="J97" s="175">
        <f>H97/DAY(B2)</f>
        <v>-8.0324166863413413E-2</v>
      </c>
      <c r="K97" s="69"/>
      <c r="L97" s="66"/>
      <c r="O97" s="71"/>
    </row>
    <row r="98" spans="1:15" ht="30.75" customHeight="1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2934</v>
      </c>
      <c r="H98" s="99">
        <f>G98+'22'!H98</f>
        <v>-34458</v>
      </c>
      <c r="I98" s="168"/>
      <c r="J98" s="175">
        <f>H98/DAY(B2)</f>
        <v>-1498.1739130434783</v>
      </c>
      <c r="K98" s="69"/>
      <c r="L98" s="66"/>
      <c r="O98" s="71"/>
    </row>
    <row r="99" spans="1:15" ht="30.75" customHeight="1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0.11198473282442747</v>
      </c>
      <c r="H99" s="99">
        <f>G99+'22'!H99</f>
        <v>-1.3013819981668149</v>
      </c>
      <c r="I99" s="168"/>
      <c r="J99" s="175">
        <f>H99/DAY(B2)</f>
        <v>-5.6581826007252818E-2</v>
      </c>
      <c r="O99" s="71"/>
    </row>
    <row r="100" spans="1:15" ht="30.75" customHeight="1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2289</v>
      </c>
      <c r="H100" s="99">
        <f>G100+'22'!H100</f>
        <v>-18001</v>
      </c>
      <c r="I100" s="118"/>
      <c r="J100" s="175">
        <f>H100/DAY(B2)</f>
        <v>-782.6521739130435</v>
      </c>
      <c r="K100" s="70"/>
      <c r="O100" s="71"/>
    </row>
    <row r="101" spans="1:15" ht="30.75" customHeight="1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8.736641221374046E-2</v>
      </c>
      <c r="H101" s="99">
        <f>G101+'22'!H101</f>
        <v>-0.67868980065262363</v>
      </c>
      <c r="I101" s="168"/>
      <c r="J101" s="175">
        <f>H101/DAY(B2)</f>
        <v>-2.9508252202287984E-2</v>
      </c>
      <c r="O101" s="71"/>
    </row>
    <row r="102" spans="1:15" ht="30.75" customHeight="1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2348</v>
      </c>
      <c r="H102" s="99">
        <f>G102+'22'!H102</f>
        <v>-17552</v>
      </c>
      <c r="I102" s="168"/>
      <c r="J102" s="175">
        <f>H102/DAY(B2)</f>
        <v>-763.13043478260875</v>
      </c>
      <c r="O102" s="71"/>
    </row>
    <row r="103" spans="1:15" ht="30.75" customHeight="1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8.9618320610687016E-2</v>
      </c>
      <c r="H103" s="99">
        <f>G103+'22'!H103</f>
        <v>-0.66485642128847477</v>
      </c>
      <c r="I103" s="118"/>
      <c r="J103" s="175">
        <f>H103/DAY(B2)</f>
        <v>-2.8906800925585861E-2</v>
      </c>
      <c r="O103" s="71"/>
    </row>
    <row r="104" spans="1:15" ht="30.75" customHeight="1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1496</v>
      </c>
      <c r="H104" s="99">
        <f>G104+'22'!H104</f>
        <v>-8706</v>
      </c>
      <c r="I104" s="118"/>
      <c r="J104" s="175">
        <f>H104/DAY(B2)</f>
        <v>-378.52173913043481</v>
      </c>
      <c r="O104" s="71"/>
    </row>
    <row r="105" spans="1:15" ht="30.75" customHeight="1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5.7099236641221372E-2</v>
      </c>
      <c r="H105" s="99">
        <f>G105+'22'!H105</f>
        <v>-0.3276370155236305</v>
      </c>
      <c r="I105" s="187"/>
      <c r="J105" s="188">
        <f>H105/DAY(B2)</f>
        <v>-1.4245087631462195E-2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30.75" customHeight="1">
      <c r="A109" s="932"/>
      <c r="B109" s="932"/>
    </row>
    <row r="110" spans="1:15" ht="30.75" customHeight="1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30.75" customHeight="1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4" t="s">
        <v>252</v>
      </c>
      <c r="B112" s="895"/>
      <c r="C112" s="896"/>
      <c r="D112" s="146" t="s">
        <v>183</v>
      </c>
      <c r="E112" s="95">
        <f>'22'!F112</f>
        <v>6596</v>
      </c>
      <c r="F112" s="237">
        <v>6672</v>
      </c>
      <c r="G112" s="112">
        <f t="shared" ref="G112:G123" si="9">F112-E112</f>
        <v>76</v>
      </c>
      <c r="H112" s="99">
        <f>G112+'22'!H112</f>
        <v>-134</v>
      </c>
      <c r="I112" s="165"/>
      <c r="J112" s="328">
        <f>H112/DAY(B2)</f>
        <v>-5.8260869565217392</v>
      </c>
    </row>
    <row r="113" spans="1:18" ht="30.75" customHeight="1">
      <c r="A113" s="894" t="s">
        <v>253</v>
      </c>
      <c r="B113" s="895"/>
      <c r="C113" s="896"/>
      <c r="D113" s="146" t="s">
        <v>183</v>
      </c>
      <c r="E113" s="95">
        <f>'22'!F113</f>
        <v>13763</v>
      </c>
      <c r="F113" s="237">
        <v>13904</v>
      </c>
      <c r="G113" s="112">
        <f t="shared" si="9"/>
        <v>141</v>
      </c>
      <c r="H113" s="99">
        <f>G113+'22'!H113</f>
        <v>-1111</v>
      </c>
      <c r="I113" s="165"/>
      <c r="J113" s="328">
        <f>H113/DAY(B2)</f>
        <v>-48.304347826086953</v>
      </c>
    </row>
    <row r="114" spans="1:18" ht="30.75" customHeight="1">
      <c r="A114" s="894" t="s">
        <v>254</v>
      </c>
      <c r="B114" s="895"/>
      <c r="C114" s="896"/>
      <c r="D114" s="146" t="s">
        <v>183</v>
      </c>
      <c r="E114" s="95">
        <f>'22'!F114</f>
        <v>19277</v>
      </c>
      <c r="F114" s="237">
        <v>19571</v>
      </c>
      <c r="G114" s="112">
        <f t="shared" si="9"/>
        <v>294</v>
      </c>
      <c r="H114" s="99">
        <f>G114+'22'!H114</f>
        <v>-1697</v>
      </c>
      <c r="I114" s="165"/>
      <c r="J114" s="328">
        <f>H114/DAY(B2)</f>
        <v>-73.782608695652172</v>
      </c>
    </row>
    <row r="115" spans="1:18" ht="30.75" customHeight="1">
      <c r="A115" s="894" t="s">
        <v>255</v>
      </c>
      <c r="B115" s="895"/>
      <c r="C115" s="896"/>
      <c r="D115" s="146" t="s">
        <v>183</v>
      </c>
      <c r="E115" s="95">
        <f>'22'!F115</f>
        <v>11936</v>
      </c>
      <c r="F115" s="237">
        <v>12121</v>
      </c>
      <c r="G115" s="112">
        <f t="shared" si="9"/>
        <v>185</v>
      </c>
      <c r="H115" s="99">
        <f>G115+'22'!H115</f>
        <v>-1418.2200000000012</v>
      </c>
      <c r="I115" s="165"/>
      <c r="J115" s="328">
        <f>H115/DAY(B2)</f>
        <v>-61.661739130434832</v>
      </c>
    </row>
    <row r="116" spans="1:18" ht="30.75" customHeight="1">
      <c r="A116" s="901" t="s">
        <v>96</v>
      </c>
      <c r="B116" s="902"/>
      <c r="C116" s="903"/>
      <c r="D116" s="146" t="s">
        <v>183</v>
      </c>
      <c r="E116" s="95">
        <f>'22'!F116</f>
        <v>67089</v>
      </c>
      <c r="F116" s="237">
        <v>67472</v>
      </c>
      <c r="G116" s="112">
        <f t="shared" si="9"/>
        <v>383</v>
      </c>
      <c r="H116" s="99">
        <f>G116+'22'!H116</f>
        <v>-3020</v>
      </c>
      <c r="I116" s="165"/>
      <c r="J116" s="328">
        <f>H116/DAY(B2)</f>
        <v>-131.30434782608697</v>
      </c>
      <c r="Q116" s="894" t="s">
        <v>311</v>
      </c>
      <c r="R116" s="896"/>
    </row>
    <row r="117" spans="1:18" ht="30.75" customHeight="1">
      <c r="A117" s="901" t="s">
        <v>184</v>
      </c>
      <c r="B117" s="902"/>
      <c r="C117" s="903"/>
      <c r="D117" s="146" t="s">
        <v>183</v>
      </c>
      <c r="E117" s="95">
        <f>'22'!F117</f>
        <v>38631</v>
      </c>
      <c r="F117" s="237">
        <v>38840</v>
      </c>
      <c r="G117" s="112">
        <f t="shared" si="9"/>
        <v>209</v>
      </c>
      <c r="H117" s="99">
        <f>G117+'22'!H117</f>
        <v>-2082</v>
      </c>
      <c r="I117" s="165"/>
      <c r="J117" s="328">
        <f>H117/DAY(B2)</f>
        <v>-90.521739130434781</v>
      </c>
      <c r="Q117" s="894" t="s">
        <v>312</v>
      </c>
      <c r="R117" s="896"/>
    </row>
    <row r="118" spans="1:18" ht="30.75" customHeight="1">
      <c r="A118" s="893" t="s">
        <v>97</v>
      </c>
      <c r="B118" s="893"/>
      <c r="C118" s="893"/>
      <c r="D118" s="151" t="s">
        <v>183</v>
      </c>
      <c r="E118" s="95">
        <f>'22'!F118</f>
        <v>59089</v>
      </c>
      <c r="F118" s="237">
        <v>59692</v>
      </c>
      <c r="G118" s="112">
        <f t="shared" si="9"/>
        <v>603</v>
      </c>
      <c r="H118" s="99">
        <f>G118+'22'!H118</f>
        <v>-4980</v>
      </c>
      <c r="I118" s="165"/>
      <c r="J118" s="328">
        <f>H118/DAY(B2)</f>
        <v>-216.52173913043478</v>
      </c>
      <c r="Q118" s="894" t="s">
        <v>311</v>
      </c>
      <c r="R118" s="896"/>
    </row>
    <row r="119" spans="1:18" ht="30.75" customHeight="1">
      <c r="A119" s="893" t="s">
        <v>98</v>
      </c>
      <c r="B119" s="893"/>
      <c r="C119" s="893"/>
      <c r="D119" s="151" t="s">
        <v>183</v>
      </c>
      <c r="E119" s="95">
        <f>'22'!F119</f>
        <v>35398</v>
      </c>
      <c r="F119" s="237">
        <v>35631</v>
      </c>
      <c r="G119" s="112">
        <f t="shared" si="9"/>
        <v>233</v>
      </c>
      <c r="H119" s="99">
        <f>G119+'22'!H119</f>
        <v>-1818</v>
      </c>
      <c r="I119" s="165"/>
      <c r="J119" s="328">
        <f>H119/DAY(B2)</f>
        <v>-79.043478260869563</v>
      </c>
    </row>
    <row r="120" spans="1:18" ht="30.75" customHeight="1">
      <c r="A120" s="893" t="s">
        <v>99</v>
      </c>
      <c r="B120" s="893"/>
      <c r="C120" s="893"/>
      <c r="D120" s="151" t="s">
        <v>183</v>
      </c>
      <c r="E120" s="95">
        <f>'22'!F120</f>
        <v>42612</v>
      </c>
      <c r="F120" s="237">
        <v>43038</v>
      </c>
      <c r="G120" s="112">
        <f t="shared" si="9"/>
        <v>426</v>
      </c>
      <c r="H120" s="99">
        <f>G120+'22'!H120</f>
        <v>-3229</v>
      </c>
      <c r="I120" s="165"/>
      <c r="J120" s="328">
        <f>H120/DAY(B2)</f>
        <v>-140.39130434782609</v>
      </c>
    </row>
    <row r="121" spans="1:18" ht="30.75" customHeight="1">
      <c r="A121" s="893" t="s">
        <v>100</v>
      </c>
      <c r="B121" s="893"/>
      <c r="C121" s="893"/>
      <c r="D121" s="151" t="s">
        <v>183</v>
      </c>
      <c r="E121" s="95">
        <f>'22'!F121</f>
        <v>49351</v>
      </c>
      <c r="F121" s="237">
        <v>49792</v>
      </c>
      <c r="G121" s="112">
        <f t="shared" si="9"/>
        <v>441</v>
      </c>
      <c r="H121" s="99">
        <f>G121+'22'!H121</f>
        <v>-3751</v>
      </c>
      <c r="I121" s="165"/>
      <c r="J121" s="328">
        <f>H121/DAY(B2)</f>
        <v>-163.08695652173913</v>
      </c>
    </row>
    <row r="122" spans="1:18" ht="30.75" customHeight="1">
      <c r="A122" s="893" t="s">
        <v>101</v>
      </c>
      <c r="B122" s="893"/>
      <c r="C122" s="893"/>
      <c r="D122" s="151" t="s">
        <v>183</v>
      </c>
      <c r="E122" s="95">
        <f>'22'!F122</f>
        <v>26281</v>
      </c>
      <c r="F122" s="237">
        <v>26562</v>
      </c>
      <c r="G122" s="112">
        <f t="shared" si="9"/>
        <v>281</v>
      </c>
      <c r="H122" s="99">
        <f>G122+'22'!H122</f>
        <v>-2112</v>
      </c>
      <c r="I122" s="165"/>
      <c r="J122" s="328">
        <f>H122/DAY(B2)</f>
        <v>-91.826086956521735</v>
      </c>
    </row>
    <row r="123" spans="1:18" ht="30.75" customHeight="1">
      <c r="A123" s="893" t="s">
        <v>102</v>
      </c>
      <c r="B123" s="893"/>
      <c r="C123" s="893"/>
      <c r="D123" s="151" t="s">
        <v>183</v>
      </c>
      <c r="E123" s="95">
        <f>'22'!F123</f>
        <v>27332</v>
      </c>
      <c r="F123" s="237">
        <v>27651</v>
      </c>
      <c r="G123" s="112">
        <f t="shared" si="9"/>
        <v>319</v>
      </c>
      <c r="H123" s="99">
        <f>G123+'22'!H123</f>
        <v>-2537</v>
      </c>
      <c r="I123" s="165"/>
      <c r="J123" s="328">
        <f>H123/DAY(B2)</f>
        <v>-110.30434782608695</v>
      </c>
    </row>
    <row r="124" spans="1:18" ht="30.75" customHeight="1">
      <c r="A124" s="898"/>
      <c r="B124" s="899"/>
      <c r="C124" s="900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876" t="s">
        <v>196</v>
      </c>
      <c r="B125" s="877"/>
      <c r="C125" s="245"/>
      <c r="D125" s="307"/>
      <c r="E125" s="308"/>
      <c r="F125" s="308"/>
      <c r="G125" s="309">
        <f>SUM(G112:G124)</f>
        <v>3591</v>
      </c>
      <c r="H125" s="156"/>
      <c r="I125" s="327">
        <f>G125-(G39+G53)</f>
        <v>657</v>
      </c>
      <c r="J125" s="327"/>
    </row>
    <row r="126" spans="1:18" ht="30.75" customHeight="1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30.75" customHeight="1">
      <c r="A127" s="881"/>
      <c r="B127" s="881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894" t="s">
        <v>318</v>
      </c>
      <c r="B128" s="895"/>
      <c r="C128" s="896"/>
      <c r="D128" s="151" t="s">
        <v>183</v>
      </c>
      <c r="E128" s="95">
        <f>'22'!F128</f>
        <v>122995</v>
      </c>
      <c r="F128" s="155">
        <v>123503</v>
      </c>
      <c r="G128" s="112">
        <f t="shared" ref="G128:G134" si="10">F128-E128</f>
        <v>508</v>
      </c>
      <c r="H128" s="99">
        <f>G128+'22'!H128</f>
        <v>-4141</v>
      </c>
      <c r="I128" s="165"/>
      <c r="J128" s="328">
        <f>H128/DAY(B2)</f>
        <v>-180.04347826086956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70896</v>
      </c>
      <c r="F129" s="155">
        <v>71072</v>
      </c>
      <c r="G129" s="112">
        <f t="shared" si="10"/>
        <v>176</v>
      </c>
      <c r="H129" s="99">
        <f>G129+'22'!H129</f>
        <v>-1431</v>
      </c>
      <c r="I129" s="165"/>
      <c r="J129" s="328">
        <f>H129/DAY(B2)</f>
        <v>-62.217391304347828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157769</v>
      </c>
      <c r="F130" s="155">
        <v>158503</v>
      </c>
      <c r="G130" s="112">
        <f t="shared" si="10"/>
        <v>734</v>
      </c>
      <c r="H130" s="99">
        <f>G130+'22'!H130</f>
        <v>-6638.2699999999895</v>
      </c>
      <c r="I130" s="165"/>
      <c r="J130" s="328">
        <f>H130/DAY(B2)</f>
        <v>-288.62043478260824</v>
      </c>
      <c r="N130" s="240"/>
      <c r="O130" s="241"/>
    </row>
    <row r="131" spans="1:15" ht="30.75" customHeight="1">
      <c r="A131" s="894" t="s">
        <v>321</v>
      </c>
      <c r="B131" s="895"/>
      <c r="C131" s="896"/>
      <c r="D131" s="151" t="s">
        <v>183</v>
      </c>
      <c r="E131" s="95">
        <f>'22'!F131</f>
        <v>46550</v>
      </c>
      <c r="F131" s="155">
        <v>46762</v>
      </c>
      <c r="G131" s="112">
        <f t="shared" si="10"/>
        <v>212</v>
      </c>
      <c r="H131" s="99">
        <f>G131+'22'!H131</f>
        <v>-1687</v>
      </c>
      <c r="I131" s="165"/>
      <c r="J131" s="328">
        <f>H131/DAY(B2)</f>
        <v>-73.347826086956516</v>
      </c>
      <c r="N131" s="240"/>
      <c r="O131" s="241"/>
    </row>
    <row r="132" spans="1:15" ht="30.75" customHeight="1">
      <c r="A132" s="894" t="s">
        <v>322</v>
      </c>
      <c r="B132" s="895"/>
      <c r="C132" s="896"/>
      <c r="D132" s="151" t="s">
        <v>183</v>
      </c>
      <c r="E132" s="95">
        <f>'22'!F132</f>
        <v>125142</v>
      </c>
      <c r="F132" s="155">
        <v>125481</v>
      </c>
      <c r="G132" s="112">
        <f t="shared" si="10"/>
        <v>339</v>
      </c>
      <c r="H132" s="99">
        <f>G132+'22'!H132</f>
        <v>-2693</v>
      </c>
      <c r="I132" s="165"/>
      <c r="J132" s="328">
        <f>H132/DAY(B2)</f>
        <v>-117.08695652173913</v>
      </c>
    </row>
    <row r="133" spans="1:15" ht="30.75" customHeight="1">
      <c r="A133" s="894" t="s">
        <v>359</v>
      </c>
      <c r="B133" s="895"/>
      <c r="C133" s="896"/>
      <c r="D133" s="151" t="s">
        <v>183</v>
      </c>
      <c r="E133" s="95">
        <f>'22'!F133</f>
        <v>224036</v>
      </c>
      <c r="F133" s="155">
        <v>224036</v>
      </c>
      <c r="G133" s="112">
        <f t="shared" si="10"/>
        <v>0</v>
      </c>
      <c r="H133" s="99">
        <f>G133+'22'!H133</f>
        <v>571233.8400000002</v>
      </c>
      <c r="I133" s="165"/>
      <c r="J133" s="328">
        <f>H133/DAY(B2)</f>
        <v>24836.253913043485</v>
      </c>
    </row>
    <row r="134" spans="1:15" ht="30.75" customHeight="1">
      <c r="A134" s="894" t="s">
        <v>340</v>
      </c>
      <c r="B134" s="895"/>
      <c r="C134" s="896"/>
      <c r="D134" s="151" t="s">
        <v>183</v>
      </c>
      <c r="E134" s="95">
        <f>'22'!F134</f>
        <v>47151</v>
      </c>
      <c r="F134" s="374">
        <v>47365</v>
      </c>
      <c r="G134" s="112">
        <f t="shared" si="10"/>
        <v>214</v>
      </c>
      <c r="H134" s="99">
        <f>G134+'22'!H134</f>
        <v>-1670</v>
      </c>
      <c r="I134" s="165"/>
      <c r="J134" s="328">
        <f>H134/DAY(B2)</f>
        <v>-72.608695652173907</v>
      </c>
    </row>
    <row r="135" spans="1:15" ht="30.75" customHeight="1">
      <c r="A135" s="876" t="s">
        <v>196</v>
      </c>
      <c r="B135" s="877"/>
      <c r="C135" s="331"/>
      <c r="D135" s="151"/>
      <c r="E135" s="95"/>
      <c r="F135" s="465"/>
      <c r="G135" s="112">
        <f>SUM(G128:G134)</f>
        <v>2183</v>
      </c>
      <c r="H135" s="99">
        <f>G135+'10'!H135</f>
        <v>523339.60000000003</v>
      </c>
      <c r="I135" s="327">
        <f>G135-(G35+G49)</f>
        <v>-1337</v>
      </c>
      <c r="J135" s="328"/>
    </row>
    <row r="136" spans="1:15" ht="30.75" customHeight="1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3" t="s">
        <v>185</v>
      </c>
      <c r="B138" s="893"/>
      <c r="C138" s="893"/>
      <c r="D138" s="151" t="s">
        <v>183</v>
      </c>
      <c r="E138" s="95">
        <f>'22'!F138</f>
        <v>889864</v>
      </c>
      <c r="F138" s="147">
        <v>889969</v>
      </c>
      <c r="G138" s="112">
        <f t="shared" ref="G138:G152" si="11">F138-E138</f>
        <v>105</v>
      </c>
      <c r="H138" s="99">
        <f>G138+'22'!H138</f>
        <v>-1126</v>
      </c>
      <c r="I138" s="118"/>
      <c r="J138" s="328">
        <f>H138/DAY(B2)</f>
        <v>-48.956521739130437</v>
      </c>
    </row>
    <row r="139" spans="1:15" ht="30.75" customHeight="1">
      <c r="A139" s="893" t="s">
        <v>186</v>
      </c>
      <c r="B139" s="893"/>
      <c r="C139" s="893"/>
      <c r="D139" s="151" t="s">
        <v>183</v>
      </c>
      <c r="E139" s="95">
        <f>'22'!F139</f>
        <v>907580</v>
      </c>
      <c r="F139" s="148">
        <v>907724</v>
      </c>
      <c r="G139" s="112">
        <f t="shared" si="11"/>
        <v>144</v>
      </c>
      <c r="H139" s="99">
        <f>G139+'22'!H139</f>
        <v>-1171</v>
      </c>
      <c r="I139" s="118"/>
      <c r="J139" s="328">
        <f>H139/DAY(B2)</f>
        <v>-50.913043478260867</v>
      </c>
    </row>
    <row r="140" spans="1:15" ht="30.75" customHeight="1">
      <c r="A140" s="893" t="s">
        <v>187</v>
      </c>
      <c r="B140" s="893"/>
      <c r="C140" s="893"/>
      <c r="D140" s="151" t="s">
        <v>183</v>
      </c>
      <c r="E140" s="95">
        <f>'22'!F140</f>
        <v>1380</v>
      </c>
      <c r="F140" s="149">
        <v>1396</v>
      </c>
      <c r="G140" s="112">
        <f t="shared" si="11"/>
        <v>16</v>
      </c>
      <c r="H140" s="99">
        <f>G140+'22'!H140</f>
        <v>478.76999999999407</v>
      </c>
      <c r="I140" s="118"/>
      <c r="J140" s="328">
        <f>H140/DAY(B2)</f>
        <v>20.816086956521481</v>
      </c>
    </row>
    <row r="141" spans="1:15" ht="30.75" customHeight="1">
      <c r="A141" s="872" t="s">
        <v>188</v>
      </c>
      <c r="B141" s="872"/>
      <c r="C141" s="872"/>
      <c r="D141" s="151" t="s">
        <v>183</v>
      </c>
      <c r="E141" s="95">
        <f>'22'!F141</f>
        <v>88588</v>
      </c>
      <c r="F141" s="149">
        <v>88804</v>
      </c>
      <c r="G141" s="112">
        <f t="shared" si="11"/>
        <v>216</v>
      </c>
      <c r="H141" s="99">
        <f>G141+'22'!H141</f>
        <v>-1648</v>
      </c>
      <c r="I141" s="118"/>
      <c r="J141" s="328">
        <f>H141/DAY(B2)</f>
        <v>-71.652173913043484</v>
      </c>
    </row>
    <row r="142" spans="1:15" ht="30.75" customHeight="1">
      <c r="A142" s="872" t="s">
        <v>189</v>
      </c>
      <c r="B142" s="872"/>
      <c r="C142" s="872"/>
      <c r="D142" s="151" t="s">
        <v>183</v>
      </c>
      <c r="E142" s="95">
        <f>'22'!F142</f>
        <v>35981</v>
      </c>
      <c r="F142" s="148">
        <v>36053</v>
      </c>
      <c r="G142" s="112">
        <f t="shared" si="11"/>
        <v>72</v>
      </c>
      <c r="H142" s="99">
        <f>G142+'22'!H142</f>
        <v>-608</v>
      </c>
      <c r="I142" s="140"/>
      <c r="J142" s="328">
        <f>H142/DAY(B2)</f>
        <v>-26.434782608695652</v>
      </c>
    </row>
    <row r="143" spans="1:15" ht="30.75" customHeight="1">
      <c r="A143" s="893" t="s">
        <v>91</v>
      </c>
      <c r="B143" s="893"/>
      <c r="C143" s="893"/>
      <c r="D143" s="151" t="s">
        <v>183</v>
      </c>
      <c r="E143" s="95">
        <f>'22'!F143</f>
        <v>8796</v>
      </c>
      <c r="F143" s="149">
        <v>8823</v>
      </c>
      <c r="G143" s="112">
        <f t="shared" si="11"/>
        <v>27</v>
      </c>
      <c r="H143" s="99">
        <f>G143+'22'!H143</f>
        <v>-228</v>
      </c>
      <c r="I143" s="140"/>
      <c r="J143" s="328">
        <f>H143/DAY(B2)</f>
        <v>-9.9130434782608692</v>
      </c>
    </row>
    <row r="144" spans="1:15" ht="30.75" customHeight="1">
      <c r="A144" s="872" t="s">
        <v>90</v>
      </c>
      <c r="B144" s="872"/>
      <c r="C144" s="872"/>
      <c r="D144" s="151" t="s">
        <v>183</v>
      </c>
      <c r="E144" s="95">
        <f>'22'!F144</f>
        <v>917750</v>
      </c>
      <c r="F144" s="149">
        <v>917999</v>
      </c>
      <c r="G144" s="112">
        <f t="shared" si="11"/>
        <v>249</v>
      </c>
      <c r="H144" s="99">
        <f>G144+'22'!H144</f>
        <v>-1838</v>
      </c>
      <c r="I144" s="140"/>
      <c r="J144" s="328">
        <f>H144/DAY(B2)</f>
        <v>-79.913043478260875</v>
      </c>
    </row>
    <row r="145" spans="1:10" ht="30.75" customHeight="1">
      <c r="A145" s="893" t="s">
        <v>190</v>
      </c>
      <c r="B145" s="893"/>
      <c r="C145" s="893"/>
      <c r="D145" s="152" t="s">
        <v>183</v>
      </c>
      <c r="E145" s="95">
        <f>'22'!F145</f>
        <v>5779</v>
      </c>
      <c r="F145" s="149">
        <v>5791</v>
      </c>
      <c r="G145" s="112">
        <f t="shared" si="11"/>
        <v>12</v>
      </c>
      <c r="H145" s="99">
        <f>G145+'22'!H145</f>
        <v>-16</v>
      </c>
      <c r="I145" s="140"/>
      <c r="J145" s="328">
        <f>H145/DAY(B2)</f>
        <v>-0.69565217391304346</v>
      </c>
    </row>
    <row r="146" spans="1:10" ht="30.75" customHeight="1">
      <c r="A146" s="928" t="s">
        <v>191</v>
      </c>
      <c r="B146" s="913"/>
      <c r="C146" s="914"/>
      <c r="D146" s="152" t="s">
        <v>183</v>
      </c>
      <c r="E146" s="95">
        <f>'22'!F146</f>
        <v>780212</v>
      </c>
      <c r="F146" s="148">
        <v>780246</v>
      </c>
      <c r="G146" s="112">
        <f t="shared" si="11"/>
        <v>34</v>
      </c>
      <c r="H146" s="99">
        <f>G146+'22'!H146</f>
        <v>-554</v>
      </c>
      <c r="I146" s="140"/>
      <c r="J146" s="328">
        <f>H146/DAY(B2)</f>
        <v>-24.086956521739129</v>
      </c>
    </row>
    <row r="147" spans="1:10" ht="30.75" customHeight="1">
      <c r="A147" s="872" t="s">
        <v>192</v>
      </c>
      <c r="B147" s="872"/>
      <c r="C147" s="872"/>
      <c r="D147" s="152" t="s">
        <v>183</v>
      </c>
      <c r="E147" s="95">
        <f>'22'!F147</f>
        <v>696232</v>
      </c>
      <c r="F147" s="148">
        <v>696589</v>
      </c>
      <c r="G147" s="112">
        <f t="shared" si="11"/>
        <v>357</v>
      </c>
      <c r="H147" s="99">
        <f>G147+'22'!H147</f>
        <v>-3180</v>
      </c>
      <c r="I147" s="140"/>
      <c r="J147" s="328">
        <f>H147/DAY(B2)</f>
        <v>-138.2608695652174</v>
      </c>
    </row>
    <row r="148" spans="1:10" ht="30.75" customHeight="1">
      <c r="A148" s="873" t="s">
        <v>193</v>
      </c>
      <c r="B148" s="874"/>
      <c r="C148" s="875"/>
      <c r="D148" s="123" t="s">
        <v>130</v>
      </c>
      <c r="E148" s="95">
        <f>'22'!F148</f>
        <v>745586</v>
      </c>
      <c r="F148" s="150">
        <v>745909</v>
      </c>
      <c r="G148" s="112">
        <f t="shared" si="11"/>
        <v>323</v>
      </c>
      <c r="H148" s="99">
        <f>G148+'22'!H148</f>
        <v>-2621</v>
      </c>
      <c r="I148" s="124"/>
      <c r="J148" s="328">
        <f>H148/DAY(B2)</f>
        <v>-113.95652173913044</v>
      </c>
    </row>
    <row r="149" spans="1:10" ht="30.75" customHeight="1">
      <c r="A149" s="873" t="s">
        <v>336</v>
      </c>
      <c r="B149" s="874"/>
      <c r="C149" s="875"/>
      <c r="D149" s="227" t="s">
        <v>130</v>
      </c>
      <c r="E149" s="95">
        <f>'22'!F149</f>
        <v>128168</v>
      </c>
      <c r="F149" s="227">
        <v>128649</v>
      </c>
      <c r="G149" s="112">
        <f t="shared" si="11"/>
        <v>481</v>
      </c>
      <c r="H149" s="99">
        <f>G149+'22'!H149</f>
        <v>-3785</v>
      </c>
      <c r="I149" s="119"/>
      <c r="J149" s="328">
        <f>H149/DAY(B2)</f>
        <v>-164.56521739130434</v>
      </c>
    </row>
    <row r="150" spans="1:10" ht="30.75" customHeight="1">
      <c r="A150" s="873" t="s">
        <v>337</v>
      </c>
      <c r="B150" s="874"/>
      <c r="C150" s="875"/>
      <c r="D150" s="117" t="s">
        <v>130</v>
      </c>
      <c r="E150" s="95">
        <f>'22'!F150</f>
        <v>48593</v>
      </c>
      <c r="F150" s="233">
        <v>48812</v>
      </c>
      <c r="G150" s="112">
        <f t="shared" si="11"/>
        <v>219</v>
      </c>
      <c r="H150" s="99">
        <f>G150+'22'!H150</f>
        <v>-1803</v>
      </c>
      <c r="I150" s="119"/>
      <c r="J150" s="328">
        <f>H150/DAY(B2)</f>
        <v>-78.391304347826093</v>
      </c>
    </row>
    <row r="151" spans="1:10" ht="30.75" customHeight="1">
      <c r="A151" s="873" t="s">
        <v>338</v>
      </c>
      <c r="B151" s="874"/>
      <c r="C151" s="875"/>
      <c r="D151" s="117" t="s">
        <v>130</v>
      </c>
      <c r="E151" s="95">
        <f>'22'!F151</f>
        <v>132702</v>
      </c>
      <c r="F151" s="233">
        <v>133017</v>
      </c>
      <c r="G151" s="112">
        <f t="shared" si="11"/>
        <v>315</v>
      </c>
      <c r="H151" s="99">
        <f>G151+'22'!H151</f>
        <v>-2432</v>
      </c>
      <c r="I151" s="119"/>
      <c r="J151" s="328">
        <f>H151/DAY(B2)</f>
        <v>-105.73913043478261</v>
      </c>
    </row>
    <row r="152" spans="1:10" ht="30.75" customHeight="1">
      <c r="A152" s="873" t="s">
        <v>339</v>
      </c>
      <c r="B152" s="874"/>
      <c r="C152" s="875"/>
      <c r="D152" s="117" t="s">
        <v>130</v>
      </c>
      <c r="E152" s="95">
        <f>'22'!F152</f>
        <v>22048</v>
      </c>
      <c r="F152" s="233">
        <v>22173</v>
      </c>
      <c r="G152" s="112">
        <f t="shared" si="11"/>
        <v>125</v>
      </c>
      <c r="H152" s="99">
        <f>G152+'22'!H152</f>
        <v>-981</v>
      </c>
      <c r="I152" s="119"/>
      <c r="J152" s="328">
        <f>H152/DAY(B2)</f>
        <v>-42.652173913043477</v>
      </c>
    </row>
    <row r="153" spans="1:10" ht="30.75" customHeight="1">
      <c r="A153" s="876" t="s">
        <v>196</v>
      </c>
      <c r="B153" s="877"/>
      <c r="C153" s="365"/>
      <c r="D153" s="358"/>
      <c r="E153" s="360"/>
      <c r="F153" s="361"/>
      <c r="G153" s="362">
        <f>SUM(G138:G152)</f>
        <v>2695</v>
      </c>
      <c r="H153" s="363"/>
      <c r="I153" s="119">
        <f>G153-(G38+G52)</f>
        <v>406</v>
      </c>
      <c r="J153" s="366"/>
    </row>
    <row r="154" spans="1:10" ht="30.75" customHeight="1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30.75" customHeight="1">
      <c r="A155" s="872" t="s">
        <v>345</v>
      </c>
      <c r="B155" s="872"/>
      <c r="C155" s="872"/>
      <c r="D155" s="117" t="s">
        <v>130</v>
      </c>
      <c r="E155" s="95">
        <f>'22'!F155</f>
        <v>142730</v>
      </c>
      <c r="F155" s="374">
        <v>143291</v>
      </c>
      <c r="G155" s="112">
        <f t="shared" ref="G155:G158" si="12">F155-E155</f>
        <v>561</v>
      </c>
      <c r="H155" s="99">
        <f>G155+'22'!H155</f>
        <v>-4858</v>
      </c>
      <c r="I155" s="364"/>
      <c r="J155" s="161">
        <v>329</v>
      </c>
    </row>
    <row r="156" spans="1:10" ht="30.75" customHeight="1">
      <c r="A156" s="872" t="s">
        <v>347</v>
      </c>
      <c r="B156" s="872"/>
      <c r="C156" s="872"/>
      <c r="D156" s="117" t="s">
        <v>130</v>
      </c>
      <c r="E156" s="95">
        <f>'22'!F156</f>
        <v>13910</v>
      </c>
      <c r="F156" s="374">
        <v>13987</v>
      </c>
      <c r="G156" s="112">
        <f t="shared" si="12"/>
        <v>77</v>
      </c>
      <c r="H156" s="99">
        <f>G156+'22'!H156</f>
        <v>-747</v>
      </c>
      <c r="I156" s="165"/>
      <c r="J156" s="328">
        <f>H156/DAY(B2)</f>
        <v>-32.478260869565219</v>
      </c>
    </row>
    <row r="157" spans="1:10" ht="30.75" customHeight="1">
      <c r="A157" s="873" t="s">
        <v>360</v>
      </c>
      <c r="B157" s="874"/>
      <c r="C157" s="875"/>
      <c r="D157" s="117" t="s">
        <v>130</v>
      </c>
      <c r="E157" s="95">
        <f>'22'!F157</f>
        <v>26242</v>
      </c>
      <c r="F157" s="95">
        <v>26336</v>
      </c>
      <c r="G157" s="112">
        <f t="shared" si="12"/>
        <v>94</v>
      </c>
      <c r="H157" s="99">
        <f>G157+'22'!H157</f>
        <v>475.54000000000087</v>
      </c>
      <c r="I157" s="165"/>
      <c r="J157" s="328">
        <f>H157/DAY(B2)</f>
        <v>20.675652173913083</v>
      </c>
    </row>
    <row r="158" spans="1:10" ht="30.75" customHeight="1">
      <c r="A158" s="873" t="s">
        <v>361</v>
      </c>
      <c r="B158" s="874"/>
      <c r="C158" s="875"/>
      <c r="D158" s="117" t="s">
        <v>130</v>
      </c>
      <c r="E158" s="95">
        <f>'22'!F158</f>
        <v>230.62</v>
      </c>
      <c r="F158" s="95">
        <v>230.92</v>
      </c>
      <c r="G158" s="112">
        <f t="shared" si="12"/>
        <v>0.29999999999998295</v>
      </c>
      <c r="H158" s="99">
        <f>G158+'22'!H158</f>
        <v>2.2199999999999989</v>
      </c>
      <c r="I158" s="165"/>
      <c r="J158" s="328">
        <f>H158/DAY(B2)</f>
        <v>9.6521739130434728E-2</v>
      </c>
    </row>
    <row r="159" spans="1:10" ht="30.75" customHeight="1">
      <c r="A159" s="958"/>
      <c r="B159" s="959"/>
      <c r="C159" s="960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479632</v>
      </c>
      <c r="F161" s="235">
        <v>479702</v>
      </c>
      <c r="G161" s="238">
        <f t="shared" ref="G161:G165" si="13">F161-E161</f>
        <v>70</v>
      </c>
      <c r="H161" s="99">
        <f>G161+'22'!H161</f>
        <v>519.71999999997206</v>
      </c>
      <c r="I161" s="236"/>
      <c r="J161" s="239">
        <f>H161/DAY(B2)</f>
        <v>22.596521739129219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94612</v>
      </c>
      <c r="F162" s="235">
        <v>94643</v>
      </c>
      <c r="G162" s="238">
        <f t="shared" si="13"/>
        <v>31</v>
      </c>
      <c r="H162" s="99">
        <f>G162+'22'!H162</f>
        <v>-285</v>
      </c>
      <c r="I162" s="236"/>
      <c r="J162" s="239">
        <f>H162/DAY(B2)</f>
        <v>-12.391304347826088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5293</v>
      </c>
      <c r="F163" s="235">
        <v>5441</v>
      </c>
      <c r="G163" s="238">
        <f t="shared" si="13"/>
        <v>148</v>
      </c>
      <c r="H163" s="99">
        <f>G163+'22'!H163</f>
        <v>-1060</v>
      </c>
      <c r="I163" s="236"/>
      <c r="J163" s="239">
        <f>H163/DAY(B2)</f>
        <v>-46.086956521739133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6168</v>
      </c>
      <c r="F164" s="235">
        <v>6172</v>
      </c>
      <c r="G164" s="238">
        <f t="shared" si="13"/>
        <v>4</v>
      </c>
      <c r="H164" s="99">
        <f>G164+'22'!H164</f>
        <v>-108</v>
      </c>
      <c r="I164" s="236"/>
      <c r="J164" s="239">
        <f>H164/DAY(B2)</f>
        <v>-4.6956521739130439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31556</v>
      </c>
      <c r="F165" s="235">
        <v>31565</v>
      </c>
      <c r="G165" s="238">
        <f t="shared" si="13"/>
        <v>9</v>
      </c>
      <c r="H165" s="99">
        <f>G165+'22'!H165</f>
        <v>-69</v>
      </c>
      <c r="I165" s="236"/>
      <c r="J165" s="239">
        <f>H165/DAY(B2)</f>
        <v>-3</v>
      </c>
    </row>
    <row r="166" spans="1:10" ht="30.75" customHeight="1">
      <c r="A166" s="881"/>
      <c r="B166" s="881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881"/>
      <c r="B167" s="881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881"/>
      <c r="B168" s="881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30.75" customHeight="1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87" t="s">
        <v>209</v>
      </c>
      <c r="B173" s="888"/>
      <c r="C173" s="333"/>
      <c r="D173" s="228" t="s">
        <v>142</v>
      </c>
      <c r="E173" s="95">
        <v>8229</v>
      </c>
      <c r="F173" s="155">
        <v>8229</v>
      </c>
      <c r="G173" s="155">
        <f>F173-E173</f>
        <v>0</v>
      </c>
      <c r="H173" s="99">
        <f>G173+'22'!H173</f>
        <v>41</v>
      </c>
      <c r="I173" s="155"/>
      <c r="J173" s="178">
        <f>H173/DAY(B2)</f>
        <v>1.7826086956521738</v>
      </c>
    </row>
    <row r="174" spans="1:10" ht="30.75" customHeight="1">
      <c r="A174" s="887" t="s">
        <v>75</v>
      </c>
      <c r="B174" s="888"/>
      <c r="C174" s="333"/>
      <c r="D174" s="228" t="s">
        <v>142</v>
      </c>
      <c r="E174" s="95">
        <f>'22'!F174</f>
        <v>41078</v>
      </c>
      <c r="F174" s="157">
        <v>41092</v>
      </c>
      <c r="G174" s="155">
        <f t="shared" ref="G174:G175" si="14">F174-E174</f>
        <v>14</v>
      </c>
      <c r="H174" s="99">
        <f>G174+'22'!H174</f>
        <v>-112</v>
      </c>
      <c r="I174" s="155"/>
      <c r="J174" s="178">
        <f>H174/DAY(B2)</f>
        <v>-4.8695652173913047</v>
      </c>
    </row>
    <row r="175" spans="1:10" ht="30.75" customHeight="1">
      <c r="A175" s="887" t="s">
        <v>76</v>
      </c>
      <c r="B175" s="927"/>
      <c r="C175" s="888"/>
      <c r="D175" s="228" t="s">
        <v>142</v>
      </c>
      <c r="E175" s="95">
        <f>'22'!F175</f>
        <v>23928</v>
      </c>
      <c r="F175" s="155">
        <v>23938</v>
      </c>
      <c r="G175" s="155">
        <f t="shared" si="14"/>
        <v>10</v>
      </c>
      <c r="H175" s="99">
        <f>G175+'22'!H175</f>
        <v>-93</v>
      </c>
      <c r="I175" s="155"/>
      <c r="J175" s="178">
        <f>H175/DAY(B2)</f>
        <v>-4.0434782608695654</v>
      </c>
    </row>
    <row r="176" spans="1:10" ht="30.75" customHeight="1">
      <c r="A176" s="876" t="s">
        <v>196</v>
      </c>
      <c r="B176" s="877"/>
      <c r="C176" s="401"/>
      <c r="D176" s="228"/>
      <c r="E176" s="95"/>
      <c r="F176" s="155"/>
      <c r="G176" s="155">
        <f>SUM(G173:G175)</f>
        <v>24</v>
      </c>
      <c r="H176" s="99">
        <f>G176+'22'!H176</f>
        <v>-164</v>
      </c>
      <c r="I176" s="155"/>
      <c r="J176" s="178">
        <f>H176/DAY(B2)</f>
        <v>-7.1304347826086953</v>
      </c>
    </row>
    <row r="177" spans="1:10" ht="30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87" t="s">
        <v>210</v>
      </c>
      <c r="B178" s="888"/>
      <c r="C178" s="333"/>
      <c r="D178" s="228" t="s">
        <v>142</v>
      </c>
      <c r="E178" s="95">
        <f>'22'!F178</f>
        <v>96798</v>
      </c>
      <c r="F178" s="155">
        <v>96958</v>
      </c>
      <c r="G178" s="155">
        <f>F178-E178</f>
        <v>160</v>
      </c>
      <c r="H178" s="99">
        <f>G178+'22'!H178</f>
        <v>-755</v>
      </c>
      <c r="I178" s="155"/>
      <c r="J178" s="178">
        <f>H178/DAY(B2)</f>
        <v>-32.826086956521742</v>
      </c>
    </row>
    <row r="179" spans="1:10" ht="30.75" customHeight="1">
      <c r="A179" s="887" t="s">
        <v>211</v>
      </c>
      <c r="B179" s="888"/>
      <c r="C179" s="333"/>
      <c r="D179" s="228" t="s">
        <v>142</v>
      </c>
      <c r="E179" s="95">
        <f>'22'!F179</f>
        <v>36002</v>
      </c>
      <c r="F179" s="155">
        <v>36002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887" t="s">
        <v>212</v>
      </c>
      <c r="B180" s="888"/>
      <c r="C180" s="333"/>
      <c r="D180" s="228" t="s">
        <v>142</v>
      </c>
      <c r="E180" s="95">
        <f>'22'!F180</f>
        <v>7071</v>
      </c>
      <c r="F180" s="155">
        <v>7087</v>
      </c>
      <c r="G180" s="155">
        <f t="shared" si="15"/>
        <v>16</v>
      </c>
      <c r="H180" s="99">
        <f>G180+'22'!H180</f>
        <v>-82</v>
      </c>
      <c r="I180" s="155"/>
      <c r="J180" s="178">
        <f>H180/DAY(B2)</f>
        <v>-3.5652173913043477</v>
      </c>
    </row>
    <row r="181" spans="1:10" ht="30.75" customHeight="1">
      <c r="A181" s="889" t="s">
        <v>108</v>
      </c>
      <c r="B181" s="890"/>
      <c r="C181" s="401"/>
      <c r="D181" s="228"/>
      <c r="E181" s="95"/>
      <c r="F181" s="155"/>
      <c r="G181" s="155">
        <f>SUM(G178:G180)</f>
        <v>176</v>
      </c>
      <c r="H181" s="99">
        <f>G181+'22'!H181</f>
        <v>-837</v>
      </c>
      <c r="I181" s="155"/>
      <c r="J181" s="178">
        <f>H181/DAY(B2)</f>
        <v>-36.391304347826086</v>
      </c>
    </row>
    <row r="182" spans="1:10" ht="30.75" customHeight="1">
      <c r="A182" s="887" t="s">
        <v>213</v>
      </c>
      <c r="B182" s="888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87" t="s">
        <v>214</v>
      </c>
      <c r="B183" s="888"/>
      <c r="C183" s="334"/>
      <c r="D183" s="228" t="s">
        <v>142</v>
      </c>
      <c r="E183" s="95">
        <f>'22'!F183</f>
        <v>17415</v>
      </c>
      <c r="F183" s="157">
        <v>17420</v>
      </c>
      <c r="G183" s="157">
        <f>F183-E183</f>
        <v>5</v>
      </c>
      <c r="H183" s="99">
        <f>G183+'22'!H183</f>
        <v>-53</v>
      </c>
      <c r="I183" s="155"/>
      <c r="J183" s="178">
        <f>H183/DAY(B2)</f>
        <v>-2.3043478260869565</v>
      </c>
    </row>
    <row r="184" spans="1:10" ht="30.75" customHeight="1">
      <c r="A184" s="887" t="s">
        <v>215</v>
      </c>
      <c r="B184" s="888"/>
      <c r="C184" s="334"/>
      <c r="D184" s="228" t="s">
        <v>142</v>
      </c>
      <c r="E184" s="95">
        <f>'22'!F184</f>
        <v>11855</v>
      </c>
      <c r="F184" s="157">
        <v>11866</v>
      </c>
      <c r="G184" s="157">
        <f t="shared" ref="G184:G185" si="16">F184-E184</f>
        <v>11</v>
      </c>
      <c r="H184" s="99">
        <f>G184+'22'!H184</f>
        <v>-69</v>
      </c>
      <c r="I184" s="155"/>
      <c r="J184" s="178">
        <f>H184/DAY(B2)</f>
        <v>-3</v>
      </c>
    </row>
    <row r="185" spans="1:10" ht="30.75" customHeight="1">
      <c r="A185" s="887" t="s">
        <v>216</v>
      </c>
      <c r="B185" s="888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876" t="s">
        <v>196</v>
      </c>
      <c r="B186" s="877"/>
      <c r="C186" s="400"/>
      <c r="D186" s="229"/>
      <c r="E186" s="95"/>
      <c r="F186" s="157"/>
      <c r="G186" s="157">
        <f>SUM(G183:G185)</f>
        <v>16</v>
      </c>
      <c r="H186" s="99">
        <f>G186+'22'!H186</f>
        <v>-122</v>
      </c>
      <c r="I186" s="157"/>
      <c r="J186" s="178">
        <f>H186/DAY(B2)</f>
        <v>-5.3043478260869561</v>
      </c>
    </row>
    <row r="187" spans="1:10" ht="30.75" customHeight="1">
      <c r="A187" s="878" t="s">
        <v>217</v>
      </c>
      <c r="B187" s="879"/>
      <c r="C187" s="333"/>
      <c r="D187" s="230" t="s">
        <v>142</v>
      </c>
      <c r="E187" s="95"/>
      <c r="F187" s="159"/>
      <c r="G187" s="378">
        <f>G62+G19</f>
        <v>149</v>
      </c>
      <c r="H187" s="99">
        <f>G187+'22'!H187</f>
        <v>-1355</v>
      </c>
      <c r="I187" s="158"/>
      <c r="J187" s="179">
        <f>H187/DAY(B2)</f>
        <v>-58.913043478260867</v>
      </c>
    </row>
    <row r="188" spans="1:10" ht="30.75" customHeight="1">
      <c r="A188" s="878" t="s">
        <v>218</v>
      </c>
      <c r="B188" s="879"/>
      <c r="C188" s="333"/>
      <c r="D188" s="230" t="s">
        <v>142</v>
      </c>
      <c r="E188" s="95"/>
      <c r="F188" s="159"/>
      <c r="G188" s="378">
        <f>G65+G66+G67+G69+G70</f>
        <v>139</v>
      </c>
      <c r="H188" s="99">
        <f>G188+'22'!H188</f>
        <v>1435</v>
      </c>
      <c r="I188" s="158"/>
      <c r="J188" s="179">
        <f>H188/DAY(B2)</f>
        <v>62.391304347826086</v>
      </c>
    </row>
    <row r="189" spans="1:10" ht="30.75" customHeight="1">
      <c r="A189" s="878" t="s">
        <v>219</v>
      </c>
      <c r="B189" s="879"/>
      <c r="C189" s="333"/>
      <c r="D189" s="230" t="s">
        <v>142</v>
      </c>
      <c r="E189" s="95"/>
      <c r="F189" s="157"/>
      <c r="G189" s="377">
        <f>G181</f>
        <v>176</v>
      </c>
      <c r="H189" s="99">
        <f>G189+'22'!H189</f>
        <v>472</v>
      </c>
      <c r="I189" s="158"/>
      <c r="J189" s="179">
        <f>H189/DAY(B2)</f>
        <v>20.521739130434781</v>
      </c>
    </row>
    <row r="190" spans="1:10" ht="30.75" customHeight="1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55" zoomScaleNormal="44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354</v>
      </c>
      <c r="B2" s="262">
        <v>44766</v>
      </c>
      <c r="C2" s="348" t="s">
        <v>67</v>
      </c>
      <c r="D2" s="218">
        <v>0.43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133947</v>
      </c>
      <c r="F7" s="95">
        <f>E7+26200</f>
        <v>160147</v>
      </c>
      <c r="G7" s="112">
        <f>F7-E7</f>
        <v>26200</v>
      </c>
      <c r="H7" s="99">
        <f>G7+'23'!H7</f>
        <v>626558.9</v>
      </c>
      <c r="I7" s="113">
        <f>'1'!I7</f>
        <v>12000</v>
      </c>
      <c r="J7" s="175">
        <f>H7/DAY(B2)</f>
        <v>26106.620833333334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281844.40000000002</v>
      </c>
      <c r="F8" s="95">
        <f>E8+26500</f>
        <v>308344.40000000002</v>
      </c>
      <c r="G8" s="115">
        <f>F8-E8</f>
        <v>26500</v>
      </c>
      <c r="H8" s="99">
        <f>G8+'23'!H8</f>
        <v>635266</v>
      </c>
      <c r="I8" s="116"/>
      <c r="J8" s="175">
        <f>H8/DAY(B2)</f>
        <v>26469.416666666668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3231701</v>
      </c>
      <c r="F9" s="469">
        <v>3238965.9</v>
      </c>
      <c r="G9" s="112">
        <f>F9-E9</f>
        <v>7264.8999999999069</v>
      </c>
      <c r="H9" s="99">
        <f>G9+'23'!H9</f>
        <v>-40100.100000000093</v>
      </c>
      <c r="I9" s="124">
        <f>I7-J7</f>
        <v>-14106.620833333334</v>
      </c>
      <c r="J9" s="175">
        <f>H9/DAY(B2)</f>
        <v>-1670.837500000004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1515405</v>
      </c>
      <c r="F10" s="353">
        <v>1533943.9</v>
      </c>
      <c r="G10" s="112">
        <f t="shared" ref="G10:G12" si="0">F10-E10</f>
        <v>18538.899999999907</v>
      </c>
      <c r="H10" s="99">
        <f>G10+'23'!H10</f>
        <v>-133214.10000000009</v>
      </c>
      <c r="I10" s="282"/>
      <c r="J10" s="175">
        <f>H10/DAY(B2)</f>
        <v>-5550.5875000000042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25803.799999999814</v>
      </c>
      <c r="H13" s="99">
        <f>G13+'23'!H13</f>
        <v>-171979.60000000033</v>
      </c>
      <c r="I13" s="120">
        <f>G7-G13</f>
        <v>396.20000000018626</v>
      </c>
      <c r="J13" s="175">
        <f>H13/DAY(B2)</f>
        <v>-7165.8166666666802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2124008</v>
      </c>
      <c r="F15" s="469">
        <f>E15+1000</f>
        <v>2125008</v>
      </c>
      <c r="G15" s="112">
        <f>(F15-E15)</f>
        <v>1000</v>
      </c>
      <c r="H15" s="99">
        <f>G15+'23'!H15</f>
        <v>24140</v>
      </c>
      <c r="I15" s="113">
        <f>'1'!I15</f>
        <v>800</v>
      </c>
      <c r="J15" s="175">
        <f>H15/DAY(B2)</f>
        <v>1005.8333333333334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-205.83333333333337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'23'!F18</f>
        <v>19</v>
      </c>
      <c r="F18" s="122">
        <v>15</v>
      </c>
      <c r="G18" s="119">
        <f>F18*10</f>
        <v>150</v>
      </c>
      <c r="H18" s="99">
        <f>G18+'23'!H18</f>
        <v>4420</v>
      </c>
      <c r="I18" s="113">
        <f>'1'!I18</f>
        <v>65</v>
      </c>
      <c r="J18" s="175">
        <f>H18/DAY(B2)</f>
        <v>184.16666666666666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'23'!F19</f>
        <v>161933</v>
      </c>
      <c r="F19" s="122">
        <v>161980</v>
      </c>
      <c r="G19" s="112">
        <f t="shared" ref="G19" si="1">F19-E19</f>
        <v>47</v>
      </c>
      <c r="H19" s="99">
        <f>G19+'23'!H19</f>
        <v>-349</v>
      </c>
      <c r="I19" s="335"/>
      <c r="J19" s="175">
        <f>H19/DAY(B2)</f>
        <v>-14.541666666666666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197</v>
      </c>
      <c r="H20" s="99">
        <f>G20+'23'!H20</f>
        <v>4071</v>
      </c>
      <c r="I20" s="336">
        <f>I18-J20</f>
        <v>-104.625</v>
      </c>
      <c r="J20" s="175">
        <f>H20/DAY(B2)</f>
        <v>169.625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G27+'23'!H27</f>
        <v>5717394</v>
      </c>
      <c r="I27" s="138"/>
      <c r="J27" s="175">
        <f>H27/DAY(B2)</f>
        <v>238224.75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G28+'23'!H28</f>
        <v>1689800</v>
      </c>
      <c r="I28" s="140"/>
      <c r="J28" s="175">
        <f>H28/DAY(B2)</f>
        <v>70408.333333333328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G30+'23'!H30</f>
        <v>-52699</v>
      </c>
      <c r="I30" s="140"/>
      <c r="J30" s="175">
        <f>H30/DAY(B2)</f>
        <v>-2195.7916666666665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G31+'23'!H31</f>
        <v>353600</v>
      </c>
      <c r="I31" s="140"/>
      <c r="J31" s="175">
        <f>H31/DAY(B2)</f>
        <v>14733.333333333334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327597</v>
      </c>
      <c r="H32" s="99">
        <f>G32+'23'!H32</f>
        <v>7708095</v>
      </c>
      <c r="I32" s="144"/>
      <c r="J32" s="175">
        <f>H32/DAY(B2)</f>
        <v>321170.625</v>
      </c>
      <c r="K32" s="63"/>
      <c r="L32" s="89"/>
      <c r="N32" s="87"/>
      <c r="O32" s="71"/>
    </row>
    <row r="33" spans="1:15" ht="25.5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238713</v>
      </c>
      <c r="F35" s="145">
        <v>238713</v>
      </c>
      <c r="G35" s="112">
        <f t="shared" ref="G35:G46" si="3">F35-E35</f>
        <v>0</v>
      </c>
      <c r="H35" s="99">
        <f>G35+'23'!H35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208266</v>
      </c>
      <c r="F36" s="145">
        <v>209215.37</v>
      </c>
      <c r="G36" s="112">
        <f t="shared" si="3"/>
        <v>949.36999999999534</v>
      </c>
      <c r="H36" s="99">
        <f>G36+'23'!H36</f>
        <v>-6314.6300000000047</v>
      </c>
      <c r="I36" s="95"/>
      <c r="J36" s="175">
        <f>H36/DAY(B2)</f>
        <v>-263.10958333333355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322725</v>
      </c>
      <c r="F37" s="145">
        <v>322998.69</v>
      </c>
      <c r="G37" s="112">
        <f t="shared" si="3"/>
        <v>273.69000000000233</v>
      </c>
      <c r="H37" s="99">
        <f>G37+'23'!H37</f>
        <v>-0.30999999999767169</v>
      </c>
      <c r="I37" s="95"/>
      <c r="J37" s="175">
        <f>H37/DAY(B2)</f>
        <v>-1.2916666666569654E-2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439360</v>
      </c>
      <c r="F38" s="108">
        <v>441540.31</v>
      </c>
      <c r="G38" s="112">
        <f t="shared" si="3"/>
        <v>2180.3099999999977</v>
      </c>
      <c r="H38" s="99">
        <f>G38+'23'!H38</f>
        <v>-15820.690000000002</v>
      </c>
      <c r="I38" s="95"/>
      <c r="J38" s="175">
        <f>H38/DAY(B2)</f>
        <v>-659.1954166666668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590987</v>
      </c>
      <c r="F39" s="145">
        <v>591584.18999999994</v>
      </c>
      <c r="G39" s="112">
        <f t="shared" si="3"/>
        <v>597.18999999994412</v>
      </c>
      <c r="H39" s="99">
        <f>G39+'23'!H39</f>
        <v>0.18999999994412065</v>
      </c>
      <c r="I39" s="95"/>
      <c r="J39" s="175">
        <f>H39/DAY(B2)</f>
        <v>7.9166666643383597E-3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100008</v>
      </c>
      <c r="F40" s="145">
        <v>100876.21</v>
      </c>
      <c r="G40" s="112">
        <f t="shared" si="3"/>
        <v>868.2100000000064</v>
      </c>
      <c r="H40" s="99">
        <f>G40+'23'!H40</f>
        <v>-5899.7899999999936</v>
      </c>
      <c r="I40" s="95"/>
      <c r="J40" s="175">
        <f>H40/DAY(B2)</f>
        <v>-245.82458333333307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196381</v>
      </c>
      <c r="F41" s="145">
        <v>196381.17</v>
      </c>
      <c r="G41" s="112">
        <f t="shared" si="3"/>
        <v>0.17000000001280569</v>
      </c>
      <c r="H41" s="99">
        <f>G41+'23'!H41</f>
        <v>-15321.829999999987</v>
      </c>
      <c r="I41" s="95"/>
      <c r="J41" s="175">
        <f>H41/DAY(B2)</f>
        <v>-638.40958333333276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741988</v>
      </c>
      <c r="F42" s="145">
        <v>745068.63</v>
      </c>
      <c r="G42" s="112">
        <f t="shared" si="3"/>
        <v>3080.6300000000047</v>
      </c>
      <c r="H42" s="99">
        <f>G42+'23'!H42</f>
        <v>-3295.3699999999953</v>
      </c>
      <c r="I42" s="95"/>
      <c r="J42" s="175">
        <f>H42/DAY(B2)</f>
        <v>-137.30708333333314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3.0000000027939677E-2</v>
      </c>
      <c r="I43" s="95"/>
      <c r="J43" s="175">
        <f>H43/DAY(B2)</f>
        <v>1.2500000011641532E-3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7949.5699999999633</v>
      </c>
      <c r="H47" s="99">
        <f>G47+'23'!H47</f>
        <v>-46652.400000000023</v>
      </c>
      <c r="I47" s="95"/>
      <c r="J47" s="175">
        <f>H47/DAY(B2)</f>
        <v>-1943.850000000001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450094</v>
      </c>
      <c r="F49" s="145">
        <v>453872.35</v>
      </c>
      <c r="G49" s="112">
        <f t="shared" ref="G49:G58" si="4">F49-E49</f>
        <v>3778.3499999999767</v>
      </c>
      <c r="H49" s="99">
        <f>G49+'23'!H49</f>
        <v>-31181.650000000023</v>
      </c>
      <c r="I49" s="95"/>
      <c r="J49" s="175">
        <f>H49/DAY(B2)</f>
        <v>-1299.2354166666676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272462</v>
      </c>
      <c r="F50" s="145">
        <v>274236.13</v>
      </c>
      <c r="G50" s="112">
        <f t="shared" si="4"/>
        <v>1774.1300000000047</v>
      </c>
      <c r="H50" s="99">
        <f>G50+'23'!H50</f>
        <v>237789.13</v>
      </c>
      <c r="I50" s="95"/>
      <c r="J50" s="175">
        <f>H50/DAY(B2)</f>
        <v>9907.8804166666669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76</v>
      </c>
      <c r="F51" s="145">
        <v>924.88</v>
      </c>
      <c r="G51" s="112">
        <f t="shared" si="4"/>
        <v>848.88</v>
      </c>
      <c r="H51" s="99">
        <f>G51+'23'!H51</f>
        <v>-7583.12</v>
      </c>
      <c r="I51" s="95"/>
      <c r="J51" s="175">
        <f>H51/DAY(B2)</f>
        <v>-315.96333333333331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10</v>
      </c>
      <c r="F52" s="145">
        <v>10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3439.39</v>
      </c>
      <c r="G53" s="112">
        <f t="shared" si="4"/>
        <v>3439.39</v>
      </c>
      <c r="H53" s="99">
        <f>G53+'23'!H53</f>
        <v>-30421.61</v>
      </c>
      <c r="I53" s="95"/>
      <c r="J53" s="175">
        <f>H53/DAY(B2)</f>
        <v>-1267.5670833333334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85147</v>
      </c>
      <c r="F54" s="145">
        <v>85507.9</v>
      </c>
      <c r="G54" s="112">
        <f t="shared" si="4"/>
        <v>360.89999999999418</v>
      </c>
      <c r="H54" s="99">
        <f>G54+'23'!H54</f>
        <v>-2435.1000000000058</v>
      </c>
      <c r="I54" s="95"/>
      <c r="J54" s="175">
        <f>H54/DAY(B2)</f>
        <v>-101.46250000000025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336843</v>
      </c>
      <c r="F55" s="145">
        <v>340454.87</v>
      </c>
      <c r="G55" s="112">
        <f t="shared" si="4"/>
        <v>3611.8699999999953</v>
      </c>
      <c r="H55" s="99">
        <f>G55+'23'!H55</f>
        <v>-22322.130000000005</v>
      </c>
      <c r="I55" s="95"/>
      <c r="J55" s="175">
        <f>H55/DAY(B2)</f>
        <v>-930.08875000000023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122561</v>
      </c>
      <c r="F56" s="145">
        <v>122561.27</v>
      </c>
      <c r="G56" s="112">
        <f t="shared" si="4"/>
        <v>0.27000000000407454</v>
      </c>
      <c r="H56" s="99">
        <f>G56+'23'!H56</f>
        <v>-1320.7299999999959</v>
      </c>
      <c r="I56" s="95"/>
      <c r="J56" s="175">
        <f>H56/DAY(B2)</f>
        <v>-55.030416666666497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202425</v>
      </c>
      <c r="F57" s="145">
        <v>205512.11</v>
      </c>
      <c r="G57" s="112">
        <f t="shared" si="4"/>
        <v>3087.109999999986</v>
      </c>
      <c r="H57" s="99">
        <f>G57+'23'!H57</f>
        <v>-20657.890000000014</v>
      </c>
      <c r="I57" s="95"/>
      <c r="J57" s="175">
        <f>H57/DAY(B2)</f>
        <v>-860.74541666666721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46871</v>
      </c>
      <c r="F58" s="145">
        <v>47128.71</v>
      </c>
      <c r="G58" s="112">
        <f t="shared" si="4"/>
        <v>257.70999999999913</v>
      </c>
      <c r="H58" s="99">
        <f>G58+'23'!H58</f>
        <v>-1980.2900000000009</v>
      </c>
      <c r="I58" s="95"/>
      <c r="J58" s="175">
        <f>H58/DAY(B2)</f>
        <v>-82.512083333333365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17158.609999999961</v>
      </c>
      <c r="H59" s="99">
        <f>G59+'23'!H59</f>
        <v>-126416.38999999998</v>
      </c>
      <c r="I59" s="95">
        <f>G7-G60</f>
        <v>1091.8200000000761</v>
      </c>
      <c r="J59" s="175">
        <f>H59/DAY(B2)</f>
        <v>-5267.3495833333327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25108.179999999924</v>
      </c>
      <c r="H60" s="99">
        <f>G60+'23'!H60</f>
        <v>-173068.79000000007</v>
      </c>
      <c r="I60" s="95">
        <f>G13-G60</f>
        <v>695.61999999988984</v>
      </c>
      <c r="J60" s="175">
        <f>H60/DAY(B2)</f>
        <v>-7211.1995833333358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'23'!F62</f>
        <v>295316</v>
      </c>
      <c r="F62" s="122">
        <v>295430</v>
      </c>
      <c r="G62" s="112">
        <f t="shared" ref="G62:G63" si="5">F62-E62</f>
        <v>114</v>
      </c>
      <c r="H62" s="99">
        <f>G62+'23'!H62</f>
        <v>-845</v>
      </c>
      <c r="I62" s="118"/>
      <c r="J62" s="175">
        <f>H62/DAY(B2)</f>
        <v>-35.208333333333336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'23'!F63</f>
        <v>237907</v>
      </c>
      <c r="F63" s="122">
        <v>238092</v>
      </c>
      <c r="G63" s="112">
        <f t="shared" si="5"/>
        <v>185</v>
      </c>
      <c r="H63" s="99">
        <f>G63+'23'!H63</f>
        <v>-1041</v>
      </c>
      <c r="I63" s="118"/>
      <c r="J63" s="175">
        <f>H63/DAY(B2)</f>
        <v>-43.375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'23'!F64</f>
        <v>0</v>
      </c>
      <c r="F64" s="122"/>
      <c r="G64" s="112">
        <f>G62+G63</f>
        <v>299</v>
      </c>
      <c r="H64" s="99">
        <f>G64+'23'!H64</f>
        <v>-1886</v>
      </c>
      <c r="I64" s="118"/>
      <c r="J64" s="175">
        <f>H64/DAY(B2)</f>
        <v>-78.583333333333329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'23'!F65</f>
        <v>453849</v>
      </c>
      <c r="F65" s="122">
        <v>453957</v>
      </c>
      <c r="G65" s="112">
        <f t="shared" ref="G65:G70" si="6">F65-E65</f>
        <v>108</v>
      </c>
      <c r="H65" s="99">
        <f>G65+'23'!H65</f>
        <v>-753</v>
      </c>
      <c r="I65" s="118"/>
      <c r="J65" s="175">
        <f>H65/DAY(B2)</f>
        <v>-31.375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111521</v>
      </c>
      <c r="F66" s="122">
        <v>111548</v>
      </c>
      <c r="G66" s="112">
        <f t="shared" si="6"/>
        <v>27</v>
      </c>
      <c r="H66" s="99">
        <f>G66+'23'!H66</f>
        <v>-174</v>
      </c>
      <c r="I66" s="118"/>
      <c r="J66" s="175">
        <f>H66/DAY(B2)</f>
        <v>-7.25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113681</v>
      </c>
      <c r="F67" s="122">
        <v>113681</v>
      </c>
      <c r="G67" s="112">
        <f t="shared" si="6"/>
        <v>0</v>
      </c>
      <c r="H67" s="99">
        <f>G67+'23'!H67</f>
        <v>1</v>
      </c>
      <c r="I67" s="118"/>
      <c r="J67" s="175">
        <f>H67/DAY(B2)</f>
        <v>4.1666666666666664E-2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164514</v>
      </c>
      <c r="F68" s="122">
        <v>164554</v>
      </c>
      <c r="G68" s="112">
        <f t="shared" si="6"/>
        <v>40</v>
      </c>
      <c r="H68" s="99">
        <f>G68+'23'!H68</f>
        <v>-108</v>
      </c>
      <c r="I68" s="118"/>
      <c r="J68" s="175">
        <f>H68/DAY(B2)</f>
        <v>-4.5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12234</v>
      </c>
      <c r="F69" s="122">
        <v>12238</v>
      </c>
      <c r="G69" s="112">
        <f t="shared" si="6"/>
        <v>4</v>
      </c>
      <c r="H69" s="99">
        <f>G69+'23'!H69</f>
        <v>-37</v>
      </c>
      <c r="I69" s="118"/>
      <c r="J69" s="175">
        <f>H69/DAY(B2)</f>
        <v>-1.5416666666666667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9738</v>
      </c>
      <c r="F70" s="122">
        <v>9747</v>
      </c>
      <c r="G70" s="112">
        <f t="shared" si="6"/>
        <v>9</v>
      </c>
      <c r="H70" s="99">
        <f>G70+'23'!H70</f>
        <v>-80</v>
      </c>
      <c r="I70" s="118"/>
      <c r="J70" s="175">
        <f>H70/DAY(B2)</f>
        <v>-3.3333333333333335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188</v>
      </c>
      <c r="H71" s="99">
        <f>G71+'23'!H71</f>
        <v>-1151</v>
      </c>
      <c r="I71" s="154"/>
      <c r="J71" s="175">
        <f>H71/DAY(B2)</f>
        <v>-47.958333333333336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'23'!F74</f>
        <v>955104</v>
      </c>
      <c r="F74" s="117">
        <v>955435.49</v>
      </c>
      <c r="G74" s="112">
        <f t="shared" ref="G74:G78" si="7">F74-E74</f>
        <v>331.48999999999069</v>
      </c>
      <c r="H74" s="99">
        <f>G74+'23'!H74</f>
        <v>-2222.3699999999953</v>
      </c>
      <c r="I74" s="154"/>
      <c r="J74" s="175">
        <f>H74/DAY(B2)</f>
        <v>-92.598749999999811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'23'!F76</f>
        <v>189336</v>
      </c>
      <c r="F76" s="123">
        <v>189433</v>
      </c>
      <c r="G76" s="112">
        <f t="shared" si="7"/>
        <v>97</v>
      </c>
      <c r="H76" s="99">
        <f>G76+'23'!H76</f>
        <v>-739</v>
      </c>
      <c r="I76" s="154"/>
      <c r="J76" s="175">
        <f>H76/DAY(B2)</f>
        <v>-30.791666666666668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'23'!F77</f>
        <v>49904</v>
      </c>
      <c r="F77" s="123">
        <v>49961.8</v>
      </c>
      <c r="G77" s="112">
        <f t="shared" si="7"/>
        <v>57.80000000000291</v>
      </c>
      <c r="H77" s="99">
        <f>G77+'23'!H77</f>
        <v>-351.19999999999709</v>
      </c>
      <c r="I77" s="154"/>
      <c r="J77" s="175">
        <f>H77/DAY(B2)</f>
        <v>-14.633333333333212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v>9563</v>
      </c>
      <c r="F78" s="123">
        <v>9563</v>
      </c>
      <c r="G78" s="112">
        <f t="shared" si="7"/>
        <v>0</v>
      </c>
      <c r="H78" s="99">
        <f>G78+'23'!H78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'23'!F79</f>
        <v>0</v>
      </c>
      <c r="F79" s="117"/>
      <c r="G79" s="112">
        <f>G15-SUM(G74:G78)</f>
        <v>513.7100000000064</v>
      </c>
      <c r="H79" s="99">
        <f>G79+'23'!H79</f>
        <v>27452.569999999992</v>
      </c>
      <c r="I79" s="118"/>
      <c r="J79" s="175">
        <f>H79/DAY(B2)</f>
        <v>1143.8570833333331</v>
      </c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42514</v>
      </c>
      <c r="F84" s="164">
        <v>42514</v>
      </c>
      <c r="G84" s="112">
        <f t="shared" si="8"/>
        <v>0</v>
      </c>
      <c r="H84" s="99">
        <f>G84+'23'!H84</f>
        <v>-75</v>
      </c>
      <c r="I84" s="571"/>
      <c r="J84" s="175">
        <f>H84/DAY(B2)</f>
        <v>-3.125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5112</v>
      </c>
      <c r="F85" s="164">
        <v>5125.3599999999997</v>
      </c>
      <c r="G85" s="112">
        <f t="shared" si="8"/>
        <v>13.359999999999673</v>
      </c>
      <c r="H85" s="99">
        <f>G85+'23'!H85</f>
        <v>-14.829999999999927</v>
      </c>
      <c r="I85" s="571"/>
      <c r="J85" s="175">
        <f>H85/DAY(B2)</f>
        <v>-0.61791666666666367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45201</v>
      </c>
      <c r="F86" s="164">
        <v>45225.31</v>
      </c>
      <c r="G86" s="112">
        <f t="shared" si="8"/>
        <v>24.309999999997672</v>
      </c>
      <c r="H86" s="99">
        <f>G86+'23'!H86</f>
        <v>-153.69000000000233</v>
      </c>
      <c r="I86" s="571"/>
      <c r="J86" s="175">
        <f>H86/DAY(B2)</f>
        <v>-6.4037500000000973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35446.57</v>
      </c>
      <c r="F87" s="164">
        <v>35446.57</v>
      </c>
      <c r="G87" s="112">
        <f t="shared" si="8"/>
        <v>0</v>
      </c>
      <c r="H87" s="99">
        <f>G87+'23'!H87</f>
        <v>-10.860000000000582</v>
      </c>
      <c r="I87" s="571">
        <f>G84+G85+G86+G87</f>
        <v>37.669999999997344</v>
      </c>
      <c r="J87" s="175">
        <f>H87/DAY(B2)</f>
        <v>-0.45250000000002427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24297</v>
      </c>
      <c r="F88" s="164">
        <v>24297</v>
      </c>
      <c r="G88" s="112">
        <f t="shared" si="8"/>
        <v>0</v>
      </c>
      <c r="H88" s="99">
        <f>G88+'23'!H88</f>
        <v>-6.4599999999991269</v>
      </c>
      <c r="I88" s="571"/>
      <c r="J88" s="175">
        <f>H88/DAY(B2)</f>
        <v>-0.26916666666663031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27493</v>
      </c>
      <c r="F89" s="164">
        <v>27501.64</v>
      </c>
      <c r="G89" s="112">
        <f t="shared" si="8"/>
        <v>8.6399999999994179</v>
      </c>
      <c r="H89" s="99">
        <f>G89+'23'!H89</f>
        <v>-64.970000000001164</v>
      </c>
      <c r="I89" s="571">
        <f>G88+G89</f>
        <v>8.6399999999994179</v>
      </c>
      <c r="J89" s="175">
        <f>H89/DAY(B2)</f>
        <v>-2.7070833333333817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72521.73</v>
      </c>
      <c r="F90" s="164">
        <v>72531.27</v>
      </c>
      <c r="G90" s="112">
        <f t="shared" si="8"/>
        <v>9.5400000000081491</v>
      </c>
      <c r="H90" s="99">
        <f>G90+'23'!H90</f>
        <v>-75.279999999998836</v>
      </c>
      <c r="I90" s="571">
        <f>G90</f>
        <v>9.5400000000081491</v>
      </c>
      <c r="J90" s="175">
        <f>H90/DAY(B2)</f>
        <v>-3.1366666666666183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4289.54</v>
      </c>
      <c r="F91" s="122">
        <v>4289.54</v>
      </c>
      <c r="G91" s="112">
        <f t="shared" si="8"/>
        <v>0</v>
      </c>
      <c r="H91" s="99">
        <f>G91+'23'!H91</f>
        <v>2.6199999999998909</v>
      </c>
      <c r="I91" s="590"/>
      <c r="J91" s="175">
        <f>H91/DAY(B2)</f>
        <v>0.10916666666666212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6629</v>
      </c>
      <c r="F92" s="122">
        <v>6640.68</v>
      </c>
      <c r="G92" s="112">
        <f t="shared" si="8"/>
        <v>11.680000000000291</v>
      </c>
      <c r="H92" s="99">
        <f>G92+'23'!H92</f>
        <v>-76.649999999999636</v>
      </c>
      <c r="I92" s="596">
        <f>G91+G92</f>
        <v>11.680000000000291</v>
      </c>
      <c r="J92" s="175">
        <f>H92/DAY(B2)</f>
        <v>-3.193749999999985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6865.4599999999627</v>
      </c>
      <c r="H94" s="99">
        <f>G94+'23'!H94</f>
        <v>-51839.510000000009</v>
      </c>
      <c r="I94" s="118"/>
      <c r="J94" s="175">
        <f>H94/DAY(B2)</f>
        <v>-2159.9795833333337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0.26204045801526576</v>
      </c>
      <c r="H95" s="99">
        <f>G95+'23'!H95</f>
        <v>-1.9537293743691568</v>
      </c>
      <c r="I95" s="167"/>
      <c r="J95" s="175">
        <f>H95/DAY(B2)</f>
        <v>-8.1405390598714863E-2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6692.9400000000169</v>
      </c>
      <c r="H96" s="99">
        <f>G96+'23'!H96</f>
        <v>-42260.059999999969</v>
      </c>
      <c r="I96" s="118"/>
      <c r="J96" s="175">
        <f>H96/DAY(B2)</f>
        <v>-1760.8358333333319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0.25545572519084037</v>
      </c>
      <c r="H97" s="99">
        <f>G97+'23'!H97</f>
        <v>-1.5920001126676682</v>
      </c>
      <c r="I97" s="167"/>
      <c r="J97" s="175">
        <f>H97/DAY(B2)</f>
        <v>-6.6333338027819502E-2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4036.579999999944</v>
      </c>
      <c r="H98" s="99">
        <f>G98+'23'!H98</f>
        <v>-30421.420000000056</v>
      </c>
      <c r="I98" s="168"/>
      <c r="J98" s="175">
        <f>H98/DAY(B2)</f>
        <v>-1267.5591666666689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0.15406793893129558</v>
      </c>
      <c r="H99" s="99">
        <f>G99+'23'!H99</f>
        <v>-1.1473140592355193</v>
      </c>
      <c r="I99" s="168"/>
      <c r="J99" s="175">
        <f>H99/DAY(B2)</f>
        <v>-4.7804752468146638E-2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2180.3099999999977</v>
      </c>
      <c r="H100" s="99">
        <f>G100+'23'!H100</f>
        <v>-15820.690000000002</v>
      </c>
      <c r="I100" s="118"/>
      <c r="J100" s="175">
        <f>H100/DAY(B2)</f>
        <v>-659.1954166666668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8.3217938931297628E-2</v>
      </c>
      <c r="H101" s="99">
        <f>G101+'23'!H101</f>
        <v>-0.59547186172132605</v>
      </c>
      <c r="I101" s="168"/>
      <c r="J101" s="175">
        <f>H101/DAY(B2)</f>
        <v>-2.4811327571721917E-2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2723.5</v>
      </c>
      <c r="H102" s="99">
        <f>G102+'23'!H102</f>
        <v>-14828.5</v>
      </c>
      <c r="I102" s="168"/>
      <c r="J102" s="175">
        <f>H102/DAY(B2)</f>
        <v>-617.85416666666663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0.10395038167938932</v>
      </c>
      <c r="H103" s="99">
        <f>G103+'23'!H103</f>
        <v>-0.56090603960908547</v>
      </c>
      <c r="I103" s="118"/>
      <c r="J103" s="175">
        <f>H103/DAY(B2)</f>
        <v>-2.3371084983711893E-2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1122.5700000000024</v>
      </c>
      <c r="H104" s="99">
        <f>G104+'23'!H104</f>
        <v>-7583.4299999999976</v>
      </c>
      <c r="I104" s="118"/>
      <c r="J104" s="175">
        <f>H104/DAY(B2)</f>
        <v>-315.97624999999988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4.2846183206106961E-2</v>
      </c>
      <c r="H105" s="99">
        <f>G105+'23'!H105</f>
        <v>-0.28479083231752356</v>
      </c>
      <c r="I105" s="187"/>
      <c r="J105" s="188">
        <f>H105/DAY(B2)</f>
        <v>-1.1866284679896815E-2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'23'!F112</f>
        <v>6672</v>
      </c>
      <c r="F112" s="237">
        <v>6749.29</v>
      </c>
      <c r="G112" s="112">
        <f t="shared" ref="G112:G123" si="9">F112-E112</f>
        <v>77.289999999999964</v>
      </c>
      <c r="H112" s="99">
        <f>G112+'23'!H112</f>
        <v>-56.710000000000036</v>
      </c>
      <c r="I112" s="165"/>
      <c r="J112" s="328">
        <f>H112/DAY(B2)</f>
        <v>-2.3629166666666683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'23'!F113</f>
        <v>13904</v>
      </c>
      <c r="F113" s="237">
        <v>14040.47</v>
      </c>
      <c r="G113" s="112">
        <f t="shared" si="9"/>
        <v>136.46999999999935</v>
      </c>
      <c r="H113" s="99">
        <f>G113+'23'!H113</f>
        <v>-974.53000000000065</v>
      </c>
      <c r="I113" s="165"/>
      <c r="J113" s="328">
        <f>H113/DAY(B2)</f>
        <v>-40.605416666666692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'23'!F114</f>
        <v>19571</v>
      </c>
      <c r="F114" s="237">
        <v>19735.080000000002</v>
      </c>
      <c r="G114" s="112">
        <f t="shared" si="9"/>
        <v>164.08000000000175</v>
      </c>
      <c r="H114" s="99">
        <f>G114+'23'!H114</f>
        <v>-1532.9199999999983</v>
      </c>
      <c r="I114" s="165"/>
      <c r="J114" s="328">
        <f>H114/DAY(B2)</f>
        <v>-63.871666666666592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'23'!F115</f>
        <v>12121</v>
      </c>
      <c r="F115" s="237">
        <v>12311.88</v>
      </c>
      <c r="G115" s="112">
        <f t="shared" si="9"/>
        <v>190.8799999999992</v>
      </c>
      <c r="H115" s="99">
        <f>G115+'23'!H115</f>
        <v>-1227.340000000002</v>
      </c>
      <c r="I115" s="165"/>
      <c r="J115" s="328">
        <f>H115/DAY(B2)</f>
        <v>-51.139166666666746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'23'!F116</f>
        <v>67472</v>
      </c>
      <c r="F116" s="417">
        <v>67816.31</v>
      </c>
      <c r="G116" s="112">
        <f t="shared" si="9"/>
        <v>344.30999999999767</v>
      </c>
      <c r="H116" s="99">
        <f>G116+'23'!H116</f>
        <v>-2675.6900000000023</v>
      </c>
      <c r="I116" s="165"/>
      <c r="J116" s="328">
        <f>H116/DAY(B2)</f>
        <v>-111.48708333333343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'23'!F117</f>
        <v>38840</v>
      </c>
      <c r="F117" s="237">
        <v>39117.35</v>
      </c>
      <c r="G117" s="112">
        <f t="shared" si="9"/>
        <v>277.34999999999854</v>
      </c>
      <c r="H117" s="99">
        <f>G117+'23'!H117</f>
        <v>-1804.6500000000015</v>
      </c>
      <c r="I117" s="165"/>
      <c r="J117" s="328">
        <f>H117/DAY(B2)</f>
        <v>-75.193750000000065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'23'!F118</f>
        <v>59692</v>
      </c>
      <c r="F118" s="237">
        <v>60326.29</v>
      </c>
      <c r="G118" s="112">
        <f t="shared" si="9"/>
        <v>634.29000000000087</v>
      </c>
      <c r="H118" s="99">
        <f>G118+'23'!H118</f>
        <v>-4345.7099999999991</v>
      </c>
      <c r="I118" s="165"/>
      <c r="J118" s="328">
        <f>H118/DAY(B2)</f>
        <v>-181.07124999999996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'23'!F119</f>
        <v>35631</v>
      </c>
      <c r="F119" s="237">
        <v>35869.14</v>
      </c>
      <c r="G119" s="112">
        <f t="shared" si="9"/>
        <v>238.13999999999942</v>
      </c>
      <c r="H119" s="99">
        <f>G119+'23'!H119</f>
        <v>-1579.8600000000006</v>
      </c>
      <c r="I119" s="165"/>
      <c r="J119" s="328">
        <f>H119/DAY(B2)</f>
        <v>-65.827500000000029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'23'!F120</f>
        <v>43038</v>
      </c>
      <c r="F120" s="237">
        <v>43449.54</v>
      </c>
      <c r="G120" s="112">
        <f t="shared" si="9"/>
        <v>411.54000000000087</v>
      </c>
      <c r="H120" s="99">
        <f>G120+'23'!H120</f>
        <v>-2817.4599999999991</v>
      </c>
      <c r="I120" s="165"/>
      <c r="J120" s="328">
        <f>H120/DAY(B2)</f>
        <v>-117.39416666666664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'23'!F121</f>
        <v>49792</v>
      </c>
      <c r="F121" s="237">
        <v>50238.86</v>
      </c>
      <c r="G121" s="112">
        <f t="shared" si="9"/>
        <v>446.86000000000058</v>
      </c>
      <c r="H121" s="99">
        <f>G121+'23'!H121</f>
        <v>-3304.1399999999994</v>
      </c>
      <c r="I121" s="165"/>
      <c r="J121" s="328">
        <f>H121/DAY(B2)</f>
        <v>-137.67249999999999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'23'!F122</f>
        <v>26562</v>
      </c>
      <c r="F122" s="237">
        <v>26816.93</v>
      </c>
      <c r="G122" s="112">
        <f t="shared" si="9"/>
        <v>254.93000000000029</v>
      </c>
      <c r="H122" s="99">
        <f>G122+'23'!H122</f>
        <v>-1857.0699999999997</v>
      </c>
      <c r="I122" s="165"/>
      <c r="J122" s="328">
        <f>H122/DAY(B2)</f>
        <v>-77.37791666666665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'23'!F123</f>
        <v>27651</v>
      </c>
      <c r="F123" s="237">
        <v>27972.74</v>
      </c>
      <c r="G123" s="112">
        <f t="shared" si="9"/>
        <v>321.7400000000016</v>
      </c>
      <c r="H123" s="99">
        <f>G123+'23'!H123</f>
        <v>-2215.2599999999984</v>
      </c>
      <c r="I123" s="165"/>
      <c r="J123" s="328">
        <f>H123/DAY(B2)</f>
        <v>-92.302499999999938</v>
      </c>
    </row>
    <row r="124" spans="1:18" ht="29.25" customHeight="1">
      <c r="A124" s="898"/>
      <c r="B124" s="899"/>
      <c r="C124" s="900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3497.88</v>
      </c>
      <c r="H125" s="156"/>
      <c r="I125" s="327">
        <f>G125-(G39+G53)</f>
        <v>-538.69999999994388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'23'!F128</f>
        <v>123503</v>
      </c>
      <c r="F128" s="165">
        <v>124018.38</v>
      </c>
      <c r="G128" s="112">
        <f t="shared" ref="G128:G134" si="10">F128-E128</f>
        <v>515.38000000000466</v>
      </c>
      <c r="H128" s="99">
        <f>G128+'23'!H128</f>
        <v>-3625.6199999999953</v>
      </c>
      <c r="I128" s="165"/>
      <c r="J128" s="328">
        <f>H128/DAY(B2)</f>
        <v>-151.0674999999998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71072</v>
      </c>
      <c r="F129" s="165">
        <v>71236.59</v>
      </c>
      <c r="G129" s="112">
        <f t="shared" si="10"/>
        <v>164.58999999999651</v>
      </c>
      <c r="H129" s="99">
        <f>G129+'23'!H129</f>
        <v>-1266.4100000000035</v>
      </c>
      <c r="I129" s="165"/>
      <c r="J129" s="328">
        <f>H129/DAY(B2)</f>
        <v>-52.767083333333481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158503</v>
      </c>
      <c r="F130" s="165">
        <v>159261.65</v>
      </c>
      <c r="G130" s="112">
        <f t="shared" si="10"/>
        <v>758.64999999999418</v>
      </c>
      <c r="H130" s="99">
        <f>G130+'23'!H130</f>
        <v>-5879.6199999999953</v>
      </c>
      <c r="I130" s="165"/>
      <c r="J130" s="328">
        <f>H130/DAY(B2)</f>
        <v>-244.98416666666648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'23'!F131</f>
        <v>46762</v>
      </c>
      <c r="F131" s="165">
        <v>46966.32</v>
      </c>
      <c r="G131" s="112">
        <f t="shared" si="10"/>
        <v>204.31999999999971</v>
      </c>
      <c r="H131" s="99">
        <f>G131+'23'!H131</f>
        <v>-1482.6800000000003</v>
      </c>
      <c r="I131" s="165"/>
      <c r="J131" s="328">
        <f>H131/DAY(B2)</f>
        <v>-61.778333333333343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'23'!F132</f>
        <v>125481</v>
      </c>
      <c r="F132" s="165">
        <v>125824.78</v>
      </c>
      <c r="G132" s="112">
        <f t="shared" si="10"/>
        <v>343.77999999999884</v>
      </c>
      <c r="H132" s="99">
        <f>G132+'23'!H132</f>
        <v>-2349.2200000000012</v>
      </c>
      <c r="I132" s="165"/>
      <c r="J132" s="328">
        <f>H132/DAY(B2)</f>
        <v>-97.884166666666715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'23'!F133</f>
        <v>224036</v>
      </c>
      <c r="F133" s="165">
        <v>224035.59</v>
      </c>
      <c r="G133" s="112">
        <f t="shared" si="10"/>
        <v>-0.41000000000349246</v>
      </c>
      <c r="H133" s="99">
        <f>G133+'23'!H133</f>
        <v>571233.43000000017</v>
      </c>
      <c r="I133" s="165"/>
      <c r="J133" s="328">
        <f>H133/DAY(B2)</f>
        <v>23801.392916666675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'23'!F134</f>
        <v>47365</v>
      </c>
      <c r="F134" s="158">
        <v>47582.51</v>
      </c>
      <c r="G134" s="112">
        <f t="shared" si="10"/>
        <v>217.51000000000204</v>
      </c>
      <c r="H134" s="99">
        <f>G134+'23'!H134</f>
        <v>-1452.489999999998</v>
      </c>
      <c r="I134" s="165"/>
      <c r="J134" s="328">
        <f>H134/DAY(B2)</f>
        <v>-60.520416666666584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2203.8199999999924</v>
      </c>
      <c r="H135" s="99">
        <f>G135+'23'!H135</f>
        <v>525543.42000000004</v>
      </c>
      <c r="I135" s="327">
        <f>G135-(G35+G49)</f>
        <v>-1574.5299999999843</v>
      </c>
      <c r="J135" s="328"/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'23'!F138</f>
        <v>889969</v>
      </c>
      <c r="F138" s="147">
        <v>890108</v>
      </c>
      <c r="G138" s="112">
        <f t="shared" ref="G138:G152" si="11">F138-E138</f>
        <v>139</v>
      </c>
      <c r="H138" s="99">
        <f>G138+'23'!H138</f>
        <v>-987</v>
      </c>
      <c r="I138" s="118"/>
      <c r="J138" s="328">
        <f>H138/DAY(B2)</f>
        <v>-41.125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'23'!F139</f>
        <v>907724</v>
      </c>
      <c r="F139" s="148">
        <v>907875</v>
      </c>
      <c r="G139" s="112">
        <f t="shared" si="11"/>
        <v>151</v>
      </c>
      <c r="H139" s="99">
        <f>G139+'23'!H139</f>
        <v>-1020</v>
      </c>
      <c r="I139" s="118"/>
      <c r="J139" s="328">
        <f>H139/DAY(B2)</f>
        <v>-42.5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'23'!F140</f>
        <v>1396</v>
      </c>
      <c r="F140" s="149">
        <v>1410.22</v>
      </c>
      <c r="G140" s="112">
        <f t="shared" si="11"/>
        <v>14.220000000000027</v>
      </c>
      <c r="H140" s="99">
        <f>G140+'23'!H140</f>
        <v>492.9899999999941</v>
      </c>
      <c r="I140" s="118"/>
      <c r="J140" s="328">
        <f>H140/DAY(B2)</f>
        <v>20.541249999999753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'23'!F141</f>
        <v>88804</v>
      </c>
      <c r="F141" s="149">
        <v>89015.93</v>
      </c>
      <c r="G141" s="112">
        <f t="shared" si="11"/>
        <v>211.92999999999302</v>
      </c>
      <c r="H141" s="99">
        <f>G141+'23'!H141</f>
        <v>-1436.070000000007</v>
      </c>
      <c r="I141" s="118"/>
      <c r="J141" s="328">
        <f>H141/DAY(B2)</f>
        <v>-59.836250000000291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'23'!F142</f>
        <v>36053</v>
      </c>
      <c r="F142" s="148">
        <v>36124.19</v>
      </c>
      <c r="G142" s="112">
        <f t="shared" si="11"/>
        <v>71.190000000002328</v>
      </c>
      <c r="H142" s="99">
        <f>G142+'23'!H142</f>
        <v>-536.80999999999767</v>
      </c>
      <c r="I142" s="140"/>
      <c r="J142" s="328">
        <f>H142/DAY(B2)</f>
        <v>-22.367083333333238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'23'!F143</f>
        <v>8823</v>
      </c>
      <c r="F143" s="149">
        <v>8851.2800000000007</v>
      </c>
      <c r="G143" s="112">
        <f t="shared" si="11"/>
        <v>28.280000000000655</v>
      </c>
      <c r="H143" s="99">
        <f>G143+'23'!H143</f>
        <v>-199.71999999999935</v>
      </c>
      <c r="I143" s="140"/>
      <c r="J143" s="328">
        <f>H143/DAY(B2)</f>
        <v>-8.3216666666666388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'23'!F144</f>
        <v>917999</v>
      </c>
      <c r="F144" s="149">
        <v>918243</v>
      </c>
      <c r="G144" s="112">
        <f t="shared" si="11"/>
        <v>244</v>
      </c>
      <c r="H144" s="99">
        <f>G144+'23'!H144</f>
        <v>-1594</v>
      </c>
      <c r="I144" s="140"/>
      <c r="J144" s="328">
        <f>H144/DAY(B2)</f>
        <v>-66.416666666666671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'23'!F145</f>
        <v>5791</v>
      </c>
      <c r="F145" s="149">
        <v>5798.39</v>
      </c>
      <c r="G145" s="112">
        <f t="shared" si="11"/>
        <v>7.3900000000003274</v>
      </c>
      <c r="H145" s="99">
        <f>G145+'23'!H145</f>
        <v>-8.6099999999996726</v>
      </c>
      <c r="I145" s="140"/>
      <c r="J145" s="328">
        <f>H145/DAY(B2)</f>
        <v>-0.35874999999998636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'23'!F146</f>
        <v>780246</v>
      </c>
      <c r="F146" s="148">
        <v>780295</v>
      </c>
      <c r="G146" s="112">
        <f t="shared" si="11"/>
        <v>49</v>
      </c>
      <c r="H146" s="99">
        <f>G146+'23'!H146</f>
        <v>-505</v>
      </c>
      <c r="I146" s="140"/>
      <c r="J146" s="328">
        <f>H146/DAY(B2)</f>
        <v>-21.041666666666668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'23'!F147</f>
        <v>696589</v>
      </c>
      <c r="F147" s="148">
        <v>696933</v>
      </c>
      <c r="G147" s="112">
        <f t="shared" si="11"/>
        <v>344</v>
      </c>
      <c r="H147" s="99">
        <f>G147+'23'!H147</f>
        <v>-2836</v>
      </c>
      <c r="I147" s="140"/>
      <c r="J147" s="328">
        <f>H147/DAY(B2)</f>
        <v>-118.16666666666667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'23'!F148</f>
        <v>745909</v>
      </c>
      <c r="F148" s="150">
        <v>746314.48</v>
      </c>
      <c r="G148" s="112">
        <f t="shared" si="11"/>
        <v>405.47999999998137</v>
      </c>
      <c r="H148" s="99">
        <f>G148+'23'!H148</f>
        <v>-2215.5200000000186</v>
      </c>
      <c r="I148" s="124"/>
      <c r="J148" s="328">
        <f>H148/DAY(B2)</f>
        <v>-92.313333333334114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'23'!F149</f>
        <v>128649</v>
      </c>
      <c r="F149" s="146">
        <v>129106.1</v>
      </c>
      <c r="G149" s="112">
        <f t="shared" si="11"/>
        <v>457.10000000000582</v>
      </c>
      <c r="H149" s="99">
        <f>G149+'23'!H149</f>
        <v>-3327.8999999999942</v>
      </c>
      <c r="I149" s="119"/>
      <c r="J149" s="328">
        <f>H149/DAY(B2)</f>
        <v>-138.66249999999977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'23'!F150</f>
        <v>48812</v>
      </c>
      <c r="F150" s="233">
        <v>49038.85</v>
      </c>
      <c r="G150" s="112">
        <f t="shared" si="11"/>
        <v>226.84999999999854</v>
      </c>
      <c r="H150" s="99">
        <f>G150+'23'!H150</f>
        <v>-1576.1500000000015</v>
      </c>
      <c r="I150" s="119"/>
      <c r="J150" s="328">
        <f>H150/DAY(B2)</f>
        <v>-65.672916666666723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'23'!F151</f>
        <v>133017</v>
      </c>
      <c r="F151" s="233">
        <v>133309</v>
      </c>
      <c r="G151" s="112">
        <f t="shared" si="11"/>
        <v>292</v>
      </c>
      <c r="H151" s="99">
        <f>G151+'23'!H151</f>
        <v>-2140</v>
      </c>
      <c r="I151" s="119"/>
      <c r="J151" s="328">
        <f>H151/DAY(B2)</f>
        <v>-89.166666666666671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'23'!F152</f>
        <v>22173</v>
      </c>
      <c r="F152" s="233">
        <v>22298.86</v>
      </c>
      <c r="G152" s="112">
        <f t="shared" si="11"/>
        <v>125.86000000000058</v>
      </c>
      <c r="H152" s="99">
        <f>G152+'23'!H152</f>
        <v>-855.13999999999942</v>
      </c>
      <c r="I152" s="119"/>
      <c r="J152" s="328">
        <f>H152/DAY(B2)</f>
        <v>-35.630833333333307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2767.2999999999829</v>
      </c>
      <c r="H153" s="363"/>
      <c r="I153" s="119">
        <f>G153-(G38+G52)</f>
        <v>586.98999999998523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'23'!F155</f>
        <v>143291</v>
      </c>
      <c r="F155" s="753">
        <v>143866.93</v>
      </c>
      <c r="G155" s="112">
        <f t="shared" ref="G155:G158" si="12">F155-E155</f>
        <v>575.92999999999302</v>
      </c>
      <c r="H155" s="99">
        <f>G155+'23'!H155</f>
        <v>-4282.070000000007</v>
      </c>
      <c r="I155" s="364"/>
      <c r="J155" s="328">
        <f>H155/DAY(B2)</f>
        <v>-178.41958333333363</v>
      </c>
    </row>
    <row r="156" spans="1:10" ht="25.5">
      <c r="A156" s="872" t="s">
        <v>347</v>
      </c>
      <c r="B156" s="872"/>
      <c r="C156" s="872"/>
      <c r="D156" s="117" t="s">
        <v>130</v>
      </c>
      <c r="E156" s="95">
        <f>'23'!F156</f>
        <v>13987</v>
      </c>
      <c r="F156" s="155">
        <v>14084.71</v>
      </c>
      <c r="G156" s="112">
        <f t="shared" si="12"/>
        <v>97.709999999999127</v>
      </c>
      <c r="H156" s="99">
        <f>G156+'23'!H156</f>
        <v>-649.29000000000087</v>
      </c>
      <c r="I156" s="165"/>
      <c r="J156" s="328">
        <f>H156/DAY(B2)</f>
        <v>-27.053750000000036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'23'!F157</f>
        <v>26336</v>
      </c>
      <c r="F157" s="155">
        <v>26438.959999999999</v>
      </c>
      <c r="G157" s="112">
        <f t="shared" si="12"/>
        <v>102.95999999999913</v>
      </c>
      <c r="H157" s="99">
        <f>G157+'23'!H157</f>
        <v>578.5</v>
      </c>
      <c r="I157" s="165"/>
      <c r="J157" s="328"/>
    </row>
    <row r="158" spans="1:10" ht="25.5">
      <c r="A158" s="873" t="s">
        <v>361</v>
      </c>
      <c r="B158" s="874"/>
      <c r="C158" s="875"/>
      <c r="D158" s="117" t="s">
        <v>130</v>
      </c>
      <c r="E158" s="95">
        <f>'23'!F158</f>
        <v>230.92</v>
      </c>
      <c r="F158" s="155">
        <v>231.27</v>
      </c>
      <c r="G158" s="112">
        <f t="shared" si="12"/>
        <v>0.35000000000002274</v>
      </c>
      <c r="H158" s="99">
        <f>G158+'23'!H158</f>
        <v>2.5700000000000216</v>
      </c>
      <c r="I158" s="165"/>
      <c r="J158" s="328"/>
    </row>
    <row r="159" spans="1:10" ht="25.5">
      <c r="A159" s="958"/>
      <c r="B159" s="959"/>
      <c r="C159" s="960"/>
      <c r="D159" s="117"/>
      <c r="E159" s="95"/>
      <c r="F159" s="16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479702</v>
      </c>
      <c r="F161" s="235">
        <v>479748.76</v>
      </c>
      <c r="G161" s="238">
        <f t="shared" ref="G161:G165" si="13">F161-E161</f>
        <v>46.760000000009313</v>
      </c>
      <c r="H161" s="99">
        <f>G161+'23'!H161</f>
        <v>566.47999999998137</v>
      </c>
      <c r="I161" s="236"/>
      <c r="J161" s="239">
        <f>H161/DAY(B2)</f>
        <v>23.603333333332557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94643</v>
      </c>
      <c r="F162" s="235">
        <v>94669.9</v>
      </c>
      <c r="G162" s="238">
        <f t="shared" si="13"/>
        <v>26.899999999994179</v>
      </c>
      <c r="H162" s="99">
        <f>G162+'23'!H162</f>
        <v>-258.10000000000582</v>
      </c>
      <c r="I162" s="236"/>
      <c r="J162" s="239">
        <f>H162/DAY(B2)</f>
        <v>-10.75416666666691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5441</v>
      </c>
      <c r="F163" s="235">
        <v>5585.3</v>
      </c>
      <c r="G163" s="238">
        <f t="shared" si="13"/>
        <v>144.30000000000018</v>
      </c>
      <c r="H163" s="99">
        <f>G163+'23'!H163</f>
        <v>-915.69999999999982</v>
      </c>
      <c r="I163" s="236"/>
      <c r="J163" s="239">
        <f>H163/DAY(B2)</f>
        <v>-38.154166666666661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6172</v>
      </c>
      <c r="F164" s="235">
        <v>6183.9</v>
      </c>
      <c r="G164" s="238">
        <f t="shared" si="13"/>
        <v>11.899999999999636</v>
      </c>
      <c r="H164" s="99">
        <f>G164+'23'!H164</f>
        <v>-96.100000000000364</v>
      </c>
      <c r="I164" s="236"/>
      <c r="J164" s="239">
        <f>H164/DAY(B2)</f>
        <v>-4.0041666666666815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31565</v>
      </c>
      <c r="F165" s="235">
        <v>31570</v>
      </c>
      <c r="G165" s="238">
        <f t="shared" si="13"/>
        <v>5</v>
      </c>
      <c r="H165" s="99">
        <f>G165+'23'!H165</f>
        <v>-64</v>
      </c>
      <c r="I165" s="236"/>
      <c r="J165" s="239">
        <f>H165/DAY(B2)</f>
        <v>-2.6666666666666665</v>
      </c>
    </row>
    <row r="166" spans="1:10" ht="26.25">
      <c r="A166" s="881"/>
      <c r="B166" s="881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1.75" customHeight="1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87" t="s">
        <v>209</v>
      </c>
      <c r="B173" s="888"/>
      <c r="C173" s="333"/>
      <c r="D173" s="228" t="s">
        <v>142</v>
      </c>
      <c r="E173" s="95">
        <f>'23'!F173</f>
        <v>8229</v>
      </c>
      <c r="F173" s="155">
        <v>8229</v>
      </c>
      <c r="G173" s="155">
        <f>F173-E173</f>
        <v>0</v>
      </c>
      <c r="H173" s="99">
        <f>G173+'23'!H173</f>
        <v>41</v>
      </c>
      <c r="I173" s="155"/>
      <c r="J173" s="178">
        <f>H173/DAY(B2)</f>
        <v>1.7083333333333333</v>
      </c>
    </row>
    <row r="174" spans="1:10" ht="27" customHeight="1">
      <c r="A174" s="887" t="s">
        <v>75</v>
      </c>
      <c r="B174" s="888"/>
      <c r="C174" s="333"/>
      <c r="D174" s="228" t="s">
        <v>142</v>
      </c>
      <c r="E174" s="95">
        <f>'23'!F174</f>
        <v>41092</v>
      </c>
      <c r="F174" s="157">
        <v>41104</v>
      </c>
      <c r="G174" s="155">
        <f t="shared" ref="G174:G175" si="14">F174-E174</f>
        <v>12</v>
      </c>
      <c r="H174" s="99">
        <f>G174+'23'!H174</f>
        <v>-100</v>
      </c>
      <c r="I174" s="155"/>
      <c r="J174" s="178">
        <f>H174/DAY(B2)</f>
        <v>-4.166666666666667</v>
      </c>
    </row>
    <row r="175" spans="1:10" ht="27" customHeight="1">
      <c r="A175" s="887" t="s">
        <v>76</v>
      </c>
      <c r="B175" s="927"/>
      <c r="C175" s="888"/>
      <c r="D175" s="228" t="s">
        <v>142</v>
      </c>
      <c r="E175" s="95">
        <f>'23'!F175</f>
        <v>23938</v>
      </c>
      <c r="F175" s="155">
        <v>23948</v>
      </c>
      <c r="G175" s="155">
        <f t="shared" si="14"/>
        <v>10</v>
      </c>
      <c r="H175" s="99">
        <f>G175+'23'!H175</f>
        <v>-83</v>
      </c>
      <c r="I175" s="155"/>
      <c r="J175" s="178">
        <f>H175/DAY(B2)</f>
        <v>-3.4583333333333335</v>
      </c>
    </row>
    <row r="176" spans="1:10" ht="21.75" customHeight="1">
      <c r="A176" s="876" t="s">
        <v>196</v>
      </c>
      <c r="B176" s="877"/>
      <c r="C176" s="401"/>
      <c r="D176" s="228" t="s">
        <v>142</v>
      </c>
      <c r="E176" s="95"/>
      <c r="F176" s="155"/>
      <c r="G176" s="155">
        <f>SUM(G173:G175)</f>
        <v>22</v>
      </c>
      <c r="H176" s="99">
        <f>G176+'23'!H176</f>
        <v>-142</v>
      </c>
      <c r="I176" s="155"/>
      <c r="J176" s="178">
        <f>H176/DAY(B2)</f>
        <v>-5.916666666666667</v>
      </c>
    </row>
    <row r="177" spans="1:10" ht="21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'23'!F178</f>
        <v>96958</v>
      </c>
      <c r="F178" s="155">
        <v>97068</v>
      </c>
      <c r="G178" s="155">
        <f>F178-E178</f>
        <v>110</v>
      </c>
      <c r="H178" s="99">
        <f>G178+'23'!H178</f>
        <v>-645</v>
      </c>
      <c r="I178" s="155"/>
      <c r="J178" s="178">
        <f>H178/DAY(B2)</f>
        <v>-26.875</v>
      </c>
    </row>
    <row r="179" spans="1:10" ht="24" customHeight="1">
      <c r="A179" s="887" t="s">
        <v>211</v>
      </c>
      <c r="B179" s="888"/>
      <c r="C179" s="333"/>
      <c r="D179" s="228" t="s">
        <v>142</v>
      </c>
      <c r="E179" s="95">
        <f>'23'!F179</f>
        <v>36002</v>
      </c>
      <c r="F179" s="155">
        <v>36002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'23'!F180</f>
        <v>7087</v>
      </c>
      <c r="F180" s="155">
        <v>7097</v>
      </c>
      <c r="G180" s="155">
        <f t="shared" si="15"/>
        <v>10</v>
      </c>
      <c r="H180" s="99">
        <f>G180+'23'!H180</f>
        <v>-72</v>
      </c>
      <c r="I180" s="155"/>
      <c r="J180" s="178">
        <f>H180/DAY(B2)</f>
        <v>-3</v>
      </c>
    </row>
    <row r="181" spans="1:10" ht="25.5">
      <c r="A181" s="889" t="s">
        <v>108</v>
      </c>
      <c r="B181" s="890"/>
      <c r="C181" s="401"/>
      <c r="D181" s="228" t="s">
        <v>142</v>
      </c>
      <c r="E181" s="95"/>
      <c r="F181" s="155"/>
      <c r="G181" s="155">
        <f>SUM(G178:G180)</f>
        <v>120</v>
      </c>
      <c r="H181" s="99">
        <f>G181+'23'!H181</f>
        <v>-717</v>
      </c>
      <c r="I181" s="155"/>
      <c r="J181" s="178">
        <f>H181/DAY(B2)</f>
        <v>-29.875</v>
      </c>
    </row>
    <row r="182" spans="1:10" ht="25.5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'23'!F183</f>
        <v>17420</v>
      </c>
      <c r="F183" s="157">
        <v>17427</v>
      </c>
      <c r="G183" s="157">
        <f>F183-E183</f>
        <v>7</v>
      </c>
      <c r="H183" s="99">
        <f>G183+'23'!H183</f>
        <v>-46</v>
      </c>
      <c r="I183" s="155"/>
      <c r="J183" s="178">
        <f>H183/DAY(B2)</f>
        <v>-1.9166666666666667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'23'!F184</f>
        <v>11866</v>
      </c>
      <c r="F184" s="157">
        <v>11874</v>
      </c>
      <c r="G184" s="157">
        <f t="shared" ref="G184:G185" si="16">F184-E184</f>
        <v>8</v>
      </c>
      <c r="H184" s="99">
        <f>G184+'23'!H184</f>
        <v>-61</v>
      </c>
      <c r="I184" s="155"/>
      <c r="J184" s="178">
        <f>H184/DAY(B2)</f>
        <v>-2.5416666666666665</v>
      </c>
    </row>
    <row r="185" spans="1:10" ht="26.25" customHeight="1">
      <c r="A185" s="887" t="s">
        <v>216</v>
      </c>
      <c r="B185" s="888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G186+'23'!H186</f>
        <v>-107</v>
      </c>
      <c r="I186" s="157"/>
      <c r="J186" s="178">
        <f>H186/DAY(B2)</f>
        <v>-4.458333333333333</v>
      </c>
    </row>
    <row r="187" spans="1:10" ht="25.5">
      <c r="A187" s="878" t="s">
        <v>217</v>
      </c>
      <c r="B187" s="879"/>
      <c r="C187" s="333"/>
      <c r="D187" s="230" t="s">
        <v>142</v>
      </c>
      <c r="E187" s="95">
        <f>'23'!F187</f>
        <v>0</v>
      </c>
      <c r="F187" s="159"/>
      <c r="G187" s="378">
        <f>G62+G19</f>
        <v>161</v>
      </c>
      <c r="H187" s="99">
        <f>G187+'23'!H187</f>
        <v>-1194</v>
      </c>
      <c r="I187" s="158"/>
      <c r="J187" s="179">
        <f>H187/DAY(B2)</f>
        <v>-49.75</v>
      </c>
    </row>
    <row r="188" spans="1:10" ht="25.5">
      <c r="A188" s="878" t="s">
        <v>218</v>
      </c>
      <c r="B188" s="879"/>
      <c r="C188" s="333"/>
      <c r="D188" s="230" t="s">
        <v>142</v>
      </c>
      <c r="E188" s="95">
        <f>'23'!F188</f>
        <v>0</v>
      </c>
      <c r="F188" s="159"/>
      <c r="G188" s="378">
        <f>G65+G66+G67+G69+G70</f>
        <v>148</v>
      </c>
      <c r="H188" s="99">
        <f>G188+'23'!H188</f>
        <v>1583</v>
      </c>
      <c r="I188" s="158"/>
      <c r="J188" s="179">
        <f>H188/DAY(B2)</f>
        <v>65.958333333333329</v>
      </c>
    </row>
    <row r="189" spans="1:10" ht="25.5">
      <c r="A189" s="878" t="s">
        <v>219</v>
      </c>
      <c r="B189" s="879"/>
      <c r="C189" s="333"/>
      <c r="D189" s="230" t="s">
        <v>142</v>
      </c>
      <c r="E189" s="95">
        <f>'23'!F189</f>
        <v>0</v>
      </c>
      <c r="F189" s="157"/>
      <c r="G189" s="377">
        <f>G181</f>
        <v>120</v>
      </c>
      <c r="H189" s="99">
        <f>G189+'23'!H189</f>
        <v>592</v>
      </c>
      <c r="I189" s="158"/>
      <c r="J189" s="179">
        <f>H189/DAY(B2)</f>
        <v>24.666666666666668</v>
      </c>
    </row>
    <row r="190" spans="1:10" ht="25.5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F15" sqref="F15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354</v>
      </c>
      <c r="B2" s="262">
        <v>44767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160147</v>
      </c>
      <c r="F7" s="95">
        <f>E7+26200</f>
        <v>186347</v>
      </c>
      <c r="G7" s="112">
        <f>F7-E7</f>
        <v>26200</v>
      </c>
      <c r="H7" s="99">
        <f>G7+'24'!H7</f>
        <v>652758.9</v>
      </c>
      <c r="I7" s="113">
        <f>'1'!I7</f>
        <v>12000</v>
      </c>
      <c r="J7" s="175">
        <f>H7/DAY(B2)</f>
        <v>26110.356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308344.40000000002</v>
      </c>
      <c r="F8" s="95">
        <f>E8+26500</f>
        <v>334844.40000000002</v>
      </c>
      <c r="G8" s="115">
        <f>F8-E8</f>
        <v>26500</v>
      </c>
      <c r="H8" s="99">
        <f>G8+'24'!H8</f>
        <v>661766</v>
      </c>
      <c r="I8" s="116"/>
      <c r="J8" s="175">
        <f>H8/DAY(B2)</f>
        <v>26470.639999999999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3238965.9</v>
      </c>
      <c r="F9" s="469">
        <v>3245098.7</v>
      </c>
      <c r="G9" s="112">
        <f>F9-E9</f>
        <v>6132.8000000002794</v>
      </c>
      <c r="H9" s="99">
        <f>G9+'24'!H9</f>
        <v>-33967.299999999814</v>
      </c>
      <c r="I9" s="124">
        <f>I7-J7</f>
        <v>-14110.356</v>
      </c>
      <c r="J9" s="175">
        <f>H9/DAY(B2)</f>
        <v>-1358.6919999999925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1533943.9</v>
      </c>
      <c r="F10" s="353">
        <v>1553248.3</v>
      </c>
      <c r="G10" s="112">
        <f t="shared" ref="G10:G12" si="0">F10-E10</f>
        <v>19304.40000000014</v>
      </c>
      <c r="H10" s="99">
        <f>G10+'24'!H10</f>
        <v>-113909.69999999995</v>
      </c>
      <c r="I10" s="282"/>
      <c r="J10" s="175">
        <f>H10/DAY(B2)</f>
        <v>-4556.3879999999981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25437.200000000419</v>
      </c>
      <c r="H13" s="99">
        <f>G13+'24'!H13</f>
        <v>-146542.39999999991</v>
      </c>
      <c r="I13" s="120">
        <f>G7-G13</f>
        <v>762.7999999995809</v>
      </c>
      <c r="J13" s="175">
        <f>H13/DAY(B2)</f>
        <v>-5861.6959999999963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2125008</v>
      </c>
      <c r="F15" s="469">
        <f>E15+1000</f>
        <v>2126008</v>
      </c>
      <c r="G15" s="112">
        <f>(F15-E15)</f>
        <v>1000</v>
      </c>
      <c r="H15" s="99">
        <f>G15+'24'!H15</f>
        <v>25140</v>
      </c>
      <c r="I15" s="113">
        <f>'1'!I15</f>
        <v>800</v>
      </c>
      <c r="J15" s="175">
        <f>H15/DAY(B2)</f>
        <v>1005.6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-205.60000000000002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'24'!F18</f>
        <v>15</v>
      </c>
      <c r="F18" s="122">
        <v>15</v>
      </c>
      <c r="G18" s="119">
        <f>F18*10</f>
        <v>150</v>
      </c>
      <c r="H18" s="99">
        <f>G18+'24'!H18</f>
        <v>4570</v>
      </c>
      <c r="I18" s="113">
        <f>'1'!I18</f>
        <v>65</v>
      </c>
      <c r="J18" s="175">
        <f>H18/DAY(B2)</f>
        <v>182.8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'24'!F19</f>
        <v>161980</v>
      </c>
      <c r="F19" s="404">
        <v>162031</v>
      </c>
      <c r="G19" s="112">
        <f t="shared" ref="G19" si="1">F19-E19</f>
        <v>51</v>
      </c>
      <c r="H19" s="99">
        <f>G19+'24'!H19</f>
        <v>-298</v>
      </c>
      <c r="I19" s="335"/>
      <c r="J19" s="175">
        <f>H19/DAY(B2)</f>
        <v>-11.92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201</v>
      </c>
      <c r="H20" s="99">
        <f>G20+'24'!H20</f>
        <v>4272</v>
      </c>
      <c r="I20" s="336">
        <f>I18-J20</f>
        <v>-105.88</v>
      </c>
      <c r="J20" s="175">
        <f>H20/DAY(B2)</f>
        <v>170.88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G27+'24'!H27</f>
        <v>5955894</v>
      </c>
      <c r="I27" s="138"/>
      <c r="J27" s="175">
        <f>H27/DAY(B2)</f>
        <v>238235.76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G28+'24'!H28</f>
        <v>1759800</v>
      </c>
      <c r="I28" s="140"/>
      <c r="J28" s="175">
        <f>H28/DAY(B2)</f>
        <v>70392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G30+'24'!H30</f>
        <v>-44998</v>
      </c>
      <c r="I30" s="140"/>
      <c r="J30" s="175">
        <f>H30/DAY(B2)</f>
        <v>-1799.92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G31+'24'!H31</f>
        <v>365600</v>
      </c>
      <c r="I31" s="140"/>
      <c r="J31" s="175">
        <f>H31/DAY(B2)</f>
        <v>14624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328201</v>
      </c>
      <c r="H32" s="99">
        <f>G32+'24'!H32</f>
        <v>8036296</v>
      </c>
      <c r="I32" s="144"/>
      <c r="J32" s="175">
        <f>H32/DAY(B2)</f>
        <v>321451.84000000003</v>
      </c>
      <c r="K32" s="63"/>
      <c r="L32" s="89"/>
      <c r="N32" s="87"/>
      <c r="O32" s="71"/>
    </row>
    <row r="33" spans="1:15" ht="25.5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238713</v>
      </c>
      <c r="F35" s="145">
        <v>238713.05</v>
      </c>
      <c r="G35" s="112">
        <f t="shared" ref="G35:G46" si="3">F35-E35</f>
        <v>4.9999999988358468E-2</v>
      </c>
      <c r="H35" s="99">
        <f>G35+'24'!H35</f>
        <v>4.9999999988358468E-2</v>
      </c>
      <c r="I35" s="95"/>
      <c r="J35" s="175">
        <f>H35/DAY(B2)</f>
        <v>1.9999999995343387E-3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209215.37</v>
      </c>
      <c r="F36" s="145">
        <v>210003.27</v>
      </c>
      <c r="G36" s="112">
        <f t="shared" si="3"/>
        <v>787.89999999999418</v>
      </c>
      <c r="H36" s="99">
        <f>G36+'24'!H36</f>
        <v>-5526.7300000000105</v>
      </c>
      <c r="I36" s="95"/>
      <c r="J36" s="175">
        <f>H36/DAY(B2)</f>
        <v>-221.06920000000042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322998.69</v>
      </c>
      <c r="F37" s="145">
        <v>322998.69</v>
      </c>
      <c r="G37" s="112">
        <f t="shared" si="3"/>
        <v>0</v>
      </c>
      <c r="H37" s="99">
        <f>G37+'24'!H37</f>
        <v>-0.30999999999767169</v>
      </c>
      <c r="I37" s="95"/>
      <c r="J37" s="175">
        <f>H37/DAY(B2)</f>
        <v>-1.2399999999906867E-2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441540.31</v>
      </c>
      <c r="F38" s="108">
        <v>443707.47</v>
      </c>
      <c r="G38" s="112">
        <f t="shared" si="3"/>
        <v>2167.1599999999744</v>
      </c>
      <c r="H38" s="99">
        <f>G38+'24'!H38</f>
        <v>-13653.530000000028</v>
      </c>
      <c r="I38" s="95"/>
      <c r="J38" s="175">
        <f>H38/DAY(B2)</f>
        <v>-546.14120000000116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591584.18999999994</v>
      </c>
      <c r="F39" s="145">
        <v>591584.18999999994</v>
      </c>
      <c r="G39" s="112">
        <f t="shared" si="3"/>
        <v>0</v>
      </c>
      <c r="H39" s="99">
        <f>G39+'24'!H39</f>
        <v>0.18999999994412065</v>
      </c>
      <c r="I39" s="95"/>
      <c r="J39" s="175">
        <f>H39/DAY(B2)</f>
        <v>7.5999999977648261E-3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100876.21</v>
      </c>
      <c r="F40" s="145">
        <v>101733.02</v>
      </c>
      <c r="G40" s="112">
        <f t="shared" si="3"/>
        <v>856.80999999999767</v>
      </c>
      <c r="H40" s="99">
        <f>G40+'24'!H40</f>
        <v>-5042.9799999999959</v>
      </c>
      <c r="I40" s="95"/>
      <c r="J40" s="175">
        <f>H40/DAY(B2)</f>
        <v>-201.71919999999983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196381.17</v>
      </c>
      <c r="F41" s="145">
        <v>196381.17</v>
      </c>
      <c r="G41" s="112">
        <f t="shared" si="3"/>
        <v>0</v>
      </c>
      <c r="H41" s="99">
        <f>G41+'24'!H41</f>
        <v>-15321.829999999987</v>
      </c>
      <c r="I41" s="95"/>
      <c r="J41" s="175">
        <f>H41/DAY(B2)</f>
        <v>-612.87319999999954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745068.63</v>
      </c>
      <c r="F42" s="145">
        <v>748364.07</v>
      </c>
      <c r="G42" s="112">
        <f t="shared" si="3"/>
        <v>3295.4399999999441</v>
      </c>
      <c r="H42" s="99">
        <f>G42+'24'!H42</f>
        <v>6.9999999948777258E-2</v>
      </c>
      <c r="I42" s="95"/>
      <c r="J42" s="175">
        <f>H42/DAY(B2)</f>
        <v>2.7999999979510903E-3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3.0000000027939677E-2</v>
      </c>
      <c r="I43" s="95"/>
      <c r="J43" s="175">
        <f>H43/DAY(B2)</f>
        <v>1.200000001117587E-3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7107.3599999998987</v>
      </c>
      <c r="H47" s="99">
        <f>G47+'24'!H47</f>
        <v>-39545.040000000125</v>
      </c>
      <c r="I47" s="95"/>
      <c r="J47" s="175">
        <f>H47/DAY(B2)</f>
        <v>-1581.801600000005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453872.35</v>
      </c>
      <c r="F49" s="145">
        <v>457572.39</v>
      </c>
      <c r="G49" s="112">
        <f t="shared" ref="G49:G58" si="4">F49-E49</f>
        <v>3700.0400000000373</v>
      </c>
      <c r="H49" s="99">
        <f>G49+'24'!H49</f>
        <v>-27481.609999999986</v>
      </c>
      <c r="I49" s="95"/>
      <c r="J49" s="175">
        <f>H49/DAY(B2)</f>
        <v>-1099.2643999999993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274236.13</v>
      </c>
      <c r="F50" s="145">
        <v>275820.90999999997</v>
      </c>
      <c r="G50" s="112">
        <f t="shared" si="4"/>
        <v>1584.7799999999697</v>
      </c>
      <c r="H50" s="99">
        <f>G50+'24'!H50</f>
        <v>239373.90999999997</v>
      </c>
      <c r="I50" s="95"/>
      <c r="J50" s="175">
        <f>H50/DAY(B2)</f>
        <v>9574.9563999999991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924.88</v>
      </c>
      <c r="F51" s="145">
        <v>2009.37</v>
      </c>
      <c r="G51" s="112">
        <f t="shared" si="4"/>
        <v>1084.4899999999998</v>
      </c>
      <c r="H51" s="99">
        <f>G51+'24'!H51</f>
        <v>-6498.63</v>
      </c>
      <c r="I51" s="95"/>
      <c r="J51" s="175">
        <f>H51/DAY(B2)</f>
        <v>-259.9452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3439.39</v>
      </c>
      <c r="F53" s="145">
        <v>7674.64</v>
      </c>
      <c r="G53" s="112">
        <f t="shared" si="4"/>
        <v>4235.25</v>
      </c>
      <c r="H53" s="99">
        <f>G53+'24'!H53</f>
        <v>-26186.36</v>
      </c>
      <c r="I53" s="95"/>
      <c r="J53" s="175">
        <f>H53/DAY(B2)</f>
        <v>-1047.4544000000001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85507.9</v>
      </c>
      <c r="F54" s="145">
        <v>85858.81</v>
      </c>
      <c r="G54" s="112">
        <f t="shared" si="4"/>
        <v>350.91000000000349</v>
      </c>
      <c r="H54" s="99">
        <f>G54+'24'!H54</f>
        <v>-2084.1900000000023</v>
      </c>
      <c r="I54" s="95"/>
      <c r="J54" s="175">
        <f>H54/DAY(B2)</f>
        <v>-83.367600000000095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340454.87</v>
      </c>
      <c r="F55" s="145">
        <v>343967.15</v>
      </c>
      <c r="G55" s="112">
        <f t="shared" si="4"/>
        <v>3512.2800000000279</v>
      </c>
      <c r="H55" s="99">
        <f>G55+'24'!H55</f>
        <v>-18809.849999999977</v>
      </c>
      <c r="I55" s="95"/>
      <c r="J55" s="175">
        <f>H55/DAY(B2)</f>
        <v>-752.3939999999991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122561.27</v>
      </c>
      <c r="F56" s="145">
        <v>122561.27</v>
      </c>
      <c r="G56" s="112">
        <f t="shared" si="4"/>
        <v>0</v>
      </c>
      <c r="H56" s="99">
        <f>G56+'24'!H56</f>
        <v>-1320.7299999999959</v>
      </c>
      <c r="I56" s="95"/>
      <c r="J56" s="175">
        <f>H56/DAY(B2)</f>
        <v>-52.829199999999837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205512.11</v>
      </c>
      <c r="F57" s="145">
        <v>208468.49</v>
      </c>
      <c r="G57" s="112">
        <f t="shared" si="4"/>
        <v>2956.3800000000047</v>
      </c>
      <c r="H57" s="99">
        <f>G57+'24'!H57</f>
        <v>-17701.510000000009</v>
      </c>
      <c r="I57" s="95"/>
      <c r="J57" s="175">
        <f>H57/DAY(B2)</f>
        <v>-708.06040000000041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47128.71</v>
      </c>
      <c r="F58" s="145">
        <v>47417.53</v>
      </c>
      <c r="G58" s="112">
        <f t="shared" si="4"/>
        <v>288.81999999999971</v>
      </c>
      <c r="H58" s="99">
        <f>G58+'24'!H58</f>
        <v>-1691.4700000000012</v>
      </c>
      <c r="I58" s="95"/>
      <c r="J58" s="175">
        <f>H58/DAY(B2)</f>
        <v>-67.658800000000042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17712.950000000041</v>
      </c>
      <c r="H59" s="99">
        <f>G59+'24'!H59</f>
        <v>-108703.43999999994</v>
      </c>
      <c r="I59" s="95">
        <f>G7-G60</f>
        <v>1379.6900000000605</v>
      </c>
      <c r="J59" s="175">
        <f>H59/DAY(B2)</f>
        <v>-4348.1375999999982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24820.309999999939</v>
      </c>
      <c r="H60" s="99">
        <f>G60+'24'!H60</f>
        <v>-148248.48000000013</v>
      </c>
      <c r="I60" s="95">
        <f>G13-G60</f>
        <v>616.89000000047963</v>
      </c>
      <c r="J60" s="175">
        <f>H60/DAY(B2)</f>
        <v>-5929.9392000000053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'24'!F62</f>
        <v>295430</v>
      </c>
      <c r="F62" s="122">
        <v>295528</v>
      </c>
      <c r="G62" s="112">
        <f t="shared" ref="G62:G63" si="5">F62-E62</f>
        <v>98</v>
      </c>
      <c r="H62" s="99">
        <f>G62+'24'!H62</f>
        <v>-747</v>
      </c>
      <c r="I62" s="118"/>
      <c r="J62" s="175">
        <f>H62/DAY(B2)</f>
        <v>-29.88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'24'!F63</f>
        <v>238092</v>
      </c>
      <c r="F63" s="122">
        <v>238228</v>
      </c>
      <c r="G63" s="112">
        <f t="shared" si="5"/>
        <v>136</v>
      </c>
      <c r="H63" s="99">
        <f>G63+'24'!H63</f>
        <v>-905</v>
      </c>
      <c r="I63" s="118"/>
      <c r="J63" s="175">
        <f>H63/DAY(B2)</f>
        <v>-36.200000000000003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'24'!F64</f>
        <v>0</v>
      </c>
      <c r="F64" s="122"/>
      <c r="G64" s="112">
        <f>G62+G63</f>
        <v>234</v>
      </c>
      <c r="H64" s="99">
        <f>G64+'24'!H64</f>
        <v>-1652</v>
      </c>
      <c r="I64" s="118"/>
      <c r="J64" s="175">
        <f>H64/DAY(B2)</f>
        <v>-66.08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'24'!F65</f>
        <v>453957</v>
      </c>
      <c r="F65" s="122">
        <v>454053</v>
      </c>
      <c r="G65" s="112">
        <f t="shared" ref="G65:G70" si="6">F65-E65</f>
        <v>96</v>
      </c>
      <c r="H65" s="99">
        <f>G65+'24'!H65</f>
        <v>-657</v>
      </c>
      <c r="I65" s="118"/>
      <c r="J65" s="175">
        <f>H65/DAY(B2)</f>
        <v>-26.28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111548</v>
      </c>
      <c r="F66" s="122">
        <v>111570</v>
      </c>
      <c r="G66" s="112">
        <f t="shared" si="6"/>
        <v>22</v>
      </c>
      <c r="H66" s="99">
        <f>G66+'24'!H66</f>
        <v>-152</v>
      </c>
      <c r="I66" s="118"/>
      <c r="J66" s="175">
        <f>H66/DAY(B2)</f>
        <v>-6.08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113681</v>
      </c>
      <c r="F67" s="122">
        <v>113681</v>
      </c>
      <c r="G67" s="112">
        <f t="shared" si="6"/>
        <v>0</v>
      </c>
      <c r="H67" s="99">
        <f>G67+'24'!H67</f>
        <v>1</v>
      </c>
      <c r="I67" s="118"/>
      <c r="J67" s="175">
        <f>H67/DAY(B2)</f>
        <v>0.04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164554</v>
      </c>
      <c r="F68" s="122">
        <v>164571</v>
      </c>
      <c r="G68" s="112">
        <f t="shared" si="6"/>
        <v>17</v>
      </c>
      <c r="H68" s="99">
        <f>G68+'24'!H68</f>
        <v>-91</v>
      </c>
      <c r="I68" s="118"/>
      <c r="J68" s="175">
        <f>H68/DAY(B2)</f>
        <v>-3.64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12238</v>
      </c>
      <c r="F69" s="122">
        <v>12242</v>
      </c>
      <c r="G69" s="112">
        <f t="shared" si="6"/>
        <v>4</v>
      </c>
      <c r="H69" s="99">
        <f>G69+'24'!H69</f>
        <v>-33</v>
      </c>
      <c r="I69" s="118"/>
      <c r="J69" s="175">
        <f>H69/DAY(B2)</f>
        <v>-1.32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9747</v>
      </c>
      <c r="F70" s="122">
        <v>9754</v>
      </c>
      <c r="G70" s="112">
        <f t="shared" si="6"/>
        <v>7</v>
      </c>
      <c r="H70" s="99">
        <f>G70+'24'!H70</f>
        <v>-73</v>
      </c>
      <c r="I70" s="118"/>
      <c r="J70" s="175">
        <f>H70/DAY(B2)</f>
        <v>-2.92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146</v>
      </c>
      <c r="H71" s="99">
        <f>G71+'24'!H71</f>
        <v>-1005</v>
      </c>
      <c r="I71" s="154"/>
      <c r="J71" s="175">
        <f>H71/DAY(B2)</f>
        <v>-40.200000000000003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'24'!F74</f>
        <v>955435.49</v>
      </c>
      <c r="F74" s="410">
        <v>955775.78</v>
      </c>
      <c r="G74" s="236">
        <f t="shared" ref="G74:G78" si="7">F74-E74</f>
        <v>340.29000000003725</v>
      </c>
      <c r="H74" s="99">
        <f>G74+'24'!H74</f>
        <v>-1882.0799999999581</v>
      </c>
      <c r="I74" s="154"/>
      <c r="J74" s="175">
        <f>H74/DAY(B2)</f>
        <v>-75.283199999998317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'24'!F75</f>
        <v>73586.8</v>
      </c>
      <c r="F75" s="410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'24'!F76</f>
        <v>189433</v>
      </c>
      <c r="F76" s="410">
        <v>189528</v>
      </c>
      <c r="G76" s="236">
        <f t="shared" si="7"/>
        <v>95</v>
      </c>
      <c r="H76" s="99">
        <f>G76+'24'!H76</f>
        <v>-644</v>
      </c>
      <c r="I76" s="154"/>
      <c r="J76" s="175">
        <f>H76/DAY(B2)</f>
        <v>-25.76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'24'!F77</f>
        <v>49961.8</v>
      </c>
      <c r="F77" s="410">
        <v>50005.4</v>
      </c>
      <c r="G77" s="236">
        <f t="shared" si="7"/>
        <v>43.599999999998545</v>
      </c>
      <c r="H77" s="99">
        <f>G77+'24'!H77</f>
        <v>-307.59999999999854</v>
      </c>
      <c r="I77" s="154"/>
      <c r="J77" s="175">
        <f>H77/DAY(B2)</f>
        <v>-12.303999999999942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'24'!F78</f>
        <v>9563</v>
      </c>
      <c r="F78" s="410">
        <v>9563</v>
      </c>
      <c r="G78" s="236">
        <f t="shared" si="7"/>
        <v>0</v>
      </c>
      <c r="H78" s="99">
        <f>G78+'24'!H78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'24'!F79</f>
        <v>0</v>
      </c>
      <c r="F79" s="117"/>
      <c r="G79" s="112">
        <f>G15-SUM(G74:G78)</f>
        <v>521.1099999999642</v>
      </c>
      <c r="H79" s="99">
        <f>G79+'24'!H79</f>
        <v>27973.679999999957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6">
        <f>'24'!F84</f>
        <v>42514</v>
      </c>
      <c r="F84" s="164">
        <v>42513.57</v>
      </c>
      <c r="G84" s="236">
        <f t="shared" si="8"/>
        <v>-0.43000000000029104</v>
      </c>
      <c r="H84" s="99">
        <f>G84+'24'!H84</f>
        <v>-75.430000000000291</v>
      </c>
      <c r="I84" s="571"/>
      <c r="J84" s="175">
        <f>H84/DAY(B2)</f>
        <v>-3.0172000000000114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5125.3599999999997</v>
      </c>
      <c r="F85" s="164">
        <v>5140.1899999999996</v>
      </c>
      <c r="G85" s="112">
        <f t="shared" si="8"/>
        <v>14.829999999999927</v>
      </c>
      <c r="H85" s="99">
        <f>G85+'24'!H85</f>
        <v>0</v>
      </c>
      <c r="I85" s="571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45225.31</v>
      </c>
      <c r="F86" s="164">
        <v>45249.46</v>
      </c>
      <c r="G86" s="112">
        <f t="shared" si="8"/>
        <v>24.150000000001455</v>
      </c>
      <c r="H86" s="99">
        <f>G86+'24'!H86</f>
        <v>-129.54000000000087</v>
      </c>
      <c r="I86" s="571"/>
      <c r="J86" s="175">
        <f>H86/DAY(B2)</f>
        <v>-5.1816000000000351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35446.57</v>
      </c>
      <c r="F87" s="164">
        <v>35446.57</v>
      </c>
      <c r="G87" s="112">
        <f t="shared" si="8"/>
        <v>0</v>
      </c>
      <c r="H87" s="99">
        <f>G87+'24'!H87</f>
        <v>-10.860000000000582</v>
      </c>
      <c r="I87" s="571">
        <f>G84+G85+G86+G87</f>
        <v>38.550000000001091</v>
      </c>
      <c r="J87" s="175">
        <f>H87/DAY(B2)</f>
        <v>-0.43440000000002327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24297</v>
      </c>
      <c r="F88" s="164">
        <v>24297</v>
      </c>
      <c r="G88" s="112">
        <f t="shared" si="8"/>
        <v>0</v>
      </c>
      <c r="H88" s="99">
        <f>G88+'24'!H88</f>
        <v>-6.4599999999991269</v>
      </c>
      <c r="I88" s="571"/>
      <c r="J88" s="175">
        <f>H88/DAY(B2)</f>
        <v>-0.2583999999999651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27501.64</v>
      </c>
      <c r="F89" s="164">
        <v>27510.91</v>
      </c>
      <c r="G89" s="112">
        <f t="shared" si="8"/>
        <v>9.2700000000004366</v>
      </c>
      <c r="H89" s="99">
        <f>G89+'24'!H89</f>
        <v>-55.700000000000728</v>
      </c>
      <c r="I89" s="571">
        <f>G88+G89</f>
        <v>9.2700000000004366</v>
      </c>
      <c r="J89" s="175">
        <f>H89/DAY(B2)</f>
        <v>-2.2280000000000291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72531.27</v>
      </c>
      <c r="F90" s="164">
        <v>72542.41</v>
      </c>
      <c r="G90" s="112">
        <f t="shared" si="8"/>
        <v>11.139999999999418</v>
      </c>
      <c r="H90" s="99">
        <f>G90+'24'!H90</f>
        <v>-64.139999999999418</v>
      </c>
      <c r="I90" s="571">
        <f>G90</f>
        <v>11.139999999999418</v>
      </c>
      <c r="J90" s="175">
        <f>H90/DAY(B2)</f>
        <v>-2.5655999999999768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4289.54</v>
      </c>
      <c r="F91" s="122">
        <v>4289.54</v>
      </c>
      <c r="G91" s="112">
        <f t="shared" si="8"/>
        <v>0</v>
      </c>
      <c r="H91" s="99">
        <f>G91+'24'!H91</f>
        <v>2.6199999999998909</v>
      </c>
      <c r="I91" s="590"/>
      <c r="J91" s="175">
        <f>H91/DAY(B2)</f>
        <v>0.10479999999999563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6640.68</v>
      </c>
      <c r="F92" s="164">
        <v>6652.43</v>
      </c>
      <c r="G92" s="112">
        <f t="shared" si="8"/>
        <v>11.75</v>
      </c>
      <c r="H92" s="99">
        <f>G92+'24'!H92</f>
        <v>-64.899999999999636</v>
      </c>
      <c r="I92" s="596">
        <f>G91+G92</f>
        <v>11.75</v>
      </c>
      <c r="J92" s="175">
        <f>H92/DAY(B2)</f>
        <v>-2.5959999999999854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6656.4700000000303</v>
      </c>
      <c r="H94" s="99">
        <f>G94+'24'!H94</f>
        <v>-45183.039999999979</v>
      </c>
      <c r="I94" s="118"/>
      <c r="J94" s="175">
        <f>H94/DAY(B2)</f>
        <v>-1807.3215999999991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0.25406374045801644</v>
      </c>
      <c r="H95" s="99">
        <f>G95+'24'!H95</f>
        <v>-1.6996656339111404</v>
      </c>
      <c r="I95" s="167"/>
      <c r="J95" s="175">
        <f>H95/DAY(B2)</f>
        <v>-6.7986625356445618E-2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6807.7199999999721</v>
      </c>
      <c r="H96" s="99">
        <f>G96+'24'!H96</f>
        <v>-35452.339999999997</v>
      </c>
      <c r="I96" s="118"/>
      <c r="J96" s="175">
        <f>H96/DAY(B2)</f>
        <v>-1418.0935999999999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0.25983664122137295</v>
      </c>
      <c r="H97" s="99">
        <f>G97+'24'!H97</f>
        <v>-1.3321634714462953</v>
      </c>
      <c r="I97" s="167"/>
      <c r="J97" s="175">
        <f>H97/DAY(B2)</f>
        <v>-5.3286538857851812E-2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4235.25</v>
      </c>
      <c r="H98" s="99">
        <f>G98+'24'!H98</f>
        <v>-26186.170000000056</v>
      </c>
      <c r="I98" s="168"/>
      <c r="J98" s="175">
        <f>H98/DAY(B2)</f>
        <v>-1047.4468000000022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0.16165076335877862</v>
      </c>
      <c r="H99" s="99">
        <f>G99+'24'!H99</f>
        <v>-0.98566329587674073</v>
      </c>
      <c r="I99" s="168"/>
      <c r="J99" s="175">
        <f>H99/DAY(B2)</f>
        <v>-3.9426531835069632E-2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2167.1599999999744</v>
      </c>
      <c r="H100" s="99">
        <f>G100+'24'!H100</f>
        <v>-13653.530000000028</v>
      </c>
      <c r="I100" s="118"/>
      <c r="J100" s="175">
        <f>H100/DAY(B2)</f>
        <v>-546.14120000000116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8.2716030534350171E-2</v>
      </c>
      <c r="H101" s="99">
        <f>G101+'24'!H101</f>
        <v>-0.51275583118697587</v>
      </c>
      <c r="I101" s="168"/>
      <c r="J101" s="175">
        <f>H101/DAY(B2)</f>
        <v>-2.0510233247479037E-2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2372.6799999999639</v>
      </c>
      <c r="H102" s="99">
        <f>G102+'24'!H102</f>
        <v>-12455.820000000036</v>
      </c>
      <c r="I102" s="168"/>
      <c r="J102" s="175">
        <f>H102/DAY(B2)</f>
        <v>-498.23280000000142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9.0560305343510075E-2</v>
      </c>
      <c r="H103" s="99">
        <f>G103+'24'!H103</f>
        <v>-0.47034573426557541</v>
      </c>
      <c r="I103" s="118"/>
      <c r="J103" s="175">
        <f>H103/DAY(B2)</f>
        <v>-1.8813829370623016E-2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1084.4899999999998</v>
      </c>
      <c r="H104" s="99">
        <f>G104+'24'!H104</f>
        <v>-6498.9399999999978</v>
      </c>
      <c r="I104" s="118"/>
      <c r="J104" s="175">
        <f>H104/DAY(B2)</f>
        <v>-259.9575999999999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4.1392748091603045E-2</v>
      </c>
      <c r="H105" s="99">
        <f>G105+'24'!H105</f>
        <v>-0.24339808422592052</v>
      </c>
      <c r="I105" s="187"/>
      <c r="J105" s="188">
        <f>H105/DAY(B2)</f>
        <v>-9.7359233690368207E-3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'24'!F112</f>
        <v>6749.29</v>
      </c>
      <c r="F112" s="237">
        <v>6826.51</v>
      </c>
      <c r="G112" s="112">
        <f t="shared" ref="G112:G123" si="9">F112-E112</f>
        <v>77.220000000000255</v>
      </c>
      <c r="H112" s="99">
        <f>G112+'24'!H112</f>
        <v>20.510000000000218</v>
      </c>
      <c r="I112" s="165"/>
      <c r="J112" s="328">
        <f>H112/DAY(B2)</f>
        <v>0.82040000000000868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'24'!F113</f>
        <v>14040.47</v>
      </c>
      <c r="F113" s="237">
        <v>14179.3</v>
      </c>
      <c r="G113" s="112">
        <f t="shared" si="9"/>
        <v>138.82999999999993</v>
      </c>
      <c r="H113" s="99">
        <f>G113+'24'!H113</f>
        <v>-835.70000000000073</v>
      </c>
      <c r="I113" s="165"/>
      <c r="J113" s="328">
        <f>H113/DAY(B2)</f>
        <v>-33.428000000000026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'24'!F114</f>
        <v>19735.080000000002</v>
      </c>
      <c r="F114" s="237">
        <v>19955.78</v>
      </c>
      <c r="G114" s="112">
        <f t="shared" si="9"/>
        <v>220.69999999999709</v>
      </c>
      <c r="H114" s="99">
        <f>G114+'24'!H114</f>
        <v>-1312.2200000000012</v>
      </c>
      <c r="I114" s="165"/>
      <c r="J114" s="328">
        <f>H114/DAY(B2)</f>
        <v>-52.488800000000047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'24'!F115</f>
        <v>12311.88</v>
      </c>
      <c r="F115" s="237">
        <v>12496.67</v>
      </c>
      <c r="G115" s="112">
        <f t="shared" si="9"/>
        <v>184.79000000000087</v>
      </c>
      <c r="H115" s="99">
        <f>G115+'24'!H115</f>
        <v>-1042.5500000000011</v>
      </c>
      <c r="I115" s="165"/>
      <c r="J115" s="328">
        <f>H115/DAY(B2)</f>
        <v>-41.702000000000041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'24'!F116</f>
        <v>67816.31</v>
      </c>
      <c r="F116" s="237">
        <v>68225.33</v>
      </c>
      <c r="G116" s="112">
        <f t="shared" si="9"/>
        <v>409.02000000000407</v>
      </c>
      <c r="H116" s="99">
        <f>G116+'24'!H116</f>
        <v>-2266.6699999999983</v>
      </c>
      <c r="I116" s="165"/>
      <c r="J116" s="328">
        <f>H116/DAY(B2)</f>
        <v>-90.666799999999924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'24'!F117</f>
        <v>39117.35</v>
      </c>
      <c r="F117" s="237">
        <v>39325.019999999997</v>
      </c>
      <c r="G117" s="112">
        <f t="shared" si="9"/>
        <v>207.66999999999825</v>
      </c>
      <c r="H117" s="99">
        <f>G117+'24'!H117</f>
        <v>-1596.9800000000032</v>
      </c>
      <c r="I117" s="165"/>
      <c r="J117" s="328">
        <f>H117/DAY(B2)</f>
        <v>-63.879200000000125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'24'!F118</f>
        <v>60326.29</v>
      </c>
      <c r="F118" s="237">
        <v>60951.8</v>
      </c>
      <c r="G118" s="112">
        <f t="shared" si="9"/>
        <v>625.51000000000204</v>
      </c>
      <c r="H118" s="99">
        <f>G118+'24'!H118</f>
        <v>-3720.1999999999971</v>
      </c>
      <c r="I118" s="165"/>
      <c r="J118" s="328">
        <f>H118/DAY(B2)</f>
        <v>-148.80799999999988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'24'!F119</f>
        <v>35869.14</v>
      </c>
      <c r="F119" s="237">
        <v>36102.300000000003</v>
      </c>
      <c r="G119" s="112">
        <f t="shared" si="9"/>
        <v>233.16000000000349</v>
      </c>
      <c r="H119" s="99">
        <f>G119+'24'!H119</f>
        <v>-1346.6999999999971</v>
      </c>
      <c r="I119" s="165"/>
      <c r="J119" s="328">
        <f>H119/DAY(B2)</f>
        <v>-53.867999999999881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'24'!F120</f>
        <v>43449.54</v>
      </c>
      <c r="F120" s="237">
        <v>43824.959999999999</v>
      </c>
      <c r="G120" s="112">
        <f t="shared" si="9"/>
        <v>375.41999999999825</v>
      </c>
      <c r="H120" s="99">
        <f>G120+'24'!H120</f>
        <v>-2442.0400000000009</v>
      </c>
      <c r="I120" s="165"/>
      <c r="J120" s="328">
        <f>H120/DAY(B2)</f>
        <v>-97.681600000000032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'24'!F121</f>
        <v>50238.86</v>
      </c>
      <c r="F121" s="237">
        <v>50677.24</v>
      </c>
      <c r="G121" s="112">
        <f t="shared" si="9"/>
        <v>438.37999999999738</v>
      </c>
      <c r="H121" s="99">
        <f>G121+'24'!H121</f>
        <v>-2865.760000000002</v>
      </c>
      <c r="I121" s="165"/>
      <c r="J121" s="328">
        <f>H121/DAY(B2)</f>
        <v>-114.63040000000008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'24'!F122</f>
        <v>26816.93</v>
      </c>
      <c r="F122" s="237">
        <v>27050.720000000001</v>
      </c>
      <c r="G122" s="112">
        <f t="shared" si="9"/>
        <v>233.79000000000087</v>
      </c>
      <c r="H122" s="99">
        <f>G122+'24'!H122</f>
        <v>-1623.2799999999988</v>
      </c>
      <c r="I122" s="165"/>
      <c r="J122" s="328">
        <f>H122/DAY(B2)</f>
        <v>-64.931199999999947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'24'!F123</f>
        <v>27972.74</v>
      </c>
      <c r="F123" s="237">
        <v>28282.52</v>
      </c>
      <c r="G123" s="112">
        <f t="shared" si="9"/>
        <v>309.77999999999884</v>
      </c>
      <c r="H123" s="99">
        <f>G123+'24'!H123</f>
        <v>-1905.4799999999996</v>
      </c>
      <c r="I123" s="165"/>
      <c r="J123" s="328">
        <f>H123/DAY(B2)</f>
        <v>-76.219199999999987</v>
      </c>
    </row>
    <row r="124" spans="1:18" ht="29.25" customHeight="1">
      <c r="A124" s="898"/>
      <c r="B124" s="899"/>
      <c r="C124" s="900"/>
      <c r="D124" s="165"/>
      <c r="E124" s="165"/>
      <c r="F124" s="165"/>
      <c r="G124" s="327"/>
      <c r="H124" s="156"/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3454.2700000000013</v>
      </c>
      <c r="H125" s="156"/>
      <c r="I125" s="327">
        <f>G125-(G39+G53)</f>
        <v>-780.97999999999865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'24'!F128</f>
        <v>124018.38</v>
      </c>
      <c r="F128" s="155">
        <v>124562.79</v>
      </c>
      <c r="G128" s="112">
        <f t="shared" ref="G128:G134" si="10">F128-E128</f>
        <v>544.40999999998894</v>
      </c>
      <c r="H128" s="99">
        <f>G128+'24'!H128</f>
        <v>-3081.2100000000064</v>
      </c>
      <c r="I128" s="165"/>
      <c r="J128" s="328">
        <f>H128/DAY(B2)</f>
        <v>-123.24840000000026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71236.59</v>
      </c>
      <c r="F129" s="155">
        <v>71400.44</v>
      </c>
      <c r="G129" s="112">
        <f t="shared" si="10"/>
        <v>163.85000000000582</v>
      </c>
      <c r="H129" s="99">
        <f>G129+'24'!H129</f>
        <v>-1102.5599999999977</v>
      </c>
      <c r="I129" s="165"/>
      <c r="J129" s="328">
        <f>H129/DAY(B2)</f>
        <v>-44.102399999999903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159261.65</v>
      </c>
      <c r="F130" s="155">
        <v>160008.72</v>
      </c>
      <c r="G130" s="112">
        <f t="shared" si="10"/>
        <v>747.07000000000698</v>
      </c>
      <c r="H130" s="99">
        <f>G130+'24'!H130</f>
        <v>-5132.5499999999884</v>
      </c>
      <c r="I130" s="165"/>
      <c r="J130" s="328">
        <f>H130/DAY(B2)</f>
        <v>-205.30199999999954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'24'!F131</f>
        <v>46966.32</v>
      </c>
      <c r="F131" s="155">
        <v>47164.6</v>
      </c>
      <c r="G131" s="112">
        <f t="shared" si="10"/>
        <v>198.27999999999884</v>
      </c>
      <c r="H131" s="99">
        <f>G131+'24'!H131</f>
        <v>-1284.4000000000015</v>
      </c>
      <c r="I131" s="165"/>
      <c r="J131" s="328">
        <f>H131/DAY(B2)</f>
        <v>-51.376000000000062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'24'!F132</f>
        <v>125824.78</v>
      </c>
      <c r="F132" s="155">
        <v>126161.4</v>
      </c>
      <c r="G132" s="112">
        <f t="shared" si="10"/>
        <v>336.61999999999534</v>
      </c>
      <c r="H132" s="99">
        <f>G132+'24'!H132</f>
        <v>-2012.6000000000058</v>
      </c>
      <c r="I132" s="165"/>
      <c r="J132" s="328">
        <f>H132/DAY(B2)</f>
        <v>-80.504000000000232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'24'!F133</f>
        <v>224035.59</v>
      </c>
      <c r="F133" s="155">
        <v>224035.59</v>
      </c>
      <c r="G133" s="112">
        <f t="shared" si="10"/>
        <v>0</v>
      </c>
      <c r="H133" s="99">
        <f>G133+'24'!H133</f>
        <v>571233.43000000017</v>
      </c>
      <c r="I133" s="165"/>
      <c r="J133" s="328">
        <f>H133/DAY(B2)</f>
        <v>22849.337200000005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'24'!F134</f>
        <v>47582.51</v>
      </c>
      <c r="F134" s="157">
        <v>47795.87</v>
      </c>
      <c r="G134" s="112">
        <f t="shared" si="10"/>
        <v>213.36000000000058</v>
      </c>
      <c r="H134" s="99">
        <f>G134+'24'!H134</f>
        <v>-1239.1299999999974</v>
      </c>
      <c r="I134" s="165"/>
      <c r="J134" s="328">
        <f>H134/DAY(B2)</f>
        <v>-49.565199999999898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2203.5899999999965</v>
      </c>
      <c r="H135" s="99">
        <f>G135+'23'!H135</f>
        <v>525543.19000000006</v>
      </c>
      <c r="I135" s="327">
        <f>G135-(G35+G49)</f>
        <v>-1496.5000000000291</v>
      </c>
      <c r="J135" s="328"/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'24'!F138</f>
        <v>890108</v>
      </c>
      <c r="F138" s="147">
        <v>890223</v>
      </c>
      <c r="G138" s="112">
        <f t="shared" ref="G138:G152" si="11">F138-E138</f>
        <v>115</v>
      </c>
      <c r="H138" s="99">
        <f>G138+'24'!H138</f>
        <v>-872</v>
      </c>
      <c r="I138" s="118"/>
      <c r="J138" s="328">
        <f>H138/DAY(B2)</f>
        <v>-34.880000000000003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'24'!F139</f>
        <v>907875</v>
      </c>
      <c r="F139" s="148">
        <v>908027</v>
      </c>
      <c r="G139" s="112">
        <f t="shared" si="11"/>
        <v>152</v>
      </c>
      <c r="H139" s="99">
        <f>G139+'24'!H139</f>
        <v>-868</v>
      </c>
      <c r="I139" s="118"/>
      <c r="J139" s="328">
        <f>H139/DAY(B2)</f>
        <v>-34.72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'24'!F140</f>
        <v>1410.22</v>
      </c>
      <c r="F140" s="149">
        <v>1425.29</v>
      </c>
      <c r="G140" s="112">
        <f t="shared" si="11"/>
        <v>15.069999999999936</v>
      </c>
      <c r="H140" s="99">
        <f>G140+'24'!H140</f>
        <v>508.05999999999403</v>
      </c>
      <c r="I140" s="118"/>
      <c r="J140" s="328">
        <f>H140/DAY(B2)</f>
        <v>20.32239999999976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'24'!F141</f>
        <v>89015.93</v>
      </c>
      <c r="F141" s="149">
        <v>89227.29</v>
      </c>
      <c r="G141" s="112">
        <f t="shared" si="11"/>
        <v>211.36000000000058</v>
      </c>
      <c r="H141" s="99">
        <f>G141+'24'!H141</f>
        <v>-1224.7100000000064</v>
      </c>
      <c r="I141" s="118"/>
      <c r="J141" s="328">
        <f>H141/DAY(B2)</f>
        <v>-48.988400000000254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'24'!F142</f>
        <v>36124.19</v>
      </c>
      <c r="F142" s="148">
        <v>36205.839999999997</v>
      </c>
      <c r="G142" s="112">
        <f t="shared" si="11"/>
        <v>81.649999999994179</v>
      </c>
      <c r="H142" s="99">
        <f>G142+'24'!H142</f>
        <v>-455.16000000000349</v>
      </c>
      <c r="I142" s="140"/>
      <c r="J142" s="328">
        <f>H142/DAY(B2)</f>
        <v>-18.206400000000141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'24'!F143</f>
        <v>8851.2800000000007</v>
      </c>
      <c r="F143" s="149">
        <v>8877.14</v>
      </c>
      <c r="G143" s="112">
        <f t="shared" si="11"/>
        <v>25.859999999998763</v>
      </c>
      <c r="H143" s="99">
        <f>G143+'24'!H143</f>
        <v>-173.86000000000058</v>
      </c>
      <c r="I143" s="140"/>
      <c r="J143" s="328">
        <f>H143/DAY(B2)</f>
        <v>-6.9544000000000237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'24'!F144</f>
        <v>918243</v>
      </c>
      <c r="F144" s="149">
        <v>918484</v>
      </c>
      <c r="G144" s="112">
        <f t="shared" si="11"/>
        <v>241</v>
      </c>
      <c r="H144" s="99">
        <f>G144+'24'!H144</f>
        <v>-1353</v>
      </c>
      <c r="I144" s="140"/>
      <c r="J144" s="328">
        <f>H144/DAY(B2)</f>
        <v>-54.12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'24'!F145</f>
        <v>5798.39</v>
      </c>
      <c r="F145" s="149">
        <v>5798.41</v>
      </c>
      <c r="G145" s="112">
        <f t="shared" si="11"/>
        <v>1.9999999999527063E-2</v>
      </c>
      <c r="H145" s="99">
        <f>G145+'24'!H145</f>
        <v>-8.5900000000001455</v>
      </c>
      <c r="I145" s="140"/>
      <c r="J145" s="328">
        <f>H145/DAY(B2)</f>
        <v>-0.34360000000000585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'24'!F146</f>
        <v>780295</v>
      </c>
      <c r="F146" s="148">
        <v>780362</v>
      </c>
      <c r="G146" s="112">
        <f t="shared" si="11"/>
        <v>67</v>
      </c>
      <c r="H146" s="99">
        <f>G146+'24'!H146</f>
        <v>-438</v>
      </c>
      <c r="I146" s="140"/>
      <c r="J146" s="328">
        <f>H146/DAY(B2)</f>
        <v>-17.52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'24'!F147</f>
        <v>696933</v>
      </c>
      <c r="F147" s="148">
        <v>697392.56</v>
      </c>
      <c r="G147" s="112">
        <f t="shared" si="11"/>
        <v>459.56000000005588</v>
      </c>
      <c r="H147" s="99">
        <f>G147+'24'!H147</f>
        <v>-2376.4399999999441</v>
      </c>
      <c r="I147" s="140"/>
      <c r="J147" s="328">
        <f>H147/DAY(B2)</f>
        <v>-95.057599999997763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'24'!F148</f>
        <v>746314.48</v>
      </c>
      <c r="F148" s="164">
        <v>746574.15</v>
      </c>
      <c r="G148" s="112">
        <f t="shared" si="11"/>
        <v>259.67000000004191</v>
      </c>
      <c r="H148" s="99">
        <f>G148+'24'!H148</f>
        <v>-1955.8499999999767</v>
      </c>
      <c r="I148" s="124"/>
      <c r="J148" s="328">
        <f>H148/DAY(B2)</f>
        <v>-78.233999999999071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'24'!F149</f>
        <v>129106.1</v>
      </c>
      <c r="F149" s="146">
        <v>129526.48</v>
      </c>
      <c r="G149" s="112">
        <f t="shared" si="11"/>
        <v>420.3799999999901</v>
      </c>
      <c r="H149" s="99">
        <f>G149+'24'!H149</f>
        <v>-2907.5200000000041</v>
      </c>
      <c r="I149" s="119"/>
      <c r="J149" s="328">
        <f>H149/DAY(B2)</f>
        <v>-116.30080000000017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'24'!F150</f>
        <v>49038.85</v>
      </c>
      <c r="F150" s="233">
        <v>49258</v>
      </c>
      <c r="G150" s="112">
        <f t="shared" si="11"/>
        <v>219.15000000000146</v>
      </c>
      <c r="H150" s="99">
        <f>G150+'24'!H150</f>
        <v>-1357</v>
      </c>
      <c r="I150" s="119"/>
      <c r="J150" s="328">
        <f>H150/DAY(B2)</f>
        <v>-54.28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'24'!F151</f>
        <v>133309</v>
      </c>
      <c r="F151" s="233">
        <v>133578</v>
      </c>
      <c r="G151" s="112">
        <f t="shared" si="11"/>
        <v>269</v>
      </c>
      <c r="H151" s="99">
        <f>G151+'24'!H151</f>
        <v>-1871</v>
      </c>
      <c r="I151" s="119"/>
      <c r="J151" s="328">
        <f>H151/DAY(B2)</f>
        <v>-74.84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'24'!F152</f>
        <v>22298.86</v>
      </c>
      <c r="F152" s="233">
        <v>22421.360000000001</v>
      </c>
      <c r="G152" s="112">
        <f t="shared" si="11"/>
        <v>122.5</v>
      </c>
      <c r="H152" s="99">
        <f>G152+'24'!H152</f>
        <v>-732.63999999999942</v>
      </c>
      <c r="I152" s="119"/>
      <c r="J152" s="328">
        <f>H152/DAY(B2)</f>
        <v>-29.305599999999977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2659.2200000000821</v>
      </c>
      <c r="H153" s="363"/>
      <c r="I153" s="119">
        <f>G153-(G38+G52)</f>
        <v>492.06000000010772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'24'!F155</f>
        <v>143866.93</v>
      </c>
      <c r="F155" s="157">
        <v>144478.31</v>
      </c>
      <c r="G155" s="112">
        <f t="shared" ref="G155:G158" si="12">F155-E155</f>
        <v>611.38000000000466</v>
      </c>
      <c r="H155" s="99">
        <f>G155+'24'!H155</f>
        <v>-3670.6900000000023</v>
      </c>
      <c r="I155" s="364"/>
      <c r="J155" s="328">
        <f>H155/DAY(B2)</f>
        <v>-146.8276000000001</v>
      </c>
    </row>
    <row r="156" spans="1:10" ht="25.5">
      <c r="A156" s="872" t="s">
        <v>347</v>
      </c>
      <c r="B156" s="872"/>
      <c r="C156" s="872"/>
      <c r="D156" s="117" t="s">
        <v>130</v>
      </c>
      <c r="E156" s="95">
        <f>'24'!F156</f>
        <v>14084.71</v>
      </c>
      <c r="F156" s="157">
        <v>14174.12</v>
      </c>
      <c r="G156" s="112">
        <f t="shared" si="12"/>
        <v>89.410000000001673</v>
      </c>
      <c r="H156" s="99">
        <f>G156+'24'!H156</f>
        <v>-559.8799999999992</v>
      </c>
      <c r="I156" s="165"/>
      <c r="J156" s="328">
        <f>H156/DAY(B2)</f>
        <v>-22.395199999999967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'24'!F157</f>
        <v>26438.959999999999</v>
      </c>
      <c r="F157" s="157">
        <v>26561.119999999999</v>
      </c>
      <c r="G157" s="112">
        <f t="shared" si="12"/>
        <v>122.15999999999985</v>
      </c>
      <c r="H157" s="99">
        <f>G157+'24'!H157</f>
        <v>700.65999999999985</v>
      </c>
      <c r="I157" s="165"/>
      <c r="J157" s="328"/>
    </row>
    <row r="158" spans="1:10" ht="25.5">
      <c r="A158" s="873" t="s">
        <v>361</v>
      </c>
      <c r="B158" s="874"/>
      <c r="C158" s="875"/>
      <c r="D158" s="117" t="s">
        <v>130</v>
      </c>
      <c r="E158" s="95">
        <f>'24'!F158</f>
        <v>231.27</v>
      </c>
      <c r="F158" s="157">
        <v>232.38</v>
      </c>
      <c r="G158" s="112">
        <f t="shared" si="12"/>
        <v>1.1099999999999852</v>
      </c>
      <c r="H158" s="99">
        <f>G158+'24'!H158</f>
        <v>3.6800000000000068</v>
      </c>
      <c r="I158" s="165"/>
      <c r="J158" s="328"/>
    </row>
    <row r="159" spans="1:10" ht="25.5">
      <c r="A159" s="958"/>
      <c r="B159" s="959"/>
      <c r="C159" s="960"/>
      <c r="D159" s="117"/>
      <c r="E159" s="95"/>
      <c r="F159" s="158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479748.76</v>
      </c>
      <c r="F161" s="235">
        <v>479795.72</v>
      </c>
      <c r="G161" s="238">
        <f t="shared" ref="G161:G165" si="13">F161-E161</f>
        <v>46.959999999962747</v>
      </c>
      <c r="H161" s="99">
        <f>G161+'24'!H161</f>
        <v>613.43999999994412</v>
      </c>
      <c r="I161" s="236"/>
      <c r="J161" s="239">
        <f>H161/DAY(B2)</f>
        <v>24.537599999997767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94669.9</v>
      </c>
      <c r="F162" s="235">
        <v>94705.2</v>
      </c>
      <c r="G162" s="238">
        <f t="shared" si="13"/>
        <v>35.30000000000291</v>
      </c>
      <c r="H162" s="99">
        <f>G162+'24'!H162</f>
        <v>-222.80000000000291</v>
      </c>
      <c r="I162" s="236"/>
      <c r="J162" s="239">
        <f>H162/DAY(B2)</f>
        <v>-8.9120000000001163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5585.3</v>
      </c>
      <c r="F163" s="235">
        <v>5710.8</v>
      </c>
      <c r="G163" s="238">
        <f t="shared" si="13"/>
        <v>125.5</v>
      </c>
      <c r="H163" s="99">
        <f>G163+'24'!H163</f>
        <v>-790.19999999999982</v>
      </c>
      <c r="I163" s="236"/>
      <c r="J163" s="239">
        <f>H163/DAY(B2)</f>
        <v>-31.607999999999993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6183.9</v>
      </c>
      <c r="F164" s="235">
        <v>6197.7</v>
      </c>
      <c r="G164" s="238">
        <f t="shared" si="13"/>
        <v>13.800000000000182</v>
      </c>
      <c r="H164" s="99">
        <f>G164+'24'!H164</f>
        <v>-82.300000000000182</v>
      </c>
      <c r="I164" s="236"/>
      <c r="J164" s="239">
        <f>H164/DAY(B2)</f>
        <v>-3.2920000000000074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31570</v>
      </c>
      <c r="F165" s="235">
        <v>31579.07</v>
      </c>
      <c r="G165" s="238">
        <f t="shared" si="13"/>
        <v>9.069999999999709</v>
      </c>
      <c r="H165" s="99">
        <f>G165+'24'!H165</f>
        <v>-54.930000000000291</v>
      </c>
      <c r="I165" s="236"/>
      <c r="J165" s="239">
        <f>H165/DAY(B2)</f>
        <v>-2.1972000000000116</v>
      </c>
    </row>
    <row r="166" spans="1:10" ht="26.25">
      <c r="A166" s="881"/>
      <c r="B166" s="881"/>
      <c r="C166" s="246"/>
      <c r="D166" s="244" t="s">
        <v>180</v>
      </c>
      <c r="E166" s="95">
        <f>'24'!F166</f>
        <v>0</v>
      </c>
      <c r="F166" s="165" t="s">
        <v>376</v>
      </c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1.75" customHeight="1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87" t="s">
        <v>209</v>
      </c>
      <c r="B173" s="888"/>
      <c r="C173" s="333"/>
      <c r="D173" s="228" t="s">
        <v>142</v>
      </c>
      <c r="E173" s="95">
        <f>'24'!F173</f>
        <v>8229</v>
      </c>
      <c r="F173" s="155">
        <v>8229</v>
      </c>
      <c r="G173" s="155">
        <f>F173-E173</f>
        <v>0</v>
      </c>
      <c r="H173" s="99">
        <f>G173+'24'!H173</f>
        <v>41</v>
      </c>
      <c r="I173" s="155"/>
      <c r="J173" s="178">
        <f>H173/DAY(B2)</f>
        <v>1.64</v>
      </c>
    </row>
    <row r="174" spans="1:10" ht="27.75" customHeight="1">
      <c r="A174" s="887" t="s">
        <v>75</v>
      </c>
      <c r="B174" s="888"/>
      <c r="C174" s="333"/>
      <c r="D174" s="228" t="s">
        <v>142</v>
      </c>
      <c r="E174" s="95">
        <f>'24'!F174</f>
        <v>41104</v>
      </c>
      <c r="F174" s="157">
        <v>41118</v>
      </c>
      <c r="G174" s="155">
        <f t="shared" ref="G174:G175" si="14">F174-E174</f>
        <v>14</v>
      </c>
      <c r="H174" s="99">
        <f>G174+'24'!H174</f>
        <v>-86</v>
      </c>
      <c r="I174" s="155"/>
      <c r="J174" s="178">
        <f>H174/DAY(B2)</f>
        <v>-3.44</v>
      </c>
    </row>
    <row r="175" spans="1:10" ht="21.75" customHeight="1">
      <c r="A175" s="887" t="s">
        <v>76</v>
      </c>
      <c r="B175" s="927"/>
      <c r="C175" s="888"/>
      <c r="D175" s="228" t="s">
        <v>142</v>
      </c>
      <c r="E175" s="95">
        <f>'24'!F175</f>
        <v>23948</v>
      </c>
      <c r="F175" s="155">
        <v>23959</v>
      </c>
      <c r="G175" s="155">
        <f t="shared" si="14"/>
        <v>11</v>
      </c>
      <c r="H175" s="99">
        <f>G175+'24'!H175</f>
        <v>-72</v>
      </c>
      <c r="I175" s="155"/>
      <c r="J175" s="178">
        <f>H175/DAY(B2)</f>
        <v>-2.88</v>
      </c>
    </row>
    <row r="176" spans="1:10" ht="23.25" customHeight="1">
      <c r="A176" s="876" t="s">
        <v>196</v>
      </c>
      <c r="B176" s="877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G176+'24'!H176</f>
        <v>-117</v>
      </c>
      <c r="I176" s="155"/>
      <c r="J176" s="178">
        <f>H176/DAY(B2)</f>
        <v>-4.68</v>
      </c>
    </row>
    <row r="177" spans="1:10" ht="21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'24'!F178</f>
        <v>97068</v>
      </c>
      <c r="F178" s="155">
        <v>97156</v>
      </c>
      <c r="G178" s="155">
        <f>F178-E178</f>
        <v>88</v>
      </c>
      <c r="H178" s="99">
        <f>G178+'24'!H178</f>
        <v>-557</v>
      </c>
      <c r="I178" s="155"/>
      <c r="J178" s="178">
        <f>H178/DAY(B2)</f>
        <v>-22.28</v>
      </c>
    </row>
    <row r="179" spans="1:10" ht="24" customHeight="1">
      <c r="A179" s="887" t="s">
        <v>211</v>
      </c>
      <c r="B179" s="888"/>
      <c r="C179" s="333"/>
      <c r="D179" s="228" t="s">
        <v>142</v>
      </c>
      <c r="E179" s="95">
        <f>'24'!F179</f>
        <v>36002</v>
      </c>
      <c r="F179" s="155">
        <v>36002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'24'!F180</f>
        <v>7097</v>
      </c>
      <c r="F180" s="155">
        <v>7111</v>
      </c>
      <c r="G180" s="155">
        <f t="shared" si="15"/>
        <v>14</v>
      </c>
      <c r="H180" s="99">
        <f>G180+'24'!H180</f>
        <v>-58</v>
      </c>
      <c r="I180" s="155"/>
      <c r="J180" s="178">
        <f>H180/DAY(B2)</f>
        <v>-2.3199999999999998</v>
      </c>
    </row>
    <row r="181" spans="1:10" ht="25.5">
      <c r="A181" s="889" t="s">
        <v>108</v>
      </c>
      <c r="B181" s="890"/>
      <c r="C181" s="401"/>
      <c r="D181" s="228" t="s">
        <v>142</v>
      </c>
      <c r="E181" s="95"/>
      <c r="F181" s="155"/>
      <c r="G181" s="155">
        <f>SUM(G178:G180)</f>
        <v>102</v>
      </c>
      <c r="H181" s="99">
        <f>G181+'24'!H181</f>
        <v>-615</v>
      </c>
      <c r="I181" s="155"/>
      <c r="J181" s="178">
        <f>H181/DAY(B2)</f>
        <v>-24.6</v>
      </c>
    </row>
    <row r="182" spans="1:10" ht="25.5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'24'!F183</f>
        <v>17427</v>
      </c>
      <c r="F183" s="157">
        <v>17431</v>
      </c>
      <c r="G183" s="157">
        <f>F183-E183</f>
        <v>4</v>
      </c>
      <c r="H183" s="99">
        <f>G183+'24'!H183</f>
        <v>-42</v>
      </c>
      <c r="I183" s="155"/>
      <c r="J183" s="178">
        <f>H183/DAY(B2)</f>
        <v>-1.68</v>
      </c>
    </row>
    <row r="184" spans="1:10" ht="30.75" customHeight="1">
      <c r="A184" s="887" t="s">
        <v>215</v>
      </c>
      <c r="B184" s="888"/>
      <c r="C184" s="334"/>
      <c r="D184" s="228" t="s">
        <v>142</v>
      </c>
      <c r="E184" s="95">
        <f>'24'!F184</f>
        <v>11874</v>
      </c>
      <c r="F184" s="157">
        <v>11879</v>
      </c>
      <c r="G184" s="157">
        <f t="shared" ref="G184:G185" si="16">F184-E184</f>
        <v>5</v>
      </c>
      <c r="H184" s="99">
        <f>G184+'24'!H184</f>
        <v>-56</v>
      </c>
      <c r="I184" s="155"/>
      <c r="J184" s="178">
        <f>H184/DAY(B2)</f>
        <v>-2.2400000000000002</v>
      </c>
    </row>
    <row r="185" spans="1:10" ht="23.25" customHeight="1">
      <c r="A185" s="887" t="s">
        <v>216</v>
      </c>
      <c r="B185" s="888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400"/>
      <c r="D186" s="228" t="s">
        <v>142</v>
      </c>
      <c r="E186" s="95"/>
      <c r="F186" s="157">
        <v>0</v>
      </c>
      <c r="G186" s="157">
        <f>SUM(G183:G185)</f>
        <v>9</v>
      </c>
      <c r="H186" s="99">
        <f>G186+'24'!H186</f>
        <v>-98</v>
      </c>
      <c r="I186" s="157"/>
      <c r="J186" s="178">
        <f>H186/DAY(B2)</f>
        <v>-3.92</v>
      </c>
    </row>
    <row r="187" spans="1:10" ht="25.5">
      <c r="A187" s="878" t="s">
        <v>217</v>
      </c>
      <c r="B187" s="879"/>
      <c r="C187" s="333"/>
      <c r="D187" s="228" t="s">
        <v>142</v>
      </c>
      <c r="E187" s="95">
        <f>'24'!F187</f>
        <v>0</v>
      </c>
      <c r="F187" s="159"/>
      <c r="G187" s="378">
        <f>G62+G19</f>
        <v>149</v>
      </c>
      <c r="H187" s="99">
        <f>G187+'24'!H187</f>
        <v>-1045</v>
      </c>
      <c r="I187" s="158"/>
      <c r="J187" s="179">
        <f>H187/DAY(B2)</f>
        <v>-41.8</v>
      </c>
    </row>
    <row r="188" spans="1:10" ht="25.5">
      <c r="A188" s="878" t="s">
        <v>218</v>
      </c>
      <c r="B188" s="879"/>
      <c r="C188" s="333"/>
      <c r="D188" s="230" t="s">
        <v>142</v>
      </c>
      <c r="E188" s="95">
        <f>'24'!F188</f>
        <v>0</v>
      </c>
      <c r="F188" s="159"/>
      <c r="G188" s="378">
        <f>G65+G66+G67+G69+G70</f>
        <v>129</v>
      </c>
      <c r="H188" s="99">
        <f>G188+'24'!H188</f>
        <v>1712</v>
      </c>
      <c r="I188" s="158"/>
      <c r="J188" s="179">
        <f>H188/DAY(B2)</f>
        <v>68.48</v>
      </c>
    </row>
    <row r="189" spans="1:10" ht="25.5">
      <c r="A189" s="878" t="s">
        <v>219</v>
      </c>
      <c r="B189" s="879"/>
      <c r="C189" s="333"/>
      <c r="D189" s="230" t="s">
        <v>142</v>
      </c>
      <c r="E189" s="95">
        <f>'24'!F189</f>
        <v>0</v>
      </c>
      <c r="F189" s="157"/>
      <c r="G189" s="377">
        <f>G181</f>
        <v>102</v>
      </c>
      <c r="H189" s="99">
        <f>G189+'24'!H189</f>
        <v>694</v>
      </c>
      <c r="I189" s="158"/>
      <c r="J189" s="179">
        <f>H189/DAY(B2)</f>
        <v>27.76</v>
      </c>
    </row>
    <row r="190" spans="1:10" ht="25.5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1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354</v>
      </c>
      <c r="B2" s="262">
        <v>44768</v>
      </c>
      <c r="C2" s="348" t="s">
        <v>67</v>
      </c>
      <c r="D2" s="218">
        <v>0.54449999999999998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42" t="s">
        <v>119</v>
      </c>
      <c r="F3" s="943"/>
      <c r="G3" s="429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9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186347</v>
      </c>
      <c r="F7" s="95">
        <f>E7+26200</f>
        <v>212547</v>
      </c>
      <c r="G7" s="432">
        <f>F7-E7</f>
        <v>26200</v>
      </c>
      <c r="H7" s="99">
        <f>G7+'25'!H7</f>
        <v>678958.9</v>
      </c>
      <c r="I7" s="113">
        <f>'1'!I7</f>
        <v>12000</v>
      </c>
      <c r="J7" s="175">
        <f>H7/DAY(B2)</f>
        <v>26113.803846153845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334844.40000000002</v>
      </c>
      <c r="F8" s="95">
        <f>E8+26500</f>
        <v>361344.4</v>
      </c>
      <c r="G8" s="433">
        <f>F8-E8</f>
        <v>26500</v>
      </c>
      <c r="H8" s="99">
        <f>G8+'25'!H8</f>
        <v>688266</v>
      </c>
      <c r="I8" s="116"/>
      <c r="J8" s="175">
        <f>H8/DAY(B2)</f>
        <v>26471.76923076923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3245098.7</v>
      </c>
      <c r="F9" s="469">
        <v>3250896.31</v>
      </c>
      <c r="G9" s="432">
        <f>F9-E9</f>
        <v>5797.6099999998696</v>
      </c>
      <c r="H9" s="99">
        <f>G9+'25'!H9</f>
        <v>-28169.689999999944</v>
      </c>
      <c r="I9" s="124">
        <f>I7-J7</f>
        <v>-14113.803846153845</v>
      </c>
      <c r="J9" s="175">
        <f>H9/DAY(B2)</f>
        <v>-1083.4496153846133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1553248.3</v>
      </c>
      <c r="F10" s="353">
        <v>1571445.8</v>
      </c>
      <c r="G10" s="432">
        <f t="shared" ref="G10:G12" si="0">F10-E10</f>
        <v>18197.5</v>
      </c>
      <c r="H10" s="99">
        <f>G10+'25'!H10</f>
        <v>-95712.199999999953</v>
      </c>
      <c r="I10" s="282"/>
      <c r="J10" s="175">
        <f>H10/DAY(B2)</f>
        <v>-3681.2384615384599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4">
        <f>G9+G10+G11+G12</f>
        <v>23995.10999999987</v>
      </c>
      <c r="H13" s="99">
        <f>G13+'25'!H13</f>
        <v>-122547.29000000004</v>
      </c>
      <c r="I13" s="120">
        <f>G7-G13</f>
        <v>2204.8900000001304</v>
      </c>
      <c r="J13" s="175">
        <f>H13/DAY(B2)</f>
        <v>-4713.3573076923094</v>
      </c>
      <c r="K13" s="79"/>
      <c r="L13" s="66"/>
      <c r="N13" s="87">
        <f>G13-G7</f>
        <v>-2204.8900000001304</v>
      </c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'25'!F15</f>
        <v>2126008</v>
      </c>
      <c r="F15" s="469">
        <f>E15+1000</f>
        <v>2127008</v>
      </c>
      <c r="G15" s="432">
        <f>(F15-E15)</f>
        <v>1000</v>
      </c>
      <c r="H15" s="99">
        <f>G15+'25'!H15</f>
        <v>26140</v>
      </c>
      <c r="I15" s="113">
        <f>'1'!I15</f>
        <v>800</v>
      </c>
      <c r="J15" s="175">
        <f>H15/DAY(B2)</f>
        <v>1005.3846153846154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-205.38461538461536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'25'!F18</f>
        <v>15</v>
      </c>
      <c r="F18" s="164">
        <v>18</v>
      </c>
      <c r="G18" s="434">
        <f>F18*10</f>
        <v>180</v>
      </c>
      <c r="H18" s="99">
        <f>G18+'25'!H18</f>
        <v>4750</v>
      </c>
      <c r="I18" s="113">
        <f>'1'!I18</f>
        <v>65</v>
      </c>
      <c r="J18" s="175">
        <f>H18/DAY(B2)</f>
        <v>182.69230769230768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'25'!F19</f>
        <v>162031</v>
      </c>
      <c r="F19" s="122">
        <v>162082</v>
      </c>
      <c r="G19" s="432">
        <f t="shared" ref="G19" si="1">F19-E19</f>
        <v>51</v>
      </c>
      <c r="H19" s="99">
        <f>G19+'25'!H19</f>
        <v>-247</v>
      </c>
      <c r="I19" s="335"/>
      <c r="J19" s="175">
        <f>H19/DAY(B2)</f>
        <v>-9.5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6">
        <f>G18+G19</f>
        <v>231</v>
      </c>
      <c r="H20" s="99">
        <f>G20+'25'!H20</f>
        <v>4503</v>
      </c>
      <c r="I20" s="336">
        <f>I18-J20</f>
        <v>-108.19230769230768</v>
      </c>
      <c r="J20" s="175">
        <f>H20/DAY(B2)</f>
        <v>173.19230769230768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4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4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4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439">
        <f>E27*F27</f>
        <v>238500</v>
      </c>
      <c r="H27" s="99">
        <f>G27+'25'!H27</f>
        <v>6194394</v>
      </c>
      <c r="I27" s="138"/>
      <c r="J27" s="175">
        <f>H27/DAY(B2)</f>
        <v>238245.92307692306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439">
        <f>E28*F28</f>
        <v>70000</v>
      </c>
      <c r="H28" s="99">
        <f>G28+'25'!H28</f>
        <v>1829800</v>
      </c>
      <c r="I28" s="140"/>
      <c r="J28" s="175">
        <f>H28/DAY(B2)</f>
        <v>70376.923076923078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439">
        <f>E30*F30</f>
        <v>7701</v>
      </c>
      <c r="H30" s="99">
        <f>G30+'25'!H30</f>
        <v>-37297</v>
      </c>
      <c r="I30" s="140"/>
      <c r="J30" s="175">
        <f>H30/DAY(B2)</f>
        <v>-1434.5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439">
        <f>E31*F31</f>
        <v>14400</v>
      </c>
      <c r="H31" s="99">
        <f>G31+'25'!H31</f>
        <v>380000</v>
      </c>
      <c r="I31" s="140"/>
      <c r="J31" s="175">
        <f>H31/DAY(B2)</f>
        <v>14615.384615384615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40">
        <f>G27+G28+G29+G30+G31</f>
        <v>330601</v>
      </c>
      <c r="H32" s="99">
        <f>G32+'25'!H32</f>
        <v>8366897</v>
      </c>
      <c r="I32" s="144"/>
      <c r="J32" s="175">
        <f>H32/DAY(B2)</f>
        <v>321803.73076923075</v>
      </c>
      <c r="K32" s="63"/>
      <c r="L32" s="89"/>
      <c r="N32" s="87"/>
      <c r="O32" s="71"/>
    </row>
    <row r="33" spans="1:15" ht="25.5">
      <c r="A33" s="947" t="s">
        <v>331</v>
      </c>
      <c r="B33" s="948"/>
      <c r="C33" s="948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238713.05</v>
      </c>
      <c r="F35" s="145">
        <v>238713.05</v>
      </c>
      <c r="G35" s="432">
        <f t="shared" ref="G35:G46" si="3">F35-E35</f>
        <v>0</v>
      </c>
      <c r="H35" s="99">
        <f>G35+'25'!H35</f>
        <v>4.9999999988358468E-2</v>
      </c>
      <c r="I35" s="95"/>
      <c r="J35" s="175">
        <f>H35/DAY(B2)</f>
        <v>1.9230769226291718E-3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210003.27</v>
      </c>
      <c r="F36" s="145">
        <v>210832.17</v>
      </c>
      <c r="G36" s="432">
        <f t="shared" si="3"/>
        <v>828.90000000002328</v>
      </c>
      <c r="H36" s="99">
        <f>G36+'25'!H36</f>
        <v>-4697.8299999999872</v>
      </c>
      <c r="I36" s="95"/>
      <c r="J36" s="175">
        <f>H36/DAY(B2)</f>
        <v>-180.68576923076873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322998.69</v>
      </c>
      <c r="F37" s="145">
        <v>322998.69</v>
      </c>
      <c r="G37" s="432">
        <f t="shared" si="3"/>
        <v>0</v>
      </c>
      <c r="H37" s="99">
        <f>G37+'25'!H37</f>
        <v>-0.30999999999767169</v>
      </c>
      <c r="I37" s="95"/>
      <c r="J37" s="175">
        <f>H37/DAY(B2)</f>
        <v>-1.1923076922987373E-2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443707.47</v>
      </c>
      <c r="F38" s="108">
        <v>446012.43</v>
      </c>
      <c r="G38" s="432">
        <f t="shared" si="3"/>
        <v>2304.960000000021</v>
      </c>
      <c r="H38" s="99">
        <f>G38+'25'!H38</f>
        <v>-11348.570000000007</v>
      </c>
      <c r="I38" s="95"/>
      <c r="J38" s="175">
        <f>H38/DAY(B2)</f>
        <v>-436.48346153846182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591584.18999999994</v>
      </c>
      <c r="F39" s="145">
        <v>591584.18999999994</v>
      </c>
      <c r="G39" s="432">
        <f t="shared" si="3"/>
        <v>0</v>
      </c>
      <c r="H39" s="99">
        <f>G39+'25'!H39</f>
        <v>0.18999999994412065</v>
      </c>
      <c r="I39" s="95"/>
      <c r="J39" s="175">
        <f>H39/DAY(B2)</f>
        <v>7.3076923055431014E-3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101733.02</v>
      </c>
      <c r="F40" s="145">
        <v>102568.7</v>
      </c>
      <c r="G40" s="432">
        <f t="shared" si="3"/>
        <v>835.67999999999302</v>
      </c>
      <c r="H40" s="99">
        <f>G40+'25'!H40</f>
        <v>-4207.3000000000029</v>
      </c>
      <c r="I40" s="95"/>
      <c r="J40" s="175">
        <f>H40/DAY(B2)</f>
        <v>-161.81923076923087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196381.17</v>
      </c>
      <c r="F41" s="145">
        <v>199140.79</v>
      </c>
      <c r="G41" s="432">
        <f t="shared" si="3"/>
        <v>2759.6199999999953</v>
      </c>
      <c r="H41" s="99">
        <f>G41+'25'!H41</f>
        <v>-12562.209999999992</v>
      </c>
      <c r="I41" s="95"/>
      <c r="J41" s="175">
        <f>H41/DAY(B2)</f>
        <v>-483.16192307692279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748364.07</v>
      </c>
      <c r="F42" s="145">
        <v>748364.07</v>
      </c>
      <c r="G42" s="432">
        <f t="shared" si="3"/>
        <v>0</v>
      </c>
      <c r="H42" s="99">
        <f>G42+'25'!H42</f>
        <v>6.9999999948777258E-2</v>
      </c>
      <c r="I42" s="95"/>
      <c r="J42" s="175">
        <f>H42/DAY(B2)</f>
        <v>2.6923076903375867E-3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407028.03</v>
      </c>
      <c r="F43" s="145">
        <v>407028.03</v>
      </c>
      <c r="G43" s="432">
        <f t="shared" si="3"/>
        <v>0</v>
      </c>
      <c r="H43" s="99">
        <f>G43+'25'!H43</f>
        <v>3.0000000027939677E-2</v>
      </c>
      <c r="I43" s="95"/>
      <c r="J43" s="175">
        <f>H43/DAY(B2)</f>
        <v>1.1538461549207568E-3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6729.1600000000326</v>
      </c>
      <c r="H47" s="99">
        <f>G47+'25'!H47</f>
        <v>-32815.880000000092</v>
      </c>
      <c r="I47" s="95"/>
      <c r="J47" s="175">
        <f>H47/DAY(B2)</f>
        <v>-1262.1492307692342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457572.39</v>
      </c>
      <c r="F49" s="145">
        <v>461535.83</v>
      </c>
      <c r="G49" s="432">
        <f t="shared" ref="G49:G58" si="4">F49-E49</f>
        <v>3963.4400000000023</v>
      </c>
      <c r="H49" s="99">
        <f>G49+'25'!H49</f>
        <v>-23518.169999999984</v>
      </c>
      <c r="I49" s="95"/>
      <c r="J49" s="175">
        <f>H49/DAY(B2)</f>
        <v>-904.54499999999939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275820.90999999997</v>
      </c>
      <c r="F50" s="145">
        <v>277038.27</v>
      </c>
      <c r="G50" s="432">
        <f t="shared" si="4"/>
        <v>1217.3600000000442</v>
      </c>
      <c r="H50" s="99">
        <f>G50+'25'!H50</f>
        <v>240591.27000000002</v>
      </c>
      <c r="I50" s="95"/>
      <c r="J50" s="175">
        <f>H50/DAY(B2)</f>
        <v>9253.5103846153852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2009.37</v>
      </c>
      <c r="F51" s="145">
        <v>3094.34</v>
      </c>
      <c r="G51" s="432">
        <f t="shared" si="4"/>
        <v>1084.9700000000003</v>
      </c>
      <c r="H51" s="99">
        <f>G51+'25'!H51</f>
        <v>-5413.66</v>
      </c>
      <c r="I51" s="95"/>
      <c r="J51" s="175">
        <f>H51/DAY(B2)</f>
        <v>-208.21769230769229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7674.64</v>
      </c>
      <c r="F53" s="145">
        <v>11938.96</v>
      </c>
      <c r="G53" s="432">
        <f t="shared" si="4"/>
        <v>4264.3199999999988</v>
      </c>
      <c r="H53" s="99">
        <f>G53+'25'!H53</f>
        <v>-21922.04</v>
      </c>
      <c r="I53" s="95"/>
      <c r="J53" s="175">
        <f>H53/DAY(B2)</f>
        <v>-843.15538461538461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85858.81</v>
      </c>
      <c r="F54" s="423">
        <v>86209.68</v>
      </c>
      <c r="G54" s="432">
        <f t="shared" si="4"/>
        <v>350.86999999999534</v>
      </c>
      <c r="H54" s="99">
        <f>G54+'25'!H54</f>
        <v>-1733.320000000007</v>
      </c>
      <c r="I54" s="95"/>
      <c r="J54" s="175">
        <f>H54/DAY(B2)</f>
        <v>-66.666153846154117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343967.15</v>
      </c>
      <c r="F55" s="145">
        <v>346883.87</v>
      </c>
      <c r="G55" s="432">
        <f t="shared" si="4"/>
        <v>2916.7199999999721</v>
      </c>
      <c r="H55" s="99">
        <f>G55+'25'!H55</f>
        <v>-15893.130000000005</v>
      </c>
      <c r="I55" s="95"/>
      <c r="J55" s="175">
        <f>H55/DAY(B2)</f>
        <v>-611.27423076923094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122561.27</v>
      </c>
      <c r="F56" s="145">
        <v>122561.27</v>
      </c>
      <c r="G56" s="432">
        <f t="shared" si="4"/>
        <v>0</v>
      </c>
      <c r="H56" s="99">
        <f>G56+'25'!H56</f>
        <v>-1320.7299999999959</v>
      </c>
      <c r="I56" s="95"/>
      <c r="J56" s="175">
        <f>H56/DAY(B2)</f>
        <v>-50.797307692307534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208468.49</v>
      </c>
      <c r="F57" s="145">
        <v>211125.45</v>
      </c>
      <c r="G57" s="432">
        <f t="shared" si="4"/>
        <v>2656.960000000021</v>
      </c>
      <c r="H57" s="99">
        <f>G57+'25'!H57</f>
        <v>-15044.549999999988</v>
      </c>
      <c r="I57" s="95"/>
      <c r="J57" s="175">
        <f>H57/DAY(B2)</f>
        <v>-578.63653846153807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47417.53</v>
      </c>
      <c r="F58" s="145">
        <v>47730.81</v>
      </c>
      <c r="G58" s="432">
        <f t="shared" si="4"/>
        <v>313.27999999999884</v>
      </c>
      <c r="H58" s="99">
        <f>G58+'25'!H58</f>
        <v>-1378.1900000000023</v>
      </c>
      <c r="I58" s="95"/>
      <c r="J58" s="175">
        <f>H58/DAY(B2)</f>
        <v>-53.007307692307783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16767.920000000035</v>
      </c>
      <c r="H59" s="99">
        <f>G59+'25'!H59</f>
        <v>-91935.519999999902</v>
      </c>
      <c r="I59" s="95">
        <f>G7-G60</f>
        <v>2702.9199999999328</v>
      </c>
      <c r="J59" s="175">
        <f>H59/DAY(B2)</f>
        <v>-3535.9815384615349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4">
        <f>G47+G59</f>
        <v>23497.080000000067</v>
      </c>
      <c r="H60" s="99">
        <f>G60+'25'!H60</f>
        <v>-124751.40000000005</v>
      </c>
      <c r="I60" s="95">
        <f>G13-G60</f>
        <v>498.02999999980238</v>
      </c>
      <c r="J60" s="175">
        <f>H60/DAY(B2)</f>
        <v>-4798.130769230771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'25'!F62</f>
        <v>295528</v>
      </c>
      <c r="F62" s="122">
        <v>295658</v>
      </c>
      <c r="G62" s="432">
        <f t="shared" ref="G62:G63" si="5">F62-E62</f>
        <v>130</v>
      </c>
      <c r="H62" s="99">
        <f>G62+'25'!H62</f>
        <v>-617</v>
      </c>
      <c r="I62" s="118"/>
      <c r="J62" s="175">
        <f>H62/DAY(B2)</f>
        <v>-23.73076923076923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'25'!F63</f>
        <v>238228</v>
      </c>
      <c r="F63" s="122">
        <v>238393</v>
      </c>
      <c r="G63" s="432">
        <f t="shared" si="5"/>
        <v>165</v>
      </c>
      <c r="H63" s="99">
        <f>G63+'25'!H63</f>
        <v>-740</v>
      </c>
      <c r="I63" s="118"/>
      <c r="J63" s="175">
        <f>H63/DAY(B2)</f>
        <v>-28.46153846153846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'25'!F64</f>
        <v>0</v>
      </c>
      <c r="F64" s="122"/>
      <c r="G64" s="432">
        <f>G62+G63</f>
        <v>295</v>
      </c>
      <c r="H64" s="99">
        <f>G64+'25'!H64</f>
        <v>-1357</v>
      </c>
      <c r="I64" s="118"/>
      <c r="J64" s="175">
        <f>H64/DAY(B2)</f>
        <v>-52.192307692307693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'25'!F65</f>
        <v>454053</v>
      </c>
      <c r="F65" s="122">
        <v>454151</v>
      </c>
      <c r="G65" s="432">
        <f t="shared" ref="G65:G70" si="6">F65-E65</f>
        <v>98</v>
      </c>
      <c r="H65" s="99">
        <f>G65+'25'!H65</f>
        <v>-559</v>
      </c>
      <c r="I65" s="118"/>
      <c r="J65" s="175">
        <f>H65/DAY(B2)</f>
        <v>-21.5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111570</v>
      </c>
      <c r="F66" s="122">
        <v>111595</v>
      </c>
      <c r="G66" s="432">
        <f t="shared" si="6"/>
        <v>25</v>
      </c>
      <c r="H66" s="99">
        <f>G66+'25'!H66</f>
        <v>-127</v>
      </c>
      <c r="I66" s="118"/>
      <c r="J66" s="175">
        <f>H66/DAY(B2)</f>
        <v>-4.884615384615385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113681</v>
      </c>
      <c r="F67" s="164">
        <v>113681</v>
      </c>
      <c r="G67" s="432">
        <f t="shared" si="6"/>
        <v>0</v>
      </c>
      <c r="H67" s="99">
        <f>G67+'25'!H67</f>
        <v>1</v>
      </c>
      <c r="I67" s="118"/>
      <c r="J67" s="175">
        <f>H67/DAY(B2)</f>
        <v>3.8461538461538464E-2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164571</v>
      </c>
      <c r="F68" s="122">
        <v>164588</v>
      </c>
      <c r="G68" s="432">
        <f>F68-E68</f>
        <v>17</v>
      </c>
      <c r="H68" s="99">
        <f>G68+'25'!H68</f>
        <v>-74</v>
      </c>
      <c r="I68" s="118"/>
      <c r="J68" s="175">
        <f>H68/DAY(B2)</f>
        <v>-2.8461538461538463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12242</v>
      </c>
      <c r="F69" s="122">
        <v>12249</v>
      </c>
      <c r="G69" s="432">
        <f t="shared" si="6"/>
        <v>7</v>
      </c>
      <c r="H69" s="99">
        <f>G69+'25'!H69</f>
        <v>-26</v>
      </c>
      <c r="I69" s="118"/>
      <c r="J69" s="175">
        <f>H69/DAY(B2)</f>
        <v>-1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9754</v>
      </c>
      <c r="F70" s="122">
        <v>9769</v>
      </c>
      <c r="G70" s="432">
        <f t="shared" si="6"/>
        <v>15</v>
      </c>
      <c r="H70" s="99">
        <f>G70+'25'!H70</f>
        <v>-58</v>
      </c>
      <c r="I70" s="118"/>
      <c r="J70" s="175">
        <f>H70/DAY(B2)</f>
        <v>-2.2307692307692308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444">
        <f>SUM(G65:G70)</f>
        <v>162</v>
      </c>
      <c r="H71" s="99">
        <f>G71+'25'!H71</f>
        <v>-843</v>
      </c>
      <c r="I71" s="154"/>
      <c r="J71" s="175">
        <f>H71/DAY(B2)</f>
        <v>-32.42307692307692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'25'!F74</f>
        <v>955775.78</v>
      </c>
      <c r="F74" s="123">
        <v>956079</v>
      </c>
      <c r="G74" s="432">
        <f t="shared" ref="G74:G78" si="7">F74-E74</f>
        <v>303.21999999997206</v>
      </c>
      <c r="H74" s="99">
        <f>G74+'25'!H74</f>
        <v>-1578.859999999986</v>
      </c>
      <c r="I74" s="154"/>
      <c r="J74" s="175">
        <f>H74/DAY(B2)</f>
        <v>-60.72538461538408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'25'!F75</f>
        <v>73586.8</v>
      </c>
      <c r="F75" s="123">
        <v>73586.8</v>
      </c>
      <c r="G75" s="43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'25'!F76</f>
        <v>189528</v>
      </c>
      <c r="F76" s="123">
        <v>189624.73</v>
      </c>
      <c r="G76" s="432">
        <f t="shared" si="7"/>
        <v>96.730000000010477</v>
      </c>
      <c r="H76" s="99">
        <f>G76+'25'!H76</f>
        <v>-547.26999999998952</v>
      </c>
      <c r="I76" s="154"/>
      <c r="J76" s="175">
        <f>H76/DAY(B2)</f>
        <v>-21.048846153845751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'25'!F77</f>
        <v>50005.4</v>
      </c>
      <c r="F77" s="123">
        <v>50053.2</v>
      </c>
      <c r="G77" s="432">
        <f t="shared" si="7"/>
        <v>47.799999999995634</v>
      </c>
      <c r="H77" s="99">
        <f>G77+'25'!H77</f>
        <v>-259.80000000000291</v>
      </c>
      <c r="I77" s="154"/>
      <c r="J77" s="175">
        <f>H77/DAY(B2)</f>
        <v>-9.9923076923078042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'25'!F78</f>
        <v>9563</v>
      </c>
      <c r="F78" s="123">
        <v>9563</v>
      </c>
      <c r="G78" s="432">
        <f t="shared" si="7"/>
        <v>0</v>
      </c>
      <c r="H78" s="99">
        <f>G78+'25'!H78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'25'!F79</f>
        <v>0</v>
      </c>
      <c r="F79" s="117"/>
      <c r="G79" s="432">
        <f>G15-SUM(G74:G78)</f>
        <v>552.25000000002183</v>
      </c>
      <c r="H79" s="99">
        <f>G79+'25'!H79</f>
        <v>28525.929999999978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43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446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2">
        <f t="shared" ref="G82:G92" si="8">F82-E82</f>
        <v>0</v>
      </c>
      <c r="H82" s="99">
        <f>G82+'25'!H82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2">
        <f t="shared" si="8"/>
        <v>0</v>
      </c>
      <c r="H83" s="99">
        <f>G83+'25'!H83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42513.57</v>
      </c>
      <c r="F84" s="164">
        <v>42527.54</v>
      </c>
      <c r="G84" s="432">
        <f t="shared" si="8"/>
        <v>13.970000000001164</v>
      </c>
      <c r="H84" s="99">
        <f>G84+'25'!H84</f>
        <v>-61.459999999999127</v>
      </c>
      <c r="I84" s="571"/>
      <c r="J84" s="175">
        <f>H84/DAY(B2)</f>
        <v>-2.3638461538461204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5140.1899999999996</v>
      </c>
      <c r="F85" s="164">
        <v>5140.1899999999996</v>
      </c>
      <c r="G85" s="432">
        <f t="shared" si="8"/>
        <v>0</v>
      </c>
      <c r="H85" s="99">
        <f>G85+'25'!H85</f>
        <v>0</v>
      </c>
      <c r="I85" s="571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45249.46</v>
      </c>
      <c r="F86" s="164">
        <v>45269.279999999999</v>
      </c>
      <c r="G86" s="432">
        <f t="shared" si="8"/>
        <v>19.819999999999709</v>
      </c>
      <c r="H86" s="99">
        <f>G86+'25'!H86</f>
        <v>-109.72000000000116</v>
      </c>
      <c r="I86" s="571"/>
      <c r="J86" s="175">
        <f>H86/DAY(B2)</f>
        <v>-4.220000000000045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35446.57</v>
      </c>
      <c r="F87" s="164">
        <v>35446.57</v>
      </c>
      <c r="G87" s="432">
        <f t="shared" si="8"/>
        <v>0</v>
      </c>
      <c r="H87" s="99">
        <f>G87+'25'!H87</f>
        <v>-10.860000000000582</v>
      </c>
      <c r="I87" s="571">
        <f>G84+G85+G86+G87</f>
        <v>33.790000000000873</v>
      </c>
      <c r="J87" s="175">
        <f>H87/DAY(B2)</f>
        <v>-0.41769230769233007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24297</v>
      </c>
      <c r="F88" s="164">
        <v>24297</v>
      </c>
      <c r="G88" s="432">
        <f t="shared" si="8"/>
        <v>0</v>
      </c>
      <c r="H88" s="99">
        <f>G88+'25'!H88</f>
        <v>-6.4599999999991269</v>
      </c>
      <c r="I88" s="571"/>
      <c r="J88" s="175">
        <f>H88/DAY(B2)</f>
        <v>-0.24846153846150487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27510.91</v>
      </c>
      <c r="F89" s="164">
        <v>27520.959999999999</v>
      </c>
      <c r="G89" s="432">
        <f t="shared" si="8"/>
        <v>10.049999999999272</v>
      </c>
      <c r="H89" s="99">
        <f>G89+'25'!H89</f>
        <v>-45.650000000001455</v>
      </c>
      <c r="I89" s="571">
        <f>G88+G89</f>
        <v>10.049999999999272</v>
      </c>
      <c r="J89" s="175">
        <f>H89/DAY(B2)</f>
        <v>-1.7557692307692867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72542.41</v>
      </c>
      <c r="F90" s="164">
        <v>72555.63</v>
      </c>
      <c r="G90" s="432">
        <f t="shared" si="8"/>
        <v>13.220000000001164</v>
      </c>
      <c r="H90" s="99">
        <f>G90+'25'!H90</f>
        <v>-50.919999999998254</v>
      </c>
      <c r="I90" s="571">
        <f>G90</f>
        <v>13.220000000001164</v>
      </c>
      <c r="J90" s="175">
        <f>H90/DAY(B2)</f>
        <v>-1.9584615384614712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4289.54</v>
      </c>
      <c r="F91" s="122">
        <v>4289.54</v>
      </c>
      <c r="G91" s="432">
        <f t="shared" si="8"/>
        <v>0</v>
      </c>
      <c r="H91" s="99">
        <f>G91+'25'!H91</f>
        <v>2.6199999999998909</v>
      </c>
      <c r="I91" s="590"/>
      <c r="J91" s="175">
        <f>H91/DAY(B2)</f>
        <v>0.10076923076922657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6652.43</v>
      </c>
      <c r="F92" s="122">
        <v>6662.96</v>
      </c>
      <c r="G92" s="432">
        <f t="shared" si="8"/>
        <v>10.529999999999745</v>
      </c>
      <c r="H92" s="99">
        <f>G92+'25'!H92</f>
        <v>-54.369999999999891</v>
      </c>
      <c r="I92" s="596">
        <f>G91+G92</f>
        <v>10.529999999999745</v>
      </c>
      <c r="J92" s="175">
        <f>H92/DAY(B2)</f>
        <v>-2.0911538461538419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447">
        <f>G35+G43+G49+G57</f>
        <v>6620.4000000000233</v>
      </c>
      <c r="H94" s="99">
        <f>G94+'25'!H94</f>
        <v>-38562.639999999956</v>
      </c>
      <c r="I94" s="118"/>
      <c r="J94" s="175">
        <f>H94/DAY(B2)</f>
        <v>-1483.1784615384599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448">
        <f>G94/G7</f>
        <v>0.25268702290076422</v>
      </c>
      <c r="H95" s="99">
        <f>G95+'25'!H95</f>
        <v>-1.4469786110103762</v>
      </c>
      <c r="I95" s="167"/>
      <c r="J95" s="175">
        <f>H95/DAY(B2)</f>
        <v>-5.5653023500399086E-2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447">
        <f>G41+G42+G55+G56</f>
        <v>5676.3399999999674</v>
      </c>
      <c r="H96" s="99">
        <f>G96+'25'!H96</f>
        <v>-29776.000000000029</v>
      </c>
      <c r="I96" s="118"/>
      <c r="J96" s="175">
        <f>H96/DAY(B2)</f>
        <v>-1145.2307692307704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448">
        <f>G96/G7</f>
        <v>0.21665419847328121</v>
      </c>
      <c r="H97" s="99">
        <f>G97+'25'!H97</f>
        <v>-1.1155092729730141</v>
      </c>
      <c r="I97" s="167"/>
      <c r="J97" s="175">
        <f>H97/DAY(B2)</f>
        <v>-4.2904202806654385E-2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447">
        <f>G39+G53</f>
        <v>4264.3199999999988</v>
      </c>
      <c r="H98" s="99">
        <f>G98+'25'!H98</f>
        <v>-21921.850000000057</v>
      </c>
      <c r="I98" s="168"/>
      <c r="J98" s="175">
        <f>H98/DAY(B2)</f>
        <v>-843.14807692307909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448">
        <f>G98/G7</f>
        <v>0.16276030534351141</v>
      </c>
      <c r="H99" s="99">
        <f>G99+'25'!H99</f>
        <v>-0.82290299053322935</v>
      </c>
      <c r="I99" s="168"/>
      <c r="J99" s="175">
        <f>H99/DAY(B2)</f>
        <v>-3.1650115020508823E-2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447">
        <f>G38+G52</f>
        <v>2304.960000000021</v>
      </c>
      <c r="H100" s="99">
        <f>G100+'25'!H100</f>
        <v>-11348.570000000007</v>
      </c>
      <c r="I100" s="118"/>
      <c r="J100" s="175">
        <f>H100/DAY(B2)</f>
        <v>-436.48346153846182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448">
        <f>G100/G7</f>
        <v>8.7975572519084763E-2</v>
      </c>
      <c r="H101" s="99">
        <f>G101+'25'!H101</f>
        <v>-0.4247802586678911</v>
      </c>
      <c r="I101" s="168"/>
      <c r="J101" s="175">
        <f>H101/DAY(B2)</f>
        <v>-1.6337702256457351E-2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447">
        <f>G36+G50</f>
        <v>2046.2600000000675</v>
      </c>
      <c r="H102" s="99">
        <f>G102+'25'!H102</f>
        <v>-10409.559999999969</v>
      </c>
      <c r="I102" s="168"/>
      <c r="J102" s="175">
        <f>H102/DAY(B2)</f>
        <v>-400.36769230769107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448">
        <f>G102/G7</f>
        <v>7.8101526717559835E-2</v>
      </c>
      <c r="H103" s="99">
        <f>G103+'25'!H103</f>
        <v>-0.39224420754801559</v>
      </c>
      <c r="I103" s="118"/>
      <c r="J103" s="175">
        <f>H103/DAY(B2)</f>
        <v>-1.5086315674923677E-2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447">
        <f>G37+G51</f>
        <v>1084.9700000000003</v>
      </c>
      <c r="H104" s="99">
        <f>G104+'25'!H104</f>
        <v>-5413.9699999999975</v>
      </c>
      <c r="I104" s="118"/>
      <c r="J104" s="175">
        <f>H104/DAY(B2)</f>
        <v>-208.2296153846153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449">
        <f>G104/G7</f>
        <v>4.1411068702290089E-2</v>
      </c>
      <c r="H105" s="99">
        <f>G105+'25'!H105</f>
        <v>-0.20198701552363044</v>
      </c>
      <c r="I105" s="187"/>
      <c r="J105" s="188">
        <f>H105/DAY(B2)</f>
        <v>-7.7687313662934783E-3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452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'25'!F112</f>
        <v>6826.51</v>
      </c>
      <c r="F112" s="237">
        <v>6902.44</v>
      </c>
      <c r="G112" s="432">
        <f t="shared" ref="G112:G123" si="9">F112-E112</f>
        <v>75.929999999999382</v>
      </c>
      <c r="H112" s="99">
        <f>G112+'25'!H112</f>
        <v>96.4399999999996</v>
      </c>
      <c r="I112" s="165"/>
      <c r="J112" s="328">
        <f>H112/DAY(B2)</f>
        <v>3.709230769230754</v>
      </c>
    </row>
    <row r="113" spans="1:18" ht="25.5">
      <c r="A113" s="894" t="s">
        <v>253</v>
      </c>
      <c r="B113" s="895"/>
      <c r="C113" s="896"/>
      <c r="D113" s="146" t="s">
        <v>183</v>
      </c>
      <c r="E113" s="95">
        <f>'25'!F113</f>
        <v>14179.3</v>
      </c>
      <c r="F113" s="237">
        <v>14313</v>
      </c>
      <c r="G113" s="432">
        <f t="shared" si="9"/>
        <v>133.70000000000073</v>
      </c>
      <c r="H113" s="99">
        <f>G113+'25'!H113</f>
        <v>-702</v>
      </c>
      <c r="I113" s="165"/>
      <c r="J113" s="328">
        <f>H113/DAY(B2)</f>
        <v>-27</v>
      </c>
    </row>
    <row r="114" spans="1:18" ht="25.5">
      <c r="A114" s="894" t="s">
        <v>254</v>
      </c>
      <c r="B114" s="895"/>
      <c r="C114" s="896"/>
      <c r="D114" s="146" t="s">
        <v>183</v>
      </c>
      <c r="E114" s="95">
        <f>'25'!F114</f>
        <v>19955.78</v>
      </c>
      <c r="F114" s="237">
        <v>20177.45</v>
      </c>
      <c r="G114" s="432">
        <f t="shared" si="9"/>
        <v>221.67000000000189</v>
      </c>
      <c r="H114" s="99">
        <f>G114+'25'!H114</f>
        <v>-1090.5499999999993</v>
      </c>
      <c r="I114" s="165"/>
      <c r="J114" s="328">
        <f>H114/DAY(B2)</f>
        <v>-41.944230769230742</v>
      </c>
    </row>
    <row r="115" spans="1:18" ht="25.5">
      <c r="A115" s="894" t="s">
        <v>255</v>
      </c>
      <c r="B115" s="895"/>
      <c r="C115" s="896"/>
      <c r="D115" s="146" t="s">
        <v>183</v>
      </c>
      <c r="E115" s="95">
        <f>'25'!F115</f>
        <v>12496.67</v>
      </c>
      <c r="F115" s="237">
        <v>12665.04</v>
      </c>
      <c r="G115" s="432">
        <f t="shared" si="9"/>
        <v>168.3700000000008</v>
      </c>
      <c r="H115" s="99">
        <f>G115+'25'!H115</f>
        <v>-874.18000000000029</v>
      </c>
      <c r="I115" s="165"/>
      <c r="J115" s="328">
        <f>H115/DAY(B2)</f>
        <v>-33.6223076923077</v>
      </c>
    </row>
    <row r="116" spans="1:18" ht="25.5">
      <c r="A116" s="901" t="s">
        <v>96</v>
      </c>
      <c r="B116" s="902"/>
      <c r="C116" s="903"/>
      <c r="D116" s="146" t="s">
        <v>183</v>
      </c>
      <c r="E116" s="95">
        <f>'25'!F116</f>
        <v>68225.33</v>
      </c>
      <c r="F116" s="237">
        <v>68522.820000000007</v>
      </c>
      <c r="G116" s="432">
        <f t="shared" si="9"/>
        <v>297.49000000000524</v>
      </c>
      <c r="H116" s="99">
        <f>G116+'25'!H116</f>
        <v>-1969.179999999993</v>
      </c>
      <c r="I116" s="165"/>
      <c r="J116" s="328">
        <f>H116/DAY(B2)</f>
        <v>-75.737692307692043</v>
      </c>
      <c r="Q116" s="894" t="s">
        <v>311</v>
      </c>
      <c r="R116" s="896"/>
    </row>
    <row r="117" spans="1:18" ht="25.5">
      <c r="A117" s="901" t="s">
        <v>184</v>
      </c>
      <c r="B117" s="902"/>
      <c r="C117" s="903"/>
      <c r="D117" s="146" t="s">
        <v>183</v>
      </c>
      <c r="E117" s="406">
        <f>'25'!F117</f>
        <v>39325.019999999997</v>
      </c>
      <c r="F117" s="417">
        <v>39608.370000000003</v>
      </c>
      <c r="G117" s="520">
        <f t="shared" si="9"/>
        <v>283.35000000000582</v>
      </c>
      <c r="H117" s="99">
        <f>G117+'25'!H117</f>
        <v>-1313.6299999999974</v>
      </c>
      <c r="I117" s="165"/>
      <c r="J117" s="328">
        <f>H117/DAY(B2)</f>
        <v>-50.52423076923067</v>
      </c>
      <c r="Q117" s="894" t="s">
        <v>312</v>
      </c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'25'!F118</f>
        <v>60951.8</v>
      </c>
      <c r="F118" s="237">
        <v>61586.79</v>
      </c>
      <c r="G118" s="432">
        <f t="shared" si="9"/>
        <v>634.98999999999796</v>
      </c>
      <c r="H118" s="99">
        <f>G118+'25'!H118</f>
        <v>-3085.2099999999991</v>
      </c>
      <c r="I118" s="165"/>
      <c r="J118" s="328">
        <f>H118/DAY(B2)</f>
        <v>-118.66192307692305</v>
      </c>
      <c r="Q118" s="894" t="s">
        <v>311</v>
      </c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'25'!F119</f>
        <v>36102.300000000003</v>
      </c>
      <c r="F119" s="237">
        <v>36339.11</v>
      </c>
      <c r="G119" s="432">
        <f t="shared" si="9"/>
        <v>236.80999999999767</v>
      </c>
      <c r="H119" s="99">
        <f>G119+'25'!H119</f>
        <v>-1109.8899999999994</v>
      </c>
      <c r="I119" s="165"/>
      <c r="J119" s="328">
        <f>H119/DAY(B2)</f>
        <v>-42.688076923076899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'25'!F120</f>
        <v>43824.959999999999</v>
      </c>
      <c r="F120" s="237">
        <v>44229.73</v>
      </c>
      <c r="G120" s="432">
        <f t="shared" si="9"/>
        <v>404.77000000000407</v>
      </c>
      <c r="H120" s="99">
        <f>G120+'25'!H120</f>
        <v>-2037.2699999999968</v>
      </c>
      <c r="I120" s="165"/>
      <c r="J120" s="328">
        <f>H120/DAY(B2)</f>
        <v>-78.356538461538335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'25'!F121</f>
        <v>50677.24</v>
      </c>
      <c r="F121" s="237">
        <v>51127.34</v>
      </c>
      <c r="G121" s="432">
        <f t="shared" si="9"/>
        <v>450.09999999999854</v>
      </c>
      <c r="H121" s="99">
        <f>G121+'25'!H121</f>
        <v>-2415.6600000000035</v>
      </c>
      <c r="I121" s="165"/>
      <c r="J121" s="328">
        <f>H121/DAY(B2)</f>
        <v>-92.910000000000139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'25'!F122</f>
        <v>27050.720000000001</v>
      </c>
      <c r="F122" s="237">
        <v>27282.34</v>
      </c>
      <c r="G122" s="432">
        <f t="shared" si="9"/>
        <v>231.61999999999898</v>
      </c>
      <c r="H122" s="99">
        <f>G122+'25'!H122</f>
        <v>-1391.6599999999999</v>
      </c>
      <c r="I122" s="165"/>
      <c r="J122" s="328">
        <f>H122/DAY(B2)</f>
        <v>-53.52538461538461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'25'!F123</f>
        <v>28282.52</v>
      </c>
      <c r="F123" s="237">
        <v>28598.35</v>
      </c>
      <c r="G123" s="432">
        <f t="shared" si="9"/>
        <v>315.82999999999811</v>
      </c>
      <c r="H123" s="99">
        <f>G123+'25'!H123</f>
        <v>-1589.6500000000015</v>
      </c>
      <c r="I123" s="165"/>
      <c r="J123" s="328">
        <f>H123/DAY(B2)</f>
        <v>-61.140384615384669</v>
      </c>
    </row>
    <row r="124" spans="1:18" ht="25.5">
      <c r="A124" s="898"/>
      <c r="B124" s="899"/>
      <c r="C124" s="900"/>
      <c r="D124" s="165"/>
      <c r="E124" s="95">
        <f>'25'!F124</f>
        <v>0</v>
      </c>
      <c r="F124" s="165"/>
      <c r="G124" s="452"/>
      <c r="H124" s="156"/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453">
        <f>SUM(G112:G124)</f>
        <v>3454.6300000000092</v>
      </c>
      <c r="H125" s="156"/>
      <c r="I125" s="327">
        <f>G125-(G39+G53)</f>
        <v>-809.6899999999896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453"/>
      <c r="H127" s="99">
        <f>G127+'25'!H127</f>
        <v>0</v>
      </c>
      <c r="I127" s="165"/>
      <c r="J127" s="328">
        <f>H127/DAY(B2)</f>
        <v>0</v>
      </c>
    </row>
    <row r="128" spans="1:18" ht="25.5">
      <c r="A128" s="894" t="s">
        <v>318</v>
      </c>
      <c r="B128" s="895"/>
      <c r="C128" s="896"/>
      <c r="D128" s="151" t="s">
        <v>183</v>
      </c>
      <c r="E128" s="95">
        <f>'25'!F128</f>
        <v>124562.79</v>
      </c>
      <c r="F128" s="165">
        <v>125091.16</v>
      </c>
      <c r="G128" s="432">
        <f t="shared" ref="G128:G134" si="10">F128-E128</f>
        <v>528.3700000000099</v>
      </c>
      <c r="H128" s="99">
        <f>G128+'25'!H128</f>
        <v>-2552.8399999999965</v>
      </c>
      <c r="I128" s="165"/>
      <c r="J128" s="328">
        <f>H128/DAY(B2)</f>
        <v>-98.186153846153715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71400.44</v>
      </c>
      <c r="F129" s="165">
        <v>71567.81</v>
      </c>
      <c r="G129" s="432">
        <f t="shared" si="10"/>
        <v>167.36999999999534</v>
      </c>
      <c r="H129" s="99">
        <f>G129+'25'!H129</f>
        <v>-935.19000000000233</v>
      </c>
      <c r="I129" s="165"/>
      <c r="J129" s="328">
        <f>H129/DAY(B2)</f>
        <v>-35.968846153846243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160008.72</v>
      </c>
      <c r="F130" s="165">
        <v>160909.63</v>
      </c>
      <c r="G130" s="432">
        <f t="shared" si="10"/>
        <v>900.91000000000349</v>
      </c>
      <c r="H130" s="99">
        <f>G130+'25'!H130</f>
        <v>-4231.6399999999849</v>
      </c>
      <c r="I130" s="165"/>
      <c r="J130" s="328">
        <f>H130/DAY(B2)</f>
        <v>-162.75538461538403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'25'!F131</f>
        <v>47164.6</v>
      </c>
      <c r="F131" s="165">
        <v>47359.49</v>
      </c>
      <c r="G131" s="432">
        <f t="shared" si="10"/>
        <v>194.88999999999942</v>
      </c>
      <c r="H131" s="99">
        <f>G131+'25'!H131</f>
        <v>-1089.510000000002</v>
      </c>
      <c r="I131" s="165"/>
      <c r="J131" s="328">
        <f>H131/DAY(B2)</f>
        <v>-41.90423076923085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'25'!F132</f>
        <v>126161.4</v>
      </c>
      <c r="F132" s="165">
        <v>126498.01</v>
      </c>
      <c r="G132" s="432">
        <f t="shared" si="10"/>
        <v>336.61000000000058</v>
      </c>
      <c r="H132" s="99">
        <f>G132+'25'!H132</f>
        <v>-1675.9900000000052</v>
      </c>
      <c r="I132" s="165"/>
      <c r="J132" s="328">
        <f>H132/DAY(B2)</f>
        <v>-64.461153846154048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'25'!F133</f>
        <v>224035.59</v>
      </c>
      <c r="F133" s="165">
        <v>224035.59</v>
      </c>
      <c r="G133" s="432">
        <f t="shared" si="10"/>
        <v>0</v>
      </c>
      <c r="H133" s="99">
        <f>G133+'25'!H133</f>
        <v>571233.43000000017</v>
      </c>
      <c r="I133" s="165"/>
      <c r="J133" s="328">
        <f>H133/DAY(B2)</f>
        <v>21970.516538461547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'25'!F134</f>
        <v>47795.87</v>
      </c>
      <c r="F134" s="165">
        <v>48007.39</v>
      </c>
      <c r="G134" s="432">
        <f t="shared" si="10"/>
        <v>211.5199999999968</v>
      </c>
      <c r="H134" s="99">
        <f>G134+'25'!H134</f>
        <v>-1027.6100000000006</v>
      </c>
      <c r="I134" s="165"/>
      <c r="J134" s="328">
        <f>H134/DAY(B2)</f>
        <v>-39.523461538461561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432">
        <f>SUM(G128:G134)</f>
        <v>2339.6700000000055</v>
      </c>
      <c r="H135" s="99">
        <f>G135+'23'!H135</f>
        <v>525679.27</v>
      </c>
      <c r="I135" s="327">
        <f>G135-(G35+G49)</f>
        <v>-1623.7699999999968</v>
      </c>
      <c r="J135" s="328"/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'25'!F138</f>
        <v>890223</v>
      </c>
      <c r="F138" s="147">
        <v>890362</v>
      </c>
      <c r="G138" s="432">
        <f t="shared" ref="G138:G152" si="11">F138-E138</f>
        <v>139</v>
      </c>
      <c r="H138" s="99">
        <f>G138+'25'!H138</f>
        <v>-733</v>
      </c>
      <c r="I138" s="118"/>
      <c r="J138" s="328">
        <f>H138/DAY(B2)</f>
        <v>-28.192307692307693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'25'!F139</f>
        <v>908027</v>
      </c>
      <c r="F139" s="148">
        <v>908174</v>
      </c>
      <c r="G139" s="432">
        <f t="shared" si="11"/>
        <v>147</v>
      </c>
      <c r="H139" s="99">
        <f>G139+'25'!H139</f>
        <v>-721</v>
      </c>
      <c r="I139" s="118"/>
      <c r="J139" s="328">
        <f>H139/DAY(B2)</f>
        <v>-27.73076923076923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'25'!F140</f>
        <v>1425.29</v>
      </c>
      <c r="F140" s="148">
        <v>1439.56</v>
      </c>
      <c r="G140" s="432">
        <f t="shared" si="11"/>
        <v>14.269999999999982</v>
      </c>
      <c r="H140" s="99">
        <f>G140+'25'!H140</f>
        <v>522.32999999999402</v>
      </c>
      <c r="I140" s="118"/>
      <c r="J140" s="328">
        <f>H140/DAY(B2)</f>
        <v>20.089615384615154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'25'!F141</f>
        <v>89227.29</v>
      </c>
      <c r="F141" s="148">
        <v>89432.23</v>
      </c>
      <c r="G141" s="432">
        <f t="shared" si="11"/>
        <v>204.94000000000233</v>
      </c>
      <c r="H141" s="99">
        <f>G141+'25'!H141</f>
        <v>-1019.7700000000041</v>
      </c>
      <c r="I141" s="118"/>
      <c r="J141" s="328">
        <f>H141/DAY(B2)</f>
        <v>-39.221923076923233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'25'!F142</f>
        <v>36205.839999999997</v>
      </c>
      <c r="F142" s="148">
        <v>36284.949999999997</v>
      </c>
      <c r="G142" s="432">
        <f t="shared" si="11"/>
        <v>79.110000000000582</v>
      </c>
      <c r="H142" s="99">
        <f>G142+'25'!H142</f>
        <v>-376.05000000000291</v>
      </c>
      <c r="I142" s="140"/>
      <c r="J142" s="328">
        <f>H142/DAY(B2)</f>
        <v>-14.463461538461651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'25'!F143</f>
        <v>8877.14</v>
      </c>
      <c r="F143" s="148">
        <v>8905.6299999999992</v>
      </c>
      <c r="G143" s="432">
        <f t="shared" si="11"/>
        <v>28.489999999999782</v>
      </c>
      <c r="H143" s="99">
        <f>G143+'25'!H143</f>
        <v>-145.3700000000008</v>
      </c>
      <c r="I143" s="140"/>
      <c r="J143" s="328">
        <f>H143/DAY(B2)</f>
        <v>-5.591153846153877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'25'!F144</f>
        <v>918484</v>
      </c>
      <c r="F144" s="148">
        <v>918722</v>
      </c>
      <c r="G144" s="432">
        <f t="shared" si="11"/>
        <v>238</v>
      </c>
      <c r="H144" s="99">
        <f>G144+'25'!H144</f>
        <v>-1115</v>
      </c>
      <c r="I144" s="140"/>
      <c r="J144" s="328">
        <f>H144/DAY(B2)</f>
        <v>-42.884615384615387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'25'!F145</f>
        <v>5798.41</v>
      </c>
      <c r="F145" s="148">
        <v>5798.44</v>
      </c>
      <c r="G145" s="432">
        <f t="shared" si="11"/>
        <v>2.9999999999745341E-2</v>
      </c>
      <c r="H145" s="99">
        <f>G145+'25'!H145</f>
        <v>-8.5600000000004002</v>
      </c>
      <c r="I145" s="140"/>
      <c r="J145" s="328">
        <f>H145/DAY(B2)</f>
        <v>-0.32923076923078465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'25'!F146</f>
        <v>780362</v>
      </c>
      <c r="F146" s="148">
        <v>780436</v>
      </c>
      <c r="G146" s="432">
        <f t="shared" si="11"/>
        <v>74</v>
      </c>
      <c r="H146" s="99">
        <f>G146+'25'!H146</f>
        <v>-364</v>
      </c>
      <c r="I146" s="140"/>
      <c r="J146" s="328">
        <f>H146/DAY(B2)</f>
        <v>-14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'25'!F147</f>
        <v>697392.56</v>
      </c>
      <c r="F147" s="148">
        <v>697765.84</v>
      </c>
      <c r="G147" s="432">
        <f t="shared" si="11"/>
        <v>373.27999999991152</v>
      </c>
      <c r="H147" s="99">
        <f>G147+'25'!H147</f>
        <v>-2003.1600000000326</v>
      </c>
      <c r="I147" s="140"/>
      <c r="J147" s="328">
        <f>H147/DAY(B2)</f>
        <v>-77.044615384616634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'25'!F148</f>
        <v>746574.15</v>
      </c>
      <c r="F148" s="164">
        <v>746872.8</v>
      </c>
      <c r="G148" s="432">
        <f t="shared" si="11"/>
        <v>298.65000000002328</v>
      </c>
      <c r="H148" s="99">
        <f>G148+'25'!H148</f>
        <v>-1657.1999999999534</v>
      </c>
      <c r="I148" s="124"/>
      <c r="J148" s="328">
        <f>H148/DAY(B2)</f>
        <v>-63.738461538459745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'25'!F149</f>
        <v>129526.48</v>
      </c>
      <c r="F149" s="416">
        <v>130029.26</v>
      </c>
      <c r="G149" s="432">
        <f t="shared" si="11"/>
        <v>502.77999999999884</v>
      </c>
      <c r="H149" s="99">
        <f>G149+'25'!H149</f>
        <v>-2404.7400000000052</v>
      </c>
      <c r="I149" s="119"/>
      <c r="J149" s="328">
        <f>H149/DAY(B2)</f>
        <v>-92.490000000000208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'25'!F150</f>
        <v>49258</v>
      </c>
      <c r="F150" s="233">
        <v>49498.99</v>
      </c>
      <c r="G150" s="432">
        <f t="shared" si="11"/>
        <v>240.98999999999796</v>
      </c>
      <c r="H150" s="99">
        <f>G150+'25'!H150</f>
        <v>-1116.010000000002</v>
      </c>
      <c r="I150" s="119"/>
      <c r="J150" s="328">
        <f>H150/DAY(B2)</f>
        <v>-42.923461538461616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'25'!F151</f>
        <v>133578</v>
      </c>
      <c r="F151" s="233">
        <v>133878</v>
      </c>
      <c r="G151" s="432">
        <f t="shared" si="11"/>
        <v>300</v>
      </c>
      <c r="H151" s="99">
        <f>G151+'25'!H151</f>
        <v>-1571</v>
      </c>
      <c r="I151" s="119"/>
      <c r="J151" s="328">
        <f>H151/DAY(B2)</f>
        <v>-60.42307692307692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'25'!F152</f>
        <v>22421.360000000001</v>
      </c>
      <c r="F152" s="233">
        <v>22545.17</v>
      </c>
      <c r="G152" s="432">
        <f t="shared" si="11"/>
        <v>123.80999999999767</v>
      </c>
      <c r="H152" s="99">
        <f>G152+'25'!H152</f>
        <v>-608.83000000000175</v>
      </c>
      <c r="I152" s="119"/>
      <c r="J152" s="328">
        <f>H152/DAY(B2)</f>
        <v>-23.416538461538529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454">
        <f>SUM(G138:G152)</f>
        <v>2764.3499999999317</v>
      </c>
      <c r="H153" s="363"/>
      <c r="I153" s="119">
        <f>G153-(G38+G52)</f>
        <v>459.38999999991074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'25'!F155</f>
        <v>144478.31</v>
      </c>
      <c r="F155" s="611">
        <v>145067.72</v>
      </c>
      <c r="G155" s="432">
        <f t="shared" ref="G155:G158" si="12">F155-E155</f>
        <v>589.41000000000349</v>
      </c>
      <c r="H155" s="99">
        <f>G155+'25'!H155</f>
        <v>-3081.2799999999988</v>
      </c>
      <c r="I155" s="364"/>
      <c r="J155" s="328">
        <f>H155/DAY(B2)</f>
        <v>-118.51076923076918</v>
      </c>
    </row>
    <row r="156" spans="1:10" ht="25.5">
      <c r="A156" s="872" t="s">
        <v>347</v>
      </c>
      <c r="B156" s="872"/>
      <c r="C156" s="872"/>
      <c r="D156" s="117" t="s">
        <v>130</v>
      </c>
      <c r="E156" s="95">
        <f>'25'!F156</f>
        <v>14174.12</v>
      </c>
      <c r="F156" s="157">
        <v>14254.43</v>
      </c>
      <c r="G156" s="432">
        <f t="shared" si="12"/>
        <v>80.309999999999491</v>
      </c>
      <c r="H156" s="99">
        <f>G156+'25'!H156</f>
        <v>-479.56999999999971</v>
      </c>
      <c r="I156" s="165"/>
      <c r="J156" s="328">
        <f>H156/DAY(B2)</f>
        <v>-18.44499999999999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'25'!F157</f>
        <v>26561.119999999999</v>
      </c>
      <c r="F157" s="155">
        <v>26689.119999999999</v>
      </c>
      <c r="G157" s="432">
        <f t="shared" si="12"/>
        <v>128</v>
      </c>
      <c r="H157" s="99">
        <f>G157+'25'!H157</f>
        <v>828.65999999999985</v>
      </c>
      <c r="I157" s="165"/>
      <c r="J157" s="328">
        <f>H157/DAY(B2)</f>
        <v>31.871538461538456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'25'!F158</f>
        <v>232.38</v>
      </c>
      <c r="F158" s="155">
        <v>232.4</v>
      </c>
      <c r="G158" s="432">
        <f t="shared" si="12"/>
        <v>2.0000000000010232E-2</v>
      </c>
      <c r="H158" s="99">
        <f>G158+'25'!H158</f>
        <v>3.7000000000000171</v>
      </c>
      <c r="I158" s="165"/>
      <c r="J158" s="328">
        <f>H158/DAY(B2)</f>
        <v>0.14230769230769297</v>
      </c>
    </row>
    <row r="159" spans="1:10" ht="25.5">
      <c r="A159" s="958"/>
      <c r="B159" s="959"/>
      <c r="C159" s="960"/>
      <c r="D159" s="117"/>
      <c r="E159" s="95"/>
      <c r="F159" s="165"/>
      <c r="G159" s="43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479795.72</v>
      </c>
      <c r="F161" s="235">
        <v>479837.16</v>
      </c>
      <c r="G161" s="455">
        <f t="shared" ref="G161:G165" si="13">F161-E161</f>
        <v>41.440000000002328</v>
      </c>
      <c r="H161" s="99">
        <f>G161+'25'!H161</f>
        <v>654.87999999994645</v>
      </c>
      <c r="I161" s="236"/>
      <c r="J161" s="239">
        <f>H161/DAY(B2)</f>
        <v>25.187692307690249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94705.2</v>
      </c>
      <c r="F162" s="235">
        <v>94744</v>
      </c>
      <c r="G162" s="455">
        <f t="shared" si="13"/>
        <v>38.80000000000291</v>
      </c>
      <c r="H162" s="99">
        <f>G162+'25'!H162</f>
        <v>-184</v>
      </c>
      <c r="I162" s="236"/>
      <c r="J162" s="239">
        <f>H162/DAY(B2)</f>
        <v>-7.0769230769230766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5710.8</v>
      </c>
      <c r="F163" s="235">
        <v>5860.5</v>
      </c>
      <c r="G163" s="455">
        <f t="shared" si="13"/>
        <v>149.69999999999982</v>
      </c>
      <c r="H163" s="99">
        <f>G163+'25'!H163</f>
        <v>-640.5</v>
      </c>
      <c r="I163" s="236"/>
      <c r="J163" s="239">
        <f>H163/DAY(B2)</f>
        <v>-24.634615384615383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6197.7</v>
      </c>
      <c r="F164" s="235">
        <v>6209.5</v>
      </c>
      <c r="G164" s="455">
        <f t="shared" si="13"/>
        <v>11.800000000000182</v>
      </c>
      <c r="H164" s="99">
        <f>G164+'25'!H164</f>
        <v>-70.5</v>
      </c>
      <c r="I164" s="236"/>
      <c r="J164" s="239">
        <f>H164/DAY(B2)</f>
        <v>-2.7115384615384617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31579.07</v>
      </c>
      <c r="F165" s="235">
        <v>31599</v>
      </c>
      <c r="G165" s="455">
        <f t="shared" si="13"/>
        <v>19.930000000000291</v>
      </c>
      <c r="H165" s="99">
        <f>G165+'25'!H165</f>
        <v>-35</v>
      </c>
      <c r="I165" s="236"/>
      <c r="J165" s="239">
        <f>H165/DAY(B2)</f>
        <v>-1.3461538461538463</v>
      </c>
    </row>
    <row r="166" spans="1:10" ht="26.25">
      <c r="A166" s="881"/>
      <c r="B166" s="881"/>
      <c r="C166" s="246"/>
      <c r="D166" s="244" t="s">
        <v>180</v>
      </c>
      <c r="E166" s="95" t="str">
        <f>'25'!F166</f>
        <v>.</v>
      </c>
      <c r="F166" s="165"/>
      <c r="G166" s="452"/>
      <c r="H166" s="99">
        <f>G166+'25'!H166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'25'!F167</f>
        <v>0</v>
      </c>
      <c r="F167" s="165"/>
      <c r="G167" s="452"/>
      <c r="H167" s="99">
        <f>G167+'25'!H167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'25'!F168</f>
        <v>0</v>
      </c>
      <c r="F168" s="165"/>
      <c r="G168" s="452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456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'25'!F173</f>
        <v>8229</v>
      </c>
      <c r="F173" s="155">
        <v>8229</v>
      </c>
      <c r="G173" s="456">
        <f>F173-E173</f>
        <v>0</v>
      </c>
      <c r="H173" s="99">
        <f>G173+'25'!H173</f>
        <v>41</v>
      </c>
      <c r="I173" s="155"/>
      <c r="J173" s="178">
        <f>H173/DAY(B2)</f>
        <v>1.5769230769230769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'25'!F174</f>
        <v>41118</v>
      </c>
      <c r="F174" s="157">
        <v>41132</v>
      </c>
      <c r="G174" s="456">
        <f t="shared" ref="G174:G175" si="14">F174-E174</f>
        <v>14</v>
      </c>
      <c r="H174" s="99">
        <f>G174+'25'!H174</f>
        <v>-72</v>
      </c>
      <c r="I174" s="155"/>
      <c r="J174" s="178">
        <f>H174/DAY(B2)</f>
        <v>-2.7692307692307692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'25'!F175</f>
        <v>23959</v>
      </c>
      <c r="F175" s="155">
        <v>23972</v>
      </c>
      <c r="G175" s="456">
        <f t="shared" si="14"/>
        <v>13</v>
      </c>
      <c r="H175" s="99">
        <f>G175+'25'!H175</f>
        <v>-59</v>
      </c>
      <c r="I175" s="155"/>
      <c r="J175" s="178">
        <f>H175/DAY(B2)</f>
        <v>-2.2692307692307692</v>
      </c>
    </row>
    <row r="176" spans="1:10" ht="25.5">
      <c r="A176" s="876" t="s">
        <v>196</v>
      </c>
      <c r="B176" s="877"/>
      <c r="C176" s="401"/>
      <c r="D176" s="228" t="s">
        <v>142</v>
      </c>
      <c r="E176" s="95"/>
      <c r="F176" s="155"/>
      <c r="G176" s="456">
        <f>SUM(G173:G175)</f>
        <v>27</v>
      </c>
      <c r="H176" s="99">
        <f>G176+'25'!H176</f>
        <v>-90</v>
      </c>
      <c r="I176" s="155"/>
      <c r="J176" s="178">
        <f>H176/DAY(B2)</f>
        <v>-3.4615384615384617</v>
      </c>
    </row>
    <row r="177" spans="1:10" ht="25.5">
      <c r="A177" s="887" t="s">
        <v>77</v>
      </c>
      <c r="B177" s="888"/>
      <c r="C177" s="333"/>
      <c r="D177" s="228" t="s">
        <v>142</v>
      </c>
      <c r="E177" s="95"/>
      <c r="F177" s="155"/>
      <c r="G177" s="456"/>
      <c r="H177" s="99">
        <f>G177+'25'!H177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'25'!F178</f>
        <v>97156</v>
      </c>
      <c r="F178" s="155">
        <v>97243</v>
      </c>
      <c r="G178" s="456">
        <f>F178-E178</f>
        <v>87</v>
      </c>
      <c r="H178" s="99">
        <f>G178+'25'!H178</f>
        <v>-470</v>
      </c>
      <c r="I178" s="155"/>
      <c r="J178" s="178">
        <f>H178/DAY(B2)</f>
        <v>-18.076923076923077</v>
      </c>
    </row>
    <row r="179" spans="1:10" ht="25.5">
      <c r="A179" s="887" t="s">
        <v>211</v>
      </c>
      <c r="B179" s="888"/>
      <c r="C179" s="333"/>
      <c r="D179" s="228" t="s">
        <v>142</v>
      </c>
      <c r="E179" s="95">
        <f>'25'!F179</f>
        <v>36002</v>
      </c>
      <c r="F179" s="155">
        <v>36002</v>
      </c>
      <c r="G179" s="456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'25'!F180</f>
        <v>7111</v>
      </c>
      <c r="F180" s="155">
        <v>7120</v>
      </c>
      <c r="G180" s="456">
        <f t="shared" si="15"/>
        <v>9</v>
      </c>
      <c r="H180" s="99">
        <f>G180+'25'!H180</f>
        <v>-49</v>
      </c>
      <c r="I180" s="155"/>
      <c r="J180" s="178">
        <f>H180/DAY(B2)</f>
        <v>-1.8846153846153846</v>
      </c>
    </row>
    <row r="181" spans="1:10" ht="25.5">
      <c r="A181" s="889" t="s">
        <v>108</v>
      </c>
      <c r="B181" s="890"/>
      <c r="C181" s="401"/>
      <c r="D181" s="228" t="s">
        <v>142</v>
      </c>
      <c r="E181" s="95"/>
      <c r="F181" s="155"/>
      <c r="G181" s="456">
        <f>SUM(G178:G180)</f>
        <v>96</v>
      </c>
      <c r="H181" s="99">
        <f>G181+'25'!H181</f>
        <v>-519</v>
      </c>
      <c r="I181" s="155"/>
      <c r="J181" s="178">
        <f>H181/DAY(B2)</f>
        <v>-19.96153846153846</v>
      </c>
    </row>
    <row r="182" spans="1:10" ht="25.5">
      <c r="A182" s="887" t="s">
        <v>213</v>
      </c>
      <c r="B182" s="888"/>
      <c r="C182" s="333"/>
      <c r="D182" s="228" t="s">
        <v>142</v>
      </c>
      <c r="E182" s="95"/>
      <c r="F182" s="155"/>
      <c r="G182" s="456"/>
      <c r="H182" s="99">
        <f>G182+'25'!H182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'25'!F183</f>
        <v>17431</v>
      </c>
      <c r="F183" s="157">
        <v>17441</v>
      </c>
      <c r="G183" s="457">
        <f>F183-E183</f>
        <v>10</v>
      </c>
      <c r="H183" s="99">
        <f>G183+'25'!H183</f>
        <v>-32</v>
      </c>
      <c r="I183" s="155"/>
      <c r="J183" s="178">
        <f>H183/DAY(B2)</f>
        <v>-1.2307692307692308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'25'!F184</f>
        <v>11879</v>
      </c>
      <c r="F184" s="157">
        <v>11892</v>
      </c>
      <c r="G184" s="457">
        <f t="shared" ref="G184:G185" si="16">F184-E184</f>
        <v>13</v>
      </c>
      <c r="H184" s="99">
        <f>G184+'25'!H184</f>
        <v>-43</v>
      </c>
      <c r="I184" s="155"/>
      <c r="J184" s="178">
        <f>H184/DAY(B2)</f>
        <v>-1.6538461538461537</v>
      </c>
    </row>
    <row r="185" spans="1:10" ht="25.5">
      <c r="A185" s="887" t="s">
        <v>216</v>
      </c>
      <c r="B185" s="888"/>
      <c r="C185" s="334"/>
      <c r="D185" s="228" t="s">
        <v>142</v>
      </c>
      <c r="E185" s="95">
        <f>'25'!F185</f>
        <v>0</v>
      </c>
      <c r="F185" s="157"/>
      <c r="G185" s="4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400"/>
      <c r="D186" s="228" t="s">
        <v>142</v>
      </c>
      <c r="E186" s="95"/>
      <c r="F186" s="157"/>
      <c r="G186" s="457">
        <f>SUM(G183:G185)</f>
        <v>23</v>
      </c>
      <c r="H186" s="99">
        <f>G186+'25'!H186</f>
        <v>-75</v>
      </c>
      <c r="I186" s="157"/>
      <c r="J186" s="178">
        <f>H186/DAY(B2)</f>
        <v>-2.8846153846153846</v>
      </c>
    </row>
    <row r="187" spans="1:10" ht="25.5">
      <c r="A187" s="878" t="s">
        <v>217</v>
      </c>
      <c r="B187" s="879"/>
      <c r="C187" s="333"/>
      <c r="D187" s="228" t="s">
        <v>142</v>
      </c>
      <c r="E187" s="95">
        <f>'25'!F187</f>
        <v>0</v>
      </c>
      <c r="F187" s="159"/>
      <c r="G187" s="458">
        <f>G62+G19</f>
        <v>181</v>
      </c>
      <c r="H187" s="99">
        <f>G187+'25'!H187</f>
        <v>-864</v>
      </c>
      <c r="I187" s="158"/>
      <c r="J187" s="179">
        <f>H187/DAY(B2)</f>
        <v>-33.230769230769234</v>
      </c>
    </row>
    <row r="188" spans="1:10" ht="25.5">
      <c r="A188" s="878" t="s">
        <v>218</v>
      </c>
      <c r="B188" s="879"/>
      <c r="C188" s="333"/>
      <c r="D188" s="228" t="s">
        <v>142</v>
      </c>
      <c r="E188" s="95">
        <f>'25'!F188</f>
        <v>0</v>
      </c>
      <c r="F188" s="159"/>
      <c r="G188" s="458">
        <f>G65+G66+G67+G69+G70</f>
        <v>145</v>
      </c>
      <c r="H188" s="99">
        <f>G188+'25'!H188</f>
        <v>1857</v>
      </c>
      <c r="I188" s="158"/>
      <c r="J188" s="179">
        <f>H188/DAY(B2)</f>
        <v>71.42307692307692</v>
      </c>
    </row>
    <row r="189" spans="1:10" ht="25.5">
      <c r="A189" s="878" t="s">
        <v>219</v>
      </c>
      <c r="B189" s="879"/>
      <c r="C189" s="333"/>
      <c r="D189" s="228" t="s">
        <v>142</v>
      </c>
      <c r="E189" s="95">
        <f>'25'!F189</f>
        <v>0</v>
      </c>
      <c r="F189" s="157"/>
      <c r="G189" s="458">
        <f>G181</f>
        <v>96</v>
      </c>
      <c r="H189" s="99">
        <f>G189+'25'!H189</f>
        <v>790</v>
      </c>
      <c r="I189" s="158"/>
      <c r="J189" s="179">
        <f>H189/DAY(B2)</f>
        <v>30.384615384615383</v>
      </c>
    </row>
    <row r="190" spans="1:10" ht="25.5">
      <c r="A190" s="885"/>
      <c r="B190" s="886"/>
      <c r="C190" s="399"/>
      <c r="D190" s="396"/>
      <c r="E190" s="396" t="s">
        <v>207</v>
      </c>
      <c r="F190" s="396"/>
      <c r="G190" s="610"/>
      <c r="H190" s="397"/>
      <c r="I190" s="396"/>
      <c r="J190" s="398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354</v>
      </c>
      <c r="B2" s="262">
        <v>44769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212547</v>
      </c>
      <c r="F7" s="95">
        <f>E7+26200</f>
        <v>238747</v>
      </c>
      <c r="G7" s="112">
        <f>F7-E7</f>
        <v>26200</v>
      </c>
      <c r="H7" s="99">
        <f>G7+'26'!H7</f>
        <v>705158.9</v>
      </c>
      <c r="I7" s="113">
        <f>'1'!I7</f>
        <v>12000</v>
      </c>
      <c r="J7" s="175">
        <f>H7/DAY(B2)</f>
        <v>26116.996296296296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361344.4</v>
      </c>
      <c r="F8" s="95">
        <f>E8+26500</f>
        <v>387844.4</v>
      </c>
      <c r="G8" s="115">
        <f>F8-E8</f>
        <v>26500</v>
      </c>
      <c r="H8" s="99">
        <f>G8+'26'!H8</f>
        <v>714766</v>
      </c>
      <c r="I8" s="116"/>
      <c r="J8" s="175">
        <f>H8/DAY(B2)</f>
        <v>26472.814814814814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3250896.31</v>
      </c>
      <c r="F9" s="469">
        <v>3258282.71</v>
      </c>
      <c r="G9" s="112">
        <f>F9-E9</f>
        <v>7386.3999999999069</v>
      </c>
      <c r="H9" s="99">
        <f>G9+'26'!H9</f>
        <v>-20783.290000000037</v>
      </c>
      <c r="I9" s="124">
        <f>I7-J7</f>
        <v>-14116.996296296296</v>
      </c>
      <c r="J9" s="175">
        <f>H9/DAY(B2)</f>
        <v>-769.75148148148287</v>
      </c>
      <c r="K9" s="79">
        <f>K8-100</f>
        <v>1715817</v>
      </c>
      <c r="L9" s="66"/>
      <c r="N9" s="87"/>
      <c r="O9" s="71">
        <f>G8-G7</f>
        <v>300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1571445.8</v>
      </c>
      <c r="F10" s="353">
        <v>1587603.2</v>
      </c>
      <c r="G10" s="112">
        <f t="shared" ref="G10:G12" si="0">F10-E10</f>
        <v>16157.399999999907</v>
      </c>
      <c r="H10" s="99">
        <f>G10+'26'!H10</f>
        <v>-79554.800000000047</v>
      </c>
      <c r="I10" s="282"/>
      <c r="J10" s="175">
        <f>H10/DAY(B2)</f>
        <v>-2946.4740740740758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>
        <f>G7-G8</f>
        <v>-300</v>
      </c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23543.799999999814</v>
      </c>
      <c r="H13" s="99">
        <f>G13+'26'!H13</f>
        <v>-99003.490000000224</v>
      </c>
      <c r="I13" s="120">
        <f>G7-G13</f>
        <v>2656.2000000001863</v>
      </c>
      <c r="J13" s="175">
        <f>H13/DAY(B2)</f>
        <v>-3666.7959259259342</v>
      </c>
      <c r="K13" s="79"/>
      <c r="L13" s="66"/>
      <c r="N13" s="87">
        <f>G13-G7</f>
        <v>-2656.2000000001863</v>
      </c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'26'!F15</f>
        <v>2127008</v>
      </c>
      <c r="F15" s="469">
        <f>E15+1000</f>
        <v>2128008</v>
      </c>
      <c r="G15" s="112">
        <f>(F15-E15)</f>
        <v>1000</v>
      </c>
      <c r="H15" s="99">
        <f>G15+'26'!H15</f>
        <v>27140</v>
      </c>
      <c r="I15" s="113">
        <f>'1'!I15</f>
        <v>800</v>
      </c>
      <c r="J15" s="175">
        <f>H15/DAY(B2)</f>
        <v>1005.1851851851852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-205.18518518518522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'26'!F18</f>
        <v>18</v>
      </c>
      <c r="F18" s="122">
        <v>21</v>
      </c>
      <c r="G18" s="119">
        <f>F18*10</f>
        <v>210</v>
      </c>
      <c r="H18" s="99">
        <f>G18+'26'!H18</f>
        <v>4960</v>
      </c>
      <c r="I18" s="113">
        <f>'1'!I18</f>
        <v>65</v>
      </c>
      <c r="J18" s="175">
        <f>H18/DAY(B2)</f>
        <v>183.7037037037037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'26'!F19</f>
        <v>162082</v>
      </c>
      <c r="F19" s="122">
        <v>162132</v>
      </c>
      <c r="G19" s="112">
        <f t="shared" ref="G19" si="1">F19-E19</f>
        <v>50</v>
      </c>
      <c r="H19" s="99">
        <f>G19+'26'!H19</f>
        <v>-197</v>
      </c>
      <c r="I19" s="335"/>
      <c r="J19" s="175">
        <f>H19/DAY(B2)</f>
        <v>-7.2962962962962967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G20+'26'!H20</f>
        <v>4763</v>
      </c>
      <c r="I20" s="336">
        <f>I18-J20</f>
        <v>-111.40740740740742</v>
      </c>
      <c r="J20" s="175">
        <f>H20/DAY(B2)</f>
        <v>176.40740740740742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G27+'26'!H27</f>
        <v>6432894</v>
      </c>
      <c r="I27" s="138"/>
      <c r="J27" s="175">
        <f>H27/DAY(B2)</f>
        <v>238255.33333333334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G28+'26'!H28</f>
        <v>1899800</v>
      </c>
      <c r="I28" s="140"/>
      <c r="J28" s="175">
        <f>H28/DAY(B2)</f>
        <v>70362.962962962964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G30+'26'!H30</f>
        <v>-29747</v>
      </c>
      <c r="I30" s="140"/>
      <c r="J30" s="175">
        <f>H30/DAY(B2)</f>
        <v>-1101.7407407407406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G31+'26'!H31</f>
        <v>396800</v>
      </c>
      <c r="I31" s="140"/>
      <c r="J31" s="175">
        <f>H31/DAY(B2)</f>
        <v>14696.296296296296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332850</v>
      </c>
      <c r="H32" s="99">
        <f>G32+'26'!H32</f>
        <v>8699747</v>
      </c>
      <c r="I32" s="144"/>
      <c r="J32" s="175">
        <f>H32/DAY(B2)</f>
        <v>322212.85185185185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238713.05</v>
      </c>
      <c r="F35" s="145">
        <v>238713.05</v>
      </c>
      <c r="G35" s="112">
        <f t="shared" ref="G35:G46" si="3">F35-E35</f>
        <v>0</v>
      </c>
      <c r="H35" s="99">
        <f>G35+'26'!H35</f>
        <v>4.9999999988358468E-2</v>
      </c>
      <c r="I35" s="95"/>
      <c r="J35" s="175">
        <f>H35/DAY(B2)</f>
        <v>1.851851851420684E-3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210832.17</v>
      </c>
      <c r="F36" s="145">
        <v>212023.17</v>
      </c>
      <c r="G36" s="112">
        <f t="shared" si="3"/>
        <v>1191</v>
      </c>
      <c r="H36" s="99">
        <f>G36+'26'!H36</f>
        <v>-3506.8299999999872</v>
      </c>
      <c r="I36" s="95"/>
      <c r="J36" s="175">
        <f>H36/DAY(B2)</f>
        <v>-129.88259259259212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322998.69</v>
      </c>
      <c r="F37" s="145">
        <v>322998.69</v>
      </c>
      <c r="G37" s="112">
        <f t="shared" si="3"/>
        <v>0</v>
      </c>
      <c r="H37" s="99">
        <f>G37+'26'!H37</f>
        <v>-0.30999999999767169</v>
      </c>
      <c r="I37" s="95"/>
      <c r="J37" s="175">
        <f>H37/DAY(B2)</f>
        <v>-1.1481481481395248E-2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446012.43</v>
      </c>
      <c r="F38" s="108">
        <v>448290.23</v>
      </c>
      <c r="G38" s="112">
        <f t="shared" si="3"/>
        <v>2277.7999999999884</v>
      </c>
      <c r="H38" s="99">
        <f>G38+'26'!H38</f>
        <v>-9070.7700000000186</v>
      </c>
      <c r="I38" s="95"/>
      <c r="J38" s="175">
        <f>H38/DAY(B2)</f>
        <v>-335.95444444444513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591584.18999999994</v>
      </c>
      <c r="F39" s="145">
        <v>591584.18999999994</v>
      </c>
      <c r="G39" s="112">
        <f t="shared" si="3"/>
        <v>0</v>
      </c>
      <c r="H39" s="99">
        <f>G39+'26'!H39</f>
        <v>0.18999999994412065</v>
      </c>
      <c r="I39" s="95"/>
      <c r="J39" s="175">
        <f>H39/DAY(B2)</f>
        <v>7.0370370349674312E-3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102568.7</v>
      </c>
      <c r="F40" s="145">
        <v>103387.82</v>
      </c>
      <c r="G40" s="112">
        <f t="shared" si="3"/>
        <v>819.1200000000099</v>
      </c>
      <c r="H40" s="99">
        <f>G40+'26'!H40</f>
        <v>-3388.179999999993</v>
      </c>
      <c r="I40" s="95"/>
      <c r="J40" s="175">
        <f>H40/DAY(B2)</f>
        <v>-125.48814814814789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199140.79</v>
      </c>
      <c r="F41" s="145">
        <v>203209.93</v>
      </c>
      <c r="G41" s="112">
        <f t="shared" si="3"/>
        <v>4069.1399999999849</v>
      </c>
      <c r="H41" s="99">
        <f>G41+'26'!H41</f>
        <v>-8493.070000000007</v>
      </c>
      <c r="I41" s="95"/>
      <c r="J41" s="175">
        <f>H41/DAY(B2)</f>
        <v>-314.5581481481484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748364.07</v>
      </c>
      <c r="F42" s="145">
        <v>748364.07</v>
      </c>
      <c r="G42" s="112">
        <f t="shared" si="3"/>
        <v>0</v>
      </c>
      <c r="H42" s="99">
        <f>G42+'26'!H42</f>
        <v>6.9999999948777258E-2</v>
      </c>
      <c r="I42" s="95"/>
      <c r="J42" s="175">
        <f>H42/DAY(B2)</f>
        <v>2.5925925906954538E-3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3.0000000027939677E-2</v>
      </c>
      <c r="I43" s="95"/>
      <c r="J43" s="175">
        <f>H43/DAY(B2)</f>
        <v>1.111111112145914E-3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8357.0599999999831</v>
      </c>
      <c r="H47" s="99">
        <f>G47+'26'!H47</f>
        <v>-24458.820000000109</v>
      </c>
      <c r="I47" s="95"/>
      <c r="J47" s="175">
        <f>H47/DAY(B2)</f>
        <v>-905.88222222222623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461535.83</v>
      </c>
      <c r="F49" s="145">
        <v>465062.59</v>
      </c>
      <c r="G49" s="112">
        <f t="shared" ref="G49:G58" si="4">F49-E49</f>
        <v>3526.7600000000093</v>
      </c>
      <c r="H49" s="99">
        <f>G49+'26'!H49</f>
        <v>-19991.409999999974</v>
      </c>
      <c r="I49" s="95"/>
      <c r="J49" s="175">
        <f>H49/DAY(B2)</f>
        <v>-740.42259259259163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277038.27</v>
      </c>
      <c r="F50" s="145">
        <v>278156.65000000002</v>
      </c>
      <c r="G50" s="112">
        <f t="shared" si="4"/>
        <v>1118.3800000000047</v>
      </c>
      <c r="H50" s="99">
        <f>G50+'26'!H50</f>
        <v>241709.65000000002</v>
      </c>
      <c r="I50" s="95"/>
      <c r="J50" s="175">
        <f>H50/DAY(B2)</f>
        <v>8952.2092592592599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3094.34</v>
      </c>
      <c r="F51" s="145">
        <v>4196.66</v>
      </c>
      <c r="G51" s="112">
        <f t="shared" si="4"/>
        <v>1102.3199999999997</v>
      </c>
      <c r="H51" s="99">
        <f>G51+'26'!H51</f>
        <v>-4311.34</v>
      </c>
      <c r="I51" s="95"/>
      <c r="J51" s="175">
        <f>H51/DAY(B2)</f>
        <v>-159.67925925925925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11938.96</v>
      </c>
      <c r="F53" s="145">
        <v>16017.89</v>
      </c>
      <c r="G53" s="112">
        <f t="shared" si="4"/>
        <v>4078.9300000000003</v>
      </c>
      <c r="H53" s="99">
        <f>G53+'26'!H53</f>
        <v>-17843.11</v>
      </c>
      <c r="I53" s="95"/>
      <c r="J53" s="175">
        <f>H53/DAY(B2)</f>
        <v>-660.85592592592593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86209.68</v>
      </c>
      <c r="F54" s="145">
        <v>86560.57</v>
      </c>
      <c r="G54" s="112">
        <f t="shared" si="4"/>
        <v>350.89000000001397</v>
      </c>
      <c r="H54" s="99">
        <f>G54+'26'!H54</f>
        <v>-1382.429999999993</v>
      </c>
      <c r="I54" s="95"/>
      <c r="J54" s="175">
        <f>H54/DAY(B2)</f>
        <v>-51.201111111110855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346883.87</v>
      </c>
      <c r="F55" s="145">
        <v>348868.23</v>
      </c>
      <c r="G55" s="112">
        <f t="shared" si="4"/>
        <v>1984.359999999986</v>
      </c>
      <c r="H55" s="99">
        <f>G55+'26'!H55</f>
        <v>-13908.770000000019</v>
      </c>
      <c r="I55" s="95"/>
      <c r="J55" s="175">
        <f>H55/DAY(B2)</f>
        <v>-515.13962962963035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122561.27</v>
      </c>
      <c r="F56" s="145">
        <v>122561.27</v>
      </c>
      <c r="G56" s="112">
        <f t="shared" si="4"/>
        <v>0</v>
      </c>
      <c r="H56" s="99">
        <f>G56+'26'!H56</f>
        <v>-1320.7299999999959</v>
      </c>
      <c r="I56" s="95"/>
      <c r="J56" s="175">
        <f>H56/DAY(B2)</f>
        <v>-48.915925925925777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211125.45</v>
      </c>
      <c r="F57" s="423">
        <v>213935.27</v>
      </c>
      <c r="G57" s="112">
        <f t="shared" si="4"/>
        <v>2809.8199999999779</v>
      </c>
      <c r="H57" s="99">
        <f>G57+'26'!H57</f>
        <v>-12234.73000000001</v>
      </c>
      <c r="I57" s="95"/>
      <c r="J57" s="175">
        <f>H57/DAY(B2)</f>
        <v>-453.13814814814856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47730.81</v>
      </c>
      <c r="F58" s="145">
        <v>48035.35</v>
      </c>
      <c r="G58" s="112">
        <f t="shared" si="4"/>
        <v>304.54000000000087</v>
      </c>
      <c r="H58" s="99">
        <f>G58+'26'!H58</f>
        <v>-1073.6500000000015</v>
      </c>
      <c r="I58" s="95"/>
      <c r="J58" s="175">
        <f>H58/DAY(B2)</f>
        <v>-39.764814814814869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15275.999999999993</v>
      </c>
      <c r="H59" s="99">
        <f>G59+'26'!H59</f>
        <v>-76659.519999999902</v>
      </c>
      <c r="I59" s="95">
        <f>G7-G60</f>
        <v>2566.9400000000242</v>
      </c>
      <c r="J59" s="175">
        <f>H59/DAY(B2)</f>
        <v>-2839.2414814814779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23633.059999999976</v>
      </c>
      <c r="H60" s="99">
        <f>G60+'26'!H60</f>
        <v>-101118.34000000008</v>
      </c>
      <c r="I60" s="95">
        <f>G13-G60</f>
        <v>-89.260000000162108</v>
      </c>
      <c r="J60" s="175">
        <f>H60/DAY(B2)</f>
        <v>-3745.1237037037067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'26'!F62</f>
        <v>295658</v>
      </c>
      <c r="F62" s="122">
        <v>295793</v>
      </c>
      <c r="G62" s="112">
        <f t="shared" ref="G62:G63" si="5">F62-E62</f>
        <v>135</v>
      </c>
      <c r="H62" s="99">
        <f>G62+'26'!H62</f>
        <v>-482</v>
      </c>
      <c r="I62" s="118"/>
      <c r="J62" s="175">
        <f>H62/DAY(B2)</f>
        <v>-17.851851851851851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'26'!F63</f>
        <v>238393</v>
      </c>
      <c r="F63" s="122">
        <v>238530</v>
      </c>
      <c r="G63" s="112">
        <f t="shared" si="5"/>
        <v>137</v>
      </c>
      <c r="H63" s="99">
        <f>G63+'26'!H63</f>
        <v>-603</v>
      </c>
      <c r="I63" s="118"/>
      <c r="J63" s="175">
        <f>H63/DAY(B2)</f>
        <v>-22.333333333333332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'26'!F64</f>
        <v>0</v>
      </c>
      <c r="F64" s="122"/>
      <c r="G64" s="112">
        <f>G62+G63</f>
        <v>272</v>
      </c>
      <c r="H64" s="99">
        <f>G64+'26'!H64</f>
        <v>-1085</v>
      </c>
      <c r="I64" s="118"/>
      <c r="J64" s="175">
        <f>H64/DAY(B2)</f>
        <v>-40.185185185185183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'26'!F65</f>
        <v>454151</v>
      </c>
      <c r="F65" s="122">
        <v>454272</v>
      </c>
      <c r="G65" s="112">
        <f t="shared" ref="G65:G70" si="6">F65-E65</f>
        <v>121</v>
      </c>
      <c r="H65" s="99">
        <f>G65+'26'!H65</f>
        <v>-438</v>
      </c>
      <c r="I65" s="118"/>
      <c r="J65" s="175">
        <f>H65/DAY(B2)</f>
        <v>-16.222222222222221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111595</v>
      </c>
      <c r="F66" s="122">
        <v>111627</v>
      </c>
      <c r="G66" s="112">
        <f t="shared" si="6"/>
        <v>32</v>
      </c>
      <c r="H66" s="99">
        <f>G66+'26'!H66</f>
        <v>-95</v>
      </c>
      <c r="I66" s="118"/>
      <c r="J66" s="175">
        <f>H66/DAY(B2)</f>
        <v>-3.5185185185185186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113681</v>
      </c>
      <c r="F67" s="122">
        <v>113681</v>
      </c>
      <c r="G67" s="112">
        <f t="shared" si="6"/>
        <v>0</v>
      </c>
      <c r="H67" s="99">
        <f>G67+'26'!H67</f>
        <v>1</v>
      </c>
      <c r="I67" s="118"/>
      <c r="J67" s="175">
        <f>H67/DAY(B2)</f>
        <v>3.7037037037037035E-2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164588</v>
      </c>
      <c r="F68" s="122">
        <v>164602</v>
      </c>
      <c r="G68" s="112">
        <f t="shared" si="6"/>
        <v>14</v>
      </c>
      <c r="H68" s="99">
        <f>G68+'26'!H68</f>
        <v>-60</v>
      </c>
      <c r="I68" s="118"/>
      <c r="J68" s="175">
        <f>H68/DAY(B2)</f>
        <v>-2.2222222222222223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12249</v>
      </c>
      <c r="F69" s="122">
        <v>12256</v>
      </c>
      <c r="G69" s="112">
        <f t="shared" si="6"/>
        <v>7</v>
      </c>
      <c r="H69" s="99">
        <f>G69+'26'!H69</f>
        <v>-19</v>
      </c>
      <c r="I69" s="118"/>
      <c r="J69" s="175">
        <f>H69/DAY(B2)</f>
        <v>-0.70370370370370372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9769</v>
      </c>
      <c r="F70" s="122">
        <v>9781</v>
      </c>
      <c r="G70" s="112">
        <f t="shared" si="6"/>
        <v>12</v>
      </c>
      <c r="H70" s="99">
        <f>G70+'26'!H70</f>
        <v>-46</v>
      </c>
      <c r="I70" s="118"/>
      <c r="J70" s="175">
        <f>H70/DAY(B2)</f>
        <v>-1.7037037037037037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186</v>
      </c>
      <c r="H71" s="99">
        <f>G71+'26'!H71</f>
        <v>-657</v>
      </c>
      <c r="I71" s="154"/>
      <c r="J71" s="175">
        <f>H71/DAY(B2)</f>
        <v>-24.333333333333332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'26'!F74</f>
        <v>956079</v>
      </c>
      <c r="F74" s="117">
        <v>956385.55</v>
      </c>
      <c r="G74" s="112">
        <f t="shared" ref="G74:G78" si="7">F74-E74</f>
        <v>306.55000000004657</v>
      </c>
      <c r="H74" s="99">
        <f>G74+'26'!H74</f>
        <v>-1272.3099999999395</v>
      </c>
      <c r="I74" s="154"/>
      <c r="J74" s="175">
        <f>H74/DAY(B2)</f>
        <v>-47.122592592590351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'26'!F76</f>
        <v>189624.73</v>
      </c>
      <c r="F76" s="123">
        <v>189747.39</v>
      </c>
      <c r="G76" s="112">
        <f t="shared" si="7"/>
        <v>122.66000000000349</v>
      </c>
      <c r="H76" s="99">
        <f>G76+'26'!H76</f>
        <v>-424.60999999998603</v>
      </c>
      <c r="I76" s="154"/>
      <c r="J76" s="175">
        <f>H76/DAY(B2)</f>
        <v>-15.726296296295779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'26'!F77</f>
        <v>50053.2</v>
      </c>
      <c r="F77" s="123">
        <v>50104.3</v>
      </c>
      <c r="G77" s="112">
        <f t="shared" si="7"/>
        <v>51.100000000005821</v>
      </c>
      <c r="H77" s="99">
        <f>G77+'26'!H77</f>
        <v>-208.69999999999709</v>
      </c>
      <c r="I77" s="154"/>
      <c r="J77" s="175">
        <f>H77/DAY(B2)</f>
        <v>-7.7296296296295219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'26'!F78</f>
        <v>9563</v>
      </c>
      <c r="F78" s="123">
        <v>9563</v>
      </c>
      <c r="G78" s="112">
        <f t="shared" si="7"/>
        <v>0</v>
      </c>
      <c r="H78" s="99">
        <f>G78+'26'!H78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'26'!F79</f>
        <v>0</v>
      </c>
      <c r="F79" s="123"/>
      <c r="G79" s="112">
        <f>G15-SUM(G74:G78)</f>
        <v>519.68999999994412</v>
      </c>
      <c r="H79" s="99">
        <f>G79+'26'!H79</f>
        <v>29045.619999999923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42527.54</v>
      </c>
      <c r="F84" s="164">
        <v>42548.45</v>
      </c>
      <c r="G84" s="112">
        <f t="shared" si="8"/>
        <v>20.909999999996217</v>
      </c>
      <c r="H84" s="99">
        <f>G84+'26'!H84</f>
        <v>-40.55000000000291</v>
      </c>
      <c r="I84" s="571"/>
      <c r="J84" s="175">
        <f>H84/DAY(B2)</f>
        <v>-1.5018518518519597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5140.1899999999996</v>
      </c>
      <c r="F85" s="164">
        <v>5140.1899999999996</v>
      </c>
      <c r="G85" s="112">
        <f t="shared" si="8"/>
        <v>0</v>
      </c>
      <c r="H85" s="99">
        <f>G85+'26'!H85</f>
        <v>0</v>
      </c>
      <c r="I85" s="571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45269.279999999999</v>
      </c>
      <c r="F86" s="164">
        <v>45284.49</v>
      </c>
      <c r="G86" s="112">
        <f t="shared" si="8"/>
        <v>15.209999999999127</v>
      </c>
      <c r="H86" s="99">
        <f>G86+'26'!H86</f>
        <v>-94.510000000002037</v>
      </c>
      <c r="I86" s="571"/>
      <c r="J86" s="175">
        <f>H86/DAY(B2)</f>
        <v>-3.5003703703704456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35446.57</v>
      </c>
      <c r="F87" s="164">
        <v>35446.57</v>
      </c>
      <c r="G87" s="112">
        <f t="shared" si="8"/>
        <v>0</v>
      </c>
      <c r="H87" s="99">
        <f>G87+'26'!H87</f>
        <v>-10.860000000000582</v>
      </c>
      <c r="I87" s="571">
        <f>G84+G85+G86+G87</f>
        <v>36.119999999995343</v>
      </c>
      <c r="J87" s="175">
        <f>H87/DAY(B2)</f>
        <v>-0.4022222222222438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24297</v>
      </c>
      <c r="F88" s="164">
        <v>24299.02</v>
      </c>
      <c r="G88" s="112">
        <f t="shared" si="8"/>
        <v>2.0200000000004366</v>
      </c>
      <c r="H88" s="99">
        <f>G88+'26'!H88</f>
        <v>-4.4399999999986903</v>
      </c>
      <c r="I88" s="571"/>
      <c r="J88" s="175">
        <f>H88/DAY(B2)</f>
        <v>-0.16444444444439593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27520.959999999999</v>
      </c>
      <c r="F89" s="164">
        <v>27530.15</v>
      </c>
      <c r="G89" s="112">
        <f t="shared" si="8"/>
        <v>9.1900000000023283</v>
      </c>
      <c r="H89" s="99">
        <f>G89+'26'!H89</f>
        <v>-36.459999999999127</v>
      </c>
      <c r="I89" s="571">
        <f>G88+G89</f>
        <v>11.210000000002765</v>
      </c>
      <c r="J89" s="175">
        <f>H89/DAY(B2)</f>
        <v>-1.350370370370338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72555.63</v>
      </c>
      <c r="F90" s="164">
        <v>72564.2</v>
      </c>
      <c r="G90" s="112">
        <f t="shared" si="8"/>
        <v>8.569999999992433</v>
      </c>
      <c r="H90" s="99">
        <v>23</v>
      </c>
      <c r="I90" s="571">
        <f>G90</f>
        <v>8.569999999992433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4289.54</v>
      </c>
      <c r="F91" s="122">
        <v>4289.54</v>
      </c>
      <c r="G91" s="112">
        <f t="shared" si="8"/>
        <v>0</v>
      </c>
      <c r="H91" s="99">
        <f>G91+'26'!H91</f>
        <v>2.6199999999998909</v>
      </c>
      <c r="I91" s="590"/>
      <c r="J91" s="175">
        <f>H91/DAY(B2)</f>
        <v>9.7037037037032994E-2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6662.96</v>
      </c>
      <c r="F92" s="122">
        <v>6673.5</v>
      </c>
      <c r="G92" s="112">
        <f t="shared" si="8"/>
        <v>10.539999999999964</v>
      </c>
      <c r="H92" s="99">
        <f>G92+'26'!H92</f>
        <v>-43.829999999999927</v>
      </c>
      <c r="I92" s="596">
        <f>G91+G92</f>
        <v>10.539999999999964</v>
      </c>
      <c r="J92" s="175">
        <f>H92/DAY(B2)</f>
        <v>-1.6233333333333306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6336.5799999999872</v>
      </c>
      <c r="H94" s="99">
        <f>G94+'26'!H94</f>
        <v>-32226.059999999969</v>
      </c>
      <c r="I94" s="118"/>
      <c r="J94" s="175">
        <f>H94/DAY(B2)</f>
        <v>-1193.5577777777767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0.24185419847328196</v>
      </c>
      <c r="H95" s="99">
        <f>G95+'26'!H95</f>
        <v>-1.2051244125370941</v>
      </c>
      <c r="I95" s="167"/>
      <c r="J95" s="175">
        <f>H95/DAY(B2)</f>
        <v>-4.4634237501373859E-2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6053.4999999999709</v>
      </c>
      <c r="H96" s="99">
        <f>G96+'26'!H96</f>
        <v>-23722.500000000058</v>
      </c>
      <c r="I96" s="118"/>
      <c r="J96" s="175">
        <f>H96/DAY(B2)</f>
        <v>-878.61111111111325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0.23104961832060958</v>
      </c>
      <c r="H97" s="99">
        <f>G97+'26'!H97</f>
        <v>-0.8844596546524045</v>
      </c>
      <c r="I97" s="167"/>
      <c r="J97" s="175">
        <f>H97/DAY(B2)</f>
        <v>-3.2757764987126091E-2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4078.9300000000003</v>
      </c>
      <c r="H98" s="99">
        <f>G98+'26'!H98</f>
        <v>-17842.920000000056</v>
      </c>
      <c r="I98" s="168"/>
      <c r="J98" s="175">
        <f>H98/DAY(B2)</f>
        <v>-660.848888888891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0.15568435114503817</v>
      </c>
      <c r="H99" s="99">
        <f>G99+'26'!H99</f>
        <v>-0.66721863938819115</v>
      </c>
      <c r="I99" s="168"/>
      <c r="J99" s="175">
        <f>H99/DAY(B2)</f>
        <v>-2.4711801458821896E-2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2277.7999999999884</v>
      </c>
      <c r="H100" s="99">
        <f>G100+'26'!H100</f>
        <v>-9070.7700000000186</v>
      </c>
      <c r="I100" s="118"/>
      <c r="J100" s="175">
        <f>H100/DAY(B2)</f>
        <v>-335.95444444444513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8.6938931297709479E-2</v>
      </c>
      <c r="H101" s="99">
        <f>G101+'26'!H101</f>
        <v>-0.33784132737018163</v>
      </c>
      <c r="I101" s="168"/>
      <c r="J101" s="175">
        <f>H101/DAY(B2)</f>
        <v>-1.2512641754451171E-2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2309.3800000000047</v>
      </c>
      <c r="H102" s="99">
        <f>G102+'26'!H102</f>
        <v>-8100.1799999999639</v>
      </c>
      <c r="I102" s="168"/>
      <c r="J102" s="175">
        <f>H102/DAY(B2)</f>
        <v>-300.00666666666535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8.8144274809160483E-2</v>
      </c>
      <c r="H103" s="99">
        <f>G103+'26'!H103</f>
        <v>-0.30409993273885511</v>
      </c>
      <c r="I103" s="118"/>
      <c r="J103" s="175">
        <f>H103/DAY(B2)</f>
        <v>-1.1262960471809448E-2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1102.3199999999997</v>
      </c>
      <c r="H104" s="99">
        <f>G104+'26'!H104</f>
        <v>-4311.6499999999978</v>
      </c>
      <c r="I104" s="118"/>
      <c r="J104" s="175">
        <f>H104/DAY(B2)</f>
        <v>-159.69074074074067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4.2073282442748078E-2</v>
      </c>
      <c r="H105" s="99">
        <f>G105+'26'!H105</f>
        <v>-0.15991373308088236</v>
      </c>
      <c r="I105" s="187"/>
      <c r="J105" s="188">
        <f>H105/DAY(B2)</f>
        <v>-5.9227308548474951E-3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'26'!F112</f>
        <v>6902.44</v>
      </c>
      <c r="F112" s="237">
        <v>6975.8</v>
      </c>
      <c r="G112" s="112">
        <f t="shared" ref="G112:G123" si="9">F112-E112</f>
        <v>73.360000000000582</v>
      </c>
      <c r="H112" s="99">
        <f>G112+'26'!H112</f>
        <v>169.80000000000018</v>
      </c>
      <c r="I112" s="165"/>
      <c r="J112" s="328">
        <f>H112/DAY(B2)</f>
        <v>6.2888888888888959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'26'!F113</f>
        <v>14313</v>
      </c>
      <c r="F113" s="237">
        <v>14459.71</v>
      </c>
      <c r="G113" s="112">
        <f t="shared" si="9"/>
        <v>146.70999999999913</v>
      </c>
      <c r="H113" s="99">
        <f>G113+'26'!H113</f>
        <v>-555.29000000000087</v>
      </c>
      <c r="I113" s="165"/>
      <c r="J113" s="328">
        <f>H113/DAY(B2)</f>
        <v>-20.566296296296329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'26'!F114</f>
        <v>20177.45</v>
      </c>
      <c r="F114" s="237">
        <v>20397.16</v>
      </c>
      <c r="G114" s="112">
        <f t="shared" si="9"/>
        <v>219.70999999999913</v>
      </c>
      <c r="H114" s="99">
        <f>G114+'26'!H114</f>
        <v>-870.84000000000015</v>
      </c>
      <c r="I114" s="165"/>
      <c r="J114" s="328">
        <f>H114/DAY(B2)</f>
        <v>-32.253333333333337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'26'!F115</f>
        <v>12665.04</v>
      </c>
      <c r="F115" s="237">
        <v>12821.43</v>
      </c>
      <c r="G115" s="112">
        <f t="shared" si="9"/>
        <v>156.38999999999942</v>
      </c>
      <c r="H115" s="99">
        <f>G115+'26'!H115</f>
        <v>-717.79000000000087</v>
      </c>
      <c r="I115" s="165"/>
      <c r="J115" s="328">
        <f>H115/DAY(B2)</f>
        <v>-26.584814814814848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'26'!F116</f>
        <v>68522.820000000007</v>
      </c>
      <c r="F116" s="237">
        <v>68754.67</v>
      </c>
      <c r="G116" s="112">
        <f t="shared" si="9"/>
        <v>231.84999999999127</v>
      </c>
      <c r="H116" s="99">
        <f>G116+'26'!H116</f>
        <v>-1737.3300000000017</v>
      </c>
      <c r="I116" s="165"/>
      <c r="J116" s="328">
        <f>H116/DAY(B2)</f>
        <v>-64.34555555555562</v>
      </c>
      <c r="Q116" s="894" t="s">
        <v>311</v>
      </c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'26'!F117</f>
        <v>39608.370000000003</v>
      </c>
      <c r="F117" s="237">
        <v>39820.769999999997</v>
      </c>
      <c r="G117" s="112">
        <f t="shared" si="9"/>
        <v>212.39999999999418</v>
      </c>
      <c r="H117" s="99">
        <f>G117+'26'!H117</f>
        <v>-1101.2300000000032</v>
      </c>
      <c r="I117" s="165"/>
      <c r="J117" s="328">
        <f>H117/DAY(B2)</f>
        <v>-40.786296296296413</v>
      </c>
      <c r="Q117" s="894" t="s">
        <v>312</v>
      </c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'26'!F118</f>
        <v>61586.79</v>
      </c>
      <c r="F118" s="237">
        <v>62206.92</v>
      </c>
      <c r="G118" s="112">
        <f t="shared" si="9"/>
        <v>620.12999999999738</v>
      </c>
      <c r="H118" s="99">
        <f>G118+'26'!H118</f>
        <v>-2465.0800000000017</v>
      </c>
      <c r="I118" s="165"/>
      <c r="J118" s="328">
        <f>H118/DAY(B2)</f>
        <v>-91.29925925925933</v>
      </c>
      <c r="Q118" s="894" t="s">
        <v>311</v>
      </c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'26'!F119</f>
        <v>36339.11</v>
      </c>
      <c r="F119" s="237">
        <v>36566.49</v>
      </c>
      <c r="G119" s="112">
        <f t="shared" si="9"/>
        <v>227.37999999999738</v>
      </c>
      <c r="H119" s="99">
        <f>G119+'26'!H119</f>
        <v>-882.51000000000204</v>
      </c>
      <c r="I119" s="165"/>
      <c r="J119" s="328">
        <f>H119/DAY(B2)</f>
        <v>-32.685555555555631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'26'!F120</f>
        <v>44229.73</v>
      </c>
      <c r="F120" s="237">
        <v>44625.69</v>
      </c>
      <c r="G120" s="112">
        <f t="shared" si="9"/>
        <v>395.95999999999913</v>
      </c>
      <c r="H120" s="99">
        <f>G120+'26'!H120</f>
        <v>-1641.3099999999977</v>
      </c>
      <c r="I120" s="165"/>
      <c r="J120" s="328">
        <f>H120/DAY(B2)</f>
        <v>-60.789259259259175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'26'!F121</f>
        <v>51127.34</v>
      </c>
      <c r="F121" s="237">
        <v>51565.75</v>
      </c>
      <c r="G121" s="112">
        <f t="shared" si="9"/>
        <v>438.41000000000349</v>
      </c>
      <c r="H121" s="99">
        <f>G121+'26'!H121</f>
        <v>-1977.25</v>
      </c>
      <c r="I121" s="165"/>
      <c r="J121" s="328">
        <f>H121/DAY(B2)</f>
        <v>-73.231481481481481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'26'!F122</f>
        <v>27282.34</v>
      </c>
      <c r="F122" s="237">
        <v>27533.360000000001</v>
      </c>
      <c r="G122" s="112">
        <f t="shared" si="9"/>
        <v>251.02000000000044</v>
      </c>
      <c r="H122" s="99">
        <f>G122+'26'!H122</f>
        <v>-1140.6399999999994</v>
      </c>
      <c r="I122" s="165"/>
      <c r="J122" s="328">
        <f>H122/DAY(B2)</f>
        <v>-42.245925925925903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'26'!F123</f>
        <v>28598.35</v>
      </c>
      <c r="F123" s="237">
        <v>28918.63</v>
      </c>
      <c r="G123" s="112">
        <f t="shared" si="9"/>
        <v>320.28000000000247</v>
      </c>
      <c r="H123" s="99">
        <f>G123+'26'!H123</f>
        <v>-1269.369999999999</v>
      </c>
      <c r="I123" s="165"/>
      <c r="J123" s="328">
        <f>H123/DAY(B2)</f>
        <v>-47.013703703703669</v>
      </c>
    </row>
    <row r="124" spans="1:18" ht="29.25" customHeight="1">
      <c r="A124" s="898"/>
      <c r="B124" s="899"/>
      <c r="C124" s="900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3293.599999999984</v>
      </c>
      <c r="H125" s="156"/>
      <c r="I125" s="327">
        <f>G125-(G39+G53)</f>
        <v>-785.3300000000163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'26'!F128</f>
        <v>125091.16</v>
      </c>
      <c r="F128" s="155">
        <v>125580.2</v>
      </c>
      <c r="G128" s="112">
        <f t="shared" ref="G128:G134" si="10">F128-E128</f>
        <v>489.0399999999936</v>
      </c>
      <c r="H128" s="99">
        <f>G128+'26'!H128</f>
        <v>-2063.8000000000029</v>
      </c>
      <c r="I128" s="165"/>
      <c r="J128" s="328">
        <f>H128/DAY(B2)</f>
        <v>-76.437037037037143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71567.81</v>
      </c>
      <c r="F129" s="155">
        <v>71739.27</v>
      </c>
      <c r="G129" s="112">
        <f t="shared" si="10"/>
        <v>171.4600000000064</v>
      </c>
      <c r="H129" s="99">
        <f>G129+'26'!H129</f>
        <v>-763.72999999999593</v>
      </c>
      <c r="I129" s="165"/>
      <c r="J129" s="328">
        <f>H129/DAY(B2)</f>
        <v>-28.286296296296147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160909.63</v>
      </c>
      <c r="F130" s="155">
        <v>161530.31</v>
      </c>
      <c r="G130" s="112">
        <f t="shared" si="10"/>
        <v>620.67999999999302</v>
      </c>
      <c r="H130" s="99">
        <f>G130+'26'!H130</f>
        <v>-3610.9599999999919</v>
      </c>
      <c r="I130" s="165"/>
      <c r="J130" s="328">
        <f>H130/DAY(B2)</f>
        <v>-133.73925925925894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'26'!F131</f>
        <v>47359.49</v>
      </c>
      <c r="F131" s="155">
        <v>47537.78</v>
      </c>
      <c r="G131" s="112">
        <f t="shared" si="10"/>
        <v>178.29000000000087</v>
      </c>
      <c r="H131" s="99">
        <f>G131+'26'!H131</f>
        <v>-911.22000000000116</v>
      </c>
      <c r="I131" s="165"/>
      <c r="J131" s="328">
        <f>H131/DAY(B2)</f>
        <v>-33.748888888888935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'26'!F132</f>
        <v>126498.01</v>
      </c>
      <c r="F132" s="155">
        <v>126833.57</v>
      </c>
      <c r="G132" s="112">
        <f t="shared" si="10"/>
        <v>335.56000000001222</v>
      </c>
      <c r="H132" s="99">
        <f>G132+'26'!H132</f>
        <v>-1340.429999999993</v>
      </c>
      <c r="I132" s="165"/>
      <c r="J132" s="328">
        <f>H132/DAY(B2)</f>
        <v>-49.645555555555298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'26'!F133</f>
        <v>224035.59</v>
      </c>
      <c r="F133" s="155">
        <v>224035.59</v>
      </c>
      <c r="G133" s="112">
        <f t="shared" si="10"/>
        <v>0</v>
      </c>
      <c r="H133" s="99">
        <f>G133+'26'!H133</f>
        <v>571233.43000000017</v>
      </c>
      <c r="I133" s="165"/>
      <c r="J133" s="328">
        <f>H133/DAY(B2)</f>
        <v>21156.793703703708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'26'!F134</f>
        <v>48007.39</v>
      </c>
      <c r="F134" s="155">
        <v>48218.89</v>
      </c>
      <c r="G134" s="112">
        <f t="shared" si="10"/>
        <v>211.5</v>
      </c>
      <c r="H134" s="99">
        <f>G134+'26'!H134</f>
        <v>-816.11000000000058</v>
      </c>
      <c r="I134" s="165"/>
      <c r="J134" s="328">
        <f>H134/DAY(B2)</f>
        <v>-30.226296296296319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2006.5300000000061</v>
      </c>
      <c r="H135" s="99">
        <f>G135+'23'!H135</f>
        <v>525346.13</v>
      </c>
      <c r="I135" s="327">
        <f>G135-(G35+G49)</f>
        <v>-1520.2300000000032</v>
      </c>
      <c r="J135" s="328"/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'26'!F138</f>
        <v>890362</v>
      </c>
      <c r="F138" s="147">
        <v>890498</v>
      </c>
      <c r="G138" s="112">
        <f t="shared" ref="G138:G152" si="11">F138-E138</f>
        <v>136</v>
      </c>
      <c r="H138" s="99">
        <f>G138+'26'!H138</f>
        <v>-597</v>
      </c>
      <c r="I138" s="118"/>
      <c r="J138" s="328">
        <f>H138/DAY(B2)</f>
        <v>-22.111111111111111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'26'!F139</f>
        <v>908174</v>
      </c>
      <c r="F139" s="148">
        <v>908333</v>
      </c>
      <c r="G139" s="112">
        <f t="shared" si="11"/>
        <v>159</v>
      </c>
      <c r="H139" s="99">
        <f>G139+'26'!H139</f>
        <v>-562</v>
      </c>
      <c r="I139" s="118"/>
      <c r="J139" s="328">
        <f>H139/DAY(B2)</f>
        <v>-20.814814814814813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'26'!F140</f>
        <v>1439.56</v>
      </c>
      <c r="F140" s="149">
        <v>1454.95</v>
      </c>
      <c r="G140" s="112">
        <f t="shared" si="11"/>
        <v>15.3900000000001</v>
      </c>
      <c r="H140" s="99">
        <f>G140+'26'!H140</f>
        <v>537.71999999999412</v>
      </c>
      <c r="I140" s="118"/>
      <c r="J140" s="328">
        <f>H140/DAY(B2)</f>
        <v>19.915555555555336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'26'!F141</f>
        <v>89432.23</v>
      </c>
      <c r="F141" s="149">
        <v>89645.94</v>
      </c>
      <c r="G141" s="112">
        <f t="shared" si="11"/>
        <v>213.7100000000064</v>
      </c>
      <c r="H141" s="99">
        <f>G141+'26'!H141</f>
        <v>-806.05999999999767</v>
      </c>
      <c r="I141" s="118"/>
      <c r="J141" s="328">
        <f>H141/DAY(B2)</f>
        <v>-29.854074074073988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'26'!F142</f>
        <v>36284.949999999997</v>
      </c>
      <c r="F142" s="148">
        <v>36366.519999999997</v>
      </c>
      <c r="G142" s="112">
        <f t="shared" si="11"/>
        <v>81.569999999999709</v>
      </c>
      <c r="H142" s="99">
        <f>G142+'26'!H142</f>
        <v>-294.4800000000032</v>
      </c>
      <c r="I142" s="140"/>
      <c r="J142" s="328">
        <f>H142/DAY(B2)</f>
        <v>-10.906666666666785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'26'!F143</f>
        <v>8905.6299999999992</v>
      </c>
      <c r="F143" s="149">
        <v>8932.57</v>
      </c>
      <c r="G143" s="112">
        <f t="shared" si="11"/>
        <v>26.940000000000509</v>
      </c>
      <c r="H143" s="99">
        <f>G143+'26'!H143</f>
        <v>-118.43000000000029</v>
      </c>
      <c r="I143" s="140"/>
      <c r="J143" s="328">
        <f>H143/DAY(B2)</f>
        <v>-4.3862962962963072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'26'!F144</f>
        <v>918722</v>
      </c>
      <c r="F144" s="149">
        <v>918958</v>
      </c>
      <c r="G144" s="112">
        <f t="shared" si="11"/>
        <v>236</v>
      </c>
      <c r="H144" s="99">
        <f>G144+'26'!H144</f>
        <v>-879</v>
      </c>
      <c r="I144" s="140"/>
      <c r="J144" s="328">
        <f>H144/DAY(B2)</f>
        <v>-32.555555555555557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'26'!F145</f>
        <v>5798.44</v>
      </c>
      <c r="F145" s="148">
        <v>5798.44</v>
      </c>
      <c r="G145" s="112">
        <f t="shared" si="11"/>
        <v>0</v>
      </c>
      <c r="H145" s="99">
        <f>G145+'26'!H145</f>
        <v>-8.5600000000004002</v>
      </c>
      <c r="I145" s="140"/>
      <c r="J145" s="328">
        <f>H145/DAY(B2)</f>
        <v>-0.31703703703705188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'26'!F146</f>
        <v>780436</v>
      </c>
      <c r="F146" s="148">
        <v>780506</v>
      </c>
      <c r="G146" s="112">
        <f t="shared" si="11"/>
        <v>70</v>
      </c>
      <c r="H146" s="99">
        <f>G146+'26'!H146</f>
        <v>-294</v>
      </c>
      <c r="I146" s="140"/>
      <c r="J146" s="328">
        <f>H146/DAY(B2)</f>
        <v>-10.888888888888889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'26'!F147</f>
        <v>697765.84</v>
      </c>
      <c r="F147" s="148">
        <v>698156.88</v>
      </c>
      <c r="G147" s="112">
        <f t="shared" si="11"/>
        <v>391.04000000003725</v>
      </c>
      <c r="H147" s="99">
        <f>G147+'26'!H147</f>
        <v>-1612.1199999999953</v>
      </c>
      <c r="I147" s="140"/>
      <c r="J147" s="328">
        <f>H147/DAY(B2)</f>
        <v>-59.708148148147977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'26'!F148</f>
        <v>746872.8</v>
      </c>
      <c r="F148" s="150">
        <v>747220.88</v>
      </c>
      <c r="G148" s="112">
        <f t="shared" si="11"/>
        <v>348.07999999995809</v>
      </c>
      <c r="H148" s="99">
        <f>G148+'26'!H148</f>
        <v>-1309.1199999999953</v>
      </c>
      <c r="I148" s="124"/>
      <c r="J148" s="328">
        <f>H148/DAY(B2)</f>
        <v>-48.485925925925756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'26'!F149</f>
        <v>130029.26</v>
      </c>
      <c r="F149" s="146">
        <v>130519.25</v>
      </c>
      <c r="G149" s="112">
        <f t="shared" si="11"/>
        <v>489.99000000000524</v>
      </c>
      <c r="H149" s="99">
        <f>G149+'26'!H149</f>
        <v>-1914.75</v>
      </c>
      <c r="I149" s="119"/>
      <c r="J149" s="328">
        <f>H149/DAY(B2)</f>
        <v>-70.916666666666671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'26'!F150</f>
        <v>49498.99</v>
      </c>
      <c r="F150" s="233">
        <v>49721.51</v>
      </c>
      <c r="G150" s="112">
        <f t="shared" si="11"/>
        <v>222.52000000000407</v>
      </c>
      <c r="H150" s="99">
        <f>G150+'26'!H150</f>
        <v>-893.48999999999796</v>
      </c>
      <c r="I150" s="119"/>
      <c r="J150" s="328">
        <f>H150/DAY(B2)</f>
        <v>-33.092222222222148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'26'!F151</f>
        <v>133878</v>
      </c>
      <c r="F151" s="233">
        <v>134159</v>
      </c>
      <c r="G151" s="112">
        <f t="shared" si="11"/>
        <v>281</v>
      </c>
      <c r="H151" s="99">
        <f>G151+'26'!H151</f>
        <v>-1290</v>
      </c>
      <c r="I151" s="119"/>
      <c r="J151" s="328">
        <f>H151/DAY(B2)</f>
        <v>-47.777777777777779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'26'!F152</f>
        <v>22545.17</v>
      </c>
      <c r="F152" s="233">
        <v>22669.05</v>
      </c>
      <c r="G152" s="112">
        <f t="shared" si="11"/>
        <v>123.88000000000102</v>
      </c>
      <c r="H152" s="99">
        <f>G152+'26'!H152</f>
        <v>-484.95000000000073</v>
      </c>
      <c r="I152" s="119"/>
      <c r="J152" s="328">
        <f>H152/DAY(B2)</f>
        <v>-17.961111111111137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2795.1200000000126</v>
      </c>
      <c r="H153" s="363"/>
      <c r="I153" s="119">
        <f>G153-(G38+G52)</f>
        <v>517.32000000002427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'26'!F155</f>
        <v>145067.72</v>
      </c>
      <c r="F155" s="389">
        <v>145693.09</v>
      </c>
      <c r="G155" s="112">
        <f t="shared" ref="G155:G158" si="12">F155-E155</f>
        <v>625.36999999999534</v>
      </c>
      <c r="H155" s="99">
        <f>G155+'26'!H155</f>
        <v>-2455.9100000000035</v>
      </c>
      <c r="I155" s="364"/>
      <c r="J155" s="328">
        <f>H155/DAY(B2)</f>
        <v>-90.95962962962976</v>
      </c>
    </row>
    <row r="156" spans="1:10" ht="25.5">
      <c r="A156" s="872" t="s">
        <v>347</v>
      </c>
      <c r="B156" s="872"/>
      <c r="C156" s="872"/>
      <c r="D156" s="117" t="s">
        <v>130</v>
      </c>
      <c r="E156" s="95">
        <f>'26'!F156</f>
        <v>14254.43</v>
      </c>
      <c r="F156" s="155">
        <v>14341.72</v>
      </c>
      <c r="G156" s="112">
        <f t="shared" si="12"/>
        <v>87.289999999999054</v>
      </c>
      <c r="H156" s="99">
        <f>G156+'26'!H156</f>
        <v>-392.28000000000065</v>
      </c>
      <c r="I156" s="165"/>
      <c r="J156" s="328">
        <f>H156/DAY(B2)</f>
        <v>-14.528888888888913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'26'!F157</f>
        <v>26689.119999999999</v>
      </c>
      <c r="F157" s="155">
        <v>26830.09</v>
      </c>
      <c r="G157" s="112">
        <f t="shared" si="12"/>
        <v>140.97000000000116</v>
      </c>
      <c r="H157" s="99">
        <f>G157+'26'!H157</f>
        <v>969.63000000000102</v>
      </c>
      <c r="I157" s="165"/>
      <c r="J157" s="328">
        <f>H157/DAY(B2)</f>
        <v>35.912222222222262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'26'!F158</f>
        <v>232.4</v>
      </c>
      <c r="F158" s="155">
        <v>232.45</v>
      </c>
      <c r="G158" s="112">
        <f t="shared" si="12"/>
        <v>4.9999999999982947E-2</v>
      </c>
      <c r="H158" s="99">
        <f>G158+'26'!H158</f>
        <v>3.75</v>
      </c>
      <c r="I158" s="165"/>
      <c r="J158" s="328">
        <f>H158/DAY(B2)</f>
        <v>0.1388888888888889</v>
      </c>
    </row>
    <row r="159" spans="1:10" ht="25.5">
      <c r="A159" s="958"/>
      <c r="B159" s="959"/>
      <c r="C159" s="960"/>
      <c r="D159" s="117"/>
      <c r="E159" s="95"/>
      <c r="F159" s="15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479837.16</v>
      </c>
      <c r="F161" s="235">
        <v>479915.04</v>
      </c>
      <c r="G161" s="238">
        <f t="shared" ref="G161:G165" si="13">F161-E161</f>
        <v>77.880000000004657</v>
      </c>
      <c r="H161" s="99">
        <f>G161+'26'!H161</f>
        <v>732.75999999995111</v>
      </c>
      <c r="I161" s="236"/>
      <c r="J161" s="239">
        <f>H161/DAY(B2)</f>
        <v>27.139259259257447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94744</v>
      </c>
      <c r="F162" s="235">
        <v>94782.1</v>
      </c>
      <c r="G162" s="238">
        <f t="shared" si="13"/>
        <v>38.100000000005821</v>
      </c>
      <c r="H162" s="99">
        <f>G162+'26'!H162</f>
        <v>-145.89999999999418</v>
      </c>
      <c r="I162" s="236"/>
      <c r="J162" s="239">
        <f>H162/DAY(B2)</f>
        <v>-5.4037037037034885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5860.5</v>
      </c>
      <c r="F163" s="235">
        <v>5980.3</v>
      </c>
      <c r="G163" s="238">
        <f t="shared" si="13"/>
        <v>119.80000000000018</v>
      </c>
      <c r="H163" s="99">
        <f>G163+'26'!H163</f>
        <v>-520.69999999999982</v>
      </c>
      <c r="I163" s="236"/>
      <c r="J163" s="239">
        <f>H163/DAY(B2)</f>
        <v>-19.285185185185178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6209.5</v>
      </c>
      <c r="F164" s="235">
        <v>6220.7</v>
      </c>
      <c r="G164" s="238">
        <f t="shared" si="13"/>
        <v>11.199999999999818</v>
      </c>
      <c r="H164" s="99">
        <f>G164+'26'!H164</f>
        <v>-59.300000000000182</v>
      </c>
      <c r="I164" s="236"/>
      <c r="J164" s="239">
        <f>H164/DAY(B2)</f>
        <v>-2.1962962962963029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31599</v>
      </c>
      <c r="F165" s="235">
        <v>31601.75</v>
      </c>
      <c r="G165" s="238">
        <f t="shared" si="13"/>
        <v>2.75</v>
      </c>
      <c r="H165" s="99">
        <f>G165+'26'!H165</f>
        <v>-32.25</v>
      </c>
      <c r="I165" s="236"/>
      <c r="J165" s="239">
        <f>H165/DAY(B2)</f>
        <v>-1.1944444444444444</v>
      </c>
    </row>
    <row r="166" spans="1:10" ht="26.25">
      <c r="A166" s="881"/>
      <c r="B166" s="881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'26'!F173</f>
        <v>8229</v>
      </c>
      <c r="F173" s="155">
        <v>8229</v>
      </c>
      <c r="G173" s="155">
        <f>F173-E173</f>
        <v>0</v>
      </c>
      <c r="H173" s="99">
        <f>G173+'26'!H173</f>
        <v>41</v>
      </c>
      <c r="I173" s="155"/>
      <c r="J173" s="178">
        <f>H173/DAY(B2)</f>
        <v>1.5185185185185186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'26'!F174</f>
        <v>41132</v>
      </c>
      <c r="F174" s="157">
        <v>41145</v>
      </c>
      <c r="G174" s="155">
        <f t="shared" ref="G174:G175" si="14">F174-E174</f>
        <v>13</v>
      </c>
      <c r="H174" s="99">
        <f>G174+'26'!H174</f>
        <v>-59</v>
      </c>
      <c r="I174" s="155"/>
      <c r="J174" s="178">
        <f>H174/DAY(B2)</f>
        <v>-2.1851851851851851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'26'!F175</f>
        <v>23972</v>
      </c>
      <c r="F175" s="155">
        <v>23983</v>
      </c>
      <c r="G175" s="155">
        <f t="shared" si="14"/>
        <v>11</v>
      </c>
      <c r="H175" s="99">
        <f>G175+'26'!H175</f>
        <v>-48</v>
      </c>
      <c r="I175" s="155"/>
      <c r="J175" s="178">
        <f>H175/DAY(B2)</f>
        <v>-1.7777777777777777</v>
      </c>
    </row>
    <row r="176" spans="1:10" ht="25.5">
      <c r="A176" s="876" t="s">
        <v>196</v>
      </c>
      <c r="B176" s="877"/>
      <c r="C176" s="401"/>
      <c r="D176" s="228" t="s">
        <v>142</v>
      </c>
      <c r="E176" s="95"/>
      <c r="F176" s="155"/>
      <c r="G176" s="155">
        <f>SUM(G173:G175)</f>
        <v>24</v>
      </c>
      <c r="H176" s="99">
        <f>G176+'26'!H176</f>
        <v>-66</v>
      </c>
      <c r="I176" s="155"/>
      <c r="J176" s="178">
        <f>H176/DAY(B2)</f>
        <v>-2.4444444444444446</v>
      </c>
    </row>
    <row r="177" spans="1:10" ht="25.5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'26'!F178</f>
        <v>97243</v>
      </c>
      <c r="F178" s="155">
        <v>97329</v>
      </c>
      <c r="G178" s="155">
        <f>F178-E178</f>
        <v>86</v>
      </c>
      <c r="H178" s="99">
        <f>G178+'26'!H178</f>
        <v>-384</v>
      </c>
      <c r="I178" s="155"/>
      <c r="J178" s="178">
        <f>H178/DAY(B2)</f>
        <v>-14.222222222222221</v>
      </c>
    </row>
    <row r="179" spans="1:10" ht="25.5">
      <c r="A179" s="887" t="s">
        <v>211</v>
      </c>
      <c r="B179" s="888"/>
      <c r="C179" s="333"/>
      <c r="D179" s="228" t="s">
        <v>142</v>
      </c>
      <c r="E179" s="95">
        <f>'26'!F179</f>
        <v>36002</v>
      </c>
      <c r="F179" s="155">
        <v>36002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'26'!F180</f>
        <v>7120</v>
      </c>
      <c r="F180" s="155">
        <v>7138</v>
      </c>
      <c r="G180" s="155">
        <f t="shared" si="15"/>
        <v>18</v>
      </c>
      <c r="H180" s="99">
        <f>G180+'26'!H180</f>
        <v>-31</v>
      </c>
      <c r="I180" s="155"/>
      <c r="J180" s="178">
        <f>H180/DAY(B2)</f>
        <v>-1.1481481481481481</v>
      </c>
    </row>
    <row r="181" spans="1:10" ht="25.5">
      <c r="A181" s="889" t="s">
        <v>108</v>
      </c>
      <c r="B181" s="890"/>
      <c r="C181" s="401"/>
      <c r="D181" s="228" t="s">
        <v>142</v>
      </c>
      <c r="E181" s="95"/>
      <c r="F181" s="155"/>
      <c r="G181" s="155">
        <f>SUM(G178:G180)</f>
        <v>104</v>
      </c>
      <c r="H181" s="99">
        <f>G181+'26'!H181</f>
        <v>-415</v>
      </c>
      <c r="I181" s="155"/>
      <c r="J181" s="178">
        <f>H181/DAY(B2)</f>
        <v>-15.37037037037037</v>
      </c>
    </row>
    <row r="182" spans="1:10" ht="25.5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'26'!F183</f>
        <v>17441</v>
      </c>
      <c r="F183" s="157">
        <v>17449</v>
      </c>
      <c r="G183" s="157">
        <f>F183-E183</f>
        <v>8</v>
      </c>
      <c r="H183" s="99">
        <f>G183+'26'!H183</f>
        <v>-24</v>
      </c>
      <c r="I183" s="155"/>
      <c r="J183" s="178">
        <f>H183/DAY(B2)</f>
        <v>-0.88888888888888884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'26'!F184</f>
        <v>11892</v>
      </c>
      <c r="F184" s="157">
        <v>11899</v>
      </c>
      <c r="G184" s="157">
        <f t="shared" ref="G184:G185" si="16">F184-E184</f>
        <v>7</v>
      </c>
      <c r="H184" s="99">
        <f>G184+'26'!H184</f>
        <v>-36</v>
      </c>
      <c r="I184" s="155"/>
      <c r="J184" s="178">
        <f>H184/DAY(B2)</f>
        <v>-1.3333333333333333</v>
      </c>
    </row>
    <row r="185" spans="1:10" ht="25.5" customHeight="1">
      <c r="A185" s="887" t="s">
        <v>216</v>
      </c>
      <c r="B185" s="888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G186+'26'!H186</f>
        <v>-60</v>
      </c>
      <c r="I186" s="157"/>
      <c r="J186" s="178">
        <f>H186/DAY(B2)</f>
        <v>-2.2222222222222223</v>
      </c>
    </row>
    <row r="187" spans="1:10" ht="25.5">
      <c r="A187" s="878" t="s">
        <v>217</v>
      </c>
      <c r="B187" s="879"/>
      <c r="C187" s="333"/>
      <c r="D187" s="228" t="s">
        <v>142</v>
      </c>
      <c r="E187" s="95">
        <f>'26'!F187</f>
        <v>0</v>
      </c>
      <c r="F187" s="159"/>
      <c r="G187" s="378">
        <f>G62+G19</f>
        <v>185</v>
      </c>
      <c r="H187" s="99">
        <f>G187+'26'!H187</f>
        <v>-679</v>
      </c>
      <c r="I187" s="158"/>
      <c r="J187" s="179">
        <f>H187/DAY(B2)</f>
        <v>-25.148148148148149</v>
      </c>
    </row>
    <row r="188" spans="1:10" ht="25.5">
      <c r="A188" s="878" t="s">
        <v>218</v>
      </c>
      <c r="B188" s="879"/>
      <c r="C188" s="333"/>
      <c r="D188" s="228" t="s">
        <v>142</v>
      </c>
      <c r="E188" s="95">
        <f>'26'!F188</f>
        <v>0</v>
      </c>
      <c r="F188" s="159"/>
      <c r="G188" s="378">
        <f>G65+G66+G67+G69+G70</f>
        <v>172</v>
      </c>
      <c r="H188" s="99">
        <f>G188+'26'!H188</f>
        <v>2029</v>
      </c>
      <c r="I188" s="158"/>
      <c r="J188" s="179">
        <f>H188/DAY(B2)</f>
        <v>75.148148148148152</v>
      </c>
    </row>
    <row r="189" spans="1:10" ht="25.5">
      <c r="A189" s="878" t="s">
        <v>219</v>
      </c>
      <c r="B189" s="879"/>
      <c r="C189" s="333"/>
      <c r="D189" s="230" t="s">
        <v>142</v>
      </c>
      <c r="E189" s="95">
        <f>'26'!F189</f>
        <v>0</v>
      </c>
      <c r="F189" s="157"/>
      <c r="G189" s="377">
        <f>G181</f>
        <v>104</v>
      </c>
      <c r="H189" s="99">
        <f>G189+'26'!H189</f>
        <v>894</v>
      </c>
      <c r="I189" s="158"/>
      <c r="J189" s="179">
        <f>H189/DAY(B2)</f>
        <v>33.111111111111114</v>
      </c>
    </row>
    <row r="190" spans="1:10" ht="25.5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100" zoomScale="55" zoomScaleNormal="80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377</v>
      </c>
      <c r="B2" s="262">
        <v>44770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238747</v>
      </c>
      <c r="F7" s="95">
        <f>E7+26200</f>
        <v>264947</v>
      </c>
      <c r="G7" s="112">
        <f>F7-E7</f>
        <v>26200</v>
      </c>
      <c r="H7" s="99">
        <f>G7+'27'!H7</f>
        <v>731358.9</v>
      </c>
      <c r="I7" s="113">
        <f>'1'!I7</f>
        <v>12000</v>
      </c>
      <c r="J7" s="175">
        <f>H7/DAY(B2)</f>
        <v>26119.960714285717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387844.4</v>
      </c>
      <c r="F8" s="95">
        <f>E8+26500</f>
        <v>414344.4</v>
      </c>
      <c r="G8" s="115">
        <f>F8-E8</f>
        <v>26500</v>
      </c>
      <c r="H8" s="99">
        <f>G8+'27'!H8</f>
        <v>741266</v>
      </c>
      <c r="I8" s="116"/>
      <c r="J8" s="175">
        <f>H8/DAY(B2)</f>
        <v>26473.785714285714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26300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3258282.71</v>
      </c>
      <c r="F9" s="469">
        <v>3262069.1</v>
      </c>
      <c r="G9" s="112">
        <f>F9-E9</f>
        <v>3786.3900000001304</v>
      </c>
      <c r="H9" s="99">
        <f>G9+'27'!H9</f>
        <v>-16996.899999999907</v>
      </c>
      <c r="I9" s="124">
        <f>I7-J7</f>
        <v>-14119.960714285717</v>
      </c>
      <c r="J9" s="175">
        <f>H9/DAY(B2)</f>
        <v>-607.03214285713955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1587603.2</v>
      </c>
      <c r="F10" s="353">
        <v>1609122.6</v>
      </c>
      <c r="G10" s="112">
        <f t="shared" ref="G10:G12" si="0">F10-E10</f>
        <v>21519.40000000014</v>
      </c>
      <c r="H10" s="99">
        <f>G10+'27'!H10</f>
        <v>-58035.399999999907</v>
      </c>
      <c r="I10" s="282"/>
      <c r="J10" s="175">
        <f>H10/DAY(B2)</f>
        <v>-2072.6928571428539</v>
      </c>
      <c r="K10" s="79"/>
      <c r="L10" s="66"/>
      <c r="N10" s="87"/>
      <c r="O10" s="71">
        <f>F7-O8</f>
        <v>238647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-100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25305.79000000027</v>
      </c>
      <c r="H13" s="99">
        <f>G13+'27'!H13</f>
        <v>-73697.699999999953</v>
      </c>
      <c r="I13" s="120">
        <f>G7-G13</f>
        <v>894.20999999972992</v>
      </c>
      <c r="J13" s="175">
        <f>H13/DAY(B2)</f>
        <v>-2632.0607142857125</v>
      </c>
      <c r="K13" s="79"/>
      <c r="L13" s="66"/>
      <c r="N13" s="87">
        <f>G13+639</f>
        <v>25944.79000000027</v>
      </c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'27'!F15</f>
        <v>2128008</v>
      </c>
      <c r="F15" s="469">
        <f>E15+1000</f>
        <v>2129008</v>
      </c>
      <c r="G15" s="112">
        <f>(F15-E15)</f>
        <v>1000</v>
      </c>
      <c r="H15" s="99">
        <f>G15+'27'!H15</f>
        <v>28140</v>
      </c>
      <c r="I15" s="113">
        <f>'1'!I15</f>
        <v>800</v>
      </c>
      <c r="J15" s="175">
        <f>H15/DAY(B2)</f>
        <v>1005</v>
      </c>
      <c r="K15" s="79"/>
      <c r="L15" s="66"/>
      <c r="N15" s="87"/>
      <c r="O15" s="71">
        <f>G8-200</f>
        <v>26300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</v>
      </c>
      <c r="J16" s="176"/>
      <c r="K16" s="79"/>
      <c r="L16" s="66"/>
      <c r="N16" s="87"/>
      <c r="O16" s="71"/>
    </row>
    <row r="17" spans="1:16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915" t="s">
        <v>141</v>
      </c>
      <c r="B18" s="916"/>
      <c r="C18" s="917"/>
      <c r="D18" s="151" t="s">
        <v>142</v>
      </c>
      <c r="E18" s="95">
        <f>'27'!F18</f>
        <v>21</v>
      </c>
      <c r="F18" s="122">
        <v>14</v>
      </c>
      <c r="G18" s="119">
        <f>F18*10</f>
        <v>140</v>
      </c>
      <c r="H18" s="99">
        <f>G18+'27'!H18</f>
        <v>5100</v>
      </c>
      <c r="I18" s="113">
        <f>'1'!I18</f>
        <v>65</v>
      </c>
      <c r="J18" s="175">
        <f>H18/DAY(B2)</f>
        <v>182.14285714285714</v>
      </c>
      <c r="K18" s="79"/>
      <c r="L18" s="66"/>
      <c r="N18" s="87"/>
      <c r="O18" s="71"/>
    </row>
    <row r="19" spans="1:16" ht="25.5">
      <c r="A19" s="915" t="s">
        <v>69</v>
      </c>
      <c r="B19" s="916"/>
      <c r="C19" s="917"/>
      <c r="D19" s="151" t="s">
        <v>142</v>
      </c>
      <c r="E19" s="95">
        <f>'27'!F19</f>
        <v>162132</v>
      </c>
      <c r="F19" s="122">
        <v>162182</v>
      </c>
      <c r="G19" s="112">
        <f t="shared" ref="G19" si="1">F19-E19</f>
        <v>50</v>
      </c>
      <c r="H19" s="99">
        <f>G19+'27'!H19</f>
        <v>-147</v>
      </c>
      <c r="I19" s="335"/>
      <c r="J19" s="175">
        <f>H19/DAY(B2)</f>
        <v>-5.25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G20+'27'!H20</f>
        <v>4953</v>
      </c>
      <c r="I20" s="336">
        <f>I18-J20</f>
        <v>-111.89285714285714</v>
      </c>
      <c r="J20" s="175">
        <f>H20/DAY(B2)</f>
        <v>176.89285714285714</v>
      </c>
      <c r="K20" s="79"/>
      <c r="L20" s="66"/>
      <c r="N20" s="87"/>
      <c r="O20" s="71"/>
    </row>
    <row r="21" spans="1:16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G27+'27'!H27</f>
        <v>6671394</v>
      </c>
      <c r="I27" s="138"/>
      <c r="J27" s="175">
        <f>H27/DAY(B2)</f>
        <v>238264.07142857142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G28+'27'!H28</f>
        <v>1969800</v>
      </c>
      <c r="I28" s="140"/>
      <c r="J28" s="175">
        <f>H28/DAY(B2)</f>
        <v>70350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G30+'27'!H30</f>
        <v>-22197</v>
      </c>
      <c r="I30" s="140"/>
      <c r="J30" s="175">
        <f>H30/DAY(B2)</f>
        <v>-792.75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G31+'27'!H31</f>
        <v>408000</v>
      </c>
      <c r="I31" s="140"/>
      <c r="J31" s="175">
        <f>H31/DAY(B2)</f>
        <v>14571.428571428571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327250</v>
      </c>
      <c r="H32" s="99">
        <f>G32+'27'!H32</f>
        <v>9026997</v>
      </c>
      <c r="I32" s="144"/>
      <c r="J32" s="175">
        <f>H32/DAY(B2)</f>
        <v>322392.75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238713.05</v>
      </c>
      <c r="F35" s="145">
        <v>238713.05</v>
      </c>
      <c r="G35" s="112">
        <f t="shared" ref="G35:G46" si="3">F35-E35</f>
        <v>0</v>
      </c>
      <c r="H35" s="99">
        <f>G35+'27'!H35</f>
        <v>4.9999999988358468E-2</v>
      </c>
      <c r="I35" s="95"/>
      <c r="J35" s="175">
        <f>H35/DAY(B2)</f>
        <v>1.7857142852985167E-3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212023.17</v>
      </c>
      <c r="F36" s="145">
        <v>212916.55</v>
      </c>
      <c r="G36" s="112">
        <f t="shared" si="3"/>
        <v>893.37999999997555</v>
      </c>
      <c r="H36" s="99">
        <f>G36+'27'!H36</f>
        <v>-2613.4500000000116</v>
      </c>
      <c r="I36" s="95"/>
      <c r="J36" s="175">
        <f>H36/DAY(B2)</f>
        <v>-93.337500000000418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322998.69</v>
      </c>
      <c r="F37" s="145">
        <v>322998.69</v>
      </c>
      <c r="G37" s="112">
        <f t="shared" si="3"/>
        <v>0</v>
      </c>
      <c r="H37" s="99">
        <f>G37+'27'!H37</f>
        <v>-0.30999999999767169</v>
      </c>
      <c r="I37" s="95"/>
      <c r="J37" s="175">
        <f>H37/DAY(B2)</f>
        <v>-1.1071428571345418E-2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448290.23</v>
      </c>
      <c r="F38" s="108">
        <v>450533.51</v>
      </c>
      <c r="G38" s="112">
        <f t="shared" si="3"/>
        <v>2243.2800000000279</v>
      </c>
      <c r="H38" s="99">
        <f>G38+'27'!H38</f>
        <v>-6827.4899999999907</v>
      </c>
      <c r="I38" s="95"/>
      <c r="J38" s="175">
        <f>H38/DAY(B2)</f>
        <v>-243.83892857142823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591584.18999999994</v>
      </c>
      <c r="F39" s="145">
        <v>591584.18999999994</v>
      </c>
      <c r="G39" s="112">
        <f t="shared" si="3"/>
        <v>0</v>
      </c>
      <c r="H39" s="99">
        <f>G39+'27'!H39</f>
        <v>0.18999999994412065</v>
      </c>
      <c r="I39" s="95"/>
      <c r="J39" s="175">
        <f>H39/DAY(B2)</f>
        <v>6.7857142837185946E-3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103387.82</v>
      </c>
      <c r="F40" s="145">
        <v>104229.7</v>
      </c>
      <c r="G40" s="112">
        <f t="shared" si="3"/>
        <v>841.8799999999901</v>
      </c>
      <c r="H40" s="99">
        <f>G40+'27'!H40</f>
        <v>-2546.3000000000029</v>
      </c>
      <c r="I40" s="95"/>
      <c r="J40" s="175">
        <f>H40/DAY(B2)</f>
        <v>-90.939285714285816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203209.93</v>
      </c>
      <c r="F41" s="145">
        <v>203867.19</v>
      </c>
      <c r="G41" s="112">
        <f t="shared" si="3"/>
        <v>657.26000000000931</v>
      </c>
      <c r="H41" s="99">
        <f>G41+'27'!H41</f>
        <v>-7835.8099999999977</v>
      </c>
      <c r="I41" s="95"/>
      <c r="J41" s="175">
        <f>H41/DAY(B2)</f>
        <v>-279.85035714285704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748364.07</v>
      </c>
      <c r="F42" s="145">
        <v>748364.07</v>
      </c>
      <c r="G42" s="112">
        <f t="shared" si="3"/>
        <v>0</v>
      </c>
      <c r="H42" s="99">
        <f>G42+'27'!H42</f>
        <v>6.9999999948777258E-2</v>
      </c>
      <c r="I42" s="95"/>
      <c r="J42" s="175">
        <f>H42/DAY(B2)</f>
        <v>2.4999999981706162E-3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4635.769999999975</v>
      </c>
      <c r="H47" s="99">
        <f>G47+'27'!H47</f>
        <v>-19823.050000000134</v>
      </c>
      <c r="I47" s="95"/>
      <c r="J47" s="175">
        <f>H47/DAY(B2)</f>
        <v>-707.96607142857624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465062.59</v>
      </c>
      <c r="F49" s="423">
        <v>469261.37</v>
      </c>
      <c r="G49" s="112">
        <f t="shared" ref="G49:G58" si="4">F49-E49</f>
        <v>4198.7799999999697</v>
      </c>
      <c r="H49" s="99">
        <f>G49+'27'!H49</f>
        <v>-15792.630000000005</v>
      </c>
      <c r="I49" s="95"/>
      <c r="J49" s="175">
        <f>H49/DAY(B2)</f>
        <v>-564.02250000000015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278156.65000000002</v>
      </c>
      <c r="F50" s="145">
        <v>279486.98</v>
      </c>
      <c r="G50" s="112">
        <f t="shared" si="4"/>
        <v>1330.3299999999581</v>
      </c>
      <c r="H50" s="99">
        <f>G50+'27'!H50</f>
        <v>243039.97999999998</v>
      </c>
      <c r="I50" s="95"/>
      <c r="J50" s="175">
        <f>H50/DAY(B2)</f>
        <v>8679.9992857142843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4196.66</v>
      </c>
      <c r="F51" s="145">
        <v>5300.68</v>
      </c>
      <c r="G51" s="112">
        <f t="shared" si="4"/>
        <v>1104.0200000000004</v>
      </c>
      <c r="H51" s="99">
        <f>G51+'27'!H51</f>
        <v>-3207.3199999999997</v>
      </c>
      <c r="I51" s="95"/>
      <c r="J51" s="175">
        <f>H51/DAY(B2)</f>
        <v>-114.54714285714284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16017.89</v>
      </c>
      <c r="F53" s="145">
        <v>20482.21</v>
      </c>
      <c r="G53" s="112">
        <f t="shared" si="4"/>
        <v>4464.32</v>
      </c>
      <c r="H53" s="99">
        <f>G53+'27'!H53</f>
        <v>-13378.79</v>
      </c>
      <c r="I53" s="95"/>
      <c r="J53" s="175">
        <f>H53/DAY(B2)</f>
        <v>-477.81392857142862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86560.57</v>
      </c>
      <c r="F54" s="145">
        <v>86905.7</v>
      </c>
      <c r="G54" s="112">
        <f t="shared" si="4"/>
        <v>345.1299999999901</v>
      </c>
      <c r="H54" s="99">
        <f>G54+'27'!H54</f>
        <v>-1037.3000000000029</v>
      </c>
      <c r="I54" s="95"/>
      <c r="J54" s="175">
        <f>H54/DAY(B2)</f>
        <v>-37.046428571428677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348868.23</v>
      </c>
      <c r="F55" s="145">
        <v>352260.95</v>
      </c>
      <c r="G55" s="112">
        <f t="shared" si="4"/>
        <v>3392.7200000000303</v>
      </c>
      <c r="H55" s="99">
        <f>G55+'27'!H55</f>
        <v>-10516.049999999988</v>
      </c>
      <c r="I55" s="95"/>
      <c r="J55" s="175">
        <f>H55/DAY(B2)</f>
        <v>-375.57321428571385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122561.27</v>
      </c>
      <c r="F56" s="145">
        <v>123882.39</v>
      </c>
      <c r="G56" s="112">
        <f t="shared" si="4"/>
        <v>1321.1199999999953</v>
      </c>
      <c r="H56" s="99">
        <f>G56+'27'!H56</f>
        <v>0.38999999999941792</v>
      </c>
      <c r="I56" s="95"/>
      <c r="J56" s="175">
        <f>H56/DAY(B2)</f>
        <v>1.392857142855064E-2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213935.27</v>
      </c>
      <c r="F57" s="423">
        <v>217045.85</v>
      </c>
      <c r="G57" s="112">
        <f t="shared" si="4"/>
        <v>3110.5800000000163</v>
      </c>
      <c r="H57" s="99">
        <f>G57+'27'!H57</f>
        <v>-9124.1499999999942</v>
      </c>
      <c r="I57" s="95"/>
      <c r="J57" s="175">
        <f>H57/DAY(B2)</f>
        <v>-325.86249999999978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48035.35</v>
      </c>
      <c r="F58" s="145">
        <v>48263.96</v>
      </c>
      <c r="G58" s="112">
        <f t="shared" si="4"/>
        <v>228.61000000000058</v>
      </c>
      <c r="H58" s="99">
        <f>G58+'27'!H58</f>
        <v>-845.04000000000087</v>
      </c>
      <c r="I58" s="95"/>
      <c r="J58" s="175">
        <f>H58/DAY(B2)</f>
        <v>-30.180000000000032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19495.609999999961</v>
      </c>
      <c r="H59" s="99">
        <f>G59+'27'!H59</f>
        <v>-57163.909999999945</v>
      </c>
      <c r="I59" s="95">
        <f>G7-G60</f>
        <v>2068.6200000000645</v>
      </c>
      <c r="J59" s="175">
        <f>H59/DAY(B2)</f>
        <v>-2041.5682142857124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24131.379999999936</v>
      </c>
      <c r="H60" s="99">
        <f>G60+'27'!H60</f>
        <v>-76986.960000000152</v>
      </c>
      <c r="I60" s="95">
        <f>G13-G60</f>
        <v>1174.4100000003345</v>
      </c>
      <c r="J60" s="175">
        <f>H60/DAY(B2)</f>
        <v>-2749.5342857142909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'27'!F62</f>
        <v>295793</v>
      </c>
      <c r="F62" s="122">
        <v>295908</v>
      </c>
      <c r="G62" s="112">
        <f t="shared" ref="G62:G63" si="5">F62-E62</f>
        <v>115</v>
      </c>
      <c r="H62" s="99">
        <f>G62+'27'!H62</f>
        <v>-367</v>
      </c>
      <c r="I62" s="118"/>
      <c r="J62" s="175">
        <f>H62/DAY(B2)</f>
        <v>-13.107142857142858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'27'!F63</f>
        <v>238530</v>
      </c>
      <c r="F63" s="122">
        <v>238675</v>
      </c>
      <c r="G63" s="112">
        <f t="shared" si="5"/>
        <v>145</v>
      </c>
      <c r="H63" s="99">
        <f>G63+'27'!H63</f>
        <v>-458</v>
      </c>
      <c r="I63" s="118"/>
      <c r="J63" s="175">
        <f>H63/DAY(B2)</f>
        <v>-16.357142857142858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'27'!F64</f>
        <v>0</v>
      </c>
      <c r="F64" s="122">
        <v>0</v>
      </c>
      <c r="G64" s="112">
        <f>G62+G63</f>
        <v>260</v>
      </c>
      <c r="H64" s="99">
        <f>G64+'27'!H64</f>
        <v>-825</v>
      </c>
      <c r="I64" s="118"/>
      <c r="J64" s="175">
        <f>H64/DAY(B2)</f>
        <v>-29.464285714285715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'27'!F65</f>
        <v>454272</v>
      </c>
      <c r="F65" s="122">
        <v>454374</v>
      </c>
      <c r="G65" s="112">
        <f t="shared" ref="G65:G70" si="6">F65-E65</f>
        <v>102</v>
      </c>
      <c r="H65" s="99">
        <f>G65+'27'!H65</f>
        <v>-336</v>
      </c>
      <c r="I65" s="118"/>
      <c r="J65" s="175">
        <f>H65/DAY(B2)</f>
        <v>-12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111627</v>
      </c>
      <c r="F66" s="122">
        <v>111647</v>
      </c>
      <c r="G66" s="112">
        <f t="shared" si="6"/>
        <v>20</v>
      </c>
      <c r="H66" s="99">
        <f>G66+'27'!H66</f>
        <v>-75</v>
      </c>
      <c r="I66" s="118"/>
      <c r="J66" s="175">
        <f>H66/DAY(B2)</f>
        <v>-2.6785714285714284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113681</v>
      </c>
      <c r="F67" s="122">
        <v>113680</v>
      </c>
      <c r="G67" s="112">
        <f t="shared" si="6"/>
        <v>-1</v>
      </c>
      <c r="H67" s="99">
        <f>G67+'27'!H67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164602</v>
      </c>
      <c r="F68" s="122">
        <v>164614</v>
      </c>
      <c r="G68" s="112">
        <f t="shared" si="6"/>
        <v>12</v>
      </c>
      <c r="H68" s="99">
        <f>G68+'27'!H68</f>
        <v>-48</v>
      </c>
      <c r="I68" s="118"/>
      <c r="J68" s="175">
        <f>H68/DAY(B2)</f>
        <v>-1.7142857142857142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12256</v>
      </c>
      <c r="F69" s="122">
        <v>12262</v>
      </c>
      <c r="G69" s="112">
        <f t="shared" si="6"/>
        <v>6</v>
      </c>
      <c r="H69" s="99">
        <f>G69+'27'!H69</f>
        <v>-13</v>
      </c>
      <c r="I69" s="118"/>
      <c r="J69" s="175">
        <f>H69/DAY(B2)</f>
        <v>-0.4642857142857143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9781</v>
      </c>
      <c r="F70" s="122">
        <v>9793</v>
      </c>
      <c r="G70" s="112">
        <f t="shared" si="6"/>
        <v>12</v>
      </c>
      <c r="H70" s="99">
        <f>G70+'27'!H70</f>
        <v>-34</v>
      </c>
      <c r="I70" s="118"/>
      <c r="J70" s="175">
        <f>H70/DAY(B2)</f>
        <v>-1.2142857142857142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151</v>
      </c>
      <c r="H71" s="99">
        <f>G71+'27'!H71</f>
        <v>-506</v>
      </c>
      <c r="I71" s="154"/>
      <c r="J71" s="175">
        <f>H71/DAY(B2)</f>
        <v>-18.071428571428573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'27'!F74</f>
        <v>956385.55</v>
      </c>
      <c r="F74" s="117">
        <v>956697.64</v>
      </c>
      <c r="G74" s="112">
        <f t="shared" ref="G74:G78" si="7">F74-E74</f>
        <v>312.0899999999674</v>
      </c>
      <c r="H74" s="99">
        <f>G74+'27'!H74</f>
        <v>-960.21999999997206</v>
      </c>
      <c r="I74" s="154"/>
      <c r="J74" s="175">
        <f>H74/DAY(B2)</f>
        <v>-34.293571428570431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'27'!F75</f>
        <v>73586.8</v>
      </c>
      <c r="F75" s="123">
        <v>73586</v>
      </c>
      <c r="G75" s="112">
        <f t="shared" si="7"/>
        <v>-0.80000000000291038</v>
      </c>
      <c r="H75" s="99">
        <f>G75+'27'!H75</f>
        <v>-0.80000000000291038</v>
      </c>
      <c r="I75" s="154"/>
      <c r="J75" s="175">
        <f>H75/DAY(B2)</f>
        <v>-2.8571428571532515E-2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'27'!F76</f>
        <v>189747.39</v>
      </c>
      <c r="F76" s="123">
        <v>189849</v>
      </c>
      <c r="G76" s="112">
        <f t="shared" si="7"/>
        <v>101.60999999998603</v>
      </c>
      <c r="H76" s="99">
        <f>G76+'27'!H76</f>
        <v>-323</v>
      </c>
      <c r="I76" s="154"/>
      <c r="J76" s="175">
        <f>H76/DAY(B2)</f>
        <v>-11.535714285714286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'27'!F77</f>
        <v>50104.3</v>
      </c>
      <c r="F77" s="123">
        <v>50150</v>
      </c>
      <c r="G77" s="112">
        <f t="shared" si="7"/>
        <v>45.69999999999709</v>
      </c>
      <c r="H77" s="99">
        <f>G77+'27'!H77</f>
        <v>-163</v>
      </c>
      <c r="I77" s="154"/>
      <c r="J77" s="175">
        <f>H77/DAY(B2)</f>
        <v>-5.8214285714285712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'27'!F79</f>
        <v>0</v>
      </c>
      <c r="F79" s="123"/>
      <c r="G79" s="112">
        <f>G15-SUM(G74:G78)</f>
        <v>541.40000000005239</v>
      </c>
      <c r="H79" s="99">
        <f>G79+'27'!H79</f>
        <v>29587.019999999975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42548.45</v>
      </c>
      <c r="F84" s="164">
        <v>42548.45</v>
      </c>
      <c r="G84" s="112">
        <f t="shared" si="8"/>
        <v>0</v>
      </c>
      <c r="H84" s="99">
        <f>G84+'27'!H84</f>
        <v>-40.55000000000291</v>
      </c>
      <c r="I84" s="571"/>
      <c r="J84" s="175">
        <f>H84/DAY(B2)</f>
        <v>-1.4482142857143896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6">
        <f>'27'!F85</f>
        <v>5140.1899999999996</v>
      </c>
      <c r="F85" s="164">
        <v>5140.1899999999996</v>
      </c>
      <c r="G85" s="236">
        <f t="shared" si="8"/>
        <v>0</v>
      </c>
      <c r="H85" s="99">
        <f>G85+'27'!H85</f>
        <v>0</v>
      </c>
      <c r="I85" s="571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45284.49</v>
      </c>
      <c r="F86" s="164">
        <v>45309.03</v>
      </c>
      <c r="G86" s="112">
        <f t="shared" si="8"/>
        <v>24.540000000000873</v>
      </c>
      <c r="H86" s="99">
        <f>G86+'27'!H86</f>
        <v>-69.970000000001164</v>
      </c>
      <c r="I86" s="571"/>
      <c r="J86" s="175">
        <f>H86/DAY(B2)</f>
        <v>-2.4989285714286131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35446.57</v>
      </c>
      <c r="F87" s="164">
        <v>35457.43</v>
      </c>
      <c r="G87" s="112">
        <f t="shared" si="8"/>
        <v>10.860000000000582</v>
      </c>
      <c r="H87" s="99">
        <f>G87+'27'!H87</f>
        <v>0</v>
      </c>
      <c r="I87" s="571">
        <f>G84+G85+G86+G87</f>
        <v>35.400000000001455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24299.02</v>
      </c>
      <c r="F88" s="164">
        <v>24299.02</v>
      </c>
      <c r="G88" s="112">
        <f t="shared" si="8"/>
        <v>0</v>
      </c>
      <c r="H88" s="99">
        <f>G88+'27'!H88</f>
        <v>-4.4399999999986903</v>
      </c>
      <c r="I88" s="571"/>
      <c r="J88" s="175">
        <f>H88/DAY(B2)</f>
        <v>-0.15857142857138179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27530.15</v>
      </c>
      <c r="F89" s="164">
        <v>27539.61</v>
      </c>
      <c r="G89" s="112">
        <f t="shared" si="8"/>
        <v>9.4599999999991269</v>
      </c>
      <c r="H89" s="99">
        <f>G89+'27'!H89</f>
        <v>-27</v>
      </c>
      <c r="I89" s="571">
        <f>G88+G89</f>
        <v>9.4599999999991269</v>
      </c>
      <c r="J89" s="175">
        <f>H89/DAY(B2)</f>
        <v>-0.9642857142857143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72564.2</v>
      </c>
      <c r="F90" s="164">
        <v>72574.84</v>
      </c>
      <c r="G90" s="112">
        <f t="shared" si="8"/>
        <v>10.639999999999418</v>
      </c>
      <c r="H90" s="99">
        <f>G90+'27'!H90</f>
        <v>33.639999999999418</v>
      </c>
      <c r="I90" s="571">
        <f>G90</f>
        <v>10.639999999999418</v>
      </c>
      <c r="J90" s="175">
        <f>H90/DAY(B2)</f>
        <v>1.2014285714285506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4289.54</v>
      </c>
      <c r="F91" s="122">
        <v>4289.54</v>
      </c>
      <c r="G91" s="112">
        <f t="shared" si="8"/>
        <v>0</v>
      </c>
      <c r="H91" s="99">
        <f>G91+'27'!H91</f>
        <v>2.6199999999998909</v>
      </c>
      <c r="I91" s="590"/>
      <c r="J91" s="175">
        <f>H91/DAY(B2)</f>
        <v>9.357142857142467E-2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6673.5</v>
      </c>
      <c r="F92" s="122">
        <v>6684.28</v>
      </c>
      <c r="G92" s="112">
        <f t="shared" si="8"/>
        <v>10.779999999999745</v>
      </c>
      <c r="H92" s="99">
        <f>G92+'27'!H92</f>
        <v>-33.050000000000182</v>
      </c>
      <c r="I92" s="596">
        <f>G91+G92</f>
        <v>10.779999999999745</v>
      </c>
      <c r="J92" s="175">
        <f>H92/DAY(B2)</f>
        <v>-1.1803571428571493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7309.3299999999581</v>
      </c>
      <c r="H94" s="99">
        <f>G94+'27'!H94</f>
        <v>-24916.73000000001</v>
      </c>
      <c r="I94" s="118"/>
      <c r="J94" s="175">
        <f>H94/DAY(B2)</f>
        <v>-889.88321428571464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0.27898206106870072</v>
      </c>
      <c r="H95" s="99">
        <f>G95+'27'!H95</f>
        <v>-0.92614235146839341</v>
      </c>
      <c r="I95" s="167"/>
      <c r="J95" s="175">
        <f>H95/DAY(B2)</f>
        <v>-3.3076512552442622E-2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5371.1000000000349</v>
      </c>
      <c r="H96" s="99">
        <f>G96+'27'!H96</f>
        <v>-18351.400000000023</v>
      </c>
      <c r="I96" s="118"/>
      <c r="J96" s="175">
        <f>H96/DAY(B2)</f>
        <v>-655.40714285714364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0.20500381679389446</v>
      </c>
      <c r="H97" s="99">
        <f>G97+'27'!H97</f>
        <v>-0.67945583785851005</v>
      </c>
      <c r="I97" s="167"/>
      <c r="J97" s="175">
        <f>H97/DAY(B2)</f>
        <v>-2.4266279923518215E-2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4464.32</v>
      </c>
      <c r="H98" s="99">
        <f>G98+'27'!H98</f>
        <v>-13378.600000000057</v>
      </c>
      <c r="I98" s="168"/>
      <c r="J98" s="175">
        <f>H98/DAY(B2)</f>
        <v>-477.80714285714487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0.17039389312977099</v>
      </c>
      <c r="H99" s="99">
        <f>G99+'27'!H99</f>
        <v>-0.49682474625842016</v>
      </c>
      <c r="I99" s="168"/>
      <c r="J99" s="175">
        <f>H99/DAY(B2)</f>
        <v>-1.774374093780072E-2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2243.2800000000279</v>
      </c>
      <c r="H100" s="99">
        <f>G100+'27'!H100</f>
        <v>-6827.4899999999907</v>
      </c>
      <c r="I100" s="118"/>
      <c r="J100" s="175">
        <f>H100/DAY(B2)</f>
        <v>-243.83892857142823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8.5621374045802598E-2</v>
      </c>
      <c r="H101" s="99">
        <f>G101+'27'!H101</f>
        <v>-0.25221995332437902</v>
      </c>
      <c r="I101" s="168"/>
      <c r="J101" s="175">
        <f>H101/DAY(B2)</f>
        <v>-9.00785547587068E-3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2223.7099999999336</v>
      </c>
      <c r="H102" s="99">
        <f>G102+'27'!H102</f>
        <v>-5876.4700000000303</v>
      </c>
      <c r="I102" s="168"/>
      <c r="J102" s="175">
        <f>H102/DAY(B2)</f>
        <v>-209.87392857142964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8.4874427480913492E-2</v>
      </c>
      <c r="H103" s="99">
        <f>G103+'27'!H103</f>
        <v>-0.2192255052579416</v>
      </c>
      <c r="I103" s="118"/>
      <c r="J103" s="175">
        <f>H103/DAY(B2)</f>
        <v>-7.8294823306407722E-3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1104.0200000000004</v>
      </c>
      <c r="H104" s="99">
        <f>G104+'27'!H104</f>
        <v>-3207.6299999999974</v>
      </c>
      <c r="I104" s="118"/>
      <c r="J104" s="175">
        <f>H104/DAY(B2)</f>
        <v>-114.55821428571419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4.2138167938931312E-2</v>
      </c>
      <c r="H105" s="99">
        <f>G105+'27'!H105</f>
        <v>-0.11777556514195105</v>
      </c>
      <c r="I105" s="187"/>
      <c r="J105" s="188">
        <f>H105/DAY(B2)</f>
        <v>-4.2062701836411091E-3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95">
        <f>'27'!F112</f>
        <v>6975.8</v>
      </c>
      <c r="F112" s="237">
        <v>7048.6</v>
      </c>
      <c r="G112" s="112">
        <f t="shared" ref="G112:G123" si="9">F112-E112</f>
        <v>72.800000000000182</v>
      </c>
      <c r="H112" s="99">
        <f>G112+'27'!H112</f>
        <v>242.60000000000036</v>
      </c>
      <c r="I112" s="165"/>
      <c r="J112" s="328">
        <f>H112/DAY(B2)</f>
        <v>8.664285714285727</v>
      </c>
    </row>
    <row r="113" spans="1:18" ht="29.25" customHeight="1">
      <c r="A113" s="894" t="s">
        <v>253</v>
      </c>
      <c r="B113" s="895"/>
      <c r="C113" s="896"/>
      <c r="D113" s="146" t="s">
        <v>183</v>
      </c>
      <c r="E113" s="95">
        <f>'27'!F113</f>
        <v>14459.71</v>
      </c>
      <c r="F113" s="237">
        <v>14599.98</v>
      </c>
      <c r="G113" s="112">
        <f t="shared" si="9"/>
        <v>140.27000000000044</v>
      </c>
      <c r="H113" s="99">
        <f>G113+'27'!H113</f>
        <v>-415.02000000000044</v>
      </c>
      <c r="I113" s="165"/>
      <c r="J113" s="328">
        <f>H113/DAY(B2)</f>
        <v>-14.822142857142873</v>
      </c>
    </row>
    <row r="114" spans="1:18" ht="29.25" customHeight="1">
      <c r="A114" s="894" t="s">
        <v>254</v>
      </c>
      <c r="B114" s="895"/>
      <c r="C114" s="896"/>
      <c r="D114" s="146" t="s">
        <v>183</v>
      </c>
      <c r="E114" s="95">
        <f>'27'!F114</f>
        <v>20397.16</v>
      </c>
      <c r="F114" s="237">
        <v>20619.400000000001</v>
      </c>
      <c r="G114" s="112">
        <f t="shared" si="9"/>
        <v>222.2400000000016</v>
      </c>
      <c r="H114" s="99">
        <f>G114+'27'!H114</f>
        <v>-648.59999999999854</v>
      </c>
      <c r="I114" s="165"/>
      <c r="J114" s="328">
        <f>H114/DAY(B2)</f>
        <v>-23.164285714285661</v>
      </c>
    </row>
    <row r="115" spans="1:18" ht="29.25" customHeight="1">
      <c r="A115" s="894" t="s">
        <v>255</v>
      </c>
      <c r="B115" s="895"/>
      <c r="C115" s="896"/>
      <c r="D115" s="146" t="s">
        <v>183</v>
      </c>
      <c r="E115" s="95">
        <f>'27'!F115</f>
        <v>12821.43</v>
      </c>
      <c r="F115" s="237">
        <v>12993.6</v>
      </c>
      <c r="G115" s="112">
        <f t="shared" si="9"/>
        <v>172.17000000000007</v>
      </c>
      <c r="H115" s="99">
        <f>G115+'27'!H115</f>
        <v>-545.6200000000008</v>
      </c>
      <c r="I115" s="165"/>
      <c r="J115" s="328">
        <f>H115/DAY(B2)</f>
        <v>-19.486428571428601</v>
      </c>
    </row>
    <row r="116" spans="1:18" ht="29.25" customHeight="1">
      <c r="A116" s="901" t="s">
        <v>96</v>
      </c>
      <c r="B116" s="902"/>
      <c r="C116" s="903"/>
      <c r="D116" s="146" t="s">
        <v>183</v>
      </c>
      <c r="E116" s="95">
        <f>'27'!F116</f>
        <v>68754.67</v>
      </c>
      <c r="F116" s="237">
        <v>69208.3</v>
      </c>
      <c r="G116" s="112">
        <f t="shared" si="9"/>
        <v>453.63000000000466</v>
      </c>
      <c r="H116" s="99">
        <f>G116+'27'!H116</f>
        <v>-1283.6999999999971</v>
      </c>
      <c r="I116" s="165"/>
      <c r="J116" s="328">
        <f>H116/DAY(B2)</f>
        <v>-45.846428571428469</v>
      </c>
      <c r="Q116" s="894"/>
      <c r="R116" s="896"/>
    </row>
    <row r="117" spans="1:18" ht="29.25" customHeight="1">
      <c r="A117" s="901" t="s">
        <v>184</v>
      </c>
      <c r="B117" s="902"/>
      <c r="C117" s="903"/>
      <c r="D117" s="146" t="s">
        <v>183</v>
      </c>
      <c r="E117" s="95">
        <f>'27'!F117</f>
        <v>39820.769999999997</v>
      </c>
      <c r="F117" s="237">
        <v>40083.96</v>
      </c>
      <c r="G117" s="112">
        <f t="shared" si="9"/>
        <v>263.19000000000233</v>
      </c>
      <c r="H117" s="99">
        <f>G117+'27'!H117</f>
        <v>-838.04000000000087</v>
      </c>
      <c r="I117" s="165"/>
      <c r="J117" s="328">
        <f>H117/DAY(B2)</f>
        <v>-29.930000000000032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95">
        <f>'27'!F118</f>
        <v>62206.92</v>
      </c>
      <c r="F118" s="417">
        <v>62825</v>
      </c>
      <c r="G118" s="112">
        <f t="shared" si="9"/>
        <v>618.08000000000175</v>
      </c>
      <c r="H118" s="99">
        <f>G118+'27'!H118</f>
        <v>-1847</v>
      </c>
      <c r="I118" s="165"/>
      <c r="J118" s="328">
        <f>H118/DAY(B2)</f>
        <v>-65.964285714285708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95">
        <f>'27'!F119</f>
        <v>36566.49</v>
      </c>
      <c r="F119" s="237">
        <v>36789.300000000003</v>
      </c>
      <c r="G119" s="112">
        <f t="shared" si="9"/>
        <v>222.81000000000495</v>
      </c>
      <c r="H119" s="99">
        <f>G119+'27'!H119</f>
        <v>-659.69999999999709</v>
      </c>
      <c r="I119" s="165"/>
      <c r="J119" s="328">
        <f>H119/DAY(B2)</f>
        <v>-23.56071428571418</v>
      </c>
    </row>
    <row r="120" spans="1:18" ht="25.5">
      <c r="A120" s="893" t="s">
        <v>99</v>
      </c>
      <c r="B120" s="893"/>
      <c r="C120" s="893"/>
      <c r="D120" s="151" t="s">
        <v>183</v>
      </c>
      <c r="E120" s="95">
        <f>'27'!F120</f>
        <v>44625.69</v>
      </c>
      <c r="F120" s="237">
        <v>45031.07</v>
      </c>
      <c r="G120" s="112">
        <f t="shared" si="9"/>
        <v>405.37999999999738</v>
      </c>
      <c r="H120" s="99">
        <f>G120+'27'!H120</f>
        <v>-1235.9300000000003</v>
      </c>
      <c r="I120" s="165"/>
      <c r="J120" s="328">
        <f>H120/DAY(B2)</f>
        <v>-44.140357142857155</v>
      </c>
    </row>
    <row r="121" spans="1:18" ht="25.5">
      <c r="A121" s="893" t="s">
        <v>100</v>
      </c>
      <c r="B121" s="893"/>
      <c r="C121" s="893"/>
      <c r="D121" s="151" t="s">
        <v>183</v>
      </c>
      <c r="E121" s="95">
        <f>'27'!F121</f>
        <v>51565.75</v>
      </c>
      <c r="F121" s="237">
        <v>52037.46</v>
      </c>
      <c r="G121" s="112">
        <f t="shared" si="9"/>
        <v>471.70999999999913</v>
      </c>
      <c r="H121" s="99">
        <f>G121+'27'!H121</f>
        <v>-1505.5400000000009</v>
      </c>
      <c r="I121" s="165"/>
      <c r="J121" s="328">
        <f>H121/DAY(B2)</f>
        <v>-53.769285714285743</v>
      </c>
    </row>
    <row r="122" spans="1:18" ht="25.5">
      <c r="A122" s="893" t="s">
        <v>101</v>
      </c>
      <c r="B122" s="893"/>
      <c r="C122" s="893"/>
      <c r="D122" s="151" t="s">
        <v>183</v>
      </c>
      <c r="E122" s="95">
        <f>'27'!F122</f>
        <v>27533.360000000001</v>
      </c>
      <c r="F122" s="237">
        <v>27819.7</v>
      </c>
      <c r="G122" s="112">
        <f t="shared" si="9"/>
        <v>286.34000000000015</v>
      </c>
      <c r="H122" s="99">
        <f>G122+'27'!H122</f>
        <v>-854.29999999999927</v>
      </c>
      <c r="I122" s="165"/>
      <c r="J122" s="328">
        <f>H122/DAY(B2)</f>
        <v>-30.510714285714261</v>
      </c>
    </row>
    <row r="123" spans="1:18" ht="25.5">
      <c r="A123" s="893" t="s">
        <v>102</v>
      </c>
      <c r="B123" s="893"/>
      <c r="C123" s="893"/>
      <c r="D123" s="151" t="s">
        <v>183</v>
      </c>
      <c r="E123" s="95">
        <f>'27'!F123</f>
        <v>28918.63</v>
      </c>
      <c r="F123" s="237">
        <v>29238.1</v>
      </c>
      <c r="G123" s="112">
        <f t="shared" si="9"/>
        <v>319.46999999999753</v>
      </c>
      <c r="H123" s="99">
        <f>G123+'27'!H123</f>
        <v>-949.90000000000146</v>
      </c>
      <c r="I123" s="165"/>
      <c r="J123" s="328">
        <f>H123/DAY(B2)</f>
        <v>-33.925000000000054</v>
      </c>
    </row>
    <row r="124" spans="1:18" ht="29.25" customHeight="1">
      <c r="A124" s="898"/>
      <c r="B124" s="899"/>
      <c r="C124" s="900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3648.0900000000101</v>
      </c>
      <c r="H125" s="156"/>
      <c r="I125" s="327">
        <f>G125-(G39+G53)</f>
        <v>-816.22999999998956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894" t="s">
        <v>318</v>
      </c>
      <c r="B128" s="895"/>
      <c r="C128" s="896"/>
      <c r="D128" s="151" t="s">
        <v>183</v>
      </c>
      <c r="E128" s="95">
        <f>'27'!F128</f>
        <v>125580.2</v>
      </c>
      <c r="F128" s="165">
        <v>126080.8</v>
      </c>
      <c r="G128" s="112">
        <f t="shared" ref="G128:G134" si="10">F128-E128</f>
        <v>500.60000000000582</v>
      </c>
      <c r="H128" s="99">
        <f>G128+'27'!H128</f>
        <v>-1563.1999999999971</v>
      </c>
      <c r="I128" s="165"/>
      <c r="J128" s="328">
        <f>H128/DAY(B2)</f>
        <v>-55.828571428571323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71739.27</v>
      </c>
      <c r="F129" s="165">
        <v>71937.61</v>
      </c>
      <c r="G129" s="112">
        <f t="shared" si="10"/>
        <v>198.33999999999651</v>
      </c>
      <c r="H129" s="99">
        <f>G129+'27'!H129</f>
        <v>-565.38999999999942</v>
      </c>
      <c r="I129" s="165"/>
      <c r="J129" s="328">
        <f>H129/DAY(B2)</f>
        <v>-20.192499999999978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161530.31</v>
      </c>
      <c r="F130" s="165">
        <v>162359.89000000001</v>
      </c>
      <c r="G130" s="112">
        <f t="shared" si="10"/>
        <v>829.5800000000163</v>
      </c>
      <c r="H130" s="99">
        <f>G130+'27'!H130</f>
        <v>-2781.3799999999756</v>
      </c>
      <c r="I130" s="165"/>
      <c r="J130" s="328">
        <f>H130/DAY(B2)</f>
        <v>-99.334999999999127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'27'!F131</f>
        <v>47537.78</v>
      </c>
      <c r="F131" s="165">
        <v>47758.13</v>
      </c>
      <c r="G131" s="112">
        <f t="shared" si="10"/>
        <v>220.34999999999854</v>
      </c>
      <c r="H131" s="99">
        <f>G131+'27'!H131</f>
        <v>-690.87000000000262</v>
      </c>
      <c r="I131" s="165"/>
      <c r="J131" s="328">
        <f>H131/DAY(B2)</f>
        <v>-24.673928571428664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'27'!F132</f>
        <v>126833.57</v>
      </c>
      <c r="F132" s="165">
        <v>127168.43</v>
      </c>
      <c r="G132" s="112">
        <f t="shared" si="10"/>
        <v>334.85999999998603</v>
      </c>
      <c r="H132" s="99">
        <f>G132+'27'!H132</f>
        <v>-1005.570000000007</v>
      </c>
      <c r="I132" s="165"/>
      <c r="J132" s="328">
        <f>H132/DAY(B2)</f>
        <v>-35.913214285714538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'27'!F133</f>
        <v>224035.59</v>
      </c>
      <c r="F133" s="165">
        <v>224035.59</v>
      </c>
      <c r="G133" s="112">
        <f t="shared" si="10"/>
        <v>0</v>
      </c>
      <c r="H133" s="99">
        <f>G133+'27'!H133</f>
        <v>571233.43000000017</v>
      </c>
      <c r="I133" s="165"/>
      <c r="J133" s="328">
        <f>H133/DAY(B2)</f>
        <v>20401.193928571436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'27'!F134</f>
        <v>48218.89</v>
      </c>
      <c r="F134" s="158">
        <v>48422.54</v>
      </c>
      <c r="G134" s="112">
        <f t="shared" si="10"/>
        <v>203.65000000000146</v>
      </c>
      <c r="H134" s="99">
        <f>G134+'27'!H134</f>
        <v>-612.45999999999913</v>
      </c>
      <c r="I134" s="165"/>
      <c r="J134" s="328">
        <f>H134/DAY(B2)</f>
        <v>-21.873571428571399</v>
      </c>
    </row>
    <row r="135" spans="1:15" ht="25.5">
      <c r="A135" s="876" t="s">
        <v>196</v>
      </c>
      <c r="B135" s="877"/>
      <c r="C135" s="331"/>
      <c r="D135" s="151"/>
      <c r="E135" s="95"/>
      <c r="F135" s="165"/>
      <c r="G135" s="112">
        <f>SUM(G128:G134)</f>
        <v>2287.3800000000047</v>
      </c>
      <c r="H135" s="99">
        <f>G135+'23'!H135</f>
        <v>525626.98</v>
      </c>
      <c r="I135" s="327">
        <f>G135-(G35+G49)</f>
        <v>-1911.3999999999651</v>
      </c>
      <c r="J135" s="328">
        <f>H135/DAY(B2)</f>
        <v>18772.392142857141</v>
      </c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'27'!F138</f>
        <v>890498</v>
      </c>
      <c r="F138" s="147">
        <v>890659</v>
      </c>
      <c r="G138" s="112">
        <f t="shared" ref="G138:G152" si="11">F138-E138</f>
        <v>161</v>
      </c>
      <c r="H138" s="99">
        <f>G138+'27'!H138</f>
        <v>-436</v>
      </c>
      <c r="I138" s="118"/>
      <c r="J138" s="328">
        <f>H138/DAY(B2)</f>
        <v>-15.571428571428571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'27'!F139</f>
        <v>908333</v>
      </c>
      <c r="F139" s="148">
        <v>908486</v>
      </c>
      <c r="G139" s="112">
        <f t="shared" si="11"/>
        <v>153</v>
      </c>
      <c r="H139" s="99">
        <f>G139+'27'!H139</f>
        <v>-409</v>
      </c>
      <c r="I139" s="118"/>
      <c r="J139" s="328">
        <f>H139/DAY(B2)</f>
        <v>-14.607142857142858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'27'!F140</f>
        <v>1454.95</v>
      </c>
      <c r="F140" s="149">
        <v>1465.25</v>
      </c>
      <c r="G140" s="112">
        <f t="shared" si="11"/>
        <v>10.299999999999955</v>
      </c>
      <c r="H140" s="99">
        <f>G140+'27'!H140</f>
        <v>548.01999999999407</v>
      </c>
      <c r="I140" s="118"/>
      <c r="J140" s="328">
        <f>H140/DAY(B2)</f>
        <v>19.572142857142644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'27'!F141</f>
        <v>89645.94</v>
      </c>
      <c r="F141" s="149">
        <v>89840.5</v>
      </c>
      <c r="G141" s="112">
        <f t="shared" si="11"/>
        <v>194.55999999999767</v>
      </c>
      <c r="H141" s="99">
        <f>G141+'27'!H141</f>
        <v>-611.5</v>
      </c>
      <c r="I141" s="118"/>
      <c r="J141" s="328">
        <f>H141/DAY(B2)</f>
        <v>-21.839285714285715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'27'!F142</f>
        <v>36366.519999999997</v>
      </c>
      <c r="F142" s="148">
        <v>36445.599999999999</v>
      </c>
      <c r="G142" s="112">
        <f t="shared" si="11"/>
        <v>79.080000000001746</v>
      </c>
      <c r="H142" s="99">
        <f>G142+'27'!H142</f>
        <v>-215.40000000000146</v>
      </c>
      <c r="I142" s="140"/>
      <c r="J142" s="328">
        <f>H142/DAY(B2)</f>
        <v>-7.6928571428571946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'27'!F143</f>
        <v>8932.57</v>
      </c>
      <c r="F143" s="149">
        <v>8961.1</v>
      </c>
      <c r="G143" s="112">
        <f t="shared" si="11"/>
        <v>28.530000000000655</v>
      </c>
      <c r="H143" s="99">
        <f>G143+'27'!H143</f>
        <v>-89.899999999999636</v>
      </c>
      <c r="I143" s="140"/>
      <c r="J143" s="328">
        <f>H143/DAY(B2)</f>
        <v>-3.2107142857142725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'27'!F144</f>
        <v>918958</v>
      </c>
      <c r="F144" s="148">
        <v>919189</v>
      </c>
      <c r="G144" s="112">
        <f t="shared" si="11"/>
        <v>231</v>
      </c>
      <c r="H144" s="99">
        <f>G144+'27'!H144</f>
        <v>-648</v>
      </c>
      <c r="I144" s="140"/>
      <c r="J144" s="328">
        <f>H144/DAY(B2)</f>
        <v>-23.142857142857142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'27'!F145</f>
        <v>5798.44</v>
      </c>
      <c r="F145" s="149">
        <v>5798.4</v>
      </c>
      <c r="G145" s="112">
        <f t="shared" si="11"/>
        <v>-3.999999999996362E-2</v>
      </c>
      <c r="H145" s="99">
        <f>G145+'27'!H145</f>
        <v>-8.6000000000003638</v>
      </c>
      <c r="I145" s="140"/>
      <c r="J145" s="328">
        <f>H145/DAY(B2)</f>
        <v>-0.30714285714287015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'27'!F146</f>
        <v>780506</v>
      </c>
      <c r="F146" s="148">
        <v>780592</v>
      </c>
      <c r="G146" s="112">
        <f t="shared" si="11"/>
        <v>86</v>
      </c>
      <c r="H146" s="99">
        <f>G146+'27'!H146</f>
        <v>-208</v>
      </c>
      <c r="I146" s="140"/>
      <c r="J146" s="328">
        <f>H146/DAY(B2)</f>
        <v>-7.4285714285714288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'27'!F147</f>
        <v>698156.88</v>
      </c>
      <c r="F147" s="760">
        <v>698546</v>
      </c>
      <c r="G147" s="112">
        <f t="shared" si="11"/>
        <v>389.11999999999534</v>
      </c>
      <c r="H147" s="99">
        <f>G147+'27'!H147</f>
        <v>-1223</v>
      </c>
      <c r="I147" s="140"/>
      <c r="J147" s="328">
        <f>H147/DAY(B2)</f>
        <v>-43.678571428571431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'27'!F148</f>
        <v>747220.88</v>
      </c>
      <c r="F148" s="150">
        <v>747597.12</v>
      </c>
      <c r="G148" s="112">
        <f t="shared" si="11"/>
        <v>376.23999999999069</v>
      </c>
      <c r="H148" s="99">
        <f>G148+'27'!H148</f>
        <v>-932.88000000000466</v>
      </c>
      <c r="I148" s="124"/>
      <c r="J148" s="328">
        <f>H148/DAY(B2)</f>
        <v>-33.317142857143025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'27'!F149</f>
        <v>130519.25</v>
      </c>
      <c r="F149" s="146">
        <v>130978</v>
      </c>
      <c r="G149" s="112">
        <f t="shared" si="11"/>
        <v>458.75</v>
      </c>
      <c r="H149" s="99">
        <f>G149+'27'!H149</f>
        <v>-1456</v>
      </c>
      <c r="I149" s="119"/>
      <c r="J149" s="328">
        <f>H149/DAY(B2)</f>
        <v>-52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'27'!F150</f>
        <v>49721.51</v>
      </c>
      <c r="F150" s="233">
        <v>49943.27</v>
      </c>
      <c r="G150" s="112">
        <f t="shared" si="11"/>
        <v>221.75999999999476</v>
      </c>
      <c r="H150" s="99">
        <f>G150+'27'!H150</f>
        <v>-671.7300000000032</v>
      </c>
      <c r="I150" s="119"/>
      <c r="J150" s="328">
        <f>H150/DAY(B2)</f>
        <v>-23.990357142857256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'27'!F151</f>
        <v>134159</v>
      </c>
      <c r="F151" s="233">
        <v>134459</v>
      </c>
      <c r="G151" s="112">
        <f t="shared" si="11"/>
        <v>300</v>
      </c>
      <c r="H151" s="99">
        <f>G151+'27'!H151</f>
        <v>-990</v>
      </c>
      <c r="I151" s="119"/>
      <c r="J151" s="328">
        <f>H151/DAY(B2)</f>
        <v>-35.357142857142854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'27'!F152</f>
        <v>22669.05</v>
      </c>
      <c r="F152" s="233">
        <v>22790.44</v>
      </c>
      <c r="G152" s="112">
        <f t="shared" si="11"/>
        <v>121.38999999999942</v>
      </c>
      <c r="H152" s="99">
        <f>G152+'27'!H152</f>
        <v>-363.56000000000131</v>
      </c>
      <c r="I152" s="119"/>
      <c r="J152" s="328">
        <f>H152/DAY(B2)</f>
        <v>-12.984285714285761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2810.6899999999805</v>
      </c>
      <c r="H153" s="363"/>
      <c r="I153" s="119">
        <f>G153-(G38+G52)</f>
        <v>567.40999999995256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525">
        <f>'27'!F155</f>
        <v>145693.09</v>
      </c>
      <c r="F155" s="761">
        <v>146223</v>
      </c>
      <c r="G155" s="112">
        <f t="shared" ref="G155:G158" si="12">F155-E155</f>
        <v>529.91000000000349</v>
      </c>
      <c r="H155" s="99">
        <f>G155+'27'!H155</f>
        <v>-1926</v>
      </c>
      <c r="I155" s="364"/>
      <c r="J155" s="328">
        <f>H155/DAY(B2)</f>
        <v>-68.785714285714292</v>
      </c>
    </row>
    <row r="156" spans="1:10" ht="25.5">
      <c r="A156" s="872" t="s">
        <v>347</v>
      </c>
      <c r="B156" s="872"/>
      <c r="C156" s="872"/>
      <c r="D156" s="117" t="s">
        <v>130</v>
      </c>
      <c r="E156" s="95">
        <f>'27'!F156</f>
        <v>14341.72</v>
      </c>
      <c r="F156" s="157">
        <v>14429.72</v>
      </c>
      <c r="G156" s="112">
        <f t="shared" si="12"/>
        <v>88</v>
      </c>
      <c r="H156" s="99">
        <f>G156+'27'!H156</f>
        <v>-304.28000000000065</v>
      </c>
      <c r="I156" s="165"/>
      <c r="J156" s="328">
        <f>H156/DAY(B2)</f>
        <v>-10.867142857142881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'27'!F157</f>
        <v>26830.09</v>
      </c>
      <c r="F157" s="157">
        <v>27012.14</v>
      </c>
      <c r="G157" s="112">
        <f t="shared" si="12"/>
        <v>182.04999999999927</v>
      </c>
      <c r="H157" s="99"/>
      <c r="I157" s="165"/>
      <c r="J157" s="328"/>
    </row>
    <row r="158" spans="1:10" ht="25.5">
      <c r="A158" s="873" t="s">
        <v>361</v>
      </c>
      <c r="B158" s="874"/>
      <c r="C158" s="875"/>
      <c r="D158" s="117" t="s">
        <v>130</v>
      </c>
      <c r="E158" s="95">
        <f>'27'!F158</f>
        <v>232.45</v>
      </c>
      <c r="F158" s="155">
        <v>232.4</v>
      </c>
      <c r="G158" s="112">
        <f t="shared" si="12"/>
        <v>-4.9999999999982947E-2</v>
      </c>
      <c r="H158" s="99"/>
      <c r="I158" s="165"/>
      <c r="J158" s="328"/>
    </row>
    <row r="159" spans="1:10" ht="25.5">
      <c r="A159" s="958"/>
      <c r="B159" s="959"/>
      <c r="C159" s="960"/>
      <c r="D159" s="117"/>
      <c r="E159" s="95"/>
      <c r="F159" s="16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479915.04</v>
      </c>
      <c r="F161" s="235">
        <v>479955.44</v>
      </c>
      <c r="G161" s="238">
        <f t="shared" ref="G161:G165" si="13">F161-E161</f>
        <v>40.400000000023283</v>
      </c>
      <c r="H161" s="99">
        <f>G161+'27'!H161</f>
        <v>773.15999999997439</v>
      </c>
      <c r="I161" s="236"/>
      <c r="J161" s="239">
        <f>H161/DAY(B2)</f>
        <v>27.612857142856228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94782.1</v>
      </c>
      <c r="F162" s="235">
        <v>94825.27</v>
      </c>
      <c r="G162" s="238">
        <f t="shared" si="13"/>
        <v>43.169999999998254</v>
      </c>
      <c r="H162" s="99">
        <f>G162+'27'!H162</f>
        <v>-102.72999999999593</v>
      </c>
      <c r="I162" s="236"/>
      <c r="J162" s="239">
        <f>H162/DAY(B2)</f>
        <v>-3.6689285714284261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5980.3</v>
      </c>
      <c r="F163" s="235">
        <v>6122.2</v>
      </c>
      <c r="G163" s="238">
        <f t="shared" si="13"/>
        <v>141.89999999999964</v>
      </c>
      <c r="H163" s="99">
        <f>G163+'27'!H163</f>
        <v>-378.80000000000018</v>
      </c>
      <c r="I163" s="236"/>
      <c r="J163" s="239">
        <f>H163/DAY(B2)</f>
        <v>-13.528571428571436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6220.7</v>
      </c>
      <c r="F164" s="235">
        <v>6230.4</v>
      </c>
      <c r="G164" s="238">
        <f t="shared" si="13"/>
        <v>9.6999999999998181</v>
      </c>
      <c r="H164" s="99">
        <f>G164+'27'!H164</f>
        <v>-49.600000000000364</v>
      </c>
      <c r="I164" s="236"/>
      <c r="J164" s="239">
        <f>H164/DAY(B2)</f>
        <v>-1.7714285714285845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31601.75</v>
      </c>
      <c r="F165" s="235">
        <v>31610.54</v>
      </c>
      <c r="G165" s="238">
        <f t="shared" si="13"/>
        <v>8.7900000000008731</v>
      </c>
      <c r="H165" s="99">
        <f>G165+'27'!H165</f>
        <v>-23.459999999999127</v>
      </c>
      <c r="I165" s="236"/>
      <c r="J165" s="239">
        <f>H165/DAY(B2)</f>
        <v>-0.83785714285711166</v>
      </c>
    </row>
    <row r="166" spans="1:10" ht="26.25">
      <c r="A166" s="881"/>
      <c r="B166" s="881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'27'!F173</f>
        <v>8229</v>
      </c>
      <c r="F173" s="155">
        <v>8229</v>
      </c>
      <c r="G173" s="155">
        <f>F173-E173</f>
        <v>0</v>
      </c>
      <c r="H173" s="99">
        <f>G173+'27'!H173</f>
        <v>41</v>
      </c>
      <c r="I173" s="155"/>
      <c r="J173" s="178">
        <f>H173/DAY(B2)</f>
        <v>1.4642857142857142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'27'!F174</f>
        <v>41145</v>
      </c>
      <c r="F174" s="157">
        <v>41159</v>
      </c>
      <c r="G174" s="155">
        <f t="shared" ref="G174:G175" si="14">F174-E174</f>
        <v>14</v>
      </c>
      <c r="H174" s="99">
        <f>G174+'27'!H174</f>
        <v>-45</v>
      </c>
      <c r="I174" s="155"/>
      <c r="J174" s="178">
        <f>H174/DAY(B2)</f>
        <v>-1.6071428571428572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'27'!F175</f>
        <v>23983</v>
      </c>
      <c r="F175" s="155">
        <v>23994</v>
      </c>
      <c r="G175" s="155">
        <f t="shared" si="14"/>
        <v>11</v>
      </c>
      <c r="H175" s="99">
        <f>G175+'27'!H175</f>
        <v>-37</v>
      </c>
      <c r="I175" s="155"/>
      <c r="J175" s="178">
        <f>H175/DAY(B2)</f>
        <v>-1.3214285714285714</v>
      </c>
    </row>
    <row r="176" spans="1:10" ht="25.5">
      <c r="A176" s="876" t="s">
        <v>196</v>
      </c>
      <c r="B176" s="877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G176+'27'!H176</f>
        <v>-41</v>
      </c>
      <c r="I176" s="155"/>
      <c r="J176" s="178">
        <f>H176/DAY(B2)</f>
        <v>-1.4642857142857142</v>
      </c>
    </row>
    <row r="177" spans="1:10" ht="25.5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'27'!F178</f>
        <v>97329</v>
      </c>
      <c r="F178" s="155">
        <v>97436</v>
      </c>
      <c r="G178" s="155">
        <f>F178-E178</f>
        <v>107</v>
      </c>
      <c r="H178" s="99">
        <f>G178+'27'!H178</f>
        <v>-277</v>
      </c>
      <c r="I178" s="155"/>
      <c r="J178" s="178">
        <f>H178/DAY(B2)</f>
        <v>-9.8928571428571423</v>
      </c>
    </row>
    <row r="179" spans="1:10" ht="25.5">
      <c r="A179" s="887" t="s">
        <v>211</v>
      </c>
      <c r="B179" s="888"/>
      <c r="C179" s="333"/>
      <c r="D179" s="228" t="s">
        <v>142</v>
      </c>
      <c r="E179" s="95">
        <f>'27'!F179</f>
        <v>36002</v>
      </c>
      <c r="F179" s="155">
        <v>36002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'27'!F180</f>
        <v>7138</v>
      </c>
      <c r="F180" s="155">
        <v>7166</v>
      </c>
      <c r="G180" s="155">
        <f t="shared" si="15"/>
        <v>28</v>
      </c>
      <c r="H180" s="99">
        <f>G180+'27'!H180</f>
        <v>-3</v>
      </c>
      <c r="I180" s="155"/>
      <c r="J180" s="178">
        <f>H180/DAY(B2)</f>
        <v>-0.10714285714285714</v>
      </c>
    </row>
    <row r="181" spans="1:10" ht="25.5">
      <c r="A181" s="889" t="s">
        <v>108</v>
      </c>
      <c r="B181" s="890"/>
      <c r="C181" s="401"/>
      <c r="D181" s="228" t="s">
        <v>142</v>
      </c>
      <c r="E181" s="95"/>
      <c r="F181" s="155"/>
      <c r="G181" s="155">
        <f>SUM(G178:G180)</f>
        <v>135</v>
      </c>
      <c r="H181" s="99">
        <f>G181+'27'!H181</f>
        <v>-280</v>
      </c>
      <c r="I181" s="155"/>
      <c r="J181" s="178">
        <f>H181/DAY(B2)</f>
        <v>-10</v>
      </c>
    </row>
    <row r="182" spans="1:10" ht="25.5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'27'!F183</f>
        <v>17449</v>
      </c>
      <c r="F183" s="157">
        <v>17456</v>
      </c>
      <c r="G183" s="157">
        <f>F183-E183</f>
        <v>7</v>
      </c>
      <c r="H183" s="99">
        <f>G183+'27'!H183</f>
        <v>-17</v>
      </c>
      <c r="I183" s="155"/>
      <c r="J183" s="178">
        <f>H183/DAY(B2)</f>
        <v>-0.6071428571428571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'27'!F184</f>
        <v>11899</v>
      </c>
      <c r="F184" s="157">
        <v>11907</v>
      </c>
      <c r="G184" s="157">
        <f t="shared" ref="G184:G185" si="16">F184-E184</f>
        <v>8</v>
      </c>
      <c r="H184" s="99">
        <f>G184+'27'!H184</f>
        <v>-28</v>
      </c>
      <c r="I184" s="155"/>
      <c r="J184" s="178">
        <f>H184/DAY(B2)</f>
        <v>-1</v>
      </c>
    </row>
    <row r="185" spans="1:10" ht="25.5">
      <c r="A185" s="887" t="s">
        <v>216</v>
      </c>
      <c r="B185" s="888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G186+'27'!H186</f>
        <v>-45</v>
      </c>
      <c r="I186" s="157"/>
      <c r="J186" s="178">
        <f>H186/DAY(B2)</f>
        <v>-1.6071428571428572</v>
      </c>
    </row>
    <row r="187" spans="1:10" ht="25.5">
      <c r="A187" s="878" t="s">
        <v>217</v>
      </c>
      <c r="B187" s="879"/>
      <c r="C187" s="333"/>
      <c r="D187" s="230" t="s">
        <v>142</v>
      </c>
      <c r="E187" s="95">
        <f>'27'!F187</f>
        <v>0</v>
      </c>
      <c r="F187" s="159"/>
      <c r="G187" s="378">
        <f>G62+G19</f>
        <v>165</v>
      </c>
      <c r="H187" s="99">
        <f>G187+'27'!H187</f>
        <v>-514</v>
      </c>
      <c r="I187" s="158"/>
      <c r="J187" s="179">
        <f>H187/DAY(B2)</f>
        <v>-18.357142857142858</v>
      </c>
    </row>
    <row r="188" spans="1:10" ht="25.5">
      <c r="A188" s="878" t="s">
        <v>218</v>
      </c>
      <c r="B188" s="879"/>
      <c r="C188" s="333"/>
      <c r="D188" s="230" t="s">
        <v>142</v>
      </c>
      <c r="E188" s="95">
        <f>'27'!F188</f>
        <v>0</v>
      </c>
      <c r="F188" s="159"/>
      <c r="G188" s="378">
        <f>G65+G66+G67+G69+G70</f>
        <v>139</v>
      </c>
      <c r="H188" s="99">
        <f>G188+'27'!H188</f>
        <v>2168</v>
      </c>
      <c r="I188" s="158"/>
      <c r="J188" s="179">
        <f>H188/DAY(B2)</f>
        <v>77.428571428571431</v>
      </c>
    </row>
    <row r="189" spans="1:10" ht="25.5">
      <c r="A189" s="878" t="s">
        <v>219</v>
      </c>
      <c r="B189" s="879"/>
      <c r="C189" s="333"/>
      <c r="D189" s="230" t="s">
        <v>142</v>
      </c>
      <c r="E189" s="95">
        <f>'27'!F189</f>
        <v>0</v>
      </c>
      <c r="F189" s="157"/>
      <c r="G189" s="377">
        <f>G181</f>
        <v>135</v>
      </c>
      <c r="H189" s="99">
        <f>G189+'27'!H189</f>
        <v>1029</v>
      </c>
      <c r="I189" s="158"/>
      <c r="J189" s="179">
        <f>H189/DAY(B2)</f>
        <v>36.75</v>
      </c>
    </row>
    <row r="190" spans="1:10" ht="25.5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130" zoomScale="55" zoomScaleNormal="78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378</v>
      </c>
      <c r="B2" s="262">
        <v>44771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264947</v>
      </c>
      <c r="F7" s="95">
        <f>E7+26200</f>
        <v>291147</v>
      </c>
      <c r="G7" s="112">
        <f>F7-E7</f>
        <v>26200</v>
      </c>
      <c r="H7" s="99">
        <f>G7+'28'!H7</f>
        <v>757558.9</v>
      </c>
      <c r="I7" s="113">
        <f>'1'!I7</f>
        <v>12000</v>
      </c>
      <c r="J7" s="175">
        <f>H7/DAY(B2)</f>
        <v>26122.720689655172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414344.4</v>
      </c>
      <c r="F8" s="95">
        <f>E8+26500</f>
        <v>440844.4</v>
      </c>
      <c r="G8" s="115">
        <f>F8-E8</f>
        <v>26500</v>
      </c>
      <c r="H8" s="99">
        <f>G8+'28'!H8</f>
        <v>767766</v>
      </c>
      <c r="I8" s="116"/>
      <c r="J8" s="175">
        <f>H8/DAY(B2)</f>
        <v>26474.689655172413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3262069.1</v>
      </c>
      <c r="F9" s="469">
        <v>3266777.5</v>
      </c>
      <c r="G9" s="112">
        <f>F9-E9</f>
        <v>4708.3999999999069</v>
      </c>
      <c r="H9" s="99">
        <f>G9+'28'!H9</f>
        <v>-12288.5</v>
      </c>
      <c r="I9" s="124">
        <f>I7-J7</f>
        <v>-14122.720689655172</v>
      </c>
      <c r="J9" s="175">
        <f>H9/DAY(B2)</f>
        <v>-423.74137931034483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1609122.6</v>
      </c>
      <c r="F10" s="353">
        <v>1628939.8</v>
      </c>
      <c r="G10" s="112">
        <f t="shared" ref="G10:G12" si="0">F10-E10</f>
        <v>19817.199999999953</v>
      </c>
      <c r="H10" s="99">
        <f>G10+'28'!H10</f>
        <v>-38218.199999999953</v>
      </c>
      <c r="I10" s="282"/>
      <c r="J10" s="175">
        <f>H10/DAY(B2)</f>
        <v>-1317.8689655172398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24525.59999999986</v>
      </c>
      <c r="H13" s="99">
        <f>G13+'28'!H13</f>
        <v>-49172.100000000093</v>
      </c>
      <c r="I13" s="120">
        <f>G7-G13</f>
        <v>1674.4000000001397</v>
      </c>
      <c r="J13" s="175">
        <f>H13/DAY(B2)</f>
        <v>-1695.589655172417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2129008</v>
      </c>
      <c r="F15" s="469">
        <f>E15+1000</f>
        <v>2130008</v>
      </c>
      <c r="G15" s="112">
        <f>(F15-E15)</f>
        <v>1000</v>
      </c>
      <c r="H15" s="99">
        <f>G15+'28'!H15</f>
        <v>29140</v>
      </c>
      <c r="I15" s="113">
        <f>'1'!I15</f>
        <v>800</v>
      </c>
      <c r="J15" s="175">
        <f>H15/DAY(B2)</f>
        <v>1004.8275862068965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-204.82758620689651</v>
      </c>
      <c r="J16" s="176"/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95">
        <f>'28'!F18</f>
        <v>14</v>
      </c>
      <c r="F18" s="122">
        <v>18</v>
      </c>
      <c r="G18" s="119">
        <f>F18*10</f>
        <v>180</v>
      </c>
      <c r="H18" s="99">
        <f>G18+'28'!H18</f>
        <v>5280</v>
      </c>
      <c r="I18" s="113">
        <f>'1'!I18</f>
        <v>65</v>
      </c>
      <c r="J18" s="175">
        <f>H18/DAY(B2)</f>
        <v>182.06896551724137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95">
        <f>'28'!F19</f>
        <v>162182</v>
      </c>
      <c r="F19" s="122">
        <v>162233</v>
      </c>
      <c r="G19" s="112">
        <f t="shared" ref="G19" si="1">F19-E19</f>
        <v>51</v>
      </c>
      <c r="H19" s="99">
        <f>G19+'28'!H19</f>
        <v>-96</v>
      </c>
      <c r="I19" s="335"/>
      <c r="J19" s="175">
        <f>H19/DAY(B2)</f>
        <v>-3.3103448275862069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231</v>
      </c>
      <c r="H20" s="99">
        <f>G20+'28'!H20</f>
        <v>5184</v>
      </c>
      <c r="I20" s="336">
        <f>I18-J20</f>
        <v>-113.75862068965517</v>
      </c>
      <c r="J20" s="175">
        <f>H20/DAY(B2)</f>
        <v>178.75862068965517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G27+'28'!H27</f>
        <v>6909894</v>
      </c>
      <c r="I27" s="138"/>
      <c r="J27" s="175">
        <f>H27/DAY(B2)</f>
        <v>238272.20689655171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G28+'28'!H28</f>
        <v>2039800</v>
      </c>
      <c r="I28" s="140"/>
      <c r="J28" s="175">
        <f>H28/DAY(B2)</f>
        <v>70337.931034482754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G30+'28'!H30</f>
        <v>-14496</v>
      </c>
      <c r="I30" s="140"/>
      <c r="J30" s="175">
        <f>H30/DAY(B2)</f>
        <v>-499.86206896551727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G31+'28'!H31</f>
        <v>422400</v>
      </c>
      <c r="I31" s="140"/>
      <c r="J31" s="175">
        <f>H31/DAY(B2)</f>
        <v>14565.51724137931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330601</v>
      </c>
      <c r="H32" s="99">
        <f>G32+'28'!H32</f>
        <v>9357598</v>
      </c>
      <c r="I32" s="144"/>
      <c r="J32" s="175">
        <f>H32/DAY(B2)</f>
        <v>322675.79310344829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238713.05</v>
      </c>
      <c r="F35" s="145">
        <v>238713.05</v>
      </c>
      <c r="G35" s="112">
        <f t="shared" ref="G35:G46" si="3">F35-E35</f>
        <v>0</v>
      </c>
      <c r="H35" s="99">
        <f>G35+'28'!H35</f>
        <v>4.9999999988358468E-2</v>
      </c>
      <c r="I35" s="95"/>
      <c r="J35" s="175">
        <f>H35/DAY(B2)</f>
        <v>1.7241379306330506E-3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212916.55</v>
      </c>
      <c r="F36" s="145">
        <v>213658.77</v>
      </c>
      <c r="G36" s="112">
        <f t="shared" si="3"/>
        <v>742.22000000000116</v>
      </c>
      <c r="H36" s="99">
        <f>G36+'28'!H36</f>
        <v>-1871.2300000000105</v>
      </c>
      <c r="I36" s="95"/>
      <c r="J36" s="175">
        <f>H36/DAY(B2)</f>
        <v>-64.52517241379347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322998.69</v>
      </c>
      <c r="F37" s="145">
        <v>322998.69</v>
      </c>
      <c r="G37" s="112">
        <f t="shared" si="3"/>
        <v>0</v>
      </c>
      <c r="H37" s="99">
        <f>G37+'28'!H37</f>
        <v>-0.30999999999767169</v>
      </c>
      <c r="I37" s="95"/>
      <c r="J37" s="175">
        <f>H37/DAY(B2)</f>
        <v>-1.0689655172333506E-2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450533.51</v>
      </c>
      <c r="F38" s="108">
        <v>452799.07</v>
      </c>
      <c r="G38" s="112">
        <f t="shared" si="3"/>
        <v>2265.5599999999977</v>
      </c>
      <c r="H38" s="99">
        <f>G38+'28'!H38</f>
        <v>-4561.929999999993</v>
      </c>
      <c r="I38" s="95"/>
      <c r="J38" s="175">
        <f>H38/DAY(B2)</f>
        <v>-157.30793103448252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591584.18999999994</v>
      </c>
      <c r="F39" s="145">
        <v>591587.18999999994</v>
      </c>
      <c r="G39" s="112">
        <f t="shared" si="3"/>
        <v>3</v>
      </c>
      <c r="H39" s="99">
        <f>G39+'28'!H39</f>
        <v>3.1899999999441206</v>
      </c>
      <c r="I39" s="95"/>
      <c r="J39" s="175">
        <f>H39/DAY(B2)</f>
        <v>0.10999999999807313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104229.7</v>
      </c>
      <c r="F40" s="145">
        <v>105069.46</v>
      </c>
      <c r="G40" s="112">
        <f t="shared" si="3"/>
        <v>839.76000000000931</v>
      </c>
      <c r="H40" s="99">
        <f>G40+'28'!H40</f>
        <v>-1706.5399999999936</v>
      </c>
      <c r="I40" s="95"/>
      <c r="J40" s="175">
        <f>H40/DAY(B2)</f>
        <v>-58.8462068965515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203867.19</v>
      </c>
      <c r="F41" s="145">
        <v>205621.09</v>
      </c>
      <c r="G41" s="112">
        <f t="shared" si="3"/>
        <v>1753.8999999999942</v>
      </c>
      <c r="H41" s="99">
        <f>G41+'28'!H41</f>
        <v>-6081.9100000000035</v>
      </c>
      <c r="I41" s="95"/>
      <c r="J41" s="175">
        <f>H41/DAY(B2)</f>
        <v>-209.72103448275874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748364.07</v>
      </c>
      <c r="F42" s="145">
        <v>748364.07</v>
      </c>
      <c r="G42" s="112">
        <f t="shared" si="3"/>
        <v>0</v>
      </c>
      <c r="H42" s="99">
        <f>G42+'28'!H42</f>
        <v>6.9999999948777258E-2</v>
      </c>
      <c r="I42" s="95"/>
      <c r="J42" s="175">
        <f>H42/DAY(B2)</f>
        <v>2.4137931016819745E-3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5604.4400000000023</v>
      </c>
      <c r="H47" s="99">
        <f>G47+'28'!H47</f>
        <v>-14218.610000000132</v>
      </c>
      <c r="I47" s="95"/>
      <c r="J47" s="175">
        <f>H47/DAY(B2)</f>
        <v>-490.29689655172865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469261.37</v>
      </c>
      <c r="F49" s="145">
        <v>473490.83</v>
      </c>
      <c r="G49" s="112">
        <f t="shared" ref="G49:G58" si="4">F49-E49</f>
        <v>4229.460000000021</v>
      </c>
      <c r="H49" s="99">
        <f>G49+'28'!H49</f>
        <v>-11563.169999999984</v>
      </c>
      <c r="I49" s="95"/>
      <c r="J49" s="175">
        <f>H49/DAY(B2)</f>
        <v>-398.72999999999945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279486.98</v>
      </c>
      <c r="F50" s="145">
        <v>280673.17</v>
      </c>
      <c r="G50" s="112">
        <f t="shared" si="4"/>
        <v>1186.1900000000023</v>
      </c>
      <c r="H50" s="99">
        <f>G50+'28'!H50</f>
        <v>244226.16999999998</v>
      </c>
      <c r="I50" s="95"/>
      <c r="J50" s="175">
        <f>H50/DAY(B2)</f>
        <v>8421.5920689655159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5300.68</v>
      </c>
      <c r="F51" s="145">
        <v>6403.06</v>
      </c>
      <c r="G51" s="112">
        <f t="shared" si="4"/>
        <v>1102.3800000000001</v>
      </c>
      <c r="H51" s="99">
        <f>G51+'28'!H51</f>
        <v>-2104.9399999999996</v>
      </c>
      <c r="I51" s="95"/>
      <c r="J51" s="175">
        <f>H51/DAY(B2)</f>
        <v>-72.584137931034462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20482.21</v>
      </c>
      <c r="F53" s="145">
        <v>24892.44</v>
      </c>
      <c r="G53" s="112">
        <f t="shared" si="4"/>
        <v>4410.2299999999996</v>
      </c>
      <c r="H53" s="99">
        <f>G53+'28'!H53</f>
        <v>-8968.5600000000013</v>
      </c>
      <c r="I53" s="95"/>
      <c r="J53" s="175">
        <f>H53/DAY(B2)</f>
        <v>-309.26068965517248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86905.7</v>
      </c>
      <c r="F54" s="145">
        <v>87249.45</v>
      </c>
      <c r="G54" s="112">
        <f t="shared" si="4"/>
        <v>343.75</v>
      </c>
      <c r="H54" s="99">
        <f>G54+'28'!H54</f>
        <v>-693.55000000000291</v>
      </c>
      <c r="I54" s="95"/>
      <c r="J54" s="175">
        <f>H54/DAY(B2)</f>
        <v>-23.915517241379412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352260.95</v>
      </c>
      <c r="F55" s="145">
        <v>355963.5</v>
      </c>
      <c r="G55" s="112">
        <f t="shared" si="4"/>
        <v>3702.5499999999884</v>
      </c>
      <c r="H55" s="99">
        <f>G55+'28'!H55</f>
        <v>-6813.5</v>
      </c>
      <c r="I55" s="95"/>
      <c r="J55" s="175">
        <f>H55/DAY(B2)</f>
        <v>-234.94827586206895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123882.39</v>
      </c>
      <c r="F56" s="145">
        <v>123882.39</v>
      </c>
      <c r="G56" s="112">
        <f t="shared" si="4"/>
        <v>0</v>
      </c>
      <c r="H56" s="99">
        <f>G56+'28'!H56</f>
        <v>0.38999999999941792</v>
      </c>
      <c r="I56" s="95"/>
      <c r="J56" s="175">
        <f>H56/DAY(B2)</f>
        <v>1.3448275862048893E-2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217045.85</v>
      </c>
      <c r="F57" s="145">
        <v>220098.99</v>
      </c>
      <c r="G57" s="112">
        <f t="shared" si="4"/>
        <v>3053.1399999999849</v>
      </c>
      <c r="H57" s="99">
        <f>G57+'28'!H57</f>
        <v>-6071.0100000000093</v>
      </c>
      <c r="I57" s="95"/>
      <c r="J57" s="175">
        <f>H57/DAY(B2)</f>
        <v>-209.34517241379342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48263.96</v>
      </c>
      <c r="F58" s="145">
        <v>48564.73</v>
      </c>
      <c r="G58" s="112">
        <f t="shared" si="4"/>
        <v>300.77000000000407</v>
      </c>
      <c r="H58" s="99">
        <f>G58+'28'!H58</f>
        <v>-544.2699999999968</v>
      </c>
      <c r="I58" s="95"/>
      <c r="J58" s="175">
        <f>H58/DAY(B2)</f>
        <v>-18.767931034482647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18328.47</v>
      </c>
      <c r="H59" s="99">
        <f>G59+'28'!H59</f>
        <v>-38835.439999999944</v>
      </c>
      <c r="I59" s="95">
        <f>G7-G60</f>
        <v>2267.0899999999965</v>
      </c>
      <c r="J59" s="175">
        <f>H59/DAY(B2)</f>
        <v>-1339.1531034482739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23932.910000000003</v>
      </c>
      <c r="H60" s="99">
        <f>G60+'28'!H60</f>
        <v>-53054.050000000148</v>
      </c>
      <c r="I60" s="95">
        <f>G13-G60</f>
        <v>592.68999999985681</v>
      </c>
      <c r="J60" s="175">
        <f>H60/DAY(B2)</f>
        <v>-1829.450000000005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95">
        <f>'28'!F62</f>
        <v>295908</v>
      </c>
      <c r="F62" s="122">
        <v>296036</v>
      </c>
      <c r="G62" s="112">
        <f t="shared" ref="G62:G63" si="5">F62-E62</f>
        <v>128</v>
      </c>
      <c r="H62" s="99">
        <f>G62+'28'!H62</f>
        <v>-239</v>
      </c>
      <c r="I62" s="118"/>
      <c r="J62" s="175">
        <f>H62/DAY(B2)</f>
        <v>-8.2413793103448274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95">
        <f>'28'!F63</f>
        <v>238675</v>
      </c>
      <c r="F63" s="122">
        <v>238832</v>
      </c>
      <c r="G63" s="112">
        <f t="shared" si="5"/>
        <v>157</v>
      </c>
      <c r="H63" s="99">
        <f>G63+'28'!H63</f>
        <v>-301</v>
      </c>
      <c r="I63" s="118"/>
      <c r="J63" s="175">
        <f>H63/DAY(B2)</f>
        <v>-10.379310344827585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95">
        <f>'28'!F64</f>
        <v>0</v>
      </c>
      <c r="F64" s="122"/>
      <c r="G64" s="112">
        <f>G62+G63</f>
        <v>285</v>
      </c>
      <c r="H64" s="99">
        <f>G64+'28'!H64</f>
        <v>-540</v>
      </c>
      <c r="I64" s="118"/>
      <c r="J64" s="175">
        <f>H64/DAY(B2)</f>
        <v>-18.620689655172413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95">
        <f>'28'!F65</f>
        <v>454374</v>
      </c>
      <c r="F65" s="122">
        <v>454491</v>
      </c>
      <c r="G65" s="112">
        <f t="shared" ref="G65:G70" si="6">F65-E65</f>
        <v>117</v>
      </c>
      <c r="H65" s="99">
        <f>G65+'28'!H65</f>
        <v>-219</v>
      </c>
      <c r="I65" s="118"/>
      <c r="J65" s="175">
        <f>H65/DAY(B2)</f>
        <v>-7.5517241379310347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111647</v>
      </c>
      <c r="F66" s="122">
        <v>111676</v>
      </c>
      <c r="G66" s="112">
        <f t="shared" si="6"/>
        <v>29</v>
      </c>
      <c r="H66" s="99">
        <f>G66+'28'!H66</f>
        <v>-46</v>
      </c>
      <c r="I66" s="118"/>
      <c r="J66" s="175">
        <f>H66/DAY(B2)</f>
        <v>-1.5862068965517242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113680</v>
      </c>
      <c r="F67" s="122">
        <v>113680</v>
      </c>
      <c r="G67" s="112">
        <f t="shared" si="6"/>
        <v>0</v>
      </c>
      <c r="H67" s="99">
        <f>G67+'28'!H67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164614</v>
      </c>
      <c r="F68" s="122">
        <v>164628</v>
      </c>
      <c r="G68" s="112">
        <f t="shared" si="6"/>
        <v>14</v>
      </c>
      <c r="H68" s="99">
        <f>G68+'28'!H68</f>
        <v>-34</v>
      </c>
      <c r="I68" s="118"/>
      <c r="J68" s="175">
        <f>H68/DAY(B2)</f>
        <v>-1.1724137931034482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12262</v>
      </c>
      <c r="F69" s="122">
        <v>12266</v>
      </c>
      <c r="G69" s="112">
        <f t="shared" si="6"/>
        <v>4</v>
      </c>
      <c r="H69" s="99">
        <f>G69+'28'!H69</f>
        <v>-9</v>
      </c>
      <c r="I69" s="118"/>
      <c r="J69" s="175">
        <f>H69/DAY(B2)</f>
        <v>-0.31034482758620691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9793</v>
      </c>
      <c r="F70" s="122">
        <v>9807</v>
      </c>
      <c r="G70" s="112">
        <f t="shared" si="6"/>
        <v>14</v>
      </c>
      <c r="H70" s="99">
        <f>G70+'28'!H70</f>
        <v>-20</v>
      </c>
      <c r="I70" s="118"/>
      <c r="J70" s="175">
        <f>H70/DAY(B2)</f>
        <v>-0.68965517241379315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95">
        <f>'28'!F71</f>
        <v>0</v>
      </c>
      <c r="F71" s="152"/>
      <c r="G71" s="153">
        <f>SUM(G65:G70)</f>
        <v>178</v>
      </c>
      <c r="H71" s="99">
        <f>G71+'28'!H71</f>
        <v>-328</v>
      </c>
      <c r="I71" s="154"/>
      <c r="J71" s="175">
        <f>H71/DAY(B2)</f>
        <v>-11.310344827586206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95">
        <f>'28'!F74</f>
        <v>956697.64</v>
      </c>
      <c r="F74" s="117">
        <v>957005.7</v>
      </c>
      <c r="G74" s="112">
        <f t="shared" ref="G74:G78" si="7">F74-E74</f>
        <v>308.05999999993946</v>
      </c>
      <c r="H74" s="99">
        <f>G74+'28'!H74</f>
        <v>-652.1600000000326</v>
      </c>
      <c r="I74" s="154"/>
      <c r="J74" s="175">
        <f>H74/DAY(B2)</f>
        <v>-22.48827586207009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95">
        <f>'28'!F75</f>
        <v>73586</v>
      </c>
      <c r="F75" s="123">
        <v>73586</v>
      </c>
      <c r="G75" s="112">
        <f t="shared" si="7"/>
        <v>0</v>
      </c>
      <c r="H75" s="99">
        <f>G75+'28'!H75</f>
        <v>-0.80000000000291038</v>
      </c>
      <c r="I75" s="154"/>
      <c r="J75" s="175">
        <f>H75/DAY(B2)</f>
        <v>-2.7586206896652081E-2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95">
        <f>'28'!F76</f>
        <v>189849</v>
      </c>
      <c r="F76" s="123">
        <v>189957</v>
      </c>
      <c r="G76" s="112">
        <f t="shared" si="7"/>
        <v>108</v>
      </c>
      <c r="H76" s="99">
        <f>G76+'28'!H76</f>
        <v>-215</v>
      </c>
      <c r="I76" s="154"/>
      <c r="J76" s="175">
        <f>H76/DAY(B2)</f>
        <v>-7.4137931034482758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95">
        <f>'28'!F77</f>
        <v>50150</v>
      </c>
      <c r="F77" s="123">
        <v>50213</v>
      </c>
      <c r="G77" s="112">
        <f t="shared" si="7"/>
        <v>63</v>
      </c>
      <c r="H77" s="99">
        <f>G77+'28'!H77</f>
        <v>-100</v>
      </c>
      <c r="I77" s="154"/>
      <c r="J77" s="175">
        <f>H77/DAY(B2)</f>
        <v>-3.4482758620689653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95">
        <f>'28'!F78</f>
        <v>9563</v>
      </c>
      <c r="F78" s="123">
        <v>9563.4</v>
      </c>
      <c r="G78" s="112">
        <f t="shared" si="7"/>
        <v>0.3999999999996362</v>
      </c>
      <c r="H78" s="99">
        <f>G78+'28'!H78</f>
        <v>0.3999999999996362</v>
      </c>
      <c r="I78" s="118"/>
      <c r="J78" s="175">
        <f>H78/DAY(B2)</f>
        <v>1.3793103448263318E-2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95">
        <f>'28'!F79</f>
        <v>0</v>
      </c>
      <c r="F79" s="117"/>
      <c r="G79" s="112">
        <f>G15-SUM(G74:G78)</f>
        <v>520.5400000000609</v>
      </c>
      <c r="H79" s="99">
        <f>G79+'28'!H79</f>
        <v>30107.560000000034</v>
      </c>
      <c r="I79" s="118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71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42548.45</v>
      </c>
      <c r="F84" s="164">
        <v>42548.45</v>
      </c>
      <c r="G84" s="112">
        <f t="shared" si="8"/>
        <v>0</v>
      </c>
      <c r="H84" s="99">
        <f>G84+'28'!H84</f>
        <v>-40.55000000000291</v>
      </c>
      <c r="I84" s="571"/>
      <c r="J84" s="175">
        <f>H84/DAY(B2)</f>
        <v>-1.3982758620690658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5140.1899999999996</v>
      </c>
      <c r="F85" s="164">
        <v>5140.1899999999996</v>
      </c>
      <c r="G85" s="112">
        <f t="shared" si="8"/>
        <v>0</v>
      </c>
      <c r="H85" s="99">
        <f>G85+'28'!H85</f>
        <v>0</v>
      </c>
      <c r="I85" s="571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45309.03</v>
      </c>
      <c r="F86" s="164">
        <v>45333</v>
      </c>
      <c r="G86" s="112">
        <f t="shared" si="8"/>
        <v>23.970000000001164</v>
      </c>
      <c r="H86" s="99">
        <f>G86+'28'!H86</f>
        <v>-46</v>
      </c>
      <c r="I86" s="571"/>
      <c r="J86" s="175">
        <f>H86/DAY(B2)</f>
        <v>-1.5862068965517242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35457.43</v>
      </c>
      <c r="F87" s="164">
        <v>35457.43</v>
      </c>
      <c r="G87" s="112">
        <f t="shared" si="8"/>
        <v>0</v>
      </c>
      <c r="H87" s="99">
        <f>G87+'28'!H87</f>
        <v>0</v>
      </c>
      <c r="I87" s="571">
        <f>G84+G85+G86+G87</f>
        <v>23.970000000001164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24299.02</v>
      </c>
      <c r="F88" s="164">
        <v>24301.119999999999</v>
      </c>
      <c r="G88" s="112">
        <f t="shared" si="8"/>
        <v>2.0999999999985448</v>
      </c>
      <c r="H88" s="99">
        <f>G88+'28'!H88</f>
        <v>-2.3400000000001455</v>
      </c>
      <c r="I88" s="571"/>
      <c r="J88" s="175">
        <f>H88/DAY(B2)</f>
        <v>-8.0689655172418814E-2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27539.61</v>
      </c>
      <c r="F89" s="164">
        <v>27548.69</v>
      </c>
      <c r="G89" s="112">
        <f t="shared" si="8"/>
        <v>9.0799999999981083</v>
      </c>
      <c r="H89" s="99">
        <f>G89+'28'!H89</f>
        <v>-17.920000000001892</v>
      </c>
      <c r="I89" s="571">
        <f>G88+G89</f>
        <v>11.179999999996653</v>
      </c>
      <c r="J89" s="175">
        <f>H89/DAY(B2)</f>
        <v>-0.61793103448282383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72574.84</v>
      </c>
      <c r="F90" s="164">
        <v>72582.3</v>
      </c>
      <c r="G90" s="112">
        <f t="shared" si="8"/>
        <v>7.4600000000064028</v>
      </c>
      <c r="H90" s="99">
        <f>G90+'28'!H90</f>
        <v>41.100000000005821</v>
      </c>
      <c r="I90" s="571">
        <f>G90</f>
        <v>7.4600000000064028</v>
      </c>
      <c r="J90" s="175">
        <f>H90/DAY(B2)</f>
        <v>1.4172413793105456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4289.54</v>
      </c>
      <c r="F91" s="122">
        <v>4289.54</v>
      </c>
      <c r="G91" s="112">
        <f t="shared" si="8"/>
        <v>0</v>
      </c>
      <c r="H91" s="99">
        <f>G91+'28'!H91</f>
        <v>2.6199999999998909</v>
      </c>
      <c r="I91" s="590"/>
      <c r="J91" s="175">
        <f>H91/DAY(B2)</f>
        <v>9.034482758620313E-2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6684.28</v>
      </c>
      <c r="F92" s="122">
        <v>6694.94</v>
      </c>
      <c r="G92" s="112">
        <f t="shared" si="8"/>
        <v>10.659999999999854</v>
      </c>
      <c r="H92" s="99">
        <f>G92+'28'!H92</f>
        <v>-22.390000000000327</v>
      </c>
      <c r="I92" s="596">
        <f>G91+G92</f>
        <v>10.659999999999854</v>
      </c>
      <c r="J92" s="175">
        <f>H92/DAY(B2)</f>
        <v>-0.77206896551725268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7282.6000000000058</v>
      </c>
      <c r="H94" s="99">
        <f>G94+'28'!H94</f>
        <v>-17634.130000000005</v>
      </c>
      <c r="I94" s="118"/>
      <c r="J94" s="175">
        <f>H94/DAY(B2)</f>
        <v>-608.07344827586223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0.27796183206106895</v>
      </c>
      <c r="H95" s="99">
        <f>G95+'28'!H95</f>
        <v>-0.64818051940732446</v>
      </c>
      <c r="I95" s="167"/>
      <c r="J95" s="175">
        <f>H95/DAY(B2)</f>
        <v>-2.2351052393356018E-2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5456.4499999999825</v>
      </c>
      <c r="H96" s="99">
        <f>G96+'28'!H96</f>
        <v>-12894.950000000041</v>
      </c>
      <c r="I96" s="118"/>
      <c r="J96" s="175">
        <f>H96/DAY(B2)</f>
        <v>-444.65344827586347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0.20826145038167873</v>
      </c>
      <c r="H97" s="99">
        <f>G97+'28'!H97</f>
        <v>-0.47119438747683129</v>
      </c>
      <c r="I97" s="167"/>
      <c r="J97" s="175">
        <f>H97/DAY(B2)</f>
        <v>-1.6248082326787285E-2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4413.2299999999996</v>
      </c>
      <c r="H98" s="99">
        <f>G98+'28'!H98</f>
        <v>-8965.3700000000572</v>
      </c>
      <c r="I98" s="168"/>
      <c r="J98" s="175">
        <f>H98/DAY(B2)</f>
        <v>-309.1506896551744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0.16844389312977098</v>
      </c>
      <c r="H99" s="99">
        <f>G99+'28'!H99</f>
        <v>-0.32838085312864917</v>
      </c>
      <c r="I99" s="168"/>
      <c r="J99" s="175">
        <f>H99/DAY(B2)</f>
        <v>-1.1323477694091351E-2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2265.5599999999977</v>
      </c>
      <c r="H100" s="99">
        <f>G100+'28'!H100</f>
        <v>-4561.929999999993</v>
      </c>
      <c r="I100" s="118"/>
      <c r="J100" s="175">
        <f>H100/DAY(B2)</f>
        <v>-157.30793103448252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8.6471755725190752E-2</v>
      </c>
      <c r="H101" s="99">
        <f>G101+'28'!H101</f>
        <v>-0.16574819759918827</v>
      </c>
      <c r="I101" s="168"/>
      <c r="J101" s="175">
        <f>H101/DAY(B2)</f>
        <v>-5.7154550896271819E-3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1928.4100000000035</v>
      </c>
      <c r="H102" s="99">
        <f>G102+'28'!H102</f>
        <v>-3948.0600000000268</v>
      </c>
      <c r="I102" s="168"/>
      <c r="J102" s="175">
        <f>H102/DAY(B2)</f>
        <v>-136.14000000000092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7.3603435114503957E-2</v>
      </c>
      <c r="H103" s="99">
        <f>G103+'28'!H103</f>
        <v>-0.14562207014343764</v>
      </c>
      <c r="I103" s="118"/>
      <c r="J103" s="175">
        <f>H103/DAY(B2)</f>
        <v>-5.0214506946012977E-3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1102.3800000000001</v>
      </c>
      <c r="H104" s="99">
        <f>G104+'28'!H104</f>
        <v>-2105.2499999999973</v>
      </c>
      <c r="I104" s="118"/>
      <c r="J104" s="175">
        <f>H104/DAY(B2)</f>
        <v>-72.594827586206804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4.2075572519083976E-2</v>
      </c>
      <c r="H105" s="99">
        <f>G105+'28'!H105</f>
        <v>-7.5699992622867071E-2</v>
      </c>
      <c r="I105" s="187"/>
      <c r="J105" s="188">
        <f>H105/DAY(B2)</f>
        <v>-2.610344573202313E-3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25.5">
      <c r="A112" s="894" t="s">
        <v>252</v>
      </c>
      <c r="B112" s="895"/>
      <c r="C112" s="896"/>
      <c r="D112" s="146" t="s">
        <v>183</v>
      </c>
      <c r="E112" s="237">
        <f>'28'!F112</f>
        <v>7048.6</v>
      </c>
      <c r="F112" s="237">
        <v>7120.96</v>
      </c>
      <c r="G112" s="112">
        <f t="shared" ref="G112" si="9">F112-E112</f>
        <v>72.359999999999673</v>
      </c>
      <c r="H112" s="99">
        <f>G112+'28'!H112</f>
        <v>314.96000000000004</v>
      </c>
      <c r="I112" s="165"/>
      <c r="J112" s="328">
        <f>H112/DAY(B2)</f>
        <v>10.860689655172415</v>
      </c>
    </row>
    <row r="113" spans="1:18" ht="25.5">
      <c r="A113" s="894" t="s">
        <v>253</v>
      </c>
      <c r="B113" s="895"/>
      <c r="C113" s="896"/>
      <c r="D113" s="146" t="s">
        <v>183</v>
      </c>
      <c r="E113" s="237">
        <f>'28'!F113</f>
        <v>14599.98</v>
      </c>
      <c r="F113" s="237">
        <v>14740.88</v>
      </c>
      <c r="G113" s="112">
        <f t="shared" ref="G113:G123" si="10">F113-E113</f>
        <v>140.89999999999964</v>
      </c>
      <c r="H113" s="99">
        <f>G113+'28'!H113</f>
        <v>-274.1200000000008</v>
      </c>
      <c r="I113" s="165"/>
      <c r="J113" s="328">
        <f>H113/DAY(B2)</f>
        <v>-9.4524137931034762</v>
      </c>
    </row>
    <row r="114" spans="1:18" ht="25.5">
      <c r="A114" s="894" t="s">
        <v>254</v>
      </c>
      <c r="B114" s="895"/>
      <c r="C114" s="896"/>
      <c r="D114" s="146" t="s">
        <v>183</v>
      </c>
      <c r="E114" s="237">
        <f>'28'!F114</f>
        <v>20619.400000000001</v>
      </c>
      <c r="F114" s="237">
        <v>20835.2</v>
      </c>
      <c r="G114" s="112">
        <f t="shared" si="10"/>
        <v>215.79999999999927</v>
      </c>
      <c r="H114" s="99">
        <f>G114+'28'!H114</f>
        <v>-432.79999999999927</v>
      </c>
      <c r="I114" s="165"/>
      <c r="J114" s="328">
        <f>H114/DAY(B2)</f>
        <v>-14.924137931034458</v>
      </c>
    </row>
    <row r="115" spans="1:18" ht="25.5">
      <c r="A115" s="894" t="s">
        <v>255</v>
      </c>
      <c r="B115" s="895"/>
      <c r="C115" s="896"/>
      <c r="D115" s="146" t="s">
        <v>183</v>
      </c>
      <c r="E115" s="237">
        <f>'28'!F115</f>
        <v>12993.6</v>
      </c>
      <c r="F115" s="237">
        <v>13152.5</v>
      </c>
      <c r="G115" s="112">
        <f t="shared" si="10"/>
        <v>158.89999999999964</v>
      </c>
      <c r="H115" s="99">
        <f>G115+'28'!H115</f>
        <v>-386.72000000000116</v>
      </c>
      <c r="I115" s="165"/>
      <c r="J115" s="328">
        <f>H115/DAY(B2)</f>
        <v>-13.335172413793144</v>
      </c>
    </row>
    <row r="116" spans="1:18" ht="25.5">
      <c r="A116" s="901" t="s">
        <v>96</v>
      </c>
      <c r="B116" s="902"/>
      <c r="C116" s="903"/>
      <c r="D116" s="146" t="s">
        <v>183</v>
      </c>
      <c r="E116" s="237">
        <f>'28'!F116</f>
        <v>69208.3</v>
      </c>
      <c r="F116" s="237">
        <v>69585.789999999994</v>
      </c>
      <c r="G116" s="112">
        <f t="shared" si="10"/>
        <v>377.48999999999069</v>
      </c>
      <c r="H116" s="99">
        <f>G116+'28'!H116</f>
        <v>-906.2100000000064</v>
      </c>
      <c r="I116" s="165"/>
      <c r="J116" s="328">
        <f>H116/DAY(B2)</f>
        <v>-31.248620689655393</v>
      </c>
      <c r="Q116" s="894" t="s">
        <v>311</v>
      </c>
      <c r="R116" s="896"/>
    </row>
    <row r="117" spans="1:18" ht="25.5">
      <c r="A117" s="901" t="s">
        <v>184</v>
      </c>
      <c r="B117" s="902"/>
      <c r="C117" s="903"/>
      <c r="D117" s="146" t="s">
        <v>183</v>
      </c>
      <c r="E117" s="237">
        <f>'28'!F117</f>
        <v>40083.96</v>
      </c>
      <c r="F117" s="237">
        <v>40326.1</v>
      </c>
      <c r="G117" s="112">
        <f t="shared" si="10"/>
        <v>242.13999999999942</v>
      </c>
      <c r="H117" s="99">
        <f>G117+'28'!H117</f>
        <v>-595.90000000000146</v>
      </c>
      <c r="I117" s="165"/>
      <c r="J117" s="328">
        <f>H117/DAY(B2)</f>
        <v>-20.548275862069016</v>
      </c>
      <c r="Q117" s="894" t="s">
        <v>312</v>
      </c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237">
        <f>'28'!F118</f>
        <v>62825</v>
      </c>
      <c r="F118" s="237">
        <v>63457.279999999999</v>
      </c>
      <c r="G118" s="112">
        <f t="shared" si="10"/>
        <v>632.27999999999884</v>
      </c>
      <c r="H118" s="99">
        <f>G118+'28'!H118</f>
        <v>-1214.7200000000012</v>
      </c>
      <c r="I118" s="165"/>
      <c r="J118" s="328">
        <f>H118/DAY(B2)</f>
        <v>-41.886896551724178</v>
      </c>
      <c r="Q118" s="894" t="s">
        <v>311</v>
      </c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237">
        <f>'28'!F119</f>
        <v>36789.300000000003</v>
      </c>
      <c r="F119" s="237">
        <v>37016.14</v>
      </c>
      <c r="G119" s="112">
        <f t="shared" si="10"/>
        <v>226.83999999999651</v>
      </c>
      <c r="H119" s="99">
        <f>G119+'28'!H119</f>
        <v>-432.86000000000058</v>
      </c>
      <c r="I119" s="165"/>
      <c r="J119" s="328">
        <f>H119/DAY(B2)</f>
        <v>-14.926206896551744</v>
      </c>
    </row>
    <row r="120" spans="1:18" ht="25.5">
      <c r="A120" s="893" t="s">
        <v>99</v>
      </c>
      <c r="B120" s="893"/>
      <c r="C120" s="893"/>
      <c r="D120" s="151" t="s">
        <v>183</v>
      </c>
      <c r="E120" s="237">
        <f>'28'!F120</f>
        <v>45031.07</v>
      </c>
      <c r="F120" s="237">
        <v>45430.7</v>
      </c>
      <c r="G120" s="112">
        <f t="shared" si="10"/>
        <v>399.62999999999738</v>
      </c>
      <c r="H120" s="99">
        <f>G120+'28'!H120</f>
        <v>-836.30000000000291</v>
      </c>
      <c r="I120" s="165"/>
      <c r="J120" s="328">
        <f>H120/DAY(B2)</f>
        <v>-28.83793103448286</v>
      </c>
    </row>
    <row r="121" spans="1:18" ht="25.5">
      <c r="A121" s="893" t="s">
        <v>100</v>
      </c>
      <c r="B121" s="893"/>
      <c r="C121" s="893"/>
      <c r="D121" s="151" t="s">
        <v>183</v>
      </c>
      <c r="E121" s="237">
        <f>'28'!F121</f>
        <v>52037.46</v>
      </c>
      <c r="F121" s="237">
        <v>52542.89</v>
      </c>
      <c r="G121" s="112">
        <f t="shared" si="10"/>
        <v>505.43000000000029</v>
      </c>
      <c r="H121" s="99">
        <f>G121+'28'!H121</f>
        <v>-1000.1100000000006</v>
      </c>
      <c r="I121" s="165"/>
      <c r="J121" s="328">
        <f>H121/DAY(B2)</f>
        <v>-34.486551724137954</v>
      </c>
    </row>
    <row r="122" spans="1:18" ht="25.5">
      <c r="A122" s="893" t="s">
        <v>101</v>
      </c>
      <c r="B122" s="893"/>
      <c r="C122" s="893"/>
      <c r="D122" s="151" t="s">
        <v>183</v>
      </c>
      <c r="E122" s="237">
        <f>'28'!F122</f>
        <v>27819.7</v>
      </c>
      <c r="F122" s="237">
        <v>28115.4</v>
      </c>
      <c r="G122" s="112">
        <f t="shared" si="10"/>
        <v>295.70000000000073</v>
      </c>
      <c r="H122" s="99">
        <f>G122+'28'!H122</f>
        <v>-558.59999999999854</v>
      </c>
      <c r="I122" s="165"/>
      <c r="J122" s="328">
        <f>H122/DAY(B2)</f>
        <v>-19.262068965517191</v>
      </c>
    </row>
    <row r="123" spans="1:18" ht="25.5">
      <c r="A123" s="893" t="s">
        <v>102</v>
      </c>
      <c r="B123" s="893"/>
      <c r="C123" s="893"/>
      <c r="D123" s="151" t="s">
        <v>183</v>
      </c>
      <c r="E123" s="237">
        <f>'28'!F123</f>
        <v>29238.1</v>
      </c>
      <c r="F123" s="237">
        <v>29552.99</v>
      </c>
      <c r="G123" s="112">
        <f t="shared" si="10"/>
        <v>314.89000000000306</v>
      </c>
      <c r="H123" s="99">
        <f>G123+'28'!H123</f>
        <v>-635.0099999999984</v>
      </c>
      <c r="I123" s="165"/>
      <c r="J123" s="328">
        <f>H123/DAY(B2)</f>
        <v>-21.896896551724083</v>
      </c>
    </row>
    <row r="124" spans="1:18" ht="25.5">
      <c r="A124" s="898"/>
      <c r="B124" s="899"/>
      <c r="C124" s="900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876" t="s">
        <v>196</v>
      </c>
      <c r="B125" s="877"/>
      <c r="C125" s="245"/>
      <c r="D125" s="307"/>
      <c r="E125" s="308"/>
      <c r="F125" s="308"/>
      <c r="G125" s="309">
        <f>SUM(G112:G124)</f>
        <v>3582.3599999999851</v>
      </c>
      <c r="H125" s="156"/>
      <c r="I125" s="327">
        <f>G125-(G39+G53)</f>
        <v>-830.87000000001444</v>
      </c>
      <c r="J125" s="327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894" t="s">
        <v>318</v>
      </c>
      <c r="B128" s="895"/>
      <c r="C128" s="896"/>
      <c r="D128" s="151" t="s">
        <v>183</v>
      </c>
      <c r="E128" s="95">
        <f>'28'!F128</f>
        <v>126080.8</v>
      </c>
      <c r="F128" s="165">
        <v>126604.17</v>
      </c>
      <c r="G128" s="112">
        <f t="shared" ref="G128:G134" si="11">F128-E128</f>
        <v>523.36999999999534</v>
      </c>
      <c r="H128" s="99">
        <f>G128+'28'!H128</f>
        <v>-1039.8300000000017</v>
      </c>
      <c r="I128" s="165"/>
      <c r="J128" s="328">
        <f>H128/DAY(B2)</f>
        <v>-35.856206896551782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71937.61</v>
      </c>
      <c r="F129" s="165">
        <v>72122.19</v>
      </c>
      <c r="G129" s="112">
        <f t="shared" si="11"/>
        <v>184.58000000000175</v>
      </c>
      <c r="H129" s="99">
        <f>G129+'28'!H129</f>
        <v>-380.80999999999767</v>
      </c>
      <c r="I129" s="165"/>
      <c r="J129" s="328">
        <f>H129/DAY(B2)</f>
        <v>-13.131379310344748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162359.89000000001</v>
      </c>
      <c r="F130" s="158">
        <v>163084</v>
      </c>
      <c r="G130" s="112">
        <f t="shared" si="11"/>
        <v>724.10999999998603</v>
      </c>
      <c r="H130" s="99">
        <f>G130+'28'!H130</f>
        <v>-2057.2699999999895</v>
      </c>
      <c r="I130" s="165"/>
      <c r="J130" s="328">
        <f>H130/DAY(B2)</f>
        <v>-70.940344827585847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95">
        <f>'28'!F131</f>
        <v>47758.13</v>
      </c>
      <c r="F131" s="165">
        <v>47967.26</v>
      </c>
      <c r="G131" s="112">
        <f t="shared" si="11"/>
        <v>209.13000000000466</v>
      </c>
      <c r="H131" s="99">
        <f>G131+'28'!H131</f>
        <v>-481.73999999999796</v>
      </c>
      <c r="I131" s="165"/>
      <c r="J131" s="328">
        <f>H131/DAY(B2)</f>
        <v>-16.611724137930963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95">
        <f>'28'!F132</f>
        <v>127168.43</v>
      </c>
      <c r="F132" s="165">
        <v>127502.27</v>
      </c>
      <c r="G132" s="112">
        <f t="shared" si="11"/>
        <v>333.84000000001106</v>
      </c>
      <c r="H132" s="99">
        <f>G132+'28'!H132</f>
        <v>-671.72999999999593</v>
      </c>
      <c r="I132" s="165"/>
      <c r="J132" s="328">
        <f>H132/DAY(B2)</f>
        <v>-23.16310344827572</v>
      </c>
    </row>
    <row r="133" spans="1:15" ht="25.5">
      <c r="A133" s="894" t="s">
        <v>359</v>
      </c>
      <c r="B133" s="895"/>
      <c r="C133" s="896"/>
      <c r="D133" s="151" t="s">
        <v>183</v>
      </c>
      <c r="E133" s="95">
        <f>'28'!F133</f>
        <v>224035.59</v>
      </c>
      <c r="F133" s="165">
        <v>224035.59</v>
      </c>
      <c r="G133" s="112">
        <f t="shared" si="11"/>
        <v>0</v>
      </c>
      <c r="H133" s="99">
        <f>G133+'28'!H133</f>
        <v>571233.43000000017</v>
      </c>
      <c r="I133" s="165"/>
      <c r="J133" s="328">
        <f>H133/DAY(B2)</f>
        <v>19697.704482758625</v>
      </c>
    </row>
    <row r="134" spans="1:15" ht="25.5">
      <c r="A134" s="894" t="s">
        <v>340</v>
      </c>
      <c r="B134" s="895"/>
      <c r="C134" s="896"/>
      <c r="D134" s="151" t="s">
        <v>183</v>
      </c>
      <c r="E134" s="95">
        <f>'28'!F134</f>
        <v>48422.54</v>
      </c>
      <c r="F134" s="165">
        <v>48625.81</v>
      </c>
      <c r="G134" s="112">
        <f t="shared" si="11"/>
        <v>203.2699999999968</v>
      </c>
      <c r="H134" s="99">
        <f>G134+'28'!H134</f>
        <v>-409.19000000000233</v>
      </c>
      <c r="I134" s="165"/>
      <c r="J134" s="328">
        <f>H134/DAY(B2)</f>
        <v>-14.110000000000081</v>
      </c>
    </row>
    <row r="135" spans="1:15" ht="25.5">
      <c r="A135" s="876" t="s">
        <v>196</v>
      </c>
      <c r="B135" s="877"/>
      <c r="C135" s="331"/>
      <c r="D135" s="151"/>
      <c r="E135" s="95"/>
      <c r="F135" s="165" t="s">
        <v>366</v>
      </c>
      <c r="G135" s="112">
        <f>SUM(G127:G134)</f>
        <v>2178.2999999999956</v>
      </c>
      <c r="H135" s="99">
        <f>G135+'23'!H135</f>
        <v>525517.9</v>
      </c>
      <c r="I135" s="327">
        <f>G135-(G35+G49)</f>
        <v>-2051.1600000000253</v>
      </c>
      <c r="J135" s="328"/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3" t="s">
        <v>185</v>
      </c>
      <c r="B138" s="893"/>
      <c r="C138" s="893"/>
      <c r="D138" s="151" t="s">
        <v>183</v>
      </c>
      <c r="E138" s="95">
        <f>'28'!F138</f>
        <v>890659</v>
      </c>
      <c r="F138" s="147">
        <v>890810</v>
      </c>
      <c r="G138" s="112">
        <f t="shared" ref="G138:G151" si="12">F138-E138</f>
        <v>151</v>
      </c>
      <c r="H138" s="99">
        <f>G138+'28'!H138</f>
        <v>-285</v>
      </c>
      <c r="I138" s="118"/>
      <c r="J138" s="328">
        <f>H138/DAY(B2)</f>
        <v>-9.8275862068965516</v>
      </c>
    </row>
    <row r="139" spans="1:15" ht="25.5">
      <c r="A139" s="893" t="s">
        <v>186</v>
      </c>
      <c r="B139" s="893"/>
      <c r="C139" s="893"/>
      <c r="D139" s="151" t="s">
        <v>183</v>
      </c>
      <c r="E139" s="95">
        <f>'28'!F139</f>
        <v>908486</v>
      </c>
      <c r="F139" s="148">
        <v>908626</v>
      </c>
      <c r="G139" s="112">
        <f t="shared" si="12"/>
        <v>140</v>
      </c>
      <c r="H139" s="99">
        <f>G139+'28'!H139</f>
        <v>-269</v>
      </c>
      <c r="I139" s="118"/>
      <c r="J139" s="328">
        <f>H139/DAY(B2)</f>
        <v>-9.2758620689655178</v>
      </c>
    </row>
    <row r="140" spans="1:15" ht="25.5">
      <c r="A140" s="893" t="s">
        <v>187</v>
      </c>
      <c r="B140" s="893"/>
      <c r="C140" s="893"/>
      <c r="D140" s="151" t="s">
        <v>183</v>
      </c>
      <c r="E140" s="95">
        <f>'28'!F140</f>
        <v>1465.25</v>
      </c>
      <c r="F140" s="149">
        <v>1481.04</v>
      </c>
      <c r="G140" s="112">
        <f t="shared" si="12"/>
        <v>15.789999999999964</v>
      </c>
      <c r="H140" s="99">
        <f>G140+'28'!H140</f>
        <v>563.80999999999403</v>
      </c>
      <c r="I140" s="118"/>
      <c r="J140" s="328">
        <f>H140/DAY(B2)</f>
        <v>19.44172413793083</v>
      </c>
    </row>
    <row r="141" spans="1:15" ht="25.5">
      <c r="A141" s="872" t="s">
        <v>188</v>
      </c>
      <c r="B141" s="872"/>
      <c r="C141" s="872"/>
      <c r="D141" s="151" t="s">
        <v>183</v>
      </c>
      <c r="E141" s="95">
        <f>'28'!F141</f>
        <v>89840.5</v>
      </c>
      <c r="F141" s="149">
        <v>90044.6</v>
      </c>
      <c r="G141" s="112">
        <f t="shared" si="12"/>
        <v>204.10000000000582</v>
      </c>
      <c r="H141" s="99">
        <f>G141+'28'!H141</f>
        <v>-407.39999999999418</v>
      </c>
      <c r="I141" s="118"/>
      <c r="J141" s="328">
        <f>H141/DAY(B2)</f>
        <v>-14.048275862068765</v>
      </c>
    </row>
    <row r="142" spans="1:15" ht="25.5">
      <c r="A142" s="872" t="s">
        <v>189</v>
      </c>
      <c r="B142" s="872"/>
      <c r="C142" s="872"/>
      <c r="D142" s="151" t="s">
        <v>183</v>
      </c>
      <c r="E142" s="95">
        <f>'28'!F142</f>
        <v>36445.599999999999</v>
      </c>
      <c r="F142" s="148">
        <v>36523</v>
      </c>
      <c r="G142" s="112">
        <f t="shared" si="12"/>
        <v>77.400000000001455</v>
      </c>
      <c r="H142" s="99">
        <f>G142+'28'!H142</f>
        <v>-138</v>
      </c>
      <c r="I142" s="140"/>
      <c r="J142" s="328">
        <f>H142/DAY(B2)</f>
        <v>-4.7586206896551726</v>
      </c>
    </row>
    <row r="143" spans="1:15" ht="25.5">
      <c r="A143" s="893" t="s">
        <v>91</v>
      </c>
      <c r="B143" s="893"/>
      <c r="C143" s="893"/>
      <c r="D143" s="151" t="s">
        <v>183</v>
      </c>
      <c r="E143" s="95">
        <f>'28'!F143</f>
        <v>8961.1</v>
      </c>
      <c r="F143" s="149">
        <v>8992</v>
      </c>
      <c r="G143" s="112">
        <f t="shared" si="12"/>
        <v>30.899999999999636</v>
      </c>
      <c r="H143" s="99">
        <f>G143+'28'!H143</f>
        <v>-59</v>
      </c>
      <c r="I143" s="140"/>
      <c r="J143" s="328">
        <f>H143/DAY(B2)</f>
        <v>-2.0344827586206895</v>
      </c>
    </row>
    <row r="144" spans="1:15" ht="25.5">
      <c r="A144" s="872" t="s">
        <v>90</v>
      </c>
      <c r="B144" s="872"/>
      <c r="C144" s="872"/>
      <c r="D144" s="151" t="s">
        <v>183</v>
      </c>
      <c r="E144" s="95">
        <f>'28'!F144</f>
        <v>919189</v>
      </c>
      <c r="F144" s="149">
        <v>919408</v>
      </c>
      <c r="G144" s="112">
        <f t="shared" si="12"/>
        <v>219</v>
      </c>
      <c r="H144" s="99">
        <f>G144+'28'!H144</f>
        <v>-429</v>
      </c>
      <c r="I144" s="140"/>
      <c r="J144" s="328">
        <f>H144/DAY(B2)</f>
        <v>-14.793103448275861</v>
      </c>
    </row>
    <row r="145" spans="1:10" ht="25.5">
      <c r="A145" s="893" t="s">
        <v>190</v>
      </c>
      <c r="B145" s="893"/>
      <c r="C145" s="893"/>
      <c r="D145" s="152" t="s">
        <v>183</v>
      </c>
      <c r="E145" s="95">
        <f>'28'!F145</f>
        <v>5798.4</v>
      </c>
      <c r="F145" s="149">
        <v>5798.48</v>
      </c>
      <c r="G145" s="112">
        <f t="shared" si="12"/>
        <v>7.999999999992724E-2</v>
      </c>
      <c r="H145" s="99">
        <f>G145+'28'!H145</f>
        <v>-8.5200000000004366</v>
      </c>
      <c r="I145" s="140"/>
      <c r="J145" s="328">
        <f>H145/DAY(B2)</f>
        <v>-0.2937931034482909</v>
      </c>
    </row>
    <row r="146" spans="1:10" ht="25.5">
      <c r="A146" s="928" t="s">
        <v>191</v>
      </c>
      <c r="B146" s="913"/>
      <c r="C146" s="914"/>
      <c r="D146" s="152" t="s">
        <v>183</v>
      </c>
      <c r="E146" s="95">
        <f>'28'!F146</f>
        <v>780592</v>
      </c>
      <c r="F146" s="148">
        <v>780685</v>
      </c>
      <c r="G146" s="112">
        <f t="shared" si="12"/>
        <v>93</v>
      </c>
      <c r="H146" s="99">
        <f>G146+'28'!H146</f>
        <v>-115</v>
      </c>
      <c r="I146" s="140"/>
      <c r="J146" s="328">
        <f>H146/DAY(B2)</f>
        <v>-3.9655172413793105</v>
      </c>
    </row>
    <row r="147" spans="1:10" ht="25.5">
      <c r="A147" s="872" t="s">
        <v>192</v>
      </c>
      <c r="B147" s="872"/>
      <c r="C147" s="872"/>
      <c r="D147" s="152" t="s">
        <v>183</v>
      </c>
      <c r="E147" s="95">
        <f>'28'!F147</f>
        <v>698546</v>
      </c>
      <c r="F147" s="148">
        <v>699004.8</v>
      </c>
      <c r="G147" s="112">
        <f t="shared" si="12"/>
        <v>458.80000000004657</v>
      </c>
      <c r="H147" s="99">
        <f>G147+'28'!H147</f>
        <v>-764.19999999995343</v>
      </c>
      <c r="I147" s="140"/>
      <c r="J147" s="328">
        <f>H147/DAY(B2)</f>
        <v>-26.35172413792943</v>
      </c>
    </row>
    <row r="148" spans="1:10" ht="25.5">
      <c r="A148" s="873" t="s">
        <v>193</v>
      </c>
      <c r="B148" s="874"/>
      <c r="C148" s="875"/>
      <c r="D148" s="123" t="s">
        <v>130</v>
      </c>
      <c r="E148" s="95">
        <f>'28'!F148</f>
        <v>747597.12</v>
      </c>
      <c r="F148" s="150">
        <v>747906.16</v>
      </c>
      <c r="G148" s="112">
        <f t="shared" si="12"/>
        <v>309.04000000003725</v>
      </c>
      <c r="H148" s="99">
        <f>G148+'28'!H148</f>
        <v>-623.8399999999674</v>
      </c>
      <c r="I148" s="124"/>
      <c r="J148" s="328">
        <f>H148/DAY(B2)</f>
        <v>-21.51172413792991</v>
      </c>
    </row>
    <row r="149" spans="1:10" ht="25.5">
      <c r="A149" s="873" t="s">
        <v>336</v>
      </c>
      <c r="B149" s="874"/>
      <c r="C149" s="875"/>
      <c r="D149" s="227" t="s">
        <v>130</v>
      </c>
      <c r="E149" s="95">
        <f>'28'!F149</f>
        <v>130978</v>
      </c>
      <c r="F149" s="146">
        <v>131463.22</v>
      </c>
      <c r="G149" s="112">
        <f t="shared" si="12"/>
        <v>485.22000000000116</v>
      </c>
      <c r="H149" s="99">
        <f>G149+'28'!H149</f>
        <v>-970.77999999999884</v>
      </c>
      <c r="I149" s="119"/>
      <c r="J149" s="328">
        <f>H149/DAY(B2)</f>
        <v>-33.475172413793061</v>
      </c>
    </row>
    <row r="150" spans="1:10" ht="25.5">
      <c r="A150" s="873" t="s">
        <v>337</v>
      </c>
      <c r="B150" s="874"/>
      <c r="C150" s="875"/>
      <c r="D150" s="117" t="s">
        <v>130</v>
      </c>
      <c r="E150" s="95">
        <f>'28'!F150</f>
        <v>49943.27</v>
      </c>
      <c r="F150" s="233">
        <v>50168.800000000003</v>
      </c>
      <c r="G150" s="112">
        <f t="shared" si="12"/>
        <v>225.53000000000611</v>
      </c>
      <c r="H150" s="99">
        <f>G150+'28'!H150</f>
        <v>-446.19999999999709</v>
      </c>
      <c r="I150" s="119"/>
      <c r="J150" s="328">
        <f>H150/DAY(B2)</f>
        <v>-15.386206896551624</v>
      </c>
    </row>
    <row r="151" spans="1:10" ht="25.5">
      <c r="A151" s="873" t="s">
        <v>338</v>
      </c>
      <c r="B151" s="874"/>
      <c r="C151" s="875"/>
      <c r="D151" s="117" t="s">
        <v>130</v>
      </c>
      <c r="E151" s="95">
        <f>'28'!F151</f>
        <v>134459</v>
      </c>
      <c r="F151" s="233">
        <v>134761</v>
      </c>
      <c r="G151" s="112">
        <f t="shared" si="12"/>
        <v>302</v>
      </c>
      <c r="H151" s="99">
        <f>G151+'28'!H151</f>
        <v>-688</v>
      </c>
      <c r="I151" s="119"/>
      <c r="J151" s="328">
        <f>H151/DAY(B2)</f>
        <v>-23.724137931034484</v>
      </c>
    </row>
    <row r="152" spans="1:10" ht="25.5">
      <c r="A152" s="873" t="s">
        <v>339</v>
      </c>
      <c r="B152" s="874"/>
      <c r="C152" s="875"/>
      <c r="D152" s="117" t="s">
        <v>130</v>
      </c>
      <c r="E152" s="95">
        <f>'28'!F152</f>
        <v>22790.44</v>
      </c>
      <c r="F152" s="233">
        <v>22912.6</v>
      </c>
      <c r="G152" s="112">
        <f>F152-E152</f>
        <v>122.15999999999985</v>
      </c>
      <c r="H152" s="99">
        <f>G152+'28'!H152</f>
        <v>-241.40000000000146</v>
      </c>
      <c r="I152" s="119"/>
      <c r="J152" s="328">
        <f>H152/DAY(B2)</f>
        <v>-8.3241379310345334</v>
      </c>
    </row>
    <row r="153" spans="1:10" ht="25.5">
      <c r="A153" s="876" t="s">
        <v>196</v>
      </c>
      <c r="B153" s="877"/>
      <c r="C153" s="365"/>
      <c r="D153" s="358"/>
      <c r="E153" s="360"/>
      <c r="F153" s="361"/>
      <c r="G153" s="362">
        <f>SUM(G138:G152)</f>
        <v>2834.0200000000978</v>
      </c>
      <c r="H153" s="363"/>
      <c r="I153" s="119">
        <f>G153-(G38+G52)</f>
        <v>568.46000000010008</v>
      </c>
      <c r="J153" s="366"/>
    </row>
    <row r="154" spans="1:10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27.75">
      <c r="A155" s="872" t="s">
        <v>345</v>
      </c>
      <c r="B155" s="872"/>
      <c r="C155" s="872"/>
      <c r="D155" s="117" t="s">
        <v>130</v>
      </c>
      <c r="E155" s="95">
        <f>'28'!F155</f>
        <v>146223</v>
      </c>
      <c r="F155" s="389">
        <f>146223+580</f>
        <v>146803</v>
      </c>
      <c r="G155" s="112">
        <f t="shared" ref="G155:G158" si="13">F155-E155</f>
        <v>580</v>
      </c>
      <c r="H155" s="99">
        <f>G155+'28'!H155</f>
        <v>-1346</v>
      </c>
      <c r="I155" s="364"/>
      <c r="J155" s="328">
        <f>H155/DAY(B2)</f>
        <v>-46.413793103448278</v>
      </c>
    </row>
    <row r="156" spans="1:10" ht="25.5">
      <c r="A156" s="872" t="s">
        <v>347</v>
      </c>
      <c r="B156" s="872"/>
      <c r="C156" s="872"/>
      <c r="D156" s="117" t="s">
        <v>130</v>
      </c>
      <c r="E156" s="95">
        <f>'28'!F156</f>
        <v>14429.72</v>
      </c>
      <c r="F156" s="755">
        <v>14514.72</v>
      </c>
      <c r="G156" s="112">
        <f t="shared" si="13"/>
        <v>85</v>
      </c>
      <c r="H156" s="99">
        <f>G156+'28'!H156</f>
        <v>-219.28000000000065</v>
      </c>
      <c r="I156" s="165"/>
      <c r="J156" s="328">
        <f>H156/DAY(B2)</f>
        <v>-7.5613793103448499</v>
      </c>
    </row>
    <row r="157" spans="1:10" ht="25.5">
      <c r="A157" s="873" t="s">
        <v>360</v>
      </c>
      <c r="B157" s="874"/>
      <c r="C157" s="875"/>
      <c r="D157" s="117" t="s">
        <v>130</v>
      </c>
      <c r="E157" s="95">
        <f>'28'!F157</f>
        <v>27012.14</v>
      </c>
      <c r="F157" s="155">
        <v>27198.62</v>
      </c>
      <c r="G157" s="112">
        <f t="shared" si="13"/>
        <v>186.47999999999956</v>
      </c>
      <c r="H157" s="99">
        <f>G157+'28'!H157</f>
        <v>186.47999999999956</v>
      </c>
      <c r="I157" s="165"/>
      <c r="J157" s="328">
        <f>H157/DAY(B2)</f>
        <v>6.4303448275861914</v>
      </c>
    </row>
    <row r="158" spans="1:10" ht="25.5">
      <c r="A158" s="873" t="s">
        <v>361</v>
      </c>
      <c r="B158" s="874"/>
      <c r="C158" s="875"/>
      <c r="D158" s="117" t="s">
        <v>130</v>
      </c>
      <c r="E158" s="95">
        <f>'28'!F158</f>
        <v>232.4</v>
      </c>
      <c r="F158" s="155">
        <v>232.57</v>
      </c>
      <c r="G158" s="112">
        <f t="shared" si="13"/>
        <v>0.16999999999998749</v>
      </c>
      <c r="H158" s="99">
        <f>G158+'28'!H158</f>
        <v>0.16999999999998749</v>
      </c>
      <c r="I158" s="165"/>
      <c r="J158" s="328">
        <f>H158/DAY(B2)</f>
        <v>5.8620689655168104E-3</v>
      </c>
    </row>
    <row r="159" spans="1:10" ht="25.5">
      <c r="A159" s="958"/>
      <c r="B159" s="959"/>
      <c r="C159" s="960"/>
      <c r="D159" s="117"/>
      <c r="E159" s="95"/>
      <c r="F159" s="165"/>
      <c r="G159" s="112"/>
      <c r="H159" s="99"/>
      <c r="I159" s="165"/>
      <c r="J159" s="328"/>
    </row>
    <row r="160" spans="1:10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479955.44</v>
      </c>
      <c r="F161" s="235">
        <v>479991.16</v>
      </c>
      <c r="G161" s="238">
        <f t="shared" ref="G161:G165" si="14">F161-E161</f>
        <v>35.71999999997206</v>
      </c>
      <c r="H161" s="99">
        <f>G161+'28'!H161</f>
        <v>808.87999999994645</v>
      </c>
      <c r="I161" s="236"/>
      <c r="J161" s="239">
        <f>H161/DAY(B2)</f>
        <v>27.892413793101603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94825.27</v>
      </c>
      <c r="F162" s="235">
        <v>94865</v>
      </c>
      <c r="G162" s="238">
        <f t="shared" si="14"/>
        <v>39.729999999995925</v>
      </c>
      <c r="H162" s="99">
        <f>G162+'28'!H162</f>
        <v>-63</v>
      </c>
      <c r="I162" s="236"/>
      <c r="J162" s="239">
        <f>H162/DAY(B2)</f>
        <v>-2.1724137931034484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6122.2</v>
      </c>
      <c r="F163" s="235">
        <v>6242.5</v>
      </c>
      <c r="G163" s="238">
        <f t="shared" si="14"/>
        <v>120.30000000000018</v>
      </c>
      <c r="H163" s="99">
        <f>G163+'28'!H163</f>
        <v>-258.5</v>
      </c>
      <c r="I163" s="236"/>
      <c r="J163" s="239">
        <f>H163/DAY(B2)</f>
        <v>-8.9137931034482758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6230.4</v>
      </c>
      <c r="F164" s="235">
        <v>6256.4</v>
      </c>
      <c r="G164" s="238">
        <f t="shared" si="14"/>
        <v>26</v>
      </c>
      <c r="H164" s="99">
        <f>G164+'28'!H164</f>
        <v>-23.600000000000364</v>
      </c>
      <c r="I164" s="236"/>
      <c r="J164" s="239">
        <f>H164/DAY(B2)</f>
        <v>-0.81379310344828837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31610.54</v>
      </c>
      <c r="F165" s="235">
        <v>31618.604800000001</v>
      </c>
      <c r="G165" s="238">
        <f t="shared" si="14"/>
        <v>8.0648000000001048</v>
      </c>
      <c r="H165" s="99">
        <f>G165+'28'!H165</f>
        <v>-15.395199999999022</v>
      </c>
      <c r="I165" s="236"/>
      <c r="J165" s="239">
        <f>H165/DAY(B2)</f>
        <v>-0.53086896551720764</v>
      </c>
    </row>
    <row r="166" spans="1:10" ht="26.25">
      <c r="A166" s="881"/>
      <c r="B166" s="881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95">
        <f>'28'!F173</f>
        <v>8229</v>
      </c>
      <c r="F173" s="155">
        <v>8229</v>
      </c>
      <c r="G173" s="155">
        <f>F173-E173</f>
        <v>0</v>
      </c>
      <c r="H173" s="99">
        <f>G173+'28'!H173</f>
        <v>41</v>
      </c>
      <c r="I173" s="155"/>
      <c r="J173" s="178">
        <f>H173/DAY(B2)</f>
        <v>1.4137931034482758</v>
      </c>
    </row>
    <row r="174" spans="1:10" ht="25.5">
      <c r="A174" s="887" t="s">
        <v>75</v>
      </c>
      <c r="B174" s="888"/>
      <c r="C174" s="333"/>
      <c r="D174" s="228" t="s">
        <v>142</v>
      </c>
      <c r="E174" s="95">
        <f>'28'!F174</f>
        <v>41159</v>
      </c>
      <c r="F174" s="157">
        <v>41175</v>
      </c>
      <c r="G174" s="155">
        <f t="shared" ref="G174:G175" si="15">F174-E174</f>
        <v>16</v>
      </c>
      <c r="H174" s="99">
        <f>G174+'28'!H174</f>
        <v>-29</v>
      </c>
      <c r="I174" s="155"/>
      <c r="J174" s="178">
        <f>H174/DAY(B2)</f>
        <v>-1</v>
      </c>
    </row>
    <row r="175" spans="1:10" ht="25.5">
      <c r="A175" s="887" t="s">
        <v>76</v>
      </c>
      <c r="B175" s="927"/>
      <c r="C175" s="888"/>
      <c r="D175" s="228" t="s">
        <v>142</v>
      </c>
      <c r="E175" s="95">
        <f>'28'!F175</f>
        <v>23994</v>
      </c>
      <c r="F175" s="155">
        <v>24007</v>
      </c>
      <c r="G175" s="155">
        <f t="shared" si="15"/>
        <v>13</v>
      </c>
      <c r="H175" s="99">
        <f>G175+'28'!H175</f>
        <v>-24</v>
      </c>
      <c r="I175" s="155"/>
      <c r="J175" s="178">
        <f>H175/DAY(B2)</f>
        <v>-0.82758620689655171</v>
      </c>
    </row>
    <row r="176" spans="1:10" ht="25.5">
      <c r="A176" s="876" t="s">
        <v>196</v>
      </c>
      <c r="B176" s="877"/>
      <c r="C176" s="401"/>
      <c r="D176" s="228"/>
      <c r="E176" s="95"/>
      <c r="F176" s="155"/>
      <c r="G176" s="155">
        <f>SUM(G173:G175)</f>
        <v>29</v>
      </c>
      <c r="H176" s="99">
        <f>G176+'28'!H176</f>
        <v>-12</v>
      </c>
      <c r="I176" s="155"/>
      <c r="J176" s="178">
        <f>H176/DAY(B2)</f>
        <v>-0.41379310344827586</v>
      </c>
    </row>
    <row r="177" spans="1:10" ht="25.5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95">
        <f>'28'!F178</f>
        <v>97436</v>
      </c>
      <c r="F178" s="155">
        <v>97500</v>
      </c>
      <c r="G178" s="155">
        <f>F178-E178</f>
        <v>64</v>
      </c>
      <c r="H178" s="99">
        <f>G178+'28'!H178</f>
        <v>-213</v>
      </c>
      <c r="I178" s="155"/>
      <c r="J178" s="178">
        <f>H178/DAY(B2)</f>
        <v>-7.3448275862068968</v>
      </c>
    </row>
    <row r="179" spans="1:10" ht="25.5">
      <c r="A179" s="887" t="s">
        <v>211</v>
      </c>
      <c r="B179" s="888"/>
      <c r="C179" s="333"/>
      <c r="D179" s="228" t="s">
        <v>142</v>
      </c>
      <c r="E179" s="95">
        <f>'28'!F179</f>
        <v>36002</v>
      </c>
      <c r="F179" s="155">
        <v>36002</v>
      </c>
      <c r="G179" s="155">
        <f t="shared" ref="G179:G180" si="16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95">
        <f>'28'!F180</f>
        <v>7166</v>
      </c>
      <c r="F180" s="155">
        <v>7169</v>
      </c>
      <c r="G180" s="155">
        <f t="shared" si="16"/>
        <v>3</v>
      </c>
      <c r="H180" s="99">
        <f>G180+'28'!H180</f>
        <v>0</v>
      </c>
      <c r="I180" s="155"/>
      <c r="J180" s="178">
        <f>H180/DAY(B2)</f>
        <v>0</v>
      </c>
    </row>
    <row r="181" spans="1:10" ht="25.5">
      <c r="A181" s="889" t="s">
        <v>108</v>
      </c>
      <c r="B181" s="890"/>
      <c r="C181" s="401"/>
      <c r="D181" s="228"/>
      <c r="E181" s="95"/>
      <c r="F181" s="155"/>
      <c r="G181" s="155">
        <f>SUM(G178:G180)</f>
        <v>67</v>
      </c>
      <c r="H181" s="99">
        <f>G181+'28'!H181</f>
        <v>-213</v>
      </c>
      <c r="I181" s="155"/>
      <c r="J181" s="178">
        <f>H181/DAY(B2)</f>
        <v>-7.3448275862068968</v>
      </c>
    </row>
    <row r="182" spans="1:10" ht="25.5">
      <c r="A182" s="887" t="s">
        <v>213</v>
      </c>
      <c r="B182" s="888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95">
        <f>'28'!F183</f>
        <v>17456</v>
      </c>
      <c r="F183" s="157">
        <v>17462</v>
      </c>
      <c r="G183" s="157">
        <f>F183-E183</f>
        <v>6</v>
      </c>
      <c r="H183" s="99">
        <f>G183+'28'!H183</f>
        <v>-11</v>
      </c>
      <c r="I183" s="155"/>
      <c r="J183" s="178">
        <f>H183/DAY(B2)</f>
        <v>-0.37931034482758619</v>
      </c>
    </row>
    <row r="184" spans="1:10" ht="25.5">
      <c r="A184" s="887" t="s">
        <v>215</v>
      </c>
      <c r="B184" s="888"/>
      <c r="C184" s="334"/>
      <c r="D184" s="228" t="s">
        <v>142</v>
      </c>
      <c r="E184" s="95">
        <f>'28'!F184</f>
        <v>11907</v>
      </c>
      <c r="F184" s="157">
        <v>11918</v>
      </c>
      <c r="G184" s="157">
        <f t="shared" ref="G184:G185" si="17">F184-E184</f>
        <v>11</v>
      </c>
      <c r="H184" s="99">
        <f>G184+'28'!H184</f>
        <v>-17</v>
      </c>
      <c r="I184" s="155"/>
      <c r="J184" s="178">
        <f>H184/DAY(B2)</f>
        <v>-0.58620689655172409</v>
      </c>
    </row>
    <row r="185" spans="1:10" ht="25.5">
      <c r="A185" s="887" t="s">
        <v>216</v>
      </c>
      <c r="B185" s="888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400"/>
      <c r="D186" s="229"/>
      <c r="E186" s="95"/>
      <c r="F186" s="157"/>
      <c r="G186" s="157">
        <f>SUM(G183:G185)</f>
        <v>17</v>
      </c>
      <c r="H186" s="99">
        <f>G186+'28'!H186</f>
        <v>-28</v>
      </c>
      <c r="I186" s="157"/>
      <c r="J186" s="178">
        <f>H186/DAY(B2)</f>
        <v>-0.96551724137931039</v>
      </c>
    </row>
    <row r="187" spans="1:10" ht="25.5">
      <c r="A187" s="878" t="s">
        <v>217</v>
      </c>
      <c r="B187" s="879"/>
      <c r="C187" s="333"/>
      <c r="D187" s="230" t="s">
        <v>142</v>
      </c>
      <c r="E187" s="95">
        <f>'28'!F187</f>
        <v>0</v>
      </c>
      <c r="F187" s="159"/>
      <c r="G187" s="466">
        <f>G62+G19</f>
        <v>179</v>
      </c>
      <c r="H187" s="99">
        <f>G187+'28'!H187</f>
        <v>-335</v>
      </c>
      <c r="I187" s="158"/>
      <c r="J187" s="179">
        <f>H187/DAY(B2)</f>
        <v>-11.551724137931034</v>
      </c>
    </row>
    <row r="188" spans="1:10" ht="25.5">
      <c r="A188" s="878" t="s">
        <v>218</v>
      </c>
      <c r="B188" s="879"/>
      <c r="C188" s="333"/>
      <c r="D188" s="230" t="s">
        <v>142</v>
      </c>
      <c r="E188" s="95">
        <f>'28'!F188</f>
        <v>0</v>
      </c>
      <c r="F188" s="159"/>
      <c r="G188" s="466">
        <f>G65+G66+G67+G69+G70</f>
        <v>164</v>
      </c>
      <c r="H188" s="99">
        <f>G188+'28'!H188</f>
        <v>2332</v>
      </c>
      <c r="I188" s="158"/>
      <c r="J188" s="179">
        <f>H188/DAY(B2)</f>
        <v>80.41379310344827</v>
      </c>
    </row>
    <row r="189" spans="1:10" ht="25.5">
      <c r="A189" s="878" t="s">
        <v>219</v>
      </c>
      <c r="B189" s="879"/>
      <c r="C189" s="333"/>
      <c r="D189" s="230" t="s">
        <v>142</v>
      </c>
      <c r="E189" s="95">
        <f>'28'!F189</f>
        <v>0</v>
      </c>
      <c r="F189" s="157"/>
      <c r="G189" s="417">
        <f>G181</f>
        <v>67</v>
      </c>
      <c r="H189" s="99">
        <f>G189+'28'!H189</f>
        <v>1096</v>
      </c>
      <c r="I189" s="158"/>
      <c r="J189" s="179">
        <f>H189/DAY(B2)</f>
        <v>37.793103448275865</v>
      </c>
    </row>
    <row r="190" spans="1:10" ht="25.5">
      <c r="A190" s="885"/>
      <c r="B190" s="88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13" zoomScale="55" zoomScaleNormal="55" zoomScaleSheetLayoutView="55" workbookViewId="0">
      <selection activeCell="F15" sqref="F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30.75" customHeight="1">
      <c r="A2" s="191" t="s">
        <v>349</v>
      </c>
      <c r="B2" s="262">
        <v>44772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31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291147</v>
      </c>
      <c r="F7" s="95">
        <f>E7+26200</f>
        <v>317347</v>
      </c>
      <c r="G7" s="112">
        <f>F7-E7</f>
        <v>26200</v>
      </c>
      <c r="H7" s="99">
        <f>G7+'29'!H7</f>
        <v>783758.9</v>
      </c>
      <c r="I7" s="113">
        <f>'1'!I7</f>
        <v>12000</v>
      </c>
      <c r="J7" s="175">
        <f>H7/DAY(B2)</f>
        <v>26125.296666666669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'29'!F8</f>
        <v>440844.4</v>
      </c>
      <c r="F8" s="95">
        <f>E8+26500</f>
        <v>467344.4</v>
      </c>
      <c r="G8" s="112">
        <f>F8-E8</f>
        <v>26500</v>
      </c>
      <c r="H8" s="99">
        <f>G8+'29'!H8</f>
        <v>794266</v>
      </c>
      <c r="I8" s="116"/>
      <c r="J8" s="175">
        <f>H8/DAY(B2)</f>
        <v>26475.533333333333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3266777.5</v>
      </c>
      <c r="F9" s="469">
        <v>3272831.1</v>
      </c>
      <c r="G9" s="357">
        <f>F9-E9</f>
        <v>6053.6000000000931</v>
      </c>
      <c r="H9" s="99">
        <f>G9+'29'!H9</f>
        <v>-6234.8999999999069</v>
      </c>
      <c r="I9" s="124">
        <f>I7-J7</f>
        <v>-14125.296666666669</v>
      </c>
      <c r="J9" s="175">
        <f>H9/DAY(B2)</f>
        <v>-207.82999999999689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1628939.8</v>
      </c>
      <c r="F10" s="353">
        <v>1648724.3</v>
      </c>
      <c r="G10" s="112">
        <f t="shared" ref="G10:G12" si="0">F10-E10</f>
        <v>19784.5</v>
      </c>
      <c r="H10" s="99">
        <f>G10+'29'!H10</f>
        <v>-18433.699999999953</v>
      </c>
      <c r="I10" s="282"/>
      <c r="J10" s="175">
        <f>H10/DAY(B2)</f>
        <v>-614.45666666666511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25838.100000000093</v>
      </c>
      <c r="H13" s="99">
        <f>G13+'29'!H13</f>
        <v>-23334</v>
      </c>
      <c r="I13" s="120">
        <f>G7-G13</f>
        <v>361.89999999990687</v>
      </c>
      <c r="J13" s="175">
        <f>H13/DAY(B2)</f>
        <v>-777.8</v>
      </c>
      <c r="K13" s="79"/>
      <c r="L13" s="66"/>
      <c r="N13" s="87"/>
      <c r="O13" s="71" t="s">
        <v>371</v>
      </c>
    </row>
    <row r="14" spans="1:15" ht="30.75" customHeight="1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2130008</v>
      </c>
      <c r="F15" s="469">
        <f>E15+1000</f>
        <v>2131008</v>
      </c>
      <c r="G15" s="112">
        <f>(F15-E15)</f>
        <v>1000</v>
      </c>
      <c r="H15" s="99">
        <f>G15+'29'!H15</f>
        <v>30140</v>
      </c>
      <c r="I15" s="113">
        <f>'1'!I15</f>
        <v>800</v>
      </c>
      <c r="J15" s="175">
        <f>H15/DAY(B2)</f>
        <v>1004.6666666666666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-204.66666666666663</v>
      </c>
      <c r="J16" s="176"/>
      <c r="K16" s="79"/>
      <c r="L16" s="66"/>
      <c r="N16" s="87"/>
      <c r="O16" s="71"/>
    </row>
    <row r="17" spans="1:15" ht="30.75" customHeight="1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15" t="s">
        <v>141</v>
      </c>
      <c r="B18" s="916"/>
      <c r="C18" s="917"/>
      <c r="D18" s="151" t="s">
        <v>142</v>
      </c>
      <c r="E18" s="95">
        <f>'29'!F18</f>
        <v>18</v>
      </c>
      <c r="F18" s="122">
        <v>13</v>
      </c>
      <c r="G18" s="119">
        <f>F18*10</f>
        <v>130</v>
      </c>
      <c r="H18" s="99">
        <f>G18+'29'!H18</f>
        <v>5410</v>
      </c>
      <c r="I18" s="113">
        <f>'1'!I18</f>
        <v>65</v>
      </c>
      <c r="J18" s="175">
        <f>H18/DAY(B2)</f>
        <v>180.33333333333334</v>
      </c>
      <c r="K18" s="79"/>
      <c r="L18" s="66"/>
      <c r="N18" s="87"/>
      <c r="O18" s="71"/>
    </row>
    <row r="19" spans="1:15" ht="30.75" customHeight="1">
      <c r="A19" s="915" t="s">
        <v>69</v>
      </c>
      <c r="B19" s="916"/>
      <c r="C19" s="917"/>
      <c r="D19" s="151" t="s">
        <v>142</v>
      </c>
      <c r="E19" s="95">
        <f>'29'!F19</f>
        <v>162233</v>
      </c>
      <c r="F19" s="122">
        <v>162284</v>
      </c>
      <c r="G19" s="112">
        <f t="shared" ref="G19" si="1">F19-E19</f>
        <v>51</v>
      </c>
      <c r="H19" s="99">
        <f>G19+'29'!H19</f>
        <v>-45</v>
      </c>
      <c r="I19" s="335"/>
      <c r="J19" s="175">
        <f>H19/DAY(B2)</f>
        <v>-1.5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181</v>
      </c>
      <c r="H20" s="99">
        <f>G20+'29'!H20</f>
        <v>5365</v>
      </c>
      <c r="I20" s="336">
        <f>I18-J20</f>
        <v>-113.83333333333334</v>
      </c>
      <c r="J20" s="175">
        <f>H20/DAY(B2)</f>
        <v>178.83333333333334</v>
      </c>
      <c r="K20" s="79"/>
      <c r="L20" s="66"/>
      <c r="N20" s="87"/>
      <c r="O20" s="71"/>
    </row>
    <row r="21" spans="1:15" ht="30.75" customHeight="1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G27+'29'!H27</f>
        <v>7148394</v>
      </c>
      <c r="I27" s="138"/>
      <c r="J27" s="175">
        <f>H27/DAY(B2)</f>
        <v>238279.8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G28+'29'!H28</f>
        <v>2109800</v>
      </c>
      <c r="I28" s="140"/>
      <c r="J28" s="175">
        <f>H28/DAY(B2)</f>
        <v>70326.666666666672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G30+'29'!H30</f>
        <v>-6795</v>
      </c>
      <c r="I30" s="140"/>
      <c r="J30" s="175">
        <f>H30/DAY(B2)</f>
        <v>-226.5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80</v>
      </c>
      <c r="G31" s="137">
        <f>E31*F31</f>
        <v>10400</v>
      </c>
      <c r="H31" s="99">
        <f>G31+'29'!H31</f>
        <v>432800</v>
      </c>
      <c r="I31" s="140"/>
      <c r="J31" s="175">
        <f>H31/DAY(B2)</f>
        <v>14426.666666666666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326601</v>
      </c>
      <c r="H32" s="99">
        <f>G32+'29'!H32</f>
        <v>9684199</v>
      </c>
      <c r="I32" s="144"/>
      <c r="J32" s="175">
        <f>H32/DAY(B2)</f>
        <v>322806.63333333336</v>
      </c>
      <c r="K32" s="63"/>
      <c r="L32" s="89"/>
      <c r="N32" s="87"/>
      <c r="O32" s="71"/>
    </row>
    <row r="33" spans="1:15" ht="30.75" customHeight="1">
      <c r="A33" s="947" t="s">
        <v>331</v>
      </c>
      <c r="B33" s="948"/>
      <c r="C33" s="948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238713.05</v>
      </c>
      <c r="F35" s="145">
        <v>238713.05</v>
      </c>
      <c r="G35" s="112">
        <f t="shared" ref="G35:G46" si="3">F35-E35</f>
        <v>0</v>
      </c>
      <c r="H35" s="99">
        <f>G35+'29'!H35</f>
        <v>4.9999999988358468E-2</v>
      </c>
      <c r="I35" s="95"/>
      <c r="J35" s="175">
        <f>H35/DAY(B2)</f>
        <v>1.6666666662786156E-3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213658.77</v>
      </c>
      <c r="F36" s="145">
        <v>214682.6</v>
      </c>
      <c r="G36" s="112">
        <f t="shared" si="3"/>
        <v>1023.8300000000163</v>
      </c>
      <c r="H36" s="99">
        <f>G36+'29'!H36</f>
        <v>-847.39999999999418</v>
      </c>
      <c r="I36" s="95"/>
      <c r="J36" s="175">
        <f>H36/DAY(B2)</f>
        <v>-28.246666666666474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322998.69</v>
      </c>
      <c r="F37" s="145">
        <v>322998.69</v>
      </c>
      <c r="G37" s="112">
        <f t="shared" si="3"/>
        <v>0</v>
      </c>
      <c r="H37" s="99">
        <f>G37+'29'!H37</f>
        <v>-0.30999999999767169</v>
      </c>
      <c r="I37" s="95"/>
      <c r="J37" s="175">
        <f>H37/DAY(B2)</f>
        <v>-1.0333333333255723E-2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452799.07</v>
      </c>
      <c r="F38" s="108">
        <v>455090.67</v>
      </c>
      <c r="G38" s="112">
        <f t="shared" si="3"/>
        <v>2291.5999999999767</v>
      </c>
      <c r="H38" s="99">
        <f>G38+'29'!H38</f>
        <v>-2270.3300000000163</v>
      </c>
      <c r="I38" s="95"/>
      <c r="J38" s="175">
        <f>H38/DAY(B2)</f>
        <v>-75.677666666667207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591587.18999999994</v>
      </c>
      <c r="F39" s="145">
        <v>591584.18999999994</v>
      </c>
      <c r="G39" s="112">
        <f t="shared" si="3"/>
        <v>-3</v>
      </c>
      <c r="H39" s="99">
        <f>G39+'29'!H39</f>
        <v>0.18999999994412065</v>
      </c>
      <c r="I39" s="95"/>
      <c r="J39" s="175">
        <f>H39/DAY(B2)</f>
        <v>6.3333333314706886E-3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105069.46</v>
      </c>
      <c r="F40" s="145">
        <v>105925.56</v>
      </c>
      <c r="G40" s="112">
        <f t="shared" si="3"/>
        <v>856.09999999999127</v>
      </c>
      <c r="H40" s="99">
        <f>G40+'29'!H40</f>
        <v>-850.44000000000233</v>
      </c>
      <c r="I40" s="95"/>
      <c r="J40" s="175">
        <f>H40/DAY(B2)</f>
        <v>-28.348000000000077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205621.09</v>
      </c>
      <c r="F41" s="145">
        <v>208464.65</v>
      </c>
      <c r="G41" s="112">
        <f t="shared" si="3"/>
        <v>2843.5599999999977</v>
      </c>
      <c r="H41" s="99">
        <f>G41+'29'!H41</f>
        <v>-3238.3500000000058</v>
      </c>
      <c r="I41" s="95"/>
      <c r="J41" s="175">
        <f>H41/DAY(B2)</f>
        <v>-107.94500000000019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748364.07</v>
      </c>
      <c r="F42" s="423">
        <v>748364.07</v>
      </c>
      <c r="G42" s="112">
        <f t="shared" si="3"/>
        <v>0</v>
      </c>
      <c r="H42" s="99">
        <f>G42+'29'!H42</f>
        <v>6.9999999948777258E-2</v>
      </c>
      <c r="I42" s="95"/>
      <c r="J42" s="175">
        <f>H42/DAY(B2)</f>
        <v>2.3333333316259085E-3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7012.089999999982</v>
      </c>
      <c r="H47" s="99">
        <f>G47+'29'!H47</f>
        <v>-7206.5200000001496</v>
      </c>
      <c r="I47" s="95"/>
      <c r="J47" s="175">
        <f>H47/DAY(B2)</f>
        <v>-240.21733333333833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473490.83</v>
      </c>
      <c r="F49" s="145">
        <v>477749.23</v>
      </c>
      <c r="G49" s="112">
        <f t="shared" ref="G49:G58" si="4">F49-E49</f>
        <v>4258.3999999999651</v>
      </c>
      <c r="H49" s="99">
        <f>G49+'29'!H49</f>
        <v>-7304.7700000000186</v>
      </c>
      <c r="I49" s="95"/>
      <c r="J49" s="175">
        <f>H49/DAY(B2)</f>
        <v>-243.49233333333396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280673.17</v>
      </c>
      <c r="F50" s="145">
        <v>281767.27</v>
      </c>
      <c r="G50" s="112">
        <f t="shared" si="4"/>
        <v>1094.1000000000349</v>
      </c>
      <c r="H50" s="99">
        <f>G50+'29'!H50</f>
        <v>245320.27000000002</v>
      </c>
      <c r="I50" s="95"/>
      <c r="J50" s="175">
        <f>H50/DAY(B2)</f>
        <v>8177.342333333334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6403.06</v>
      </c>
      <c r="F51" s="145">
        <v>7474.5</v>
      </c>
      <c r="G51" s="112">
        <f t="shared" si="4"/>
        <v>1071.4399999999996</v>
      </c>
      <c r="H51" s="99">
        <f>G51+'29'!H51</f>
        <v>-1033.5</v>
      </c>
      <c r="I51" s="95"/>
      <c r="J51" s="175">
        <f>H51/DAY(B2)</f>
        <v>-34.450000000000003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24892.44</v>
      </c>
      <c r="F53" s="418">
        <v>29502</v>
      </c>
      <c r="G53" s="112">
        <f t="shared" si="4"/>
        <v>4609.5600000000013</v>
      </c>
      <c r="H53" s="99">
        <f>G53+'29'!H53</f>
        <v>-4359</v>
      </c>
      <c r="I53" s="95"/>
      <c r="J53" s="175">
        <f>H53/DAY(B2)</f>
        <v>-145.30000000000001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87249.45</v>
      </c>
      <c r="F54" s="418">
        <v>87598.55</v>
      </c>
      <c r="G54" s="112">
        <f t="shared" si="4"/>
        <v>349.10000000000582</v>
      </c>
      <c r="H54" s="99">
        <f>G54+'29'!H54</f>
        <v>-344.44999999999709</v>
      </c>
      <c r="I54" s="95"/>
      <c r="J54" s="175">
        <f>H54/DAY(B2)</f>
        <v>-11.48166666666657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355963.5</v>
      </c>
      <c r="F55" s="418">
        <v>359609.95</v>
      </c>
      <c r="G55" s="112">
        <f t="shared" si="4"/>
        <v>3646.4500000000116</v>
      </c>
      <c r="H55" s="99">
        <f>G55+'29'!H55</f>
        <v>-3167.0499999999884</v>
      </c>
      <c r="I55" s="95"/>
      <c r="J55" s="175">
        <f>H55/DAY(B2)</f>
        <v>-105.56833333333294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123882.39</v>
      </c>
      <c r="F56" s="418">
        <v>123882.39</v>
      </c>
      <c r="G56" s="112">
        <f t="shared" si="4"/>
        <v>0</v>
      </c>
      <c r="H56" s="99">
        <f>G56+'29'!H56</f>
        <v>0.38999999999941792</v>
      </c>
      <c r="I56" s="95"/>
      <c r="J56" s="175">
        <f>H56/DAY(B2)</f>
        <v>1.2999999999980598E-2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220098.99</v>
      </c>
      <c r="F57" s="418">
        <v>223183.13</v>
      </c>
      <c r="G57" s="112">
        <f t="shared" si="4"/>
        <v>3084.140000000014</v>
      </c>
      <c r="H57" s="99">
        <f>G57+'29'!H57</f>
        <v>-2986.8699999999953</v>
      </c>
      <c r="I57" s="95"/>
      <c r="J57" s="175">
        <f>H57/DAY(B2)</f>
        <v>-99.562333333333171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48564.73</v>
      </c>
      <c r="F58" s="418">
        <v>48843.7</v>
      </c>
      <c r="G58" s="112">
        <f t="shared" si="4"/>
        <v>278.96999999999389</v>
      </c>
      <c r="H58" s="99">
        <f>G58+'29'!H58</f>
        <v>-265.30000000000291</v>
      </c>
      <c r="I58" s="95"/>
      <c r="J58" s="175">
        <f>H58/DAY(B2)</f>
        <v>-8.8433333333334296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18392.160000000025</v>
      </c>
      <c r="H59" s="99">
        <f>G59+'29'!H59</f>
        <v>-20443.279999999919</v>
      </c>
      <c r="I59" s="95">
        <f>G7-G60</f>
        <v>795.74999999999272</v>
      </c>
      <c r="J59" s="175">
        <f>H59/DAY(B2)</f>
        <v>-681.44266666666397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25404.250000000007</v>
      </c>
      <c r="H60" s="99">
        <f>G60+'29'!H60</f>
        <v>-27649.800000000141</v>
      </c>
      <c r="I60" s="95">
        <f>G13-G60</f>
        <v>433.85000000008586</v>
      </c>
      <c r="J60" s="175">
        <f>H60/DAY(B2)</f>
        <v>-921.66000000000474</v>
      </c>
      <c r="K60" s="79"/>
      <c r="L60" s="66"/>
      <c r="N60" s="87"/>
      <c r="O60" s="71"/>
    </row>
    <row r="61" spans="1:15" s="68" customFormat="1" ht="30.75" customHeight="1">
      <c r="A61" s="949" t="s">
        <v>332</v>
      </c>
      <c r="B61" s="950"/>
      <c r="C61" s="951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915" t="s">
        <v>198</v>
      </c>
      <c r="B62" s="916"/>
      <c r="C62" s="917"/>
      <c r="D62" s="151" t="s">
        <v>142</v>
      </c>
      <c r="E62" s="95">
        <f>'29'!F62</f>
        <v>296036</v>
      </c>
      <c r="F62" s="150">
        <v>296152</v>
      </c>
      <c r="G62" s="112">
        <f t="shared" ref="G62:G63" si="5">F62-E62</f>
        <v>116</v>
      </c>
      <c r="H62" s="99">
        <f>G62+'29'!H62</f>
        <v>-123</v>
      </c>
      <c r="I62" s="118"/>
      <c r="J62" s="175">
        <f>H62/DAY(B2)</f>
        <v>-4.0999999999999996</v>
      </c>
      <c r="K62" s="80"/>
      <c r="L62" s="66"/>
      <c r="N62" s="87"/>
      <c r="O62" s="71"/>
    </row>
    <row r="63" spans="1:15" ht="30.75" customHeight="1">
      <c r="A63" s="915" t="s">
        <v>199</v>
      </c>
      <c r="B63" s="916"/>
      <c r="C63" s="917"/>
      <c r="D63" s="151" t="s">
        <v>142</v>
      </c>
      <c r="E63" s="95">
        <f>'29'!F63</f>
        <v>238832</v>
      </c>
      <c r="F63" s="150">
        <v>238962</v>
      </c>
      <c r="G63" s="112">
        <f t="shared" si="5"/>
        <v>130</v>
      </c>
      <c r="H63" s="99">
        <f>G63+'29'!H63</f>
        <v>-171</v>
      </c>
      <c r="I63" s="118"/>
      <c r="J63" s="175">
        <f>H63/DAY(B2)</f>
        <v>-5.7</v>
      </c>
      <c r="K63" s="69"/>
      <c r="L63" s="66"/>
      <c r="N63" s="87"/>
      <c r="O63" s="71"/>
    </row>
    <row r="64" spans="1:15" ht="30.75" customHeight="1">
      <c r="A64" s="924" t="s">
        <v>200</v>
      </c>
      <c r="B64" s="925"/>
      <c r="C64" s="926"/>
      <c r="D64" s="151"/>
      <c r="E64" s="95">
        <f>'29'!F64</f>
        <v>0</v>
      </c>
      <c r="F64" s="150"/>
      <c r="G64" s="112">
        <f>G62+G63</f>
        <v>246</v>
      </c>
      <c r="H64" s="99">
        <f>G64+'29'!H64</f>
        <v>-294</v>
      </c>
      <c r="I64" s="118"/>
      <c r="J64" s="175">
        <f>H64/DAY(B2)</f>
        <v>-9.8000000000000007</v>
      </c>
      <c r="K64" s="69"/>
      <c r="L64" s="66"/>
      <c r="N64" s="87"/>
      <c r="O64" s="71"/>
    </row>
    <row r="65" spans="1:15" ht="30.75" customHeight="1">
      <c r="A65" s="915" t="s">
        <v>201</v>
      </c>
      <c r="B65" s="916"/>
      <c r="C65" s="917"/>
      <c r="D65" s="151" t="s">
        <v>142</v>
      </c>
      <c r="E65" s="95">
        <f>'29'!F65</f>
        <v>454491</v>
      </c>
      <c r="F65" s="150">
        <v>454599</v>
      </c>
      <c r="G65" s="112">
        <f t="shared" ref="G65:G70" si="6">F65-E65</f>
        <v>108</v>
      </c>
      <c r="H65" s="99">
        <f>G65+'29'!H65</f>
        <v>-111</v>
      </c>
      <c r="I65" s="118"/>
      <c r="J65" s="175">
        <f>H65/DAY(B2)</f>
        <v>-3.7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111676</v>
      </c>
      <c r="F66" s="150">
        <v>111702</v>
      </c>
      <c r="G66" s="112">
        <f t="shared" si="6"/>
        <v>26</v>
      </c>
      <c r="H66" s="99">
        <f>G66+'29'!H66</f>
        <v>-20</v>
      </c>
      <c r="I66" s="118"/>
      <c r="J66" s="175">
        <f>H66/DAY(B2)</f>
        <v>-0.66666666666666663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113680</v>
      </c>
      <c r="F67" s="150">
        <v>113680</v>
      </c>
      <c r="G67" s="112">
        <f t="shared" si="6"/>
        <v>0</v>
      </c>
      <c r="H67" s="99">
        <f>G67+'29'!H67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164628</v>
      </c>
      <c r="F68" s="150">
        <v>164645</v>
      </c>
      <c r="G68" s="112">
        <f t="shared" si="6"/>
        <v>17</v>
      </c>
      <c r="H68" s="99">
        <f>G68+'29'!H68</f>
        <v>-17</v>
      </c>
      <c r="I68" s="118"/>
      <c r="J68" s="175">
        <f>H68/DAY(B2)</f>
        <v>-0.56666666666666665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12266</v>
      </c>
      <c r="F69" s="150">
        <v>12269</v>
      </c>
      <c r="G69" s="112">
        <f t="shared" si="6"/>
        <v>3</v>
      </c>
      <c r="H69" s="99">
        <f>G69+'29'!H69</f>
        <v>-6</v>
      </c>
      <c r="I69" s="118"/>
      <c r="J69" s="175">
        <f>H69/DAY(B2)</f>
        <v>-0.2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9807</v>
      </c>
      <c r="F70" s="150">
        <v>9810</v>
      </c>
      <c r="G70" s="236">
        <f t="shared" si="6"/>
        <v>3</v>
      </c>
      <c r="H70" s="99">
        <f>G70+'29'!H70</f>
        <v>-17</v>
      </c>
      <c r="I70" s="118"/>
      <c r="J70" s="175">
        <f>H70/DAY(B2)</f>
        <v>-0.56666666666666665</v>
      </c>
      <c r="K70" s="69"/>
      <c r="L70" s="66"/>
      <c r="N70" s="87"/>
      <c r="O70" s="71"/>
    </row>
    <row r="71" spans="1:15" ht="30.75" customHeight="1">
      <c r="A71" s="924" t="s">
        <v>208</v>
      </c>
      <c r="B71" s="925"/>
      <c r="C71" s="926"/>
      <c r="D71" s="152"/>
      <c r="E71" s="152"/>
      <c r="F71" s="152"/>
      <c r="G71" s="153">
        <f>SUM(G65:G70)</f>
        <v>157</v>
      </c>
      <c r="H71" s="99">
        <f>G71+'29'!H71</f>
        <v>-171</v>
      </c>
      <c r="I71" s="154"/>
      <c r="J71" s="175">
        <f>H71/DAY(B2)</f>
        <v>-5.7</v>
      </c>
      <c r="K71" s="69"/>
      <c r="L71" s="66"/>
      <c r="N71" s="87"/>
      <c r="O71" s="71"/>
    </row>
    <row r="72" spans="1:15" s="88" customFormat="1" ht="30.75" customHeight="1">
      <c r="A72" s="911"/>
      <c r="B72" s="89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15" t="s">
        <v>220</v>
      </c>
      <c r="B74" s="916"/>
      <c r="C74" s="917"/>
      <c r="D74" s="151" t="s">
        <v>139</v>
      </c>
      <c r="E74" s="95">
        <f>'29'!F74</f>
        <v>957005.7</v>
      </c>
      <c r="F74" s="123">
        <v>957328.33</v>
      </c>
      <c r="G74" s="112">
        <f t="shared" ref="G74:G78" si="7">F74-E74</f>
        <v>322.63000000000466</v>
      </c>
      <c r="H74" s="99">
        <f>G74+'29'!H74</f>
        <v>-329.53000000002794</v>
      </c>
      <c r="I74" s="154"/>
      <c r="J74" s="175">
        <f>H74/DAY(B2)</f>
        <v>-10.984333333334265</v>
      </c>
      <c r="K74" s="69"/>
      <c r="L74" s="66"/>
      <c r="N74" s="87"/>
      <c r="O74" s="71"/>
    </row>
    <row r="75" spans="1:15" ht="30.75" customHeight="1">
      <c r="A75" s="915" t="s">
        <v>221</v>
      </c>
      <c r="B75" s="916"/>
      <c r="C75" s="917"/>
      <c r="D75" s="151" t="s">
        <v>139</v>
      </c>
      <c r="E75" s="95">
        <f>'29'!F75</f>
        <v>73586</v>
      </c>
      <c r="F75" s="123">
        <v>73586</v>
      </c>
      <c r="G75" s="112">
        <f t="shared" si="7"/>
        <v>0</v>
      </c>
      <c r="H75" s="99">
        <f>G75+'29'!H75</f>
        <v>-0.80000000000291038</v>
      </c>
      <c r="I75" s="154"/>
      <c r="J75" s="175">
        <f>H75/DAY(B2)</f>
        <v>-2.6666666666763681E-2</v>
      </c>
      <c r="K75" s="69"/>
      <c r="L75" s="66"/>
      <c r="N75" s="87"/>
      <c r="O75" s="71"/>
    </row>
    <row r="76" spans="1:15" ht="30.75" customHeight="1">
      <c r="A76" s="912" t="s">
        <v>222</v>
      </c>
      <c r="B76" s="913"/>
      <c r="C76" s="914"/>
      <c r="D76" s="151" t="s">
        <v>139</v>
      </c>
      <c r="E76" s="95">
        <f>'29'!F76</f>
        <v>189957</v>
      </c>
      <c r="F76" s="123">
        <v>190065</v>
      </c>
      <c r="G76" s="112">
        <f t="shared" si="7"/>
        <v>108</v>
      </c>
      <c r="H76" s="99">
        <f>G76+'29'!H76</f>
        <v>-107</v>
      </c>
      <c r="I76" s="154"/>
      <c r="J76" s="175">
        <f>H76/DAY(B2)</f>
        <v>-3.5666666666666669</v>
      </c>
      <c r="K76" s="69"/>
      <c r="L76" s="66"/>
      <c r="N76" s="87"/>
      <c r="O76" s="71"/>
    </row>
    <row r="77" spans="1:15" ht="30.75" customHeight="1">
      <c r="A77" s="912" t="s">
        <v>223</v>
      </c>
      <c r="B77" s="913"/>
      <c r="C77" s="914"/>
      <c r="D77" s="151" t="s">
        <v>139</v>
      </c>
      <c r="E77" s="95">
        <f>'29'!F77</f>
        <v>50213</v>
      </c>
      <c r="F77" s="123">
        <v>50263</v>
      </c>
      <c r="G77" s="112">
        <f t="shared" si="7"/>
        <v>50</v>
      </c>
      <c r="H77" s="99">
        <f>G77+'29'!H77</f>
        <v>-50</v>
      </c>
      <c r="I77" s="154"/>
      <c r="J77" s="175">
        <f>H77/DAY(B2)</f>
        <v>-1.6666666666666667</v>
      </c>
      <c r="K77" s="69"/>
      <c r="L77" s="66"/>
      <c r="N77" s="87"/>
      <c r="O77" s="71"/>
    </row>
    <row r="78" spans="1:15" ht="30.75" customHeight="1">
      <c r="A78" s="912" t="s">
        <v>224</v>
      </c>
      <c r="B78" s="913"/>
      <c r="C78" s="914"/>
      <c r="D78" s="151" t="s">
        <v>139</v>
      </c>
      <c r="E78" s="95">
        <f>'29'!F78</f>
        <v>9563.4</v>
      </c>
      <c r="F78" s="123">
        <v>9563</v>
      </c>
      <c r="G78" s="112">
        <f t="shared" si="7"/>
        <v>-0.3999999999996362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2" t="s">
        <v>225</v>
      </c>
      <c r="B79" s="913"/>
      <c r="C79" s="914"/>
      <c r="D79" s="151"/>
      <c r="E79" s="95">
        <f>'29'!F79</f>
        <v>0</v>
      </c>
      <c r="F79" s="117"/>
      <c r="G79" s="112">
        <f>G15-SUM(G74:G78)</f>
        <v>519.76999999999498</v>
      </c>
      <c r="H79" s="99">
        <f>G79+'29'!H79</f>
        <v>30627.330000000031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71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71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42548.45</v>
      </c>
      <c r="F84" s="164">
        <v>42572</v>
      </c>
      <c r="G84" s="112">
        <f t="shared" si="8"/>
        <v>23.55000000000291</v>
      </c>
      <c r="H84" s="99">
        <f>G84+'29'!H84</f>
        <v>-17</v>
      </c>
      <c r="I84" s="571"/>
      <c r="J84" s="175">
        <f>H84/DAY(B2)</f>
        <v>-0.56666666666666665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5140.1899999999996</v>
      </c>
      <c r="F85" s="150">
        <v>5140.1899999999996</v>
      </c>
      <c r="G85" s="112">
        <f t="shared" si="8"/>
        <v>0</v>
      </c>
      <c r="H85" s="99">
        <f>G85+'29'!H85</f>
        <v>0</v>
      </c>
      <c r="I85" s="571"/>
      <c r="J85" s="175">
        <f>H85/DAY(B2)</f>
        <v>0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45333</v>
      </c>
      <c r="F86" s="164">
        <v>45357.3</v>
      </c>
      <c r="G86" s="762">
        <f t="shared" si="8"/>
        <v>24.30000000000291</v>
      </c>
      <c r="H86" s="99">
        <f>G86+'29'!H86</f>
        <v>-21.69999999999709</v>
      </c>
      <c r="I86" s="571"/>
      <c r="J86" s="175">
        <f>H86/DAY(B2)</f>
        <v>-0.72333333333323635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35457.43</v>
      </c>
      <c r="F87" s="164">
        <v>35457.43</v>
      </c>
      <c r="G87" s="112">
        <f t="shared" si="8"/>
        <v>0</v>
      </c>
      <c r="H87" s="99">
        <f>G87+'29'!H87</f>
        <v>0</v>
      </c>
      <c r="I87" s="553">
        <f>G84+G85+G86+G87</f>
        <v>47.850000000005821</v>
      </c>
      <c r="J87" s="175">
        <f>H87/DAY(B2)</f>
        <v>0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24301.119999999999</v>
      </c>
      <c r="F88" s="164">
        <v>24303.46</v>
      </c>
      <c r="G88" s="112">
        <f t="shared" si="8"/>
        <v>2.3400000000001455</v>
      </c>
      <c r="H88" s="99">
        <f>G88+'29'!H88</f>
        <v>0</v>
      </c>
      <c r="I88" s="553"/>
      <c r="J88" s="175">
        <f>H88/DAY(B2)</f>
        <v>0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27548.69</v>
      </c>
      <c r="F89" s="164">
        <v>27556.41</v>
      </c>
      <c r="G89" s="112">
        <f t="shared" si="8"/>
        <v>7.7200000000011642</v>
      </c>
      <c r="H89" s="99">
        <f>G89+'29'!H89</f>
        <v>-10.200000000000728</v>
      </c>
      <c r="I89" s="553">
        <f>G88+G89</f>
        <v>10.06000000000131</v>
      </c>
      <c r="J89" s="175">
        <f>H89/DAY(B2)</f>
        <v>-0.34000000000002423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72582.3</v>
      </c>
      <c r="F90" s="164">
        <v>72594.399999999994</v>
      </c>
      <c r="G90" s="112">
        <f t="shared" si="8"/>
        <v>12.099999999991269</v>
      </c>
      <c r="H90" s="99">
        <f>G90+'29'!H90</f>
        <v>53.19999999999709</v>
      </c>
      <c r="I90" s="553">
        <f>G90</f>
        <v>12.099999999991269</v>
      </c>
      <c r="J90" s="175">
        <f>H90/DAY(B2)</f>
        <v>1.7733333333332364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4289.54</v>
      </c>
      <c r="F91" s="122">
        <v>4289.54</v>
      </c>
      <c r="G91" s="112">
        <f t="shared" si="8"/>
        <v>0</v>
      </c>
      <c r="H91" s="99">
        <f>G91+'29'!H91</f>
        <v>2.6199999999998909</v>
      </c>
      <c r="I91" s="613"/>
      <c r="J91" s="175">
        <f>H91/DAY(B2)</f>
        <v>8.7333333333329696E-2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6694.94</v>
      </c>
      <c r="F92" s="122">
        <v>6706.02</v>
      </c>
      <c r="G92" s="112">
        <f t="shared" si="8"/>
        <v>11.080000000000837</v>
      </c>
      <c r="H92" s="99">
        <f>G92+'29'!H92</f>
        <v>-11.309999999999491</v>
      </c>
      <c r="I92" s="614">
        <f>G91+G92</f>
        <v>11.080000000000837</v>
      </c>
      <c r="J92" s="175">
        <f>H92/DAY(B2)</f>
        <v>-0.37699999999998302</v>
      </c>
      <c r="O92" s="71"/>
    </row>
    <row r="93" spans="1:15" ht="30.75" customHeight="1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7342.539999999979</v>
      </c>
      <c r="H94" s="99">
        <f>G94+'29'!H94</f>
        <v>-10291.590000000026</v>
      </c>
      <c r="I94" s="118"/>
      <c r="J94" s="175">
        <f>H94/DAY(B2)</f>
        <v>-343.05300000000085</v>
      </c>
      <c r="K94" s="69"/>
      <c r="L94" s="66"/>
      <c r="O94" s="71"/>
    </row>
    <row r="95" spans="1:15" ht="30.75" customHeight="1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0.28024961832060991</v>
      </c>
      <c r="H95" s="99">
        <f>G95+'29'!H95</f>
        <v>-0.36793090108671456</v>
      </c>
      <c r="I95" s="167"/>
      <c r="J95" s="175">
        <f>H95/DAY(B2)</f>
        <v>-1.2264363369557153E-2</v>
      </c>
      <c r="K95" s="69"/>
      <c r="L95" s="66"/>
      <c r="O95" s="71"/>
    </row>
    <row r="96" spans="1:15" ht="30.75" customHeight="1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6490.0100000000093</v>
      </c>
      <c r="H96" s="99">
        <f>G96+'29'!H96</f>
        <v>-6404.9400000000314</v>
      </c>
      <c r="I96" s="118"/>
      <c r="J96" s="175">
        <f>H96/DAY(B2)</f>
        <v>-213.49800000000104</v>
      </c>
      <c r="K96" s="69"/>
      <c r="L96" s="66"/>
      <c r="O96" s="71"/>
    </row>
    <row r="97" spans="1:15" ht="30.75" customHeight="1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0.24771030534351179</v>
      </c>
      <c r="H97" s="99">
        <f>G97+'29'!H97</f>
        <v>-0.22348408213331949</v>
      </c>
      <c r="I97" s="167"/>
      <c r="J97" s="175">
        <f>H97/DAY(B2)</f>
        <v>-7.4494694044439829E-3</v>
      </c>
      <c r="K97" s="69"/>
      <c r="L97" s="66"/>
      <c r="O97" s="71"/>
    </row>
    <row r="98" spans="1:15" ht="30.75" customHeight="1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4606.5600000000013</v>
      </c>
      <c r="H98" s="99">
        <f>G98+'29'!H98</f>
        <v>-4358.8100000000559</v>
      </c>
      <c r="I98" s="168"/>
      <c r="J98" s="175">
        <f>H98/DAY(B2)</f>
        <v>-145.29366666666854</v>
      </c>
      <c r="K98" s="69"/>
      <c r="L98" s="66"/>
      <c r="O98" s="71"/>
    </row>
    <row r="99" spans="1:15" ht="30.75" customHeight="1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0.17582290076335882</v>
      </c>
      <c r="H99" s="99">
        <f>G99+'29'!H99</f>
        <v>-0.15255795236529035</v>
      </c>
      <c r="I99" s="168"/>
      <c r="J99" s="175">
        <f>H99/DAY(B2)</f>
        <v>-5.0852650788430114E-3</v>
      </c>
      <c r="O99" s="71"/>
    </row>
    <row r="100" spans="1:15" ht="30.75" customHeight="1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2291.5999999999767</v>
      </c>
      <c r="H100" s="99">
        <f>G100+'29'!H100</f>
        <v>-2270.3300000000163</v>
      </c>
      <c r="I100" s="118"/>
      <c r="J100" s="175">
        <f>H100/DAY(B2)</f>
        <v>-75.677666666667207</v>
      </c>
      <c r="K100" s="70"/>
      <c r="O100" s="71"/>
    </row>
    <row r="101" spans="1:15" ht="30.75" customHeight="1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8.7465648854960942E-2</v>
      </c>
      <c r="H101" s="99">
        <f>G101+'29'!H101</f>
        <v>-7.8282548744227326E-2</v>
      </c>
      <c r="I101" s="168"/>
      <c r="J101" s="175">
        <f>H101/DAY(B2)</f>
        <v>-2.6094182914742441E-3</v>
      </c>
      <c r="O101" s="71"/>
    </row>
    <row r="102" spans="1:15" ht="30.75" customHeight="1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2117.9300000000512</v>
      </c>
      <c r="H102" s="99">
        <f>G102+'29'!H102</f>
        <v>-1830.1299999999756</v>
      </c>
      <c r="I102" s="168"/>
      <c r="J102" s="175">
        <f>H102/DAY(B2)</f>
        <v>-61.004333333332518</v>
      </c>
      <c r="O102" s="71"/>
    </row>
    <row r="103" spans="1:15" ht="30.75" customHeight="1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8.0837022900765318E-2</v>
      </c>
      <c r="H103" s="99">
        <f>G103+'29'!H103</f>
        <v>-6.4785047242672325E-2</v>
      </c>
      <c r="I103" s="118"/>
      <c r="J103" s="175">
        <f>H103/DAY(B2)</f>
        <v>-2.1595015747557442E-3</v>
      </c>
      <c r="O103" s="71"/>
    </row>
    <row r="104" spans="1:15" ht="30.75" customHeight="1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1071.4399999999996</v>
      </c>
      <c r="H104" s="99">
        <f>G104+'29'!H104</f>
        <v>-1033.8099999999977</v>
      </c>
      <c r="I104" s="118"/>
      <c r="J104" s="175">
        <f>H104/DAY(B2)</f>
        <v>-34.460333333333253</v>
      </c>
      <c r="O104" s="71"/>
    </row>
    <row r="105" spans="1:15" ht="30.75" customHeight="1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4.0894656488549605E-2</v>
      </c>
      <c r="H105" s="99">
        <f>G105+'29'!H105</f>
        <v>-3.4805336134317466E-2</v>
      </c>
      <c r="I105" s="187"/>
      <c r="J105" s="188">
        <f>H105/DAY(B2)</f>
        <v>-1.1601778711439156E-3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30.75" customHeight="1">
      <c r="A109" s="932"/>
      <c r="B109" s="932"/>
    </row>
    <row r="110" spans="1:15" ht="30.75" customHeight="1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30.75" customHeight="1">
      <c r="A111" s="898"/>
      <c r="B111" s="899"/>
      <c r="C111" s="900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94" t="s">
        <v>252</v>
      </c>
      <c r="B112" s="895"/>
      <c r="C112" s="896"/>
      <c r="D112" s="146" t="s">
        <v>183</v>
      </c>
      <c r="E112" s="95">
        <f>'29'!F112</f>
        <v>7120.96</v>
      </c>
      <c r="F112" s="237">
        <v>7194.33</v>
      </c>
      <c r="G112" s="112">
        <f t="shared" ref="G112:G123" si="9">F112-E112</f>
        <v>73.369999999999891</v>
      </c>
      <c r="H112" s="99">
        <f>G112+'29'!H112</f>
        <v>388.32999999999993</v>
      </c>
      <c r="I112" s="165"/>
      <c r="J112" s="328">
        <f>H112/DAY(B2)</f>
        <v>12.944333333333331</v>
      </c>
    </row>
    <row r="113" spans="1:18" ht="30.75" customHeight="1">
      <c r="A113" s="894" t="s">
        <v>253</v>
      </c>
      <c r="B113" s="895"/>
      <c r="C113" s="896"/>
      <c r="D113" s="146" t="s">
        <v>183</v>
      </c>
      <c r="E113" s="95">
        <f>'29'!F113</f>
        <v>14740.88</v>
      </c>
      <c r="F113" s="237">
        <v>14883.68</v>
      </c>
      <c r="G113" s="112">
        <f t="shared" si="9"/>
        <v>142.80000000000109</v>
      </c>
      <c r="H113" s="99">
        <f>G113+'29'!H113</f>
        <v>-131.31999999999971</v>
      </c>
      <c r="I113" s="165"/>
      <c r="J113" s="328">
        <f>H113/DAY(B2)</f>
        <v>-4.3773333333333238</v>
      </c>
    </row>
    <row r="114" spans="1:18" ht="30.75" customHeight="1">
      <c r="A114" s="894" t="s">
        <v>254</v>
      </c>
      <c r="B114" s="895"/>
      <c r="C114" s="896"/>
      <c r="D114" s="146" t="s">
        <v>183</v>
      </c>
      <c r="E114" s="95">
        <f>'29'!F114</f>
        <v>20835.2</v>
      </c>
      <c r="F114" s="237">
        <v>21058</v>
      </c>
      <c r="G114" s="112">
        <f t="shared" si="9"/>
        <v>222.79999999999927</v>
      </c>
      <c r="H114" s="99">
        <f>G114+'29'!H114</f>
        <v>-210</v>
      </c>
      <c r="I114" s="165"/>
      <c r="J114" s="328">
        <f>H114/DAY(B2)</f>
        <v>-7</v>
      </c>
    </row>
    <row r="115" spans="1:18" ht="30.75" customHeight="1">
      <c r="A115" s="894" t="s">
        <v>255</v>
      </c>
      <c r="B115" s="895"/>
      <c r="C115" s="896"/>
      <c r="D115" s="146" t="s">
        <v>183</v>
      </c>
      <c r="E115" s="95">
        <f>'29'!F115</f>
        <v>13152.5</v>
      </c>
      <c r="F115" s="237">
        <v>13301.9</v>
      </c>
      <c r="G115" s="112">
        <f t="shared" si="9"/>
        <v>149.39999999999964</v>
      </c>
      <c r="H115" s="99">
        <f>G115+'29'!H115</f>
        <v>-237.32000000000153</v>
      </c>
      <c r="I115" s="165"/>
      <c r="J115" s="328">
        <f>H115/DAY(B2)</f>
        <v>-7.9106666666667174</v>
      </c>
    </row>
    <row r="116" spans="1:18" ht="30.75" customHeight="1">
      <c r="A116" s="901" t="s">
        <v>96</v>
      </c>
      <c r="B116" s="902"/>
      <c r="C116" s="903"/>
      <c r="D116" s="146" t="s">
        <v>183</v>
      </c>
      <c r="E116" s="95">
        <f>'29'!F116</f>
        <v>69585.789999999994</v>
      </c>
      <c r="F116" s="237">
        <v>70066.27</v>
      </c>
      <c r="G116" s="112">
        <f t="shared" si="9"/>
        <v>480.48000000001048</v>
      </c>
      <c r="H116" s="99">
        <f>G116+'29'!H116</f>
        <v>-425.72999999999593</v>
      </c>
      <c r="I116" s="165"/>
      <c r="J116" s="328">
        <f>H116/DAY(B2)</f>
        <v>-14.190999999999864</v>
      </c>
      <c r="Q116" s="894" t="s">
        <v>311</v>
      </c>
      <c r="R116" s="896"/>
    </row>
    <row r="117" spans="1:18" ht="30.75" customHeight="1">
      <c r="A117" s="901" t="s">
        <v>184</v>
      </c>
      <c r="B117" s="902"/>
      <c r="C117" s="903"/>
      <c r="D117" s="146" t="s">
        <v>183</v>
      </c>
      <c r="E117" s="95">
        <f>'29'!F117</f>
        <v>40326.1</v>
      </c>
      <c r="F117" s="237">
        <v>40602.78</v>
      </c>
      <c r="G117" s="112">
        <f t="shared" si="9"/>
        <v>276.68000000000029</v>
      </c>
      <c r="H117" s="99">
        <f>G117+'29'!H117</f>
        <v>-319.22000000000116</v>
      </c>
      <c r="I117" s="165"/>
      <c r="J117" s="328">
        <f>H117/DAY(B2)</f>
        <v>-10.640666666666705</v>
      </c>
      <c r="Q117" s="894" t="s">
        <v>312</v>
      </c>
      <c r="R117" s="896"/>
    </row>
    <row r="118" spans="1:18" ht="30.75" customHeight="1">
      <c r="A118" s="893" t="s">
        <v>97</v>
      </c>
      <c r="B118" s="893"/>
      <c r="C118" s="893"/>
      <c r="D118" s="151" t="s">
        <v>183</v>
      </c>
      <c r="E118" s="95">
        <f>'29'!F118</f>
        <v>63457.279999999999</v>
      </c>
      <c r="F118" s="417">
        <v>64077</v>
      </c>
      <c r="G118" s="112">
        <f t="shared" si="9"/>
        <v>619.72000000000116</v>
      </c>
      <c r="H118" s="99">
        <f>G118+'29'!H118</f>
        <v>-595</v>
      </c>
      <c r="I118" s="165"/>
      <c r="J118" s="328">
        <f>H118/DAY(B2)</f>
        <v>-19.833333333333332</v>
      </c>
      <c r="Q118" s="894" t="s">
        <v>311</v>
      </c>
      <c r="R118" s="896"/>
    </row>
    <row r="119" spans="1:18" ht="30.75" customHeight="1">
      <c r="A119" s="893" t="s">
        <v>98</v>
      </c>
      <c r="B119" s="893"/>
      <c r="C119" s="893"/>
      <c r="D119" s="151" t="s">
        <v>183</v>
      </c>
      <c r="E119" s="95">
        <f>'29'!F119</f>
        <v>37016.14</v>
      </c>
      <c r="F119" s="237">
        <v>37239.53</v>
      </c>
      <c r="G119" s="112">
        <f t="shared" si="9"/>
        <v>223.38999999999942</v>
      </c>
      <c r="H119" s="99">
        <f>G119+'29'!H119</f>
        <v>-209.47000000000116</v>
      </c>
      <c r="I119" s="165"/>
      <c r="J119" s="328">
        <f>H119/DAY(B2)</f>
        <v>-6.9823333333333721</v>
      </c>
    </row>
    <row r="120" spans="1:18" ht="30.75" customHeight="1">
      <c r="A120" s="893" t="s">
        <v>99</v>
      </c>
      <c r="B120" s="893"/>
      <c r="C120" s="893"/>
      <c r="D120" s="151" t="s">
        <v>183</v>
      </c>
      <c r="E120" s="95">
        <f>'29'!F120</f>
        <v>45430.7</v>
      </c>
      <c r="F120" s="237">
        <v>45856.6</v>
      </c>
      <c r="G120" s="112">
        <f t="shared" si="9"/>
        <v>425.90000000000146</v>
      </c>
      <c r="H120" s="99">
        <f>G120+'29'!H120</f>
        <v>-410.40000000000146</v>
      </c>
      <c r="I120" s="165"/>
      <c r="J120" s="328">
        <f>H120/DAY(B2)</f>
        <v>-13.680000000000048</v>
      </c>
    </row>
    <row r="121" spans="1:18" ht="30.75" customHeight="1">
      <c r="A121" s="893" t="s">
        <v>100</v>
      </c>
      <c r="B121" s="893"/>
      <c r="C121" s="893"/>
      <c r="D121" s="151" t="s">
        <v>183</v>
      </c>
      <c r="E121" s="95">
        <f>'29'!F121</f>
        <v>52542.89</v>
      </c>
      <c r="F121" s="237">
        <v>53074.080000000002</v>
      </c>
      <c r="G121" s="112">
        <f t="shared" si="9"/>
        <v>531.19000000000233</v>
      </c>
      <c r="H121" s="99">
        <f>G121+'29'!H121</f>
        <v>-468.91999999999825</v>
      </c>
      <c r="I121" s="165"/>
      <c r="J121" s="328">
        <f>H121/DAY(B2)</f>
        <v>-15.630666666666608</v>
      </c>
    </row>
    <row r="122" spans="1:18" ht="30.75" customHeight="1">
      <c r="A122" s="893" t="s">
        <v>101</v>
      </c>
      <c r="B122" s="893"/>
      <c r="C122" s="893"/>
      <c r="D122" s="151" t="s">
        <v>183</v>
      </c>
      <c r="E122" s="95">
        <f>'29'!F122</f>
        <v>28115.4</v>
      </c>
      <c r="F122" s="237">
        <v>28402.7</v>
      </c>
      <c r="G122" s="112">
        <f t="shared" si="9"/>
        <v>287.29999999999927</v>
      </c>
      <c r="H122" s="99">
        <f>G122+'29'!H122</f>
        <v>-271.29999999999927</v>
      </c>
      <c r="I122" s="165"/>
      <c r="J122" s="328">
        <f>H122/DAY(B2)</f>
        <v>-9.0433333333333099</v>
      </c>
    </row>
    <row r="123" spans="1:18" ht="30.75" customHeight="1">
      <c r="A123" s="893" t="s">
        <v>102</v>
      </c>
      <c r="B123" s="893"/>
      <c r="C123" s="893"/>
      <c r="D123" s="151" t="s">
        <v>183</v>
      </c>
      <c r="E123" s="95">
        <f>'29'!F123</f>
        <v>29552.99</v>
      </c>
      <c r="F123" s="237">
        <v>29893.73</v>
      </c>
      <c r="G123" s="112">
        <f t="shared" si="9"/>
        <v>340.73999999999796</v>
      </c>
      <c r="H123" s="99">
        <f>G123+'29'!H123</f>
        <v>-294.27000000000044</v>
      </c>
      <c r="I123" s="165"/>
      <c r="J123" s="328">
        <f>H123/DAY(B2)</f>
        <v>-9.8090000000000153</v>
      </c>
    </row>
    <row r="124" spans="1:18" ht="30.75" customHeight="1">
      <c r="A124" s="898"/>
      <c r="B124" s="899"/>
      <c r="C124" s="900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876" t="s">
        <v>196</v>
      </c>
      <c r="B125" s="877"/>
      <c r="C125" s="245"/>
      <c r="D125" s="307"/>
      <c r="E125" s="308"/>
      <c r="F125" s="308"/>
      <c r="G125" s="309">
        <f>SUM(G112:G124)</f>
        <v>3773.7700000000123</v>
      </c>
      <c r="H125" s="156"/>
      <c r="I125" s="327">
        <f>G125-(G39+G53)</f>
        <v>-832.78999999998905</v>
      </c>
      <c r="J125" s="327"/>
    </row>
    <row r="126" spans="1:18" ht="30.75" customHeight="1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30.75" customHeight="1">
      <c r="A127" s="881"/>
      <c r="B127" s="881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894" t="s">
        <v>318</v>
      </c>
      <c r="B128" s="895"/>
      <c r="C128" s="896"/>
      <c r="D128" s="151" t="s">
        <v>183</v>
      </c>
      <c r="E128" s="95">
        <f>'29'!F128</f>
        <v>126604.17</v>
      </c>
      <c r="F128" s="165">
        <v>127118.7</v>
      </c>
      <c r="G128" s="112">
        <f t="shared" ref="G128:G134" si="10">F128-E128</f>
        <v>514.52999999999884</v>
      </c>
      <c r="H128" s="99">
        <f>G128+'29'!H128</f>
        <v>-525.30000000000291</v>
      </c>
      <c r="I128" s="165"/>
      <c r="J128" s="328">
        <f>H128/DAY(B2)</f>
        <v>-17.510000000000097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72122.19</v>
      </c>
      <c r="F129" s="165">
        <v>72306.2</v>
      </c>
      <c r="G129" s="112">
        <f t="shared" si="10"/>
        <v>184.00999999999476</v>
      </c>
      <c r="H129" s="99">
        <f>G129+'29'!H129</f>
        <v>-196.80000000000291</v>
      </c>
      <c r="I129" s="165"/>
      <c r="J129" s="328">
        <f>H129/DAY(B2)</f>
        <v>-6.5600000000000973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163084</v>
      </c>
      <c r="F130" s="165">
        <v>163796.06</v>
      </c>
      <c r="G130" s="112">
        <f t="shared" si="10"/>
        <v>712.05999999999767</v>
      </c>
      <c r="H130" s="99">
        <f>G130+'29'!H130</f>
        <v>-1345.2099999999919</v>
      </c>
      <c r="I130" s="165"/>
      <c r="J130" s="328">
        <f>H130/DAY(B2)</f>
        <v>-44.840333333333064</v>
      </c>
      <c r="N130" s="240"/>
      <c r="O130" s="241"/>
    </row>
    <row r="131" spans="1:15" ht="30.75" customHeight="1">
      <c r="A131" s="894" t="s">
        <v>321</v>
      </c>
      <c r="B131" s="895"/>
      <c r="C131" s="896"/>
      <c r="D131" s="151" t="s">
        <v>183</v>
      </c>
      <c r="E131" s="95">
        <f>'29'!F131</f>
        <v>47967.26</v>
      </c>
      <c r="F131" s="165">
        <v>48201.7</v>
      </c>
      <c r="G131" s="112">
        <f t="shared" si="10"/>
        <v>234.43999999999505</v>
      </c>
      <c r="H131" s="99">
        <f>G131+'29'!H131</f>
        <v>-247.30000000000291</v>
      </c>
      <c r="I131" s="165"/>
      <c r="J131" s="328">
        <f>H131/DAY(B2)</f>
        <v>-8.24333333333343</v>
      </c>
      <c r="N131" s="240"/>
      <c r="O131" s="241"/>
    </row>
    <row r="132" spans="1:15" ht="30.75" customHeight="1">
      <c r="A132" s="894" t="s">
        <v>322</v>
      </c>
      <c r="B132" s="895"/>
      <c r="C132" s="896"/>
      <c r="D132" s="151" t="s">
        <v>183</v>
      </c>
      <c r="E132" s="120">
        <f>'29'!F132</f>
        <v>127502.27</v>
      </c>
      <c r="F132" s="465">
        <v>127842.47</v>
      </c>
      <c r="G132" s="112">
        <f t="shared" si="10"/>
        <v>340.19999999999709</v>
      </c>
      <c r="H132" s="99">
        <f>G132+'29'!H132</f>
        <v>-331.52999999999884</v>
      </c>
      <c r="I132" s="165"/>
      <c r="J132" s="328">
        <f>H132/DAY(B2)</f>
        <v>-11.050999999999961</v>
      </c>
    </row>
    <row r="133" spans="1:15" ht="30.75" customHeight="1">
      <c r="A133" s="894" t="s">
        <v>359</v>
      </c>
      <c r="B133" s="895"/>
      <c r="C133" s="896"/>
      <c r="D133" s="151" t="s">
        <v>183</v>
      </c>
      <c r="E133" s="95">
        <f>'29'!F133</f>
        <v>224035.59</v>
      </c>
      <c r="F133" s="165">
        <v>224035.59</v>
      </c>
      <c r="G133" s="112">
        <f t="shared" si="10"/>
        <v>0</v>
      </c>
      <c r="H133" s="99">
        <f>G133+'29'!H133</f>
        <v>571233.43000000017</v>
      </c>
      <c r="I133" s="165"/>
      <c r="J133" s="328">
        <f>H133/DAY(B2)</f>
        <v>19041.114333333338</v>
      </c>
    </row>
    <row r="134" spans="1:15" ht="30.75" customHeight="1">
      <c r="A134" s="894" t="s">
        <v>340</v>
      </c>
      <c r="B134" s="895"/>
      <c r="C134" s="896"/>
      <c r="D134" s="151" t="s">
        <v>183</v>
      </c>
      <c r="E134" s="95">
        <f>'29'!F134</f>
        <v>48625.81</v>
      </c>
      <c r="F134" s="467">
        <v>48831.78</v>
      </c>
      <c r="G134" s="112">
        <f t="shared" si="10"/>
        <v>205.97000000000116</v>
      </c>
      <c r="H134" s="99">
        <f>G134+'29'!H134</f>
        <v>-203.22000000000116</v>
      </c>
      <c r="I134" s="165"/>
      <c r="J134" s="328">
        <f>H134/DAY(B2)</f>
        <v>-6.7740000000000391</v>
      </c>
    </row>
    <row r="135" spans="1:15" ht="30.75" customHeight="1">
      <c r="A135" s="876" t="s">
        <v>196</v>
      </c>
      <c r="B135" s="877"/>
      <c r="C135" s="331"/>
      <c r="D135" s="151"/>
      <c r="E135" s="95"/>
      <c r="F135" s="165"/>
      <c r="G135" s="112">
        <f>SUM(G128:G134)</f>
        <v>2191.2099999999846</v>
      </c>
      <c r="H135" s="99">
        <f>G135+'23'!H135</f>
        <v>525530.81000000006</v>
      </c>
      <c r="I135" s="327">
        <f>G135-(G35+G49)</f>
        <v>-2067.1899999999805</v>
      </c>
      <c r="J135" s="328">
        <f>H135/DAY(B2)</f>
        <v>17517.69366666667</v>
      </c>
    </row>
    <row r="136" spans="1:15" ht="30.75" customHeight="1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3" t="s">
        <v>185</v>
      </c>
      <c r="B138" s="893"/>
      <c r="C138" s="893"/>
      <c r="D138" s="151" t="s">
        <v>183</v>
      </c>
      <c r="E138" s="95">
        <f>'29'!F138</f>
        <v>890810</v>
      </c>
      <c r="F138" s="147">
        <v>890962</v>
      </c>
      <c r="G138" s="112">
        <f t="shared" ref="G138:G152" si="11">F138-E138</f>
        <v>152</v>
      </c>
      <c r="H138" s="99">
        <f>G138+'29'!H138</f>
        <v>-133</v>
      </c>
      <c r="I138" s="118"/>
      <c r="J138" s="328">
        <f>H138/DAY(B2)</f>
        <v>-4.4333333333333336</v>
      </c>
    </row>
    <row r="139" spans="1:15" ht="30.75" customHeight="1">
      <c r="A139" s="893" t="s">
        <v>186</v>
      </c>
      <c r="B139" s="893"/>
      <c r="C139" s="893"/>
      <c r="D139" s="151" t="s">
        <v>183</v>
      </c>
      <c r="E139" s="95">
        <f>'29'!F139</f>
        <v>908626</v>
      </c>
      <c r="F139" s="148">
        <v>908760</v>
      </c>
      <c r="G139" s="112">
        <f t="shared" si="11"/>
        <v>134</v>
      </c>
      <c r="H139" s="99">
        <f>G139+'29'!H139</f>
        <v>-135</v>
      </c>
      <c r="I139" s="118"/>
      <c r="J139" s="328">
        <f>H139/DAY(B2)</f>
        <v>-4.5</v>
      </c>
    </row>
    <row r="140" spans="1:15" ht="30.75" customHeight="1">
      <c r="A140" s="893" t="s">
        <v>187</v>
      </c>
      <c r="B140" s="893"/>
      <c r="C140" s="893"/>
      <c r="D140" s="151" t="s">
        <v>183</v>
      </c>
      <c r="E140" s="95">
        <f>'29'!F140</f>
        <v>1481.04</v>
      </c>
      <c r="F140" s="149">
        <v>1497.39</v>
      </c>
      <c r="G140" s="112">
        <f t="shared" si="11"/>
        <v>16.350000000000136</v>
      </c>
      <c r="H140" s="99">
        <f>G140+'29'!H140</f>
        <v>580.15999999999417</v>
      </c>
      <c r="I140" s="118"/>
      <c r="J140" s="328">
        <f>H140/DAY(B2)</f>
        <v>19.338666666666473</v>
      </c>
    </row>
    <row r="141" spans="1:15" ht="30.75" customHeight="1">
      <c r="A141" s="872" t="s">
        <v>188</v>
      </c>
      <c r="B141" s="872"/>
      <c r="C141" s="872"/>
      <c r="D141" s="151" t="s">
        <v>183</v>
      </c>
      <c r="E141" s="95">
        <f>'29'!F141</f>
        <v>90044.6</v>
      </c>
      <c r="F141" s="149">
        <v>90248.6</v>
      </c>
      <c r="G141" s="112">
        <f t="shared" si="11"/>
        <v>204</v>
      </c>
      <c r="H141" s="99">
        <f>G141+'29'!H141</f>
        <v>-203.39999999999418</v>
      </c>
      <c r="I141" s="118"/>
      <c r="J141" s="328">
        <f>H141/DAY(B2)</f>
        <v>-6.7799999999998057</v>
      </c>
    </row>
    <row r="142" spans="1:15" ht="30.75" customHeight="1">
      <c r="A142" s="872" t="s">
        <v>189</v>
      </c>
      <c r="B142" s="872"/>
      <c r="C142" s="872"/>
      <c r="D142" s="151" t="s">
        <v>183</v>
      </c>
      <c r="E142" s="95">
        <f>'29'!F142</f>
        <v>36523</v>
      </c>
      <c r="F142" s="148">
        <v>36591.980000000003</v>
      </c>
      <c r="G142" s="112">
        <f t="shared" si="11"/>
        <v>68.980000000003201</v>
      </c>
      <c r="H142" s="99">
        <f>G142+'29'!H142</f>
        <v>-69.019999999996799</v>
      </c>
      <c r="I142" s="140"/>
      <c r="J142" s="328">
        <f>H142/DAY(B2)</f>
        <v>-2.3006666666665598</v>
      </c>
    </row>
    <row r="143" spans="1:15" ht="30.75" customHeight="1">
      <c r="A143" s="893" t="s">
        <v>91</v>
      </c>
      <c r="B143" s="893"/>
      <c r="C143" s="893"/>
      <c r="D143" s="151" t="s">
        <v>183</v>
      </c>
      <c r="E143" s="95">
        <f>'29'!F143</f>
        <v>8992</v>
      </c>
      <c r="F143" s="149">
        <v>9023.58</v>
      </c>
      <c r="G143" s="112">
        <f t="shared" si="11"/>
        <v>31.579999999999927</v>
      </c>
      <c r="H143" s="99">
        <f>G143+'29'!H143</f>
        <v>-27.420000000000073</v>
      </c>
      <c r="I143" s="140"/>
      <c r="J143" s="328">
        <f>H143/DAY(B2)</f>
        <v>-0.91400000000000248</v>
      </c>
    </row>
    <row r="144" spans="1:15" ht="30.75" customHeight="1">
      <c r="A144" s="872" t="s">
        <v>90</v>
      </c>
      <c r="B144" s="872"/>
      <c r="C144" s="872"/>
      <c r="D144" s="151" t="s">
        <v>183</v>
      </c>
      <c r="E144" s="95">
        <f>'29'!F144</f>
        <v>919408</v>
      </c>
      <c r="F144" s="149">
        <v>919634</v>
      </c>
      <c r="G144" s="112">
        <f t="shared" si="11"/>
        <v>226</v>
      </c>
      <c r="H144" s="99">
        <f>G144+'29'!H144</f>
        <v>-203</v>
      </c>
      <c r="I144" s="140"/>
      <c r="J144" s="328">
        <f>H144/DAY(B2)</f>
        <v>-6.7666666666666666</v>
      </c>
    </row>
    <row r="145" spans="1:10" ht="30.75" customHeight="1">
      <c r="A145" s="893" t="s">
        <v>190</v>
      </c>
      <c r="B145" s="893"/>
      <c r="C145" s="893"/>
      <c r="D145" s="152" t="s">
        <v>183</v>
      </c>
      <c r="E145" s="95">
        <f>'29'!F145</f>
        <v>5798.48</v>
      </c>
      <c r="F145" s="149">
        <v>5798.6</v>
      </c>
      <c r="G145" s="112">
        <f t="shared" si="11"/>
        <v>0.12000000000080036</v>
      </c>
      <c r="H145" s="99">
        <f>G145+'29'!H145</f>
        <v>-8.3999999999996362</v>
      </c>
      <c r="I145" s="140"/>
      <c r="J145" s="328">
        <f>H145/DAY(B2)</f>
        <v>-0.27999999999998787</v>
      </c>
    </row>
    <row r="146" spans="1:10" ht="30.75" customHeight="1">
      <c r="A146" s="928" t="s">
        <v>191</v>
      </c>
      <c r="B146" s="913"/>
      <c r="C146" s="914"/>
      <c r="D146" s="152" t="s">
        <v>183</v>
      </c>
      <c r="E146" s="95">
        <f>'29'!F146</f>
        <v>780685</v>
      </c>
      <c r="F146" s="148">
        <v>780739</v>
      </c>
      <c r="G146" s="112">
        <f t="shared" si="11"/>
        <v>54</v>
      </c>
      <c r="H146" s="99">
        <f>G146+'29'!H146</f>
        <v>-61</v>
      </c>
      <c r="I146" s="140"/>
      <c r="J146" s="328">
        <f>H146/DAY(B2)</f>
        <v>-2.0333333333333332</v>
      </c>
    </row>
    <row r="147" spans="1:10" ht="30.75" customHeight="1">
      <c r="A147" s="872" t="s">
        <v>192</v>
      </c>
      <c r="B147" s="872"/>
      <c r="C147" s="872"/>
      <c r="D147" s="152" t="s">
        <v>183</v>
      </c>
      <c r="E147" s="95">
        <f>'29'!F147</f>
        <v>699004.8</v>
      </c>
      <c r="F147" s="148">
        <v>699384.88</v>
      </c>
      <c r="G147" s="112">
        <f t="shared" si="11"/>
        <v>380.07999999995809</v>
      </c>
      <c r="H147" s="99">
        <f>G147+'29'!H147</f>
        <v>-384.11999999999534</v>
      </c>
      <c r="I147" s="140"/>
      <c r="J147" s="328">
        <f>H147/DAY(B2)</f>
        <v>-12.803999999999844</v>
      </c>
    </row>
    <row r="148" spans="1:10" ht="30.75" customHeight="1">
      <c r="A148" s="873" t="s">
        <v>193</v>
      </c>
      <c r="B148" s="874"/>
      <c r="C148" s="875"/>
      <c r="D148" s="123" t="s">
        <v>130</v>
      </c>
      <c r="E148" s="95">
        <f>'29'!F148</f>
        <v>747906.16</v>
      </c>
      <c r="F148" s="150">
        <v>748222.48</v>
      </c>
      <c r="G148" s="112">
        <f t="shared" si="11"/>
        <v>316.31999999994878</v>
      </c>
      <c r="H148" s="99">
        <f>G148+'29'!H148</f>
        <v>-307.52000000001863</v>
      </c>
      <c r="I148" s="124"/>
      <c r="J148" s="328">
        <f>H148/DAY(B2)</f>
        <v>-10.250666666667287</v>
      </c>
    </row>
    <row r="149" spans="1:10" ht="30.75" customHeight="1">
      <c r="A149" s="873" t="s">
        <v>336</v>
      </c>
      <c r="B149" s="874"/>
      <c r="C149" s="875"/>
      <c r="D149" s="227" t="s">
        <v>130</v>
      </c>
      <c r="E149" s="95">
        <f>'29'!F149</f>
        <v>131463.22</v>
      </c>
      <c r="F149" s="146">
        <v>131933.79999999999</v>
      </c>
      <c r="G149" s="112">
        <f t="shared" si="11"/>
        <v>470.57999999998719</v>
      </c>
      <c r="H149" s="99">
        <f>G149+'29'!H149</f>
        <v>-500.20000000001164</v>
      </c>
      <c r="I149" s="119"/>
      <c r="J149" s="328">
        <f>H149/DAY(B2)</f>
        <v>-16.673333333333723</v>
      </c>
    </row>
    <row r="150" spans="1:10" ht="30.75" customHeight="1">
      <c r="A150" s="873" t="s">
        <v>337</v>
      </c>
      <c r="B150" s="874"/>
      <c r="C150" s="875"/>
      <c r="D150" s="117" t="s">
        <v>130</v>
      </c>
      <c r="E150" s="95">
        <f>'29'!F150</f>
        <v>50168.800000000003</v>
      </c>
      <c r="F150" s="233">
        <v>50395.33</v>
      </c>
      <c r="G150" s="112">
        <f t="shared" si="11"/>
        <v>226.52999999999884</v>
      </c>
      <c r="H150" s="99">
        <f>G150+'29'!H150</f>
        <v>-219.66999999999825</v>
      </c>
      <c r="I150" s="119"/>
      <c r="J150" s="328">
        <f>H150/DAY(B2)</f>
        <v>-7.3223333333332752</v>
      </c>
    </row>
    <row r="151" spans="1:10" ht="30.75" customHeight="1">
      <c r="A151" s="873" t="s">
        <v>338</v>
      </c>
      <c r="B151" s="874"/>
      <c r="C151" s="875"/>
      <c r="D151" s="117" t="s">
        <v>130</v>
      </c>
      <c r="E151" s="95">
        <f>'29'!F151</f>
        <v>134761</v>
      </c>
      <c r="F151" s="233">
        <v>135090</v>
      </c>
      <c r="G151" s="112">
        <f t="shared" si="11"/>
        <v>329</v>
      </c>
      <c r="H151" s="99">
        <f>G151+'29'!H151</f>
        <v>-359</v>
      </c>
      <c r="I151" s="119"/>
      <c r="J151" s="328">
        <f>H151/DAY(B2)</f>
        <v>-11.966666666666667</v>
      </c>
    </row>
    <row r="152" spans="1:10" ht="30.75" customHeight="1">
      <c r="A152" s="873" t="s">
        <v>339</v>
      </c>
      <c r="B152" s="874"/>
      <c r="C152" s="875"/>
      <c r="D152" s="117" t="s">
        <v>130</v>
      </c>
      <c r="E152" s="95">
        <f>'29'!F152</f>
        <v>22912.6</v>
      </c>
      <c r="F152" s="233">
        <v>23036.04</v>
      </c>
      <c r="G152" s="112">
        <f t="shared" si="11"/>
        <v>123.44000000000233</v>
      </c>
      <c r="H152" s="99">
        <f>G152+'29'!H152</f>
        <v>-117.95999999999913</v>
      </c>
      <c r="I152" s="119"/>
      <c r="J152" s="328">
        <f>H152/DAY(B2)</f>
        <v>-3.9319999999999711</v>
      </c>
    </row>
    <row r="153" spans="1:10" ht="30.75" customHeight="1">
      <c r="A153" s="876" t="s">
        <v>196</v>
      </c>
      <c r="B153" s="877"/>
      <c r="C153" s="365"/>
      <c r="D153" s="358"/>
      <c r="E153" s="360"/>
      <c r="F153" s="361"/>
      <c r="G153" s="362">
        <f>SUM(G138:G152)</f>
        <v>2732.9799999998995</v>
      </c>
      <c r="H153" s="363"/>
      <c r="I153" s="119">
        <f>G153-(G38+G52)</f>
        <v>441.3799999999228</v>
      </c>
      <c r="J153" s="366"/>
    </row>
    <row r="154" spans="1:10" ht="30.75" customHeight="1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0" ht="30.75" customHeight="1">
      <c r="A155" s="872" t="s">
        <v>345</v>
      </c>
      <c r="B155" s="872"/>
      <c r="C155" s="872"/>
      <c r="D155" s="117" t="s">
        <v>130</v>
      </c>
      <c r="E155" s="95">
        <f>'29'!F155</f>
        <v>146803</v>
      </c>
      <c r="F155" s="374">
        <v>147428</v>
      </c>
      <c r="G155" s="112">
        <f t="shared" ref="G155:G158" si="12">F155-E155</f>
        <v>625</v>
      </c>
      <c r="H155" s="99">
        <f>G155+'29'!H155</f>
        <v>-721</v>
      </c>
      <c r="I155" s="364"/>
      <c r="J155" s="328">
        <f>H155/DAY(B2)</f>
        <v>-24.033333333333335</v>
      </c>
    </row>
    <row r="156" spans="1:10" ht="30.75" customHeight="1">
      <c r="A156" s="872" t="s">
        <v>347</v>
      </c>
      <c r="B156" s="872"/>
      <c r="C156" s="872"/>
      <c r="D156" s="117" t="s">
        <v>130</v>
      </c>
      <c r="E156" s="95">
        <f>'29'!F156</f>
        <v>14514.72</v>
      </c>
      <c r="F156" s="155">
        <v>14597.72</v>
      </c>
      <c r="G156" s="112">
        <f t="shared" si="12"/>
        <v>83</v>
      </c>
      <c r="H156" s="99">
        <f>G156+'29'!H156</f>
        <v>-136.28000000000065</v>
      </c>
      <c r="I156" s="165"/>
      <c r="J156" s="328">
        <f>H156/DAY(B2)</f>
        <v>-4.5426666666666886</v>
      </c>
    </row>
    <row r="157" spans="1:10" ht="30.75" customHeight="1">
      <c r="A157" s="873" t="s">
        <v>360</v>
      </c>
      <c r="B157" s="874"/>
      <c r="C157" s="875"/>
      <c r="D157" s="117" t="s">
        <v>130</v>
      </c>
      <c r="E157" s="95">
        <f>'29'!F157</f>
        <v>27198.62</v>
      </c>
      <c r="F157" s="155">
        <v>27312.09</v>
      </c>
      <c r="G157" s="112">
        <f t="shared" si="12"/>
        <v>113.47000000000116</v>
      </c>
      <c r="H157" s="99">
        <f>G157+'29'!H157</f>
        <v>299.95000000000073</v>
      </c>
      <c r="I157" s="165"/>
      <c r="J157" s="328">
        <f>H157/DAY(B2)</f>
        <v>9.9983333333333579</v>
      </c>
    </row>
    <row r="158" spans="1:10" ht="30.75" customHeight="1">
      <c r="A158" s="873" t="s">
        <v>361</v>
      </c>
      <c r="B158" s="874"/>
      <c r="C158" s="875"/>
      <c r="D158" s="117" t="s">
        <v>130</v>
      </c>
      <c r="E158" s="95">
        <f>'29'!F158</f>
        <v>232.57</v>
      </c>
      <c r="F158" s="155">
        <v>235.9</v>
      </c>
      <c r="G158" s="112">
        <f t="shared" si="12"/>
        <v>3.3300000000000125</v>
      </c>
      <c r="H158" s="99">
        <f>G158+'29'!H158</f>
        <v>3.5</v>
      </c>
      <c r="I158" s="165"/>
      <c r="J158" s="328">
        <f>H158/DAY(B2)</f>
        <v>0.11666666666666667</v>
      </c>
    </row>
    <row r="159" spans="1:10" ht="30.75" customHeight="1">
      <c r="A159" s="958"/>
      <c r="B159" s="959"/>
      <c r="C159" s="960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80"/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479991.16</v>
      </c>
      <c r="F161" s="235">
        <v>480020.68</v>
      </c>
      <c r="G161" s="238">
        <f t="shared" ref="G161:G165" si="13">F161-E161</f>
        <v>29.520000000018626</v>
      </c>
      <c r="H161" s="99">
        <f>G161+'29'!H161</f>
        <v>838.39999999996508</v>
      </c>
      <c r="I161" s="236"/>
      <c r="J161" s="239">
        <f>H161/DAY(B2)</f>
        <v>27.946666666665504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94865</v>
      </c>
      <c r="F162" s="235">
        <v>94903.1</v>
      </c>
      <c r="G162" s="238">
        <f t="shared" si="13"/>
        <v>38.100000000005821</v>
      </c>
      <c r="H162" s="99">
        <f>G162+'29'!H162</f>
        <v>-24.899999999994179</v>
      </c>
      <c r="I162" s="236"/>
      <c r="J162" s="239">
        <f>H162/DAY(B2)</f>
        <v>-0.829999999999806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6242.5</v>
      </c>
      <c r="F163" s="235">
        <v>6254.3</v>
      </c>
      <c r="G163" s="238">
        <f t="shared" si="13"/>
        <v>11.800000000000182</v>
      </c>
      <c r="H163" s="99">
        <f>G163+'29'!H163</f>
        <v>-246.69999999999982</v>
      </c>
      <c r="I163" s="236"/>
      <c r="J163" s="239">
        <f>H163/DAY(B2)</f>
        <v>-8.2233333333333274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6256.4</v>
      </c>
      <c r="F164" s="235">
        <v>6382.8</v>
      </c>
      <c r="G164" s="238">
        <f t="shared" si="13"/>
        <v>126.40000000000055</v>
      </c>
      <c r="H164" s="99">
        <f>G164+'29'!H164</f>
        <v>102.80000000000018</v>
      </c>
      <c r="I164" s="236"/>
      <c r="J164" s="239">
        <f>H164/DAY(B2)</f>
        <v>3.4266666666666725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31618.604800000001</v>
      </c>
      <c r="F165" s="235">
        <v>31627.71</v>
      </c>
      <c r="G165" s="238">
        <f t="shared" si="13"/>
        <v>9.105199999998149</v>
      </c>
      <c r="H165" s="99">
        <f>G165+'29'!H165</f>
        <v>-6.2900000000008731</v>
      </c>
      <c r="I165" s="236"/>
      <c r="J165" s="239">
        <f>H165/DAY(B2)</f>
        <v>-0.20966666666669578</v>
      </c>
    </row>
    <row r="166" spans="1:10" ht="30.75" customHeight="1">
      <c r="A166" s="881"/>
      <c r="B166" s="881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881"/>
      <c r="B167" s="881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881"/>
      <c r="B168" s="881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30.75" customHeight="1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87" t="s">
        <v>209</v>
      </c>
      <c r="B173" s="888"/>
      <c r="C173" s="333"/>
      <c r="D173" s="228" t="s">
        <v>142</v>
      </c>
      <c r="E173" s="95">
        <f>'29'!F173</f>
        <v>8229</v>
      </c>
      <c r="F173" s="155">
        <v>8235</v>
      </c>
      <c r="G173" s="155">
        <f>F173-E173</f>
        <v>6</v>
      </c>
      <c r="H173" s="99">
        <f>G173+'29'!H173</f>
        <v>47</v>
      </c>
      <c r="I173" s="155"/>
      <c r="J173" s="178">
        <f>H173/DAY(B2)</f>
        <v>1.5666666666666667</v>
      </c>
    </row>
    <row r="174" spans="1:10" ht="30.75" customHeight="1">
      <c r="A174" s="887" t="s">
        <v>75</v>
      </c>
      <c r="B174" s="888"/>
      <c r="C174" s="333"/>
      <c r="D174" s="228" t="s">
        <v>142</v>
      </c>
      <c r="E174" s="95">
        <f>'29'!F174</f>
        <v>41175</v>
      </c>
      <c r="F174" s="157">
        <v>41188</v>
      </c>
      <c r="G174" s="155">
        <f t="shared" ref="G174:G175" si="14">F174-E174</f>
        <v>13</v>
      </c>
      <c r="H174" s="99">
        <f>G174+'29'!H174</f>
        <v>-16</v>
      </c>
      <c r="I174" s="155"/>
      <c r="J174" s="178">
        <f>H174/DAY(B2)</f>
        <v>-0.53333333333333333</v>
      </c>
    </row>
    <row r="175" spans="1:10" ht="30.75" customHeight="1">
      <c r="A175" s="887" t="s">
        <v>76</v>
      </c>
      <c r="B175" s="927"/>
      <c r="C175" s="888"/>
      <c r="D175" s="228" t="s">
        <v>142</v>
      </c>
      <c r="E175" s="95">
        <f>'29'!F175</f>
        <v>24007</v>
      </c>
      <c r="F175" s="155">
        <v>24019</v>
      </c>
      <c r="G175" s="155">
        <f t="shared" si="14"/>
        <v>12</v>
      </c>
      <c r="H175" s="99">
        <f>G175+'29'!H175</f>
        <v>-12</v>
      </c>
      <c r="I175" s="155"/>
      <c r="J175" s="178">
        <f>H175/DAY(B2)</f>
        <v>-0.4</v>
      </c>
    </row>
    <row r="176" spans="1:10" ht="30.75" customHeight="1">
      <c r="A176" s="876" t="s">
        <v>196</v>
      </c>
      <c r="B176" s="877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G176+'29'!H176</f>
        <v>19</v>
      </c>
      <c r="I176" s="155"/>
      <c r="J176" s="178">
        <f>H176/DAY(B2)</f>
        <v>0.6333333333333333</v>
      </c>
    </row>
    <row r="177" spans="1:10" ht="30.75" customHeight="1">
      <c r="A177" s="887" t="s">
        <v>77</v>
      </c>
      <c r="B177" s="888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87" t="s">
        <v>210</v>
      </c>
      <c r="B178" s="888"/>
      <c r="C178" s="333"/>
      <c r="D178" s="228" t="s">
        <v>142</v>
      </c>
      <c r="E178" s="95">
        <f>'29'!F178</f>
        <v>97500</v>
      </c>
      <c r="F178" s="155">
        <v>97604</v>
      </c>
      <c r="G178" s="155">
        <f>F178-E178</f>
        <v>104</v>
      </c>
      <c r="H178" s="99">
        <f>G178+'29'!H178</f>
        <v>-109</v>
      </c>
      <c r="I178" s="155"/>
      <c r="J178" s="178">
        <f>H178/DAY(B2)</f>
        <v>-3.6333333333333333</v>
      </c>
    </row>
    <row r="179" spans="1:10" ht="30.75" customHeight="1">
      <c r="A179" s="887" t="s">
        <v>211</v>
      </c>
      <c r="B179" s="888"/>
      <c r="C179" s="333"/>
      <c r="D179" s="228" t="s">
        <v>142</v>
      </c>
      <c r="E179" s="95">
        <f>'29'!F179</f>
        <v>36002</v>
      </c>
      <c r="F179" s="155">
        <v>36002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>
      <c r="A180" s="887" t="s">
        <v>212</v>
      </c>
      <c r="B180" s="888"/>
      <c r="C180" s="333"/>
      <c r="D180" s="228" t="s">
        <v>142</v>
      </c>
      <c r="E180" s="95">
        <f>'29'!F180</f>
        <v>7169</v>
      </c>
      <c r="F180" s="155">
        <v>7169</v>
      </c>
      <c r="G180" s="155">
        <f t="shared" si="15"/>
        <v>0</v>
      </c>
      <c r="H180" s="99">
        <f>G180+'29'!H180</f>
        <v>0</v>
      </c>
      <c r="I180" s="155"/>
      <c r="J180" s="178">
        <f>H180/DAY(B2)</f>
        <v>0</v>
      </c>
    </row>
    <row r="181" spans="1:10" ht="30.75" customHeight="1">
      <c r="A181" s="889" t="s">
        <v>108</v>
      </c>
      <c r="B181" s="890"/>
      <c r="C181" s="401"/>
      <c r="D181" s="228" t="s">
        <v>142</v>
      </c>
      <c r="E181" s="95"/>
      <c r="F181" s="155"/>
      <c r="G181" s="155">
        <f>SUM(G178:G180)</f>
        <v>104</v>
      </c>
      <c r="H181" s="99">
        <f>G181+'29'!H181</f>
        <v>-109</v>
      </c>
      <c r="I181" s="155"/>
      <c r="J181" s="178">
        <f>H181/DAY(B2)</f>
        <v>-3.6333333333333333</v>
      </c>
    </row>
    <row r="182" spans="1:10" ht="30.75" customHeight="1">
      <c r="A182" s="887" t="s">
        <v>213</v>
      </c>
      <c r="B182" s="888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87" t="s">
        <v>214</v>
      </c>
      <c r="B183" s="888"/>
      <c r="C183" s="334"/>
      <c r="D183" s="228" t="s">
        <v>142</v>
      </c>
      <c r="E183" s="157">
        <f>'29'!F183</f>
        <v>17462</v>
      </c>
      <c r="F183" s="157">
        <v>17467</v>
      </c>
      <c r="G183" s="157">
        <f>F183-E183</f>
        <v>5</v>
      </c>
      <c r="H183" s="99">
        <f>G183+'29'!H183</f>
        <v>-6</v>
      </c>
      <c r="I183" s="155"/>
      <c r="J183" s="178">
        <f>H183/DAY(B2)</f>
        <v>-0.2</v>
      </c>
    </row>
    <row r="184" spans="1:10" ht="30.75" customHeight="1">
      <c r="A184" s="887" t="s">
        <v>215</v>
      </c>
      <c r="B184" s="888"/>
      <c r="C184" s="334"/>
      <c r="D184" s="228" t="s">
        <v>142</v>
      </c>
      <c r="E184" s="157">
        <f>'29'!F184</f>
        <v>11918</v>
      </c>
      <c r="F184" s="157">
        <v>11924</v>
      </c>
      <c r="G184" s="157">
        <f t="shared" ref="G184:G185" si="16">F184-E184</f>
        <v>6</v>
      </c>
      <c r="H184" s="99">
        <f>G184+'29'!H184</f>
        <v>-11</v>
      </c>
      <c r="I184" s="155"/>
      <c r="J184" s="178">
        <f>H184/DAY(B2)</f>
        <v>-0.36666666666666664</v>
      </c>
    </row>
    <row r="185" spans="1:10" ht="30.75" customHeight="1">
      <c r="A185" s="887" t="s">
        <v>216</v>
      </c>
      <c r="B185" s="888"/>
      <c r="C185" s="334"/>
      <c r="D185" s="228" t="s">
        <v>142</v>
      </c>
      <c r="E185" s="157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876" t="s">
        <v>196</v>
      </c>
      <c r="B186" s="877"/>
      <c r="C186" s="400"/>
      <c r="D186" s="228" t="s">
        <v>142</v>
      </c>
      <c r="E186" s="95"/>
      <c r="F186" s="157"/>
      <c r="G186" s="157">
        <f>SUM(G183:G185)</f>
        <v>11</v>
      </c>
      <c r="H186" s="99">
        <f>G186+'29'!H186</f>
        <v>-17</v>
      </c>
      <c r="I186" s="157"/>
      <c r="J186" s="178">
        <f>H186/DAY(B2)</f>
        <v>-0.56666666666666665</v>
      </c>
    </row>
    <row r="187" spans="1:10" ht="30.75" customHeight="1">
      <c r="A187" s="878" t="s">
        <v>217</v>
      </c>
      <c r="B187" s="879"/>
      <c r="C187" s="333"/>
      <c r="D187" s="228" t="s">
        <v>142</v>
      </c>
      <c r="E187" s="95"/>
      <c r="F187" s="159"/>
      <c r="G187" s="159">
        <f>G62+G19</f>
        <v>167</v>
      </c>
      <c r="H187" s="99">
        <f>G187+'29'!H187</f>
        <v>-168</v>
      </c>
      <c r="I187" s="158"/>
      <c r="J187" s="179">
        <f>H187/DAY(B2)</f>
        <v>-5.6</v>
      </c>
    </row>
    <row r="188" spans="1:10" ht="30.75" customHeight="1">
      <c r="A188" s="878" t="s">
        <v>218</v>
      </c>
      <c r="B188" s="879"/>
      <c r="C188" s="333"/>
      <c r="D188" s="230" t="s">
        <v>142</v>
      </c>
      <c r="E188" s="95"/>
      <c r="F188" s="159"/>
      <c r="G188" s="159">
        <f>G65+G66+G67+G69+G70</f>
        <v>140</v>
      </c>
      <c r="H188" s="99">
        <f>G188+'29'!H188</f>
        <v>2472</v>
      </c>
      <c r="I188" s="158"/>
      <c r="J188" s="179">
        <f>H188/DAY(B2)</f>
        <v>82.4</v>
      </c>
    </row>
    <row r="189" spans="1:10" ht="30.75" customHeight="1">
      <c r="A189" s="878" t="s">
        <v>219</v>
      </c>
      <c r="B189" s="879"/>
      <c r="C189" s="333"/>
      <c r="D189" s="230" t="s">
        <v>142</v>
      </c>
      <c r="E189" s="95"/>
      <c r="F189" s="157"/>
      <c r="G189" s="157">
        <f>G181</f>
        <v>104</v>
      </c>
      <c r="H189" s="99">
        <f>G189+'29'!H189</f>
        <v>1200</v>
      </c>
      <c r="I189" s="158"/>
      <c r="J189" s="179">
        <f>H189/DAY(B2)</f>
        <v>40</v>
      </c>
    </row>
    <row r="190" spans="1:10" ht="30.75" customHeight="1">
      <c r="A190" s="885"/>
      <c r="B190" s="886"/>
      <c r="C190" s="399"/>
      <c r="D190" s="396"/>
      <c r="E190" s="396"/>
      <c r="F190" s="396"/>
      <c r="G190" s="396"/>
      <c r="H190" s="397"/>
      <c r="I190" s="396"/>
      <c r="J190" s="398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5" s="57" customFormat="1" ht="23.25">
      <c r="A2" s="191" t="s">
        <v>303</v>
      </c>
      <c r="B2" s="262">
        <v>44773</v>
      </c>
      <c r="C2" s="348" t="s">
        <v>67</v>
      </c>
      <c r="D2" s="218">
        <v>0.42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96" t="s">
        <v>129</v>
      </c>
      <c r="B7" s="997"/>
      <c r="C7" s="998"/>
      <c r="D7" s="151" t="s">
        <v>130</v>
      </c>
      <c r="E7" s="95">
        <v>311682.21000000002</v>
      </c>
      <c r="F7" s="95">
        <f>E7+26200</f>
        <v>337882.21</v>
      </c>
      <c r="G7" s="112">
        <f>F7-E7</f>
        <v>26200</v>
      </c>
      <c r="H7" s="99">
        <f>G7+'30'!H7</f>
        <v>809958.9</v>
      </c>
      <c r="I7" s="113">
        <f>'1'!I7</f>
        <v>12000</v>
      </c>
      <c r="J7" s="175">
        <f>H7/DAY(B2)</f>
        <v>26127.706451612903</v>
      </c>
      <c r="K7" s="172">
        <v>1375467</v>
      </c>
      <c r="L7" s="66"/>
      <c r="N7" s="87">
        <f>F7-'1'!E7</f>
        <v>752.21000000002095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462745.9</v>
      </c>
      <c r="F8" s="95">
        <f>E8+26500</f>
        <v>489245.9</v>
      </c>
      <c r="G8" s="115">
        <f>F8-E8</f>
        <v>26500</v>
      </c>
      <c r="H8" s="99">
        <f>G8+'30'!H8</f>
        <v>820766</v>
      </c>
      <c r="I8" s="116"/>
      <c r="J8" s="175">
        <f>H8/DAY(B2)</f>
        <v>26476.322580645163</v>
      </c>
      <c r="K8" s="172">
        <v>1715917</v>
      </c>
      <c r="L8" s="76">
        <v>1728480</v>
      </c>
      <c r="M8" s="87">
        <f>L8-K8</f>
        <v>12563</v>
      </c>
      <c r="N8" s="87">
        <f>F8-'1'!E8</f>
        <v>658.90000000002328</v>
      </c>
      <c r="O8" s="71"/>
    </row>
    <row r="9" spans="1:15" ht="25.5">
      <c r="A9" s="999" t="s">
        <v>132</v>
      </c>
      <c r="B9" s="1000"/>
      <c r="C9" s="1001"/>
      <c r="D9" s="151" t="s">
        <v>130</v>
      </c>
      <c r="E9" s="469">
        <v>3272831.1</v>
      </c>
      <c r="F9" s="469">
        <v>3279066</v>
      </c>
      <c r="G9" s="112">
        <f>F9-E9</f>
        <v>6234.8999999999069</v>
      </c>
      <c r="H9" s="99">
        <f>G9+'30'!H9</f>
        <v>0</v>
      </c>
      <c r="I9" s="124">
        <f>I7-J7</f>
        <v>-14127.706451612903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25.5">
      <c r="A10" s="996" t="s">
        <v>133</v>
      </c>
      <c r="B10" s="997"/>
      <c r="C10" s="998"/>
      <c r="D10" s="151" t="s">
        <v>130</v>
      </c>
      <c r="E10" s="353">
        <v>1648724.3</v>
      </c>
      <c r="F10" s="353">
        <v>1667158</v>
      </c>
      <c r="G10" s="112">
        <f t="shared" ref="G10:G12" si="0">F10-E10</f>
        <v>18433.699999999953</v>
      </c>
      <c r="H10" s="99">
        <f>G10+'30'!H10</f>
        <v>0</v>
      </c>
      <c r="I10" s="120"/>
      <c r="J10" s="175">
        <f>H10/DAY(B2)</f>
        <v>0</v>
      </c>
      <c r="K10" s="79"/>
      <c r="L10" s="66"/>
      <c r="N10" s="87"/>
      <c r="O10" s="71"/>
    </row>
    <row r="11" spans="1:15" ht="25.5">
      <c r="A11" s="996" t="s">
        <v>134</v>
      </c>
      <c r="B11" s="997"/>
      <c r="C11" s="998"/>
      <c r="D11" s="151" t="s">
        <v>130</v>
      </c>
      <c r="E11" s="95"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96" t="s">
        <v>135</v>
      </c>
      <c r="B12" s="997"/>
      <c r="C12" s="998"/>
      <c r="D12" s="151" t="s">
        <v>130</v>
      </c>
      <c r="E12" s="117">
        <v>40380</v>
      </c>
      <c r="F12" s="117">
        <v>40380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24668.59999999986</v>
      </c>
      <c r="H13" s="99">
        <f>G13+'30'!H13</f>
        <v>1334.5999999998603</v>
      </c>
      <c r="I13" s="120">
        <f>G7-G13</f>
        <v>1531.4000000001397</v>
      </c>
      <c r="J13" s="175">
        <f>H13/DAY(B2)</f>
        <v>43.051612903221297</v>
      </c>
      <c r="K13" s="79"/>
      <c r="L13" s="66"/>
      <c r="N13" s="87"/>
      <c r="O13" s="71"/>
    </row>
    <row r="14" spans="1:15" ht="26.25">
      <c r="A14" s="939" t="s">
        <v>137</v>
      </c>
      <c r="B14" s="940"/>
      <c r="C14" s="941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915" t="s">
        <v>138</v>
      </c>
      <c r="B15" s="916"/>
      <c r="C15" s="917"/>
      <c r="D15" s="151" t="s">
        <v>139</v>
      </c>
      <c r="E15" s="469">
        <v>2099739.7000000002</v>
      </c>
      <c r="F15" s="469">
        <f>E15+1000</f>
        <v>2100739.7000000002</v>
      </c>
      <c r="G15" s="112">
        <f>(F15-E15)</f>
        <v>1000</v>
      </c>
      <c r="H15" s="99">
        <f>G15+'30'!H15</f>
        <v>31140</v>
      </c>
      <c r="I15" s="113">
        <f>'1'!I15</f>
        <v>800</v>
      </c>
      <c r="J15" s="175">
        <f>H15/DAY(B2)</f>
        <v>1004.516129032258</v>
      </c>
      <c r="K15" s="79"/>
      <c r="L15" s="66"/>
      <c r="N15" s="87">
        <f>F15-'1'!E15</f>
        <v>-128.29999999981374</v>
      </c>
      <c r="O15" s="71"/>
    </row>
    <row r="16" spans="1:15" ht="21.95" customHeight="1">
      <c r="A16" s="993"/>
      <c r="B16" s="994"/>
      <c r="C16" s="995"/>
      <c r="D16" s="152"/>
      <c r="E16" s="123"/>
      <c r="F16" s="123"/>
      <c r="G16" s="112"/>
      <c r="H16" s="124"/>
      <c r="I16" s="113">
        <f>'1'!I16</f>
        <v>-263.60000000009313</v>
      </c>
      <c r="J16" s="754">
        <f>H16/DAY(B2)</f>
        <v>0</v>
      </c>
      <c r="K16" s="79"/>
      <c r="L16" s="66"/>
      <c r="N16" s="87"/>
      <c r="O16" s="71"/>
    </row>
    <row r="17" spans="1:15" ht="26.25">
      <c r="A17" s="939" t="s">
        <v>140</v>
      </c>
      <c r="B17" s="940"/>
      <c r="C17" s="941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15" t="s">
        <v>141</v>
      </c>
      <c r="B18" s="916"/>
      <c r="C18" s="917"/>
      <c r="D18" s="151" t="s">
        <v>142</v>
      </c>
      <c r="E18" s="122">
        <v>13</v>
      </c>
      <c r="F18" s="164">
        <v>27</v>
      </c>
      <c r="G18" s="119">
        <f>F18*10</f>
        <v>270</v>
      </c>
      <c r="H18" s="99">
        <f>G18+'30'!H18</f>
        <v>5680</v>
      </c>
      <c r="I18" s="113">
        <f>'1'!I18</f>
        <v>65</v>
      </c>
      <c r="J18" s="175">
        <f>H18/DAY(B2)</f>
        <v>183.2258064516129</v>
      </c>
      <c r="K18" s="79"/>
      <c r="L18" s="66"/>
      <c r="N18" s="87"/>
      <c r="O18" s="71"/>
    </row>
    <row r="19" spans="1:15" ht="25.5">
      <c r="A19" s="915" t="s">
        <v>69</v>
      </c>
      <c r="B19" s="916"/>
      <c r="C19" s="917"/>
      <c r="D19" s="151" t="s">
        <v>142</v>
      </c>
      <c r="E19" s="122">
        <v>162284</v>
      </c>
      <c r="F19" s="122">
        <v>162335</v>
      </c>
      <c r="G19" s="112">
        <f t="shared" ref="G19" si="1">F19-E19</f>
        <v>51</v>
      </c>
      <c r="H19" s="99">
        <f>G19+'30'!H19</f>
        <v>6</v>
      </c>
      <c r="I19" s="123"/>
      <c r="J19" s="175">
        <f>H19/DAY(B2)</f>
        <v>0.19354838709677419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321</v>
      </c>
      <c r="H20" s="99">
        <f>G20+'30'!H20</f>
        <v>5686</v>
      </c>
      <c r="I20" s="336">
        <f>I18-J20</f>
        <v>-118.41935483870967</v>
      </c>
      <c r="J20" s="175">
        <f>H20/DAY(B2)</f>
        <v>183.41935483870967</v>
      </c>
      <c r="K20" s="79"/>
      <c r="L20" s="66"/>
      <c r="N20" s="87"/>
      <c r="O20" s="71"/>
    </row>
    <row r="21" spans="1:15" ht="26.25">
      <c r="A21" s="939" t="s">
        <v>144</v>
      </c>
      <c r="B21" s="940"/>
      <c r="C21" s="941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44" t="s">
        <v>149</v>
      </c>
      <c r="B25" s="945"/>
      <c r="C25" s="946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G27+'30'!H27</f>
        <v>7386894</v>
      </c>
      <c r="I27" s="138"/>
      <c r="J27" s="175">
        <f>H27/DAY(B2)</f>
        <v>238286.90322580645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G28+'30'!H28</f>
        <v>2179800</v>
      </c>
      <c r="I28" s="526"/>
      <c r="J28" s="175">
        <f>H28/DAY(B2)</f>
        <v>70316.129032258061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526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G30+'30'!H30</f>
        <v>906</v>
      </c>
      <c r="I30" s="526"/>
      <c r="J30" s="175">
        <f>H30/DAY(B2)</f>
        <v>29.225806451612904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G31+'30'!H31</f>
        <v>454400</v>
      </c>
      <c r="I31" s="526"/>
      <c r="J31" s="175">
        <f>H31/DAY(B2)</f>
        <v>14658.064516129032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337801</v>
      </c>
      <c r="H32" s="99">
        <f>G32+'30'!H32</f>
        <v>10022000</v>
      </c>
      <c r="I32" s="144"/>
      <c r="J32" s="175">
        <f>H32/DAY(B2)</f>
        <v>323290.32258064515</v>
      </c>
      <c r="K32" s="63"/>
      <c r="L32" s="89"/>
      <c r="N32" s="87"/>
      <c r="O32" s="71"/>
    </row>
    <row r="33" spans="1:15" ht="25.5" customHeight="1">
      <c r="A33" s="947" t="s">
        <v>331</v>
      </c>
      <c r="B33" s="948"/>
      <c r="C33" s="948"/>
      <c r="D33" s="337"/>
      <c r="E33" s="337"/>
      <c r="F33" s="527"/>
      <c r="G33" s="527"/>
      <c r="H33" s="527"/>
      <c r="I33" s="527"/>
      <c r="J33" s="52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238713.05</v>
      </c>
      <c r="F35" s="145">
        <v>238713</v>
      </c>
      <c r="G35" s="112">
        <f t="shared" ref="G35:G46" si="3">F35-E35</f>
        <v>-4.9999999988358468E-2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214682.6</v>
      </c>
      <c r="F36" s="145">
        <v>215530</v>
      </c>
      <c r="G36" s="112">
        <f t="shared" si="3"/>
        <v>847.39999999999418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322998.69</v>
      </c>
      <c r="F37" s="145">
        <v>322999</v>
      </c>
      <c r="G37" s="112">
        <f t="shared" si="3"/>
        <v>0.30999999999767169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455090.67</v>
      </c>
      <c r="F38" s="108">
        <v>457361</v>
      </c>
      <c r="G38" s="112">
        <f t="shared" si="3"/>
        <v>2270.3300000000163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591584.18999999994</v>
      </c>
      <c r="F39" s="145">
        <v>591584</v>
      </c>
      <c r="G39" s="112">
        <f t="shared" si="3"/>
        <v>-0.18999999994412065</v>
      </c>
      <c r="H39" s="99">
        <f>G39+'30'!H39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105925.56</v>
      </c>
      <c r="F40" s="145">
        <v>106776</v>
      </c>
      <c r="G40" s="112">
        <f t="shared" si="3"/>
        <v>850.44000000000233</v>
      </c>
      <c r="H40" s="99">
        <f>G40+'30'!H40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208464.65</v>
      </c>
      <c r="F41" s="145">
        <v>211703</v>
      </c>
      <c r="G41" s="112">
        <f t="shared" si="3"/>
        <v>3238.3500000000058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423">
        <v>748364.07</v>
      </c>
      <c r="F42" s="145">
        <v>748364</v>
      </c>
      <c r="G42" s="112">
        <f t="shared" si="3"/>
        <v>-6.9999999948777258E-2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407028</v>
      </c>
      <c r="F43" s="145">
        <v>407028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7206.520000000135</v>
      </c>
      <c r="H47" s="99">
        <f>G47+'30'!H47</f>
        <v>-1.4551915228366852E-11</v>
      </c>
      <c r="I47" s="95"/>
      <c r="J47" s="175">
        <f>H47/DAY(B2)</f>
        <v>-4.6941662026989843E-13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477749.23</v>
      </c>
      <c r="F49" s="145">
        <v>482054</v>
      </c>
      <c r="G49" s="112">
        <f t="shared" ref="G49:G58" si="4">F49-E49</f>
        <v>4304.7700000000186</v>
      </c>
      <c r="H49" s="99">
        <f>G49+'30'!H49</f>
        <v>-3000</v>
      </c>
      <c r="I49" s="95"/>
      <c r="J49" s="175">
        <f>H49/DAY(B2)</f>
        <v>-96.774193548387103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281767.27</v>
      </c>
      <c r="F50" s="145">
        <v>282750</v>
      </c>
      <c r="G50" s="112">
        <f t="shared" si="4"/>
        <v>982.72999999998137</v>
      </c>
      <c r="H50" s="99">
        <f>G50+'30'!H50</f>
        <v>246303</v>
      </c>
      <c r="I50" s="95"/>
      <c r="J50" s="175">
        <f>H50/DAY(B2)</f>
        <v>7945.2580645161288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7474.5</v>
      </c>
      <c r="F51" s="145">
        <v>8508</v>
      </c>
      <c r="G51" s="112">
        <f t="shared" si="4"/>
        <v>1033.5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8">
        <v>29502</v>
      </c>
      <c r="F53" s="145">
        <v>33861</v>
      </c>
      <c r="G53" s="112">
        <f t="shared" si="4"/>
        <v>4359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8">
        <v>87598.55</v>
      </c>
      <c r="F54" s="145">
        <v>87943</v>
      </c>
      <c r="G54" s="112">
        <f t="shared" si="4"/>
        <v>344.44999999999709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8">
        <v>359609.95</v>
      </c>
      <c r="F55" s="145">
        <v>362777</v>
      </c>
      <c r="G55" s="112">
        <f t="shared" si="4"/>
        <v>3167.0499999999884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8">
        <v>123882.39</v>
      </c>
      <c r="F56" s="145">
        <v>123882</v>
      </c>
      <c r="G56" s="112">
        <f t="shared" si="4"/>
        <v>-0.38999999999941792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8">
        <v>223183.13</v>
      </c>
      <c r="F57" s="145">
        <v>226170</v>
      </c>
      <c r="G57" s="112">
        <f t="shared" si="4"/>
        <v>2986.8699999999953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8">
        <v>48843.7</v>
      </c>
      <c r="F58" s="145">
        <v>49109</v>
      </c>
      <c r="G58" s="112">
        <f t="shared" si="4"/>
        <v>265.30000000000291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17443.279999999984</v>
      </c>
      <c r="H59" s="99">
        <f>G59+'30'!H59</f>
        <v>-2999.9999999999345</v>
      </c>
      <c r="I59" s="95">
        <f>G7-G60</f>
        <v>1550.1999999998807</v>
      </c>
      <c r="J59" s="175">
        <f>H59/DAY(B2)</f>
        <v>-96.774193548384986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24649.800000000119</v>
      </c>
      <c r="H60" s="99">
        <f>G60+'30'!H60</f>
        <v>-3000.0000000000218</v>
      </c>
      <c r="I60" s="95">
        <f>G13-G60</f>
        <v>18.799999999740976</v>
      </c>
      <c r="J60" s="175">
        <f>H60/DAY(B2)</f>
        <v>-96.7741935483878</v>
      </c>
      <c r="K60" s="79"/>
      <c r="L60" s="66"/>
      <c r="N60" s="87"/>
      <c r="O60" s="71"/>
    </row>
    <row r="61" spans="1:15" s="68" customFormat="1" ht="26.25">
      <c r="A61" s="949" t="s">
        <v>332</v>
      </c>
      <c r="B61" s="950"/>
      <c r="C61" s="951"/>
      <c r="D61" s="339"/>
      <c r="E61" s="340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15" t="s">
        <v>198</v>
      </c>
      <c r="B62" s="916"/>
      <c r="C62" s="917"/>
      <c r="D62" s="151" t="s">
        <v>142</v>
      </c>
      <c r="E62" s="150">
        <v>296152</v>
      </c>
      <c r="F62" s="122">
        <v>296275</v>
      </c>
      <c r="G62" s="112">
        <f t="shared" ref="G62:G63" si="5">F62-E62</f>
        <v>123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5.5">
      <c r="A63" s="915" t="s">
        <v>199</v>
      </c>
      <c r="B63" s="916"/>
      <c r="C63" s="917"/>
      <c r="D63" s="151" t="s">
        <v>142</v>
      </c>
      <c r="E63" s="150">
        <v>238962</v>
      </c>
      <c r="F63" s="164">
        <v>239133</v>
      </c>
      <c r="G63" s="112">
        <f t="shared" si="5"/>
        <v>171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6.25">
      <c r="A64" s="924" t="s">
        <v>200</v>
      </c>
      <c r="B64" s="925"/>
      <c r="C64" s="926"/>
      <c r="D64" s="151"/>
      <c r="E64" s="150"/>
      <c r="F64" s="122"/>
      <c r="G64" s="112">
        <f>G62+G63</f>
        <v>294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5.5">
      <c r="A65" s="915" t="s">
        <v>201</v>
      </c>
      <c r="B65" s="916"/>
      <c r="C65" s="917"/>
      <c r="D65" s="151" t="s">
        <v>142</v>
      </c>
      <c r="E65" s="150">
        <v>454599</v>
      </c>
      <c r="F65" s="122">
        <v>454710</v>
      </c>
      <c r="G65" s="112">
        <f t="shared" ref="G65:G70" si="6">F65-E65</f>
        <v>111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50">
        <v>111702</v>
      </c>
      <c r="F66" s="122">
        <v>111722</v>
      </c>
      <c r="G66" s="112">
        <f t="shared" si="6"/>
        <v>20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50">
        <v>113680</v>
      </c>
      <c r="F67" s="122">
        <v>113680</v>
      </c>
      <c r="G67" s="112">
        <f t="shared" si="6"/>
        <v>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50">
        <v>164645</v>
      </c>
      <c r="F68" s="122">
        <v>164662</v>
      </c>
      <c r="G68" s="112">
        <f t="shared" si="6"/>
        <v>17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50">
        <v>12269</v>
      </c>
      <c r="F69" s="122">
        <v>12275</v>
      </c>
      <c r="G69" s="112">
        <f t="shared" si="6"/>
        <v>6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50">
        <v>9810</v>
      </c>
      <c r="F70" s="122">
        <v>9827</v>
      </c>
      <c r="G70" s="112">
        <f t="shared" si="6"/>
        <v>17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6.25">
      <c r="A71" s="924" t="s">
        <v>208</v>
      </c>
      <c r="B71" s="925"/>
      <c r="C71" s="926"/>
      <c r="D71" s="152"/>
      <c r="E71" s="152"/>
      <c r="F71" s="152"/>
      <c r="G71" s="153">
        <f>SUM(G65:G70)</f>
        <v>171</v>
      </c>
      <c r="H71" s="99">
        <f>G71+'30'!H71</f>
        <v>0</v>
      </c>
      <c r="I71" s="529"/>
      <c r="J71" s="175">
        <f>H71/DAY(B2)</f>
        <v>0</v>
      </c>
      <c r="K71" s="69"/>
      <c r="L71" s="66"/>
      <c r="N71" s="87"/>
      <c r="O71" s="71"/>
    </row>
    <row r="72" spans="1:15" s="88" customFormat="1" ht="25.5">
      <c r="A72" s="911"/>
      <c r="B72" s="896"/>
      <c r="C72" s="347"/>
      <c r="D72" s="180"/>
      <c r="E72" s="180"/>
      <c r="F72" s="412"/>
      <c r="G72" s="412"/>
      <c r="H72" s="181"/>
      <c r="I72" s="412"/>
      <c r="J72" s="530"/>
      <c r="N72" s="87"/>
      <c r="O72" s="71"/>
    </row>
    <row r="73" spans="1:15" ht="26.25">
      <c r="A73" s="921" t="s">
        <v>333</v>
      </c>
      <c r="B73" s="922"/>
      <c r="C73" s="92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15" t="s">
        <v>220</v>
      </c>
      <c r="B74" s="916"/>
      <c r="C74" s="917"/>
      <c r="D74" s="151" t="s">
        <v>139</v>
      </c>
      <c r="E74" s="123">
        <v>957328.33</v>
      </c>
      <c r="F74" s="123">
        <v>957657.86</v>
      </c>
      <c r="G74" s="112">
        <f t="shared" ref="G74:G78" si="7">F74-E74</f>
        <v>329.53000000002794</v>
      </c>
      <c r="H74" s="99">
        <f>G74+'30'!H74</f>
        <v>0</v>
      </c>
      <c r="I74" s="529"/>
      <c r="J74" s="175">
        <f>H74/DAY(B2)</f>
        <v>0</v>
      </c>
      <c r="K74" s="69"/>
      <c r="L74" s="66"/>
      <c r="N74" s="87"/>
      <c r="O74" s="71"/>
    </row>
    <row r="75" spans="1:15" ht="25.5">
      <c r="A75" s="915" t="s">
        <v>221</v>
      </c>
      <c r="B75" s="916"/>
      <c r="C75" s="917"/>
      <c r="D75" s="151" t="s">
        <v>139</v>
      </c>
      <c r="E75" s="123">
        <v>73586</v>
      </c>
      <c r="F75" s="123">
        <v>73586.8</v>
      </c>
      <c r="G75" s="112">
        <f t="shared" si="7"/>
        <v>0.80000000000291038</v>
      </c>
      <c r="H75" s="99">
        <f>G75+'30'!H75</f>
        <v>0</v>
      </c>
      <c r="I75" s="529"/>
      <c r="J75" s="175">
        <f>H75/DAY(B2)</f>
        <v>0</v>
      </c>
      <c r="K75" s="69"/>
      <c r="L75" s="66"/>
      <c r="N75" s="87"/>
      <c r="O75" s="71"/>
    </row>
    <row r="76" spans="1:15" ht="25.5">
      <c r="A76" s="912" t="s">
        <v>222</v>
      </c>
      <c r="B76" s="913"/>
      <c r="C76" s="914"/>
      <c r="D76" s="151" t="s">
        <v>139</v>
      </c>
      <c r="E76" s="123">
        <v>190065</v>
      </c>
      <c r="F76" s="123">
        <v>190172</v>
      </c>
      <c r="G76" s="112">
        <f t="shared" si="7"/>
        <v>107</v>
      </c>
      <c r="H76" s="99">
        <f>G76+'30'!H76</f>
        <v>0</v>
      </c>
      <c r="I76" s="529"/>
      <c r="J76" s="175">
        <f>H76/DAY(B2)</f>
        <v>0</v>
      </c>
      <c r="K76" s="69"/>
      <c r="L76" s="66"/>
      <c r="N76" s="87"/>
      <c r="O76" s="71"/>
    </row>
    <row r="77" spans="1:15" ht="25.5">
      <c r="A77" s="912" t="s">
        <v>223</v>
      </c>
      <c r="B77" s="913"/>
      <c r="C77" s="914"/>
      <c r="D77" s="151" t="s">
        <v>139</v>
      </c>
      <c r="E77" s="123">
        <v>50263</v>
      </c>
      <c r="F77" s="410">
        <v>50313</v>
      </c>
      <c r="G77" s="112">
        <f t="shared" si="7"/>
        <v>50</v>
      </c>
      <c r="H77" s="99">
        <f>G77+'30'!H77</f>
        <v>0</v>
      </c>
      <c r="I77" s="529"/>
      <c r="J77" s="175">
        <f>H77/DAY(B2)</f>
        <v>0</v>
      </c>
      <c r="K77" s="69"/>
      <c r="L77" s="66"/>
      <c r="N77" s="87"/>
      <c r="O77" s="71"/>
    </row>
    <row r="78" spans="1:15" ht="25.5">
      <c r="A78" s="912" t="s">
        <v>224</v>
      </c>
      <c r="B78" s="913"/>
      <c r="C78" s="914"/>
      <c r="D78" s="151" t="s">
        <v>139</v>
      </c>
      <c r="E78" s="123">
        <v>9563</v>
      </c>
      <c r="F78" s="410">
        <v>9563</v>
      </c>
      <c r="G78" s="112">
        <f t="shared" si="7"/>
        <v>0</v>
      </c>
      <c r="H78" s="99">
        <f>G78+'30'!H78</f>
        <v>0</v>
      </c>
      <c r="I78" s="95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2" t="s">
        <v>225</v>
      </c>
      <c r="B79" s="913"/>
      <c r="C79" s="914"/>
      <c r="D79" s="151"/>
      <c r="E79" s="117"/>
      <c r="F79" s="123"/>
      <c r="G79" s="112">
        <f>G15-SUM(G74:G78)</f>
        <v>512.66999999996915</v>
      </c>
      <c r="H79" s="99">
        <f>G79+'30'!H79</f>
        <v>31140</v>
      </c>
      <c r="I79" s="95"/>
      <c r="J79" s="175"/>
      <c r="K79" s="59"/>
      <c r="L79" s="58"/>
      <c r="N79" s="87"/>
      <c r="O79" s="71"/>
    </row>
    <row r="80" spans="1:15" s="57" customFormat="1" ht="26.25">
      <c r="A80" s="924" t="s">
        <v>329</v>
      </c>
      <c r="B80" s="925"/>
      <c r="C80" s="926"/>
      <c r="D80" s="151"/>
      <c r="E80" s="117"/>
      <c r="F80" s="117"/>
      <c r="G80" s="112">
        <f>SUM(G74:G79)</f>
        <v>1000</v>
      </c>
      <c r="H80" s="99"/>
      <c r="I80" s="95"/>
      <c r="J80" s="175"/>
      <c r="K80" s="59"/>
      <c r="L80" s="58"/>
      <c r="N80" s="87"/>
      <c r="O80" s="71"/>
    </row>
    <row r="81" spans="1:15" ht="25.5">
      <c r="A81" s="929" t="s">
        <v>226</v>
      </c>
      <c r="B81" s="930"/>
      <c r="C81" s="931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-247.30000000000291</v>
      </c>
      <c r="I82" s="571"/>
      <c r="J82" s="175">
        <f>H82/DAY(B2)</f>
        <v>-7.9774193548388039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71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42572</v>
      </c>
      <c r="F84" s="164">
        <v>42589</v>
      </c>
      <c r="G84" s="112">
        <f t="shared" si="8"/>
        <v>17</v>
      </c>
      <c r="H84" s="99">
        <f>G84+'30'!H84</f>
        <v>0</v>
      </c>
      <c r="I84" s="571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50">
        <v>5140.1899999999996</v>
      </c>
      <c r="F85" s="164">
        <v>5140.1899999999996</v>
      </c>
      <c r="G85" s="112">
        <f t="shared" si="8"/>
        <v>0</v>
      </c>
      <c r="H85" s="99">
        <f>G85+'30'!H85</f>
        <v>0</v>
      </c>
      <c r="I85" s="571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45357.3</v>
      </c>
      <c r="F86" s="164">
        <v>45379</v>
      </c>
      <c r="G86" s="112">
        <f t="shared" si="8"/>
        <v>21.69999999999709</v>
      </c>
      <c r="H86" s="99">
        <f>G86+'30'!H86</f>
        <v>0</v>
      </c>
      <c r="I86" s="571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35457.43</v>
      </c>
      <c r="F87" s="164">
        <v>35457.43</v>
      </c>
      <c r="G87" s="112">
        <f t="shared" si="8"/>
        <v>0</v>
      </c>
      <c r="H87" s="99">
        <f>G87+'30'!H87</f>
        <v>0</v>
      </c>
      <c r="I87" s="571">
        <f>G84+G85+G86+G87</f>
        <v>38.69999999999709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24303.46</v>
      </c>
      <c r="F88" s="164">
        <v>24303.46</v>
      </c>
      <c r="G88" s="112">
        <f t="shared" si="8"/>
        <v>0</v>
      </c>
      <c r="H88" s="99">
        <f>G88+'30'!H88</f>
        <v>0</v>
      </c>
      <c r="I88" s="571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27556.41</v>
      </c>
      <c r="F89" s="164">
        <v>27566.61</v>
      </c>
      <c r="G89" s="112">
        <f t="shared" si="8"/>
        <v>10.200000000000728</v>
      </c>
      <c r="H89" s="99">
        <f>G89+'30'!H89</f>
        <v>0</v>
      </c>
      <c r="I89" s="571">
        <f>G88+G89</f>
        <v>10.200000000000728</v>
      </c>
      <c r="J89" s="175">
        <f>H89/DAY(B2)</f>
        <v>0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72594.399999999994</v>
      </c>
      <c r="F90" s="164">
        <v>72606.55</v>
      </c>
      <c r="G90" s="112">
        <f>F90-E90</f>
        <v>12.150000000008731</v>
      </c>
      <c r="H90" s="99">
        <f>G90+'30'!H90</f>
        <v>65.350000000005821</v>
      </c>
      <c r="I90" s="571">
        <f>G90</f>
        <v>12.150000000008731</v>
      </c>
      <c r="J90" s="175">
        <f>H90/DAY(B2)</f>
        <v>2.10806451612922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4289.54</v>
      </c>
      <c r="F91" s="122">
        <v>4289.54</v>
      </c>
      <c r="G91" s="112">
        <f t="shared" si="8"/>
        <v>0</v>
      </c>
      <c r="H91" s="99">
        <f>G91+'30'!H91</f>
        <v>2.6199999999998909</v>
      </c>
      <c r="I91" s="590"/>
      <c r="J91" s="175">
        <f>H91/DAY(B2)</f>
        <v>8.4516129032254542E-2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6706.02</v>
      </c>
      <c r="F92" s="122">
        <v>6717.33</v>
      </c>
      <c r="G92" s="112">
        <f t="shared" si="8"/>
        <v>11.309999999999491</v>
      </c>
      <c r="H92" s="99">
        <f>G92+'30'!H92</f>
        <v>0</v>
      </c>
      <c r="I92" s="596">
        <f>G91+G92</f>
        <v>11.309999999999491</v>
      </c>
      <c r="J92" s="175">
        <f>H92/DAY(B2)</f>
        <v>0</v>
      </c>
      <c r="O92" s="71"/>
    </row>
    <row r="93" spans="1:15" ht="26.25">
      <c r="A93" s="918" t="s">
        <v>239</v>
      </c>
      <c r="B93" s="919"/>
      <c r="C93" s="92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15" t="s">
        <v>240</v>
      </c>
      <c r="B94" s="916"/>
      <c r="C94" s="917"/>
      <c r="D94" s="151" t="s">
        <v>130</v>
      </c>
      <c r="E94" s="151"/>
      <c r="F94" s="151"/>
      <c r="G94" s="99">
        <f>G35+G43+G49+G57</f>
        <v>7291.5900000000256</v>
      </c>
      <c r="H94" s="99">
        <f>G94+'30'!H94</f>
        <v>-3000</v>
      </c>
      <c r="I94" s="95"/>
      <c r="J94" s="175">
        <f>H94/DAY(B2)</f>
        <v>-96.774193548387103</v>
      </c>
      <c r="K94" s="69"/>
      <c r="L94" s="66"/>
      <c r="O94" s="71"/>
    </row>
    <row r="95" spans="1:15" ht="25.5">
      <c r="A95" s="915" t="s">
        <v>241</v>
      </c>
      <c r="B95" s="916"/>
      <c r="C95" s="917"/>
      <c r="D95" s="151" t="s">
        <v>23</v>
      </c>
      <c r="E95" s="146"/>
      <c r="F95" s="146"/>
      <c r="G95" s="166">
        <f>G94/G7</f>
        <v>0.27830496183206205</v>
      </c>
      <c r="H95" s="99">
        <f>G95+'30'!H95</f>
        <v>-8.9625939254652509E-2</v>
      </c>
      <c r="I95" s="531"/>
      <c r="J95" s="175">
        <f>H95/DAY(B2)</f>
        <v>-2.8911593307952422E-3</v>
      </c>
      <c r="K95" s="69"/>
      <c r="L95" s="66"/>
      <c r="O95" s="71"/>
    </row>
    <row r="96" spans="1:15" ht="25.5">
      <c r="A96" s="915" t="s">
        <v>242</v>
      </c>
      <c r="B96" s="916"/>
      <c r="C96" s="917"/>
      <c r="D96" s="151" t="s">
        <v>130</v>
      </c>
      <c r="E96" s="95"/>
      <c r="F96" s="95"/>
      <c r="G96" s="99">
        <f>G41+G42+G55+G56</f>
        <v>6404.940000000046</v>
      </c>
      <c r="H96" s="99">
        <f>G96+'30'!H96</f>
        <v>1.4551915228366852E-11</v>
      </c>
      <c r="I96" s="95"/>
      <c r="J96" s="175">
        <f>H96/DAY(B2)</f>
        <v>4.6941662026989843E-13</v>
      </c>
      <c r="K96" s="69"/>
      <c r="L96" s="66"/>
      <c r="O96" s="71"/>
    </row>
    <row r="97" spans="1:15" ht="25.5">
      <c r="A97" s="915" t="s">
        <v>243</v>
      </c>
      <c r="B97" s="916"/>
      <c r="C97" s="917"/>
      <c r="D97" s="151" t="s">
        <v>23</v>
      </c>
      <c r="E97" s="95"/>
      <c r="F97" s="95"/>
      <c r="G97" s="166">
        <f>G96/G7</f>
        <v>0.24446335877862771</v>
      </c>
      <c r="H97" s="99">
        <f>G97+'30'!H97</f>
        <v>2.0979276645308215E-2</v>
      </c>
      <c r="I97" s="531"/>
      <c r="J97" s="175">
        <f>H97/DAY(B2)</f>
        <v>6.7675085952607146E-4</v>
      </c>
      <c r="K97" s="69"/>
      <c r="L97" s="66"/>
      <c r="O97" s="71"/>
    </row>
    <row r="98" spans="1:15" ht="25.5">
      <c r="A98" s="915" t="s">
        <v>244</v>
      </c>
      <c r="B98" s="916"/>
      <c r="C98" s="917"/>
      <c r="D98" s="151" t="s">
        <v>130</v>
      </c>
      <c r="E98" s="95"/>
      <c r="F98" s="95"/>
      <c r="G98" s="99">
        <f>G39+G53</f>
        <v>4358.8100000000559</v>
      </c>
      <c r="H98" s="99">
        <f>G98+'30'!H98</f>
        <v>0</v>
      </c>
      <c r="I98" s="513"/>
      <c r="J98" s="175">
        <f>H98/DAY(B2)</f>
        <v>0</v>
      </c>
      <c r="K98" s="69"/>
      <c r="L98" s="66"/>
      <c r="O98" s="71"/>
    </row>
    <row r="99" spans="1:15" ht="25.5">
      <c r="A99" s="915" t="s">
        <v>245</v>
      </c>
      <c r="B99" s="916"/>
      <c r="C99" s="917"/>
      <c r="D99" s="151" t="s">
        <v>23</v>
      </c>
      <c r="E99" s="95"/>
      <c r="F99" s="95"/>
      <c r="G99" s="166">
        <f>G98/G7</f>
        <v>0.16636679389313191</v>
      </c>
      <c r="H99" s="99">
        <f>G99+'30'!H99</f>
        <v>1.3808841527841564E-2</v>
      </c>
      <c r="I99" s="513"/>
      <c r="J99" s="175">
        <f>H99/DAY(B2)</f>
        <v>4.4544650089811498E-4</v>
      </c>
      <c r="O99" s="71"/>
    </row>
    <row r="100" spans="1:15" ht="26.25">
      <c r="A100" s="915" t="s">
        <v>246</v>
      </c>
      <c r="B100" s="916"/>
      <c r="C100" s="917"/>
      <c r="D100" s="151" t="s">
        <v>180</v>
      </c>
      <c r="E100" s="95"/>
      <c r="F100" s="95"/>
      <c r="G100" s="99">
        <f>G38+G52</f>
        <v>2270.3300000000163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5.5">
      <c r="A101" s="915" t="s">
        <v>247</v>
      </c>
      <c r="B101" s="916"/>
      <c r="C101" s="917"/>
      <c r="D101" s="151" t="s">
        <v>23</v>
      </c>
      <c r="E101" s="95"/>
      <c r="F101" s="95"/>
      <c r="G101" s="166">
        <f>G100/G7</f>
        <v>8.6653816793893751E-2</v>
      </c>
      <c r="H101" s="99">
        <f>G101+'30'!H101</f>
        <v>8.3712680496664249E-3</v>
      </c>
      <c r="I101" s="513"/>
      <c r="J101" s="175">
        <f>H101/DAY(B2)</f>
        <v>2.700409048279492E-4</v>
      </c>
      <c r="O101" s="71"/>
    </row>
    <row r="102" spans="1:15" ht="25.5">
      <c r="A102" s="915" t="s">
        <v>248</v>
      </c>
      <c r="B102" s="916"/>
      <c r="C102" s="917"/>
      <c r="D102" s="151" t="s">
        <v>180</v>
      </c>
      <c r="E102" s="95"/>
      <c r="F102" s="95"/>
      <c r="G102" s="99">
        <f>G36+G50</f>
        <v>1830.1299999999756</v>
      </c>
      <c r="H102" s="99">
        <f>G102+'30'!H102</f>
        <v>0</v>
      </c>
      <c r="I102" s="513"/>
      <c r="J102" s="175">
        <f>H102/DAY(B2)</f>
        <v>0</v>
      </c>
      <c r="O102" s="71"/>
    </row>
    <row r="103" spans="1:15" ht="25.5">
      <c r="A103" s="915" t="s">
        <v>249</v>
      </c>
      <c r="B103" s="916"/>
      <c r="C103" s="917"/>
      <c r="D103" s="151" t="s">
        <v>23</v>
      </c>
      <c r="E103" s="95"/>
      <c r="F103" s="95"/>
      <c r="G103" s="166">
        <f>G102/G7</f>
        <v>6.985229007633495E-2</v>
      </c>
      <c r="H103" s="99">
        <f>G103+'30'!H103</f>
        <v>5.0672428336626246E-3</v>
      </c>
      <c r="I103" s="95"/>
      <c r="J103" s="175">
        <f>H103/DAY(B2)</f>
        <v>1.6345944624718143E-4</v>
      </c>
      <c r="O103" s="71"/>
    </row>
    <row r="104" spans="1:15" ht="25.5">
      <c r="A104" s="915" t="s">
        <v>250</v>
      </c>
      <c r="B104" s="916"/>
      <c r="C104" s="917"/>
      <c r="D104" s="151" t="s">
        <v>180</v>
      </c>
      <c r="E104" s="95"/>
      <c r="F104" s="95"/>
      <c r="G104" s="99">
        <f>G37+G51</f>
        <v>1033.8099999999977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6.25" thickBot="1">
      <c r="A105" s="908" t="s">
        <v>251</v>
      </c>
      <c r="B105" s="909"/>
      <c r="C105" s="910"/>
      <c r="D105" s="231" t="s">
        <v>23</v>
      </c>
      <c r="E105" s="185"/>
      <c r="F105" s="185"/>
      <c r="G105" s="186">
        <f>G104/G7</f>
        <v>3.9458396946564799E-2</v>
      </c>
      <c r="H105" s="99">
        <f>G105+'30'!H105</f>
        <v>4.6530608122473324E-3</v>
      </c>
      <c r="I105" s="185"/>
      <c r="J105" s="188">
        <f>H105/DAY(B2)</f>
        <v>1.500987358789462E-4</v>
      </c>
      <c r="O105" s="71"/>
    </row>
    <row r="106" spans="1:15" ht="25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6.25"/>
    <row r="108" spans="1:15" ht="27.75">
      <c r="A108" s="904" t="s">
        <v>324</v>
      </c>
      <c r="B108" s="904"/>
      <c r="C108" s="904"/>
      <c r="D108" s="904"/>
      <c r="E108" s="904"/>
      <c r="F108" s="904"/>
      <c r="G108" s="904"/>
      <c r="H108" s="904"/>
      <c r="I108" s="904"/>
      <c r="J108" s="904"/>
    </row>
    <row r="109" spans="1:15" ht="26.25">
      <c r="A109" s="932"/>
      <c r="B109" s="932"/>
    </row>
    <row r="110" spans="1:15" ht="26.25">
      <c r="A110" s="905" t="s">
        <v>165</v>
      </c>
      <c r="B110" s="906"/>
      <c r="C110" s="906"/>
      <c r="D110" s="906"/>
      <c r="E110" s="906"/>
      <c r="F110" s="906"/>
      <c r="G110" s="906"/>
      <c r="H110" s="906"/>
      <c r="I110" s="906"/>
      <c r="J110" s="907"/>
    </row>
    <row r="111" spans="1:15" ht="25.5">
      <c r="A111" s="898"/>
      <c r="B111" s="899"/>
      <c r="C111" s="900"/>
      <c r="D111" s="165"/>
      <c r="E111" s="155"/>
      <c r="F111" s="155"/>
      <c r="G111" s="155"/>
      <c r="H111" s="156"/>
      <c r="I111" s="155"/>
      <c r="J111" s="156"/>
    </row>
    <row r="112" spans="1:15" ht="25.5">
      <c r="A112" s="894" t="s">
        <v>252</v>
      </c>
      <c r="B112" s="895"/>
      <c r="C112" s="896"/>
      <c r="D112" s="146" t="s">
        <v>183</v>
      </c>
      <c r="E112" s="237">
        <v>7194.33</v>
      </c>
      <c r="F112" s="237">
        <v>7265</v>
      </c>
      <c r="G112" s="112">
        <f t="shared" ref="G112:G123" si="9">F112-E112</f>
        <v>70.670000000000073</v>
      </c>
      <c r="H112" s="99">
        <f>G112+'30'!H112</f>
        <v>459</v>
      </c>
      <c r="I112" s="155"/>
      <c r="J112" s="328">
        <f>H112/DAY(B2)</f>
        <v>14.806451612903226</v>
      </c>
    </row>
    <row r="113" spans="1:18" ht="25.5">
      <c r="A113" s="894" t="s">
        <v>253</v>
      </c>
      <c r="B113" s="895"/>
      <c r="C113" s="896"/>
      <c r="D113" s="146" t="s">
        <v>183</v>
      </c>
      <c r="E113" s="237">
        <v>14883.68</v>
      </c>
      <c r="F113" s="237">
        <v>15015</v>
      </c>
      <c r="G113" s="112">
        <f t="shared" si="9"/>
        <v>131.31999999999971</v>
      </c>
      <c r="H113" s="99">
        <f>G113+'30'!H113</f>
        <v>0</v>
      </c>
      <c r="I113" s="155"/>
      <c r="J113" s="328">
        <f>H113/DAY(B2)</f>
        <v>0</v>
      </c>
    </row>
    <row r="114" spans="1:18" ht="25.5">
      <c r="A114" s="894" t="s">
        <v>254</v>
      </c>
      <c r="B114" s="895"/>
      <c r="C114" s="896"/>
      <c r="D114" s="146" t="s">
        <v>183</v>
      </c>
      <c r="E114" s="237">
        <v>21058</v>
      </c>
      <c r="F114" s="237">
        <v>21268</v>
      </c>
      <c r="G114" s="112">
        <f t="shared" si="9"/>
        <v>210</v>
      </c>
      <c r="H114" s="99">
        <f>G114+'30'!H114</f>
        <v>0</v>
      </c>
      <c r="I114" s="155"/>
      <c r="J114" s="328">
        <f>H114/DAY(B2)</f>
        <v>0</v>
      </c>
    </row>
    <row r="115" spans="1:18" ht="25.5">
      <c r="A115" s="894" t="s">
        <v>255</v>
      </c>
      <c r="B115" s="895"/>
      <c r="C115" s="896"/>
      <c r="D115" s="146" t="s">
        <v>183</v>
      </c>
      <c r="E115" s="237">
        <v>13301.9</v>
      </c>
      <c r="F115" s="237">
        <v>13430</v>
      </c>
      <c r="G115" s="112">
        <f t="shared" si="9"/>
        <v>128.10000000000036</v>
      </c>
      <c r="H115" s="99">
        <f>G115+'30'!H115</f>
        <v>-109.22000000000116</v>
      </c>
      <c r="I115" s="155"/>
      <c r="J115" s="328">
        <f>H115/DAY(B2)</f>
        <v>-3.5232258064516504</v>
      </c>
    </row>
    <row r="116" spans="1:18" ht="25.5">
      <c r="A116" s="901" t="s">
        <v>96</v>
      </c>
      <c r="B116" s="902"/>
      <c r="C116" s="903"/>
      <c r="D116" s="146" t="s">
        <v>183</v>
      </c>
      <c r="E116" s="237">
        <v>70066.27</v>
      </c>
      <c r="F116" s="237">
        <v>70492</v>
      </c>
      <c r="G116" s="112">
        <f t="shared" si="9"/>
        <v>425.72999999999593</v>
      </c>
      <c r="H116" s="99">
        <f>G116+'30'!H116</f>
        <v>0</v>
      </c>
      <c r="I116" s="155"/>
      <c r="J116" s="328">
        <f>H116/DAY(B2)</f>
        <v>0</v>
      </c>
      <c r="Q116" s="894"/>
      <c r="R116" s="896"/>
    </row>
    <row r="117" spans="1:18" ht="25.5">
      <c r="A117" s="901" t="s">
        <v>184</v>
      </c>
      <c r="B117" s="902"/>
      <c r="C117" s="903"/>
      <c r="D117" s="146" t="s">
        <v>183</v>
      </c>
      <c r="E117" s="237">
        <v>40602.78</v>
      </c>
      <c r="F117" s="237">
        <v>40922</v>
      </c>
      <c r="G117" s="112">
        <f t="shared" si="9"/>
        <v>319.22000000000116</v>
      </c>
      <c r="H117" s="99">
        <f>G117+'30'!H117</f>
        <v>0</v>
      </c>
      <c r="I117" s="155"/>
      <c r="J117" s="328">
        <f>H117/DAY(B2)</f>
        <v>0</v>
      </c>
      <c r="Q117" s="894"/>
      <c r="R117" s="896"/>
    </row>
    <row r="118" spans="1:18" ht="25.5">
      <c r="A118" s="893" t="s">
        <v>97</v>
      </c>
      <c r="B118" s="893"/>
      <c r="C118" s="893"/>
      <c r="D118" s="151" t="s">
        <v>183</v>
      </c>
      <c r="E118" s="417">
        <v>64077</v>
      </c>
      <c r="F118" s="237">
        <v>64672</v>
      </c>
      <c r="G118" s="112">
        <f t="shared" si="9"/>
        <v>595</v>
      </c>
      <c r="H118" s="99">
        <f>G118+'30'!H118</f>
        <v>0</v>
      </c>
      <c r="I118" s="155"/>
      <c r="J118" s="328">
        <f>H118/DAY(B2)</f>
        <v>0</v>
      </c>
      <c r="Q118" s="894"/>
      <c r="R118" s="896"/>
    </row>
    <row r="119" spans="1:18" ht="25.5">
      <c r="A119" s="893" t="s">
        <v>98</v>
      </c>
      <c r="B119" s="893"/>
      <c r="C119" s="893"/>
      <c r="D119" s="151" t="s">
        <v>183</v>
      </c>
      <c r="E119" s="237">
        <v>37239.53</v>
      </c>
      <c r="F119" s="237">
        <v>37449</v>
      </c>
      <c r="G119" s="112">
        <f t="shared" si="9"/>
        <v>209.47000000000116</v>
      </c>
      <c r="H119" s="99">
        <f>G119+'30'!H119</f>
        <v>0</v>
      </c>
      <c r="I119" s="155"/>
      <c r="J119" s="328">
        <f>H119/DAY(B2)</f>
        <v>0</v>
      </c>
    </row>
    <row r="120" spans="1:18" ht="25.5">
      <c r="A120" s="893" t="s">
        <v>99</v>
      </c>
      <c r="B120" s="893"/>
      <c r="C120" s="893"/>
      <c r="D120" s="151" t="s">
        <v>183</v>
      </c>
      <c r="E120" s="237">
        <v>45856.6</v>
      </c>
      <c r="F120" s="237">
        <v>46267</v>
      </c>
      <c r="G120" s="112">
        <f t="shared" si="9"/>
        <v>410.40000000000146</v>
      </c>
      <c r="H120" s="99">
        <f>G120+'30'!H120</f>
        <v>0</v>
      </c>
      <c r="I120" s="155"/>
      <c r="J120" s="328">
        <f>H120/DAY(B2)</f>
        <v>0</v>
      </c>
    </row>
    <row r="121" spans="1:18" ht="25.5">
      <c r="A121" s="893" t="s">
        <v>100</v>
      </c>
      <c r="B121" s="893"/>
      <c r="C121" s="893"/>
      <c r="D121" s="151" t="s">
        <v>183</v>
      </c>
      <c r="E121" s="237">
        <v>53074.080000000002</v>
      </c>
      <c r="F121" s="237">
        <v>53543</v>
      </c>
      <c r="G121" s="112">
        <f t="shared" si="9"/>
        <v>468.91999999999825</v>
      </c>
      <c r="H121" s="99">
        <f>G121+'30'!H121</f>
        <v>0</v>
      </c>
      <c r="I121" s="155"/>
      <c r="J121" s="328">
        <f>H121/DAY(B2)</f>
        <v>0</v>
      </c>
    </row>
    <row r="122" spans="1:18" ht="25.5">
      <c r="A122" s="893" t="s">
        <v>101</v>
      </c>
      <c r="B122" s="893"/>
      <c r="C122" s="893"/>
      <c r="D122" s="151" t="s">
        <v>183</v>
      </c>
      <c r="E122" s="237">
        <v>28402.7</v>
      </c>
      <c r="F122" s="237">
        <v>28674</v>
      </c>
      <c r="G122" s="112">
        <f t="shared" si="9"/>
        <v>271.29999999999927</v>
      </c>
      <c r="H122" s="99">
        <f>G122+'30'!H122</f>
        <v>0</v>
      </c>
      <c r="I122" s="155"/>
      <c r="J122" s="328">
        <f>H122/DAY(B2)</f>
        <v>0</v>
      </c>
    </row>
    <row r="123" spans="1:18" ht="25.5">
      <c r="A123" s="893" t="s">
        <v>348</v>
      </c>
      <c r="B123" s="893"/>
      <c r="C123" s="893"/>
      <c r="D123" s="151" t="s">
        <v>183</v>
      </c>
      <c r="E123" s="237">
        <v>29893.73</v>
      </c>
      <c r="F123" s="237">
        <v>30188</v>
      </c>
      <c r="G123" s="112">
        <f t="shared" si="9"/>
        <v>294.27000000000044</v>
      </c>
      <c r="H123" s="99">
        <f>G123+'30'!H123</f>
        <v>0</v>
      </c>
      <c r="I123" s="155"/>
      <c r="J123" s="328">
        <f>H123/DAY(B2)</f>
        <v>0</v>
      </c>
    </row>
    <row r="124" spans="1:18" ht="25.5">
      <c r="A124" s="898"/>
      <c r="B124" s="899"/>
      <c r="C124" s="900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876" t="s">
        <v>196</v>
      </c>
      <c r="B125" s="992"/>
      <c r="C125" s="877"/>
      <c r="D125" s="307"/>
      <c r="E125" s="308"/>
      <c r="F125" s="308"/>
      <c r="G125" s="309">
        <f>SUM(G112:G124)</f>
        <v>3534.3999999999978</v>
      </c>
      <c r="H125" s="156"/>
      <c r="I125" s="156">
        <f>G125-(G39+G53)</f>
        <v>-824.41000000005806</v>
      </c>
      <c r="J125" s="156"/>
    </row>
    <row r="126" spans="1:18" ht="25.5">
      <c r="A126" s="897" t="s">
        <v>317</v>
      </c>
      <c r="B126" s="897"/>
      <c r="C126" s="897"/>
      <c r="D126" s="897"/>
      <c r="E126" s="897"/>
      <c r="F126" s="897"/>
      <c r="G126" s="897"/>
      <c r="H126" s="897"/>
      <c r="I126" s="897"/>
      <c r="J126" s="897"/>
    </row>
    <row r="127" spans="1:18" ht="25.5">
      <c r="A127" s="881"/>
      <c r="B127" s="881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894" t="s">
        <v>318</v>
      </c>
      <c r="B128" s="895"/>
      <c r="C128" s="896"/>
      <c r="D128" s="151" t="s">
        <v>183</v>
      </c>
      <c r="E128" s="165">
        <v>127118.7</v>
      </c>
      <c r="F128" s="155">
        <v>127644</v>
      </c>
      <c r="G128" s="112">
        <f t="shared" ref="G128:G134" si="10">F128-E128</f>
        <v>525.30000000000291</v>
      </c>
      <c r="H128" s="99">
        <f>G128+'30'!H128</f>
        <v>0</v>
      </c>
      <c r="I128" s="155"/>
      <c r="J128" s="328">
        <f>H128/DAY(B2)</f>
        <v>0</v>
      </c>
    </row>
    <row r="129" spans="1:15" ht="25.5">
      <c r="A129" s="329" t="s">
        <v>319</v>
      </c>
      <c r="B129" s="330"/>
      <c r="C129" s="331"/>
      <c r="D129" s="151" t="s">
        <v>183</v>
      </c>
      <c r="E129" s="165">
        <v>72306.2</v>
      </c>
      <c r="F129" s="155">
        <v>72503</v>
      </c>
      <c r="G129" s="112">
        <f t="shared" si="10"/>
        <v>196.80000000000291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65">
        <v>163796.06</v>
      </c>
      <c r="F130" s="425">
        <v>164597</v>
      </c>
      <c r="G130" s="609">
        <f t="shared" si="10"/>
        <v>800.94000000000233</v>
      </c>
      <c r="H130" s="99">
        <f>G130+'30'!H130</f>
        <v>-544.26999999998952</v>
      </c>
      <c r="I130" s="155"/>
      <c r="J130" s="328">
        <f>H130/DAY(B2)</f>
        <v>-17.557096774193209</v>
      </c>
      <c r="N130" s="240"/>
      <c r="O130" s="241"/>
    </row>
    <row r="131" spans="1:15" ht="25.5">
      <c r="A131" s="894" t="s">
        <v>321</v>
      </c>
      <c r="B131" s="895"/>
      <c r="C131" s="896"/>
      <c r="D131" s="151" t="s">
        <v>183</v>
      </c>
      <c r="E131" s="165">
        <v>48201.7</v>
      </c>
      <c r="F131" s="155">
        <v>48449</v>
      </c>
      <c r="G131" s="112">
        <f t="shared" si="10"/>
        <v>247.30000000000291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5.5">
      <c r="A132" s="894" t="s">
        <v>322</v>
      </c>
      <c r="B132" s="895"/>
      <c r="C132" s="896"/>
      <c r="D132" s="151" t="s">
        <v>183</v>
      </c>
      <c r="E132" s="465">
        <v>127842.47</v>
      </c>
      <c r="F132" s="155">
        <v>128174</v>
      </c>
      <c r="G132" s="112">
        <f t="shared" si="10"/>
        <v>331.52999999999884</v>
      </c>
      <c r="H132" s="99">
        <f>G132+'30'!H132</f>
        <v>0</v>
      </c>
      <c r="I132" s="155"/>
      <c r="J132" s="328">
        <f>H132/DAY(B2)</f>
        <v>0</v>
      </c>
    </row>
    <row r="133" spans="1:15" ht="25.5">
      <c r="A133" s="894" t="s">
        <v>359</v>
      </c>
      <c r="B133" s="895"/>
      <c r="C133" s="896"/>
      <c r="D133" s="151" t="s">
        <v>183</v>
      </c>
      <c r="E133" s="165">
        <v>224035.59</v>
      </c>
      <c r="F133" s="155">
        <v>224035.59</v>
      </c>
      <c r="G133" s="112">
        <f t="shared" si="10"/>
        <v>0</v>
      </c>
      <c r="H133" s="99">
        <f>G133+'30'!H133</f>
        <v>571233.43000000017</v>
      </c>
      <c r="I133" s="155"/>
      <c r="J133" s="328">
        <f>H133/DAY(B2)</f>
        <v>18426.884838709684</v>
      </c>
    </row>
    <row r="134" spans="1:15" ht="25.5">
      <c r="A134" s="894" t="s">
        <v>340</v>
      </c>
      <c r="B134" s="895"/>
      <c r="C134" s="896"/>
      <c r="D134" s="151" t="s">
        <v>183</v>
      </c>
      <c r="E134" s="467">
        <v>48831.78</v>
      </c>
      <c r="F134" s="155">
        <v>49035</v>
      </c>
      <c r="G134" s="112">
        <f t="shared" si="10"/>
        <v>203.22000000000116</v>
      </c>
      <c r="H134" s="99">
        <f>G134+'30'!H134</f>
        <v>0</v>
      </c>
      <c r="I134" s="155"/>
      <c r="J134" s="328">
        <f>H134/DAY(B2)</f>
        <v>0</v>
      </c>
    </row>
    <row r="135" spans="1:15" ht="25.5">
      <c r="A135" s="876" t="s">
        <v>196</v>
      </c>
      <c r="B135" s="992"/>
      <c r="C135" s="877"/>
      <c r="D135" s="151"/>
      <c r="E135" s="165"/>
      <c r="F135" s="155"/>
      <c r="G135" s="112">
        <f>SUM(G128:G134)</f>
        <v>2305.0900000000111</v>
      </c>
      <c r="H135" s="99">
        <f>G135+'23'!H135</f>
        <v>525644.69000000006</v>
      </c>
      <c r="I135" s="156">
        <f>G135-(G35+G49)</f>
        <v>-1999.6300000000192</v>
      </c>
      <c r="J135" s="328"/>
    </row>
    <row r="136" spans="1:15" ht="27.75">
      <c r="A136" s="880" t="s">
        <v>325</v>
      </c>
      <c r="B136" s="880"/>
      <c r="C136" s="880"/>
      <c r="D136" s="880"/>
      <c r="E136" s="880"/>
      <c r="F136" s="880"/>
      <c r="G136" s="880"/>
      <c r="H136" s="880"/>
      <c r="I136" s="880"/>
      <c r="J136" s="880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893" t="s">
        <v>185</v>
      </c>
      <c r="B138" s="893"/>
      <c r="C138" s="893"/>
      <c r="D138" s="151" t="s">
        <v>183</v>
      </c>
      <c r="E138" s="147">
        <v>890962</v>
      </c>
      <c r="F138" s="147">
        <v>891098</v>
      </c>
      <c r="G138" s="112">
        <f t="shared" ref="G138:G152" si="11">F138-E138</f>
        <v>136</v>
      </c>
      <c r="H138" s="99">
        <f>G138+'30'!H138</f>
        <v>3</v>
      </c>
      <c r="I138" s="95"/>
      <c r="J138" s="328">
        <f>H138/DAY(B2)</f>
        <v>9.6774193548387094E-2</v>
      </c>
    </row>
    <row r="139" spans="1:15" ht="25.5">
      <c r="A139" s="893" t="s">
        <v>186</v>
      </c>
      <c r="B139" s="893"/>
      <c r="C139" s="893"/>
      <c r="D139" s="151" t="s">
        <v>183</v>
      </c>
      <c r="E139" s="148">
        <v>908760</v>
      </c>
      <c r="F139" s="148">
        <v>908895</v>
      </c>
      <c r="G139" s="112">
        <f t="shared" si="11"/>
        <v>135</v>
      </c>
      <c r="H139" s="99">
        <f>G139+'30'!H139</f>
        <v>0</v>
      </c>
      <c r="I139" s="95"/>
      <c r="J139" s="328">
        <f>H139/DAY(B2)</f>
        <v>0</v>
      </c>
    </row>
    <row r="140" spans="1:15" ht="25.5">
      <c r="A140" s="893" t="s">
        <v>187</v>
      </c>
      <c r="B140" s="893"/>
      <c r="C140" s="893"/>
      <c r="D140" s="151" t="s">
        <v>183</v>
      </c>
      <c r="E140" s="149">
        <v>1497.39</v>
      </c>
      <c r="F140" s="149">
        <v>1513</v>
      </c>
      <c r="G140" s="112">
        <f t="shared" si="11"/>
        <v>15.6099999999999</v>
      </c>
      <c r="H140" s="99">
        <f>G140+'30'!H140</f>
        <v>595.76999999999407</v>
      </c>
      <c r="I140" s="95"/>
      <c r="J140" s="328">
        <f>H140/DAY(B2)</f>
        <v>19.218387096774002</v>
      </c>
    </row>
    <row r="141" spans="1:15" ht="25.5">
      <c r="A141" s="872" t="s">
        <v>188</v>
      </c>
      <c r="B141" s="872"/>
      <c r="C141" s="872"/>
      <c r="D141" s="151" t="s">
        <v>183</v>
      </c>
      <c r="E141" s="149">
        <v>90248.6</v>
      </c>
      <c r="F141" s="149">
        <v>90452</v>
      </c>
      <c r="G141" s="112">
        <f t="shared" si="11"/>
        <v>203.39999999999418</v>
      </c>
      <c r="H141" s="99">
        <f>G141+'30'!H141</f>
        <v>0</v>
      </c>
      <c r="I141" s="95"/>
      <c r="J141" s="328">
        <f>H141/DAY(B2)</f>
        <v>0</v>
      </c>
    </row>
    <row r="142" spans="1:15" ht="25.5">
      <c r="A142" s="872" t="s">
        <v>189</v>
      </c>
      <c r="B142" s="872"/>
      <c r="C142" s="872"/>
      <c r="D142" s="151" t="s">
        <v>183</v>
      </c>
      <c r="E142" s="148">
        <v>36591.980000000003</v>
      </c>
      <c r="F142" s="148">
        <v>36661</v>
      </c>
      <c r="G142" s="112">
        <f t="shared" si="11"/>
        <v>69.019999999996799</v>
      </c>
      <c r="H142" s="99">
        <f>G142+'30'!H142</f>
        <v>0</v>
      </c>
      <c r="I142" s="526"/>
      <c r="J142" s="328">
        <f>H142/DAY(B2)</f>
        <v>0</v>
      </c>
    </row>
    <row r="143" spans="1:15" ht="25.5">
      <c r="A143" s="893" t="s">
        <v>91</v>
      </c>
      <c r="B143" s="893"/>
      <c r="C143" s="893"/>
      <c r="D143" s="151" t="s">
        <v>183</v>
      </c>
      <c r="E143" s="149">
        <v>9023.58</v>
      </c>
      <c r="F143" s="149">
        <v>9051</v>
      </c>
      <c r="G143" s="112">
        <f t="shared" si="11"/>
        <v>27.420000000000073</v>
      </c>
      <c r="H143" s="99">
        <f>G143+'30'!H143</f>
        <v>0</v>
      </c>
      <c r="I143" s="526"/>
      <c r="J143" s="328">
        <f>H143/DAY(B2)</f>
        <v>0</v>
      </c>
    </row>
    <row r="144" spans="1:15" ht="25.5">
      <c r="A144" s="872" t="s">
        <v>90</v>
      </c>
      <c r="B144" s="872"/>
      <c r="C144" s="872"/>
      <c r="D144" s="151" t="s">
        <v>183</v>
      </c>
      <c r="E144" s="149">
        <v>919634</v>
      </c>
      <c r="F144" s="149">
        <v>919837</v>
      </c>
      <c r="G144" s="112">
        <f t="shared" si="11"/>
        <v>203</v>
      </c>
      <c r="H144" s="99">
        <f>G144+'30'!H144</f>
        <v>0</v>
      </c>
      <c r="I144" s="526"/>
      <c r="J144" s="328">
        <f>H144/DAY(B2)</f>
        <v>0</v>
      </c>
    </row>
    <row r="145" spans="1:11" ht="25.5">
      <c r="A145" s="893" t="s">
        <v>190</v>
      </c>
      <c r="B145" s="893"/>
      <c r="C145" s="893"/>
      <c r="D145" s="152" t="s">
        <v>183</v>
      </c>
      <c r="E145" s="149">
        <v>5798.6</v>
      </c>
      <c r="F145" s="149">
        <v>5807</v>
      </c>
      <c r="G145" s="112">
        <f t="shared" si="11"/>
        <v>8.3999999999996362</v>
      </c>
      <c r="H145" s="99">
        <f>G145+'30'!H145</f>
        <v>0</v>
      </c>
      <c r="I145" s="526"/>
      <c r="J145" s="328">
        <f>H145/DAY(B2)</f>
        <v>0</v>
      </c>
    </row>
    <row r="146" spans="1:11" ht="25.5">
      <c r="A146" s="928" t="s">
        <v>191</v>
      </c>
      <c r="B146" s="913"/>
      <c r="C146" s="914"/>
      <c r="D146" s="152" t="s">
        <v>183</v>
      </c>
      <c r="E146" s="148">
        <v>780739</v>
      </c>
      <c r="F146" s="148">
        <v>780800</v>
      </c>
      <c r="G146" s="112">
        <f t="shared" si="11"/>
        <v>61</v>
      </c>
      <c r="H146" s="99">
        <f>G146+'30'!H146</f>
        <v>0</v>
      </c>
      <c r="I146" s="526"/>
      <c r="J146" s="328">
        <f>H146/DAY(B2)</f>
        <v>0</v>
      </c>
    </row>
    <row r="147" spans="1:11" ht="25.5">
      <c r="A147" s="872" t="s">
        <v>192</v>
      </c>
      <c r="B147" s="872"/>
      <c r="C147" s="872"/>
      <c r="D147" s="152" t="s">
        <v>183</v>
      </c>
      <c r="E147" s="148">
        <v>699384.88</v>
      </c>
      <c r="F147" s="148">
        <v>699769</v>
      </c>
      <c r="G147" s="112">
        <f t="shared" si="11"/>
        <v>384.11999999999534</v>
      </c>
      <c r="H147" s="99">
        <f>G147+'30'!H147</f>
        <v>0</v>
      </c>
      <c r="I147" s="526"/>
      <c r="J147" s="328">
        <f>H147/DAY(B2)</f>
        <v>0</v>
      </c>
    </row>
    <row r="148" spans="1:11" ht="25.5">
      <c r="A148" s="873" t="s">
        <v>193</v>
      </c>
      <c r="B148" s="874"/>
      <c r="C148" s="875"/>
      <c r="D148" s="123" t="s">
        <v>130</v>
      </c>
      <c r="E148" s="150">
        <v>748222.48</v>
      </c>
      <c r="F148" s="150">
        <v>748530</v>
      </c>
      <c r="G148" s="112">
        <f t="shared" si="11"/>
        <v>307.52000000001863</v>
      </c>
      <c r="H148" s="99">
        <f>G148+'30'!H148</f>
        <v>0</v>
      </c>
      <c r="I148" s="124"/>
      <c r="J148" s="328">
        <f>H148/DAY(B2)</f>
        <v>0</v>
      </c>
    </row>
    <row r="149" spans="1:11" ht="25.5">
      <c r="A149" s="873" t="s">
        <v>336</v>
      </c>
      <c r="B149" s="874"/>
      <c r="C149" s="875"/>
      <c r="D149" s="227" t="s">
        <v>130</v>
      </c>
      <c r="E149" s="146">
        <v>131933.79999999999</v>
      </c>
      <c r="F149" s="146">
        <v>132434</v>
      </c>
      <c r="G149" s="112">
        <f t="shared" si="11"/>
        <v>500.20000000001164</v>
      </c>
      <c r="H149" s="99">
        <f>G149+'30'!H149</f>
        <v>0</v>
      </c>
      <c r="I149" s="119"/>
      <c r="J149" s="328">
        <f>H149/DAY(B2)</f>
        <v>0</v>
      </c>
    </row>
    <row r="150" spans="1:11" ht="25.5">
      <c r="A150" s="873" t="s">
        <v>337</v>
      </c>
      <c r="B150" s="874"/>
      <c r="C150" s="875"/>
      <c r="D150" s="117" t="s">
        <v>130</v>
      </c>
      <c r="E150" s="233">
        <v>50395.33</v>
      </c>
      <c r="F150" s="233">
        <v>50615</v>
      </c>
      <c r="G150" s="112">
        <f t="shared" si="11"/>
        <v>219.66999999999825</v>
      </c>
      <c r="H150" s="99">
        <f>G150+'30'!H150</f>
        <v>0</v>
      </c>
      <c r="I150" s="119"/>
      <c r="J150" s="328">
        <f>H150/DAY(B2)</f>
        <v>0</v>
      </c>
    </row>
    <row r="151" spans="1:11" ht="25.5">
      <c r="A151" s="873" t="s">
        <v>338</v>
      </c>
      <c r="B151" s="874"/>
      <c r="C151" s="875"/>
      <c r="D151" s="117" t="s">
        <v>130</v>
      </c>
      <c r="E151" s="233">
        <v>135090</v>
      </c>
      <c r="F151" s="233">
        <v>135449</v>
      </c>
      <c r="G151" s="112">
        <f t="shared" si="11"/>
        <v>359</v>
      </c>
      <c r="H151" s="99">
        <f>G151+'30'!H151</f>
        <v>0</v>
      </c>
      <c r="I151" s="119"/>
      <c r="J151" s="328">
        <f>H151/DAY(B2)</f>
        <v>0</v>
      </c>
    </row>
    <row r="152" spans="1:11" ht="25.5">
      <c r="A152" s="873" t="s">
        <v>339</v>
      </c>
      <c r="B152" s="874"/>
      <c r="C152" s="875"/>
      <c r="D152" s="117" t="s">
        <v>130</v>
      </c>
      <c r="E152" s="233">
        <v>23036.04</v>
      </c>
      <c r="F152" s="233">
        <v>23154</v>
      </c>
      <c r="G152" s="112">
        <f t="shared" si="11"/>
        <v>117.95999999999913</v>
      </c>
      <c r="H152" s="99">
        <f>G152+'30'!H152</f>
        <v>0</v>
      </c>
      <c r="I152" s="119"/>
      <c r="J152" s="328">
        <f>H152/DAY(B2)</f>
        <v>0</v>
      </c>
    </row>
    <row r="153" spans="1:11" ht="25.5">
      <c r="A153" s="876" t="s">
        <v>196</v>
      </c>
      <c r="B153" s="992"/>
      <c r="C153" s="877"/>
      <c r="D153" s="358"/>
      <c r="E153" s="361"/>
      <c r="F153" s="361"/>
      <c r="G153" s="362">
        <f>SUM(G138:G152)</f>
        <v>2747.3200000000134</v>
      </c>
      <c r="H153" s="363"/>
      <c r="I153" s="119">
        <f>G153-(G38+G52)</f>
        <v>476.98999999999705</v>
      </c>
      <c r="J153" s="366"/>
    </row>
    <row r="154" spans="1:11" ht="27.75">
      <c r="A154" s="880" t="s">
        <v>344</v>
      </c>
      <c r="B154" s="880"/>
      <c r="C154" s="880"/>
      <c r="D154" s="880"/>
      <c r="E154" s="880"/>
      <c r="F154" s="880"/>
      <c r="G154" s="880"/>
      <c r="H154" s="880"/>
      <c r="I154" s="880"/>
      <c r="J154" s="880"/>
    </row>
    <row r="155" spans="1:11" ht="27.75">
      <c r="A155" s="872" t="s">
        <v>345</v>
      </c>
      <c r="B155" s="872"/>
      <c r="C155" s="872"/>
      <c r="D155" s="117" t="s">
        <v>130</v>
      </c>
      <c r="E155" s="374">
        <v>147428</v>
      </c>
      <c r="F155" s="389">
        <v>148149</v>
      </c>
      <c r="G155" s="112">
        <f t="shared" ref="G155:G158" si="12">F155-E155</f>
        <v>721</v>
      </c>
      <c r="H155" s="99">
        <f>G155+'30'!H155</f>
        <v>0</v>
      </c>
      <c r="I155" s="364"/>
      <c r="J155" s="328">
        <f>H155/DAY(B2)</f>
        <v>0</v>
      </c>
    </row>
    <row r="156" spans="1:11" ht="25.5">
      <c r="A156" s="872" t="s">
        <v>347</v>
      </c>
      <c r="B156" s="872"/>
      <c r="C156" s="872"/>
      <c r="D156" s="117" t="s">
        <v>130</v>
      </c>
      <c r="E156" s="155">
        <v>14597.72</v>
      </c>
      <c r="F156" s="155">
        <v>14734</v>
      </c>
      <c r="G156" s="112">
        <f t="shared" si="12"/>
        <v>136.28000000000065</v>
      </c>
      <c r="H156" s="99">
        <f>G156+'30'!H156</f>
        <v>0</v>
      </c>
      <c r="I156" s="155"/>
      <c r="J156" s="328">
        <f>H156/DAY(B2)</f>
        <v>0</v>
      </c>
    </row>
    <row r="157" spans="1:11" ht="25.5">
      <c r="A157" s="873" t="s">
        <v>360</v>
      </c>
      <c r="B157" s="874"/>
      <c r="C157" s="875"/>
      <c r="D157" s="117" t="s">
        <v>130</v>
      </c>
      <c r="E157" s="155">
        <v>27312.09</v>
      </c>
      <c r="F157" s="95">
        <v>27446</v>
      </c>
      <c r="G157" s="112">
        <f t="shared" si="12"/>
        <v>133.90999999999985</v>
      </c>
      <c r="H157" s="99">
        <f>G157+'30'!H157</f>
        <v>433.86000000000058</v>
      </c>
      <c r="I157" s="99"/>
      <c r="J157" s="155"/>
      <c r="K157" s="328"/>
    </row>
    <row r="158" spans="1:11" ht="25.5">
      <c r="A158" s="873" t="s">
        <v>361</v>
      </c>
      <c r="B158" s="874"/>
      <c r="C158" s="875"/>
      <c r="D158" s="117" t="s">
        <v>130</v>
      </c>
      <c r="E158" s="155">
        <v>235.9</v>
      </c>
      <c r="F158" s="155">
        <v>236</v>
      </c>
      <c r="G158" s="112">
        <f t="shared" si="12"/>
        <v>9.9999999999994316E-2</v>
      </c>
      <c r="H158" s="99">
        <f>G158+'30'!H158</f>
        <v>3.5999999999999943</v>
      </c>
      <c r="I158" s="155"/>
      <c r="J158" s="328"/>
    </row>
    <row r="159" spans="1:11" ht="25.5">
      <c r="A159" s="958"/>
      <c r="B159" s="959"/>
      <c r="C159" s="960"/>
      <c r="D159" s="117"/>
      <c r="E159" s="165"/>
      <c r="F159" s="155"/>
      <c r="G159" s="112"/>
      <c r="H159" s="99"/>
      <c r="I159" s="155"/>
      <c r="J159" s="328"/>
    </row>
    <row r="160" spans="1:11" ht="27.75">
      <c r="A160" s="880" t="s">
        <v>326</v>
      </c>
      <c r="B160" s="880"/>
      <c r="C160" s="880"/>
      <c r="D160" s="880"/>
      <c r="E160" s="880"/>
      <c r="F160" s="880"/>
      <c r="G160" s="880"/>
      <c r="H160" s="880"/>
      <c r="I160" s="880"/>
      <c r="J160" s="880"/>
    </row>
    <row r="161" spans="1:10" ht="26.25">
      <c r="A161" s="242" t="s">
        <v>92</v>
      </c>
      <c r="B161" s="243"/>
      <c r="C161" s="243"/>
      <c r="D161" s="244" t="s">
        <v>180</v>
      </c>
      <c r="E161" s="235">
        <v>480020.68</v>
      </c>
      <c r="F161" s="235">
        <v>480053</v>
      </c>
      <c r="G161" s="238">
        <f t="shared" ref="G161:G165" si="13">F161-E161</f>
        <v>32.320000000006985</v>
      </c>
      <c r="H161" s="99">
        <f>G161+'30'!H161</f>
        <v>870.71999999997206</v>
      </c>
      <c r="I161" s="236"/>
      <c r="J161" s="239">
        <f>H161/DAY(B2)</f>
        <v>28.08774193548297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94903.1</v>
      </c>
      <c r="F162" s="235">
        <v>94928</v>
      </c>
      <c r="G162" s="238">
        <f t="shared" si="13"/>
        <v>24.899999999994179</v>
      </c>
      <c r="H162" s="99">
        <f>G162+'30'!H162</f>
        <v>0</v>
      </c>
      <c r="I162" s="236"/>
      <c r="J162" s="239">
        <f>H162/DAY(B2)</f>
        <v>0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6254.3</v>
      </c>
      <c r="F163" s="235">
        <v>6501</v>
      </c>
      <c r="G163" s="238">
        <f t="shared" si="13"/>
        <v>246.69999999999982</v>
      </c>
      <c r="H163" s="99">
        <f>G163+'30'!H163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6382.8</v>
      </c>
      <c r="F164" s="235">
        <v>6395</v>
      </c>
      <c r="G164" s="238">
        <f t="shared" si="13"/>
        <v>12.199999999999818</v>
      </c>
      <c r="H164" s="99">
        <f>G164+'30'!H164</f>
        <v>115</v>
      </c>
      <c r="I164" s="236"/>
      <c r="J164" s="239">
        <f>H164/DAY(B2)</f>
        <v>3.7096774193548385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31627.71</v>
      </c>
      <c r="F165" s="235">
        <v>31634</v>
      </c>
      <c r="G165" s="238">
        <f t="shared" si="13"/>
        <v>6.2900000000008731</v>
      </c>
      <c r="H165" s="99">
        <f>G165+'30'!H165</f>
        <v>0</v>
      </c>
      <c r="I165" s="236"/>
      <c r="J165" s="239">
        <f>H165/DAY(B2)</f>
        <v>0</v>
      </c>
    </row>
    <row r="166" spans="1:10" ht="26.25">
      <c r="A166" s="881"/>
      <c r="B166" s="881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881"/>
      <c r="B167" s="881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881"/>
      <c r="B168" s="881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882" t="s">
        <v>330</v>
      </c>
      <c r="B171" s="883"/>
      <c r="C171" s="883"/>
      <c r="D171" s="883"/>
      <c r="E171" s="883"/>
      <c r="F171" s="883"/>
      <c r="G171" s="883"/>
      <c r="H171" s="883"/>
      <c r="I171" s="883"/>
      <c r="J171" s="884"/>
    </row>
    <row r="172" spans="1:10" ht="25.5">
      <c r="A172" s="891"/>
      <c r="B172" s="89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87" t="s">
        <v>209</v>
      </c>
      <c r="B173" s="888"/>
      <c r="C173" s="333"/>
      <c r="D173" s="228" t="s">
        <v>142</v>
      </c>
      <c r="E173" s="155">
        <v>8235</v>
      </c>
      <c r="F173" s="425">
        <v>8235</v>
      </c>
      <c r="G173" s="155">
        <f>F173-E173</f>
        <v>0</v>
      </c>
      <c r="H173" s="99">
        <f>G173+'30'!H173</f>
        <v>47</v>
      </c>
      <c r="I173" s="155"/>
      <c r="J173" s="178">
        <f>H173/DAY(B2)</f>
        <v>1.5161290322580645</v>
      </c>
    </row>
    <row r="174" spans="1:10" ht="25.5">
      <c r="A174" s="887" t="s">
        <v>75</v>
      </c>
      <c r="B174" s="888"/>
      <c r="C174" s="333"/>
      <c r="D174" s="228" t="s">
        <v>142</v>
      </c>
      <c r="E174" s="157">
        <v>41188</v>
      </c>
      <c r="F174" s="157">
        <v>41204</v>
      </c>
      <c r="G174" s="155">
        <f t="shared" ref="G174:G175" si="14">F174-E174</f>
        <v>16</v>
      </c>
      <c r="H174" s="99">
        <f>G174+'30'!H174</f>
        <v>0</v>
      </c>
      <c r="I174" s="155"/>
      <c r="J174" s="178">
        <f>H174/DAY(B2)</f>
        <v>0</v>
      </c>
    </row>
    <row r="175" spans="1:10" ht="25.5">
      <c r="A175" s="887" t="s">
        <v>76</v>
      </c>
      <c r="B175" s="927"/>
      <c r="C175" s="888"/>
      <c r="D175" s="228" t="s">
        <v>142</v>
      </c>
      <c r="E175" s="155">
        <v>24019</v>
      </c>
      <c r="F175" s="155">
        <v>24031</v>
      </c>
      <c r="G175" s="155">
        <f t="shared" si="14"/>
        <v>12</v>
      </c>
      <c r="H175" s="99">
        <f>G175+'30'!H175</f>
        <v>0</v>
      </c>
      <c r="I175" s="155"/>
      <c r="J175" s="178">
        <f>H175/DAY(B2)</f>
        <v>0</v>
      </c>
    </row>
    <row r="176" spans="1:10" ht="25.5">
      <c r="A176" s="876" t="s">
        <v>196</v>
      </c>
      <c r="B176" s="992"/>
      <c r="C176" s="877"/>
      <c r="D176" s="228" t="s">
        <v>142</v>
      </c>
      <c r="E176" s="155"/>
      <c r="F176" s="155"/>
      <c r="G176" s="155">
        <f>SUM(G173:G175)</f>
        <v>28</v>
      </c>
      <c r="H176" s="99">
        <f>G176+'30'!H176</f>
        <v>47</v>
      </c>
      <c r="I176" s="155"/>
      <c r="J176" s="178">
        <f>H176/DAY(B2)</f>
        <v>1.5161290322580645</v>
      </c>
    </row>
    <row r="177" spans="1:10" ht="25.5">
      <c r="A177" s="887" t="s">
        <v>77</v>
      </c>
      <c r="B177" s="888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87" t="s">
        <v>210</v>
      </c>
      <c r="B178" s="888"/>
      <c r="C178" s="333"/>
      <c r="D178" s="228" t="s">
        <v>142</v>
      </c>
      <c r="E178" s="155">
        <v>97604</v>
      </c>
      <c r="F178" s="155">
        <v>97713</v>
      </c>
      <c r="G178" s="155">
        <f>F178-E178</f>
        <v>109</v>
      </c>
      <c r="H178" s="99">
        <f>G178+'30'!H178</f>
        <v>0</v>
      </c>
      <c r="I178" s="155"/>
      <c r="J178" s="178">
        <f>H178/DAY(B2)</f>
        <v>0</v>
      </c>
    </row>
    <row r="179" spans="1:10" ht="25.5">
      <c r="A179" s="887" t="s">
        <v>211</v>
      </c>
      <c r="B179" s="888"/>
      <c r="C179" s="333"/>
      <c r="D179" s="228" t="s">
        <v>142</v>
      </c>
      <c r="E179" s="155">
        <v>36002</v>
      </c>
      <c r="F179" s="157">
        <v>36002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5.5">
      <c r="A180" s="887" t="s">
        <v>212</v>
      </c>
      <c r="B180" s="888"/>
      <c r="C180" s="333"/>
      <c r="D180" s="228" t="s">
        <v>142</v>
      </c>
      <c r="E180" s="155">
        <v>7169</v>
      </c>
      <c r="F180" s="157">
        <v>7169</v>
      </c>
      <c r="G180" s="155">
        <f t="shared" si="15"/>
        <v>0</v>
      </c>
      <c r="H180" s="99">
        <f>G180+'30'!H180</f>
        <v>0</v>
      </c>
      <c r="I180" s="155"/>
      <c r="J180" s="178">
        <f>H180/DAY(B2)</f>
        <v>0</v>
      </c>
    </row>
    <row r="181" spans="1:10" ht="25.5">
      <c r="A181" s="889" t="s">
        <v>108</v>
      </c>
      <c r="B181" s="890"/>
      <c r="C181" s="401"/>
      <c r="D181" s="228" t="s">
        <v>142</v>
      </c>
      <c r="E181" s="155"/>
      <c r="F181" s="157"/>
      <c r="G181" s="155">
        <f>SUM(G178:G180)</f>
        <v>109</v>
      </c>
      <c r="H181" s="99">
        <f>G181+'30'!H181</f>
        <v>0</v>
      </c>
      <c r="I181" s="155"/>
      <c r="J181" s="178">
        <f>H181/DAY(B2)</f>
        <v>0</v>
      </c>
    </row>
    <row r="182" spans="1:10" ht="25.5">
      <c r="A182" s="887" t="s">
        <v>213</v>
      </c>
      <c r="B182" s="888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87" t="s">
        <v>214</v>
      </c>
      <c r="B183" s="888"/>
      <c r="C183" s="334"/>
      <c r="D183" s="228" t="s">
        <v>142</v>
      </c>
      <c r="E183" s="157">
        <v>17467</v>
      </c>
      <c r="F183" s="157">
        <v>17473</v>
      </c>
      <c r="G183" s="157">
        <f>F183-E183</f>
        <v>6</v>
      </c>
      <c r="H183" s="99">
        <f>G183+'30'!H183</f>
        <v>0</v>
      </c>
      <c r="I183" s="155"/>
      <c r="J183" s="178">
        <f>H183/DAY(B2)</f>
        <v>0</v>
      </c>
    </row>
    <row r="184" spans="1:10" ht="25.5">
      <c r="A184" s="887" t="s">
        <v>215</v>
      </c>
      <c r="B184" s="888"/>
      <c r="C184" s="334"/>
      <c r="D184" s="228" t="s">
        <v>142</v>
      </c>
      <c r="E184" s="157">
        <v>11924</v>
      </c>
      <c r="F184" s="157">
        <v>11935</v>
      </c>
      <c r="G184" s="157">
        <f t="shared" ref="G184:G185" si="16">F184-E184</f>
        <v>11</v>
      </c>
      <c r="H184" s="99">
        <f>G184+'30'!H184</f>
        <v>0</v>
      </c>
      <c r="I184" s="155"/>
      <c r="J184" s="178">
        <f>H184/DAY(B2)</f>
        <v>0</v>
      </c>
    </row>
    <row r="185" spans="1:10" ht="25.5">
      <c r="A185" s="887" t="s">
        <v>216</v>
      </c>
      <c r="B185" s="888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876" t="s">
        <v>196</v>
      </c>
      <c r="B186" s="877"/>
      <c r="C186" s="400"/>
      <c r="D186" s="228" t="s">
        <v>142</v>
      </c>
      <c r="E186" s="157"/>
      <c r="F186" s="157"/>
      <c r="G186" s="157">
        <f>SUM(G183:G185)</f>
        <v>17</v>
      </c>
      <c r="H186" s="99">
        <f>G186+'30'!H186</f>
        <v>0</v>
      </c>
      <c r="I186" s="157"/>
      <c r="J186" s="178">
        <f>H186/DAY(B2)</f>
        <v>0</v>
      </c>
    </row>
    <row r="187" spans="1:10" ht="25.5">
      <c r="A187" s="878" t="s">
        <v>217</v>
      </c>
      <c r="B187" s="879"/>
      <c r="C187" s="333"/>
      <c r="D187" s="230" t="s">
        <v>142</v>
      </c>
      <c r="E187" s="159"/>
      <c r="F187" s="159"/>
      <c r="G187" s="159">
        <f>G62+G19</f>
        <v>174</v>
      </c>
      <c r="H187" s="99">
        <f>G187+'30'!H187</f>
        <v>6</v>
      </c>
      <c r="I187" s="157"/>
      <c r="J187" s="179">
        <f>H187/DAY(B2)</f>
        <v>0.19354838709677419</v>
      </c>
    </row>
    <row r="188" spans="1:10" ht="25.5">
      <c r="A188" s="878" t="s">
        <v>218</v>
      </c>
      <c r="B188" s="879"/>
      <c r="C188" s="333"/>
      <c r="D188" s="230" t="s">
        <v>142</v>
      </c>
      <c r="E188" s="159"/>
      <c r="F188" s="159"/>
      <c r="G188" s="159">
        <f>G65+G66+G67+G69+G70</f>
        <v>154</v>
      </c>
      <c r="H188" s="99">
        <f>G188+'30'!H188</f>
        <v>2626</v>
      </c>
      <c r="I188" s="157"/>
      <c r="J188" s="179">
        <f>H188/DAY(B2)</f>
        <v>84.709677419354833</v>
      </c>
    </row>
    <row r="189" spans="1:10" ht="25.5">
      <c r="A189" s="878" t="s">
        <v>219</v>
      </c>
      <c r="B189" s="879"/>
      <c r="C189" s="333"/>
      <c r="D189" s="230" t="s">
        <v>142</v>
      </c>
      <c r="E189" s="157"/>
      <c r="F189" s="157"/>
      <c r="G189" s="157">
        <f>G181</f>
        <v>109</v>
      </c>
      <c r="H189" s="99">
        <f>G189+'30'!H189</f>
        <v>1309</v>
      </c>
      <c r="I189" s="157"/>
      <c r="J189" s="179">
        <f>H189/DAY(B2)</f>
        <v>42.225806451612904</v>
      </c>
    </row>
    <row r="190" spans="1:10" ht="25.5">
      <c r="A190" s="885"/>
      <c r="B190" s="886"/>
      <c r="C190" s="399"/>
      <c r="D190" s="396"/>
      <c r="E190" s="415"/>
      <c r="F190" s="415"/>
      <c r="G190" s="415"/>
      <c r="H190" s="397"/>
      <c r="I190" s="415"/>
      <c r="J190" s="532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67"/>
      <c r="B1" s="767"/>
      <c r="C1" s="767"/>
      <c r="D1" s="767"/>
      <c r="E1" s="767"/>
      <c r="F1" s="767"/>
      <c r="G1" s="767"/>
      <c r="H1" s="767"/>
      <c r="I1" s="767"/>
      <c r="J1" s="767"/>
      <c r="K1" s="767"/>
      <c r="L1" s="767"/>
      <c r="M1" s="767"/>
      <c r="N1" s="767"/>
      <c r="O1" s="767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9" t="s">
        <v>6</v>
      </c>
      <c r="F2" s="769"/>
      <c r="G2" s="769"/>
      <c r="H2" s="775" t="s">
        <v>14</v>
      </c>
      <c r="I2" s="775"/>
      <c r="J2" s="775"/>
      <c r="K2" s="264" t="s">
        <v>15</v>
      </c>
      <c r="L2" s="775" t="s">
        <v>16</v>
      </c>
      <c r="M2" s="775"/>
      <c r="N2" s="775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514370</v>
      </c>
      <c r="E4" s="19">
        <f>'1'!G97</f>
        <v>0.27217439163423141</v>
      </c>
      <c r="F4" s="19">
        <f>'1'!F142</f>
        <v>36724.400000000001</v>
      </c>
      <c r="G4" s="21">
        <f>E4*F4</f>
        <v>9995.4412281321675</v>
      </c>
      <c r="H4" s="19">
        <f>'1'!G68</f>
        <v>18</v>
      </c>
      <c r="I4" s="19">
        <f>'1'!G69</f>
        <v>10</v>
      </c>
      <c r="J4" s="19">
        <f>'1'!G70</f>
        <v>6</v>
      </c>
      <c r="K4" s="23">
        <f>H4+I4</f>
        <v>28</v>
      </c>
      <c r="L4" s="19">
        <f>'1'!G71</f>
        <v>151</v>
      </c>
      <c r="M4" s="19">
        <f>'1'!G72</f>
        <v>0</v>
      </c>
      <c r="N4" s="19">
        <v>0</v>
      </c>
      <c r="O4" s="23">
        <f>L4+M4+N4</f>
        <v>151</v>
      </c>
    </row>
    <row r="5" spans="1:15">
      <c r="A5" s="16">
        <v>2</v>
      </c>
      <c r="B5" s="26">
        <v>2</v>
      </c>
      <c r="C5" s="26"/>
      <c r="D5" s="19">
        <f>'2'!F8</f>
        <v>540215</v>
      </c>
      <c r="E5" s="19">
        <f>'2'!G96</f>
        <v>6103.4199999999837</v>
      </c>
      <c r="F5" s="19">
        <f>'2'!F123</f>
        <v>30823.83</v>
      </c>
      <c r="G5" s="21">
        <f t="shared" ref="G5:G18" si="0">E5*F5</f>
        <v>188130780.4985995</v>
      </c>
      <c r="H5" s="19">
        <f>'2'!G68</f>
        <v>34</v>
      </c>
      <c r="I5" s="19">
        <f>'2'!G69</f>
        <v>3</v>
      </c>
      <c r="J5" s="19">
        <f>'2'!G70</f>
        <v>11</v>
      </c>
      <c r="K5" s="23">
        <f t="shared" ref="K5:K18" si="1">H5+I5</f>
        <v>37</v>
      </c>
      <c r="L5" s="19">
        <f>'2'!G71</f>
        <v>168</v>
      </c>
      <c r="M5" s="19">
        <f>'2'!G72</f>
        <v>0</v>
      </c>
      <c r="N5" s="19">
        <v>0</v>
      </c>
      <c r="O5" s="23">
        <f t="shared" ref="O5:O18" si="2">L5+M5+N5</f>
        <v>168</v>
      </c>
    </row>
    <row r="6" spans="1:15">
      <c r="A6" s="16">
        <v>3</v>
      </c>
      <c r="B6" s="26">
        <v>3</v>
      </c>
      <c r="C6" s="26"/>
      <c r="D6" s="19">
        <f>'4'!F8</f>
        <v>594162</v>
      </c>
      <c r="E6" s="19">
        <f>'3'!G96</f>
        <v>7359.4100000000326</v>
      </c>
      <c r="F6" s="19">
        <f>'3'!F123</f>
        <v>31191</v>
      </c>
      <c r="G6" s="21">
        <f t="shared" si="0"/>
        <v>229547357.31000102</v>
      </c>
      <c r="H6" s="19">
        <f>'4'!G68</f>
        <v>19</v>
      </c>
      <c r="I6" s="19">
        <f>'4'!G69</f>
        <v>2</v>
      </c>
      <c r="J6" s="19">
        <f>'4'!G70</f>
        <v>14</v>
      </c>
      <c r="K6" s="23">
        <f t="shared" si="1"/>
        <v>21</v>
      </c>
      <c r="L6" s="19">
        <f>'4'!G71</f>
        <v>165</v>
      </c>
      <c r="M6" s="19">
        <f>'4'!G72</f>
        <v>0</v>
      </c>
      <c r="N6" s="19">
        <v>0</v>
      </c>
      <c r="O6" s="23">
        <f t="shared" si="2"/>
        <v>165</v>
      </c>
    </row>
    <row r="7" spans="1:15">
      <c r="A7" s="16">
        <v>4</v>
      </c>
      <c r="B7" s="27">
        <v>4</v>
      </c>
      <c r="C7" s="27"/>
      <c r="D7" s="19">
        <f>'3'!F8</f>
        <v>568270</v>
      </c>
      <c r="E7" s="19">
        <f>'4'!G96</f>
        <v>6053.679999999993</v>
      </c>
      <c r="F7" s="19">
        <f>'1'!F142</f>
        <v>36724.400000000001</v>
      </c>
      <c r="G7" s="21">
        <f t="shared" si="0"/>
        <v>222317765.79199976</v>
      </c>
      <c r="H7" s="19">
        <f>'3'!G68</f>
        <v>17</v>
      </c>
      <c r="I7" s="19">
        <f>'3'!G69</f>
        <v>3</v>
      </c>
      <c r="J7" s="19">
        <f>'3'!G70</f>
        <v>6</v>
      </c>
      <c r="K7" s="23">
        <f t="shared" si="1"/>
        <v>20</v>
      </c>
      <c r="L7" s="19">
        <f>'3'!G71</f>
        <v>150</v>
      </c>
      <c r="M7" s="19">
        <f>'3'!G72</f>
        <v>0</v>
      </c>
      <c r="N7" s="19">
        <v>0</v>
      </c>
      <c r="O7" s="23">
        <f t="shared" si="2"/>
        <v>150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36724.400000000001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647436</v>
      </c>
      <c r="E9" s="19">
        <f>'6'!G96</f>
        <v>6391.1700000000419</v>
      </c>
      <c r="F9" s="19">
        <f>'1'!F142</f>
        <v>36724.400000000001</v>
      </c>
      <c r="G9" s="21">
        <f t="shared" si="0"/>
        <v>234711883.54800156</v>
      </c>
      <c r="H9" s="19">
        <f>'6'!G68</f>
        <v>19</v>
      </c>
      <c r="I9" s="19">
        <f>'6'!G69</f>
        <v>6</v>
      </c>
      <c r="J9" s="19">
        <f>'6'!G70</f>
        <v>8</v>
      </c>
      <c r="K9" s="23">
        <f t="shared" si="1"/>
        <v>25</v>
      </c>
      <c r="L9" s="19">
        <f>'6'!G71</f>
        <v>160</v>
      </c>
      <c r="M9" s="19">
        <f>'6'!G72</f>
        <v>0</v>
      </c>
      <c r="N9" s="19">
        <v>0</v>
      </c>
      <c r="O9" s="23">
        <f t="shared" si="2"/>
        <v>160</v>
      </c>
    </row>
    <row r="10" spans="1:15">
      <c r="A10" s="16">
        <v>7</v>
      </c>
      <c r="B10" s="26">
        <v>7</v>
      </c>
      <c r="C10" s="27"/>
      <c r="D10" s="19">
        <f>'7'!F8</f>
        <v>673353</v>
      </c>
      <c r="E10" s="19">
        <f>'7'!G96</f>
        <v>6173</v>
      </c>
      <c r="F10" s="19">
        <f>'1'!F142</f>
        <v>36724.400000000001</v>
      </c>
      <c r="G10" s="21">
        <f t="shared" si="0"/>
        <v>226699721.20000002</v>
      </c>
      <c r="H10" s="19">
        <f>'7'!G68</f>
        <v>35</v>
      </c>
      <c r="I10" s="19">
        <f>'7'!G69</f>
        <v>6</v>
      </c>
      <c r="J10" s="19">
        <f>'7'!G70</f>
        <v>8</v>
      </c>
      <c r="K10" s="23">
        <f t="shared" si="1"/>
        <v>41</v>
      </c>
      <c r="L10" s="19">
        <f>'7'!G71</f>
        <v>181</v>
      </c>
      <c r="M10" s="19">
        <f>'7'!G72</f>
        <v>0</v>
      </c>
      <c r="N10" s="19">
        <v>0</v>
      </c>
      <c r="O10" s="23">
        <f t="shared" si="2"/>
        <v>181</v>
      </c>
    </row>
    <row r="11" spans="1:15">
      <c r="A11" s="16">
        <v>8</v>
      </c>
      <c r="B11" s="26">
        <v>8</v>
      </c>
      <c r="C11" s="18"/>
      <c r="D11" s="19">
        <f>'8'!F8</f>
        <v>699853</v>
      </c>
      <c r="E11" s="19">
        <f>'8'!G96</f>
        <v>-202776</v>
      </c>
      <c r="F11" s="19">
        <f>'1'!F142</f>
        <v>36724.400000000001</v>
      </c>
      <c r="G11" s="21">
        <f t="shared" si="0"/>
        <v>-7446826934.4000006</v>
      </c>
      <c r="H11" s="19">
        <f>'8'!G68</f>
        <v>-937</v>
      </c>
      <c r="I11" s="19">
        <f>'8'!G69</f>
        <v>-150</v>
      </c>
      <c r="J11" s="19">
        <f>'8'!G70</f>
        <v>-318</v>
      </c>
      <c r="K11" s="23">
        <f t="shared" si="1"/>
        <v>-1087</v>
      </c>
      <c r="L11" s="19">
        <f>'8'!G71</f>
        <v>-5384</v>
      </c>
      <c r="M11" s="19">
        <f>'8'!G72</f>
        <v>0</v>
      </c>
      <c r="N11" s="19">
        <v>0</v>
      </c>
      <c r="O11" s="23">
        <f t="shared" si="2"/>
        <v>-5384</v>
      </c>
    </row>
    <row r="12" spans="1:15">
      <c r="A12" s="16">
        <v>9</v>
      </c>
      <c r="B12" s="27">
        <v>9</v>
      </c>
      <c r="C12" s="26"/>
      <c r="D12" s="19">
        <f>'9'!F8</f>
        <v>726353</v>
      </c>
      <c r="E12" s="19">
        <f>'9'!G96</f>
        <v>8124.6299999999901</v>
      </c>
      <c r="F12" s="19">
        <f>'1'!F142</f>
        <v>36724.400000000001</v>
      </c>
      <c r="G12" s="21">
        <f t="shared" si="0"/>
        <v>298372161.97199965</v>
      </c>
      <c r="H12" s="19">
        <f>'9'!G68</f>
        <v>40</v>
      </c>
      <c r="I12" s="19">
        <f>'9'!G69</f>
        <v>5</v>
      </c>
      <c r="J12" s="19">
        <f>'9'!G70</f>
        <v>6</v>
      </c>
      <c r="K12" s="23">
        <f t="shared" si="1"/>
        <v>45</v>
      </c>
      <c r="L12" s="19">
        <f>'9'!G71</f>
        <v>179</v>
      </c>
      <c r="M12" s="19">
        <f>'9'!G72</f>
        <v>0</v>
      </c>
      <c r="N12" s="19">
        <v>0</v>
      </c>
      <c r="O12" s="23">
        <f t="shared" si="2"/>
        <v>179</v>
      </c>
    </row>
    <row r="13" spans="1:15">
      <c r="A13" s="16">
        <v>10</v>
      </c>
      <c r="B13" s="27">
        <v>10</v>
      </c>
      <c r="C13" s="26"/>
      <c r="D13" s="19">
        <f>'10'!F8</f>
        <v>752853</v>
      </c>
      <c r="E13" s="19">
        <f>'10'!G96</f>
        <v>5749.1899999999732</v>
      </c>
      <c r="F13" s="19">
        <f>'1'!F142</f>
        <v>36724.400000000001</v>
      </c>
      <c r="G13" s="21">
        <f t="shared" si="0"/>
        <v>211135553.23599902</v>
      </c>
      <c r="H13" s="19">
        <f>'10'!G68</f>
        <v>42</v>
      </c>
      <c r="I13" s="19">
        <f>'10'!G69</f>
        <v>6</v>
      </c>
      <c r="J13" s="19">
        <f>'10'!G70</f>
        <v>9</v>
      </c>
      <c r="K13" s="23">
        <f t="shared" si="1"/>
        <v>48</v>
      </c>
      <c r="L13" s="19">
        <f>'10'!G71</f>
        <v>184</v>
      </c>
      <c r="M13" s="19">
        <f>'10'!G72</f>
        <v>0</v>
      </c>
      <c r="N13" s="19">
        <v>0</v>
      </c>
      <c r="O13" s="23">
        <f t="shared" si="2"/>
        <v>184</v>
      </c>
    </row>
    <row r="14" spans="1:15">
      <c r="A14" s="16">
        <v>11</v>
      </c>
      <c r="B14" s="17">
        <v>11</v>
      </c>
      <c r="C14" s="27"/>
      <c r="D14" s="19">
        <f>'11'!F8</f>
        <v>779353</v>
      </c>
      <c r="E14" s="19">
        <f>'11'!G96</f>
        <v>6949.2699999999604</v>
      </c>
      <c r="F14" s="19">
        <f>'1'!F142</f>
        <v>36724.400000000001</v>
      </c>
      <c r="G14" s="21">
        <f t="shared" si="0"/>
        <v>255207771.18799856</v>
      </c>
      <c r="H14" s="19">
        <f>'11'!G68</f>
        <v>25</v>
      </c>
      <c r="I14" s="19">
        <f>'11'!G69</f>
        <v>3</v>
      </c>
      <c r="J14" s="19">
        <f>'11'!G70</f>
        <v>14</v>
      </c>
      <c r="K14" s="23">
        <f t="shared" si="1"/>
        <v>28</v>
      </c>
      <c r="L14" s="19">
        <f>'11'!G71</f>
        <v>163</v>
      </c>
      <c r="M14" s="19">
        <f>'11'!G72</f>
        <v>0</v>
      </c>
      <c r="N14" s="19">
        <v>0</v>
      </c>
      <c r="O14" s="23">
        <f t="shared" si="2"/>
        <v>163</v>
      </c>
    </row>
    <row r="15" spans="1:15">
      <c r="A15" s="16">
        <v>12</v>
      </c>
      <c r="B15" s="26">
        <v>12</v>
      </c>
      <c r="C15" s="27"/>
      <c r="D15" s="19">
        <f>'12'!F8</f>
        <v>805853</v>
      </c>
      <c r="E15" s="19">
        <f>'12'!G96</f>
        <v>6974.600000000064</v>
      </c>
      <c r="F15" s="19">
        <f>'1'!F142</f>
        <v>36724.400000000001</v>
      </c>
      <c r="G15" s="20">
        <f t="shared" si="0"/>
        <v>256138000.24000236</v>
      </c>
      <c r="H15" s="19">
        <f>'12'!G68</f>
        <v>41</v>
      </c>
      <c r="I15" s="19">
        <f>'12'!G69</f>
        <v>4</v>
      </c>
      <c r="J15" s="19">
        <f>'12'!G70</f>
        <v>8</v>
      </c>
      <c r="K15" s="23">
        <f t="shared" si="1"/>
        <v>45</v>
      </c>
      <c r="L15" s="19">
        <f>'12'!G71</f>
        <v>181</v>
      </c>
      <c r="M15" s="19">
        <f>'12'!G72</f>
        <v>0</v>
      </c>
      <c r="N15" s="19">
        <v>0</v>
      </c>
      <c r="O15" s="23">
        <f t="shared" si="2"/>
        <v>181</v>
      </c>
    </row>
    <row r="16" spans="1:15">
      <c r="A16" s="16">
        <v>13</v>
      </c>
      <c r="B16" s="26">
        <v>13</v>
      </c>
      <c r="C16" s="26"/>
      <c r="D16" s="19">
        <f>'13'!F8</f>
        <v>832353</v>
      </c>
      <c r="E16" s="19">
        <f>'13'!G96</f>
        <v>7606.6199999999953</v>
      </c>
      <c r="F16" s="19">
        <f>'1'!F142</f>
        <v>36724.400000000001</v>
      </c>
      <c r="G16" s="20">
        <f t="shared" si="0"/>
        <v>279348555.52799982</v>
      </c>
      <c r="H16" s="19">
        <f>'13'!G68</f>
        <v>24</v>
      </c>
      <c r="I16" s="19">
        <f>'13'!G69</f>
        <v>3</v>
      </c>
      <c r="J16" s="19">
        <f>'13'!G70</f>
        <v>9</v>
      </c>
      <c r="K16" s="23">
        <f t="shared" si="1"/>
        <v>27</v>
      </c>
      <c r="L16" s="19">
        <f>'13'!G71</f>
        <v>158</v>
      </c>
      <c r="M16" s="19">
        <f>'13'!G72</f>
        <v>0</v>
      </c>
      <c r="N16" s="19">
        <v>0</v>
      </c>
      <c r="O16" s="23">
        <f t="shared" si="2"/>
        <v>158</v>
      </c>
    </row>
    <row r="17" spans="1:15">
      <c r="A17" s="16">
        <v>14</v>
      </c>
      <c r="B17" s="17">
        <v>14</v>
      </c>
      <c r="C17" s="27"/>
      <c r="D17" s="19">
        <f>'14'!F8</f>
        <v>858853</v>
      </c>
      <c r="E17" s="19">
        <f>'14'!G96</f>
        <v>7562.2250000000349</v>
      </c>
      <c r="F17" s="19">
        <f>'1'!F142</f>
        <v>36724.400000000001</v>
      </c>
      <c r="G17" s="20">
        <f t="shared" si="0"/>
        <v>277718175.79000127</v>
      </c>
      <c r="H17" s="19">
        <f>'14'!G68</f>
        <v>40</v>
      </c>
      <c r="I17" s="19">
        <f>'14'!G69</f>
        <v>5</v>
      </c>
      <c r="J17" s="19">
        <f>'14'!G71</f>
        <v>185</v>
      </c>
      <c r="K17" s="23">
        <f t="shared" si="1"/>
        <v>45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69844.399999999994</v>
      </c>
      <c r="E18" s="19">
        <f>'15'!G96</f>
        <v>7325.4749999999476</v>
      </c>
      <c r="F18" s="19">
        <f>'1'!F142</f>
        <v>36724.400000000001</v>
      </c>
      <c r="G18" s="20">
        <f t="shared" si="0"/>
        <v>269023674.08999807</v>
      </c>
      <c r="H18" s="19">
        <f>'15'!G68</f>
        <v>38</v>
      </c>
      <c r="I18" s="19">
        <f>'15'!G69</f>
        <v>5</v>
      </c>
      <c r="J18" s="19">
        <f>'15'!G71</f>
        <v>230</v>
      </c>
      <c r="K18" s="23">
        <f t="shared" si="1"/>
        <v>43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933" t="s">
        <v>115</v>
      </c>
      <c r="B1" s="934"/>
      <c r="C1" s="934"/>
      <c r="D1" s="934"/>
      <c r="E1" s="934"/>
      <c r="F1" s="934"/>
      <c r="G1" s="934"/>
      <c r="H1" s="934"/>
      <c r="I1" s="934"/>
      <c r="J1" s="935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942" t="s">
        <v>119</v>
      </c>
      <c r="F3" s="943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936" t="s">
        <v>128</v>
      </c>
      <c r="B6" s="937"/>
      <c r="C6" s="938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783758.9</v>
      </c>
      <c r="I7" s="113">
        <f>'1'!I7</f>
        <v>12000</v>
      </c>
      <c r="J7" s="175">
        <f>H7/DAY(B2)</f>
        <v>25282.545161290323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794266</v>
      </c>
      <c r="I8" s="116"/>
      <c r="J8" s="175">
        <f>H8/DAY(B2)</f>
        <v>25621.483870967742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3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-6234.8999999999069</v>
      </c>
      <c r="I9" s="124"/>
      <c r="J9" s="175">
        <f>H9/DAY(B2)</f>
        <v>-201.12580645160989</v>
      </c>
      <c r="K9" s="79">
        <f>K8-100</f>
        <v>1715817</v>
      </c>
      <c r="L9" s="66"/>
      <c r="N9" s="87"/>
      <c r="O9" s="71"/>
      <c r="Q9" s="524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-18433.699999999953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2"/>
      <c r="C14" s="522"/>
      <c r="D14" s="151"/>
      <c r="E14" s="95"/>
      <c r="F14" s="95"/>
      <c r="G14" s="119">
        <f>G9+G10+G11+G12</f>
        <v>0</v>
      </c>
      <c r="H14" s="99">
        <f>G14+'30'!H13</f>
        <v>-23334</v>
      </c>
      <c r="I14" s="120">
        <f>G7-G14</f>
        <v>0</v>
      </c>
      <c r="J14" s="175">
        <f>H14/DAY(B2)</f>
        <v>-752.70967741935488</v>
      </c>
      <c r="K14" s="79"/>
      <c r="L14" s="66"/>
      <c r="N14" s="87"/>
      <c r="O14" s="71"/>
    </row>
    <row r="15" spans="1:17" ht="33" customHeight="1">
      <c r="A15" s="939" t="s">
        <v>137</v>
      </c>
      <c r="B15" s="940"/>
      <c r="C15" s="941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30889</v>
      </c>
      <c r="I16" s="113">
        <f>'1'!I15</f>
        <v>800</v>
      </c>
      <c r="J16" s="175">
        <f>H16/DAY(B2)</f>
        <v>996.41935483870964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-196.41935483870964</v>
      </c>
      <c r="J17" s="176"/>
      <c r="K17" s="79"/>
      <c r="L17" s="66"/>
      <c r="N17" s="87"/>
      <c r="O17" s="71"/>
    </row>
    <row r="18" spans="1:15" ht="33" customHeight="1">
      <c r="A18" s="939" t="s">
        <v>140</v>
      </c>
      <c r="B18" s="940"/>
      <c r="C18" s="941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915" t="s">
        <v>141</v>
      </c>
      <c r="B19" s="916"/>
      <c r="C19" s="917"/>
      <c r="D19" s="151" t="s">
        <v>142</v>
      </c>
      <c r="E19" s="95">
        <f>'30'!F18</f>
        <v>13</v>
      </c>
      <c r="F19" s="122">
        <v>14</v>
      </c>
      <c r="G19" s="119">
        <f>F19*10</f>
        <v>140</v>
      </c>
      <c r="H19" s="99">
        <f>G19+'30'!H18</f>
        <v>5550</v>
      </c>
      <c r="I19" s="113">
        <f>'1'!I18</f>
        <v>65</v>
      </c>
      <c r="J19" s="175">
        <f>H19/DAY(B2)</f>
        <v>179.03225806451613</v>
      </c>
      <c r="K19" s="79"/>
      <c r="L19" s="66"/>
      <c r="N19" s="87"/>
      <c r="O19" s="71"/>
    </row>
    <row r="20" spans="1:15" ht="33" customHeight="1">
      <c r="A20" s="915" t="s">
        <v>69</v>
      </c>
      <c r="B20" s="916"/>
      <c r="C20" s="917"/>
      <c r="D20" s="151" t="s">
        <v>142</v>
      </c>
      <c r="E20" s="95">
        <f>'30'!F19</f>
        <v>162284</v>
      </c>
      <c r="F20" s="122">
        <v>145338</v>
      </c>
      <c r="G20" s="112">
        <f t="shared" ref="G20" si="0">F20-E20</f>
        <v>-16946</v>
      </c>
      <c r="H20" s="99">
        <f>G20+'30'!H19</f>
        <v>-16991</v>
      </c>
      <c r="I20" s="335"/>
      <c r="J20" s="175">
        <f>H20/DAY(B2)</f>
        <v>-548.09677419354841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-16806</v>
      </c>
      <c r="H21" s="99">
        <f>G21+'30'!H20</f>
        <v>-11441</v>
      </c>
      <c r="I21" s="336">
        <f>I19-J21</f>
        <v>434.06451612903226</v>
      </c>
      <c r="J21" s="175">
        <f>H21/DAY(B2)</f>
        <v>-369.06451612903226</v>
      </c>
      <c r="K21" s="79"/>
      <c r="L21" s="66"/>
      <c r="N21" s="87"/>
      <c r="O21" s="71"/>
    </row>
    <row r="22" spans="1:15" ht="33" customHeight="1">
      <c r="A22" s="939" t="s">
        <v>144</v>
      </c>
      <c r="B22" s="940"/>
      <c r="C22" s="941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944" t="s">
        <v>149</v>
      </c>
      <c r="B26" s="945"/>
      <c r="C26" s="946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7148394</v>
      </c>
      <c r="I28" s="138"/>
      <c r="J28" s="175">
        <f>H28/DAY(B2)</f>
        <v>230593.35483870967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2148748</v>
      </c>
      <c r="I29" s="140"/>
      <c r="J29" s="175">
        <f>H29/DAY(B2)</f>
        <v>69314.451612903227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-16946</v>
      </c>
      <c r="F31" s="136">
        <v>146</v>
      </c>
      <c r="G31" s="137">
        <f>E31*F31</f>
        <v>-2474116</v>
      </c>
      <c r="H31" s="99">
        <f>G31+'30'!H30</f>
        <v>-2480911</v>
      </c>
      <c r="I31" s="140"/>
      <c r="J31" s="175">
        <f>H31/DAY(B2)</f>
        <v>-80029.387096774197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444000</v>
      </c>
      <c r="I32" s="140"/>
      <c r="J32" s="175">
        <f>H32/DAY(B2)</f>
        <v>14322.58064516129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-2423968</v>
      </c>
      <c r="H33" s="99">
        <f>G33+'30'!H32</f>
        <v>7260231</v>
      </c>
      <c r="I33" s="144"/>
      <c r="J33" s="175">
        <f>H33/DAY(B2)</f>
        <v>234201</v>
      </c>
      <c r="K33" s="63"/>
      <c r="L33" s="89"/>
      <c r="N33" s="87"/>
      <c r="O33" s="71"/>
    </row>
    <row r="34" spans="1:15" ht="33" customHeight="1">
      <c r="A34" s="947" t="s">
        <v>331</v>
      </c>
      <c r="B34" s="948"/>
      <c r="C34" s="948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4.9999999988358468E-2</v>
      </c>
      <c r="I36" s="95"/>
      <c r="J36" s="175">
        <f>H36/DAY(B2)</f>
        <v>1.6129032254309182E-3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-179.39999999999418</v>
      </c>
      <c r="I37" s="95"/>
      <c r="J37" s="175">
        <f>H37/DAY(B2)</f>
        <v>-5.787096774193361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1162.6900000000023</v>
      </c>
      <c r="I38" s="95"/>
      <c r="J38" s="175">
        <f>H38/DAY(B2)</f>
        <v>37.506129032258137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-602.3300000000163</v>
      </c>
      <c r="I39" s="95"/>
      <c r="J39" s="175">
        <f>H39/DAY(B2)</f>
        <v>-19.430000000000526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3886.1899999999441</v>
      </c>
      <c r="I40" s="95"/>
      <c r="J40" s="175">
        <f>H40/DAY(B2)</f>
        <v>125.36096774193368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-472.44000000000233</v>
      </c>
      <c r="I41" s="95"/>
      <c r="J41" s="175">
        <f>H41/DAY(B2)</f>
        <v>-15.240000000000075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-3238.3500000000058</v>
      </c>
      <c r="I42" s="95"/>
      <c r="J42" s="175">
        <f>H42/DAY(B2)</f>
        <v>-104.46290322580664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4605.0699999999488</v>
      </c>
      <c r="I43" s="95"/>
      <c r="J43" s="175">
        <f>H43/DAY(B2)</f>
        <v>148.55064516128866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7656.4799999998504</v>
      </c>
      <c r="I48" s="95"/>
      <c r="J48" s="175">
        <f>H48/DAY(B2)</f>
        <v>246.9832258064468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477749.23</v>
      </c>
      <c r="F50" s="145">
        <v>419822</v>
      </c>
      <c r="G50" s="112">
        <f t="shared" ref="G50:G59" si="3">F50-E50</f>
        <v>-57927.229999999981</v>
      </c>
      <c r="H50" s="99">
        <f>G50+'30'!H49</f>
        <v>-65232</v>
      </c>
      <c r="I50" s="95"/>
      <c r="J50" s="175">
        <f>H50/DAY(B2)</f>
        <v>-2104.2580645161293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281767.27</v>
      </c>
      <c r="F51" s="145">
        <v>607298</v>
      </c>
      <c r="G51" s="112">
        <f t="shared" si="3"/>
        <v>325530.73</v>
      </c>
      <c r="H51" s="99">
        <f>G51+'30'!H50</f>
        <v>570851</v>
      </c>
      <c r="I51" s="95"/>
      <c r="J51" s="175">
        <f>H51/DAY(B2)</f>
        <v>18414.548387096773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7474.5</v>
      </c>
      <c r="F52" s="145">
        <v>144640</v>
      </c>
      <c r="G52" s="112">
        <f t="shared" si="3"/>
        <v>137165.5</v>
      </c>
      <c r="H52" s="99">
        <f>G52+'30'!H51</f>
        <v>136132</v>
      </c>
      <c r="I52" s="95"/>
      <c r="J52" s="175">
        <f>H52/DAY(B2)</f>
        <v>4391.3548387096771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29502</v>
      </c>
      <c r="F54" s="145">
        <v>434232</v>
      </c>
      <c r="G54" s="112">
        <f t="shared" si="3"/>
        <v>404730</v>
      </c>
      <c r="H54" s="99">
        <f>G54+'30'!H53</f>
        <v>400371</v>
      </c>
      <c r="I54" s="95"/>
      <c r="J54" s="175">
        <f>H54/DAY(B2)</f>
        <v>12915.193548387097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87598.55</v>
      </c>
      <c r="F55" s="145">
        <v>14967</v>
      </c>
      <c r="G55" s="112">
        <f t="shared" si="3"/>
        <v>-72631.55</v>
      </c>
      <c r="H55" s="99">
        <f>G55+'30'!H54</f>
        <v>-72976</v>
      </c>
      <c r="I55" s="95"/>
      <c r="J55" s="175">
        <f>H55/DAY(B2)</f>
        <v>-2354.0645161290322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359609.95</v>
      </c>
      <c r="F56" s="145">
        <v>306268.99</v>
      </c>
      <c r="G56" s="112">
        <f t="shared" si="3"/>
        <v>-53340.960000000021</v>
      </c>
      <c r="H56" s="99">
        <f>G56+'30'!H55</f>
        <v>-56508.010000000009</v>
      </c>
      <c r="I56" s="95"/>
      <c r="J56" s="175">
        <f>H56/DAY(B2)</f>
        <v>-1822.8390322580649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123882.39</v>
      </c>
      <c r="F57" s="145">
        <v>661019</v>
      </c>
      <c r="G57" s="112">
        <f t="shared" si="3"/>
        <v>537136.61</v>
      </c>
      <c r="H57" s="99">
        <f>G57+'30'!H56</f>
        <v>537137</v>
      </c>
      <c r="I57" s="95"/>
      <c r="J57" s="175">
        <f>H57/DAY(B2)</f>
        <v>17327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223183.13</v>
      </c>
      <c r="F58" s="145">
        <v>7711</v>
      </c>
      <c r="G58" s="112">
        <f t="shared" si="3"/>
        <v>-215472.13</v>
      </c>
      <c r="H58" s="99">
        <f>G58+'30'!H57</f>
        <v>-218459</v>
      </c>
      <c r="I58" s="95"/>
      <c r="J58" s="175">
        <f>H58/DAY(B2)</f>
        <v>-7047.0645161290322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48843.7</v>
      </c>
      <c r="F59" s="145">
        <v>66014</v>
      </c>
      <c r="G59" s="112">
        <f t="shared" si="3"/>
        <v>17170.300000000003</v>
      </c>
      <c r="H59" s="99">
        <f>G59+'30'!H58</f>
        <v>16905</v>
      </c>
      <c r="I59" s="95"/>
      <c r="J59" s="175">
        <f>H59/DAY(B2)</f>
        <v>545.32258064516134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1561957.2700000003</v>
      </c>
      <c r="H60" s="99">
        <f>G60+'30'!H59</f>
        <v>1541513.9900000002</v>
      </c>
      <c r="I60" s="95">
        <f>G7-G61</f>
        <v>-1576820.2700000003</v>
      </c>
      <c r="J60" s="175">
        <f>H60/DAY(B2)</f>
        <v>49726.257741935493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1576820.2700000003</v>
      </c>
      <c r="H61" s="99">
        <f>G61+'30'!H60</f>
        <v>1549170.4700000002</v>
      </c>
      <c r="I61" s="95">
        <f>G14-G61</f>
        <v>-1576820.2700000003</v>
      </c>
      <c r="J61" s="175">
        <f>H61/DAY(B2)</f>
        <v>49973.240967741942</v>
      </c>
      <c r="K61" s="79"/>
      <c r="L61" s="66"/>
      <c r="N61" s="87"/>
      <c r="O61" s="71"/>
    </row>
    <row r="62" spans="1:15" s="68" customFormat="1" ht="33" customHeight="1">
      <c r="A62" s="949" t="s">
        <v>332</v>
      </c>
      <c r="B62" s="950"/>
      <c r="C62" s="951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915" t="s">
        <v>198</v>
      </c>
      <c r="B63" s="916"/>
      <c r="C63" s="917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915" t="s">
        <v>199</v>
      </c>
      <c r="B64" s="916"/>
      <c r="C64" s="917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187367.40999999997</v>
      </c>
      <c r="I64" s="118"/>
      <c r="J64" s="175">
        <f>H64/DAY(B2)</f>
        <v>6044.1099999999988</v>
      </c>
      <c r="K64" s="69"/>
      <c r="L64" s="66"/>
      <c r="N64" s="87"/>
      <c r="O64" s="71"/>
    </row>
    <row r="65" spans="1:15" ht="33" customHeight="1">
      <c r="A65" s="924" t="s">
        <v>200</v>
      </c>
      <c r="B65" s="925"/>
      <c r="C65" s="926"/>
      <c r="D65" s="151"/>
      <c r="E65" s="122"/>
      <c r="F65" s="122"/>
      <c r="G65" s="112">
        <f>G63+G64</f>
        <v>451111</v>
      </c>
      <c r="H65" s="99">
        <f>G65+'30'!H95</f>
        <v>451110.63206909894</v>
      </c>
      <c r="I65" s="118"/>
      <c r="J65" s="175">
        <f>H65/DAY(B2)</f>
        <v>14551.955873196739</v>
      </c>
      <c r="K65" s="69"/>
      <c r="L65" s="66"/>
      <c r="N65" s="87"/>
      <c r="O65" s="71"/>
    </row>
    <row r="66" spans="1:15" ht="33" customHeight="1">
      <c r="A66" s="915" t="s">
        <v>201</v>
      </c>
      <c r="B66" s="916"/>
      <c r="C66" s="917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414614.05999999994</v>
      </c>
      <c r="I66" s="118"/>
      <c r="J66" s="175">
        <f>H66/DAY(B2)</f>
        <v>13374.647096774192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104635.77651591787</v>
      </c>
      <c r="I67" s="118"/>
      <c r="J67" s="175">
        <f>H67/DAY(B2)</f>
        <v>3375.3476295457376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96011.189999999944</v>
      </c>
      <c r="I68" s="118"/>
      <c r="J68" s="175">
        <f>H68/DAY(B2)</f>
        <v>3097.1351612903209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152134.84744204764</v>
      </c>
      <c r="I69" s="118"/>
      <c r="J69" s="175">
        <f>H69/DAY(B2)</f>
        <v>4907.5757239370205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6374.6699999999837</v>
      </c>
      <c r="I70" s="118"/>
      <c r="J70" s="175">
        <f>H70/DAY(B2)</f>
        <v>205.63451612903174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6372.921717451256</v>
      </c>
      <c r="I71" s="118"/>
      <c r="J71" s="175">
        <f>H71/DAY(B2)</f>
        <v>205.57811991778246</v>
      </c>
      <c r="K71" s="69"/>
      <c r="L71" s="66"/>
      <c r="N71" s="87"/>
      <c r="O71" s="71"/>
    </row>
    <row r="72" spans="1:15" ht="33" customHeight="1">
      <c r="A72" s="924" t="s">
        <v>208</v>
      </c>
      <c r="B72" s="925"/>
      <c r="C72" s="926"/>
      <c r="D72" s="152"/>
      <c r="E72" s="152"/>
      <c r="F72" s="152"/>
      <c r="G72" s="153">
        <f>SUM(G66:G71)</f>
        <v>793178</v>
      </c>
      <c r="H72" s="99">
        <f>G72+'30'!H102</f>
        <v>791347.87</v>
      </c>
      <c r="I72" s="154"/>
      <c r="J72" s="175">
        <f>H72/DAY(B2)</f>
        <v>25527.350645161288</v>
      </c>
      <c r="K72" s="69"/>
      <c r="L72" s="66"/>
      <c r="N72" s="87"/>
      <c r="O72" s="71"/>
    </row>
    <row r="73" spans="1:15" s="88" customFormat="1" ht="33" customHeight="1">
      <c r="A73" s="911"/>
      <c r="B73" s="896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21" t="s">
        <v>333</v>
      </c>
      <c r="B74" s="922"/>
      <c r="C74" s="923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915" t="s">
        <v>220</v>
      </c>
      <c r="B75" s="916"/>
      <c r="C75" s="917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915" t="s">
        <v>221</v>
      </c>
      <c r="B76" s="916"/>
      <c r="C76" s="917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12" t="s">
        <v>222</v>
      </c>
      <c r="B77" s="913"/>
      <c r="C77" s="914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12" t="s">
        <v>223</v>
      </c>
      <c r="B78" s="913"/>
      <c r="C78" s="914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12" t="s">
        <v>224</v>
      </c>
      <c r="B79" s="913"/>
      <c r="C79" s="914"/>
      <c r="D79" s="151" t="s">
        <v>139</v>
      </c>
      <c r="E79" s="95">
        <f>'30'!F128</f>
        <v>127118.7</v>
      </c>
      <c r="F79" s="232">
        <v>9180</v>
      </c>
      <c r="G79" s="112">
        <f t="shared" si="6"/>
        <v>-117938.7</v>
      </c>
      <c r="H79" s="99">
        <f>G79+'30'!H128</f>
        <v>-118464</v>
      </c>
      <c r="I79" s="118"/>
      <c r="J79" s="175">
        <f>H79/DAY(B2)</f>
        <v>-3821.4193548387098</v>
      </c>
      <c r="K79" s="69"/>
      <c r="L79" s="66"/>
      <c r="N79" s="87"/>
      <c r="O79" s="71"/>
    </row>
    <row r="80" spans="1:15" s="57" customFormat="1" ht="33" customHeight="1">
      <c r="A80" s="912" t="s">
        <v>225</v>
      </c>
      <c r="B80" s="913"/>
      <c r="C80" s="914"/>
      <c r="D80" s="151"/>
      <c r="E80" s="117"/>
      <c r="F80" s="117"/>
      <c r="G80" s="112">
        <f>G16-SUM(G75:G79)</f>
        <v>-999953.7</v>
      </c>
      <c r="H80" s="99">
        <f>G80+'30'!H129</f>
        <v>-1000150.5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924" t="s">
        <v>329</v>
      </c>
      <c r="B81" s="925"/>
      <c r="C81" s="926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29" t="s">
        <v>226</v>
      </c>
      <c r="B82" s="930"/>
      <c r="C82" s="931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48201.7</v>
      </c>
      <c r="F83" s="122"/>
      <c r="G83" s="112">
        <f t="shared" ref="G83:G93" si="7">F83-E83</f>
        <v>-48201.7</v>
      </c>
      <c r="H83" s="99">
        <f>G83+'30'!H131</f>
        <v>-48449</v>
      </c>
      <c r="I83" s="118"/>
      <c r="J83" s="175">
        <f>H83/DAY(B2)</f>
        <v>-1562.8709677419354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127842.47</v>
      </c>
      <c r="F84" s="122"/>
      <c r="G84" s="112">
        <f t="shared" si="7"/>
        <v>-127842.47</v>
      </c>
      <c r="H84" s="99">
        <f>G84+'30'!H132</f>
        <v>-128174</v>
      </c>
      <c r="I84" s="118"/>
      <c r="J84" s="175">
        <f>H84/DAY(B2)</f>
        <v>-4134.6451612903229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224035.59</v>
      </c>
      <c r="F85" s="164">
        <v>40922</v>
      </c>
      <c r="G85" s="112">
        <f t="shared" si="7"/>
        <v>-183113.59</v>
      </c>
      <c r="H85" s="99">
        <f>G85+'30'!H133</f>
        <v>388119.8400000002</v>
      </c>
      <c r="I85" s="118"/>
      <c r="J85" s="175">
        <f>H85/DAY(B2)</f>
        <v>12519.994838709685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48831.78</v>
      </c>
      <c r="F86" s="164">
        <v>856</v>
      </c>
      <c r="G86" s="112">
        <f t="shared" si="7"/>
        <v>-47975.78</v>
      </c>
      <c r="H86" s="99">
        <f>G86+'30'!H134</f>
        <v>-48179</v>
      </c>
      <c r="I86" s="118">
        <f>G83+G84+G85+G86</f>
        <v>-407133.54000000004</v>
      </c>
      <c r="J86" s="175">
        <f>H86/DAY(B2)</f>
        <v>-1554.1612903225807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568352.81000000006</v>
      </c>
      <c r="I87" s="118"/>
      <c r="J87" s="175">
        <f>H87/DAY(B2)</f>
        <v>18333.961612903229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890962</v>
      </c>
      <c r="F90" s="164">
        <v>25132.959999999999</v>
      </c>
      <c r="G90" s="112">
        <f t="shared" si="7"/>
        <v>-865829.04</v>
      </c>
      <c r="H90" s="99">
        <f>G90+'30'!H138</f>
        <v>-865962.04</v>
      </c>
      <c r="I90" s="118"/>
      <c r="J90" s="175">
        <f>H90/DAY(B2)</f>
        <v>-27934.259354838712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908760</v>
      </c>
      <c r="F91" s="164">
        <v>70524.55</v>
      </c>
      <c r="G91" s="112">
        <f t="shared" si="7"/>
        <v>-838235.45</v>
      </c>
      <c r="H91" s="99">
        <f>G91+'30'!H139</f>
        <v>-838370.45</v>
      </c>
      <c r="I91" s="118">
        <f>G90+G91</f>
        <v>-1704064.49</v>
      </c>
      <c r="J91" s="175">
        <f>H91/DAY(B2)</f>
        <v>-27044.208064516126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1497.39</v>
      </c>
      <c r="F92" s="122">
        <v>2627.98</v>
      </c>
      <c r="G92" s="112">
        <f t="shared" si="7"/>
        <v>1130.5899999999999</v>
      </c>
      <c r="H92" s="99">
        <f>G92+'30'!H140</f>
        <v>1710.7499999999941</v>
      </c>
      <c r="I92" s="165"/>
      <c r="J92" s="175">
        <f>H92/DAY(B2)</f>
        <v>55.185483870967552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90248.6</v>
      </c>
      <c r="F93" s="122">
        <v>4754</v>
      </c>
      <c r="G93" s="112">
        <f t="shared" si="7"/>
        <v>-85494.6</v>
      </c>
      <c r="H93" s="99">
        <f>G93+'30'!H141</f>
        <v>-85698</v>
      </c>
      <c r="I93" s="165"/>
      <c r="J93" s="175">
        <f>H93/DAY(B2)</f>
        <v>-2764.4516129032259</v>
      </c>
      <c r="O93" s="71"/>
    </row>
    <row r="94" spans="1:15" ht="33" customHeight="1">
      <c r="A94" s="918" t="s">
        <v>239</v>
      </c>
      <c r="B94" s="919"/>
      <c r="C94" s="920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915" t="s">
        <v>240</v>
      </c>
      <c r="B95" s="916"/>
      <c r="C95" s="917"/>
      <c r="D95" s="151" t="s">
        <v>130</v>
      </c>
      <c r="E95" s="151"/>
      <c r="F95" s="151"/>
      <c r="G95" s="99">
        <f>G36+G44+G50+G58</f>
        <v>-270904.36</v>
      </c>
      <c r="H95" s="99">
        <f>G95+'30'!H143</f>
        <v>-270931.77999999997</v>
      </c>
      <c r="I95" s="118"/>
      <c r="J95" s="175">
        <f>H95/DAY(B2)</f>
        <v>-8739.7348387096772</v>
      </c>
      <c r="K95" s="69"/>
      <c r="L95" s="66"/>
      <c r="O95" s="71"/>
    </row>
    <row r="96" spans="1:15" ht="33" customHeight="1">
      <c r="A96" s="915" t="s">
        <v>241</v>
      </c>
      <c r="B96" s="916"/>
      <c r="C96" s="917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915" t="s">
        <v>242</v>
      </c>
      <c r="B97" s="916"/>
      <c r="C97" s="917"/>
      <c r="D97" s="151" t="s">
        <v>130</v>
      </c>
      <c r="E97" s="95"/>
      <c r="F97" s="95"/>
      <c r="G97" s="99">
        <f>G42+G43+G56+G57</f>
        <v>488400.64999999997</v>
      </c>
      <c r="H97" s="99">
        <f>G97+'30'!H145</f>
        <v>488392.24999999994</v>
      </c>
      <c r="I97" s="118"/>
      <c r="J97" s="175">
        <f>H97/DAY(B2)</f>
        <v>15754.588709677417</v>
      </c>
      <c r="K97" s="69"/>
      <c r="L97" s="66"/>
      <c r="O97" s="71"/>
    </row>
    <row r="98" spans="1:15" ht="33" customHeight="1">
      <c r="A98" s="915" t="s">
        <v>243</v>
      </c>
      <c r="B98" s="916"/>
      <c r="C98" s="917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915" t="s">
        <v>244</v>
      </c>
      <c r="B99" s="916"/>
      <c r="C99" s="917"/>
      <c r="D99" s="151" t="s">
        <v>130</v>
      </c>
      <c r="E99" s="95"/>
      <c r="F99" s="95"/>
      <c r="G99" s="99">
        <f>G40+G54</f>
        <v>408616</v>
      </c>
      <c r="H99" s="99">
        <f>G99+'30'!H147</f>
        <v>408231.88</v>
      </c>
      <c r="I99" s="168"/>
      <c r="J99" s="175">
        <f>H99/DAY(B2)</f>
        <v>13168.770322580645</v>
      </c>
      <c r="K99" s="69"/>
      <c r="L99" s="66"/>
      <c r="O99" s="71"/>
    </row>
    <row r="100" spans="1:15" ht="33" customHeight="1">
      <c r="A100" s="915" t="s">
        <v>245</v>
      </c>
      <c r="B100" s="916"/>
      <c r="C100" s="917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915" t="s">
        <v>246</v>
      </c>
      <c r="B101" s="916"/>
      <c r="C101" s="917"/>
      <c r="D101" s="151" t="s">
        <v>180</v>
      </c>
      <c r="E101" s="95"/>
      <c r="F101" s="95"/>
      <c r="G101" s="99">
        <f>G39+G53</f>
        <v>541264</v>
      </c>
      <c r="H101" s="99">
        <f>G101+'30'!H149</f>
        <v>540763.80000000005</v>
      </c>
      <c r="I101" s="118"/>
      <c r="J101" s="175">
        <f>H101/DAY(B2)</f>
        <v>17443.993548387098</v>
      </c>
      <c r="K101" s="70"/>
      <c r="O101" s="71"/>
    </row>
    <row r="102" spans="1:15" ht="33" customHeight="1">
      <c r="A102" s="915" t="s">
        <v>247</v>
      </c>
      <c r="B102" s="916"/>
      <c r="C102" s="917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915" t="s">
        <v>248</v>
      </c>
      <c r="B103" s="916"/>
      <c r="C103" s="917"/>
      <c r="D103" s="151" t="s">
        <v>180</v>
      </c>
      <c r="E103" s="95"/>
      <c r="F103" s="95"/>
      <c r="G103" s="99">
        <f>G37+G51</f>
        <v>326198.73</v>
      </c>
      <c r="H103" s="99">
        <f>G103+'30'!H156</f>
        <v>326062.44999999995</v>
      </c>
      <c r="I103" s="168"/>
      <c r="J103" s="175">
        <f>H103/DAY(B2)</f>
        <v>10518.143548387096</v>
      </c>
      <c r="O103" s="71"/>
    </row>
    <row r="104" spans="1:15" ht="33" customHeight="1">
      <c r="A104" s="915" t="s">
        <v>249</v>
      </c>
      <c r="B104" s="916"/>
      <c r="C104" s="917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915" t="s">
        <v>250</v>
      </c>
      <c r="B105" s="916"/>
      <c r="C105" s="917"/>
      <c r="D105" s="151" t="s">
        <v>180</v>
      </c>
      <c r="E105" s="95"/>
      <c r="F105" s="95"/>
      <c r="G105" s="99">
        <f>G38+G52</f>
        <v>138328.5</v>
      </c>
      <c r="H105" s="99">
        <f>G105+'30'!H161</f>
        <v>139166.89999999997</v>
      </c>
      <c r="I105" s="118"/>
      <c r="J105" s="175">
        <f>H105/DAY(B2)</f>
        <v>4489.2548387096767</v>
      </c>
      <c r="O105" s="71"/>
    </row>
    <row r="106" spans="1:15" ht="33" customHeight="1" thickBot="1">
      <c r="A106" s="908" t="s">
        <v>251</v>
      </c>
      <c r="B106" s="909"/>
      <c r="C106" s="910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04" t="s">
        <v>324</v>
      </c>
      <c r="B109" s="904"/>
      <c r="C109" s="904"/>
      <c r="D109" s="904"/>
      <c r="E109" s="904"/>
      <c r="F109" s="904"/>
      <c r="G109" s="904"/>
      <c r="H109" s="904"/>
      <c r="I109" s="904"/>
      <c r="J109" s="904"/>
    </row>
    <row r="110" spans="1:15" ht="33" customHeight="1">
      <c r="A110" s="932"/>
      <c r="B110" s="932"/>
    </row>
    <row r="111" spans="1:15" ht="33" customHeight="1">
      <c r="A111" s="905" t="s">
        <v>165</v>
      </c>
      <c r="B111" s="906"/>
      <c r="C111" s="906"/>
      <c r="D111" s="906"/>
      <c r="E111" s="906"/>
      <c r="F111" s="906"/>
      <c r="G111" s="906"/>
      <c r="H111" s="906"/>
      <c r="I111" s="906"/>
      <c r="J111" s="907"/>
    </row>
    <row r="112" spans="1:15" ht="33" customHeight="1">
      <c r="A112" s="898"/>
      <c r="B112" s="899"/>
      <c r="C112" s="900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894" t="s">
        <v>252</v>
      </c>
      <c r="B113" s="895"/>
      <c r="C113" s="896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894" t="s">
        <v>253</v>
      </c>
      <c r="B114" s="895"/>
      <c r="C114" s="896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894" t="s">
        <v>254</v>
      </c>
      <c r="B115" s="895"/>
      <c r="C115" s="896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894" t="s">
        <v>255</v>
      </c>
      <c r="B116" s="895"/>
      <c r="C116" s="896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01" t="s">
        <v>96</v>
      </c>
      <c r="B117" s="902"/>
      <c r="C117" s="903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44980</v>
      </c>
      <c r="I117" s="165"/>
      <c r="J117" s="328" t="e">
        <f t="shared" si="9"/>
        <v>#DIV/0!</v>
      </c>
      <c r="Q117" s="894"/>
      <c r="R117" s="896"/>
    </row>
    <row r="118" spans="1:18" ht="33" customHeight="1">
      <c r="A118" s="901" t="s">
        <v>184</v>
      </c>
      <c r="B118" s="902"/>
      <c r="C118" s="903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44917</v>
      </c>
      <c r="I118" s="165"/>
      <c r="J118" s="328" t="e">
        <f t="shared" si="9"/>
        <v>#DIV/0!</v>
      </c>
      <c r="Q118" s="894"/>
      <c r="R118" s="896"/>
    </row>
    <row r="119" spans="1:18" ht="33" customHeight="1">
      <c r="A119" s="893" t="s">
        <v>97</v>
      </c>
      <c r="B119" s="893"/>
      <c r="C119" s="893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44921</v>
      </c>
      <c r="I119" s="165"/>
      <c r="J119" s="328" t="e">
        <f t="shared" si="9"/>
        <v>#DIV/0!</v>
      </c>
      <c r="Q119" s="894"/>
      <c r="R119" s="896"/>
    </row>
    <row r="120" spans="1:18" ht="33" customHeight="1">
      <c r="A120" s="893" t="s">
        <v>98</v>
      </c>
      <c r="B120" s="893"/>
      <c r="C120" s="893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44952</v>
      </c>
      <c r="I120" s="165"/>
      <c r="J120" s="328" t="e">
        <f t="shared" si="9"/>
        <v>#DIV/0!</v>
      </c>
    </row>
    <row r="121" spans="1:18" ht="33" customHeight="1">
      <c r="A121" s="893" t="s">
        <v>99</v>
      </c>
      <c r="B121" s="893"/>
      <c r="C121" s="893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93" t="s">
        <v>100</v>
      </c>
      <c r="B122" s="893"/>
      <c r="C122" s="893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44824</v>
      </c>
      <c r="I122" s="165"/>
      <c r="J122" s="328" t="e">
        <f t="shared" si="9"/>
        <v>#DIV/0!</v>
      </c>
    </row>
    <row r="123" spans="1:18" ht="33" customHeight="1">
      <c r="A123" s="893" t="s">
        <v>101</v>
      </c>
      <c r="B123" s="893"/>
      <c r="C123" s="893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44933</v>
      </c>
      <c r="I123" s="165"/>
      <c r="J123" s="328" t="e">
        <f t="shared" si="9"/>
        <v>#DIV/0!</v>
      </c>
    </row>
    <row r="124" spans="1:18" ht="33" customHeight="1">
      <c r="A124" s="893" t="s">
        <v>102</v>
      </c>
      <c r="B124" s="893"/>
      <c r="C124" s="893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44933</v>
      </c>
      <c r="I124" s="165"/>
      <c r="J124" s="328" t="e">
        <f t="shared" si="9"/>
        <v>#DIV/0!</v>
      </c>
    </row>
    <row r="125" spans="1:18" ht="33" customHeight="1">
      <c r="A125" s="898"/>
      <c r="B125" s="899"/>
      <c r="C125" s="900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881"/>
      <c r="B126" s="881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897" t="s">
        <v>317</v>
      </c>
      <c r="B127" s="897"/>
      <c r="C127" s="897"/>
      <c r="D127" s="897"/>
      <c r="E127" s="897"/>
      <c r="F127" s="897"/>
      <c r="G127" s="897"/>
      <c r="H127" s="897"/>
      <c r="I127" s="897"/>
      <c r="J127" s="897"/>
    </row>
    <row r="128" spans="1:18" ht="33" customHeight="1">
      <c r="A128" s="881"/>
      <c r="B128" s="881"/>
      <c r="C128" s="245"/>
      <c r="D128" s="307"/>
      <c r="E128" s="308"/>
      <c r="F128" s="308"/>
      <c r="G128" s="309"/>
      <c r="H128" s="99">
        <f>G128+'30'!H184</f>
        <v>-11</v>
      </c>
      <c r="I128" s="165"/>
      <c r="J128" s="328" t="e">
        <f t="shared" ref="J128:J136" si="10">H128/DAY(B47)</f>
        <v>#DIV/0!</v>
      </c>
    </row>
    <row r="129" spans="1:15" ht="33" customHeight="1">
      <c r="A129" s="894" t="s">
        <v>318</v>
      </c>
      <c r="B129" s="895"/>
      <c r="C129" s="896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-17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-168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894" t="s">
        <v>321</v>
      </c>
      <c r="B132" s="895"/>
      <c r="C132" s="896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2472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894" t="s">
        <v>322</v>
      </c>
      <c r="B133" s="895"/>
      <c r="C133" s="896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1200</v>
      </c>
      <c r="I133" s="165"/>
      <c r="J133" s="328" t="e">
        <f t="shared" si="10"/>
        <v>#DIV/0!</v>
      </c>
    </row>
    <row r="134" spans="1:15" ht="33" customHeight="1">
      <c r="A134" s="894" t="s">
        <v>323</v>
      </c>
      <c r="B134" s="895"/>
      <c r="C134" s="896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898"/>
      <c r="B135" s="899"/>
      <c r="C135" s="900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898"/>
      <c r="B136" s="899"/>
      <c r="C136" s="900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880" t="s">
        <v>325</v>
      </c>
      <c r="B137" s="880"/>
      <c r="C137" s="880"/>
      <c r="D137" s="880"/>
      <c r="E137" s="880"/>
      <c r="F137" s="880"/>
      <c r="G137" s="880"/>
      <c r="H137" s="880"/>
      <c r="I137" s="880"/>
      <c r="J137" s="880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93" t="s">
        <v>185</v>
      </c>
      <c r="B139" s="893"/>
      <c r="C139" s="893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93" t="s">
        <v>186</v>
      </c>
      <c r="B140" s="893"/>
      <c r="C140" s="893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93" t="s">
        <v>187</v>
      </c>
      <c r="B141" s="893"/>
      <c r="C141" s="893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72" t="s">
        <v>188</v>
      </c>
      <c r="B142" s="872"/>
      <c r="C142" s="872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72" t="s">
        <v>189</v>
      </c>
      <c r="B143" s="872"/>
      <c r="C143" s="872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93" t="s">
        <v>190</v>
      </c>
      <c r="B144" s="893"/>
      <c r="C144" s="893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28" t="s">
        <v>191</v>
      </c>
      <c r="B145" s="913"/>
      <c r="C145" s="914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72" t="s">
        <v>90</v>
      </c>
      <c r="B146" s="872"/>
      <c r="C146" s="872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72" t="s">
        <v>192</v>
      </c>
      <c r="B147" s="872"/>
      <c r="C147" s="872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72" t="s">
        <v>193</v>
      </c>
      <c r="B148" s="872"/>
      <c r="C148" s="872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72" t="s">
        <v>91</v>
      </c>
      <c r="B149" s="872"/>
      <c r="C149" s="872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72" t="s">
        <v>194</v>
      </c>
      <c r="B150" s="872"/>
      <c r="C150" s="872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880" t="s">
        <v>326</v>
      </c>
      <c r="B153" s="880"/>
      <c r="C153" s="880"/>
      <c r="D153" s="880"/>
      <c r="E153" s="880"/>
      <c r="F153" s="880"/>
      <c r="G153" s="880"/>
      <c r="H153" s="880"/>
      <c r="I153" s="880"/>
      <c r="J153" s="880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881" t="s">
        <v>328</v>
      </c>
      <c r="B159" s="881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881" t="s">
        <v>327</v>
      </c>
      <c r="B160" s="881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881" t="s">
        <v>328</v>
      </c>
      <c r="B161" s="881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882" t="s">
        <v>330</v>
      </c>
      <c r="B164" s="883"/>
      <c r="C164" s="883"/>
      <c r="D164" s="883"/>
      <c r="E164" s="883"/>
      <c r="F164" s="883"/>
      <c r="G164" s="883"/>
      <c r="H164" s="883"/>
      <c r="I164" s="883"/>
      <c r="J164" s="884"/>
    </row>
    <row r="165" spans="1:10" ht="33" customHeight="1">
      <c r="A165" s="891"/>
      <c r="B165" s="892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87" t="s">
        <v>209</v>
      </c>
      <c r="B166" s="888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87" t="s">
        <v>75</v>
      </c>
      <c r="B167" s="888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87" t="s">
        <v>76</v>
      </c>
      <c r="B168" s="927"/>
      <c r="C168" s="888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87" t="s">
        <v>196</v>
      </c>
      <c r="B169" s="888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87" t="s">
        <v>77</v>
      </c>
      <c r="B170" s="888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87" t="s">
        <v>210</v>
      </c>
      <c r="B171" s="888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87" t="s">
        <v>211</v>
      </c>
      <c r="B172" s="888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87" t="s">
        <v>212</v>
      </c>
      <c r="B173" s="888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878" t="s">
        <v>108</v>
      </c>
      <c r="B174" s="879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87" t="s">
        <v>213</v>
      </c>
      <c r="B175" s="888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87" t="s">
        <v>214</v>
      </c>
      <c r="B176" s="888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87" t="s">
        <v>215</v>
      </c>
      <c r="B177" s="888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87" t="s">
        <v>216</v>
      </c>
      <c r="B178" s="888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87" t="s">
        <v>196</v>
      </c>
      <c r="B179" s="888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878" t="s">
        <v>217</v>
      </c>
      <c r="B180" s="879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878" t="s">
        <v>218</v>
      </c>
      <c r="B181" s="879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878" t="s">
        <v>219</v>
      </c>
      <c r="B182" s="879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878"/>
      <c r="B183" s="879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2022-05-15T06:01:40Z</cp:lastPrinted>
  <dcterms:created xsi:type="dcterms:W3CDTF">2013-11-14T06:06:34Z</dcterms:created>
  <dcterms:modified xsi:type="dcterms:W3CDTF">2022-08-08T05:57:22Z</dcterms:modified>
</cp:coreProperties>
</file>