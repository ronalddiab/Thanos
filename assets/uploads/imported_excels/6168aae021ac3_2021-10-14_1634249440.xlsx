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eu.nguyen\Desktop\HEP Info\HEP Daily 2021\"/>
    </mc:Choice>
  </mc:AlternateContent>
  <xr:revisionPtr revIDLastSave="0" documentId="13_ncr:1_{0C806468-4641-45A7-BBE9-880BA1385B6C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TOTAL" sheetId="1" r:id="rId1"/>
    <sheet name="March" sheetId="2" r:id="rId2"/>
  </sheets>
  <calcPr calcId="191029"/>
</workbook>
</file>

<file path=xl/calcChain.xml><?xml version="1.0" encoding="utf-8"?>
<calcChain xmlns="http://schemas.openxmlformats.org/spreadsheetml/2006/main">
  <c r="Q39" i="2" l="1"/>
  <c r="O39" i="2"/>
  <c r="M39" i="2"/>
  <c r="K39" i="2"/>
  <c r="I39" i="2"/>
  <c r="G39" i="2"/>
  <c r="E39" i="2"/>
  <c r="C39" i="2"/>
  <c r="M32" i="1" l="1"/>
  <c r="K32" i="1"/>
  <c r="I32" i="1"/>
  <c r="G32" i="1"/>
  <c r="E32" i="1"/>
  <c r="B32" i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E9" i="1"/>
  <c r="E30" i="1"/>
  <c r="E31" i="1"/>
  <c r="Q38" i="2"/>
  <c r="O38" i="2"/>
  <c r="M38" i="2"/>
  <c r="K38" i="2"/>
  <c r="I38" i="2"/>
  <c r="G38" i="2"/>
  <c r="E38" i="2"/>
  <c r="G31" i="1" s="1"/>
  <c r="C38" i="2"/>
  <c r="Q37" i="2"/>
  <c r="O37" i="2"/>
  <c r="M37" i="2"/>
  <c r="K37" i="2"/>
  <c r="I37" i="2"/>
  <c r="G37" i="2"/>
  <c r="E37" i="2"/>
  <c r="G30" i="1" s="1"/>
  <c r="C37" i="2"/>
  <c r="Q36" i="2"/>
  <c r="O36" i="2"/>
  <c r="I29" i="1" s="1"/>
  <c r="M36" i="2"/>
  <c r="K36" i="2"/>
  <c r="I36" i="2"/>
  <c r="G36" i="2"/>
  <c r="E36" i="2"/>
  <c r="G29" i="1" s="1"/>
  <c r="C36" i="2"/>
  <c r="E29" i="1" s="1"/>
  <c r="Q35" i="2"/>
  <c r="O35" i="2"/>
  <c r="M35" i="2"/>
  <c r="K35" i="2"/>
  <c r="I35" i="2"/>
  <c r="G35" i="2"/>
  <c r="K28" i="1" s="1"/>
  <c r="E35" i="2"/>
  <c r="G28" i="1" s="1"/>
  <c r="C35" i="2"/>
  <c r="E28" i="1" s="1"/>
  <c r="Q34" i="2"/>
  <c r="O34" i="2"/>
  <c r="M34" i="2"/>
  <c r="K27" i="1" s="1"/>
  <c r="K34" i="2"/>
  <c r="I34" i="2"/>
  <c r="G34" i="2"/>
  <c r="E34" i="2"/>
  <c r="G27" i="1" s="1"/>
  <c r="C34" i="2"/>
  <c r="E27" i="1" s="1"/>
  <c r="Q33" i="2"/>
  <c r="O33" i="2"/>
  <c r="I26" i="1" s="1"/>
  <c r="M33" i="2"/>
  <c r="K33" i="2"/>
  <c r="I33" i="2"/>
  <c r="G33" i="2"/>
  <c r="E33" i="2"/>
  <c r="G26" i="1" s="1"/>
  <c r="C33" i="2"/>
  <c r="E26" i="1" s="1"/>
  <c r="Q32" i="2"/>
  <c r="O32" i="2"/>
  <c r="M32" i="2"/>
  <c r="K32" i="2"/>
  <c r="I32" i="2"/>
  <c r="G32" i="2"/>
  <c r="K25" i="1" s="1"/>
  <c r="E32" i="2"/>
  <c r="G25" i="1" s="1"/>
  <c r="C32" i="2"/>
  <c r="E25" i="1" s="1"/>
  <c r="Q31" i="2"/>
  <c r="O31" i="2"/>
  <c r="M31" i="2"/>
  <c r="K31" i="2"/>
  <c r="I31" i="2"/>
  <c r="G31" i="2"/>
  <c r="E31" i="2"/>
  <c r="G24" i="1" s="1"/>
  <c r="C31" i="2"/>
  <c r="E24" i="1" s="1"/>
  <c r="Q30" i="2"/>
  <c r="O30" i="2"/>
  <c r="I23" i="1" s="1"/>
  <c r="M30" i="2"/>
  <c r="K30" i="2"/>
  <c r="I30" i="2"/>
  <c r="G30" i="2"/>
  <c r="E30" i="2"/>
  <c r="G23" i="1" s="1"/>
  <c r="C30" i="2"/>
  <c r="E23" i="1" s="1"/>
  <c r="Q29" i="2"/>
  <c r="O29" i="2"/>
  <c r="M29" i="2"/>
  <c r="K29" i="2"/>
  <c r="I29" i="2"/>
  <c r="G29" i="2"/>
  <c r="K22" i="1" s="1"/>
  <c r="E29" i="2"/>
  <c r="G22" i="1" s="1"/>
  <c r="C29" i="2"/>
  <c r="E22" i="1" s="1"/>
  <c r="Q28" i="2"/>
  <c r="O28" i="2"/>
  <c r="M28" i="2"/>
  <c r="K21" i="1" s="1"/>
  <c r="K28" i="2"/>
  <c r="I28" i="2"/>
  <c r="G28" i="2"/>
  <c r="E28" i="2"/>
  <c r="G21" i="1" s="1"/>
  <c r="C28" i="2"/>
  <c r="E21" i="1" s="1"/>
  <c r="Q27" i="2"/>
  <c r="O27" i="2"/>
  <c r="I20" i="1" s="1"/>
  <c r="M27" i="2"/>
  <c r="K27" i="2"/>
  <c r="I27" i="2"/>
  <c r="G27" i="2"/>
  <c r="E27" i="2"/>
  <c r="G20" i="1" s="1"/>
  <c r="C27" i="2"/>
  <c r="E20" i="1" s="1"/>
  <c r="Q26" i="2"/>
  <c r="O26" i="2"/>
  <c r="M26" i="2"/>
  <c r="K26" i="2"/>
  <c r="I26" i="2"/>
  <c r="G26" i="2"/>
  <c r="E26" i="2"/>
  <c r="G19" i="1" s="1"/>
  <c r="C26" i="2"/>
  <c r="E19" i="1" s="1"/>
  <c r="Q25" i="2"/>
  <c r="O25" i="2"/>
  <c r="M25" i="2"/>
  <c r="K25" i="2"/>
  <c r="I25" i="2"/>
  <c r="G25" i="2"/>
  <c r="E25" i="2"/>
  <c r="G18" i="1" s="1"/>
  <c r="C25" i="2"/>
  <c r="E18" i="1" s="1"/>
  <c r="Q24" i="2"/>
  <c r="O24" i="2"/>
  <c r="I17" i="1" s="1"/>
  <c r="M24" i="2"/>
  <c r="K24" i="2"/>
  <c r="I24" i="2"/>
  <c r="G24" i="2"/>
  <c r="E24" i="2"/>
  <c r="G17" i="1" s="1"/>
  <c r="C24" i="2"/>
  <c r="E17" i="1" s="1"/>
  <c r="Q23" i="2"/>
  <c r="O23" i="2"/>
  <c r="M23" i="2"/>
  <c r="K23" i="2"/>
  <c r="I23" i="2"/>
  <c r="G23" i="2"/>
  <c r="K16" i="1" s="1"/>
  <c r="E23" i="2"/>
  <c r="G16" i="1" s="1"/>
  <c r="C23" i="2"/>
  <c r="E16" i="1" s="1"/>
  <c r="Q22" i="2"/>
  <c r="O22" i="2"/>
  <c r="M22" i="2"/>
  <c r="K15" i="1" s="1"/>
  <c r="K22" i="2"/>
  <c r="I22" i="2"/>
  <c r="G22" i="2"/>
  <c r="E22" i="2"/>
  <c r="G15" i="1" s="1"/>
  <c r="C22" i="2"/>
  <c r="E15" i="1" s="1"/>
  <c r="Q21" i="2"/>
  <c r="O21" i="2"/>
  <c r="I14" i="1" s="1"/>
  <c r="M21" i="2"/>
  <c r="K21" i="2"/>
  <c r="I21" i="2"/>
  <c r="G21" i="2"/>
  <c r="E21" i="2"/>
  <c r="G14" i="1" s="1"/>
  <c r="C21" i="2"/>
  <c r="E14" i="1" s="1"/>
  <c r="Q20" i="2"/>
  <c r="O20" i="2"/>
  <c r="M20" i="2"/>
  <c r="K20" i="2"/>
  <c r="I20" i="2"/>
  <c r="G20" i="2"/>
  <c r="K13" i="1" s="1"/>
  <c r="E20" i="2"/>
  <c r="G13" i="1" s="1"/>
  <c r="C20" i="2"/>
  <c r="E13" i="1" s="1"/>
  <c r="Q19" i="2"/>
  <c r="O19" i="2"/>
  <c r="M19" i="2"/>
  <c r="K19" i="2"/>
  <c r="I19" i="2"/>
  <c r="G19" i="2"/>
  <c r="E19" i="2"/>
  <c r="G12" i="1" s="1"/>
  <c r="C19" i="2"/>
  <c r="E12" i="1" s="1"/>
  <c r="Q18" i="2"/>
  <c r="O18" i="2"/>
  <c r="I11" i="1" s="1"/>
  <c r="M18" i="2"/>
  <c r="K18" i="2"/>
  <c r="I18" i="2"/>
  <c r="G18" i="2"/>
  <c r="E18" i="2"/>
  <c r="G11" i="1" s="1"/>
  <c r="C18" i="2"/>
  <c r="E11" i="1" s="1"/>
  <c r="Q17" i="2"/>
  <c r="O17" i="2"/>
  <c r="M17" i="2"/>
  <c r="K17" i="2"/>
  <c r="I17" i="2"/>
  <c r="G17" i="2"/>
  <c r="K10" i="1" s="1"/>
  <c r="E17" i="2"/>
  <c r="G10" i="1" s="1"/>
  <c r="C17" i="2"/>
  <c r="E10" i="1" s="1"/>
  <c r="Q16" i="2"/>
  <c r="O16" i="2"/>
  <c r="M16" i="2"/>
  <c r="K9" i="1" s="1"/>
  <c r="K16" i="2"/>
  <c r="I16" i="2"/>
  <c r="G16" i="2"/>
  <c r="E16" i="2"/>
  <c r="G9" i="1" s="1"/>
  <c r="C16" i="2"/>
  <c r="Q15" i="2"/>
  <c r="O15" i="2"/>
  <c r="I8" i="1" s="1"/>
  <c r="M15" i="2"/>
  <c r="K15" i="2"/>
  <c r="I15" i="2"/>
  <c r="G15" i="2"/>
  <c r="E15" i="2"/>
  <c r="G8" i="1" s="1"/>
  <c r="C15" i="2"/>
  <c r="E8" i="1" s="1"/>
  <c r="Q14" i="2"/>
  <c r="O14" i="2"/>
  <c r="M14" i="2"/>
  <c r="K14" i="2"/>
  <c r="I14" i="2"/>
  <c r="G14" i="2"/>
  <c r="E14" i="2"/>
  <c r="G7" i="1" s="1"/>
  <c r="C14" i="2"/>
  <c r="E7" i="1" s="1"/>
  <c r="Q13" i="2"/>
  <c r="O13" i="2"/>
  <c r="M13" i="2"/>
  <c r="K13" i="2"/>
  <c r="I13" i="2"/>
  <c r="G13" i="2"/>
  <c r="E13" i="2"/>
  <c r="G6" i="1" s="1"/>
  <c r="C13" i="2"/>
  <c r="E6" i="1" s="1"/>
  <c r="Q12" i="2"/>
  <c r="O12" i="2"/>
  <c r="I5" i="1" s="1"/>
  <c r="M12" i="2"/>
  <c r="K12" i="2"/>
  <c r="I12" i="2"/>
  <c r="G12" i="2"/>
  <c r="E12" i="2"/>
  <c r="G5" i="1" s="1"/>
  <c r="C12" i="2"/>
  <c r="E5" i="1" s="1"/>
  <c r="Q11" i="2"/>
  <c r="O11" i="2"/>
  <c r="M11" i="2"/>
  <c r="K11" i="2"/>
  <c r="I11" i="2"/>
  <c r="G11" i="2"/>
  <c r="K4" i="1" s="1"/>
  <c r="E11" i="2"/>
  <c r="G4" i="1" s="1"/>
  <c r="C11" i="2"/>
  <c r="E4" i="1" s="1"/>
  <c r="Q10" i="2"/>
  <c r="O10" i="2"/>
  <c r="M10" i="2"/>
  <c r="K3" i="1" s="1"/>
  <c r="K10" i="2"/>
  <c r="I10" i="2"/>
  <c r="G10" i="2"/>
  <c r="E10" i="2"/>
  <c r="G3" i="1" s="1"/>
  <c r="C10" i="2"/>
  <c r="E3" i="1" s="1"/>
  <c r="Q9" i="2"/>
  <c r="O9" i="2"/>
  <c r="O41" i="2" s="1"/>
  <c r="M9" i="2"/>
  <c r="M41" i="2" s="1"/>
  <c r="K9" i="2"/>
  <c r="I9" i="2"/>
  <c r="G9" i="2"/>
  <c r="E9" i="2"/>
  <c r="C9" i="2"/>
  <c r="I4" i="1" l="1"/>
  <c r="I10" i="1"/>
  <c r="I13" i="1"/>
  <c r="I16" i="1"/>
  <c r="I19" i="1"/>
  <c r="I22" i="1"/>
  <c r="I28" i="1"/>
  <c r="I31" i="1"/>
  <c r="G41" i="2"/>
  <c r="I3" i="1"/>
  <c r="K5" i="1"/>
  <c r="I9" i="1"/>
  <c r="K11" i="1"/>
  <c r="K14" i="1"/>
  <c r="I15" i="1"/>
  <c r="K17" i="1"/>
  <c r="K20" i="1"/>
  <c r="I21" i="1"/>
  <c r="K23" i="1"/>
  <c r="K26" i="1"/>
  <c r="I27" i="1"/>
  <c r="K29" i="1"/>
  <c r="K7" i="1"/>
  <c r="K19" i="1"/>
  <c r="K31" i="1"/>
  <c r="K6" i="1"/>
  <c r="I7" i="1"/>
  <c r="K12" i="1"/>
  <c r="K18" i="1"/>
  <c r="K24" i="1"/>
  <c r="I25" i="1"/>
  <c r="K30" i="1"/>
  <c r="Q41" i="2"/>
  <c r="I6" i="1"/>
  <c r="I12" i="1"/>
  <c r="I18" i="1"/>
  <c r="I24" i="1"/>
  <c r="I30" i="1"/>
  <c r="I2" i="1"/>
  <c r="K8" i="1"/>
  <c r="K41" i="2"/>
  <c r="I41" i="2"/>
  <c r="E41" i="2"/>
  <c r="G2" i="1"/>
  <c r="C41" i="2"/>
  <c r="E2" i="1"/>
  <c r="K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<sst xmlns="http://schemas.openxmlformats.org/spreadsheetml/2006/main" count="73" uniqueCount="35">
  <si>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</si>
  <si>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</si>
  <si>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</si>
  <si>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</si>
  <si>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</si>
  <si>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</si>
  <si>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</si>
  <si>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San Francisco at Embarcadero</t>
  </si>
  <si>
    <t>PREVIOUS Meter Reading</t>
  </si>
  <si>
    <t>DATE</t>
  </si>
  <si>
    <t>1B</t>
  </si>
  <si>
    <t>4TH</t>
  </si>
  <si>
    <t>36TH</t>
  </si>
  <si>
    <t>EAST PENT.</t>
  </si>
  <si>
    <r>
      <rPr>
        <b/>
        <sz val="9.5"/>
        <color theme="1"/>
        <rFont val="Calibri Light"/>
        <family val="2"/>
        <scheme val="major"/>
      </rPr>
      <t>ELECTRIC</t>
    </r>
    <r>
      <rPr>
        <sz val="9.5"/>
        <color theme="1"/>
        <rFont val="Calibri Light"/>
        <family val="2"/>
        <scheme val="major"/>
      </rPr>
      <t xml:space="preserve"> (kWh)</t>
    </r>
  </si>
  <si>
    <t>Usage (kWh)</t>
  </si>
  <si>
    <r>
      <rPr>
        <b/>
        <sz val="9.5"/>
        <color theme="1"/>
        <rFont val="Calibri Light"/>
        <family val="2"/>
        <scheme val="major"/>
      </rPr>
      <t>GAS</t>
    </r>
    <r>
      <rPr>
        <sz val="9.5"/>
        <color theme="1"/>
        <rFont val="Calibri Light"/>
        <family val="2"/>
        <scheme val="major"/>
      </rPr>
      <t xml:space="preserve">      (CCF)</t>
    </r>
  </si>
  <si>
    <t>Usage   (Therms)</t>
  </si>
  <si>
    <r>
      <t xml:space="preserve">STEAM </t>
    </r>
    <r>
      <rPr>
        <sz val="9.5"/>
        <color theme="1"/>
        <rFont val="Calibri Light"/>
        <family val="2"/>
        <scheme val="major"/>
      </rPr>
      <t>(Mlbs)</t>
    </r>
  </si>
  <si>
    <t>Usage (Mlbs)</t>
  </si>
  <si>
    <r>
      <rPr>
        <b/>
        <sz val="9.5"/>
        <color theme="1"/>
        <rFont val="Calibri Light"/>
        <family val="2"/>
        <scheme val="major"/>
      </rPr>
      <t>WATER</t>
    </r>
    <r>
      <rPr>
        <sz val="9.5"/>
        <color theme="1"/>
        <rFont val="Calibri Light"/>
        <family val="2"/>
        <scheme val="major"/>
      </rPr>
      <t xml:space="preserve">    (Gallons)</t>
    </r>
  </si>
  <si>
    <t>Usage      (Gallons)</t>
  </si>
  <si>
    <r>
      <t xml:space="preserve">CT - 5    </t>
    </r>
    <r>
      <rPr>
        <sz val="9.5"/>
        <color theme="1"/>
        <rFont val="Calibri Light"/>
        <family val="2"/>
        <scheme val="major"/>
      </rPr>
      <t>(Gallons)</t>
    </r>
  </si>
  <si>
    <t>Usage (Gallons)</t>
  </si>
  <si>
    <r>
      <t xml:space="preserve">WATER </t>
    </r>
    <r>
      <rPr>
        <sz val="9.5"/>
        <color theme="1"/>
        <rFont val="Calibri Light"/>
        <family val="2"/>
        <scheme val="major"/>
      </rPr>
      <t>(Gallons)</t>
    </r>
  </si>
  <si>
    <r>
      <t xml:space="preserve">CT -3    </t>
    </r>
    <r>
      <rPr>
        <sz val="9.5"/>
        <color theme="1"/>
        <rFont val="Calibri Light"/>
        <family val="2"/>
        <scheme val="major"/>
      </rPr>
      <t>(Gallons)</t>
    </r>
  </si>
  <si>
    <t>Total</t>
  </si>
  <si>
    <t>Natual Gas (Therms)</t>
  </si>
  <si>
    <t>Natural Gas $/Therms</t>
  </si>
  <si>
    <t>Water Utility Supply (USG) USG</t>
  </si>
  <si>
    <t>Water Utility Supply (USG) $/USG</t>
  </si>
  <si>
    <t>District Energy Heating Steam Mlbs</t>
  </si>
  <si>
    <t>District Energy Heating $/Steam Mlbs</t>
  </si>
  <si>
    <t>Room Nights</t>
  </si>
  <si>
    <t>MONTHLY METER READINGS:  March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</si>
</sst>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3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.5"/>
      <color theme="1"/>
      <name val="Calibri Light"/>
      <family val="2"/>
      <scheme val="major"/>
    </font>
    <font>
      <b/>
      <sz val="9.5"/>
      <color theme="1"/>
      <name val="Calibri Light"/>
      <family val="2"/>
      <scheme val="major"/>
    </font>
    <font>
      <sz val="10.5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</xdr:colOff>
      <xdr:row>0</xdr:row>
      <xdr:rowOff>0</xdr:rowOff>
    </xdr:from>
    <xdr:ext cx="1752600" cy="1123951"/>
    <xdr:pic>
      <xdr:nvPicPr>
        <xdr:cNvPr id="2" name="Picture 1">
          <a:extLst>
            <a:ext uri="{FF2B5EF4-FFF2-40B4-BE49-F238E27FC236}">
              <a16:creationId xmlns:a16="http://schemas.microsoft.com/office/drawing/2014/main" id="{D357C45F-DB8B-4BDB-A398-26FF7A919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5650" y="0"/>
          <a:ext cx="1752600" cy="11239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2"/>
  <sheetViews>
    <sheetView tabSelected="1" topLeftCell="E13" workbookViewId="0">
      <selection activeCell="M30" sqref="M30"/>
    </sheetView>
  </sheetViews>
  <sheetFormatPr defaultColWidth="11.5703125" defaultRowHeight="15" x14ac:dyDescent="0.25"/>
  <cols>
    <col min="1" max="1" width="27.42578125" style="3" bestFit="1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2" width="11.5703125" style="12"/>
    <col min="13" max="25" width="11.5703125" style="1"/>
  </cols>
  <sheetData>
    <row r="1" spans="1:25" s="3" customFormat="1" ht="75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27</v>
      </c>
      <c r="H1" s="8" t="s">
        <v>28</v>
      </c>
      <c r="I1" s="7" t="s">
        <v>29</v>
      </c>
      <c r="J1" s="11" t="s">
        <v>30</v>
      </c>
      <c r="K1" s="7" t="s">
        <v>31</v>
      </c>
      <c r="L1" s="8" t="s">
        <v>32</v>
      </c>
      <c r="M1" s="7" t="s">
        <v>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 t="s">
        <v>7</v>
      </c>
      <c r="B2" s="2">
        <v>1</v>
      </c>
      <c r="C2" s="14">
        <v>10</v>
      </c>
      <c r="D2" s="2">
        <v>2021</v>
      </c>
      <c r="E2" s="4">
        <f>IF(March!C9&gt;0,March!C9,0)</f>
        <v>6900</v>
      </c>
      <c r="F2" s="9">
        <v>0.13750000000000001</v>
      </c>
      <c r="G2" s="4">
        <f>IF(March!E9&gt;0,March!E9,0)</f>
        <v>15.704999999999998</v>
      </c>
      <c r="H2" s="10">
        <v>1.71</v>
      </c>
      <c r="I2" s="4">
        <f>IF((March!I9+March!O9)&gt;0,(March!I9+March!O9),0)</f>
        <v>10147</v>
      </c>
      <c r="J2" s="10">
        <v>0.04</v>
      </c>
      <c r="K2" s="4">
        <f>IF((March!G9+March!M9)&gt;0,(March!G9+March!M9),0)</f>
        <v>7.7</v>
      </c>
      <c r="L2" s="10">
        <v>35.36</v>
      </c>
      <c r="M2" s="4">
        <f>March!R9</f>
        <v>0</v>
      </c>
    </row>
    <row r="3" spans="1:25" x14ac:dyDescent="0.25">
      <c r="A3" s="3" t="s">
        <v>7</v>
      </c>
      <c r="B3" s="2">
        <f>B2+1</f>
        <v>2</v>
      </c>
      <c r="C3" s="14">
        <v>10</v>
      </c>
      <c r="D3" s="14">
        <v>2021</v>
      </c>
      <c r="E3" s="4">
        <f>IF(March!C10&gt;0,March!C10,0)</f>
        <v>5700</v>
      </c>
      <c r="F3" s="9">
        <v>0.13750000000000001</v>
      </c>
      <c r="G3" s="4">
        <f>IF(March!E10&gt;0,March!E10,0)</f>
        <v>8.3759999999999994</v>
      </c>
      <c r="H3" s="10">
        <v>1.71</v>
      </c>
      <c r="I3" s="4">
        <f>IF((March!I10+March!O10)&gt;0,(March!I10+March!O10),0)</f>
        <v>7017</v>
      </c>
      <c r="J3" s="10">
        <v>0.04</v>
      </c>
      <c r="K3" s="4">
        <f>IF((March!G10+March!M10)&gt;0,(March!G10+March!M10),0)</f>
        <v>7.1000000000000005</v>
      </c>
      <c r="L3" s="10">
        <v>35.36</v>
      </c>
      <c r="M3" s="4">
        <f>March!R10</f>
        <v>0</v>
      </c>
      <c r="O3" s="4"/>
    </row>
    <row r="4" spans="1:25" x14ac:dyDescent="0.25">
      <c r="A4" s="3" t="s">
        <v>7</v>
      </c>
      <c r="B4" s="2">
        <f t="shared" ref="B4:B32" si="0">B3+1</f>
        <v>3</v>
      </c>
      <c r="C4" s="14">
        <v>10</v>
      </c>
      <c r="D4" s="14">
        <v>2021</v>
      </c>
      <c r="E4" s="4">
        <f>IF(March!C11&gt;0,March!C11,0)</f>
        <v>6000</v>
      </c>
      <c r="F4" s="9">
        <v>0.13750000000000001</v>
      </c>
      <c r="G4" s="4">
        <f>IF(March!E11&gt;0,March!E11,0)</f>
        <v>8.3759999999999994</v>
      </c>
      <c r="H4" s="10">
        <v>1.71</v>
      </c>
      <c r="I4" s="4">
        <f>IF((March!I11+March!O11)&gt;0,(March!I11+March!O11),0)</f>
        <v>7192</v>
      </c>
      <c r="J4" s="10">
        <v>0.04</v>
      </c>
      <c r="K4" s="4">
        <f>IF((March!G11+March!M11)&gt;0,(March!G11+March!M11),0)</f>
        <v>4.7</v>
      </c>
      <c r="L4" s="10">
        <v>35.36</v>
      </c>
      <c r="M4" s="4">
        <f>March!R11</f>
        <v>0</v>
      </c>
    </row>
    <row r="5" spans="1:25" x14ac:dyDescent="0.25">
      <c r="A5" s="3" t="s">
        <v>7</v>
      </c>
      <c r="B5" s="2">
        <f t="shared" si="0"/>
        <v>4</v>
      </c>
      <c r="C5" s="14">
        <v>10</v>
      </c>
      <c r="D5" s="14">
        <v>2021</v>
      </c>
      <c r="E5" s="4">
        <f>IF(March!C12&gt;0,March!C12,0)</f>
        <v>4200</v>
      </c>
      <c r="F5" s="9">
        <v>0.13750000000000001</v>
      </c>
      <c r="G5" s="4">
        <f>IF(March!E12&gt;0,March!E12,0)</f>
        <v>6.282</v>
      </c>
      <c r="H5" s="10">
        <v>1.71</v>
      </c>
      <c r="I5" s="4">
        <f>IF((March!I12+March!O12)&gt;0,(March!I12+March!O12),0)</f>
        <v>8424</v>
      </c>
      <c r="J5" s="10">
        <v>0.04</v>
      </c>
      <c r="K5" s="4">
        <f>IF((March!G12+March!M12)&gt;0,(March!G12+March!M12),0)</f>
        <v>3.9000000000000004</v>
      </c>
      <c r="L5" s="10">
        <v>35.36</v>
      </c>
      <c r="M5" s="4">
        <f>March!R12</f>
        <v>0</v>
      </c>
    </row>
    <row r="6" spans="1:25" x14ac:dyDescent="0.25">
      <c r="A6" s="3" t="s">
        <v>7</v>
      </c>
      <c r="B6" s="2">
        <f t="shared" si="0"/>
        <v>5</v>
      </c>
      <c r="C6" s="14">
        <v>10</v>
      </c>
      <c r="D6" s="14">
        <v>2021</v>
      </c>
      <c r="E6" s="4">
        <f>IF(March!C13&gt;0,March!C13,0)</f>
        <v>5400</v>
      </c>
      <c r="F6" s="9">
        <v>0.13750000000000001</v>
      </c>
      <c r="G6" s="4">
        <f>IF(March!E13&gt;0,March!E13,0)</f>
        <v>7.3289999999999997</v>
      </c>
      <c r="H6" s="10">
        <v>1.71</v>
      </c>
      <c r="I6" s="4">
        <f>IF((March!I13+March!O13)&gt;0,(March!I13+March!O13),0)</f>
        <v>13170</v>
      </c>
      <c r="J6" s="10">
        <v>0.04</v>
      </c>
      <c r="K6" s="4">
        <f>IF((March!G13+March!M13)&gt;0,(March!G13+March!M13),0)</f>
        <v>6.3</v>
      </c>
      <c r="L6" s="10">
        <v>35.36</v>
      </c>
      <c r="M6" s="4">
        <f>March!R13</f>
        <v>0</v>
      </c>
    </row>
    <row r="7" spans="1:25" x14ac:dyDescent="0.25">
      <c r="A7" s="3" t="s">
        <v>7</v>
      </c>
      <c r="B7" s="2">
        <f t="shared" si="0"/>
        <v>6</v>
      </c>
      <c r="C7" s="14">
        <v>10</v>
      </c>
      <c r="D7" s="14">
        <v>2021</v>
      </c>
      <c r="E7" s="4">
        <f>IF(March!C14&gt;0,March!C14,0)</f>
        <v>6000</v>
      </c>
      <c r="F7" s="9">
        <v>0.13750000000000001</v>
      </c>
      <c r="G7" s="4">
        <f>IF(March!E14&gt;0,March!E14,0)</f>
        <v>7.3289999999999997</v>
      </c>
      <c r="H7" s="10">
        <v>1.71</v>
      </c>
      <c r="I7" s="4">
        <f>IF((March!I14+March!O14)&gt;0,(March!I14+March!O14),0)</f>
        <v>13985</v>
      </c>
      <c r="J7" s="10">
        <v>0.04</v>
      </c>
      <c r="K7" s="4">
        <f>IF((March!G14+March!M14)&gt;0,(March!G14+March!M14),0)</f>
        <v>6</v>
      </c>
      <c r="L7" s="10">
        <v>35.36</v>
      </c>
      <c r="M7" s="4">
        <f>March!R14</f>
        <v>0</v>
      </c>
    </row>
    <row r="8" spans="1:25" x14ac:dyDescent="0.25">
      <c r="A8" s="3" t="s">
        <v>7</v>
      </c>
      <c r="B8" s="2">
        <f t="shared" si="0"/>
        <v>7</v>
      </c>
      <c r="C8" s="14">
        <v>10</v>
      </c>
      <c r="D8" s="14">
        <v>2021</v>
      </c>
      <c r="E8" s="4">
        <f>IF(March!C15&gt;0,March!C15,0)</f>
        <v>5700</v>
      </c>
      <c r="F8" s="9">
        <v>0.13750000000000001</v>
      </c>
      <c r="G8" s="4">
        <f>IF(March!E15&gt;0,March!E15,0)</f>
        <v>7.3289999999999997</v>
      </c>
      <c r="H8" s="10">
        <v>1.71</v>
      </c>
      <c r="I8" s="4">
        <f>IF((March!I15+March!O15)&gt;0,(March!I15+March!O15),0)</f>
        <v>4255</v>
      </c>
      <c r="J8" s="10">
        <v>0.04</v>
      </c>
      <c r="K8" s="4">
        <f>IF((March!G15+March!M15)&gt;0,(March!G15+March!M15),0)</f>
        <v>5.4</v>
      </c>
      <c r="L8" s="10">
        <v>35.36</v>
      </c>
      <c r="M8" s="4">
        <f>March!R15</f>
        <v>0</v>
      </c>
    </row>
    <row r="9" spans="1:25" x14ac:dyDescent="0.25">
      <c r="A9" s="3" t="s">
        <v>7</v>
      </c>
      <c r="B9" s="2">
        <f t="shared" si="0"/>
        <v>8</v>
      </c>
      <c r="C9" s="14">
        <v>10</v>
      </c>
      <c r="D9" s="14">
        <v>2021</v>
      </c>
      <c r="E9" s="4">
        <f>IF(March!C16&gt;0,March!C16,0)</f>
        <v>7500</v>
      </c>
      <c r="F9" s="9">
        <v>0.13750000000000001</v>
      </c>
      <c r="G9" s="4">
        <f>IF(March!E16&gt;0,March!E16,0)</f>
        <v>11.516999999999999</v>
      </c>
      <c r="H9" s="10">
        <v>1.71</v>
      </c>
      <c r="I9" s="4">
        <f>IF((March!I16+March!O16)&gt;0,(March!I16+March!O16),0)</f>
        <v>26975</v>
      </c>
      <c r="J9" s="10">
        <v>0.04</v>
      </c>
      <c r="K9" s="4">
        <f>IF((March!G16+March!M16)&gt;0,(March!G16+March!M16),0)</f>
        <v>6.1000000000000005</v>
      </c>
      <c r="L9" s="10">
        <v>35.36</v>
      </c>
      <c r="M9" s="4">
        <f>March!R16</f>
        <v>0</v>
      </c>
    </row>
    <row r="10" spans="1:25" x14ac:dyDescent="0.25">
      <c r="A10" s="3" t="s">
        <v>7</v>
      </c>
      <c r="B10" s="2">
        <f t="shared" si="0"/>
        <v>9</v>
      </c>
      <c r="C10" s="14">
        <v>10</v>
      </c>
      <c r="D10" s="14">
        <v>2021</v>
      </c>
      <c r="E10" s="4">
        <f>IF(March!C17&gt;0,March!C17,0)</f>
        <v>3900</v>
      </c>
      <c r="F10" s="9">
        <v>0.13750000000000001</v>
      </c>
      <c r="G10" s="4">
        <f>IF(March!E17&gt;0,March!E17,0)</f>
        <v>5.2349999999999994</v>
      </c>
      <c r="H10" s="10">
        <v>1.71</v>
      </c>
      <c r="I10" s="4">
        <f>IF((March!I17+March!O17)&gt;0,(March!I17+March!O17),0)</f>
        <v>8900</v>
      </c>
      <c r="J10" s="10">
        <v>0.04</v>
      </c>
      <c r="K10" s="4">
        <f>IF((March!G17+March!M17)&gt;0,(March!G17+March!M17),0)</f>
        <v>5.2</v>
      </c>
      <c r="L10" s="10">
        <v>35.36</v>
      </c>
      <c r="M10" s="4">
        <f>March!R17</f>
        <v>0</v>
      </c>
    </row>
    <row r="11" spans="1:25" x14ac:dyDescent="0.25">
      <c r="A11" s="3" t="s">
        <v>7</v>
      </c>
      <c r="B11" s="2">
        <f t="shared" si="0"/>
        <v>10</v>
      </c>
      <c r="C11" s="14">
        <v>10</v>
      </c>
      <c r="D11" s="14">
        <v>2021</v>
      </c>
      <c r="E11" s="4">
        <f>IF(March!C18&gt;0,March!C18,0)</f>
        <v>6000</v>
      </c>
      <c r="F11" s="9">
        <v>0.13750000000000001</v>
      </c>
      <c r="G11" s="4">
        <f>IF(March!E18&gt;0,March!E18,0)</f>
        <v>8.3759999999999994</v>
      </c>
      <c r="H11" s="10">
        <v>1.71</v>
      </c>
      <c r="I11" s="4">
        <f>IF((March!I18+March!O18)&gt;0,(March!I18+March!O18),0)</f>
        <v>6440</v>
      </c>
      <c r="J11" s="10">
        <v>0.04</v>
      </c>
      <c r="K11" s="4">
        <f>IF((March!G18+March!M18)&gt;0,(March!G18+March!M18),0)</f>
        <v>5.4</v>
      </c>
      <c r="L11" s="10">
        <v>35.36</v>
      </c>
      <c r="M11" s="4">
        <f>March!R18</f>
        <v>0</v>
      </c>
    </row>
    <row r="12" spans="1:25" x14ac:dyDescent="0.25">
      <c r="A12" s="3" t="s">
        <v>7</v>
      </c>
      <c r="B12" s="2">
        <f t="shared" si="0"/>
        <v>11</v>
      </c>
      <c r="C12" s="14">
        <v>10</v>
      </c>
      <c r="D12" s="14">
        <v>2021</v>
      </c>
      <c r="E12" s="4">
        <f>IF(March!C19&gt;0,March!C19,0)</f>
        <v>3600</v>
      </c>
      <c r="F12" s="9">
        <v>0.13750000000000001</v>
      </c>
      <c r="G12" s="4">
        <f>IF(March!E19&gt;0,March!E19,0)</f>
        <v>6.282</v>
      </c>
      <c r="H12" s="10">
        <v>1.71</v>
      </c>
      <c r="I12" s="4">
        <f>IF((March!I19+March!O19)&gt;0,(March!I19+March!O19),0)</f>
        <v>4175</v>
      </c>
      <c r="J12" s="10">
        <v>0.04</v>
      </c>
      <c r="K12" s="4">
        <f>IF((March!G19+March!M19)&gt;0,(March!G19+March!M19),0)</f>
        <v>4</v>
      </c>
      <c r="L12" s="10">
        <v>35.36</v>
      </c>
      <c r="M12" s="4">
        <f>March!R19</f>
        <v>0</v>
      </c>
    </row>
    <row r="13" spans="1:25" x14ac:dyDescent="0.25">
      <c r="A13" s="3" t="s">
        <v>7</v>
      </c>
      <c r="B13" s="2">
        <f t="shared" si="0"/>
        <v>12</v>
      </c>
      <c r="C13" s="14">
        <v>10</v>
      </c>
      <c r="D13" s="14">
        <v>2021</v>
      </c>
      <c r="E13" s="4">
        <f>IF(March!C20&gt;0,March!C20,0)</f>
        <v>5700</v>
      </c>
      <c r="F13" s="9">
        <v>0.13750000000000001</v>
      </c>
      <c r="G13" s="4">
        <f>IF(March!E20&gt;0,March!E20,0)</f>
        <v>8.3759999999999994</v>
      </c>
      <c r="H13" s="10">
        <v>1.71</v>
      </c>
      <c r="I13" s="4">
        <f>IF((March!I20+March!O20)&gt;0,(March!I20+March!O20),0)</f>
        <v>6225</v>
      </c>
      <c r="J13" s="10">
        <v>0.04</v>
      </c>
      <c r="K13" s="4">
        <f>IF((March!G20+March!M20)&gt;0,(March!G20+March!M20),0)</f>
        <v>5.5000000000000009</v>
      </c>
      <c r="L13" s="10">
        <v>35.36</v>
      </c>
      <c r="M13" s="4">
        <f>March!R20</f>
        <v>0</v>
      </c>
    </row>
    <row r="14" spans="1:25" x14ac:dyDescent="0.25">
      <c r="A14" s="3" t="s">
        <v>7</v>
      </c>
      <c r="B14" s="2">
        <f t="shared" si="0"/>
        <v>13</v>
      </c>
      <c r="C14" s="14">
        <v>10</v>
      </c>
      <c r="D14" s="14">
        <v>2021</v>
      </c>
      <c r="E14" s="4">
        <f>IF(March!C21&gt;0,March!C21,0)</f>
        <v>5400</v>
      </c>
      <c r="F14" s="9">
        <v>0.13750000000000001</v>
      </c>
      <c r="G14" s="4">
        <f>IF(March!E21&gt;0,March!E21,0)</f>
        <v>9.423</v>
      </c>
      <c r="H14" s="10">
        <v>1.71</v>
      </c>
      <c r="I14" s="4">
        <f>IF((March!I21+March!O21)&gt;0,(March!I21+March!O21),0)</f>
        <v>7580</v>
      </c>
      <c r="J14" s="10">
        <v>0.04</v>
      </c>
      <c r="K14" s="4">
        <f>IF((March!G21+March!M21)&gt;0,(March!G21+March!M21),0)</f>
        <v>5.4</v>
      </c>
      <c r="L14" s="10">
        <v>35.36</v>
      </c>
      <c r="M14" s="4">
        <f>March!R21</f>
        <v>0</v>
      </c>
    </row>
    <row r="15" spans="1:25" x14ac:dyDescent="0.25">
      <c r="A15" s="3" t="s">
        <v>7</v>
      </c>
      <c r="B15" s="2">
        <f t="shared" si="0"/>
        <v>14</v>
      </c>
      <c r="C15" s="14">
        <v>10</v>
      </c>
      <c r="D15" s="14">
        <v>2021</v>
      </c>
      <c r="E15" s="4">
        <f>IF(March!C22&gt;0,March!C22,0)</f>
        <v>5700</v>
      </c>
      <c r="F15" s="9">
        <v>0.13750000000000001</v>
      </c>
      <c r="G15" s="4">
        <f>IF(March!E22&gt;0,March!E22,0)</f>
        <v>8.3759999999999994</v>
      </c>
      <c r="H15" s="10">
        <v>1.71</v>
      </c>
      <c r="I15" s="4">
        <f>IF((March!I22+March!O22)&gt;0,(March!I22+March!O22),0)</f>
        <v>7885</v>
      </c>
      <c r="J15" s="10">
        <v>0.04</v>
      </c>
      <c r="K15" s="4">
        <f>IF((March!G22+March!M22)&gt;0,(March!G22+March!M22),0)</f>
        <v>5.2</v>
      </c>
      <c r="L15" s="10">
        <v>35.36</v>
      </c>
      <c r="M15" s="4">
        <f>March!R22</f>
        <v>0</v>
      </c>
    </row>
    <row r="16" spans="1:25" x14ac:dyDescent="0.25">
      <c r="A16" s="3" t="s">
        <v>7</v>
      </c>
      <c r="B16" s="2">
        <f t="shared" si="0"/>
        <v>15</v>
      </c>
      <c r="C16" s="14">
        <v>10</v>
      </c>
      <c r="D16" s="14">
        <v>2021</v>
      </c>
      <c r="E16" s="4">
        <f>IF(March!C23&gt;0,March!C23,0)</f>
        <v>6600</v>
      </c>
      <c r="F16" s="9">
        <v>0.13750000000000001</v>
      </c>
      <c r="G16" s="4">
        <f>IF(March!E23&gt;0,March!E23,0)</f>
        <v>11.516999999999999</v>
      </c>
      <c r="H16" s="10">
        <v>1.71</v>
      </c>
      <c r="I16" s="4">
        <f>IF((March!I23+March!O23)&gt;0,(March!I23+March!O23),0)</f>
        <v>9915</v>
      </c>
      <c r="J16" s="10">
        <v>0.04</v>
      </c>
      <c r="K16" s="4">
        <f>IF((March!G23+March!M23)&gt;0,(March!G23+March!M23),0)</f>
        <v>7.1000000000000005</v>
      </c>
      <c r="L16" s="10">
        <v>35.36</v>
      </c>
      <c r="M16" s="4">
        <f>March!R23</f>
        <v>0</v>
      </c>
    </row>
    <row r="17" spans="1:13" x14ac:dyDescent="0.25">
      <c r="A17" s="3" t="s">
        <v>7</v>
      </c>
      <c r="B17" s="2">
        <f t="shared" si="0"/>
        <v>16</v>
      </c>
      <c r="C17" s="14">
        <v>10</v>
      </c>
      <c r="D17" s="14">
        <v>2021</v>
      </c>
      <c r="E17" s="4">
        <f>IF(March!C24&gt;0,March!C24,0)</f>
        <v>0</v>
      </c>
      <c r="F17" s="9">
        <v>0.13750000000000001</v>
      </c>
      <c r="G17" s="4">
        <f>IF(March!E24&gt;0,March!E24,0)</f>
        <v>0</v>
      </c>
      <c r="H17" s="10">
        <v>1.71</v>
      </c>
      <c r="I17" s="4">
        <f>IF((March!I24+March!O24)&gt;0,(March!I24+March!O24),0)</f>
        <v>7525</v>
      </c>
      <c r="J17" s="10">
        <v>0.04</v>
      </c>
      <c r="K17" s="4">
        <f>IF((March!G24+March!M24)&gt;0,(March!G24+March!M24),0)</f>
        <v>5.7</v>
      </c>
      <c r="L17" s="10">
        <v>35.36</v>
      </c>
      <c r="M17" s="4">
        <f>March!R24</f>
        <v>0</v>
      </c>
    </row>
    <row r="18" spans="1:13" x14ac:dyDescent="0.25">
      <c r="A18" s="3" t="s">
        <v>7</v>
      </c>
      <c r="B18" s="2">
        <f t="shared" si="0"/>
        <v>17</v>
      </c>
      <c r="C18" s="14">
        <v>10</v>
      </c>
      <c r="D18" s="14">
        <v>2021</v>
      </c>
      <c r="E18" s="4">
        <f>IF(March!C25&gt;0,March!C25,0)</f>
        <v>10500</v>
      </c>
      <c r="F18" s="9">
        <v>0.13750000000000001</v>
      </c>
      <c r="G18" s="4">
        <f>IF(March!E25&gt;0,March!E25,0)</f>
        <v>17.798999999999999</v>
      </c>
      <c r="H18" s="10">
        <v>1.71</v>
      </c>
      <c r="I18" s="4">
        <f>IF((March!I25+March!O25)&gt;0,(March!I25+March!O25),0)</f>
        <v>4970</v>
      </c>
      <c r="J18" s="10">
        <v>0.04</v>
      </c>
      <c r="K18" s="4">
        <f>IF((March!G25+March!M25)&gt;0,(March!G25+March!M25),0)</f>
        <v>4.2</v>
      </c>
      <c r="L18" s="10">
        <v>35.36</v>
      </c>
      <c r="M18" s="4">
        <f>March!R25</f>
        <v>0</v>
      </c>
    </row>
    <row r="19" spans="1:13" x14ac:dyDescent="0.25">
      <c r="A19" s="3" t="s">
        <v>7</v>
      </c>
      <c r="B19" s="2">
        <f t="shared" si="0"/>
        <v>18</v>
      </c>
      <c r="C19" s="14">
        <v>10</v>
      </c>
      <c r="D19" s="14">
        <v>2021</v>
      </c>
      <c r="E19" s="4">
        <f>IF(March!C26&gt;0,March!C26,0)</f>
        <v>3900</v>
      </c>
      <c r="F19" s="9">
        <v>0.13750000000000001</v>
      </c>
      <c r="G19" s="4">
        <f>IF(March!E26&gt;0,March!E26,0)</f>
        <v>7.3289999999999997</v>
      </c>
      <c r="H19" s="10">
        <v>1.71</v>
      </c>
      <c r="I19" s="4">
        <f>IF((March!I26+March!O26)&gt;0,(March!I26+March!O26),0)</f>
        <v>5081</v>
      </c>
      <c r="J19" s="10">
        <v>0.04</v>
      </c>
      <c r="K19" s="4">
        <f>IF((March!G26+March!M26)&gt;0,(March!G26+March!M26),0)</f>
        <v>4.4000000000000004</v>
      </c>
      <c r="L19" s="10">
        <v>35.36</v>
      </c>
      <c r="M19" s="4">
        <f>March!R26</f>
        <v>0</v>
      </c>
    </row>
    <row r="20" spans="1:13" x14ac:dyDescent="0.25">
      <c r="A20" s="3" t="s">
        <v>7</v>
      </c>
      <c r="B20" s="2">
        <f t="shared" si="0"/>
        <v>19</v>
      </c>
      <c r="C20" s="14">
        <v>10</v>
      </c>
      <c r="D20" s="14">
        <v>2021</v>
      </c>
      <c r="E20" s="4">
        <f>IF(March!C27&gt;0,March!C27,0)</f>
        <v>7200</v>
      </c>
      <c r="F20" s="9">
        <v>0.13750000000000001</v>
      </c>
      <c r="G20" s="4">
        <f>IF(March!E27&gt;0,March!E27,0)</f>
        <v>10.469999999999999</v>
      </c>
      <c r="H20" s="10">
        <v>1.71</v>
      </c>
      <c r="I20" s="4">
        <f>IF((March!I27+March!O27)&gt;0,(March!I27+March!O27),0)</f>
        <v>8447</v>
      </c>
      <c r="J20" s="10">
        <v>0.04</v>
      </c>
      <c r="K20" s="4">
        <f>IF((March!G27+March!M27)&gt;0,(March!G27+March!M27),0)</f>
        <v>5.8</v>
      </c>
      <c r="L20" s="10">
        <v>35.36</v>
      </c>
      <c r="M20" s="4">
        <f>March!R27</f>
        <v>0</v>
      </c>
    </row>
    <row r="21" spans="1:13" x14ac:dyDescent="0.25">
      <c r="A21" s="3" t="s">
        <v>7</v>
      </c>
      <c r="B21" s="2">
        <f t="shared" si="0"/>
        <v>20</v>
      </c>
      <c r="C21" s="14">
        <v>10</v>
      </c>
      <c r="D21" s="14">
        <v>2021</v>
      </c>
      <c r="E21" s="4">
        <f>IF(March!C28&gt;0,March!C28,0)</f>
        <v>3000</v>
      </c>
      <c r="F21" s="9">
        <v>0.13750000000000001</v>
      </c>
      <c r="G21" s="4">
        <f>IF(March!E28&gt;0,March!E28,0)</f>
        <v>5.2349999999999994</v>
      </c>
      <c r="H21" s="10">
        <v>1.71</v>
      </c>
      <c r="I21" s="4">
        <f>IF((March!I28+March!O28)&gt;0,(March!I28+March!O28),0)</f>
        <v>3537</v>
      </c>
      <c r="J21" s="10">
        <v>0.04</v>
      </c>
      <c r="K21" s="4">
        <f>IF((March!G28+March!M28)&gt;0,(March!G28+March!M28),0)</f>
        <v>3</v>
      </c>
      <c r="L21" s="10">
        <v>35.36</v>
      </c>
      <c r="M21" s="4">
        <f>March!R28</f>
        <v>0</v>
      </c>
    </row>
    <row r="22" spans="1:13" x14ac:dyDescent="0.25">
      <c r="A22" s="3" t="s">
        <v>7</v>
      </c>
      <c r="B22" s="2">
        <f t="shared" si="0"/>
        <v>21</v>
      </c>
      <c r="C22" s="14">
        <v>10</v>
      </c>
      <c r="D22" s="14">
        <v>2021</v>
      </c>
      <c r="E22" s="4">
        <f>IF(March!C29&gt;0,March!C29,0)</f>
        <v>5400</v>
      </c>
      <c r="F22" s="9">
        <v>0.13750000000000001</v>
      </c>
      <c r="G22" s="4">
        <f>IF(March!E29&gt;0,March!E29,0)</f>
        <v>8.3759999999999994</v>
      </c>
      <c r="H22" s="10">
        <v>1.71</v>
      </c>
      <c r="I22" s="4">
        <f>IF((March!I29+March!O29)&gt;0,(March!I29+March!O29),0)</f>
        <v>8320</v>
      </c>
      <c r="J22" s="10">
        <v>0.04</v>
      </c>
      <c r="K22" s="4">
        <f>IF((March!G29+March!M29)&gt;0,(March!G29+March!M29),0)</f>
        <v>5.5</v>
      </c>
      <c r="L22" s="10">
        <v>35.36</v>
      </c>
      <c r="M22" s="4">
        <f>March!R29</f>
        <v>0</v>
      </c>
    </row>
    <row r="23" spans="1:13" x14ac:dyDescent="0.25">
      <c r="A23" s="3" t="s">
        <v>7</v>
      </c>
      <c r="B23" s="2">
        <f t="shared" si="0"/>
        <v>22</v>
      </c>
      <c r="C23" s="14">
        <v>10</v>
      </c>
      <c r="D23" s="14">
        <v>2021</v>
      </c>
      <c r="E23" s="4">
        <f>IF(March!C30&gt;0,March!C30,0)</f>
        <v>6300</v>
      </c>
      <c r="F23" s="9">
        <v>0.13750000000000001</v>
      </c>
      <c r="G23" s="4">
        <f>IF(March!E30&gt;0,March!E30,0)</f>
        <v>10.469999999999999</v>
      </c>
      <c r="H23" s="10">
        <v>1.71</v>
      </c>
      <c r="I23" s="4">
        <f>IF((March!I30+March!O30)&gt;0,(March!I30+March!O30),0)</f>
        <v>7460</v>
      </c>
      <c r="J23" s="10">
        <v>0.04</v>
      </c>
      <c r="K23" s="4">
        <f>IF((March!G30+March!M30)&gt;0,(March!G30+March!M30),0)</f>
        <v>6.4</v>
      </c>
      <c r="L23" s="10">
        <v>35.36</v>
      </c>
      <c r="M23" s="4">
        <f>March!R30</f>
        <v>0</v>
      </c>
    </row>
    <row r="24" spans="1:13" x14ac:dyDescent="0.25">
      <c r="A24" s="3" t="s">
        <v>7</v>
      </c>
      <c r="B24" s="2">
        <f t="shared" si="0"/>
        <v>23</v>
      </c>
      <c r="C24" s="14">
        <v>10</v>
      </c>
      <c r="D24" s="14">
        <v>2021</v>
      </c>
      <c r="E24" s="4">
        <f>IF(March!C31&gt;0,March!C31,0)</f>
        <v>0</v>
      </c>
      <c r="F24" s="9">
        <v>0.13750000000000001</v>
      </c>
      <c r="G24" s="4">
        <f>IF(March!E31&gt;0,March!E31,0)</f>
        <v>0</v>
      </c>
      <c r="H24" s="10">
        <v>1.71</v>
      </c>
      <c r="I24" s="4">
        <f>IF((March!I31+March!O31)&gt;0,(March!I31+March!O31),0)</f>
        <v>6245</v>
      </c>
      <c r="J24" s="10">
        <v>0.04</v>
      </c>
      <c r="K24" s="4">
        <f>IF((March!G31+March!M31)&gt;0,(March!G31+March!M31),0)</f>
        <v>4.3</v>
      </c>
      <c r="L24" s="10">
        <v>35.36</v>
      </c>
      <c r="M24" s="4">
        <f>March!R31</f>
        <v>0</v>
      </c>
    </row>
    <row r="25" spans="1:13" x14ac:dyDescent="0.25">
      <c r="A25" s="3" t="s">
        <v>7</v>
      </c>
      <c r="B25" s="2">
        <f t="shared" si="0"/>
        <v>24</v>
      </c>
      <c r="C25" s="14">
        <v>10</v>
      </c>
      <c r="D25" s="14">
        <v>2021</v>
      </c>
      <c r="E25" s="4">
        <f>IF(March!C32&gt;0,March!C32,0)</f>
        <v>10800</v>
      </c>
      <c r="F25" s="9">
        <v>0.13750000000000001</v>
      </c>
      <c r="G25" s="4">
        <f>IF(March!E32&gt;0,March!E32,0)</f>
        <v>15.704999999999998</v>
      </c>
      <c r="H25" s="10">
        <v>1.71</v>
      </c>
      <c r="I25" s="4">
        <f>IF((March!I32+March!O32)&gt;0,(March!I32+March!O32),0)</f>
        <v>6885</v>
      </c>
      <c r="J25" s="10">
        <v>0.04</v>
      </c>
      <c r="K25" s="4">
        <f>IF((March!G32+March!M32)&gt;0,(March!G32+March!M32),0)</f>
        <v>6.5</v>
      </c>
      <c r="L25" s="10">
        <v>35.36</v>
      </c>
      <c r="M25" s="4">
        <f>March!R32</f>
        <v>0</v>
      </c>
    </row>
    <row r="26" spans="1:13" x14ac:dyDescent="0.25">
      <c r="A26" s="3" t="s">
        <v>7</v>
      </c>
      <c r="B26" s="2">
        <f>B25+1</f>
        <v>25</v>
      </c>
      <c r="C26" s="14">
        <v>10</v>
      </c>
      <c r="D26" s="14">
        <v>2021</v>
      </c>
      <c r="E26" s="4">
        <f>IF(March!C33&gt;0,March!C33,0)</f>
        <v>3600</v>
      </c>
      <c r="F26" s="9">
        <v>0.13750000000000001</v>
      </c>
      <c r="G26" s="4">
        <f>IF(March!E33&gt;0,March!E33,0)</f>
        <v>6.282</v>
      </c>
      <c r="H26" s="10">
        <v>1.71</v>
      </c>
      <c r="I26" s="4">
        <f>IF((March!I33+March!O33)&gt;0,(March!I33+March!O33),0)</f>
        <v>3680</v>
      </c>
      <c r="J26" s="10">
        <v>0.04</v>
      </c>
      <c r="K26" s="4">
        <f>IF((March!G33+March!M33)&gt;0,(March!G33+March!M33),0)</f>
        <v>3.6</v>
      </c>
      <c r="L26" s="10">
        <v>35.36</v>
      </c>
      <c r="M26" s="4">
        <f>March!R33</f>
        <v>0</v>
      </c>
    </row>
    <row r="27" spans="1:13" x14ac:dyDescent="0.25">
      <c r="A27" s="3" t="s">
        <v>7</v>
      </c>
      <c r="B27" s="2">
        <f t="shared" si="0"/>
        <v>26</v>
      </c>
      <c r="C27" s="14">
        <v>10</v>
      </c>
      <c r="D27" s="14">
        <v>2021</v>
      </c>
      <c r="E27" s="4">
        <f>IF(March!C34&gt;0,March!C34,0)</f>
        <v>5100</v>
      </c>
      <c r="F27" s="9">
        <v>0.13750000000000001</v>
      </c>
      <c r="G27" s="4">
        <f>IF(March!E34&gt;0,March!E34,0)</f>
        <v>8.3759999999999994</v>
      </c>
      <c r="H27" s="10">
        <v>1.71</v>
      </c>
      <c r="I27" s="4">
        <f>IF((March!I34+March!O34)&gt;0,(March!I34+March!O34),0)</f>
        <v>5900</v>
      </c>
      <c r="J27" s="10">
        <v>0.04</v>
      </c>
      <c r="K27" s="4">
        <f>IF((March!G34+March!M34)&gt;0,(March!G34+March!M34),0)</f>
        <v>5.1000000000000005</v>
      </c>
      <c r="L27" s="10">
        <v>35.36</v>
      </c>
      <c r="M27" s="4">
        <f>March!R34</f>
        <v>0</v>
      </c>
    </row>
    <row r="28" spans="1:13" x14ac:dyDescent="0.25">
      <c r="A28" s="3" t="s">
        <v>7</v>
      </c>
      <c r="B28" s="2">
        <f t="shared" si="0"/>
        <v>27</v>
      </c>
      <c r="C28" s="14">
        <v>10</v>
      </c>
      <c r="D28" s="14">
        <v>2021</v>
      </c>
      <c r="E28" s="4">
        <f>IF(March!C35&gt;0,March!C35,0)</f>
        <v>6000</v>
      </c>
      <c r="F28" s="9">
        <v>0.13750000000000001</v>
      </c>
      <c r="G28" s="4">
        <f>IF(March!E35&gt;0,March!E35,0)</f>
        <v>9.423</v>
      </c>
      <c r="H28" s="10">
        <v>1.71</v>
      </c>
      <c r="I28" s="4">
        <f>IF((March!I35+March!O35)&gt;0,(March!I35+March!O35),0)</f>
        <v>6625</v>
      </c>
      <c r="J28" s="10">
        <v>0.04</v>
      </c>
      <c r="K28" s="4">
        <f>IF((March!G35+March!M35)&gt;0,(March!G35+March!M35),0)</f>
        <v>4.8000000000000007</v>
      </c>
      <c r="L28" s="10">
        <v>35.36</v>
      </c>
      <c r="M28" s="4">
        <f>March!R35</f>
        <v>0</v>
      </c>
    </row>
    <row r="29" spans="1:13" x14ac:dyDescent="0.25">
      <c r="A29" s="3" t="s">
        <v>7</v>
      </c>
      <c r="B29" s="2">
        <f t="shared" si="0"/>
        <v>28</v>
      </c>
      <c r="C29" s="14">
        <v>10</v>
      </c>
      <c r="D29" s="14">
        <v>2021</v>
      </c>
      <c r="E29" s="4">
        <f>IF(March!C36&gt;0,March!C36,0)</f>
        <v>7800</v>
      </c>
      <c r="F29" s="9">
        <v>0.13750000000000001</v>
      </c>
      <c r="G29" s="4">
        <f>IF(March!E36&gt;0,March!E36,0)</f>
        <v>9.423</v>
      </c>
      <c r="H29" s="10">
        <v>1.71</v>
      </c>
      <c r="I29" s="4">
        <f>IF((March!I36+March!O36)&gt;0,(March!I36+March!O36),0)</f>
        <v>11410</v>
      </c>
      <c r="J29" s="10">
        <v>0.04</v>
      </c>
      <c r="K29" s="4">
        <f>IF((March!G36+March!M36)&gt;0,(March!G36+March!M36),0)</f>
        <v>5.6</v>
      </c>
      <c r="L29" s="10">
        <v>35.36</v>
      </c>
      <c r="M29" s="4">
        <f>March!R36</f>
        <v>0</v>
      </c>
    </row>
    <row r="30" spans="1:13" x14ac:dyDescent="0.25">
      <c r="A30" s="3" t="s">
        <v>7</v>
      </c>
      <c r="B30" s="2">
        <f t="shared" si="0"/>
        <v>29</v>
      </c>
      <c r="C30" s="14">
        <v>10</v>
      </c>
      <c r="D30" s="14">
        <v>2021</v>
      </c>
      <c r="E30" s="4">
        <f>IF(March!C37&gt;0,March!C37,0)</f>
        <v>5700</v>
      </c>
      <c r="F30" s="9">
        <v>0.13750000000000001</v>
      </c>
      <c r="G30" s="4">
        <f>IF(March!E37&gt;0,March!E37,0)</f>
        <v>6.282</v>
      </c>
      <c r="H30" s="10">
        <v>1.71</v>
      </c>
      <c r="I30" s="4">
        <f>IF((March!I37+March!O37)&gt;0,(March!I37+March!O37),0)</f>
        <v>8310</v>
      </c>
      <c r="J30" s="10">
        <v>0.04</v>
      </c>
      <c r="K30" s="4">
        <f>IF((March!G37+March!M37)&gt;0,(March!G37+March!M37),0)</f>
        <v>4.7</v>
      </c>
      <c r="L30" s="10">
        <v>35.36</v>
      </c>
      <c r="M30" s="4">
        <f>March!R37</f>
        <v>0</v>
      </c>
    </row>
    <row r="31" spans="1:13" x14ac:dyDescent="0.25">
      <c r="A31" s="3" t="s">
        <v>7</v>
      </c>
      <c r="B31" s="2">
        <f t="shared" si="0"/>
        <v>30</v>
      </c>
      <c r="C31" s="14">
        <v>10</v>
      </c>
      <c r="D31" s="14">
        <v>2021</v>
      </c>
      <c r="E31" s="4">
        <f>IF(March!C38&gt;0,March!C38,0)</f>
        <v>5400</v>
      </c>
      <c r="F31" s="9">
        <v>0.13750000000000001</v>
      </c>
      <c r="G31" s="4">
        <f>IF(March!E38&gt;0,March!E38,0)</f>
        <v>9.423</v>
      </c>
      <c r="H31" s="10">
        <v>1.71</v>
      </c>
      <c r="I31" s="4">
        <f>IF((March!I38+March!O38)&gt;0,(March!I38+March!O38),0)</f>
        <v>7310</v>
      </c>
      <c r="J31" s="10">
        <v>0.04</v>
      </c>
      <c r="K31" s="4">
        <f>IF((March!G38+March!M38)&gt;0,(March!G38+March!M38),0)</f>
        <v>4.7</v>
      </c>
      <c r="L31" s="10">
        <v>35.36</v>
      </c>
      <c r="M31" s="4">
        <f>March!R38</f>
        <v>0</v>
      </c>
    </row>
    <row r="32" spans="1:13" x14ac:dyDescent="0.25">
      <c r="A32" s="3" t="s">
        <v>7</v>
      </c>
      <c r="B32" s="2">
        <f t="shared" si="0"/>
        <v>31</v>
      </c>
      <c r="C32" s="14">
        <v>10</v>
      </c>
      <c r="D32" s="14">
        <v>2021</v>
      </c>
      <c r="E32" s="4">
        <f>IF(March!C39&gt;0,March!C39,0)</f>
        <v>5400</v>
      </c>
      <c r="F32" s="9">
        <v>0.13750000000000001</v>
      </c>
      <c r="G32" s="4">
        <f>IF(March!E39&gt;0,March!E39,0)</f>
        <v>10.469999999999999</v>
      </c>
      <c r="H32" s="10">
        <v>1.71</v>
      </c>
      <c r="I32" s="4">
        <f>IF((March!I39+March!O39)&gt;0,(March!I39+March!O39),0)</f>
        <v>6418</v>
      </c>
      <c r="J32" s="10">
        <v>0.04</v>
      </c>
      <c r="K32" s="4">
        <f>IF((March!G39+March!M39)&gt;0,(March!G39+March!M39),0)</f>
        <v>5.5000000000000009</v>
      </c>
      <c r="L32" s="10">
        <v>35.36</v>
      </c>
      <c r="M32" s="4">
        <f>March!R39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B26F-3336-4084-8E5A-828616B6B5CA}">
  <dimension ref="A1:R41"/>
  <sheetViews>
    <sheetView showWhiteSpace="0" topLeftCell="C24" zoomScaleNormal="100" workbookViewId="0">
      <selection activeCell="R9" sqref="R9:R39"/>
    </sheetView>
  </sheetViews>
  <sheetFormatPr defaultColWidth="9.140625" defaultRowHeight="12.75" x14ac:dyDescent="0.25"/>
  <cols>
    <col min="1" max="1" width="9.85546875" style="16" bestFit="1" customWidth="1"/>
    <col min="2" max="7" width="9.7109375" style="16" customWidth="1"/>
    <col min="8" max="10" width="13.7109375" style="16" customWidth="1"/>
    <col min="11" max="11" width="7.140625" style="16" customWidth="1"/>
    <col min="12" max="13" width="9.7109375" style="16" customWidth="1"/>
    <col min="14" max="17" width="13.7109375" style="16" customWidth="1"/>
    <col min="18" max="16384" width="9.140625" style="16"/>
  </cols>
  <sheetData>
    <row r="1" spans="1:18" ht="18" customHeight="1" x14ac:dyDescent="0.25">
      <c r="A1" s="33"/>
      <c r="B1" s="33"/>
      <c r="C1" s="15"/>
    </row>
    <row r="2" spans="1:18" ht="21" x14ac:dyDescent="0.35">
      <c r="A2" s="34" t="s">
        <v>34</v>
      </c>
      <c r="B2" s="34"/>
      <c r="C2" s="34"/>
      <c r="D2" s="34"/>
      <c r="E2" s="34"/>
      <c r="F2" s="34"/>
      <c r="G2" s="34"/>
      <c r="H2" s="34"/>
      <c r="I2" s="34"/>
      <c r="J2" s="34"/>
      <c r="K2" s="17"/>
    </row>
    <row r="3" spans="1:18" ht="16.5" customHeight="1" x14ac:dyDescent="0.35">
      <c r="A3" s="34"/>
      <c r="B3" s="34"/>
      <c r="C3" s="34"/>
      <c r="D3" s="34"/>
      <c r="E3" s="34"/>
      <c r="F3" s="34"/>
      <c r="G3" s="34"/>
      <c r="H3" s="34"/>
      <c r="I3" s="34"/>
      <c r="J3" s="34"/>
      <c r="K3" s="17"/>
    </row>
    <row r="4" spans="1:18" s="19" customFormat="1" ht="24.75" customHeight="1" x14ac:dyDescent="0.25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18"/>
    </row>
    <row r="5" spans="1:18" s="19" customFormat="1" ht="16.5" customHeight="1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8" s="19" customFormat="1" ht="49.5" customHeight="1" x14ac:dyDescent="0.25">
      <c r="A6" s="20" t="s">
        <v>8</v>
      </c>
      <c r="B6" s="21">
        <v>15448</v>
      </c>
      <c r="C6" s="21"/>
      <c r="D6" s="21">
        <v>47833</v>
      </c>
      <c r="E6" s="21"/>
      <c r="F6" s="21">
        <v>28358</v>
      </c>
      <c r="G6" s="21"/>
      <c r="H6" s="21">
        <v>10720800</v>
      </c>
      <c r="I6" s="21"/>
      <c r="J6" s="21">
        <v>343409</v>
      </c>
      <c r="K6" s="21"/>
      <c r="L6" s="21">
        <v>11090</v>
      </c>
      <c r="M6" s="21"/>
      <c r="N6" s="22">
        <v>28078275</v>
      </c>
      <c r="O6" s="22"/>
      <c r="P6" s="22">
        <v>6231195</v>
      </c>
      <c r="Q6" s="22"/>
    </row>
    <row r="7" spans="1:18" s="25" customFormat="1" ht="10.5" customHeight="1" x14ac:dyDescent="0.25">
      <c r="A7" s="36" t="s">
        <v>9</v>
      </c>
      <c r="B7" s="23" t="s">
        <v>10</v>
      </c>
      <c r="C7" s="24"/>
      <c r="D7" s="23" t="s">
        <v>10</v>
      </c>
      <c r="E7" s="24"/>
      <c r="F7" s="23" t="s">
        <v>10</v>
      </c>
      <c r="G7" s="24"/>
      <c r="H7" s="23" t="s">
        <v>10</v>
      </c>
      <c r="I7" s="24"/>
      <c r="J7" s="23" t="s">
        <v>11</v>
      </c>
      <c r="K7" s="24"/>
      <c r="L7" s="23" t="s">
        <v>12</v>
      </c>
      <c r="M7" s="24"/>
      <c r="N7" s="23" t="s">
        <v>12</v>
      </c>
      <c r="O7" s="24"/>
      <c r="P7" s="23" t="s">
        <v>13</v>
      </c>
      <c r="Q7" s="24"/>
      <c r="R7" s="24"/>
    </row>
    <row r="8" spans="1:18" s="25" customFormat="1" ht="24" customHeight="1" x14ac:dyDescent="0.25">
      <c r="A8" s="37"/>
      <c r="B8" s="26" t="s">
        <v>14</v>
      </c>
      <c r="C8" s="27" t="s">
        <v>15</v>
      </c>
      <c r="D8" s="26" t="s">
        <v>16</v>
      </c>
      <c r="E8" s="27" t="s">
        <v>17</v>
      </c>
      <c r="F8" s="28" t="s">
        <v>18</v>
      </c>
      <c r="G8" s="27" t="s">
        <v>19</v>
      </c>
      <c r="H8" s="26" t="s">
        <v>20</v>
      </c>
      <c r="I8" s="27" t="s">
        <v>21</v>
      </c>
      <c r="J8" s="28" t="s">
        <v>22</v>
      </c>
      <c r="K8" s="27" t="s">
        <v>23</v>
      </c>
      <c r="L8" s="28" t="s">
        <v>18</v>
      </c>
      <c r="M8" s="27" t="s">
        <v>19</v>
      </c>
      <c r="N8" s="28" t="s">
        <v>24</v>
      </c>
      <c r="O8" s="27" t="s">
        <v>21</v>
      </c>
      <c r="P8" s="28" t="s">
        <v>25</v>
      </c>
      <c r="Q8" s="27" t="s">
        <v>21</v>
      </c>
      <c r="R8" s="27" t="s">
        <v>33</v>
      </c>
    </row>
    <row r="9" spans="1:18" ht="20.25" customHeight="1" x14ac:dyDescent="0.25">
      <c r="A9" s="29">
        <v>1</v>
      </c>
      <c r="B9" s="29">
        <v>15471</v>
      </c>
      <c r="C9" s="29">
        <f>+(B9-B6)*300</f>
        <v>6900</v>
      </c>
      <c r="D9" s="29">
        <v>47848</v>
      </c>
      <c r="E9" s="29">
        <f>+(D9-D6)*1.047</f>
        <v>15.704999999999998</v>
      </c>
      <c r="F9" s="29">
        <v>28370</v>
      </c>
      <c r="G9" s="29">
        <f>+(F9-F6)*0.1</f>
        <v>1.2000000000000002</v>
      </c>
      <c r="H9" s="29">
        <v>10721442</v>
      </c>
      <c r="I9" s="29">
        <f>+H9-H6</f>
        <v>642</v>
      </c>
      <c r="J9" s="29">
        <v>343420</v>
      </c>
      <c r="K9" s="29">
        <f>+J9-J6</f>
        <v>11</v>
      </c>
      <c r="L9" s="29">
        <v>11155</v>
      </c>
      <c r="M9" s="29">
        <f>+(L9-L6)*0.1</f>
        <v>6.5</v>
      </c>
      <c r="N9" s="29">
        <v>28087780</v>
      </c>
      <c r="O9" s="29">
        <f>+N9-N6</f>
        <v>9505</v>
      </c>
      <c r="P9" s="29">
        <v>6231196</v>
      </c>
      <c r="Q9" s="29">
        <f>+P9-P6</f>
        <v>1</v>
      </c>
      <c r="R9" s="29">
        <v>0</v>
      </c>
    </row>
    <row r="10" spans="1:18" ht="20.25" customHeight="1" x14ac:dyDescent="0.25">
      <c r="A10" s="29">
        <v>2</v>
      </c>
      <c r="B10" s="29">
        <v>15490</v>
      </c>
      <c r="C10" s="29">
        <f>+(B10-B9)*300</f>
        <v>5700</v>
      </c>
      <c r="D10" s="29">
        <v>47856</v>
      </c>
      <c r="E10" s="29">
        <f>+(D10-D9)*1.047</f>
        <v>8.3759999999999994</v>
      </c>
      <c r="F10" s="29">
        <v>28388</v>
      </c>
      <c r="G10" s="29">
        <f>+(F10-F9)*0.1</f>
        <v>1.8</v>
      </c>
      <c r="H10" s="29">
        <v>10722038</v>
      </c>
      <c r="I10" s="29">
        <f>+H10-H9</f>
        <v>596</v>
      </c>
      <c r="J10" s="29">
        <v>343467</v>
      </c>
      <c r="K10" s="29">
        <f>+J10-J9</f>
        <v>47</v>
      </c>
      <c r="L10" s="29">
        <v>11208</v>
      </c>
      <c r="M10" s="29">
        <f>+(L10-L9)*0.1</f>
        <v>5.3000000000000007</v>
      </c>
      <c r="N10" s="29">
        <v>28094201</v>
      </c>
      <c r="O10" s="29">
        <f>+N10-N9</f>
        <v>6421</v>
      </c>
      <c r="P10" s="29">
        <v>6231196</v>
      </c>
      <c r="Q10" s="29">
        <f>+P10-P9</f>
        <v>0</v>
      </c>
      <c r="R10" s="29">
        <v>0</v>
      </c>
    </row>
    <row r="11" spans="1:18" ht="20.25" customHeight="1" x14ac:dyDescent="0.25">
      <c r="A11" s="29">
        <v>3</v>
      </c>
      <c r="B11" s="29">
        <v>15510</v>
      </c>
      <c r="C11" s="29">
        <f t="shared" ref="C11:C39" si="0">+(B11-B10)*300</f>
        <v>6000</v>
      </c>
      <c r="D11" s="29">
        <v>47864</v>
      </c>
      <c r="E11" s="29">
        <f t="shared" ref="E11:E39" si="1">+(D11-D10)*1.047</f>
        <v>8.3759999999999994</v>
      </c>
      <c r="F11" s="29">
        <v>28392</v>
      </c>
      <c r="G11" s="29">
        <f t="shared" ref="G11:G39" si="2">+(F11-F10)*0.1</f>
        <v>0.4</v>
      </c>
      <c r="H11" s="29">
        <v>10722673</v>
      </c>
      <c r="I11" s="29">
        <f>+H11-H10</f>
        <v>635</v>
      </c>
      <c r="J11" s="29">
        <v>343538</v>
      </c>
      <c r="K11" s="29">
        <f>+J11-J10</f>
        <v>71</v>
      </c>
      <c r="L11" s="29">
        <v>11251</v>
      </c>
      <c r="M11" s="29">
        <f t="shared" ref="M11:M39" si="3">+(L11-L10)*0.1</f>
        <v>4.3</v>
      </c>
      <c r="N11" s="29">
        <v>28100758</v>
      </c>
      <c r="O11" s="29">
        <f>+N11-N10</f>
        <v>6557</v>
      </c>
      <c r="P11" s="29">
        <v>6231196</v>
      </c>
      <c r="Q11" s="29">
        <f>+P11-P10</f>
        <v>0</v>
      </c>
      <c r="R11" s="29">
        <v>0</v>
      </c>
    </row>
    <row r="12" spans="1:18" ht="20.25" customHeight="1" x14ac:dyDescent="0.25">
      <c r="A12" s="29">
        <v>4</v>
      </c>
      <c r="B12" s="29">
        <v>15524</v>
      </c>
      <c r="C12" s="29">
        <f t="shared" si="0"/>
        <v>4200</v>
      </c>
      <c r="D12" s="29">
        <v>47870</v>
      </c>
      <c r="E12" s="29">
        <f t="shared" si="1"/>
        <v>6.282</v>
      </c>
      <c r="F12" s="29">
        <v>28397</v>
      </c>
      <c r="G12" s="29">
        <f t="shared" si="2"/>
        <v>0.5</v>
      </c>
      <c r="H12" s="29">
        <v>10723015</v>
      </c>
      <c r="I12" s="29">
        <f t="shared" ref="I12:K39" si="4">+H12-H11</f>
        <v>342</v>
      </c>
      <c r="J12" s="29">
        <v>343554</v>
      </c>
      <c r="K12" s="29">
        <f t="shared" si="4"/>
        <v>16</v>
      </c>
      <c r="L12" s="29">
        <v>11285</v>
      </c>
      <c r="M12" s="29">
        <f t="shared" si="3"/>
        <v>3.4000000000000004</v>
      </c>
      <c r="N12" s="29">
        <v>28108840</v>
      </c>
      <c r="O12" s="29">
        <f t="shared" ref="O12:Q27" si="5">+N12-N11</f>
        <v>8082</v>
      </c>
      <c r="P12" s="29">
        <v>6231196</v>
      </c>
      <c r="Q12" s="29">
        <f t="shared" si="5"/>
        <v>0</v>
      </c>
      <c r="R12" s="29">
        <v>0</v>
      </c>
    </row>
    <row r="13" spans="1:18" ht="20.25" customHeight="1" x14ac:dyDescent="0.25">
      <c r="A13" s="29">
        <v>5</v>
      </c>
      <c r="B13" s="29">
        <v>15542</v>
      </c>
      <c r="C13" s="29">
        <f t="shared" si="0"/>
        <v>5400</v>
      </c>
      <c r="D13" s="29">
        <v>47877</v>
      </c>
      <c r="E13" s="29">
        <f t="shared" si="1"/>
        <v>7.3289999999999997</v>
      </c>
      <c r="F13" s="29">
        <v>28405</v>
      </c>
      <c r="G13" s="29">
        <f t="shared" si="2"/>
        <v>0.8</v>
      </c>
      <c r="H13" s="29">
        <v>10723545</v>
      </c>
      <c r="I13" s="29">
        <f t="shared" si="4"/>
        <v>530</v>
      </c>
      <c r="J13" s="29">
        <v>343600</v>
      </c>
      <c r="K13" s="29">
        <f t="shared" si="4"/>
        <v>46</v>
      </c>
      <c r="L13" s="29">
        <v>11340</v>
      </c>
      <c r="M13" s="29">
        <f t="shared" si="3"/>
        <v>5.5</v>
      </c>
      <c r="N13" s="29">
        <v>28121480</v>
      </c>
      <c r="O13" s="29">
        <f t="shared" si="5"/>
        <v>12640</v>
      </c>
      <c r="P13" s="29">
        <v>6231196</v>
      </c>
      <c r="Q13" s="29">
        <f t="shared" si="5"/>
        <v>0</v>
      </c>
      <c r="R13" s="29">
        <v>0</v>
      </c>
    </row>
    <row r="14" spans="1:18" ht="20.25" customHeight="1" x14ac:dyDescent="0.25">
      <c r="A14" s="29">
        <v>6</v>
      </c>
      <c r="B14" s="29">
        <v>15562</v>
      </c>
      <c r="C14" s="29">
        <f t="shared" si="0"/>
        <v>6000</v>
      </c>
      <c r="D14" s="29">
        <v>47884</v>
      </c>
      <c r="E14" s="29">
        <f t="shared" si="1"/>
        <v>7.3289999999999997</v>
      </c>
      <c r="F14" s="29">
        <v>28413</v>
      </c>
      <c r="G14" s="29">
        <f t="shared" si="2"/>
        <v>0.8</v>
      </c>
      <c r="H14" s="29">
        <v>10724140</v>
      </c>
      <c r="I14" s="29">
        <f t="shared" si="4"/>
        <v>595</v>
      </c>
      <c r="J14" s="29">
        <v>343646</v>
      </c>
      <c r="K14" s="29">
        <f t="shared" si="4"/>
        <v>46</v>
      </c>
      <c r="L14" s="29">
        <v>11392</v>
      </c>
      <c r="M14" s="29">
        <f t="shared" si="3"/>
        <v>5.2</v>
      </c>
      <c r="N14" s="29">
        <v>28134870</v>
      </c>
      <c r="O14" s="29">
        <f t="shared" si="5"/>
        <v>13390</v>
      </c>
      <c r="P14" s="29">
        <v>6231196</v>
      </c>
      <c r="Q14" s="29">
        <f t="shared" si="5"/>
        <v>0</v>
      </c>
      <c r="R14" s="29">
        <v>0</v>
      </c>
    </row>
    <row r="15" spans="1:18" ht="20.25" customHeight="1" x14ac:dyDescent="0.25">
      <c r="A15" s="29">
        <v>7</v>
      </c>
      <c r="B15" s="29">
        <v>15581</v>
      </c>
      <c r="C15" s="29">
        <f t="shared" si="0"/>
        <v>5700</v>
      </c>
      <c r="D15" s="29">
        <v>47891</v>
      </c>
      <c r="E15" s="29">
        <f t="shared" si="1"/>
        <v>7.3289999999999997</v>
      </c>
      <c r="F15" s="29">
        <v>28421</v>
      </c>
      <c r="G15" s="29">
        <f t="shared" si="2"/>
        <v>0.8</v>
      </c>
      <c r="H15" s="29">
        <v>10724765</v>
      </c>
      <c r="I15" s="29">
        <f t="shared" si="4"/>
        <v>625</v>
      </c>
      <c r="J15" s="29">
        <v>343735</v>
      </c>
      <c r="K15" s="29">
        <f t="shared" si="4"/>
        <v>89</v>
      </c>
      <c r="L15" s="29">
        <v>11438</v>
      </c>
      <c r="M15" s="29">
        <f t="shared" si="3"/>
        <v>4.6000000000000005</v>
      </c>
      <c r="N15" s="29">
        <v>28138500</v>
      </c>
      <c r="O15" s="29">
        <f t="shared" si="5"/>
        <v>3630</v>
      </c>
      <c r="P15" s="29">
        <v>6231196</v>
      </c>
      <c r="Q15" s="29">
        <f t="shared" si="5"/>
        <v>0</v>
      </c>
      <c r="R15" s="29">
        <v>0</v>
      </c>
    </row>
    <row r="16" spans="1:18" ht="20.25" customHeight="1" x14ac:dyDescent="0.25">
      <c r="A16" s="29">
        <v>8</v>
      </c>
      <c r="B16" s="29">
        <v>15606</v>
      </c>
      <c r="C16" s="29">
        <f t="shared" si="0"/>
        <v>7500</v>
      </c>
      <c r="D16" s="29">
        <v>47902</v>
      </c>
      <c r="E16" s="29">
        <f t="shared" si="1"/>
        <v>11.516999999999999</v>
      </c>
      <c r="F16" s="29">
        <v>28433</v>
      </c>
      <c r="G16" s="29">
        <f t="shared" si="2"/>
        <v>1.2000000000000002</v>
      </c>
      <c r="H16" s="29">
        <v>10725480</v>
      </c>
      <c r="I16" s="29">
        <f t="shared" si="4"/>
        <v>715</v>
      </c>
      <c r="J16" s="29">
        <v>343756</v>
      </c>
      <c r="K16" s="29">
        <f t="shared" si="4"/>
        <v>21</v>
      </c>
      <c r="L16" s="29">
        <v>11487</v>
      </c>
      <c r="M16" s="29">
        <f t="shared" si="3"/>
        <v>4.9000000000000004</v>
      </c>
      <c r="N16" s="32">
        <v>28164760</v>
      </c>
      <c r="O16" s="29">
        <f t="shared" si="5"/>
        <v>26260</v>
      </c>
      <c r="P16" s="29">
        <v>6231296</v>
      </c>
      <c r="Q16" s="29">
        <f t="shared" si="5"/>
        <v>100</v>
      </c>
      <c r="R16" s="29">
        <v>0</v>
      </c>
    </row>
    <row r="17" spans="1:18" ht="20.25" customHeight="1" x14ac:dyDescent="0.25">
      <c r="A17" s="29">
        <v>9</v>
      </c>
      <c r="B17" s="29">
        <v>15619</v>
      </c>
      <c r="C17" s="29">
        <f>+(B17-B16)*300</f>
        <v>3900</v>
      </c>
      <c r="D17" s="29">
        <v>47907</v>
      </c>
      <c r="E17" s="29">
        <f t="shared" si="1"/>
        <v>5.2349999999999994</v>
      </c>
      <c r="F17" s="29">
        <v>28440</v>
      </c>
      <c r="G17" s="29">
        <f t="shared" si="2"/>
        <v>0.70000000000000007</v>
      </c>
      <c r="H17" s="29">
        <v>10725670</v>
      </c>
      <c r="I17" s="29">
        <f t="shared" si="4"/>
        <v>190</v>
      </c>
      <c r="J17" s="29">
        <v>343889</v>
      </c>
      <c r="K17" s="29">
        <f t="shared" si="4"/>
        <v>133</v>
      </c>
      <c r="L17" s="29">
        <v>11532</v>
      </c>
      <c r="M17" s="29">
        <f t="shared" si="3"/>
        <v>4.5</v>
      </c>
      <c r="N17" s="29">
        <v>28173470</v>
      </c>
      <c r="O17" s="29">
        <f t="shared" si="5"/>
        <v>8710</v>
      </c>
      <c r="P17" s="29">
        <v>6231296</v>
      </c>
      <c r="Q17" s="29">
        <f t="shared" si="5"/>
        <v>0</v>
      </c>
      <c r="R17" s="29">
        <v>0</v>
      </c>
    </row>
    <row r="18" spans="1:18" ht="20.25" customHeight="1" x14ac:dyDescent="0.25">
      <c r="A18" s="29">
        <v>10</v>
      </c>
      <c r="B18" s="29">
        <v>15639</v>
      </c>
      <c r="C18" s="29">
        <f t="shared" si="0"/>
        <v>6000</v>
      </c>
      <c r="D18" s="29">
        <v>47915</v>
      </c>
      <c r="E18" s="29">
        <f t="shared" si="1"/>
        <v>8.3759999999999994</v>
      </c>
      <c r="F18" s="29">
        <v>28448</v>
      </c>
      <c r="G18" s="29">
        <f t="shared" si="2"/>
        <v>0.8</v>
      </c>
      <c r="H18" s="29">
        <v>10726540</v>
      </c>
      <c r="I18" s="29">
        <f t="shared" si="4"/>
        <v>870</v>
      </c>
      <c r="J18" s="29">
        <v>343978</v>
      </c>
      <c r="K18" s="29">
        <f t="shared" si="4"/>
        <v>89</v>
      </c>
      <c r="L18" s="29">
        <v>11578</v>
      </c>
      <c r="M18" s="29">
        <f t="shared" si="3"/>
        <v>4.6000000000000005</v>
      </c>
      <c r="N18" s="29">
        <v>28179040</v>
      </c>
      <c r="O18" s="29">
        <f t="shared" si="5"/>
        <v>5570</v>
      </c>
      <c r="P18" s="29">
        <v>6231296</v>
      </c>
      <c r="Q18" s="29">
        <f t="shared" si="5"/>
        <v>0</v>
      </c>
      <c r="R18" s="29">
        <v>0</v>
      </c>
    </row>
    <row r="19" spans="1:18" ht="20.25" customHeight="1" x14ac:dyDescent="0.25">
      <c r="A19" s="29">
        <v>11</v>
      </c>
      <c r="B19" s="29">
        <v>15651</v>
      </c>
      <c r="C19" s="29">
        <f t="shared" si="0"/>
        <v>3600</v>
      </c>
      <c r="D19" s="29">
        <v>47921</v>
      </c>
      <c r="E19" s="29">
        <f t="shared" si="1"/>
        <v>6.282</v>
      </c>
      <c r="F19" s="29">
        <v>28453</v>
      </c>
      <c r="G19" s="29">
        <f t="shared" si="2"/>
        <v>0.5</v>
      </c>
      <c r="H19" s="29">
        <v>10726910</v>
      </c>
      <c r="I19" s="29">
        <f t="shared" si="4"/>
        <v>370</v>
      </c>
      <c r="J19" s="29">
        <v>343980</v>
      </c>
      <c r="K19" s="29">
        <f t="shared" si="4"/>
        <v>2</v>
      </c>
      <c r="L19" s="29">
        <v>11613</v>
      </c>
      <c r="M19" s="29">
        <f t="shared" si="3"/>
        <v>3.5</v>
      </c>
      <c r="N19" s="29">
        <v>28182845</v>
      </c>
      <c r="O19" s="29">
        <f t="shared" si="5"/>
        <v>3805</v>
      </c>
      <c r="P19" s="29">
        <v>6231296</v>
      </c>
      <c r="Q19" s="29">
        <f t="shared" si="5"/>
        <v>0</v>
      </c>
      <c r="R19" s="29">
        <v>0</v>
      </c>
    </row>
    <row r="20" spans="1:18" ht="20.25" customHeight="1" x14ac:dyDescent="0.25">
      <c r="A20" s="29">
        <v>12</v>
      </c>
      <c r="B20" s="29">
        <v>15670</v>
      </c>
      <c r="C20" s="29">
        <f t="shared" si="0"/>
        <v>5700</v>
      </c>
      <c r="D20" s="29">
        <v>47929</v>
      </c>
      <c r="E20" s="29">
        <f t="shared" si="1"/>
        <v>8.3759999999999994</v>
      </c>
      <c r="F20" s="29">
        <v>28460</v>
      </c>
      <c r="G20" s="29">
        <f t="shared" si="2"/>
        <v>0.70000000000000007</v>
      </c>
      <c r="H20" s="29">
        <v>10727480</v>
      </c>
      <c r="I20" s="29">
        <f t="shared" si="4"/>
        <v>570</v>
      </c>
      <c r="J20" s="29">
        <v>344013</v>
      </c>
      <c r="K20" s="29">
        <f t="shared" si="4"/>
        <v>33</v>
      </c>
      <c r="L20" s="29">
        <v>11661</v>
      </c>
      <c r="M20" s="29">
        <f t="shared" si="3"/>
        <v>4.8000000000000007</v>
      </c>
      <c r="N20" s="29">
        <v>28188500</v>
      </c>
      <c r="O20" s="29">
        <f t="shared" si="5"/>
        <v>5655</v>
      </c>
      <c r="P20" s="29">
        <v>6231296</v>
      </c>
      <c r="Q20" s="29">
        <f t="shared" si="5"/>
        <v>0</v>
      </c>
      <c r="R20" s="29">
        <v>0</v>
      </c>
    </row>
    <row r="21" spans="1:18" ht="20.25" customHeight="1" x14ac:dyDescent="0.25">
      <c r="A21" s="29">
        <v>13</v>
      </c>
      <c r="B21" s="29">
        <v>15688</v>
      </c>
      <c r="C21" s="29">
        <f t="shared" si="0"/>
        <v>5400</v>
      </c>
      <c r="D21" s="29">
        <v>47938</v>
      </c>
      <c r="E21" s="29">
        <f t="shared" si="1"/>
        <v>9.423</v>
      </c>
      <c r="F21" s="29">
        <v>28468</v>
      </c>
      <c r="G21" s="29">
        <f t="shared" si="2"/>
        <v>0.8</v>
      </c>
      <c r="H21" s="29">
        <v>10728090</v>
      </c>
      <c r="I21" s="29">
        <f t="shared" si="4"/>
        <v>610</v>
      </c>
      <c r="J21" s="29">
        <v>344096</v>
      </c>
      <c r="K21" s="29">
        <f t="shared" si="4"/>
        <v>83</v>
      </c>
      <c r="L21" s="29">
        <v>11707</v>
      </c>
      <c r="M21" s="29">
        <f t="shared" si="3"/>
        <v>4.6000000000000005</v>
      </c>
      <c r="N21" s="29">
        <v>28195470</v>
      </c>
      <c r="O21" s="29">
        <f t="shared" si="5"/>
        <v>6970</v>
      </c>
      <c r="P21" s="29">
        <v>6231296</v>
      </c>
      <c r="Q21" s="29">
        <f t="shared" si="5"/>
        <v>0</v>
      </c>
      <c r="R21" s="29">
        <v>0</v>
      </c>
    </row>
    <row r="22" spans="1:18" ht="20.25" customHeight="1" x14ac:dyDescent="0.25">
      <c r="A22" s="29">
        <v>14</v>
      </c>
      <c r="B22" s="29">
        <v>15707</v>
      </c>
      <c r="C22" s="29">
        <f t="shared" si="0"/>
        <v>5700</v>
      </c>
      <c r="D22" s="29">
        <v>47946</v>
      </c>
      <c r="E22" s="29">
        <f t="shared" si="1"/>
        <v>8.3759999999999994</v>
      </c>
      <c r="F22" s="29">
        <v>28475</v>
      </c>
      <c r="G22" s="29">
        <f t="shared" si="2"/>
        <v>0.70000000000000007</v>
      </c>
      <c r="H22" s="29">
        <v>10728795</v>
      </c>
      <c r="I22" s="29">
        <f t="shared" si="4"/>
        <v>705</v>
      </c>
      <c r="J22" s="29">
        <v>344181</v>
      </c>
      <c r="K22" s="29">
        <f t="shared" si="4"/>
        <v>85</v>
      </c>
      <c r="L22" s="29">
        <v>11752</v>
      </c>
      <c r="M22" s="29">
        <f t="shared" si="3"/>
        <v>4.5</v>
      </c>
      <c r="N22" s="29">
        <v>28202650</v>
      </c>
      <c r="O22" s="29">
        <f t="shared" si="5"/>
        <v>7180</v>
      </c>
      <c r="P22" s="29">
        <v>6231296</v>
      </c>
      <c r="Q22" s="29">
        <f t="shared" si="5"/>
        <v>0</v>
      </c>
      <c r="R22" s="29">
        <v>0</v>
      </c>
    </row>
    <row r="23" spans="1:18" ht="20.25" customHeight="1" x14ac:dyDescent="0.25">
      <c r="A23" s="29">
        <v>15</v>
      </c>
      <c r="B23" s="29">
        <v>15729</v>
      </c>
      <c r="C23" s="29">
        <f t="shared" si="0"/>
        <v>6600</v>
      </c>
      <c r="D23" s="29">
        <v>47957</v>
      </c>
      <c r="E23" s="29">
        <f t="shared" si="1"/>
        <v>11.516999999999999</v>
      </c>
      <c r="F23" s="29">
        <v>28487</v>
      </c>
      <c r="G23" s="29">
        <f t="shared" si="2"/>
        <v>1.2000000000000002</v>
      </c>
      <c r="H23" s="29">
        <v>10729540</v>
      </c>
      <c r="I23" s="29">
        <f t="shared" si="4"/>
        <v>745</v>
      </c>
      <c r="J23" s="29">
        <v>344202</v>
      </c>
      <c r="K23" s="29">
        <f t="shared" si="4"/>
        <v>21</v>
      </c>
      <c r="L23" s="29">
        <v>11811</v>
      </c>
      <c r="M23" s="29">
        <f t="shared" si="3"/>
        <v>5.9</v>
      </c>
      <c r="N23" s="29">
        <v>28211820</v>
      </c>
      <c r="O23" s="29">
        <f t="shared" si="5"/>
        <v>9170</v>
      </c>
      <c r="P23" s="29">
        <v>6231296</v>
      </c>
      <c r="Q23" s="29">
        <f t="shared" si="5"/>
        <v>0</v>
      </c>
      <c r="R23" s="29">
        <v>0</v>
      </c>
    </row>
    <row r="24" spans="1:18" ht="20.25" customHeight="1" x14ac:dyDescent="0.25">
      <c r="A24" s="29">
        <v>16</v>
      </c>
      <c r="B24" s="29">
        <v>15729</v>
      </c>
      <c r="C24" s="29">
        <f t="shared" si="0"/>
        <v>0</v>
      </c>
      <c r="D24" s="29">
        <v>47957</v>
      </c>
      <c r="E24" s="29">
        <f t="shared" si="1"/>
        <v>0</v>
      </c>
      <c r="F24" s="29">
        <v>28497</v>
      </c>
      <c r="G24" s="29">
        <f t="shared" si="2"/>
        <v>1</v>
      </c>
      <c r="H24" s="29">
        <v>10730225</v>
      </c>
      <c r="I24" s="29">
        <f t="shared" si="4"/>
        <v>685</v>
      </c>
      <c r="J24" s="29">
        <v>344258</v>
      </c>
      <c r="K24" s="29">
        <f t="shared" si="4"/>
        <v>56</v>
      </c>
      <c r="L24" s="29">
        <v>11858</v>
      </c>
      <c r="M24" s="29">
        <f t="shared" si="3"/>
        <v>4.7</v>
      </c>
      <c r="N24" s="29">
        <v>28218660</v>
      </c>
      <c r="O24" s="29">
        <f t="shared" si="5"/>
        <v>6840</v>
      </c>
      <c r="P24" s="29">
        <v>6231296</v>
      </c>
      <c r="Q24" s="29">
        <f t="shared" si="5"/>
        <v>0</v>
      </c>
      <c r="R24" s="29">
        <v>0</v>
      </c>
    </row>
    <row r="25" spans="1:18" ht="20.25" customHeight="1" x14ac:dyDescent="0.25">
      <c r="A25" s="29">
        <v>17</v>
      </c>
      <c r="B25" s="29">
        <v>15764</v>
      </c>
      <c r="C25" s="29">
        <f t="shared" si="0"/>
        <v>10500</v>
      </c>
      <c r="D25" s="29">
        <v>47974</v>
      </c>
      <c r="E25" s="29">
        <f t="shared" si="1"/>
        <v>17.798999999999999</v>
      </c>
      <c r="F25" s="29">
        <v>28504</v>
      </c>
      <c r="G25" s="29">
        <f t="shared" si="2"/>
        <v>0.70000000000000007</v>
      </c>
      <c r="H25" s="29">
        <v>10730700</v>
      </c>
      <c r="I25" s="29">
        <f t="shared" si="4"/>
        <v>475</v>
      </c>
      <c r="J25" s="29">
        <v>344336</v>
      </c>
      <c r="K25" s="29">
        <f t="shared" si="4"/>
        <v>78</v>
      </c>
      <c r="L25" s="29">
        <v>11893</v>
      </c>
      <c r="M25" s="29">
        <f t="shared" si="3"/>
        <v>3.5</v>
      </c>
      <c r="N25" s="29">
        <v>28223155</v>
      </c>
      <c r="O25" s="29">
        <f t="shared" si="5"/>
        <v>4495</v>
      </c>
      <c r="P25" s="29">
        <v>6231296</v>
      </c>
      <c r="Q25" s="29">
        <f t="shared" si="5"/>
        <v>0</v>
      </c>
      <c r="R25" s="29">
        <v>0</v>
      </c>
    </row>
    <row r="26" spans="1:18" ht="20.25" customHeight="1" x14ac:dyDescent="0.25">
      <c r="A26" s="29">
        <v>18</v>
      </c>
      <c r="B26" s="29">
        <v>15777</v>
      </c>
      <c r="C26" s="29">
        <f t="shared" si="0"/>
        <v>3900</v>
      </c>
      <c r="D26" s="29">
        <v>47981</v>
      </c>
      <c r="E26" s="29">
        <f t="shared" si="1"/>
        <v>7.3289999999999997</v>
      </c>
      <c r="F26" s="29">
        <v>28512</v>
      </c>
      <c r="G26" s="29">
        <f t="shared" si="2"/>
        <v>0.8</v>
      </c>
      <c r="H26" s="29">
        <v>10731100</v>
      </c>
      <c r="I26" s="29">
        <f t="shared" si="4"/>
        <v>400</v>
      </c>
      <c r="J26" s="29">
        <v>344370</v>
      </c>
      <c r="K26" s="29">
        <f t="shared" si="4"/>
        <v>34</v>
      </c>
      <c r="L26" s="29">
        <v>11929</v>
      </c>
      <c r="M26" s="29">
        <f t="shared" si="3"/>
        <v>3.6</v>
      </c>
      <c r="N26" s="29">
        <v>28227836</v>
      </c>
      <c r="O26" s="29">
        <f t="shared" si="5"/>
        <v>4681</v>
      </c>
      <c r="P26" s="29">
        <v>6231296</v>
      </c>
      <c r="Q26" s="29">
        <f t="shared" si="5"/>
        <v>0</v>
      </c>
      <c r="R26" s="29">
        <v>0</v>
      </c>
    </row>
    <row r="27" spans="1:18" ht="20.25" customHeight="1" x14ac:dyDescent="0.25">
      <c r="A27" s="29">
        <v>19</v>
      </c>
      <c r="B27" s="29">
        <v>15801</v>
      </c>
      <c r="C27" s="29">
        <f t="shared" si="0"/>
        <v>7200</v>
      </c>
      <c r="D27" s="29">
        <v>47991</v>
      </c>
      <c r="E27" s="29">
        <f t="shared" si="1"/>
        <v>10.469999999999999</v>
      </c>
      <c r="F27" s="29">
        <v>28520</v>
      </c>
      <c r="G27" s="29">
        <f t="shared" si="2"/>
        <v>0.8</v>
      </c>
      <c r="H27" s="29">
        <v>10732200</v>
      </c>
      <c r="I27" s="29">
        <f t="shared" si="4"/>
        <v>1100</v>
      </c>
      <c r="J27" s="29">
        <v>344379</v>
      </c>
      <c r="K27" s="29">
        <f t="shared" si="4"/>
        <v>9</v>
      </c>
      <c r="L27" s="29">
        <v>11979</v>
      </c>
      <c r="M27" s="29">
        <f t="shared" si="3"/>
        <v>5</v>
      </c>
      <c r="N27" s="29">
        <v>28235183</v>
      </c>
      <c r="O27" s="29">
        <f t="shared" si="5"/>
        <v>7347</v>
      </c>
      <c r="P27" s="29">
        <v>6231296</v>
      </c>
      <c r="Q27" s="29">
        <f t="shared" si="5"/>
        <v>0</v>
      </c>
      <c r="R27" s="29">
        <v>0</v>
      </c>
    </row>
    <row r="28" spans="1:18" ht="20.25" customHeight="1" x14ac:dyDescent="0.25">
      <c r="A28" s="29">
        <v>20</v>
      </c>
      <c r="B28" s="29">
        <v>15811</v>
      </c>
      <c r="C28" s="29">
        <f t="shared" si="0"/>
        <v>3000</v>
      </c>
      <c r="D28" s="29">
        <v>47996</v>
      </c>
      <c r="E28" s="29">
        <f t="shared" si="1"/>
        <v>5.2349999999999994</v>
      </c>
      <c r="F28" s="29">
        <v>28524</v>
      </c>
      <c r="G28" s="29">
        <f t="shared" si="2"/>
        <v>0.4</v>
      </c>
      <c r="H28" s="29">
        <v>10732420</v>
      </c>
      <c r="I28" s="29">
        <f t="shared" si="4"/>
        <v>220</v>
      </c>
      <c r="J28" s="29">
        <v>344424</v>
      </c>
      <c r="K28" s="29">
        <f t="shared" si="4"/>
        <v>45</v>
      </c>
      <c r="L28" s="29">
        <v>12005</v>
      </c>
      <c r="M28" s="29">
        <f t="shared" si="3"/>
        <v>2.6</v>
      </c>
      <c r="N28" s="29">
        <v>28238500</v>
      </c>
      <c r="O28" s="29">
        <f t="shared" ref="O28:Q39" si="6">+N28-N27</f>
        <v>3317</v>
      </c>
      <c r="P28" s="29">
        <v>6231296</v>
      </c>
      <c r="Q28" s="29">
        <f t="shared" si="6"/>
        <v>0</v>
      </c>
      <c r="R28" s="29">
        <v>0</v>
      </c>
    </row>
    <row r="29" spans="1:18" ht="20.25" customHeight="1" x14ac:dyDescent="0.25">
      <c r="A29" s="29">
        <v>21</v>
      </c>
      <c r="B29" s="29">
        <v>15829</v>
      </c>
      <c r="C29" s="29">
        <f t="shared" si="0"/>
        <v>5400</v>
      </c>
      <c r="D29" s="29">
        <v>48004</v>
      </c>
      <c r="E29" s="29">
        <f t="shared" si="1"/>
        <v>8.3759999999999994</v>
      </c>
      <c r="F29" s="29">
        <v>28534</v>
      </c>
      <c r="G29" s="29">
        <f t="shared" si="2"/>
        <v>1</v>
      </c>
      <c r="H29" s="29">
        <v>10733040</v>
      </c>
      <c r="I29" s="29">
        <f t="shared" si="4"/>
        <v>620</v>
      </c>
      <c r="J29" s="29">
        <v>344571</v>
      </c>
      <c r="K29" s="29">
        <f t="shared" si="4"/>
        <v>147</v>
      </c>
      <c r="L29" s="29">
        <v>12050</v>
      </c>
      <c r="M29" s="29">
        <f t="shared" si="3"/>
        <v>4.5</v>
      </c>
      <c r="N29" s="29">
        <v>28246200</v>
      </c>
      <c r="O29" s="29">
        <f t="shared" si="6"/>
        <v>7700</v>
      </c>
      <c r="P29" s="29">
        <v>6231296</v>
      </c>
      <c r="Q29" s="29">
        <f t="shared" si="6"/>
        <v>0</v>
      </c>
      <c r="R29" s="29">
        <v>0</v>
      </c>
    </row>
    <row r="30" spans="1:18" ht="20.25" customHeight="1" x14ac:dyDescent="0.25">
      <c r="A30" s="29">
        <v>22</v>
      </c>
      <c r="B30" s="29">
        <v>15850</v>
      </c>
      <c r="C30" s="29">
        <f t="shared" si="0"/>
        <v>6300</v>
      </c>
      <c r="D30" s="29">
        <v>48014</v>
      </c>
      <c r="E30" s="29">
        <f t="shared" si="1"/>
        <v>10.469999999999999</v>
      </c>
      <c r="F30" s="29">
        <v>28547</v>
      </c>
      <c r="G30" s="29">
        <f t="shared" si="2"/>
        <v>1.3</v>
      </c>
      <c r="H30" s="29">
        <v>10733615</v>
      </c>
      <c r="I30" s="29">
        <f t="shared" si="4"/>
        <v>575</v>
      </c>
      <c r="J30" s="29">
        <v>344699</v>
      </c>
      <c r="K30" s="29">
        <f t="shared" si="4"/>
        <v>128</v>
      </c>
      <c r="L30" s="29">
        <v>12101</v>
      </c>
      <c r="M30" s="29">
        <f t="shared" si="3"/>
        <v>5.1000000000000005</v>
      </c>
      <c r="N30" s="29">
        <v>28253085</v>
      </c>
      <c r="O30" s="29">
        <f t="shared" si="6"/>
        <v>6885</v>
      </c>
      <c r="P30" s="29">
        <v>6231296</v>
      </c>
      <c r="Q30" s="29">
        <f t="shared" si="6"/>
        <v>0</v>
      </c>
      <c r="R30" s="29">
        <v>0</v>
      </c>
    </row>
    <row r="31" spans="1:18" ht="20.25" customHeight="1" x14ac:dyDescent="0.25">
      <c r="A31" s="29">
        <v>23</v>
      </c>
      <c r="B31" s="29">
        <v>15850</v>
      </c>
      <c r="C31" s="29">
        <f t="shared" si="0"/>
        <v>0</v>
      </c>
      <c r="D31" s="29">
        <v>48014</v>
      </c>
      <c r="E31" s="29">
        <f t="shared" si="1"/>
        <v>0</v>
      </c>
      <c r="F31" s="29">
        <v>28547</v>
      </c>
      <c r="G31" s="29">
        <f t="shared" si="2"/>
        <v>0</v>
      </c>
      <c r="H31" s="29">
        <v>10733615</v>
      </c>
      <c r="I31" s="29">
        <f t="shared" si="4"/>
        <v>0</v>
      </c>
      <c r="J31" s="29">
        <v>344699</v>
      </c>
      <c r="K31" s="29">
        <f t="shared" si="4"/>
        <v>0</v>
      </c>
      <c r="L31" s="29">
        <v>12144</v>
      </c>
      <c r="M31" s="29">
        <f t="shared" si="3"/>
        <v>4.3</v>
      </c>
      <c r="N31" s="29">
        <v>28259330</v>
      </c>
      <c r="O31" s="29">
        <f t="shared" si="6"/>
        <v>6245</v>
      </c>
      <c r="P31" s="29">
        <v>6231318</v>
      </c>
      <c r="Q31" s="29">
        <f t="shared" si="6"/>
        <v>22</v>
      </c>
      <c r="R31" s="29">
        <v>0</v>
      </c>
    </row>
    <row r="32" spans="1:18" ht="20.25" customHeight="1" x14ac:dyDescent="0.25">
      <c r="A32" s="29">
        <v>24</v>
      </c>
      <c r="B32" s="29">
        <v>15886</v>
      </c>
      <c r="C32" s="29">
        <f t="shared" si="0"/>
        <v>10800</v>
      </c>
      <c r="D32" s="29">
        <v>48029</v>
      </c>
      <c r="E32" s="29">
        <f t="shared" si="1"/>
        <v>15.704999999999998</v>
      </c>
      <c r="F32" s="29">
        <v>28568</v>
      </c>
      <c r="G32" s="29">
        <f t="shared" si="2"/>
        <v>2.1</v>
      </c>
      <c r="H32" s="29">
        <v>10734680</v>
      </c>
      <c r="I32" s="29">
        <f t="shared" si="4"/>
        <v>1065</v>
      </c>
      <c r="J32" s="29">
        <v>344712</v>
      </c>
      <c r="K32" s="29">
        <f t="shared" si="4"/>
        <v>13</v>
      </c>
      <c r="L32" s="29">
        <v>12188</v>
      </c>
      <c r="M32" s="29">
        <f t="shared" si="3"/>
        <v>4.4000000000000004</v>
      </c>
      <c r="N32" s="29">
        <v>28265150</v>
      </c>
      <c r="O32" s="29">
        <f t="shared" si="6"/>
        <v>5820</v>
      </c>
      <c r="P32" s="29">
        <v>6231327</v>
      </c>
      <c r="Q32" s="29">
        <f t="shared" si="6"/>
        <v>9</v>
      </c>
      <c r="R32" s="29">
        <v>0</v>
      </c>
    </row>
    <row r="33" spans="1:18" ht="20.25" customHeight="1" x14ac:dyDescent="0.25">
      <c r="A33" s="29">
        <v>25</v>
      </c>
      <c r="B33" s="29">
        <v>15898</v>
      </c>
      <c r="C33" s="29">
        <f t="shared" si="0"/>
        <v>3600</v>
      </c>
      <c r="D33" s="29">
        <v>48035</v>
      </c>
      <c r="E33" s="29">
        <f t="shared" si="1"/>
        <v>6.282</v>
      </c>
      <c r="F33" s="29">
        <v>28574</v>
      </c>
      <c r="G33" s="29">
        <f t="shared" si="2"/>
        <v>0.60000000000000009</v>
      </c>
      <c r="H33" s="29">
        <v>10735110</v>
      </c>
      <c r="I33" s="29">
        <f t="shared" si="4"/>
        <v>430</v>
      </c>
      <c r="J33" s="29">
        <v>344716</v>
      </c>
      <c r="K33" s="29">
        <f t="shared" si="4"/>
        <v>4</v>
      </c>
      <c r="L33" s="29">
        <v>12218</v>
      </c>
      <c r="M33" s="29">
        <f t="shared" si="3"/>
        <v>3</v>
      </c>
      <c r="N33" s="29">
        <v>28268400</v>
      </c>
      <c r="O33" s="29">
        <f t="shared" si="6"/>
        <v>3250</v>
      </c>
      <c r="P33" s="29">
        <v>6231328</v>
      </c>
      <c r="Q33" s="29">
        <f t="shared" si="6"/>
        <v>1</v>
      </c>
      <c r="R33" s="29">
        <v>0</v>
      </c>
    </row>
    <row r="34" spans="1:18" ht="20.25" customHeight="1" x14ac:dyDescent="0.25">
      <c r="A34" s="29">
        <v>26</v>
      </c>
      <c r="B34" s="29">
        <v>15915</v>
      </c>
      <c r="C34" s="29">
        <f t="shared" si="0"/>
        <v>5100</v>
      </c>
      <c r="D34" s="29">
        <v>48043</v>
      </c>
      <c r="E34" s="29">
        <f t="shared" si="1"/>
        <v>8.3759999999999994</v>
      </c>
      <c r="F34" s="29">
        <v>28583</v>
      </c>
      <c r="G34" s="29">
        <f t="shared" si="2"/>
        <v>0.9</v>
      </c>
      <c r="H34" s="29">
        <v>10735680</v>
      </c>
      <c r="I34" s="29">
        <f t="shared" si="4"/>
        <v>570</v>
      </c>
      <c r="J34" s="29">
        <v>344764</v>
      </c>
      <c r="K34" s="29">
        <f t="shared" si="4"/>
        <v>48</v>
      </c>
      <c r="L34" s="29">
        <v>12260</v>
      </c>
      <c r="M34" s="29">
        <f t="shared" si="3"/>
        <v>4.2</v>
      </c>
      <c r="N34" s="29">
        <v>28273730</v>
      </c>
      <c r="O34" s="29">
        <f t="shared" si="6"/>
        <v>5330</v>
      </c>
      <c r="P34" s="29">
        <v>6231329</v>
      </c>
      <c r="Q34" s="29">
        <f t="shared" si="6"/>
        <v>1</v>
      </c>
      <c r="R34" s="29">
        <v>0</v>
      </c>
    </row>
    <row r="35" spans="1:18" ht="20.25" customHeight="1" x14ac:dyDescent="0.25">
      <c r="A35" s="29">
        <v>27</v>
      </c>
      <c r="B35" s="29">
        <v>15935</v>
      </c>
      <c r="C35" s="29">
        <f t="shared" si="0"/>
        <v>6000</v>
      </c>
      <c r="D35" s="29">
        <v>48052</v>
      </c>
      <c r="E35" s="29">
        <f t="shared" si="1"/>
        <v>9.423</v>
      </c>
      <c r="F35" s="29">
        <v>28593</v>
      </c>
      <c r="G35" s="29">
        <f t="shared" si="2"/>
        <v>1</v>
      </c>
      <c r="H35" s="29">
        <v>10736350</v>
      </c>
      <c r="I35" s="29">
        <f t="shared" si="4"/>
        <v>670</v>
      </c>
      <c r="J35" s="29">
        <v>344854</v>
      </c>
      <c r="K35" s="29">
        <f t="shared" si="4"/>
        <v>90</v>
      </c>
      <c r="L35" s="29">
        <v>12298</v>
      </c>
      <c r="M35" s="29">
        <f t="shared" si="3"/>
        <v>3.8000000000000003</v>
      </c>
      <c r="N35" s="29">
        <v>28279685</v>
      </c>
      <c r="O35" s="29">
        <f t="shared" si="6"/>
        <v>5955</v>
      </c>
      <c r="P35" s="29">
        <v>6231410</v>
      </c>
      <c r="Q35" s="29">
        <f t="shared" si="6"/>
        <v>81</v>
      </c>
      <c r="R35" s="29">
        <v>0</v>
      </c>
    </row>
    <row r="36" spans="1:18" ht="20.25" customHeight="1" x14ac:dyDescent="0.25">
      <c r="A36" s="29">
        <v>28</v>
      </c>
      <c r="B36" s="29">
        <v>15961</v>
      </c>
      <c r="C36" s="29">
        <f t="shared" si="0"/>
        <v>7800</v>
      </c>
      <c r="D36" s="29">
        <v>48061</v>
      </c>
      <c r="E36" s="29">
        <f t="shared" si="1"/>
        <v>9.423</v>
      </c>
      <c r="F36" s="29">
        <v>28604</v>
      </c>
      <c r="G36" s="29">
        <f t="shared" si="2"/>
        <v>1.1000000000000001</v>
      </c>
      <c r="H36" s="29">
        <v>10737380</v>
      </c>
      <c r="I36" s="29">
        <f t="shared" si="4"/>
        <v>1030</v>
      </c>
      <c r="J36" s="29">
        <v>345015</v>
      </c>
      <c r="K36" s="29">
        <f t="shared" si="4"/>
        <v>161</v>
      </c>
      <c r="L36" s="29">
        <v>12343</v>
      </c>
      <c r="M36" s="29">
        <f t="shared" si="3"/>
        <v>4.5</v>
      </c>
      <c r="N36" s="29">
        <v>28290065</v>
      </c>
      <c r="O36" s="29">
        <f t="shared" si="6"/>
        <v>10380</v>
      </c>
      <c r="P36" s="29">
        <v>6232096</v>
      </c>
      <c r="Q36" s="29">
        <f t="shared" si="6"/>
        <v>686</v>
      </c>
      <c r="R36" s="29">
        <v>0</v>
      </c>
    </row>
    <row r="37" spans="1:18" ht="20.25" customHeight="1" x14ac:dyDescent="0.25">
      <c r="A37" s="29">
        <v>29</v>
      </c>
      <c r="B37" s="29">
        <v>15980</v>
      </c>
      <c r="C37" s="29">
        <f t="shared" si="0"/>
        <v>5700</v>
      </c>
      <c r="D37" s="29">
        <v>48067</v>
      </c>
      <c r="E37" s="29">
        <f t="shared" si="1"/>
        <v>6.282</v>
      </c>
      <c r="F37" s="29">
        <v>28614</v>
      </c>
      <c r="G37" s="29">
        <f t="shared" si="2"/>
        <v>1</v>
      </c>
      <c r="H37" s="29">
        <v>10737730</v>
      </c>
      <c r="I37" s="29">
        <f t="shared" si="4"/>
        <v>350</v>
      </c>
      <c r="J37" s="29">
        <v>345073</v>
      </c>
      <c r="K37" s="29">
        <f t="shared" si="4"/>
        <v>58</v>
      </c>
      <c r="L37" s="29">
        <v>12380</v>
      </c>
      <c r="M37" s="29">
        <f t="shared" si="3"/>
        <v>3.7</v>
      </c>
      <c r="N37" s="29">
        <v>28298025</v>
      </c>
      <c r="O37" s="29">
        <f t="shared" si="6"/>
        <v>7960</v>
      </c>
      <c r="P37" s="29">
        <v>6232096</v>
      </c>
      <c r="Q37" s="29">
        <f t="shared" si="6"/>
        <v>0</v>
      </c>
      <c r="R37" s="29">
        <v>0</v>
      </c>
    </row>
    <row r="38" spans="1:18" ht="20.25" customHeight="1" x14ac:dyDescent="0.25">
      <c r="A38" s="29">
        <v>30</v>
      </c>
      <c r="B38" s="29">
        <v>15998</v>
      </c>
      <c r="C38" s="29">
        <f t="shared" si="0"/>
        <v>5400</v>
      </c>
      <c r="D38" s="29">
        <v>48076</v>
      </c>
      <c r="E38" s="29">
        <f t="shared" si="1"/>
        <v>9.423</v>
      </c>
      <c r="F38" s="29">
        <v>28623</v>
      </c>
      <c r="G38" s="29">
        <f t="shared" si="2"/>
        <v>0.9</v>
      </c>
      <c r="H38" s="29">
        <v>10738165</v>
      </c>
      <c r="I38" s="29">
        <f t="shared" si="4"/>
        <v>435</v>
      </c>
      <c r="J38" s="29">
        <v>345197</v>
      </c>
      <c r="K38" s="29">
        <f t="shared" si="4"/>
        <v>124</v>
      </c>
      <c r="L38" s="29">
        <v>12418</v>
      </c>
      <c r="M38" s="29">
        <f t="shared" si="3"/>
        <v>3.8000000000000003</v>
      </c>
      <c r="N38" s="29">
        <v>28304900</v>
      </c>
      <c r="O38" s="29">
        <f t="shared" si="6"/>
        <v>6875</v>
      </c>
      <c r="P38" s="29">
        <v>6232986</v>
      </c>
      <c r="Q38" s="29">
        <f t="shared" si="6"/>
        <v>890</v>
      </c>
      <c r="R38" s="29">
        <v>0</v>
      </c>
    </row>
    <row r="39" spans="1:18" ht="20.25" customHeight="1" x14ac:dyDescent="0.25">
      <c r="A39" s="29">
        <v>31</v>
      </c>
      <c r="B39" s="29">
        <v>16016</v>
      </c>
      <c r="C39" s="29">
        <f t="shared" si="0"/>
        <v>5400</v>
      </c>
      <c r="D39" s="29">
        <v>48086</v>
      </c>
      <c r="E39" s="29">
        <f t="shared" si="1"/>
        <v>10.469999999999999</v>
      </c>
      <c r="F39" s="29">
        <v>28632</v>
      </c>
      <c r="G39" s="29">
        <f t="shared" si="2"/>
        <v>0.9</v>
      </c>
      <c r="H39" s="29">
        <v>10738938</v>
      </c>
      <c r="I39" s="29">
        <f t="shared" si="4"/>
        <v>773</v>
      </c>
      <c r="J39" s="29">
        <v>345271</v>
      </c>
      <c r="K39" s="29">
        <f t="shared" si="4"/>
        <v>74</v>
      </c>
      <c r="L39" s="29">
        <v>12464</v>
      </c>
      <c r="M39" s="29">
        <f t="shared" si="3"/>
        <v>4.6000000000000005</v>
      </c>
      <c r="N39" s="29">
        <v>28310545</v>
      </c>
      <c r="O39" s="29">
        <f t="shared" si="6"/>
        <v>5645</v>
      </c>
      <c r="P39" s="29">
        <v>6233068</v>
      </c>
      <c r="Q39" s="29">
        <f t="shared" si="6"/>
        <v>82</v>
      </c>
      <c r="R39" s="29">
        <v>0</v>
      </c>
    </row>
    <row r="41" spans="1:18" x14ac:dyDescent="0.25">
      <c r="A41" s="30" t="s">
        <v>26</v>
      </c>
      <c r="C41" s="31">
        <f>SUM(C9:C40)</f>
        <v>170400</v>
      </c>
      <c r="E41" s="31">
        <f>SUM(E9:E40)</f>
        <v>264.89100000000002</v>
      </c>
      <c r="G41" s="31">
        <f>SUM(G9:G40)</f>
        <v>27.4</v>
      </c>
      <c r="I41" s="31">
        <f>SUM(I9:I40)</f>
        <v>18138</v>
      </c>
      <c r="K41" s="31">
        <f>SUM(K9:K40)</f>
        <v>1862</v>
      </c>
      <c r="M41" s="31">
        <f>SUM(M9:M40)</f>
        <v>137.39999999999998</v>
      </c>
      <c r="O41" s="31">
        <f>SUM(O9:O40)</f>
        <v>232270</v>
      </c>
      <c r="Q41" s="31">
        <f>SUM(Q9:Q40)</f>
        <v>1873</v>
      </c>
    </row>
  </sheetData>
  <mergeCells count="4">
    <mergeCell ref="A1:B1"/>
    <mergeCell ref="A2:J3"/>
    <mergeCell ref="A4:L4"/>
    <mergeCell ref="A7:A8"/>
  </mergeCells>
  <printOptions horizontalCentered="1"/>
  <pageMargins left="0.2" right="0.2" top="0.25" bottom="0.25" header="0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Trieu Nguyen</cp:lastModifiedBy>
  <cp:revision/>
  <dcterms:created xsi:type="dcterms:W3CDTF">2017-05-03T09:23:30Z</dcterms:created>
  <dcterms:modified xsi:type="dcterms:W3CDTF">2021-10-14T22:01:51Z</dcterms:modified>
  <cp:category/>
  <cp:contentStatus/>
</cp:coreProperties>
</file>