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2\"/>
    </mc:Choice>
  </mc:AlternateContent>
  <xr:revisionPtr revIDLastSave="0" documentId="13_ncr:1_{14A18678-2826-46DA-BF3A-4ABF4F2CA57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4" l="1"/>
  <c r="F32" i="4"/>
  <c r="G3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O2" i="4"/>
  <c r="L3" i="4"/>
  <c r="L4" i="4"/>
  <c r="N4" i="4" s="1"/>
  <c r="L5" i="4"/>
  <c r="N5" i="4" s="1"/>
  <c r="L6" i="4"/>
  <c r="L7" i="4"/>
  <c r="L8" i="4"/>
  <c r="L9" i="4"/>
  <c r="L10" i="4"/>
  <c r="N10" i="4" s="1"/>
  <c r="L11" i="4"/>
  <c r="N11" i="4" s="1"/>
  <c r="L12" i="4"/>
  <c r="L13" i="4"/>
  <c r="L14" i="4"/>
  <c r="L15" i="4"/>
  <c r="L16" i="4"/>
  <c r="N16" i="4" s="1"/>
  <c r="L17" i="4"/>
  <c r="N17" i="4" s="1"/>
  <c r="L18" i="4"/>
  <c r="L19" i="4"/>
  <c r="L20" i="4"/>
  <c r="L21" i="4"/>
  <c r="L22" i="4"/>
  <c r="N22" i="4" s="1"/>
  <c r="L23" i="4"/>
  <c r="N23" i="4" s="1"/>
  <c r="L24" i="4"/>
  <c r="L25" i="4"/>
  <c r="L26" i="4"/>
  <c r="L27" i="4"/>
  <c r="L28" i="4"/>
  <c r="N28" i="4" s="1"/>
  <c r="L29" i="4"/>
  <c r="N29" i="4" s="1"/>
  <c r="L30" i="4"/>
  <c r="L31" i="4"/>
  <c r="L32" i="4"/>
  <c r="L2" i="4"/>
  <c r="N2" i="4" s="1"/>
  <c r="N3" i="4"/>
  <c r="N6" i="4"/>
  <c r="N7" i="4"/>
  <c r="N8" i="4"/>
  <c r="N9" i="4"/>
  <c r="N12" i="4"/>
  <c r="N13" i="4"/>
  <c r="N14" i="4"/>
  <c r="N15" i="4"/>
  <c r="N18" i="4"/>
  <c r="N19" i="4"/>
  <c r="N20" i="4"/>
  <c r="N21" i="4"/>
  <c r="N24" i="4"/>
  <c r="N25" i="4"/>
  <c r="N26" i="4"/>
  <c r="N27" i="4"/>
  <c r="N30" i="4"/>
  <c r="N31" i="4"/>
  <c r="N32" i="4"/>
  <c r="F37" i="1" l="1"/>
  <c r="G36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F36" i="2" l="1"/>
  <c r="E37" i="1"/>
  <c r="E36" i="2"/>
  <c r="G35" i="2"/>
  <c r="G36" i="1"/>
  <c r="H36" i="1"/>
  <c r="I36" i="1"/>
  <c r="J36" i="1" l="1"/>
  <c r="K36" i="1" s="1"/>
  <c r="L36" i="1" s="1"/>
  <c r="J32" i="4" s="1"/>
  <c r="I6" i="1"/>
  <c r="C37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G40" i="2" l="1"/>
  <c r="J34" i="1"/>
  <c r="K34" i="1" s="1"/>
  <c r="L34" i="1" l="1"/>
  <c r="J30" i="4" s="1"/>
  <c r="G6" i="1" l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J23" i="4" l="1"/>
  <c r="N36" i="1"/>
  <c r="J13" i="4"/>
  <c r="N26" i="1"/>
  <c r="L6" i="1"/>
  <c r="N15" i="1" s="1"/>
  <c r="J2" i="4" l="1"/>
  <c r="L37" i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<sst xmlns="http://schemas.openxmlformats.org/spreadsheetml/2006/main" count="117" uniqueCount="45">
  <si>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</si>
  <si>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</si>
  <si>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</si>
  <si>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</si>
  <si>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</si>
  <si>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</si>
  <si>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</si>
  <si>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</si>
  <si>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</si>
  <si>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</si>
  <si>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</si>
  <si>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</si>
  <si>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</si>
  <si>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</si>
  <si>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</si>
  <si>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</si>
  <si>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</si>
  <si>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</si>
  <si>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</si>
  <si>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</si>
  <si>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</si>
  <si>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</si>
  <si>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</si>
  <si>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</si>
  <si>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</si>
  <si>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</si>
  <si>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</si>
  <si>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</si>
  <si>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</si>
  <si>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</si>
  <si>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Electricity Distribution 2022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</si>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</sst>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64" fontId="1" fillId="0" borderId="5" xfId="1" applyFont="1" applyBorder="1"/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3" fontId="1" fillId="0" borderId="5" xfId="1" applyNumberFormat="1" applyFont="1" applyBorder="1"/>
    <xf numFmtId="37" fontId="1" fillId="0" borderId="4" xfId="1" applyNumberFormat="1" applyFont="1" applyFill="1" applyBorder="1" applyAlignment="1">
      <alignment horizontal="center"/>
    </xf>
    <xf numFmtId="164" fontId="1" fillId="0" borderId="5" xfId="1" applyNumberFormat="1" applyFont="1" applyBorder="1"/>
    <xf numFmtId="164" fontId="5" fillId="2" borderId="0" xfId="2" applyNumberFormat="1" applyFill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H35" sqref="H35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9" t="s">
        <v>24</v>
      </c>
      <c r="B1" s="110" t="s">
        <v>23</v>
      </c>
      <c r="C1" s="110" t="s">
        <v>22</v>
      </c>
      <c r="D1" s="111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37</v>
      </c>
      <c r="O1" s="143" t="s">
        <v>43</v>
      </c>
    </row>
    <row r="2" spans="1:15" x14ac:dyDescent="0.25">
      <c r="A2" s="48" t="s">
        <v>44</v>
      </c>
      <c r="B2" s="45">
        <v>1</v>
      </c>
      <c r="C2" s="45">
        <f>Water!C5</f>
        <v>7</v>
      </c>
      <c r="D2" s="45">
        <v>2022</v>
      </c>
      <c r="E2" s="43">
        <f>Electricity!G6</f>
        <v>25760</v>
      </c>
      <c r="F2" s="43">
        <f>Electricity!E6</f>
        <v>4480</v>
      </c>
      <c r="G2" s="43">
        <f>Electricity!F6</f>
        <v>21280</v>
      </c>
      <c r="H2" s="47">
        <v>1553.67</v>
      </c>
      <c r="I2" s="57" t="s">
        <v>28</v>
      </c>
      <c r="J2" s="106">
        <f>Electricity!L6</f>
        <v>29697884.16</v>
      </c>
      <c r="K2" s="43">
        <f>J2/E2</f>
        <v>1152.8681739130434</v>
      </c>
      <c r="L2" s="58">
        <f>Water!G5</f>
        <v>322</v>
      </c>
      <c r="M2" s="58">
        <v>12550</v>
      </c>
      <c r="N2" s="106">
        <f>M2*L2</f>
        <v>4041100</v>
      </c>
      <c r="O2" s="43">
        <f>Electricity!C6</f>
        <v>156</v>
      </c>
    </row>
    <row r="3" spans="1:15" x14ac:dyDescent="0.25">
      <c r="A3" s="48" t="s">
        <v>44</v>
      </c>
      <c r="B3" s="45">
        <v>2</v>
      </c>
      <c r="C3" s="45">
        <f>Water!C6</f>
        <v>7</v>
      </c>
      <c r="D3" s="45">
        <v>2022</v>
      </c>
      <c r="E3" s="43">
        <f>Electricity!G7</f>
        <v>23960</v>
      </c>
      <c r="F3" s="43">
        <f>Electricity!E7</f>
        <v>4600</v>
      </c>
      <c r="G3" s="43">
        <f>Electricity!F7</f>
        <v>19360</v>
      </c>
      <c r="H3" s="47">
        <v>1553.67</v>
      </c>
      <c r="I3" s="57" t="s">
        <v>28</v>
      </c>
      <c r="J3" s="106">
        <f>Electricity!L7</f>
        <v>27852372.7872</v>
      </c>
      <c r="K3" s="43">
        <f t="shared" ref="K3:K32" si="0">J3/E3</f>
        <v>1162.452954390651</v>
      </c>
      <c r="L3" s="58">
        <f>Water!G6</f>
        <v>306</v>
      </c>
      <c r="M3" s="58">
        <v>12550</v>
      </c>
      <c r="N3" s="106">
        <f t="shared" ref="N3:N32" si="1">M3*L3</f>
        <v>3840300</v>
      </c>
      <c r="O3" s="43">
        <f>Electricity!C7</f>
        <v>156</v>
      </c>
    </row>
    <row r="4" spans="1:15" x14ac:dyDescent="0.25">
      <c r="A4" s="48" t="s">
        <v>44</v>
      </c>
      <c r="B4" s="45">
        <v>3</v>
      </c>
      <c r="C4" s="45">
        <f>Water!C7</f>
        <v>7</v>
      </c>
      <c r="D4" s="45">
        <v>2022</v>
      </c>
      <c r="E4" s="43">
        <f>Electricity!G8</f>
        <v>25800</v>
      </c>
      <c r="F4" s="43">
        <f>Electricity!E8</f>
        <v>4560</v>
      </c>
      <c r="G4" s="43">
        <f>Electricity!F8</f>
        <v>21240</v>
      </c>
      <c r="H4" s="47">
        <v>1553.67</v>
      </c>
      <c r="I4" s="57" t="s">
        <v>28</v>
      </c>
      <c r="J4" s="106">
        <f>Electricity!L8</f>
        <v>29782735.257599998</v>
      </c>
      <c r="K4" s="43">
        <f t="shared" si="0"/>
        <v>1154.3695836279069</v>
      </c>
      <c r="L4" s="58">
        <f>Water!G7</f>
        <v>293</v>
      </c>
      <c r="M4" s="58">
        <v>12550</v>
      </c>
      <c r="N4" s="106">
        <f t="shared" si="1"/>
        <v>3677150</v>
      </c>
      <c r="O4" s="43">
        <f>Electricity!C8</f>
        <v>156</v>
      </c>
    </row>
    <row r="5" spans="1:15" x14ac:dyDescent="0.25">
      <c r="A5" s="48" t="s">
        <v>44</v>
      </c>
      <c r="B5" s="45">
        <v>4</v>
      </c>
      <c r="C5" s="45">
        <f>Water!C8</f>
        <v>7</v>
      </c>
      <c r="D5" s="45">
        <v>2022</v>
      </c>
      <c r="E5" s="43">
        <f>Electricity!G9</f>
        <v>24640</v>
      </c>
      <c r="F5" s="43">
        <f>Electricity!E9</f>
        <v>4600</v>
      </c>
      <c r="G5" s="43">
        <f>Electricity!F9</f>
        <v>20040</v>
      </c>
      <c r="H5" s="47">
        <v>1553.67</v>
      </c>
      <c r="I5" s="57" t="s">
        <v>28</v>
      </c>
      <c r="J5" s="106">
        <f>Electricity!L9</f>
        <v>28573607.116799999</v>
      </c>
      <c r="K5" s="43">
        <f t="shared" si="0"/>
        <v>1159.6431459740259</v>
      </c>
      <c r="L5" s="58">
        <f>Water!G8</f>
        <v>291</v>
      </c>
      <c r="M5" s="58">
        <v>12550</v>
      </c>
      <c r="N5" s="106">
        <f t="shared" si="1"/>
        <v>3652050</v>
      </c>
      <c r="O5" s="43">
        <f>Electricity!C9</f>
        <v>156</v>
      </c>
    </row>
    <row r="6" spans="1:15" x14ac:dyDescent="0.25">
      <c r="A6" s="48" t="s">
        <v>44</v>
      </c>
      <c r="B6" s="45">
        <v>5</v>
      </c>
      <c r="C6" s="45">
        <f>Water!C9</f>
        <v>7</v>
      </c>
      <c r="D6" s="45">
        <v>2022</v>
      </c>
      <c r="E6" s="43">
        <f>Electricity!G10</f>
        <v>26440</v>
      </c>
      <c r="F6" s="43">
        <f>Electricity!E10</f>
        <v>4760</v>
      </c>
      <c r="G6" s="43">
        <f>Electricity!F10</f>
        <v>21680</v>
      </c>
      <c r="H6" s="47">
        <v>1553.67</v>
      </c>
      <c r="I6" s="57" t="s">
        <v>28</v>
      </c>
      <c r="J6" s="106">
        <f>Electricity!L10</f>
        <v>30567607.910399999</v>
      </c>
      <c r="K6" s="43">
        <f t="shared" si="0"/>
        <v>1156.1122507715581</v>
      </c>
      <c r="L6" s="58">
        <f>Water!G9</f>
        <v>314</v>
      </c>
      <c r="M6" s="58">
        <v>12550</v>
      </c>
      <c r="N6" s="106">
        <f t="shared" si="1"/>
        <v>3940700</v>
      </c>
      <c r="O6" s="43">
        <f>Electricity!C10</f>
        <v>156</v>
      </c>
    </row>
    <row r="7" spans="1:15" x14ac:dyDescent="0.25">
      <c r="A7" s="48" t="s">
        <v>44</v>
      </c>
      <c r="B7" s="45">
        <v>6</v>
      </c>
      <c r="C7" s="45">
        <f>Water!C10</f>
        <v>7</v>
      </c>
      <c r="D7" s="45">
        <v>2022</v>
      </c>
      <c r="E7" s="43">
        <f>Electricity!G11</f>
        <v>26400</v>
      </c>
      <c r="F7" s="43">
        <f>Electricity!E11</f>
        <v>4640</v>
      </c>
      <c r="G7" s="43">
        <f>Electricity!F11</f>
        <v>21760</v>
      </c>
      <c r="H7" s="47">
        <v>1553.67</v>
      </c>
      <c r="I7" s="57" t="s">
        <v>28</v>
      </c>
      <c r="J7" s="106">
        <f>Electricity!L11</f>
        <v>30461544.038400002</v>
      </c>
      <c r="K7" s="43">
        <f t="shared" si="0"/>
        <v>1153.8463650909091</v>
      </c>
      <c r="L7" s="58">
        <f>Water!G10</f>
        <v>342</v>
      </c>
      <c r="M7" s="58">
        <v>12550</v>
      </c>
      <c r="N7" s="106">
        <f t="shared" si="1"/>
        <v>4292100</v>
      </c>
      <c r="O7" s="43">
        <f>Electricity!C11</f>
        <v>156</v>
      </c>
    </row>
    <row r="8" spans="1:15" x14ac:dyDescent="0.25">
      <c r="A8" s="48" t="s">
        <v>44</v>
      </c>
      <c r="B8" s="45">
        <v>7</v>
      </c>
      <c r="C8" s="45">
        <f>Water!C11</f>
        <v>7</v>
      </c>
      <c r="D8" s="45">
        <v>2022</v>
      </c>
      <c r="E8" s="43">
        <f>Electricity!G12</f>
        <v>26240</v>
      </c>
      <c r="F8" s="43">
        <f>Electricity!E12</f>
        <v>4800</v>
      </c>
      <c r="G8" s="43">
        <f>Electricity!F12</f>
        <v>21440</v>
      </c>
      <c r="H8" s="47">
        <v>1553.67</v>
      </c>
      <c r="I8" s="57" t="s">
        <v>28</v>
      </c>
      <c r="J8" s="106">
        <f>Electricity!L12</f>
        <v>30376692.9408</v>
      </c>
      <c r="K8" s="43">
        <f t="shared" si="0"/>
        <v>1157.6483590243902</v>
      </c>
      <c r="L8" s="58">
        <f>Water!G11</f>
        <v>334</v>
      </c>
      <c r="M8" s="58">
        <v>12550</v>
      </c>
      <c r="N8" s="106">
        <f t="shared" si="1"/>
        <v>4191700</v>
      </c>
      <c r="O8" s="43">
        <f>Electricity!C12</f>
        <v>156</v>
      </c>
    </row>
    <row r="9" spans="1:15" x14ac:dyDescent="0.25">
      <c r="A9" s="48" t="s">
        <v>44</v>
      </c>
      <c r="B9" s="45">
        <v>8</v>
      </c>
      <c r="C9" s="45">
        <f>Water!C12</f>
        <v>7</v>
      </c>
      <c r="D9" s="45">
        <v>2022</v>
      </c>
      <c r="E9" s="43">
        <f>Electricity!G13</f>
        <v>26160</v>
      </c>
      <c r="F9" s="43">
        <f>Electricity!E13</f>
        <v>4680</v>
      </c>
      <c r="G9" s="43">
        <f>Electricity!F13</f>
        <v>21480</v>
      </c>
      <c r="H9" s="47">
        <v>1553.67</v>
      </c>
      <c r="I9" s="57" t="s">
        <v>28</v>
      </c>
      <c r="J9" s="106">
        <f>Electricity!L13</f>
        <v>30228203.52</v>
      </c>
      <c r="K9" s="43">
        <f t="shared" si="0"/>
        <v>1155.5123669724771</v>
      </c>
      <c r="L9" s="58">
        <f>Water!G12</f>
        <v>284</v>
      </c>
      <c r="M9" s="58">
        <v>12550</v>
      </c>
      <c r="N9" s="106">
        <f t="shared" si="1"/>
        <v>3564200</v>
      </c>
      <c r="O9" s="43">
        <f>Electricity!C13</f>
        <v>156</v>
      </c>
    </row>
    <row r="10" spans="1:15" x14ac:dyDescent="0.25">
      <c r="A10" s="48" t="s">
        <v>44</v>
      </c>
      <c r="B10" s="45">
        <v>9</v>
      </c>
      <c r="C10" s="45">
        <f>Water!C13</f>
        <v>7</v>
      </c>
      <c r="D10" s="45">
        <v>2022</v>
      </c>
      <c r="E10" s="43">
        <f>Electricity!G14</f>
        <v>24920</v>
      </c>
      <c r="F10" s="43">
        <f>Electricity!E14</f>
        <v>4640</v>
      </c>
      <c r="G10" s="43">
        <f>Electricity!F14</f>
        <v>20280</v>
      </c>
      <c r="H10" s="47">
        <v>1553.67</v>
      </c>
      <c r="I10" s="57" t="s">
        <v>28</v>
      </c>
      <c r="J10" s="106">
        <f>Electricity!L14</f>
        <v>28891798.732799999</v>
      </c>
      <c r="K10" s="43">
        <f t="shared" si="0"/>
        <v>1159.3819716211879</v>
      </c>
      <c r="L10" s="58">
        <f>Water!G13</f>
        <v>338</v>
      </c>
      <c r="M10" s="58">
        <v>12550</v>
      </c>
      <c r="N10" s="106">
        <f t="shared" si="1"/>
        <v>4241900</v>
      </c>
      <c r="O10" s="43">
        <f>Electricity!C14</f>
        <v>156</v>
      </c>
    </row>
    <row r="11" spans="1:15" x14ac:dyDescent="0.25">
      <c r="A11" s="48" t="s">
        <v>44</v>
      </c>
      <c r="B11" s="45">
        <v>10</v>
      </c>
      <c r="C11" s="45">
        <f>Water!C14</f>
        <v>7</v>
      </c>
      <c r="D11" s="45">
        <v>2022</v>
      </c>
      <c r="E11" s="43">
        <f>Electricity!G15</f>
        <v>26440</v>
      </c>
      <c r="F11" s="43">
        <f>Electricity!E15</f>
        <v>4520</v>
      </c>
      <c r="G11" s="43">
        <f>Electricity!F15</f>
        <v>21920</v>
      </c>
      <c r="H11" s="47">
        <v>1553.67</v>
      </c>
      <c r="I11" s="57" t="s">
        <v>28</v>
      </c>
      <c r="J11" s="106">
        <f>Electricity!L15</f>
        <v>30440331.263999995</v>
      </c>
      <c r="K11" s="43">
        <f t="shared" si="0"/>
        <v>1151.2984593040844</v>
      </c>
      <c r="L11" s="58">
        <f>Water!G14</f>
        <v>393</v>
      </c>
      <c r="M11" s="58">
        <v>12550</v>
      </c>
      <c r="N11" s="106">
        <f t="shared" si="1"/>
        <v>4932150</v>
      </c>
      <c r="O11" s="43">
        <f>Electricity!C15</f>
        <v>156</v>
      </c>
    </row>
    <row r="12" spans="1:15" x14ac:dyDescent="0.25">
      <c r="A12" s="48" t="s">
        <v>44</v>
      </c>
      <c r="B12" s="45">
        <v>11</v>
      </c>
      <c r="C12" s="45">
        <f>Water!C15</f>
        <v>7</v>
      </c>
      <c r="D12" s="45">
        <v>2022</v>
      </c>
      <c r="E12" s="43">
        <f>Electricity!G16</f>
        <v>22840</v>
      </c>
      <c r="F12" s="43">
        <f>Electricity!E16</f>
        <v>4600</v>
      </c>
      <c r="G12" s="43">
        <f>Electricity!F16</f>
        <v>18240</v>
      </c>
      <c r="H12" s="47">
        <v>1553.67</v>
      </c>
      <c r="I12" s="57" t="s">
        <v>28</v>
      </c>
      <c r="J12" s="106">
        <f>Electricity!L16</f>
        <v>26664457.4208</v>
      </c>
      <c r="K12" s="43">
        <f t="shared" si="0"/>
        <v>1167.445596357268</v>
      </c>
      <c r="L12" s="58">
        <f>Water!G15</f>
        <v>246</v>
      </c>
      <c r="M12" s="58">
        <v>12550</v>
      </c>
      <c r="N12" s="106">
        <f t="shared" si="1"/>
        <v>3087300</v>
      </c>
      <c r="O12" s="43">
        <f>Electricity!C16</f>
        <v>156</v>
      </c>
    </row>
    <row r="13" spans="1:15" x14ac:dyDescent="0.25">
      <c r="A13" s="48" t="s">
        <v>44</v>
      </c>
      <c r="B13" s="45">
        <v>12</v>
      </c>
      <c r="C13" s="45">
        <f>Water!C16</f>
        <v>7</v>
      </c>
      <c r="D13" s="45">
        <v>2022</v>
      </c>
      <c r="E13" s="43">
        <f>Electricity!G17</f>
        <v>25560</v>
      </c>
      <c r="F13" s="43">
        <f>Electricity!E17</f>
        <v>4600</v>
      </c>
      <c r="G13" s="43">
        <f>Electricity!F17</f>
        <v>20960</v>
      </c>
      <c r="H13" s="47">
        <v>1553.67</v>
      </c>
      <c r="I13" s="57" t="s">
        <v>28</v>
      </c>
      <c r="J13" s="106">
        <f>Electricity!L17</f>
        <v>29549394.7392</v>
      </c>
      <c r="K13" s="43">
        <f t="shared" si="0"/>
        <v>1156.0796063849766</v>
      </c>
      <c r="L13" s="58">
        <f>Water!G16</f>
        <v>265</v>
      </c>
      <c r="M13" s="58">
        <v>12550</v>
      </c>
      <c r="N13" s="106">
        <f t="shared" si="1"/>
        <v>3325750</v>
      </c>
      <c r="O13" s="43">
        <f>Electricity!C17</f>
        <v>156</v>
      </c>
    </row>
    <row r="14" spans="1:15" x14ac:dyDescent="0.25">
      <c r="A14" s="48" t="s">
        <v>44</v>
      </c>
      <c r="B14" s="45">
        <v>13</v>
      </c>
      <c r="C14" s="45">
        <f>Water!C17</f>
        <v>7</v>
      </c>
      <c r="D14" s="45">
        <v>2022</v>
      </c>
      <c r="E14" s="43">
        <f>Electricity!G18</f>
        <v>25960</v>
      </c>
      <c r="F14" s="43">
        <f>Electricity!E18</f>
        <v>4760</v>
      </c>
      <c r="G14" s="43">
        <f>Electricity!F18</f>
        <v>21200</v>
      </c>
      <c r="H14" s="47">
        <v>1553.67</v>
      </c>
      <c r="I14" s="57" t="s">
        <v>28</v>
      </c>
      <c r="J14" s="106">
        <f>Electricity!L18</f>
        <v>30058501.3248</v>
      </c>
      <c r="K14" s="43">
        <f t="shared" si="0"/>
        <v>1157.8775548844376</v>
      </c>
      <c r="L14" s="58">
        <f>Water!G17</f>
        <v>305</v>
      </c>
      <c r="M14" s="58">
        <v>12550</v>
      </c>
      <c r="N14" s="106">
        <f t="shared" si="1"/>
        <v>3827750</v>
      </c>
      <c r="O14" s="43">
        <f>Electricity!C18</f>
        <v>156</v>
      </c>
    </row>
    <row r="15" spans="1:15" x14ac:dyDescent="0.25">
      <c r="A15" s="48" t="s">
        <v>44</v>
      </c>
      <c r="B15" s="45">
        <v>14</v>
      </c>
      <c r="C15" s="45">
        <f>Water!C18</f>
        <v>7</v>
      </c>
      <c r="D15" s="45">
        <v>2022</v>
      </c>
      <c r="E15" s="43">
        <f>Electricity!G19</f>
        <v>23800</v>
      </c>
      <c r="F15" s="43">
        <f>Electricity!E19</f>
        <v>4360</v>
      </c>
      <c r="G15" s="43">
        <f>Electricity!F19</f>
        <v>19440</v>
      </c>
      <c r="H15" s="47">
        <v>1553.67</v>
      </c>
      <c r="I15" s="57" t="s">
        <v>28</v>
      </c>
      <c r="J15" s="106">
        <f>Electricity!L19</f>
        <v>27555393.945599999</v>
      </c>
      <c r="K15" s="43">
        <f t="shared" si="0"/>
        <v>1157.789661579832</v>
      </c>
      <c r="L15" s="58">
        <f>Water!G18</f>
        <v>309</v>
      </c>
      <c r="M15" s="58">
        <v>12550</v>
      </c>
      <c r="N15" s="106">
        <f t="shared" si="1"/>
        <v>3877950</v>
      </c>
      <c r="O15" s="43">
        <f>Electricity!C19</f>
        <v>156</v>
      </c>
    </row>
    <row r="16" spans="1:15" x14ac:dyDescent="0.25">
      <c r="A16" s="48" t="s">
        <v>44</v>
      </c>
      <c r="B16" s="45">
        <v>15</v>
      </c>
      <c r="C16" s="45">
        <f>Water!C19</f>
        <v>7</v>
      </c>
      <c r="D16" s="45">
        <v>2022</v>
      </c>
      <c r="E16" s="43">
        <f>Electricity!G20</f>
        <v>26400</v>
      </c>
      <c r="F16" s="43">
        <f>Electricity!E20</f>
        <v>4520</v>
      </c>
      <c r="G16" s="43">
        <f>Electricity!F20</f>
        <v>21880</v>
      </c>
      <c r="H16" s="47">
        <v>1553.67</v>
      </c>
      <c r="I16" s="57" t="s">
        <v>28</v>
      </c>
      <c r="J16" s="106">
        <f>Electricity!L20</f>
        <v>30397905.715199996</v>
      </c>
      <c r="K16" s="43">
        <f t="shared" si="0"/>
        <v>1151.4358225454544</v>
      </c>
      <c r="L16" s="58">
        <f>Water!G19</f>
        <v>286</v>
      </c>
      <c r="M16" s="58">
        <v>12550</v>
      </c>
      <c r="N16" s="106">
        <f t="shared" si="1"/>
        <v>3589300</v>
      </c>
      <c r="O16" s="43">
        <f>Electricity!C20</f>
        <v>156</v>
      </c>
    </row>
    <row r="17" spans="1:15" x14ac:dyDescent="0.25">
      <c r="A17" s="48" t="s">
        <v>44</v>
      </c>
      <c r="B17" s="45">
        <v>16</v>
      </c>
      <c r="C17" s="45">
        <f>Water!C20</f>
        <v>7</v>
      </c>
      <c r="D17" s="45">
        <v>2022</v>
      </c>
      <c r="E17" s="43">
        <f>Electricity!G21</f>
        <v>25280</v>
      </c>
      <c r="F17" s="43">
        <f>Electricity!E21</f>
        <v>4600</v>
      </c>
      <c r="G17" s="43">
        <f>Electricity!F21</f>
        <v>20680</v>
      </c>
      <c r="H17" s="47">
        <v>1553.67</v>
      </c>
      <c r="I17" s="57" t="s">
        <v>28</v>
      </c>
      <c r="J17" s="106">
        <f>Electricity!L21</f>
        <v>29252415.897599999</v>
      </c>
      <c r="K17" s="43">
        <f t="shared" si="0"/>
        <v>1157.1367048101265</v>
      </c>
      <c r="L17" s="58">
        <f>Water!G20</f>
        <v>304</v>
      </c>
      <c r="M17" s="58">
        <v>12550</v>
      </c>
      <c r="N17" s="106">
        <f t="shared" si="1"/>
        <v>3815200</v>
      </c>
      <c r="O17" s="43">
        <f>Electricity!C21</f>
        <v>156</v>
      </c>
    </row>
    <row r="18" spans="1:15" x14ac:dyDescent="0.25">
      <c r="A18" s="48" t="s">
        <v>44</v>
      </c>
      <c r="B18" s="45">
        <v>17</v>
      </c>
      <c r="C18" s="45">
        <f>Water!C21</f>
        <v>7</v>
      </c>
      <c r="D18" s="45">
        <v>2022</v>
      </c>
      <c r="E18" s="43">
        <f>Electricity!G22</f>
        <v>22720</v>
      </c>
      <c r="F18" s="43">
        <f>Electricity!E22</f>
        <v>4240</v>
      </c>
      <c r="G18" s="43">
        <f>Electricity!F22</f>
        <v>18480</v>
      </c>
      <c r="H18" s="47">
        <v>1553.67</v>
      </c>
      <c r="I18" s="57" t="s">
        <v>28</v>
      </c>
      <c r="J18" s="106">
        <f>Electricity!L22</f>
        <v>26346265.8048</v>
      </c>
      <c r="K18" s="43">
        <f t="shared" si="0"/>
        <v>1159.6067695774648</v>
      </c>
      <c r="L18" s="58">
        <f>Water!G21</f>
        <v>287</v>
      </c>
      <c r="M18" s="58">
        <v>12550</v>
      </c>
      <c r="N18" s="106">
        <f t="shared" si="1"/>
        <v>3601850</v>
      </c>
      <c r="O18" s="43">
        <f>Electricity!C22</f>
        <v>156</v>
      </c>
    </row>
    <row r="19" spans="1:15" x14ac:dyDescent="0.25">
      <c r="A19" s="48" t="s">
        <v>44</v>
      </c>
      <c r="B19" s="45">
        <v>18</v>
      </c>
      <c r="C19" s="45">
        <f>Water!C22</f>
        <v>7</v>
      </c>
      <c r="D19" s="45">
        <v>2022</v>
      </c>
      <c r="E19" s="43">
        <f>Electricity!G23</f>
        <v>23800</v>
      </c>
      <c r="F19" s="43">
        <f>Electricity!E23</f>
        <v>6520</v>
      </c>
      <c r="G19" s="43">
        <f>Electricity!F23</f>
        <v>17280</v>
      </c>
      <c r="H19" s="47">
        <v>1553.67</v>
      </c>
      <c r="I19" s="57" t="s">
        <v>28</v>
      </c>
      <c r="J19" s="106">
        <f>Electricity!L23</f>
        <v>28700883.763199996</v>
      </c>
      <c r="K19" s="43">
        <f t="shared" si="0"/>
        <v>1205.9194858487394</v>
      </c>
      <c r="L19" s="58">
        <f>Water!G22</f>
        <v>384</v>
      </c>
      <c r="M19" s="58">
        <v>12550</v>
      </c>
      <c r="N19" s="106">
        <f t="shared" si="1"/>
        <v>4819200</v>
      </c>
      <c r="O19" s="43">
        <f>Electricity!C23</f>
        <v>156</v>
      </c>
    </row>
    <row r="20" spans="1:15" x14ac:dyDescent="0.25">
      <c r="A20" s="48" t="s">
        <v>44</v>
      </c>
      <c r="B20" s="45">
        <v>19</v>
      </c>
      <c r="C20" s="45">
        <f>Water!C23</f>
        <v>7</v>
      </c>
      <c r="D20" s="45">
        <v>2022</v>
      </c>
      <c r="E20" s="43">
        <f>Electricity!G24</f>
        <v>26120</v>
      </c>
      <c r="F20" s="43">
        <f>Electricity!E24</f>
        <v>2400</v>
      </c>
      <c r="G20" s="43">
        <f>Electricity!F24</f>
        <v>23720</v>
      </c>
      <c r="H20" s="47">
        <v>1553.67</v>
      </c>
      <c r="I20" s="57" t="s">
        <v>28</v>
      </c>
      <c r="J20" s="106">
        <f>Electricity!L24</f>
        <v>28976649.830399998</v>
      </c>
      <c r="K20" s="43">
        <f t="shared" si="0"/>
        <v>1109.3663794180704</v>
      </c>
      <c r="L20" s="58">
        <f>Water!G23</f>
        <v>277</v>
      </c>
      <c r="M20" s="58">
        <v>12550</v>
      </c>
      <c r="N20" s="106">
        <f t="shared" si="1"/>
        <v>3476350</v>
      </c>
      <c r="O20" s="43">
        <f>Electricity!C24</f>
        <v>156</v>
      </c>
    </row>
    <row r="21" spans="1:15" x14ac:dyDescent="0.25">
      <c r="A21" s="48" t="s">
        <v>44</v>
      </c>
      <c r="B21" s="45">
        <v>20</v>
      </c>
      <c r="C21" s="45">
        <f>Water!C24</f>
        <v>7</v>
      </c>
      <c r="D21" s="45">
        <v>2022</v>
      </c>
      <c r="E21" s="43">
        <f>Electricity!G25</f>
        <v>25520</v>
      </c>
      <c r="F21" s="43">
        <f>Electricity!E25</f>
        <v>4720</v>
      </c>
      <c r="G21" s="43">
        <f>Electricity!F25</f>
        <v>20800</v>
      </c>
      <c r="H21" s="47">
        <v>1553.67</v>
      </c>
      <c r="I21" s="57" t="s">
        <v>28</v>
      </c>
      <c r="J21" s="106">
        <f>Electricity!L25</f>
        <v>29570607.513599999</v>
      </c>
      <c r="K21" s="43">
        <f t="shared" si="0"/>
        <v>1158.7228649529779</v>
      </c>
      <c r="L21" s="58">
        <f>Water!G24</f>
        <v>335</v>
      </c>
      <c r="M21" s="58">
        <v>12550</v>
      </c>
      <c r="N21" s="106">
        <f t="shared" si="1"/>
        <v>4204250</v>
      </c>
      <c r="O21" s="43">
        <f>Electricity!C25</f>
        <v>156</v>
      </c>
    </row>
    <row r="22" spans="1:15" x14ac:dyDescent="0.25">
      <c r="A22" s="48" t="s">
        <v>44</v>
      </c>
      <c r="B22" s="45">
        <v>21</v>
      </c>
      <c r="C22" s="45">
        <f>Water!C25</f>
        <v>7</v>
      </c>
      <c r="D22" s="45">
        <v>2022</v>
      </c>
      <c r="E22" s="43">
        <f>Electricity!G26</f>
        <v>26800</v>
      </c>
      <c r="F22" s="43">
        <f>Electricity!E26</f>
        <v>4840</v>
      </c>
      <c r="G22" s="43">
        <f>Electricity!F26</f>
        <v>21960</v>
      </c>
      <c r="H22" s="47">
        <v>1553.67</v>
      </c>
      <c r="I22" s="57" t="s">
        <v>28</v>
      </c>
      <c r="J22" s="106">
        <f>Electricity!L26</f>
        <v>30991863.398400001</v>
      </c>
      <c r="K22" s="43">
        <f t="shared" si="0"/>
        <v>1156.4128133731344</v>
      </c>
      <c r="L22" s="58">
        <f>Water!G25</f>
        <v>152</v>
      </c>
      <c r="M22" s="58">
        <v>12550</v>
      </c>
      <c r="N22" s="106">
        <f t="shared" si="1"/>
        <v>1907600</v>
      </c>
      <c r="O22" s="43">
        <f>Electricity!C26</f>
        <v>156</v>
      </c>
    </row>
    <row r="23" spans="1:15" x14ac:dyDescent="0.25">
      <c r="A23" s="48" t="s">
        <v>44</v>
      </c>
      <c r="B23" s="45">
        <v>22</v>
      </c>
      <c r="C23" s="45">
        <f>Water!C26</f>
        <v>7</v>
      </c>
      <c r="D23" s="45">
        <v>2022</v>
      </c>
      <c r="E23" s="43">
        <f>Electricity!G27</f>
        <v>27080</v>
      </c>
      <c r="F23" s="43">
        <f>Electricity!E27</f>
        <v>4920</v>
      </c>
      <c r="G23" s="43">
        <f>Electricity!F27</f>
        <v>22160</v>
      </c>
      <c r="H23" s="47">
        <v>1553.67</v>
      </c>
      <c r="I23" s="57" t="s">
        <v>28</v>
      </c>
      <c r="J23" s="106">
        <f>Electricity!L27</f>
        <v>31331267.788800001</v>
      </c>
      <c r="K23" s="43">
        <f t="shared" si="0"/>
        <v>1156.9892093353028</v>
      </c>
      <c r="L23" s="58">
        <f>Water!G26</f>
        <v>458</v>
      </c>
      <c r="M23" s="58">
        <v>12550</v>
      </c>
      <c r="N23" s="106">
        <f t="shared" si="1"/>
        <v>5747900</v>
      </c>
      <c r="O23" s="43">
        <f>Electricity!C27</f>
        <v>156</v>
      </c>
    </row>
    <row r="24" spans="1:15" x14ac:dyDescent="0.25">
      <c r="A24" s="48" t="s">
        <v>44</v>
      </c>
      <c r="B24" s="45">
        <v>23</v>
      </c>
      <c r="C24" s="45">
        <f>Water!C27</f>
        <v>7</v>
      </c>
      <c r="D24" s="45">
        <v>2022</v>
      </c>
      <c r="E24" s="43">
        <f>Electricity!G28</f>
        <v>25800</v>
      </c>
      <c r="F24" s="43">
        <f>Electricity!E28</f>
        <v>4600</v>
      </c>
      <c r="G24" s="43">
        <f>Electricity!F28</f>
        <v>21200</v>
      </c>
      <c r="H24" s="47">
        <v>1553.67</v>
      </c>
      <c r="I24" s="57" t="s">
        <v>28</v>
      </c>
      <c r="J24" s="106">
        <f>Electricity!L28</f>
        <v>29803948.032000002</v>
      </c>
      <c r="K24" s="43">
        <f t="shared" si="0"/>
        <v>1155.1917841860466</v>
      </c>
      <c r="L24" s="58">
        <f>Water!G27</f>
        <v>249</v>
      </c>
      <c r="M24" s="58">
        <v>12550</v>
      </c>
      <c r="N24" s="106">
        <f t="shared" si="1"/>
        <v>3124950</v>
      </c>
      <c r="O24" s="43">
        <f>Electricity!C28</f>
        <v>156</v>
      </c>
    </row>
    <row r="25" spans="1:15" x14ac:dyDescent="0.25">
      <c r="A25" s="48" t="s">
        <v>44</v>
      </c>
      <c r="B25" s="45">
        <v>24</v>
      </c>
      <c r="C25" s="45">
        <f>Water!C28</f>
        <v>7</v>
      </c>
      <c r="D25" s="45">
        <v>2022</v>
      </c>
      <c r="E25" s="43">
        <f>Electricity!G29</f>
        <v>25440</v>
      </c>
      <c r="F25" s="43">
        <f>Electricity!E29</f>
        <v>4560</v>
      </c>
      <c r="G25" s="43">
        <f>Electricity!F29</f>
        <v>20880</v>
      </c>
      <c r="H25" s="47">
        <v>1553.67</v>
      </c>
      <c r="I25" s="57" t="s">
        <v>28</v>
      </c>
      <c r="J25" s="106">
        <f>Electricity!L29</f>
        <v>29400905.318399999</v>
      </c>
      <c r="K25" s="43">
        <f t="shared" si="0"/>
        <v>1155.6959637735849</v>
      </c>
      <c r="L25" s="58">
        <f>Water!G28</f>
        <v>311</v>
      </c>
      <c r="M25" s="58">
        <v>12550</v>
      </c>
      <c r="N25" s="106">
        <f t="shared" si="1"/>
        <v>3903050</v>
      </c>
      <c r="O25" s="43">
        <f>Electricity!C29</f>
        <v>156</v>
      </c>
    </row>
    <row r="26" spans="1:15" x14ac:dyDescent="0.25">
      <c r="A26" s="48" t="s">
        <v>44</v>
      </c>
      <c r="B26" s="45">
        <v>25</v>
      </c>
      <c r="C26" s="45">
        <f>Water!C29</f>
        <v>7</v>
      </c>
      <c r="D26" s="45">
        <v>2022</v>
      </c>
      <c r="E26" s="43">
        <f>Electricity!G30</f>
        <v>25720</v>
      </c>
      <c r="F26" s="43">
        <f>Electricity!E30</f>
        <v>4840</v>
      </c>
      <c r="G26" s="43">
        <f>Electricity!F30</f>
        <v>20880</v>
      </c>
      <c r="H26" s="47">
        <v>1553.67</v>
      </c>
      <c r="I26" s="57" t="s">
        <v>28</v>
      </c>
      <c r="J26" s="106">
        <f>Electricity!L30</f>
        <v>29846373.580800001</v>
      </c>
      <c r="K26" s="43">
        <f t="shared" si="0"/>
        <v>1160.4344316018662</v>
      </c>
      <c r="L26" s="58">
        <f>Water!G29</f>
        <v>347</v>
      </c>
      <c r="M26" s="58">
        <v>12550</v>
      </c>
      <c r="N26" s="106">
        <f t="shared" si="1"/>
        <v>4354850</v>
      </c>
      <c r="O26" s="43">
        <f>Electricity!C30</f>
        <v>156</v>
      </c>
    </row>
    <row r="27" spans="1:15" x14ac:dyDescent="0.25">
      <c r="A27" s="48" t="s">
        <v>44</v>
      </c>
      <c r="B27" s="45">
        <v>26</v>
      </c>
      <c r="C27" s="45">
        <f>Water!C30</f>
        <v>7</v>
      </c>
      <c r="D27" s="45">
        <v>2022</v>
      </c>
      <c r="E27" s="43">
        <f>Electricity!G31</f>
        <v>21600</v>
      </c>
      <c r="F27" s="43">
        <f>Electricity!E31</f>
        <v>1560</v>
      </c>
      <c r="G27" s="43">
        <f>Electricity!F31</f>
        <v>20040</v>
      </c>
      <c r="H27" s="47">
        <v>1553.67</v>
      </c>
      <c r="I27" s="57" t="s">
        <v>28</v>
      </c>
      <c r="J27" s="106">
        <f>Electricity!L31</f>
        <v>23737094.553599998</v>
      </c>
      <c r="K27" s="43">
        <f t="shared" si="0"/>
        <v>1098.9395626666667</v>
      </c>
      <c r="L27" s="58">
        <f>Water!G30</f>
        <v>323</v>
      </c>
      <c r="M27" s="58">
        <v>12550</v>
      </c>
      <c r="N27" s="106">
        <f t="shared" si="1"/>
        <v>4053650</v>
      </c>
      <c r="O27" s="43">
        <f>Electricity!C31</f>
        <v>156</v>
      </c>
    </row>
    <row r="28" spans="1:15" x14ac:dyDescent="0.25">
      <c r="A28" s="48" t="s">
        <v>44</v>
      </c>
      <c r="B28" s="45">
        <v>27</v>
      </c>
      <c r="C28" s="45">
        <f>Water!C31</f>
        <v>7</v>
      </c>
      <c r="D28" s="45">
        <v>2022</v>
      </c>
      <c r="E28" s="43">
        <f>Electricity!G32</f>
        <v>27760</v>
      </c>
      <c r="F28" s="43">
        <f>Electricity!E32</f>
        <v>7760</v>
      </c>
      <c r="G28" s="43">
        <f>Electricity!F32</f>
        <v>20000</v>
      </c>
      <c r="H28" s="47">
        <v>1553.67</v>
      </c>
      <c r="I28" s="57" t="s">
        <v>28</v>
      </c>
      <c r="J28" s="106">
        <f>Electricity!L32</f>
        <v>33558609.1008</v>
      </c>
      <c r="K28" s="43">
        <f t="shared" si="0"/>
        <v>1208.8836131412104</v>
      </c>
      <c r="L28" s="58">
        <f>Water!G31</f>
        <v>444</v>
      </c>
      <c r="M28" s="58">
        <v>12550</v>
      </c>
      <c r="N28" s="106">
        <f t="shared" si="1"/>
        <v>5572200</v>
      </c>
      <c r="O28" s="43">
        <f>Electricity!C32</f>
        <v>156</v>
      </c>
    </row>
    <row r="29" spans="1:15" x14ac:dyDescent="0.25">
      <c r="A29" s="48" t="s">
        <v>44</v>
      </c>
      <c r="B29" s="45">
        <v>28</v>
      </c>
      <c r="C29" s="45">
        <f>Water!C32</f>
        <v>7</v>
      </c>
      <c r="D29" s="45">
        <v>2022</v>
      </c>
      <c r="E29" s="43">
        <f>Electricity!G33</f>
        <v>25880</v>
      </c>
      <c r="F29" s="43">
        <f>Electricity!E33</f>
        <v>4680</v>
      </c>
      <c r="G29" s="43">
        <f>Electricity!F33</f>
        <v>21200</v>
      </c>
      <c r="H29" s="47">
        <v>1553.67</v>
      </c>
      <c r="I29" s="57" t="s">
        <v>28</v>
      </c>
      <c r="J29" s="106">
        <f>Electricity!L33</f>
        <v>29931224.678400002</v>
      </c>
      <c r="K29" s="43">
        <f t="shared" si="0"/>
        <v>1156.53882064915</v>
      </c>
      <c r="L29" s="58">
        <f>Water!G32</f>
        <v>335</v>
      </c>
      <c r="M29" s="58">
        <v>12550</v>
      </c>
      <c r="N29" s="106">
        <f t="shared" si="1"/>
        <v>4204250</v>
      </c>
      <c r="O29" s="43">
        <f>Electricity!C33</f>
        <v>156</v>
      </c>
    </row>
    <row r="30" spans="1:15" s="43" customFormat="1" x14ac:dyDescent="0.25">
      <c r="A30" s="48" t="s">
        <v>44</v>
      </c>
      <c r="B30" s="45">
        <v>29</v>
      </c>
      <c r="C30" s="45">
        <f>Water!C33</f>
        <v>7</v>
      </c>
      <c r="D30" s="45">
        <v>2022</v>
      </c>
      <c r="E30" s="43">
        <f>Electricity!G34</f>
        <v>26120</v>
      </c>
      <c r="F30" s="43">
        <f>Electricity!E34</f>
        <v>3320</v>
      </c>
      <c r="G30" s="43">
        <f>Electricity!F34</f>
        <v>22800</v>
      </c>
      <c r="H30" s="47">
        <v>1553.67</v>
      </c>
      <c r="I30" s="57" t="s">
        <v>28</v>
      </c>
      <c r="J30" s="106">
        <f>Electricity!L34</f>
        <v>29464543.641599998</v>
      </c>
      <c r="K30" s="43">
        <f t="shared" si="0"/>
        <v>1128.0453155283308</v>
      </c>
      <c r="L30" s="58">
        <f>Water!G33</f>
        <v>272</v>
      </c>
      <c r="M30" s="58">
        <v>12550</v>
      </c>
      <c r="N30" s="106">
        <f t="shared" si="1"/>
        <v>3413600</v>
      </c>
      <c r="O30" s="43">
        <f>Electricity!C34</f>
        <v>156</v>
      </c>
    </row>
    <row r="31" spans="1:15" s="43" customFormat="1" x14ac:dyDescent="0.25">
      <c r="A31" s="48" t="s">
        <v>44</v>
      </c>
      <c r="B31" s="45">
        <v>30</v>
      </c>
      <c r="C31" s="45">
        <f>Water!C34</f>
        <v>7</v>
      </c>
      <c r="D31" s="45">
        <v>2022</v>
      </c>
      <c r="E31" s="43">
        <f>Electricity!G35</f>
        <v>29040</v>
      </c>
      <c r="F31" s="43">
        <f>Electricity!E35</f>
        <v>6360</v>
      </c>
      <c r="G31" s="43">
        <f>Electricity!F35</f>
        <v>22680</v>
      </c>
      <c r="H31" s="47">
        <v>1553.67</v>
      </c>
      <c r="I31" s="57" t="s">
        <v>28</v>
      </c>
      <c r="J31" s="106">
        <f>Electricity!L35</f>
        <v>34173779.558399998</v>
      </c>
      <c r="K31" s="43">
        <f t="shared" si="0"/>
        <v>1176.783042644628</v>
      </c>
      <c r="L31" s="58">
        <f>Water!G34</f>
        <v>445</v>
      </c>
      <c r="M31" s="58">
        <v>12550</v>
      </c>
      <c r="N31" s="106">
        <f t="shared" si="1"/>
        <v>5584750</v>
      </c>
      <c r="O31" s="43">
        <f>Electricity!C35</f>
        <v>156</v>
      </c>
    </row>
    <row r="32" spans="1:15" s="43" customFormat="1" x14ac:dyDescent="0.25">
      <c r="A32" s="48" t="s">
        <v>44</v>
      </c>
      <c r="B32" s="45">
        <v>31</v>
      </c>
      <c r="C32" s="45">
        <f>Water!C35</f>
        <v>7</v>
      </c>
      <c r="D32" s="45">
        <v>2022</v>
      </c>
      <c r="E32" s="43">
        <f>Electricity!G36</f>
        <v>26040</v>
      </c>
      <c r="F32" s="43">
        <f>Electricity!E36</f>
        <v>4800</v>
      </c>
      <c r="G32" s="43">
        <f>Electricity!F36</f>
        <v>21240</v>
      </c>
      <c r="H32" s="47">
        <v>1553.67</v>
      </c>
      <c r="I32" s="57" t="s">
        <v>28</v>
      </c>
      <c r="J32" s="106">
        <f>Electricity!L36</f>
        <v>30164565.196800001</v>
      </c>
      <c r="K32" s="43">
        <f t="shared" si="0"/>
        <v>1158.3934407373272</v>
      </c>
      <c r="L32" s="58">
        <f>Water!G35</f>
        <v>254</v>
      </c>
      <c r="M32" s="58">
        <v>12550</v>
      </c>
      <c r="N32" s="106">
        <f t="shared" si="1"/>
        <v>3187700</v>
      </c>
      <c r="O32" s="43">
        <f>Electricity!C36</f>
        <v>156</v>
      </c>
    </row>
    <row r="33" spans="10:13" x14ac:dyDescent="0.25">
      <c r="J33" s="114"/>
      <c r="K33" s="43"/>
      <c r="M33" s="1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H21" sqref="H21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8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3" t="s">
        <v>30</v>
      </c>
      <c r="C1" s="124"/>
      <c r="D1" s="124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5" t="s">
        <v>0</v>
      </c>
      <c r="C2" s="137" t="s">
        <v>34</v>
      </c>
      <c r="D2" s="128" t="s">
        <v>9</v>
      </c>
      <c r="E2" s="131" t="s">
        <v>38</v>
      </c>
      <c r="F2" s="132"/>
      <c r="G2" s="132"/>
      <c r="H2" s="132"/>
      <c r="I2" s="132"/>
      <c r="J2" s="132"/>
      <c r="K2" s="132"/>
      <c r="L2" s="133"/>
      <c r="M2" s="2"/>
      <c r="N2" s="2"/>
      <c r="O2" s="1"/>
      <c r="P2" s="1"/>
      <c r="Q2" s="1"/>
    </row>
    <row r="3" spans="2:17" s="23" customFormat="1" ht="25.5" customHeight="1" x14ac:dyDescent="0.25">
      <c r="B3" s="126"/>
      <c r="C3" s="138"/>
      <c r="D3" s="129"/>
      <c r="E3" s="20" t="s">
        <v>7</v>
      </c>
      <c r="F3" s="24" t="s">
        <v>13</v>
      </c>
      <c r="G3" s="24" t="s">
        <v>16</v>
      </c>
      <c r="H3" s="134" t="s">
        <v>17</v>
      </c>
      <c r="I3" s="135"/>
      <c r="J3" s="136"/>
      <c r="K3" s="119" t="s">
        <v>36</v>
      </c>
      <c r="L3" s="121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7"/>
      <c r="C4" s="52"/>
      <c r="D4" s="130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20"/>
      <c r="L4" s="122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35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44743</v>
      </c>
      <c r="C6" s="59">
        <v>156</v>
      </c>
      <c r="D6" s="87">
        <v>1035.78</v>
      </c>
      <c r="E6" s="107">
        <v>4480</v>
      </c>
      <c r="F6" s="115">
        <v>21280</v>
      </c>
      <c r="G6" s="80">
        <f>F6+E6</f>
        <v>25760</v>
      </c>
      <c r="H6" s="81">
        <f t="shared" ref="H6:H33" si="0">E6*1.5*D6</f>
        <v>6960441.5999999996</v>
      </c>
      <c r="I6" s="81">
        <f t="shared" ref="I6:I33" si="1">F6*D6</f>
        <v>22041398.399999999</v>
      </c>
      <c r="J6" s="81">
        <f t="shared" ref="J6:J30" si="2">I6+H6</f>
        <v>29001840</v>
      </c>
      <c r="K6" s="81">
        <f>J6*0.024</f>
        <v>696044.16</v>
      </c>
      <c r="L6" s="104">
        <f>J6+K6</f>
        <v>29697884.16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44744</v>
      </c>
      <c r="C7" s="59">
        <v>156</v>
      </c>
      <c r="D7" s="87">
        <v>1035.78</v>
      </c>
      <c r="E7" s="107">
        <v>4600</v>
      </c>
      <c r="F7" s="115">
        <v>19360</v>
      </c>
      <c r="G7" s="80">
        <f t="shared" ref="G7:G33" si="3">F7+E7</f>
        <v>23960</v>
      </c>
      <c r="H7" s="81">
        <f t="shared" si="0"/>
        <v>7146882</v>
      </c>
      <c r="I7" s="81">
        <f t="shared" si="1"/>
        <v>20052700.800000001</v>
      </c>
      <c r="J7" s="81">
        <f t="shared" si="2"/>
        <v>27199582.800000001</v>
      </c>
      <c r="K7" s="81">
        <f t="shared" ref="K7:K36" si="4">J7*0.024</f>
        <v>652789.98719999997</v>
      </c>
      <c r="L7" s="104">
        <f>J7+K7</f>
        <v>27852372.7872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44745</v>
      </c>
      <c r="C8" s="59">
        <v>156</v>
      </c>
      <c r="D8" s="87">
        <v>1035.78</v>
      </c>
      <c r="E8" s="107">
        <v>4560</v>
      </c>
      <c r="F8" s="115">
        <v>21240</v>
      </c>
      <c r="G8" s="80">
        <f t="shared" si="3"/>
        <v>25800</v>
      </c>
      <c r="H8" s="81">
        <f t="shared" si="0"/>
        <v>7084735.2000000002</v>
      </c>
      <c r="I8" s="81">
        <f t="shared" si="1"/>
        <v>21999967.199999999</v>
      </c>
      <c r="J8" s="81">
        <f t="shared" si="2"/>
        <v>29084702.399999999</v>
      </c>
      <c r="K8" s="81">
        <f t="shared" si="4"/>
        <v>698032.85759999999</v>
      </c>
      <c r="L8" s="104">
        <f t="shared" ref="L8:L30" si="5">J8+K8</f>
        <v>29782735.257599998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44746</v>
      </c>
      <c r="C9" s="59">
        <v>156</v>
      </c>
      <c r="D9" s="87">
        <v>1035.78</v>
      </c>
      <c r="E9" s="107">
        <v>4600</v>
      </c>
      <c r="F9" s="115">
        <v>20040</v>
      </c>
      <c r="G9" s="80">
        <f t="shared" si="3"/>
        <v>24640</v>
      </c>
      <c r="H9" s="81">
        <f t="shared" si="0"/>
        <v>7146882</v>
      </c>
      <c r="I9" s="81">
        <f t="shared" si="1"/>
        <v>20757031.199999999</v>
      </c>
      <c r="J9" s="81">
        <f t="shared" si="2"/>
        <v>27903913.199999999</v>
      </c>
      <c r="K9" s="81">
        <f t="shared" si="4"/>
        <v>669693.91680000001</v>
      </c>
      <c r="L9" s="104">
        <f t="shared" si="5"/>
        <v>28573607.116799999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44747</v>
      </c>
      <c r="C10" s="59">
        <v>156</v>
      </c>
      <c r="D10" s="87">
        <v>1035.78</v>
      </c>
      <c r="E10" s="107">
        <v>4760</v>
      </c>
      <c r="F10" s="115">
        <v>21680</v>
      </c>
      <c r="G10" s="80">
        <f t="shared" si="3"/>
        <v>26440</v>
      </c>
      <c r="H10" s="81">
        <f t="shared" si="0"/>
        <v>7395469.2000000002</v>
      </c>
      <c r="I10" s="81">
        <f t="shared" si="1"/>
        <v>22455710.399999999</v>
      </c>
      <c r="J10" s="81">
        <f t="shared" si="2"/>
        <v>29851179.599999998</v>
      </c>
      <c r="K10" s="81">
        <f t="shared" si="4"/>
        <v>716428.31039999996</v>
      </c>
      <c r="L10" s="104">
        <f t="shared" si="5"/>
        <v>30567607.910399999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44748</v>
      </c>
      <c r="C11" s="59">
        <v>156</v>
      </c>
      <c r="D11" s="87">
        <v>1035.78</v>
      </c>
      <c r="E11" s="107">
        <v>4640</v>
      </c>
      <c r="F11" s="115">
        <v>21760</v>
      </c>
      <c r="G11" s="80">
        <f t="shared" si="3"/>
        <v>26400</v>
      </c>
      <c r="H11" s="81">
        <f t="shared" si="0"/>
        <v>7209028.7999999998</v>
      </c>
      <c r="I11" s="81">
        <f t="shared" si="1"/>
        <v>22538572.800000001</v>
      </c>
      <c r="J11" s="81">
        <f t="shared" si="2"/>
        <v>29747601.600000001</v>
      </c>
      <c r="K11" s="81">
        <f t="shared" si="4"/>
        <v>713942.4384000001</v>
      </c>
      <c r="L11" s="104">
        <f t="shared" si="5"/>
        <v>30461544.038400002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44749</v>
      </c>
      <c r="C12" s="59">
        <v>156</v>
      </c>
      <c r="D12" s="87">
        <v>1035.78</v>
      </c>
      <c r="E12" s="107">
        <v>4800</v>
      </c>
      <c r="F12" s="115">
        <v>21440</v>
      </c>
      <c r="G12" s="80">
        <f t="shared" si="3"/>
        <v>26240</v>
      </c>
      <c r="H12" s="81">
        <f t="shared" si="0"/>
        <v>7457616</v>
      </c>
      <c r="I12" s="81">
        <f t="shared" si="1"/>
        <v>22207123.199999999</v>
      </c>
      <c r="J12" s="81">
        <f t="shared" si="2"/>
        <v>29664739.199999999</v>
      </c>
      <c r="K12" s="81">
        <f t="shared" si="4"/>
        <v>711953.74080000003</v>
      </c>
      <c r="L12" s="104">
        <f t="shared" si="5"/>
        <v>30376692.9408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44750</v>
      </c>
      <c r="C13" s="59">
        <v>156</v>
      </c>
      <c r="D13" s="87">
        <v>1035.78</v>
      </c>
      <c r="E13" s="107">
        <v>4680</v>
      </c>
      <c r="F13" s="115">
        <v>21480</v>
      </c>
      <c r="G13" s="80">
        <f t="shared" si="3"/>
        <v>26160</v>
      </c>
      <c r="H13" s="81">
        <f t="shared" si="0"/>
        <v>7271175.5999999996</v>
      </c>
      <c r="I13" s="81">
        <f t="shared" si="1"/>
        <v>22248554.399999999</v>
      </c>
      <c r="J13" s="81">
        <f t="shared" si="2"/>
        <v>29519730</v>
      </c>
      <c r="K13" s="81">
        <f t="shared" si="4"/>
        <v>708473.52</v>
      </c>
      <c r="L13" s="104">
        <f t="shared" si="5"/>
        <v>30228203.52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44751</v>
      </c>
      <c r="C14" s="59">
        <v>156</v>
      </c>
      <c r="D14" s="87">
        <v>1035.78</v>
      </c>
      <c r="E14" s="107">
        <v>4640</v>
      </c>
      <c r="F14" s="115">
        <v>20280</v>
      </c>
      <c r="G14" s="80">
        <f t="shared" si="3"/>
        <v>24920</v>
      </c>
      <c r="H14" s="81">
        <f t="shared" si="0"/>
        <v>7209028.7999999998</v>
      </c>
      <c r="I14" s="81">
        <f t="shared" si="1"/>
        <v>21005618.399999999</v>
      </c>
      <c r="J14" s="81">
        <f t="shared" si="2"/>
        <v>28214647.199999999</v>
      </c>
      <c r="K14" s="81">
        <f t="shared" si="4"/>
        <v>677151.53280000004</v>
      </c>
      <c r="L14" s="104">
        <f t="shared" si="5"/>
        <v>28891798.732799999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44752</v>
      </c>
      <c r="C15" s="59">
        <v>156</v>
      </c>
      <c r="D15" s="87">
        <v>1035.78</v>
      </c>
      <c r="E15" s="107">
        <v>4520</v>
      </c>
      <c r="F15" s="115">
        <v>21920</v>
      </c>
      <c r="G15" s="80">
        <f t="shared" si="3"/>
        <v>26440</v>
      </c>
      <c r="H15" s="81">
        <f t="shared" si="0"/>
        <v>7022588.3999999994</v>
      </c>
      <c r="I15" s="81">
        <f t="shared" si="1"/>
        <v>22704297.599999998</v>
      </c>
      <c r="J15" s="81">
        <f t="shared" si="2"/>
        <v>29726885.999999996</v>
      </c>
      <c r="K15" s="81">
        <f t="shared" si="4"/>
        <v>713445.26399999997</v>
      </c>
      <c r="L15" s="104">
        <f t="shared" si="5"/>
        <v>30440331.263999995</v>
      </c>
      <c r="M15" s="1"/>
      <c r="N15" s="118">
        <f>SUM(L6:L16)</f>
        <v>323537235.14880002</v>
      </c>
      <c r="O15" s="1"/>
      <c r="P15" s="1"/>
      <c r="Q15" s="1"/>
    </row>
    <row r="16" spans="2:17" s="3" customFormat="1" ht="50.1" customHeight="1" x14ac:dyDescent="0.25">
      <c r="B16" s="5">
        <v>44753</v>
      </c>
      <c r="C16" s="59">
        <v>156</v>
      </c>
      <c r="D16" s="87">
        <v>1035.78</v>
      </c>
      <c r="E16" s="117">
        <v>4600</v>
      </c>
      <c r="F16" s="115">
        <v>18240</v>
      </c>
      <c r="G16" s="80">
        <f t="shared" si="3"/>
        <v>22840</v>
      </c>
      <c r="H16" s="81">
        <f t="shared" si="0"/>
        <v>7146882</v>
      </c>
      <c r="I16" s="81">
        <f t="shared" si="1"/>
        <v>18892627.199999999</v>
      </c>
      <c r="J16" s="81">
        <f t="shared" si="2"/>
        <v>26039509.199999999</v>
      </c>
      <c r="K16" s="81">
        <f t="shared" si="4"/>
        <v>624948.22080000001</v>
      </c>
      <c r="L16" s="104">
        <f t="shared" si="5"/>
        <v>26664457.4208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44754</v>
      </c>
      <c r="C17" s="59">
        <v>156</v>
      </c>
      <c r="D17" s="87">
        <v>1035.78</v>
      </c>
      <c r="E17" s="107">
        <v>4600</v>
      </c>
      <c r="F17" s="115">
        <v>20960</v>
      </c>
      <c r="G17" s="80">
        <f t="shared" si="3"/>
        <v>25560</v>
      </c>
      <c r="H17" s="81">
        <f t="shared" si="0"/>
        <v>7146882</v>
      </c>
      <c r="I17" s="81">
        <f t="shared" si="1"/>
        <v>21709948.800000001</v>
      </c>
      <c r="J17" s="81">
        <f t="shared" si="2"/>
        <v>28856830.800000001</v>
      </c>
      <c r="K17" s="81">
        <f t="shared" si="4"/>
        <v>692563.93920000002</v>
      </c>
      <c r="L17" s="104">
        <f t="shared" si="5"/>
        <v>29549394.7392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44755</v>
      </c>
      <c r="C18" s="59">
        <v>156</v>
      </c>
      <c r="D18" s="87">
        <v>1035.78</v>
      </c>
      <c r="E18" s="107">
        <v>4760</v>
      </c>
      <c r="F18" s="115">
        <v>21200</v>
      </c>
      <c r="G18" s="80">
        <f t="shared" si="3"/>
        <v>25960</v>
      </c>
      <c r="H18" s="81">
        <f t="shared" si="0"/>
        <v>7395469.2000000002</v>
      </c>
      <c r="I18" s="81">
        <f t="shared" si="1"/>
        <v>21958536</v>
      </c>
      <c r="J18" s="81">
        <f t="shared" si="2"/>
        <v>29354005.199999999</v>
      </c>
      <c r="K18" s="81">
        <f t="shared" si="4"/>
        <v>704496.12479999999</v>
      </c>
      <c r="L18" s="104">
        <f t="shared" si="5"/>
        <v>30058501.3248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44756</v>
      </c>
      <c r="C19" s="59">
        <v>156</v>
      </c>
      <c r="D19" s="87">
        <v>1035.78</v>
      </c>
      <c r="E19" s="107">
        <v>4360</v>
      </c>
      <c r="F19" s="115">
        <v>19440</v>
      </c>
      <c r="G19" s="80">
        <f t="shared" si="3"/>
        <v>23800</v>
      </c>
      <c r="H19" s="81">
        <f t="shared" si="0"/>
        <v>6774001.2000000002</v>
      </c>
      <c r="I19" s="81">
        <f t="shared" si="1"/>
        <v>20135563.199999999</v>
      </c>
      <c r="J19" s="81">
        <f t="shared" si="2"/>
        <v>26909564.399999999</v>
      </c>
      <c r="K19" s="81">
        <f t="shared" si="4"/>
        <v>645829.54559999995</v>
      </c>
      <c r="L19" s="104">
        <f t="shared" si="5"/>
        <v>27555393.945599999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44757</v>
      </c>
      <c r="C20" s="59">
        <v>156</v>
      </c>
      <c r="D20" s="87">
        <v>1035.78</v>
      </c>
      <c r="E20" s="107">
        <v>4520</v>
      </c>
      <c r="F20" s="115">
        <v>21880</v>
      </c>
      <c r="G20" s="80">
        <f t="shared" si="3"/>
        <v>26400</v>
      </c>
      <c r="H20" s="81">
        <f t="shared" si="0"/>
        <v>7022588.3999999994</v>
      </c>
      <c r="I20" s="81">
        <f t="shared" si="1"/>
        <v>22662866.399999999</v>
      </c>
      <c r="J20" s="81">
        <f t="shared" si="2"/>
        <v>29685454.799999997</v>
      </c>
      <c r="K20" s="81">
        <f t="shared" si="4"/>
        <v>712450.91519999993</v>
      </c>
      <c r="L20" s="104">
        <f t="shared" si="5"/>
        <v>30397905.715199996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44758</v>
      </c>
      <c r="C21" s="59">
        <v>156</v>
      </c>
      <c r="D21" s="87">
        <v>1035.78</v>
      </c>
      <c r="E21" s="107">
        <v>4600</v>
      </c>
      <c r="F21" s="115">
        <v>20680</v>
      </c>
      <c r="G21" s="80">
        <f t="shared" si="3"/>
        <v>25280</v>
      </c>
      <c r="H21" s="81">
        <f t="shared" si="0"/>
        <v>7146882</v>
      </c>
      <c r="I21" s="81">
        <f t="shared" si="1"/>
        <v>21419930.399999999</v>
      </c>
      <c r="J21" s="81">
        <f t="shared" si="2"/>
        <v>28566812.399999999</v>
      </c>
      <c r="K21" s="81">
        <f t="shared" si="4"/>
        <v>685603.4976</v>
      </c>
      <c r="L21" s="104">
        <f t="shared" si="5"/>
        <v>29252415.897599999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44759</v>
      </c>
      <c r="C22" s="59">
        <v>156</v>
      </c>
      <c r="D22" s="87">
        <v>1035.78</v>
      </c>
      <c r="E22" s="107">
        <v>4240</v>
      </c>
      <c r="F22" s="115">
        <v>18480</v>
      </c>
      <c r="G22" s="80">
        <f t="shared" si="3"/>
        <v>22720</v>
      </c>
      <c r="H22" s="81">
        <f t="shared" si="0"/>
        <v>6587560.7999999998</v>
      </c>
      <c r="I22" s="81">
        <f t="shared" si="1"/>
        <v>19141214.399999999</v>
      </c>
      <c r="J22" s="81">
        <f t="shared" si="2"/>
        <v>25728775.199999999</v>
      </c>
      <c r="K22" s="81">
        <f t="shared" si="4"/>
        <v>617490.60479999997</v>
      </c>
      <c r="L22" s="104">
        <f t="shared" si="5"/>
        <v>26346265.8048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44760</v>
      </c>
      <c r="C23" s="59">
        <v>156</v>
      </c>
      <c r="D23" s="87">
        <v>1035.78</v>
      </c>
      <c r="E23" s="107">
        <v>6520</v>
      </c>
      <c r="F23" s="115">
        <v>17280</v>
      </c>
      <c r="G23" s="80">
        <f t="shared" si="3"/>
        <v>23800</v>
      </c>
      <c r="H23" s="81">
        <f t="shared" si="0"/>
        <v>10129928.4</v>
      </c>
      <c r="I23" s="81">
        <f t="shared" si="1"/>
        <v>17898278.399999999</v>
      </c>
      <c r="J23" s="81">
        <f t="shared" si="2"/>
        <v>28028206.799999997</v>
      </c>
      <c r="K23" s="81">
        <f t="shared" si="4"/>
        <v>672676.9632</v>
      </c>
      <c r="L23" s="104">
        <f t="shared" si="5"/>
        <v>28700883.763199996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44761</v>
      </c>
      <c r="C24" s="59">
        <v>156</v>
      </c>
      <c r="D24" s="87">
        <v>1035.78</v>
      </c>
      <c r="E24" s="107">
        <v>2400</v>
      </c>
      <c r="F24" s="115">
        <v>23720</v>
      </c>
      <c r="G24" s="80">
        <f t="shared" si="3"/>
        <v>26120</v>
      </c>
      <c r="H24" s="81">
        <f t="shared" si="0"/>
        <v>3728808</v>
      </c>
      <c r="I24" s="81">
        <f t="shared" si="1"/>
        <v>24568701.599999998</v>
      </c>
      <c r="J24" s="81">
        <f t="shared" si="2"/>
        <v>28297509.599999998</v>
      </c>
      <c r="K24" s="81">
        <f t="shared" si="4"/>
        <v>679140.2304</v>
      </c>
      <c r="L24" s="104">
        <f t="shared" si="5"/>
        <v>28976649.830399998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44762</v>
      </c>
      <c r="C25" s="59">
        <v>156</v>
      </c>
      <c r="D25" s="87">
        <v>1035.78</v>
      </c>
      <c r="E25" s="107">
        <v>4720</v>
      </c>
      <c r="F25" s="115">
        <v>20800</v>
      </c>
      <c r="G25" s="80">
        <f t="shared" si="3"/>
        <v>25520</v>
      </c>
      <c r="H25" s="81">
        <f t="shared" si="0"/>
        <v>7333322.3999999994</v>
      </c>
      <c r="I25" s="81">
        <f t="shared" si="1"/>
        <v>21544224</v>
      </c>
      <c r="J25" s="81">
        <f t="shared" si="2"/>
        <v>28877546.399999999</v>
      </c>
      <c r="K25" s="81">
        <f t="shared" si="4"/>
        <v>693061.11359999992</v>
      </c>
      <c r="L25" s="104">
        <f t="shared" si="5"/>
        <v>29570607.513599999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44763</v>
      </c>
      <c r="C26" s="59">
        <v>156</v>
      </c>
      <c r="D26" s="87">
        <v>1035.78</v>
      </c>
      <c r="E26" s="107">
        <v>4840</v>
      </c>
      <c r="F26" s="115">
        <v>21960</v>
      </c>
      <c r="G26" s="80">
        <f t="shared" si="3"/>
        <v>26800</v>
      </c>
      <c r="H26" s="81">
        <f t="shared" si="0"/>
        <v>7519762.7999999998</v>
      </c>
      <c r="I26" s="81">
        <f t="shared" si="1"/>
        <v>22745728.800000001</v>
      </c>
      <c r="J26" s="81">
        <f t="shared" si="2"/>
        <v>30265491.600000001</v>
      </c>
      <c r="K26" s="81">
        <f t="shared" si="4"/>
        <v>726371.79840000009</v>
      </c>
      <c r="L26" s="104">
        <f>J26+K26</f>
        <v>30991863.398400001</v>
      </c>
      <c r="M26" s="1"/>
      <c r="N26" s="118">
        <f>SUM(L17:L26)</f>
        <v>291399881.93279994</v>
      </c>
      <c r="O26" s="1"/>
      <c r="P26" s="1"/>
      <c r="Q26" s="1"/>
    </row>
    <row r="27" spans="2:17" s="3" customFormat="1" ht="50.1" customHeight="1" x14ac:dyDescent="0.25">
      <c r="B27" s="5">
        <v>44764</v>
      </c>
      <c r="C27" s="59">
        <v>156</v>
      </c>
      <c r="D27" s="87">
        <v>1035.78</v>
      </c>
      <c r="E27" s="107">
        <v>4920</v>
      </c>
      <c r="F27" s="115">
        <v>22160</v>
      </c>
      <c r="G27" s="80">
        <f t="shared" si="3"/>
        <v>27080</v>
      </c>
      <c r="H27" s="81">
        <f t="shared" si="0"/>
        <v>7644056.3999999994</v>
      </c>
      <c r="I27" s="81">
        <f t="shared" si="1"/>
        <v>22952884.800000001</v>
      </c>
      <c r="J27" s="81">
        <f t="shared" si="2"/>
        <v>30596941.199999999</v>
      </c>
      <c r="K27" s="81">
        <f t="shared" si="4"/>
        <v>734326.58880000003</v>
      </c>
      <c r="L27" s="104">
        <f t="shared" si="5"/>
        <v>31331267.788800001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44765</v>
      </c>
      <c r="C28" s="59">
        <v>156</v>
      </c>
      <c r="D28" s="87">
        <v>1035.78</v>
      </c>
      <c r="E28" s="107">
        <v>4600</v>
      </c>
      <c r="F28" s="115">
        <v>21200</v>
      </c>
      <c r="G28" s="80">
        <f t="shared" si="3"/>
        <v>25800</v>
      </c>
      <c r="H28" s="81">
        <f t="shared" si="0"/>
        <v>7146882</v>
      </c>
      <c r="I28" s="81">
        <f t="shared" si="1"/>
        <v>21958536</v>
      </c>
      <c r="J28" s="81">
        <f t="shared" si="2"/>
        <v>29105418</v>
      </c>
      <c r="K28" s="81">
        <f t="shared" si="4"/>
        <v>698530.03200000001</v>
      </c>
      <c r="L28" s="104">
        <f t="shared" si="5"/>
        <v>29803948.032000002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44766</v>
      </c>
      <c r="C29" s="59">
        <v>156</v>
      </c>
      <c r="D29" s="87">
        <v>1035.78</v>
      </c>
      <c r="E29" s="107">
        <v>4560</v>
      </c>
      <c r="F29" s="115">
        <v>20880</v>
      </c>
      <c r="G29" s="80">
        <f t="shared" si="3"/>
        <v>25440</v>
      </c>
      <c r="H29" s="81">
        <f t="shared" si="0"/>
        <v>7084735.2000000002</v>
      </c>
      <c r="I29" s="81">
        <f t="shared" si="1"/>
        <v>21627086.399999999</v>
      </c>
      <c r="J29" s="81">
        <f t="shared" si="2"/>
        <v>28711821.599999998</v>
      </c>
      <c r="K29" s="81">
        <f t="shared" si="4"/>
        <v>689083.71840000001</v>
      </c>
      <c r="L29" s="104">
        <f t="shared" si="5"/>
        <v>29400905.318399999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44767</v>
      </c>
      <c r="C30" s="59">
        <v>156</v>
      </c>
      <c r="D30" s="87">
        <v>1035.78</v>
      </c>
      <c r="E30" s="107">
        <v>4840</v>
      </c>
      <c r="F30" s="115">
        <v>20880</v>
      </c>
      <c r="G30" s="80">
        <f t="shared" si="3"/>
        <v>25720</v>
      </c>
      <c r="H30" s="81">
        <f t="shared" si="0"/>
        <v>7519762.7999999998</v>
      </c>
      <c r="I30" s="81">
        <f t="shared" si="1"/>
        <v>21627086.399999999</v>
      </c>
      <c r="J30" s="81">
        <f t="shared" si="2"/>
        <v>29146849.199999999</v>
      </c>
      <c r="K30" s="81">
        <f t="shared" si="4"/>
        <v>699524.38080000004</v>
      </c>
      <c r="L30" s="104">
        <f t="shared" si="5"/>
        <v>29846373.580800001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44768</v>
      </c>
      <c r="C31" s="59">
        <v>156</v>
      </c>
      <c r="D31" s="87">
        <v>1035.78</v>
      </c>
      <c r="E31" s="107">
        <v>1560</v>
      </c>
      <c r="F31" s="115">
        <v>20040</v>
      </c>
      <c r="G31" s="80">
        <f t="shared" si="3"/>
        <v>21600</v>
      </c>
      <c r="H31" s="81">
        <f t="shared" si="0"/>
        <v>2423725.1999999997</v>
      </c>
      <c r="I31" s="81">
        <f t="shared" si="1"/>
        <v>20757031.199999999</v>
      </c>
      <c r="J31" s="81">
        <f t="shared" ref="J31:J33" si="6">I31+H31</f>
        <v>23180756.399999999</v>
      </c>
      <c r="K31" s="81">
        <f t="shared" si="4"/>
        <v>556338.15359999996</v>
      </c>
      <c r="L31" s="104">
        <f t="shared" ref="L31:L33" si="7">J31+K31</f>
        <v>23737094.553599998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44769</v>
      </c>
      <c r="C32" s="59">
        <v>156</v>
      </c>
      <c r="D32" s="87">
        <v>1035.78</v>
      </c>
      <c r="E32" s="107">
        <v>7760</v>
      </c>
      <c r="F32" s="115">
        <v>20000</v>
      </c>
      <c r="G32" s="80">
        <f t="shared" si="3"/>
        <v>27760</v>
      </c>
      <c r="H32" s="81">
        <f t="shared" si="0"/>
        <v>12056479.199999999</v>
      </c>
      <c r="I32" s="81">
        <f t="shared" si="1"/>
        <v>20715600</v>
      </c>
      <c r="J32" s="81">
        <f t="shared" si="6"/>
        <v>32772079.199999999</v>
      </c>
      <c r="K32" s="81">
        <f t="shared" si="4"/>
        <v>786529.90079999994</v>
      </c>
      <c r="L32" s="104">
        <f t="shared" si="7"/>
        <v>33558609.1008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44770</v>
      </c>
      <c r="C33" s="59">
        <v>156</v>
      </c>
      <c r="D33" s="87">
        <v>1035.78</v>
      </c>
      <c r="E33" s="107">
        <v>4680</v>
      </c>
      <c r="F33" s="115">
        <v>21200</v>
      </c>
      <c r="G33" s="80">
        <f t="shared" si="3"/>
        <v>25880</v>
      </c>
      <c r="H33" s="81">
        <f t="shared" si="0"/>
        <v>7271175.5999999996</v>
      </c>
      <c r="I33" s="81">
        <f t="shared" si="1"/>
        <v>21958536</v>
      </c>
      <c r="J33" s="81">
        <f t="shared" si="6"/>
        <v>29229711.600000001</v>
      </c>
      <c r="K33" s="81">
        <f t="shared" si="4"/>
        <v>701513.0784</v>
      </c>
      <c r="L33" s="104">
        <f t="shared" si="7"/>
        <v>29931224.678400002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44771</v>
      </c>
      <c r="C34" s="59">
        <v>156</v>
      </c>
      <c r="D34" s="87">
        <v>1035.78</v>
      </c>
      <c r="E34" s="107">
        <v>3320</v>
      </c>
      <c r="F34" s="115">
        <v>22800</v>
      </c>
      <c r="G34" s="80">
        <f t="shared" ref="G34" si="8">F34+E34</f>
        <v>26120</v>
      </c>
      <c r="H34" s="81">
        <f t="shared" ref="H34" si="9">E34*1.5*D34</f>
        <v>5158184.3999999994</v>
      </c>
      <c r="I34" s="81">
        <f t="shared" ref="I34" si="10">F34*D34</f>
        <v>23615784</v>
      </c>
      <c r="J34" s="81">
        <f t="shared" ref="J34" si="11">I34+H34</f>
        <v>28773968.399999999</v>
      </c>
      <c r="K34" s="81">
        <f t="shared" si="4"/>
        <v>690575.24159999995</v>
      </c>
      <c r="L34" s="104">
        <f t="shared" ref="L34" si="12">J34+K34</f>
        <v>29464543.641599998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44772</v>
      </c>
      <c r="C35" s="59">
        <v>156</v>
      </c>
      <c r="D35" s="87">
        <v>1035.78</v>
      </c>
      <c r="E35" s="107">
        <v>6360</v>
      </c>
      <c r="F35" s="115">
        <v>22680</v>
      </c>
      <c r="G35" s="80">
        <f t="shared" ref="G35:G36" si="13">F35+E35</f>
        <v>29040</v>
      </c>
      <c r="H35" s="81">
        <f t="shared" ref="H35:H36" si="14">E35*1.5*D35</f>
        <v>9881341.1999999993</v>
      </c>
      <c r="I35" s="81">
        <f t="shared" ref="I35:I36" si="15">F35*D35</f>
        <v>23491490.399999999</v>
      </c>
      <c r="J35" s="81">
        <f t="shared" ref="J35:J36" si="16">I35+H35</f>
        <v>33372831.599999998</v>
      </c>
      <c r="K35" s="81">
        <f t="shared" si="4"/>
        <v>800947.9584</v>
      </c>
      <c r="L35" s="104">
        <f t="shared" ref="L35:L36" si="17">J35+K35</f>
        <v>34173779.558399998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44773</v>
      </c>
      <c r="C36" s="59">
        <v>156</v>
      </c>
      <c r="D36" s="87">
        <v>1035.78</v>
      </c>
      <c r="E36" s="107">
        <v>4800</v>
      </c>
      <c r="F36" s="115">
        <v>21240</v>
      </c>
      <c r="G36" s="80">
        <f t="shared" si="13"/>
        <v>26040</v>
      </c>
      <c r="H36" s="81">
        <f t="shared" si="14"/>
        <v>7457616</v>
      </c>
      <c r="I36" s="81">
        <f t="shared" si="15"/>
        <v>21999967.199999999</v>
      </c>
      <c r="J36" s="81">
        <f t="shared" si="16"/>
        <v>29457583.199999999</v>
      </c>
      <c r="K36" s="81">
        <f t="shared" si="4"/>
        <v>706981.99679999996</v>
      </c>
      <c r="L36" s="104">
        <f t="shared" si="17"/>
        <v>30164565.196800001</v>
      </c>
      <c r="M36" s="1"/>
      <c r="N36" s="118">
        <f>SUM(L27:L36)</f>
        <v>301412311.44959998</v>
      </c>
      <c r="O36" s="1"/>
      <c r="P36" s="1"/>
      <c r="Q36" s="1"/>
    </row>
    <row r="37" spans="2:17" s="1" customFormat="1" x14ac:dyDescent="0.25">
      <c r="B37" s="7"/>
      <c r="C37" s="9">
        <f>SUM(C6:C35)</f>
        <v>4680</v>
      </c>
      <c r="D37" s="88"/>
      <c r="E37" s="82">
        <f>SUM(E6:E36)</f>
        <v>143840</v>
      </c>
      <c r="F37" s="82">
        <f>SUM(F6:F36)</f>
        <v>648200</v>
      </c>
      <c r="G37" s="82">
        <f t="shared" ref="G37:K37" si="18">SUM(G6:G36)</f>
        <v>792040</v>
      </c>
      <c r="H37" s="82">
        <f t="shared" si="18"/>
        <v>223479892.80000001</v>
      </c>
      <c r="I37" s="82">
        <f t="shared" si="18"/>
        <v>671392596</v>
      </c>
      <c r="J37" s="82">
        <f t="shared" si="18"/>
        <v>894872488.80000007</v>
      </c>
      <c r="K37" s="82">
        <f t="shared" si="18"/>
        <v>21476939.731200006</v>
      </c>
      <c r="L37" s="82">
        <f>SUM(L6:L36)</f>
        <v>916349428.53120005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H43" sqref="H43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9" t="s">
        <v>3</v>
      </c>
      <c r="C1" s="139"/>
      <c r="D1" s="139"/>
      <c r="E1" s="139"/>
      <c r="F1" s="139"/>
      <c r="G1" s="139"/>
    </row>
    <row r="2" spans="1:43" ht="15" customHeight="1" x14ac:dyDescent="0.25">
      <c r="B2" s="139"/>
      <c r="C2" s="139"/>
      <c r="D2" s="139"/>
      <c r="E2" s="139"/>
      <c r="F2" s="139"/>
      <c r="G2" s="139"/>
    </row>
    <row r="3" spans="1:43" s="63" customFormat="1" ht="27" customHeight="1" x14ac:dyDescent="0.3">
      <c r="A3" s="61"/>
      <c r="B3" s="140" t="s">
        <v>0</v>
      </c>
      <c r="C3" s="140" t="s">
        <v>22</v>
      </c>
      <c r="D3" s="141" t="s">
        <v>21</v>
      </c>
      <c r="E3" s="75" t="s">
        <v>31</v>
      </c>
      <c r="F3" s="62" t="s">
        <v>33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40"/>
      <c r="C4" s="140"/>
      <c r="D4" s="142"/>
      <c r="E4" s="77" t="s">
        <v>32</v>
      </c>
      <c r="F4" s="62" t="s">
        <v>32</v>
      </c>
      <c r="G4" s="62" t="s">
        <v>32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7</v>
      </c>
      <c r="D5" s="78">
        <v>2022</v>
      </c>
      <c r="E5" s="113">
        <v>11</v>
      </c>
      <c r="F5" s="112">
        <v>311</v>
      </c>
      <c r="G5" s="56">
        <f>E5+F5</f>
        <v>322</v>
      </c>
    </row>
    <row r="6" spans="1:43" ht="15.75" x14ac:dyDescent="0.25">
      <c r="B6" s="78">
        <v>2</v>
      </c>
      <c r="C6" s="78">
        <v>7</v>
      </c>
      <c r="D6" s="78">
        <v>2022</v>
      </c>
      <c r="E6" s="112">
        <v>12</v>
      </c>
      <c r="F6" s="112">
        <v>294</v>
      </c>
      <c r="G6" s="56">
        <f t="shared" ref="G6:G34" si="0">E6+F6</f>
        <v>306</v>
      </c>
    </row>
    <row r="7" spans="1:43" ht="15.75" x14ac:dyDescent="0.25">
      <c r="B7" s="78">
        <v>3</v>
      </c>
      <c r="C7" s="78">
        <v>7</v>
      </c>
      <c r="D7" s="78">
        <v>2022</v>
      </c>
      <c r="E7" s="112">
        <v>11</v>
      </c>
      <c r="F7" s="112">
        <v>282</v>
      </c>
      <c r="G7" s="56">
        <f t="shared" si="0"/>
        <v>293</v>
      </c>
    </row>
    <row r="8" spans="1:43" ht="15.75" x14ac:dyDescent="0.25">
      <c r="B8" s="78">
        <v>4</v>
      </c>
      <c r="C8" s="78">
        <v>7</v>
      </c>
      <c r="D8" s="78">
        <v>2022</v>
      </c>
      <c r="E8" s="112">
        <v>11</v>
      </c>
      <c r="F8" s="112">
        <v>280</v>
      </c>
      <c r="G8" s="56">
        <f t="shared" si="0"/>
        <v>291</v>
      </c>
    </row>
    <row r="9" spans="1:43" ht="15.75" x14ac:dyDescent="0.25">
      <c r="B9" s="78">
        <v>5</v>
      </c>
      <c r="C9" s="78">
        <v>7</v>
      </c>
      <c r="D9" s="78">
        <v>2022</v>
      </c>
      <c r="E9" s="112">
        <v>12</v>
      </c>
      <c r="F9" s="112">
        <v>302</v>
      </c>
      <c r="G9" s="56">
        <f t="shared" si="0"/>
        <v>314</v>
      </c>
    </row>
    <row r="10" spans="1:43" ht="15.75" x14ac:dyDescent="0.25">
      <c r="B10" s="78">
        <v>6</v>
      </c>
      <c r="C10" s="78">
        <v>7</v>
      </c>
      <c r="D10" s="78">
        <v>2022</v>
      </c>
      <c r="E10" s="112">
        <v>17</v>
      </c>
      <c r="F10" s="112">
        <v>325</v>
      </c>
      <c r="G10" s="56">
        <f t="shared" si="0"/>
        <v>342</v>
      </c>
    </row>
    <row r="11" spans="1:43" ht="15.75" x14ac:dyDescent="0.25">
      <c r="B11" s="78">
        <v>7</v>
      </c>
      <c r="C11" s="78">
        <v>7</v>
      </c>
      <c r="D11" s="78">
        <v>2022</v>
      </c>
      <c r="E11" s="116">
        <v>8</v>
      </c>
      <c r="F11" s="116">
        <v>326</v>
      </c>
      <c r="G11" s="56">
        <f t="shared" si="0"/>
        <v>334</v>
      </c>
    </row>
    <row r="12" spans="1:43" ht="15.75" x14ac:dyDescent="0.25">
      <c r="B12" s="78">
        <v>8</v>
      </c>
      <c r="C12" s="78">
        <v>7</v>
      </c>
      <c r="D12" s="78">
        <v>2022</v>
      </c>
      <c r="E12" s="116">
        <v>10</v>
      </c>
      <c r="F12" s="116">
        <v>274</v>
      </c>
      <c r="G12" s="56">
        <f t="shared" si="0"/>
        <v>284</v>
      </c>
    </row>
    <row r="13" spans="1:43" ht="15.75" x14ac:dyDescent="0.25">
      <c r="B13" s="78">
        <v>9</v>
      </c>
      <c r="C13" s="78">
        <v>7</v>
      </c>
      <c r="D13" s="78">
        <v>2022</v>
      </c>
      <c r="E13" s="116">
        <v>11</v>
      </c>
      <c r="F13" s="116">
        <v>327</v>
      </c>
      <c r="G13" s="56">
        <f t="shared" si="0"/>
        <v>338</v>
      </c>
    </row>
    <row r="14" spans="1:43" ht="15.75" x14ac:dyDescent="0.25">
      <c r="B14" s="78">
        <v>10</v>
      </c>
      <c r="C14" s="78">
        <v>7</v>
      </c>
      <c r="D14" s="78">
        <v>2022</v>
      </c>
      <c r="E14" s="116">
        <v>17</v>
      </c>
      <c r="F14" s="116">
        <v>376</v>
      </c>
      <c r="G14" s="56">
        <f t="shared" si="0"/>
        <v>393</v>
      </c>
    </row>
    <row r="15" spans="1:43" ht="15.75" x14ac:dyDescent="0.25">
      <c r="B15" s="78">
        <v>11</v>
      </c>
      <c r="C15" s="78">
        <v>7</v>
      </c>
      <c r="D15" s="78">
        <v>2022</v>
      </c>
      <c r="E15" s="116">
        <v>10</v>
      </c>
      <c r="F15" s="116">
        <v>236</v>
      </c>
      <c r="G15" s="56">
        <f t="shared" si="0"/>
        <v>246</v>
      </c>
    </row>
    <row r="16" spans="1:43" ht="15.75" x14ac:dyDescent="0.25">
      <c r="B16" s="78">
        <v>12</v>
      </c>
      <c r="C16" s="78">
        <v>7</v>
      </c>
      <c r="D16" s="78">
        <v>2022</v>
      </c>
      <c r="E16" s="116">
        <v>9</v>
      </c>
      <c r="F16" s="116">
        <v>256</v>
      </c>
      <c r="G16" s="56">
        <f t="shared" si="0"/>
        <v>265</v>
      </c>
    </row>
    <row r="17" spans="2:7" ht="15.75" x14ac:dyDescent="0.25">
      <c r="B17" s="78">
        <v>13</v>
      </c>
      <c r="C17" s="78">
        <v>7</v>
      </c>
      <c r="D17" s="78">
        <v>2022</v>
      </c>
      <c r="E17" s="116">
        <v>12</v>
      </c>
      <c r="F17" s="116">
        <v>293</v>
      </c>
      <c r="G17" s="56">
        <f t="shared" si="0"/>
        <v>305</v>
      </c>
    </row>
    <row r="18" spans="2:7" ht="15.75" x14ac:dyDescent="0.25">
      <c r="B18" s="78">
        <v>14</v>
      </c>
      <c r="C18" s="78">
        <v>7</v>
      </c>
      <c r="D18" s="78">
        <v>2022</v>
      </c>
      <c r="E18" s="116">
        <v>12</v>
      </c>
      <c r="F18" s="116">
        <v>297</v>
      </c>
      <c r="G18" s="56">
        <f t="shared" si="0"/>
        <v>309</v>
      </c>
    </row>
    <row r="19" spans="2:7" ht="15.75" x14ac:dyDescent="0.25">
      <c r="B19" s="78">
        <v>15</v>
      </c>
      <c r="C19" s="78">
        <v>7</v>
      </c>
      <c r="D19" s="78">
        <v>2022</v>
      </c>
      <c r="E19" s="116">
        <v>11</v>
      </c>
      <c r="F19" s="116">
        <v>275</v>
      </c>
      <c r="G19" s="56">
        <f t="shared" si="0"/>
        <v>286</v>
      </c>
    </row>
    <row r="20" spans="2:7" ht="15.75" x14ac:dyDescent="0.25">
      <c r="B20" s="78">
        <v>16</v>
      </c>
      <c r="C20" s="78">
        <v>7</v>
      </c>
      <c r="D20" s="78">
        <v>2022</v>
      </c>
      <c r="E20" s="116">
        <v>12</v>
      </c>
      <c r="F20" s="116">
        <v>292</v>
      </c>
      <c r="G20" s="56">
        <f t="shared" si="0"/>
        <v>304</v>
      </c>
    </row>
    <row r="21" spans="2:7" ht="15.75" x14ac:dyDescent="0.25">
      <c r="B21" s="78">
        <v>17</v>
      </c>
      <c r="C21" s="78">
        <v>7</v>
      </c>
      <c r="D21" s="78">
        <v>2022</v>
      </c>
      <c r="E21" s="116">
        <v>11</v>
      </c>
      <c r="F21" s="116">
        <v>276</v>
      </c>
      <c r="G21" s="56">
        <f t="shared" si="0"/>
        <v>287</v>
      </c>
    </row>
    <row r="22" spans="2:7" ht="15.75" x14ac:dyDescent="0.25">
      <c r="B22" s="78">
        <v>18</v>
      </c>
      <c r="C22" s="78">
        <v>7</v>
      </c>
      <c r="D22" s="78">
        <v>2022</v>
      </c>
      <c r="E22" s="116">
        <v>19</v>
      </c>
      <c r="F22" s="116">
        <v>365</v>
      </c>
      <c r="G22" s="56">
        <f t="shared" si="0"/>
        <v>384</v>
      </c>
    </row>
    <row r="23" spans="2:7" ht="15.75" x14ac:dyDescent="0.25">
      <c r="B23" s="78">
        <v>19</v>
      </c>
      <c r="C23" s="78">
        <v>7</v>
      </c>
      <c r="D23" s="78">
        <v>2022</v>
      </c>
      <c r="E23" s="116">
        <v>9</v>
      </c>
      <c r="F23" s="116">
        <v>268</v>
      </c>
      <c r="G23" s="56">
        <f t="shared" si="0"/>
        <v>277</v>
      </c>
    </row>
    <row r="24" spans="2:7" ht="15.75" x14ac:dyDescent="0.25">
      <c r="B24" s="78">
        <v>20</v>
      </c>
      <c r="C24" s="78">
        <v>7</v>
      </c>
      <c r="D24" s="78">
        <v>2022</v>
      </c>
      <c r="E24" s="116">
        <v>14</v>
      </c>
      <c r="F24" s="116">
        <v>321</v>
      </c>
      <c r="G24" s="56">
        <f t="shared" si="0"/>
        <v>335</v>
      </c>
    </row>
    <row r="25" spans="2:7" ht="15.75" x14ac:dyDescent="0.25">
      <c r="B25" s="78">
        <v>21</v>
      </c>
      <c r="C25" s="78">
        <v>7</v>
      </c>
      <c r="D25" s="78">
        <v>2022</v>
      </c>
      <c r="E25" s="116">
        <v>22</v>
      </c>
      <c r="F25" s="116">
        <v>130</v>
      </c>
      <c r="G25" s="56">
        <f t="shared" si="0"/>
        <v>152</v>
      </c>
    </row>
    <row r="26" spans="2:7" ht="15.75" x14ac:dyDescent="0.25">
      <c r="B26" s="78">
        <v>22</v>
      </c>
      <c r="C26" s="78">
        <v>7</v>
      </c>
      <c r="D26" s="78">
        <v>2022</v>
      </c>
      <c r="E26" s="116">
        <v>17</v>
      </c>
      <c r="F26" s="116">
        <v>441</v>
      </c>
      <c r="G26" s="56">
        <f t="shared" si="0"/>
        <v>458</v>
      </c>
    </row>
    <row r="27" spans="2:7" ht="15.75" x14ac:dyDescent="0.25">
      <c r="B27" s="78">
        <v>23</v>
      </c>
      <c r="C27" s="78">
        <v>7</v>
      </c>
      <c r="D27" s="78">
        <v>2022</v>
      </c>
      <c r="E27" s="116">
        <v>2</v>
      </c>
      <c r="F27" s="116">
        <v>247</v>
      </c>
      <c r="G27" s="56">
        <f t="shared" si="0"/>
        <v>249</v>
      </c>
    </row>
    <row r="28" spans="2:7" ht="15.75" x14ac:dyDescent="0.25">
      <c r="B28" s="78">
        <v>24</v>
      </c>
      <c r="C28" s="78">
        <v>7</v>
      </c>
      <c r="D28" s="78">
        <v>2022</v>
      </c>
      <c r="E28" s="116">
        <v>10</v>
      </c>
      <c r="F28" s="116">
        <v>301</v>
      </c>
      <c r="G28" s="56">
        <f t="shared" si="0"/>
        <v>311</v>
      </c>
    </row>
    <row r="29" spans="2:7" ht="15.75" x14ac:dyDescent="0.25">
      <c r="B29" s="78">
        <v>25</v>
      </c>
      <c r="C29" s="78">
        <v>7</v>
      </c>
      <c r="D29" s="78">
        <v>2022</v>
      </c>
      <c r="E29" s="116">
        <v>4</v>
      </c>
      <c r="F29" s="116">
        <v>343</v>
      </c>
      <c r="G29" s="56">
        <f t="shared" si="0"/>
        <v>347</v>
      </c>
    </row>
    <row r="30" spans="2:7" ht="15.75" x14ac:dyDescent="0.25">
      <c r="B30" s="78">
        <v>26</v>
      </c>
      <c r="C30" s="78">
        <v>7</v>
      </c>
      <c r="D30" s="78">
        <v>2022</v>
      </c>
      <c r="E30" s="116">
        <v>4</v>
      </c>
      <c r="F30" s="116">
        <v>319</v>
      </c>
      <c r="G30" s="56">
        <f t="shared" si="0"/>
        <v>323</v>
      </c>
    </row>
    <row r="31" spans="2:7" ht="15.75" x14ac:dyDescent="0.25">
      <c r="B31" s="78">
        <v>27</v>
      </c>
      <c r="C31" s="78">
        <v>7</v>
      </c>
      <c r="D31" s="78">
        <v>2022</v>
      </c>
      <c r="E31" s="116">
        <v>6</v>
      </c>
      <c r="F31" s="116">
        <v>438</v>
      </c>
      <c r="G31" s="56">
        <f t="shared" si="0"/>
        <v>444</v>
      </c>
    </row>
    <row r="32" spans="2:7" ht="15.75" x14ac:dyDescent="0.25">
      <c r="B32" s="78">
        <v>28</v>
      </c>
      <c r="C32" s="78">
        <v>7</v>
      </c>
      <c r="D32" s="78">
        <v>2022</v>
      </c>
      <c r="E32" s="116">
        <v>4</v>
      </c>
      <c r="F32" s="116">
        <v>331</v>
      </c>
      <c r="G32" s="56">
        <f t="shared" si="0"/>
        <v>335</v>
      </c>
    </row>
    <row r="33" spans="2:9" ht="15.75" x14ac:dyDescent="0.25">
      <c r="B33" s="78">
        <v>29</v>
      </c>
      <c r="C33" s="78">
        <v>7</v>
      </c>
      <c r="D33" s="78">
        <v>2022</v>
      </c>
      <c r="E33" s="112">
        <v>0</v>
      </c>
      <c r="F33" s="112">
        <v>272</v>
      </c>
      <c r="G33" s="56">
        <f t="shared" si="0"/>
        <v>272</v>
      </c>
    </row>
    <row r="34" spans="2:9" ht="15.75" x14ac:dyDescent="0.25">
      <c r="B34" s="78">
        <v>30</v>
      </c>
      <c r="C34" s="78">
        <v>7</v>
      </c>
      <c r="D34" s="78">
        <v>2022</v>
      </c>
      <c r="E34" s="112">
        <v>2</v>
      </c>
      <c r="F34" s="112">
        <v>443</v>
      </c>
      <c r="G34" s="56">
        <f t="shared" si="0"/>
        <v>445</v>
      </c>
    </row>
    <row r="35" spans="2:9" ht="15.75" x14ac:dyDescent="0.25">
      <c r="B35" s="78">
        <v>31</v>
      </c>
      <c r="C35" s="78">
        <v>7</v>
      </c>
      <c r="D35" s="78">
        <v>2022</v>
      </c>
      <c r="E35" s="112">
        <v>0</v>
      </c>
      <c r="F35" s="112">
        <v>254</v>
      </c>
      <c r="G35" s="56">
        <f t="shared" ref="G35" si="1">E35+F35</f>
        <v>254</v>
      </c>
    </row>
    <row r="36" spans="2:9" ht="21" x14ac:dyDescent="0.35">
      <c r="B36" s="64"/>
      <c r="C36" s="64"/>
      <c r="D36" s="64"/>
      <c r="E36" s="14">
        <f>SUM(E5:E35)</f>
        <v>310</v>
      </c>
      <c r="F36" s="14">
        <f>SUM(F5:F35)</f>
        <v>9495</v>
      </c>
      <c r="G36" s="14">
        <f>SUM(G5:G35)</f>
        <v>9805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9805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123052750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2023-03-14T08:53:14Z</dcterms:modified>
</cp:coreProperties>
</file>