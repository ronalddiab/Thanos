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19C75E78-0714-4B3C-85F4-4E970C2D0C13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1" r:id="rId1"/>
    <sheet name="May" sheetId="2" r:id="rId2"/>
  </sheets>
  <calcPr calcId="191029"/>
</workbook>
</file>

<file path=xl/calcChain.xml><?xml version="1.0" encoding="utf-8"?>
<calcChain xmlns="http://schemas.openxmlformats.org/spreadsheetml/2006/main">
  <c r="W40" i="2" l="1"/>
  <c r="U38" i="2" l="1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U27" i="2"/>
  <c r="V27" i="2" s="1"/>
  <c r="U26" i="2"/>
  <c r="V26" i="2" s="1"/>
  <c r="U25" i="2"/>
  <c r="V25" i="2" s="1"/>
  <c r="U24" i="2"/>
  <c r="V24" i="2" s="1"/>
  <c r="U23" i="2"/>
  <c r="V23" i="2" s="1"/>
  <c r="U22" i="2"/>
  <c r="V22" i="2" s="1"/>
  <c r="U21" i="2"/>
  <c r="V21" i="2" s="1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V40" i="2" l="1"/>
  <c r="R40" i="2"/>
  <c r="Q38" i="2" l="1"/>
  <c r="O38" i="2"/>
  <c r="M38" i="2"/>
  <c r="K38" i="2"/>
  <c r="I38" i="2"/>
  <c r="G38" i="2"/>
  <c r="E38" i="2"/>
  <c r="C38" i="2"/>
  <c r="M32" i="1" l="1"/>
  <c r="K32" i="1"/>
  <c r="I32" i="1"/>
  <c r="G32" i="1"/>
  <c r="E32" i="1"/>
  <c r="B3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7" i="2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I5" i="1" l="1"/>
  <c r="I8" i="1"/>
  <c r="I11" i="1"/>
  <c r="I14" i="1"/>
  <c r="I17" i="1"/>
  <c r="I20" i="1"/>
  <c r="I23" i="1"/>
  <c r="I26" i="1"/>
  <c r="I29" i="1"/>
  <c r="K4" i="1"/>
  <c r="K10" i="1"/>
  <c r="K13" i="1"/>
  <c r="K16" i="1"/>
  <c r="K22" i="1"/>
  <c r="K25" i="1"/>
  <c r="K28" i="1"/>
  <c r="M40" i="2"/>
  <c r="O40" i="2"/>
  <c r="K3" i="1"/>
  <c r="K9" i="1"/>
  <c r="K15" i="1"/>
  <c r="K21" i="1"/>
  <c r="K27" i="1"/>
  <c r="I4" i="1"/>
  <c r="I10" i="1"/>
  <c r="I13" i="1"/>
  <c r="I16" i="1"/>
  <c r="I19" i="1"/>
  <c r="I22" i="1"/>
  <c r="I28" i="1"/>
  <c r="I31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<sst xmlns="http://schemas.openxmlformats.org/spreadsheetml/2006/main" count="70" uniqueCount="37">
  <si>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</si>
  <si>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</si>
  <si>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</si>
  <si>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</si>
  <si>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</si>
  <si>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</si>
  <si>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</si>
  <si>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</si>
  <si>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</si>
  <si>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</si>
  <si>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</si>
  <si>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</si>
  <si>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</si>
  <si>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</si>
  <si>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</si>
  <si>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</si>
  <si>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</si>
  <si>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</si>
  <si>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</si>
  <si>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</si>
  <si>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</si>
  <si>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</si>
  <si>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</si>
  <si>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May 2022</t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</si>
  <si>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</si>
  <si>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</si>
  <si>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</si>
  <si>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</si>
  <si>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</si>
  <si>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</si>
  <si>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</si>
  <si>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</si>
  <si>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</si>
  <si>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</si>
  <si>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</si>
  <si>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</si>
  <si>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(HDD)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</si>
</sst>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3"/>
      <color rgb="FF000000"/>
      <name val="Calibri Light"/>
      <family val="2"/>
    </font>
    <font>
      <sz val="10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3" name="Picture 2">
          <a:extLst>
            <a:ext uri="{FF2B5EF4-FFF2-40B4-BE49-F238E27FC236}">
              <a16:creationId xmlns:a16="http://schemas.microsoft.com/office/drawing/2014/main" id="{1BB843A5-6EA7-4F99-A8D8-EA4F8438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opLeftCell="H1" workbookViewId="0">
      <selection activeCell="J3" sqref="J3:J32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5</v>
      </c>
      <c r="D2" s="2">
        <v>2022</v>
      </c>
      <c r="E2" s="4">
        <f>IF(May!C8&gt;0,May!C8,0)</f>
        <v>6000</v>
      </c>
      <c r="F2" s="9">
        <v>0.12</v>
      </c>
      <c r="G2" s="4">
        <f>IF(May!E8&gt;0,May!E8,0)</f>
        <v>13.610999999999999</v>
      </c>
      <c r="H2" s="10">
        <v>1.8</v>
      </c>
      <c r="I2" s="4">
        <f>IF((May!I8+May!O8)&gt;0,(May!I8+May!O8),0)</f>
        <v>8332</v>
      </c>
      <c r="J2" s="10">
        <v>0.04</v>
      </c>
      <c r="K2" s="4">
        <f>IF((May!G8+May!M8)&gt;0,(May!G8+May!M8),0)</f>
        <v>6.9</v>
      </c>
      <c r="L2" s="10">
        <v>39</v>
      </c>
      <c r="M2" s="4">
        <f>May!R8</f>
        <v>53</v>
      </c>
    </row>
    <row r="3" spans="1:25" x14ac:dyDescent="0.25">
      <c r="A3" s="3" t="s">
        <v>7</v>
      </c>
      <c r="B3" s="2">
        <f>B2+1</f>
        <v>2</v>
      </c>
      <c r="C3" s="14">
        <v>5</v>
      </c>
      <c r="D3" s="14">
        <v>2022</v>
      </c>
      <c r="E3" s="4">
        <f>IF(May!C9&gt;0,May!C9,0)</f>
        <v>6900</v>
      </c>
      <c r="F3" s="9">
        <v>0.12</v>
      </c>
      <c r="G3" s="4">
        <f>IF(May!E9&gt;0,May!E9,0)</f>
        <v>21.986999999999998</v>
      </c>
      <c r="H3" s="10">
        <v>1.8</v>
      </c>
      <c r="I3" s="4">
        <f>IF((May!I9+May!O9)&gt;0,(May!I9+May!O9),0)</f>
        <v>9153</v>
      </c>
      <c r="J3" s="10">
        <v>0.04</v>
      </c>
      <c r="K3" s="4">
        <f>IF((May!G9+May!M9)&gt;0,(May!G9+May!M9),0)</f>
        <v>7.4</v>
      </c>
      <c r="L3" s="10"/>
      <c r="M3" s="4">
        <f>May!R9</f>
        <v>52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5</v>
      </c>
      <c r="D4" s="14">
        <v>2022</v>
      </c>
      <c r="E4" s="4">
        <f>IF(May!C10&gt;0,May!C10,0)</f>
        <v>5100</v>
      </c>
      <c r="F4" s="9">
        <v>0.12</v>
      </c>
      <c r="G4" s="4">
        <f>IF(May!E10&gt;0,May!E10,0)</f>
        <v>12.564</v>
      </c>
      <c r="H4" s="10">
        <v>1.8</v>
      </c>
      <c r="I4" s="4">
        <f>IF((May!I10+May!O10)&gt;0,(May!I10+May!O10),0)</f>
        <v>7816</v>
      </c>
      <c r="J4" s="10">
        <v>0.04</v>
      </c>
      <c r="K4" s="4">
        <f>IF((May!G10+May!M10)&gt;0,(May!G10+May!M10),0)</f>
        <v>6.4</v>
      </c>
      <c r="L4" s="10"/>
      <c r="M4" s="4">
        <f>May!R10</f>
        <v>81</v>
      </c>
    </row>
    <row r="5" spans="1:25" x14ac:dyDescent="0.25">
      <c r="A5" s="3" t="s">
        <v>7</v>
      </c>
      <c r="B5" s="2">
        <f t="shared" si="0"/>
        <v>4</v>
      </c>
      <c r="C5" s="14">
        <v>5</v>
      </c>
      <c r="D5" s="14">
        <v>2022</v>
      </c>
      <c r="E5" s="4">
        <f>IF(May!C11&gt;0,May!C11,0)</f>
        <v>3900</v>
      </c>
      <c r="F5" s="9">
        <v>0.12</v>
      </c>
      <c r="G5" s="4">
        <f>IF(May!E11&gt;0,May!E11,0)</f>
        <v>8.3759999999999994</v>
      </c>
      <c r="H5" s="10">
        <v>1.8</v>
      </c>
      <c r="I5" s="4">
        <f>IF((May!I11+May!O11)&gt;0,(May!I11+May!O11),0)</f>
        <v>4699</v>
      </c>
      <c r="J5" s="10">
        <v>0.04</v>
      </c>
      <c r="K5" s="4">
        <f>IF((May!G11+May!M11)&gt;0,(May!G11+May!M11),0)</f>
        <v>4.5</v>
      </c>
      <c r="L5" s="10"/>
      <c r="M5" s="4">
        <f>May!R11</f>
        <v>84</v>
      </c>
    </row>
    <row r="6" spans="1:25" x14ac:dyDescent="0.25">
      <c r="A6" s="3" t="s">
        <v>7</v>
      </c>
      <c r="B6" s="2">
        <f t="shared" si="0"/>
        <v>5</v>
      </c>
      <c r="C6" s="14">
        <v>5</v>
      </c>
      <c r="D6" s="14">
        <v>2022</v>
      </c>
      <c r="E6" s="4">
        <f>IF(May!C12&gt;0,May!C12,0)</f>
        <v>6000</v>
      </c>
      <c r="F6" s="9">
        <v>0.12</v>
      </c>
      <c r="G6" s="4">
        <f>IF(May!E12&gt;0,May!E12,0)</f>
        <v>15.704999999999998</v>
      </c>
      <c r="H6" s="10">
        <v>1.8</v>
      </c>
      <c r="I6" s="4">
        <f>IF((May!I12+May!O12)&gt;0,(May!I12+May!O12),0)</f>
        <v>7040</v>
      </c>
      <c r="J6" s="10">
        <v>0.04</v>
      </c>
      <c r="K6" s="4">
        <f>IF((May!G12+May!M12)&gt;0,(May!G12+May!M12),0)</f>
        <v>6.3</v>
      </c>
      <c r="L6" s="10"/>
      <c r="M6" s="4">
        <f>May!R12</f>
        <v>108</v>
      </c>
    </row>
    <row r="7" spans="1:25" x14ac:dyDescent="0.25">
      <c r="A7" s="3" t="s">
        <v>7</v>
      </c>
      <c r="B7" s="2">
        <f t="shared" si="0"/>
        <v>6</v>
      </c>
      <c r="C7" s="14">
        <v>5</v>
      </c>
      <c r="D7" s="14">
        <v>2022</v>
      </c>
      <c r="E7" s="4">
        <f>IF(May!C13&gt;0,May!C13,0)</f>
        <v>5400</v>
      </c>
      <c r="F7" s="9">
        <v>0.12</v>
      </c>
      <c r="G7" s="4">
        <f>IF(May!E13&gt;0,May!E13,0)</f>
        <v>10.469999999999999</v>
      </c>
      <c r="H7" s="10">
        <v>1.8</v>
      </c>
      <c r="I7" s="4">
        <f>IF((May!I13+May!O13)&gt;0,(May!I13+May!O13),0)</f>
        <v>8100</v>
      </c>
      <c r="J7" s="10">
        <v>0.04</v>
      </c>
      <c r="K7" s="4">
        <f>IF((May!G13+May!M13)&gt;0,(May!G13+May!M13),0)</f>
        <v>6.6000000000000005</v>
      </c>
      <c r="L7" s="10"/>
      <c r="M7" s="4">
        <f>May!R13</f>
        <v>99</v>
      </c>
    </row>
    <row r="8" spans="1:25" x14ac:dyDescent="0.25">
      <c r="A8" s="3" t="s">
        <v>7</v>
      </c>
      <c r="B8" s="2">
        <f t="shared" si="0"/>
        <v>7</v>
      </c>
      <c r="C8" s="14">
        <v>5</v>
      </c>
      <c r="D8" s="14">
        <v>2022</v>
      </c>
      <c r="E8" s="4">
        <f>IF(May!C14&gt;0,May!C14,0)</f>
        <v>6000</v>
      </c>
      <c r="F8" s="9">
        <v>0.12</v>
      </c>
      <c r="G8" s="4">
        <f>IF(May!E14&gt;0,May!E14,0)</f>
        <v>16.751999999999999</v>
      </c>
      <c r="H8" s="10">
        <v>1.8</v>
      </c>
      <c r="I8" s="4">
        <f>IF((May!I14+May!O14)&gt;0,(May!I14+May!O14),0)</f>
        <v>9195</v>
      </c>
      <c r="J8" s="10">
        <v>0.04</v>
      </c>
      <c r="K8" s="4">
        <f>IF((May!G14+May!M14)&gt;0,(May!G14+May!M14),0)</f>
        <v>6.5000000000000009</v>
      </c>
      <c r="L8" s="10"/>
      <c r="M8" s="4">
        <f>May!R14</f>
        <v>52</v>
      </c>
    </row>
    <row r="9" spans="1:25" x14ac:dyDescent="0.25">
      <c r="A9" s="3" t="s">
        <v>7</v>
      </c>
      <c r="B9" s="2">
        <f t="shared" si="0"/>
        <v>8</v>
      </c>
      <c r="C9" s="14">
        <v>5</v>
      </c>
      <c r="D9" s="14">
        <v>2022</v>
      </c>
      <c r="E9" s="4">
        <f>IF(May!C15&gt;0,May!C15,0)</f>
        <v>6000</v>
      </c>
      <c r="F9" s="9">
        <v>0.12</v>
      </c>
      <c r="G9" s="4">
        <f>IF(May!E15&gt;0,May!E15,0)</f>
        <v>15.704999999999998</v>
      </c>
      <c r="H9" s="10">
        <v>1.8</v>
      </c>
      <c r="I9" s="4">
        <f>IF((May!I15+May!O15)&gt;0,(May!I15+May!O15),0)</f>
        <v>7425</v>
      </c>
      <c r="J9" s="10">
        <v>0.04</v>
      </c>
      <c r="K9" s="4">
        <f>IF((May!G15+May!M15)&gt;0,(May!G15+May!M15),0)</f>
        <v>5.1000000000000005</v>
      </c>
      <c r="L9" s="10"/>
      <c r="M9" s="4">
        <f>May!R15</f>
        <v>55</v>
      </c>
    </row>
    <row r="10" spans="1:25" x14ac:dyDescent="0.25">
      <c r="A10" s="3" t="s">
        <v>7</v>
      </c>
      <c r="B10" s="2">
        <f t="shared" si="0"/>
        <v>9</v>
      </c>
      <c r="C10" s="14">
        <v>5</v>
      </c>
      <c r="D10" s="14">
        <v>2022</v>
      </c>
      <c r="E10" s="4">
        <f>IF(May!C16&gt;0,May!C16,0)</f>
        <v>6600</v>
      </c>
      <c r="F10" s="9">
        <v>0.12</v>
      </c>
      <c r="G10" s="4">
        <f>IF(May!E16&gt;0,May!E16,0)</f>
        <v>15.704999999999998</v>
      </c>
      <c r="H10" s="10">
        <v>1.8</v>
      </c>
      <c r="I10" s="4">
        <f>IF((May!I16+May!O16)&gt;0,(May!I16+May!O16),0)</f>
        <v>10455</v>
      </c>
      <c r="J10" s="10">
        <v>0.04</v>
      </c>
      <c r="K10" s="4">
        <f>IF((May!G16+May!M16)&gt;0,(May!G16+May!M16),0)</f>
        <v>9.4</v>
      </c>
      <c r="L10" s="10"/>
      <c r="M10" s="4">
        <f>May!R16</f>
        <v>66</v>
      </c>
    </row>
    <row r="11" spans="1:25" x14ac:dyDescent="0.25">
      <c r="A11" s="3" t="s">
        <v>7</v>
      </c>
      <c r="B11" s="2">
        <f t="shared" si="0"/>
        <v>10</v>
      </c>
      <c r="C11" s="14">
        <v>5</v>
      </c>
      <c r="D11" s="14">
        <v>2022</v>
      </c>
      <c r="E11" s="4">
        <f>IF(May!C17&gt;0,May!C17,0)</f>
        <v>5100</v>
      </c>
      <c r="F11" s="9">
        <v>0.12</v>
      </c>
      <c r="G11" s="4">
        <f>IF(May!E17&gt;0,May!E17,0)</f>
        <v>9.423</v>
      </c>
      <c r="H11" s="10">
        <v>1.8</v>
      </c>
      <c r="I11" s="4">
        <f>IF((May!I17+May!O17)&gt;0,(May!I17+May!O17),0)</f>
        <v>7051</v>
      </c>
      <c r="J11" s="10">
        <v>0.04</v>
      </c>
      <c r="K11" s="4">
        <f>IF((May!G17+May!M17)&gt;0,(May!G17+May!M17),0)</f>
        <v>6.9</v>
      </c>
      <c r="L11" s="10"/>
      <c r="M11" s="4">
        <f>May!R17</f>
        <v>96</v>
      </c>
    </row>
    <row r="12" spans="1:25" x14ac:dyDescent="0.25">
      <c r="A12" s="3" t="s">
        <v>7</v>
      </c>
      <c r="B12" s="2">
        <f t="shared" si="0"/>
        <v>11</v>
      </c>
      <c r="C12" s="14">
        <v>5</v>
      </c>
      <c r="D12" s="14">
        <v>2022</v>
      </c>
      <c r="E12" s="4">
        <f>IF(May!C18&gt;0,May!C18,0)</f>
        <v>4200</v>
      </c>
      <c r="F12" s="9">
        <v>0.12</v>
      </c>
      <c r="G12" s="4">
        <f>IF(May!E18&gt;0,May!E18,0)</f>
        <v>9.423</v>
      </c>
      <c r="H12" s="10">
        <v>1.8</v>
      </c>
      <c r="I12" s="4">
        <f>IF((May!I18+May!O18)&gt;0,(May!I18+May!O18),0)</f>
        <v>4749</v>
      </c>
      <c r="J12" s="10">
        <v>0.04</v>
      </c>
      <c r="K12" s="4">
        <f>IF((May!G18+May!M18)&gt;0,(May!G18+May!M18),0)</f>
        <v>5.8000000000000007</v>
      </c>
      <c r="L12" s="10"/>
      <c r="M12" s="4">
        <f>May!R18</f>
        <v>90</v>
      </c>
    </row>
    <row r="13" spans="1:25" x14ac:dyDescent="0.25">
      <c r="A13" s="3" t="s">
        <v>7</v>
      </c>
      <c r="B13" s="2">
        <f t="shared" si="0"/>
        <v>12</v>
      </c>
      <c r="C13" s="14">
        <v>5</v>
      </c>
      <c r="D13" s="14">
        <v>2022</v>
      </c>
      <c r="E13" s="4">
        <f>IF(May!C19&gt;0,May!C19,0)</f>
        <v>5700</v>
      </c>
      <c r="F13" s="9">
        <v>0.12</v>
      </c>
      <c r="G13" s="4">
        <f>IF(May!E19&gt;0,May!E19,0)</f>
        <v>9.423</v>
      </c>
      <c r="H13" s="10">
        <v>1.8</v>
      </c>
      <c r="I13" s="4">
        <f>IF((May!I19+May!O19)&gt;0,(May!I19+May!O19),0)</f>
        <v>8690</v>
      </c>
      <c r="J13" s="10">
        <v>0.04</v>
      </c>
      <c r="K13" s="4">
        <f>IF((May!G19+May!M19)&gt;0,(May!G19+May!M19),0)</f>
        <v>8.1000000000000014</v>
      </c>
      <c r="L13" s="10"/>
      <c r="M13" s="4">
        <f>May!R19</f>
        <v>77</v>
      </c>
    </row>
    <row r="14" spans="1:25" x14ac:dyDescent="0.25">
      <c r="A14" s="3" t="s">
        <v>7</v>
      </c>
      <c r="B14" s="2">
        <f t="shared" si="0"/>
        <v>13</v>
      </c>
      <c r="C14" s="14">
        <v>5</v>
      </c>
      <c r="D14" s="14">
        <v>2022</v>
      </c>
      <c r="E14" s="4">
        <f>IF(May!C20&gt;0,May!C20,0)</f>
        <v>6600</v>
      </c>
      <c r="F14" s="9">
        <v>0.12</v>
      </c>
      <c r="G14" s="4">
        <f>IF(May!E20&gt;0,May!E20,0)</f>
        <v>16.751999999999999</v>
      </c>
      <c r="H14" s="10">
        <v>1.8</v>
      </c>
      <c r="I14" s="4">
        <f>IF((May!I20+May!O20)&gt;0,(May!I20+May!O20),0)</f>
        <v>5100</v>
      </c>
      <c r="J14" s="10">
        <v>0.04</v>
      </c>
      <c r="K14" s="4">
        <f>IF((May!G20+May!M20)&gt;0,(May!G20+May!M20),0)</f>
        <v>6.4</v>
      </c>
      <c r="L14" s="10"/>
      <c r="M14" s="4">
        <f>May!R20</f>
        <v>68</v>
      </c>
    </row>
    <row r="15" spans="1:25" x14ac:dyDescent="0.25">
      <c r="A15" s="3" t="s">
        <v>7</v>
      </c>
      <c r="B15" s="2">
        <f t="shared" si="0"/>
        <v>14</v>
      </c>
      <c r="C15" s="14">
        <v>5</v>
      </c>
      <c r="D15" s="14">
        <v>2022</v>
      </c>
      <c r="E15" s="4">
        <f>IF(May!C21&gt;0,May!C21,0)</f>
        <v>5100</v>
      </c>
      <c r="F15" s="9">
        <v>0.12</v>
      </c>
      <c r="G15" s="4">
        <f>IF(May!E21&gt;0,May!E21,0)</f>
        <v>67.007999999999996</v>
      </c>
      <c r="H15" s="10">
        <v>1.8</v>
      </c>
      <c r="I15" s="4">
        <f>IF((May!I21+May!O21)&gt;0,(May!I21+May!O21),0)</f>
        <v>11610</v>
      </c>
      <c r="J15" s="10">
        <v>0.04</v>
      </c>
      <c r="K15" s="4">
        <f>IF((May!G21+May!M21)&gt;0,(May!G21+May!M21),0)</f>
        <v>5.6000000000000005</v>
      </c>
      <c r="L15" s="10"/>
      <c r="M15" s="4">
        <f>May!R21</f>
        <v>95</v>
      </c>
    </row>
    <row r="16" spans="1:25" x14ac:dyDescent="0.25">
      <c r="A16" s="3" t="s">
        <v>7</v>
      </c>
      <c r="B16" s="2">
        <f t="shared" si="0"/>
        <v>15</v>
      </c>
      <c r="C16" s="14">
        <v>5</v>
      </c>
      <c r="D16" s="14">
        <v>2022</v>
      </c>
      <c r="E16" s="4">
        <f>IF(May!C22&gt;0,May!C22,0)</f>
        <v>7500</v>
      </c>
      <c r="F16" s="9">
        <v>0.12</v>
      </c>
      <c r="G16" s="4">
        <f>IF(May!E22&gt;0,May!E22,0)</f>
        <v>57.584999999999994</v>
      </c>
      <c r="H16" s="10">
        <v>1.8</v>
      </c>
      <c r="I16" s="4">
        <f>IF((May!I22+May!O22)&gt;0,(May!I22+May!O22),0)</f>
        <v>10182</v>
      </c>
      <c r="J16" s="10">
        <v>0.04</v>
      </c>
      <c r="K16" s="4">
        <f>IF((May!G22+May!M22)&gt;0,(May!G22+May!M22),0)</f>
        <v>7.1</v>
      </c>
      <c r="L16" s="10"/>
      <c r="M16" s="4">
        <f>May!R22</f>
        <v>77</v>
      </c>
    </row>
    <row r="17" spans="1:13" x14ac:dyDescent="0.25">
      <c r="A17" s="3" t="s">
        <v>7</v>
      </c>
      <c r="B17" s="2">
        <f t="shared" si="0"/>
        <v>16</v>
      </c>
      <c r="C17" s="14">
        <v>5</v>
      </c>
      <c r="D17" s="14">
        <v>2022</v>
      </c>
      <c r="E17" s="4">
        <f>IF(May!C23&gt;0,May!C23,0)</f>
        <v>6300</v>
      </c>
      <c r="F17" s="9">
        <v>0.12</v>
      </c>
      <c r="G17" s="4">
        <f>IF(May!E23&gt;0,May!E23,0)</f>
        <v>51.302999999999997</v>
      </c>
      <c r="H17" s="10">
        <v>1.8</v>
      </c>
      <c r="I17" s="4">
        <f>IF((May!I23+May!O23)&gt;0,(May!I23+May!O23),0)</f>
        <v>8883</v>
      </c>
      <c r="J17" s="10">
        <v>0.04</v>
      </c>
      <c r="K17" s="4">
        <f>IF((May!G23+May!M23)&gt;0,(May!G23+May!M23),0)</f>
        <v>6.5</v>
      </c>
      <c r="L17" s="10"/>
      <c r="M17" s="4">
        <f>May!R23</f>
        <v>64</v>
      </c>
    </row>
    <row r="18" spans="1:13" x14ac:dyDescent="0.25">
      <c r="A18" s="3" t="s">
        <v>7</v>
      </c>
      <c r="B18" s="2">
        <f t="shared" si="0"/>
        <v>17</v>
      </c>
      <c r="C18" s="14">
        <v>5</v>
      </c>
      <c r="D18" s="14">
        <v>2022</v>
      </c>
      <c r="E18" s="4">
        <f>IF(May!C24&gt;0,May!C24,0)</f>
        <v>5700</v>
      </c>
      <c r="F18" s="9">
        <v>0.12</v>
      </c>
      <c r="G18" s="4">
        <f>IF(May!E24&gt;0,May!E24,0)</f>
        <v>47.114999999999995</v>
      </c>
      <c r="H18" s="10">
        <v>1.8</v>
      </c>
      <c r="I18" s="4">
        <f>IF((May!I24+May!O24)&gt;0,(May!I24+May!O24),0)</f>
        <v>8332</v>
      </c>
      <c r="J18" s="10">
        <v>0.04</v>
      </c>
      <c r="K18" s="4">
        <f>IF((May!G24+May!M24)&gt;0,(May!G24+May!M24),0)</f>
        <v>6</v>
      </c>
      <c r="L18" s="10"/>
      <c r="M18" s="4">
        <f>May!R24</f>
        <v>95</v>
      </c>
    </row>
    <row r="19" spans="1:13" x14ac:dyDescent="0.25">
      <c r="A19" s="3" t="s">
        <v>7</v>
      </c>
      <c r="B19" s="2">
        <f t="shared" si="0"/>
        <v>18</v>
      </c>
      <c r="C19" s="14">
        <v>5</v>
      </c>
      <c r="D19" s="14">
        <v>2022</v>
      </c>
      <c r="E19" s="4">
        <f>IF(May!C25&gt;0,May!C25,0)</f>
        <v>3900</v>
      </c>
      <c r="F19" s="9">
        <v>0.12</v>
      </c>
      <c r="G19" s="4">
        <f>IF(May!E25&gt;0,May!E25,0)</f>
        <v>27.221999999999998</v>
      </c>
      <c r="H19" s="10">
        <v>1.8</v>
      </c>
      <c r="I19" s="4">
        <f>IF((May!I25+May!O25)&gt;0,(May!I25+May!O25),0)</f>
        <v>5778</v>
      </c>
      <c r="J19" s="10">
        <v>0.04</v>
      </c>
      <c r="K19" s="4">
        <f>IF((May!G25+May!M25)&gt;0,(May!G25+May!M25),0)</f>
        <v>4.4000000000000004</v>
      </c>
      <c r="L19" s="10"/>
      <c r="M19" s="4">
        <f>May!R25</f>
        <v>101</v>
      </c>
    </row>
    <row r="20" spans="1:13" x14ac:dyDescent="0.25">
      <c r="A20" s="3" t="s">
        <v>7</v>
      </c>
      <c r="B20" s="2">
        <f t="shared" si="0"/>
        <v>19</v>
      </c>
      <c r="C20" s="14">
        <v>5</v>
      </c>
      <c r="D20" s="14">
        <v>2022</v>
      </c>
      <c r="E20" s="4">
        <f>IF(May!C26&gt;0,May!C26,0)</f>
        <v>6300</v>
      </c>
      <c r="F20" s="9">
        <v>0.12</v>
      </c>
      <c r="G20" s="4">
        <f>IF(May!E26&gt;0,May!E26,0)</f>
        <v>43.973999999999997</v>
      </c>
      <c r="H20" s="10">
        <v>1.8</v>
      </c>
      <c r="I20" s="4">
        <f>IF((May!I26+May!O26)&gt;0,(May!I26+May!O26),0)</f>
        <v>10060</v>
      </c>
      <c r="J20" s="10">
        <v>0.04</v>
      </c>
      <c r="K20" s="4">
        <f>IF((May!G26+May!M26)&gt;0,(May!G26+May!M26),0)</f>
        <v>5.5</v>
      </c>
      <c r="L20" s="10"/>
      <c r="M20" s="4">
        <f>May!R26</f>
        <v>105</v>
      </c>
    </row>
    <row r="21" spans="1:13" x14ac:dyDescent="0.25">
      <c r="A21" s="3" t="s">
        <v>7</v>
      </c>
      <c r="B21" s="2">
        <f t="shared" si="0"/>
        <v>20</v>
      </c>
      <c r="C21" s="14">
        <v>5</v>
      </c>
      <c r="D21" s="14">
        <v>2022</v>
      </c>
      <c r="E21" s="4">
        <f>IF(May!C27&gt;0,May!C27,0)</f>
        <v>7800</v>
      </c>
      <c r="F21" s="9">
        <v>0.12</v>
      </c>
      <c r="G21" s="4">
        <f>IF(May!E27&gt;0,May!E27,0)</f>
        <v>64.914000000000001</v>
      </c>
      <c r="H21" s="10">
        <v>1.8</v>
      </c>
      <c r="I21" s="4">
        <f>IF((May!I27+May!O27)&gt;0,(May!I27+May!O27),0)</f>
        <v>10815</v>
      </c>
      <c r="J21" s="10">
        <v>0.04</v>
      </c>
      <c r="K21" s="4">
        <f>IF((May!G27+May!M27)&gt;0,(May!G27+May!M27),0)</f>
        <v>6.2</v>
      </c>
      <c r="L21" s="10"/>
      <c r="M21" s="4">
        <f>May!R27</f>
        <v>75</v>
      </c>
    </row>
    <row r="22" spans="1:13" x14ac:dyDescent="0.25">
      <c r="A22" s="3" t="s">
        <v>7</v>
      </c>
      <c r="B22" s="2">
        <f t="shared" si="0"/>
        <v>21</v>
      </c>
      <c r="C22" s="14">
        <v>5</v>
      </c>
      <c r="D22" s="14">
        <v>2022</v>
      </c>
      <c r="E22" s="4">
        <f>IF(May!C28&gt;0,May!C28,0)</f>
        <v>4800</v>
      </c>
      <c r="F22" s="9">
        <v>0.12</v>
      </c>
      <c r="G22" s="4">
        <f>IF(May!E28&gt;0,May!E28,0)</f>
        <v>30.363</v>
      </c>
      <c r="H22" s="10">
        <v>1.8</v>
      </c>
      <c r="I22" s="4">
        <f>IF((May!I28+May!O28)&gt;0,(May!I28+May!O28),0)</f>
        <v>9920</v>
      </c>
      <c r="J22" s="10">
        <v>0.04</v>
      </c>
      <c r="K22" s="4">
        <f>IF((May!G28+May!M28)&gt;0,(May!G28+May!M28),0)</f>
        <v>4.7</v>
      </c>
      <c r="L22" s="10"/>
      <c r="M22" s="4">
        <f>May!R28</f>
        <v>90</v>
      </c>
    </row>
    <row r="23" spans="1:13" x14ac:dyDescent="0.25">
      <c r="A23" s="3" t="s">
        <v>7</v>
      </c>
      <c r="B23" s="2">
        <f t="shared" si="0"/>
        <v>22</v>
      </c>
      <c r="C23" s="14">
        <v>5</v>
      </c>
      <c r="D23" s="14">
        <v>2022</v>
      </c>
      <c r="E23" s="4">
        <f>IF(May!C29&gt;0,May!C29,0)</f>
        <v>6900</v>
      </c>
      <c r="F23" s="9">
        <v>0.12</v>
      </c>
      <c r="G23" s="4">
        <f>IF(May!E29&gt;0,May!E29,0)</f>
        <v>38.738999999999997</v>
      </c>
      <c r="H23" s="10">
        <v>1.8</v>
      </c>
      <c r="I23" s="4">
        <f>IF((May!I29+May!O29)&gt;0,(May!I29+May!O29),0)</f>
        <v>12023</v>
      </c>
      <c r="J23" s="10">
        <v>0.04</v>
      </c>
      <c r="K23" s="4">
        <f>IF((May!G29+May!M29)&gt;0,(May!G29+May!M29),0)</f>
        <v>6.9</v>
      </c>
      <c r="L23" s="10"/>
      <c r="M23" s="4">
        <f>May!R29</f>
        <v>90</v>
      </c>
    </row>
    <row r="24" spans="1:13" x14ac:dyDescent="0.25">
      <c r="A24" s="3" t="s">
        <v>7</v>
      </c>
      <c r="B24" s="2">
        <f t="shared" si="0"/>
        <v>23</v>
      </c>
      <c r="C24" s="14">
        <v>5</v>
      </c>
      <c r="D24" s="14">
        <v>2022</v>
      </c>
      <c r="E24" s="4">
        <f>IF(May!C30&gt;0,May!C30,0)</f>
        <v>7200</v>
      </c>
      <c r="F24" s="9">
        <v>0.12</v>
      </c>
      <c r="G24" s="4">
        <f>IF(May!E30&gt;0,May!E30,0)</f>
        <v>43.973999999999997</v>
      </c>
      <c r="H24" s="10">
        <v>1.8</v>
      </c>
      <c r="I24" s="4">
        <f>IF((May!I30+May!O30)&gt;0,(May!I30+May!O30),0)</f>
        <v>12195</v>
      </c>
      <c r="J24" s="10">
        <v>0.04</v>
      </c>
      <c r="K24" s="4">
        <f>IF((May!G30+May!M30)&gt;0,(May!G30+May!M30),0)</f>
        <v>5.6</v>
      </c>
      <c r="L24" s="10"/>
      <c r="M24" s="4">
        <f>May!R30</f>
        <v>75</v>
      </c>
    </row>
    <row r="25" spans="1:13" x14ac:dyDescent="0.25">
      <c r="A25" s="3" t="s">
        <v>7</v>
      </c>
      <c r="B25" s="2">
        <f t="shared" si="0"/>
        <v>24</v>
      </c>
      <c r="C25" s="14">
        <v>5</v>
      </c>
      <c r="D25" s="14">
        <v>2022</v>
      </c>
      <c r="E25" s="4">
        <f>IF(May!C31&gt;0,May!C31,0)</f>
        <v>6000</v>
      </c>
      <c r="F25" s="9">
        <v>0.12</v>
      </c>
      <c r="G25" s="4">
        <f>IF(May!E31&gt;0,May!E31,0)</f>
        <v>36.644999999999996</v>
      </c>
      <c r="H25" s="10">
        <v>1.8</v>
      </c>
      <c r="I25" s="4">
        <f>IF((May!I31+May!O31)&gt;0,(May!I31+May!O31),0)</f>
        <v>10952</v>
      </c>
      <c r="J25" s="10">
        <v>0.04</v>
      </c>
      <c r="K25" s="4">
        <f>IF((May!G31+May!M31)&gt;0,(May!G31+May!M31),0)</f>
        <v>7.9</v>
      </c>
      <c r="L25" s="10"/>
      <c r="M25" s="4">
        <f>May!R31</f>
        <v>112</v>
      </c>
    </row>
    <row r="26" spans="1:13" x14ac:dyDescent="0.25">
      <c r="A26" s="3" t="s">
        <v>7</v>
      </c>
      <c r="B26" s="2">
        <f>B25+1</f>
        <v>25</v>
      </c>
      <c r="C26" s="14">
        <v>5</v>
      </c>
      <c r="D26" s="14">
        <v>2022</v>
      </c>
      <c r="E26" s="4">
        <f>IF(May!C32&gt;0,May!C32,0)</f>
        <v>5700</v>
      </c>
      <c r="F26" s="9">
        <v>0.12</v>
      </c>
      <c r="G26" s="4">
        <f>IF(May!E32&gt;0,May!E32,0)</f>
        <v>25.128</v>
      </c>
      <c r="H26" s="10">
        <v>1.8</v>
      </c>
      <c r="I26" s="4">
        <f>IF((May!I32+May!O32)&gt;0,(May!I32+May!O32),0)</f>
        <v>8230</v>
      </c>
      <c r="J26" s="10">
        <v>0.04</v>
      </c>
      <c r="K26" s="4">
        <f>IF((May!G32+May!M32)&gt;0,(May!G32+May!M32),0)</f>
        <v>4.5</v>
      </c>
      <c r="L26" s="10"/>
      <c r="M26" s="4">
        <f>May!R32</f>
        <v>114</v>
      </c>
    </row>
    <row r="27" spans="1:13" x14ac:dyDescent="0.25">
      <c r="A27" s="3" t="s">
        <v>7</v>
      </c>
      <c r="B27" s="2">
        <f t="shared" si="0"/>
        <v>26</v>
      </c>
      <c r="C27" s="14">
        <v>5</v>
      </c>
      <c r="D27" s="14">
        <v>2022</v>
      </c>
      <c r="E27" s="4">
        <f>IF(May!C33&gt;0,May!C33,0)</f>
        <v>7800</v>
      </c>
      <c r="F27" s="9">
        <v>0.12</v>
      </c>
      <c r="G27" s="4">
        <f>IF(May!E33&gt;0,May!E33,0)</f>
        <v>41.879999999999995</v>
      </c>
      <c r="H27" s="10">
        <v>1.8</v>
      </c>
      <c r="I27" s="4">
        <f>IF((May!I33+May!O33)&gt;0,(May!I33+May!O33),0)</f>
        <v>8216</v>
      </c>
      <c r="J27" s="10">
        <v>0.04</v>
      </c>
      <c r="K27" s="4">
        <f>IF((May!G33+May!M33)&gt;0,(May!G33+May!M33),0)</f>
        <v>8.9</v>
      </c>
      <c r="L27" s="10"/>
      <c r="M27" s="4">
        <f>May!R33</f>
        <v>112</v>
      </c>
    </row>
    <row r="28" spans="1:13" x14ac:dyDescent="0.25">
      <c r="A28" s="3" t="s">
        <v>7</v>
      </c>
      <c r="B28" s="2">
        <f t="shared" si="0"/>
        <v>27</v>
      </c>
      <c r="C28" s="14">
        <v>5</v>
      </c>
      <c r="D28" s="14">
        <v>2022</v>
      </c>
      <c r="E28" s="4">
        <f>IF(May!C34&gt;0,May!C34,0)</f>
        <v>6900</v>
      </c>
      <c r="F28" s="9">
        <v>0.12</v>
      </c>
      <c r="G28" s="4">
        <f>IF(May!E34&gt;0,May!E34,0)</f>
        <v>53.396999999999998</v>
      </c>
      <c r="H28" s="10">
        <v>1.8</v>
      </c>
      <c r="I28" s="4">
        <f>IF((May!I34+May!O34)&gt;0,(May!I34+May!O34),0)</f>
        <v>9684</v>
      </c>
      <c r="J28" s="10">
        <v>0.04</v>
      </c>
      <c r="K28" s="4">
        <f>IF((May!G34+May!M34)&gt;0,(May!G34+May!M34),0)</f>
        <v>5.3000000000000007</v>
      </c>
      <c r="L28" s="10"/>
      <c r="M28" s="4">
        <f>May!R34</f>
        <v>98</v>
      </c>
    </row>
    <row r="29" spans="1:13" x14ac:dyDescent="0.25">
      <c r="A29" s="3" t="s">
        <v>7</v>
      </c>
      <c r="B29" s="2">
        <f t="shared" si="0"/>
        <v>28</v>
      </c>
      <c r="C29" s="14">
        <v>5</v>
      </c>
      <c r="D29" s="14">
        <v>2022</v>
      </c>
      <c r="E29" s="4">
        <f>IF(May!C35&gt;0,May!C35,0)</f>
        <v>4200</v>
      </c>
      <c r="F29" s="9">
        <v>0.12</v>
      </c>
      <c r="G29" s="4">
        <f>IF(May!E35&gt;0,May!E35,0)</f>
        <v>40.832999999999998</v>
      </c>
      <c r="H29" s="10">
        <v>1.8</v>
      </c>
      <c r="I29" s="4">
        <f>IF((May!I35+May!O35)&gt;0,(May!I35+May!O35),0)</f>
        <v>12047</v>
      </c>
      <c r="J29" s="10">
        <v>0.04</v>
      </c>
      <c r="K29" s="4">
        <f>IF((May!G35+May!M35)&gt;0,(May!G35+May!M35),0)</f>
        <v>4.6000000000000005</v>
      </c>
      <c r="L29" s="10"/>
      <c r="M29" s="4">
        <f>May!R35</f>
        <v>61</v>
      </c>
    </row>
    <row r="30" spans="1:13" x14ac:dyDescent="0.25">
      <c r="A30" s="3" t="s">
        <v>7</v>
      </c>
      <c r="B30" s="2">
        <f t="shared" si="0"/>
        <v>29</v>
      </c>
      <c r="C30" s="14">
        <v>5</v>
      </c>
      <c r="D30" s="14">
        <v>2022</v>
      </c>
      <c r="E30" s="4">
        <f>IF(May!C36&gt;0,May!C36,0)</f>
        <v>6600</v>
      </c>
      <c r="F30" s="9">
        <v>0.12</v>
      </c>
      <c r="G30" s="4">
        <f>IF(May!E36&gt;0,May!E36,0)</f>
        <v>51.302999999999997</v>
      </c>
      <c r="H30" s="10">
        <v>1.8</v>
      </c>
      <c r="I30" s="4">
        <f>IF((May!I36+May!O36)&gt;0,(May!I36+May!O36),0)</f>
        <v>8402</v>
      </c>
      <c r="J30" s="10">
        <v>0.04</v>
      </c>
      <c r="K30" s="4">
        <f>IF((May!G36+May!M36)&gt;0,(May!G36+May!M36),0)</f>
        <v>7.4</v>
      </c>
      <c r="L30" s="10"/>
      <c r="M30" s="4">
        <f>May!R36</f>
        <v>69</v>
      </c>
    </row>
    <row r="31" spans="1:13" x14ac:dyDescent="0.25">
      <c r="A31" s="3" t="s">
        <v>7</v>
      </c>
      <c r="B31" s="2">
        <f t="shared" si="0"/>
        <v>30</v>
      </c>
      <c r="C31" s="14">
        <v>5</v>
      </c>
      <c r="D31" s="14">
        <v>2022</v>
      </c>
      <c r="E31" s="4">
        <f>IF(May!C37&gt;0,May!C37,0)</f>
        <v>7200</v>
      </c>
      <c r="F31" s="9">
        <v>0.12</v>
      </c>
      <c r="G31" s="4">
        <f>IF(May!E37&gt;0,May!E37,0)</f>
        <v>63.866999999999997</v>
      </c>
      <c r="H31" s="10">
        <v>1.8</v>
      </c>
      <c r="I31" s="4">
        <f>IF((May!I37+May!O37)&gt;0,(May!I37+May!O37),0)</f>
        <v>11074</v>
      </c>
      <c r="J31" s="10">
        <v>0.04</v>
      </c>
      <c r="K31" s="4">
        <f>IF((May!G37+May!M37)&gt;0,(May!G37+May!M37),0)</f>
        <v>7.7</v>
      </c>
      <c r="L31" s="10"/>
      <c r="M31" s="4">
        <f>May!R37</f>
        <v>57</v>
      </c>
    </row>
    <row r="32" spans="1:13" x14ac:dyDescent="0.25">
      <c r="A32" s="3" t="s">
        <v>7</v>
      </c>
      <c r="B32" s="2">
        <f t="shared" si="0"/>
        <v>31</v>
      </c>
      <c r="C32" s="14">
        <v>5</v>
      </c>
      <c r="D32" s="14">
        <v>2022</v>
      </c>
      <c r="E32" s="4">
        <f>IF(May!C38&gt;0,May!C38,0)</f>
        <v>4800</v>
      </c>
      <c r="F32" s="9">
        <v>0.12</v>
      </c>
      <c r="G32" s="4">
        <f>IF(May!E38&gt;0,May!E38,0)</f>
        <v>38.738999999999997</v>
      </c>
      <c r="H32" s="10">
        <v>1.8</v>
      </c>
      <c r="I32" s="4">
        <f>IF((May!I38+May!O38)&gt;0,(May!I38+May!O38),0)</f>
        <v>4826</v>
      </c>
      <c r="J32" s="10">
        <v>0.04</v>
      </c>
      <c r="K32" s="4">
        <f>IF((May!G38+May!M38)&gt;0,(May!G38+May!M38),0)</f>
        <v>5.5</v>
      </c>
      <c r="L32" s="10"/>
      <c r="M32" s="4">
        <f>May!R38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tabSelected="1" showWhiteSpace="0" topLeftCell="N16" zoomScaleNormal="100" workbookViewId="0">
      <selection activeCell="Y34" sqref="Y34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3" width="9.7109375" style="16" customWidth="1"/>
    <col min="14" max="15" width="13.7109375" style="16" customWidth="1"/>
    <col min="16" max="16" width="15.57031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16384" width="9.140625" style="16"/>
  </cols>
  <sheetData>
    <row r="1" spans="1:23" ht="18" customHeight="1" x14ac:dyDescent="0.25">
      <c r="A1" s="51"/>
      <c r="B1" s="51"/>
      <c r="C1" s="15"/>
    </row>
    <row r="2" spans="1:23" ht="21" x14ac:dyDescent="0.35">
      <c r="A2" s="52" t="s">
        <v>23</v>
      </c>
      <c r="B2" s="52"/>
      <c r="C2" s="52"/>
      <c r="D2" s="52"/>
      <c r="E2" s="52"/>
      <c r="F2" s="52"/>
      <c r="G2" s="52"/>
      <c r="H2" s="52"/>
      <c r="I2" s="52"/>
      <c r="J2" s="52"/>
      <c r="K2" s="17"/>
    </row>
    <row r="3" spans="1:23" ht="16.5" customHeigh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17"/>
    </row>
    <row r="4" spans="1:23" s="19" customFormat="1" ht="24.7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18"/>
    </row>
    <row r="5" spans="1:23" s="19" customFormat="1" ht="16.5" customHeight="1" thickBot="1" x14ac:dyDescent="0.3">
      <c r="A5" s="18"/>
      <c r="B5" s="44"/>
      <c r="C5" s="18"/>
      <c r="D5" s="44"/>
      <c r="E5" s="18"/>
      <c r="F5" s="44"/>
      <c r="G5" s="18"/>
      <c r="H5" s="44"/>
      <c r="I5" s="18"/>
      <c r="J5" s="44"/>
      <c r="K5" s="18"/>
      <c r="L5" s="44"/>
      <c r="M5" s="18"/>
    </row>
    <row r="6" spans="1:23" s="19" customFormat="1" ht="49.5" customHeight="1" thickBot="1" x14ac:dyDescent="0.3">
      <c r="A6" s="39" t="s">
        <v>8</v>
      </c>
      <c r="B6" s="40">
        <v>20658</v>
      </c>
      <c r="C6" s="40"/>
      <c r="D6" s="46">
        <v>50583</v>
      </c>
      <c r="E6" s="40"/>
      <c r="F6" s="40">
        <v>30809</v>
      </c>
      <c r="G6" s="40"/>
      <c r="H6" s="46">
        <v>10932599</v>
      </c>
      <c r="I6" s="40"/>
      <c r="J6" s="46">
        <v>361992</v>
      </c>
      <c r="K6" s="40"/>
      <c r="L6" s="46">
        <v>26955</v>
      </c>
      <c r="M6" s="40"/>
      <c r="N6" s="46">
        <v>29975096</v>
      </c>
      <c r="O6" s="41"/>
      <c r="P6" s="46">
        <v>6286934</v>
      </c>
      <c r="Q6" s="42"/>
    </row>
    <row r="7" spans="1:23" s="20" customFormat="1" ht="47.25" customHeight="1" x14ac:dyDescent="0.25">
      <c r="A7" s="43" t="s">
        <v>9</v>
      </c>
      <c r="B7" s="21" t="s">
        <v>28</v>
      </c>
      <c r="C7" s="22" t="s">
        <v>10</v>
      </c>
      <c r="D7" s="21" t="s">
        <v>29</v>
      </c>
      <c r="E7" s="22" t="s">
        <v>11</v>
      </c>
      <c r="F7" s="23" t="s">
        <v>30</v>
      </c>
      <c r="G7" s="22" t="s">
        <v>12</v>
      </c>
      <c r="H7" s="21" t="s">
        <v>31</v>
      </c>
      <c r="I7" s="22" t="s">
        <v>13</v>
      </c>
      <c r="J7" s="23" t="s">
        <v>32</v>
      </c>
      <c r="K7" s="22" t="s">
        <v>14</v>
      </c>
      <c r="L7" s="23" t="s">
        <v>33</v>
      </c>
      <c r="M7" s="22" t="s">
        <v>12</v>
      </c>
      <c r="N7" s="23" t="s">
        <v>34</v>
      </c>
      <c r="O7" s="22" t="s">
        <v>13</v>
      </c>
      <c r="P7" s="23" t="s">
        <v>35</v>
      </c>
      <c r="Q7" s="32" t="s">
        <v>13</v>
      </c>
      <c r="R7" s="33" t="s">
        <v>22</v>
      </c>
      <c r="S7" s="34" t="s">
        <v>24</v>
      </c>
      <c r="T7" s="27" t="s">
        <v>25</v>
      </c>
      <c r="U7" s="27" t="s">
        <v>26</v>
      </c>
      <c r="V7" s="28" t="s">
        <v>27</v>
      </c>
      <c r="W7" s="48" t="s">
        <v>36</v>
      </c>
    </row>
    <row r="8" spans="1:23" ht="20.25" customHeight="1" x14ac:dyDescent="0.25">
      <c r="A8" s="35">
        <v>1</v>
      </c>
      <c r="B8" s="24">
        <v>20678</v>
      </c>
      <c r="C8" s="24">
        <f>+(B8-B6)*300</f>
        <v>6000</v>
      </c>
      <c r="D8" s="24">
        <v>50596</v>
      </c>
      <c r="E8" s="24">
        <f>+(D8-D6)*1.047</f>
        <v>13.610999999999999</v>
      </c>
      <c r="F8" s="24">
        <v>30818</v>
      </c>
      <c r="G8" s="24">
        <f>+(F8-F6)*0.1</f>
        <v>0.9</v>
      </c>
      <c r="H8" s="24">
        <v>10933352</v>
      </c>
      <c r="I8" s="24">
        <f>+H8-H6</f>
        <v>753</v>
      </c>
      <c r="J8" s="45">
        <v>361992</v>
      </c>
      <c r="K8" s="24">
        <f>+J8-J6</f>
        <v>0</v>
      </c>
      <c r="L8" s="24">
        <v>27015</v>
      </c>
      <c r="M8" s="24">
        <f>+(L8-L6)*0.1</f>
        <v>6</v>
      </c>
      <c r="N8" s="24">
        <v>29982675</v>
      </c>
      <c r="O8" s="24">
        <f>+N8-N6</f>
        <v>7579</v>
      </c>
      <c r="P8" s="24">
        <v>6287012</v>
      </c>
      <c r="Q8" s="29">
        <f>+P8-P6</f>
        <v>78</v>
      </c>
      <c r="R8" s="37">
        <v>53</v>
      </c>
      <c r="S8" s="35">
        <v>65</v>
      </c>
      <c r="T8" s="24">
        <v>50</v>
      </c>
      <c r="U8" s="24">
        <f>(S8+T8)/2</f>
        <v>57.5</v>
      </c>
      <c r="V8" s="29">
        <f>65-U8</f>
        <v>7.5</v>
      </c>
      <c r="W8" s="49">
        <v>0</v>
      </c>
    </row>
    <row r="9" spans="1:23" ht="20.25" customHeight="1" x14ac:dyDescent="0.25">
      <c r="A9" s="35">
        <v>2</v>
      </c>
      <c r="B9" s="24">
        <v>20701</v>
      </c>
      <c r="C9" s="24">
        <f>+(B9-B8)*300</f>
        <v>6900</v>
      </c>
      <c r="D9" s="24">
        <v>50617</v>
      </c>
      <c r="E9" s="24">
        <f>+(D9-D8)*1.047</f>
        <v>21.986999999999998</v>
      </c>
      <c r="F9" s="24">
        <v>30830</v>
      </c>
      <c r="G9" s="24">
        <f>+(F9-F8)*0.1</f>
        <v>1.2000000000000002</v>
      </c>
      <c r="H9" s="24">
        <v>10935144</v>
      </c>
      <c r="I9" s="24">
        <f>+H9-H8</f>
        <v>1792</v>
      </c>
      <c r="J9" s="45">
        <v>361992</v>
      </c>
      <c r="K9" s="24">
        <f>+J9-J8</f>
        <v>0</v>
      </c>
      <c r="L9" s="24">
        <v>27077</v>
      </c>
      <c r="M9" s="24">
        <f>+(L9-L8)*0.1</f>
        <v>6.2</v>
      </c>
      <c r="N9" s="24">
        <v>29990036</v>
      </c>
      <c r="O9" s="24">
        <f>+N9-N8</f>
        <v>7361</v>
      </c>
      <c r="P9" s="24">
        <v>6287132</v>
      </c>
      <c r="Q9" s="29">
        <f>+P9-P8</f>
        <v>120</v>
      </c>
      <c r="R9" s="37">
        <v>52</v>
      </c>
      <c r="S9" s="35">
        <v>64</v>
      </c>
      <c r="T9" s="24">
        <v>49</v>
      </c>
      <c r="U9" s="24">
        <f t="shared" ref="U9:U38" si="0">(S9+T9)/2</f>
        <v>56.5</v>
      </c>
      <c r="V9" s="29">
        <f t="shared" ref="V9:V38" si="1">65-U9</f>
        <v>8.5</v>
      </c>
      <c r="W9" s="49">
        <v>0</v>
      </c>
    </row>
    <row r="10" spans="1:23" ht="20.25" customHeight="1" x14ac:dyDescent="0.25">
      <c r="A10" s="35">
        <v>3</v>
      </c>
      <c r="B10" s="24">
        <v>20718</v>
      </c>
      <c r="C10" s="24">
        <f t="shared" ref="C10:C38" si="2">+(B10-B9)*300</f>
        <v>5100</v>
      </c>
      <c r="D10" s="24">
        <v>50629</v>
      </c>
      <c r="E10" s="24">
        <f t="shared" ref="E10:E38" si="3">+(D10-D9)*1.047</f>
        <v>12.564</v>
      </c>
      <c r="F10" s="24">
        <v>30837</v>
      </c>
      <c r="G10" s="24">
        <f t="shared" ref="G10:G38" si="4">+(F10-F9)*0.1</f>
        <v>0.70000000000000007</v>
      </c>
      <c r="H10" s="24">
        <v>10935932</v>
      </c>
      <c r="I10" s="24">
        <f>+H10-H9</f>
        <v>788</v>
      </c>
      <c r="J10" s="45">
        <v>361992</v>
      </c>
      <c r="K10" s="24">
        <f>+J10-J9</f>
        <v>0</v>
      </c>
      <c r="L10" s="24">
        <v>27134</v>
      </c>
      <c r="M10" s="24">
        <f t="shared" ref="M10:M38" si="5">+(L10-L9)*0.1</f>
        <v>5.7</v>
      </c>
      <c r="N10" s="24">
        <v>29997064</v>
      </c>
      <c r="O10" s="24">
        <f>+N10-N9</f>
        <v>7028</v>
      </c>
      <c r="P10" s="24">
        <v>6287315</v>
      </c>
      <c r="Q10" s="29">
        <f>+P10-P9</f>
        <v>183</v>
      </c>
      <c r="R10" s="37">
        <v>81</v>
      </c>
      <c r="S10" s="35">
        <v>69</v>
      </c>
      <c r="T10" s="24">
        <v>48</v>
      </c>
      <c r="U10" s="24">
        <f t="shared" si="0"/>
        <v>58.5</v>
      </c>
      <c r="V10" s="29">
        <f t="shared" si="1"/>
        <v>6.5</v>
      </c>
      <c r="W10" s="49">
        <v>0</v>
      </c>
    </row>
    <row r="11" spans="1:23" ht="20.25" customHeight="1" x14ac:dyDescent="0.25">
      <c r="A11" s="35">
        <v>4</v>
      </c>
      <c r="B11" s="24">
        <v>20731</v>
      </c>
      <c r="C11" s="24">
        <f t="shared" si="2"/>
        <v>3900</v>
      </c>
      <c r="D11" s="24">
        <v>50637</v>
      </c>
      <c r="E11" s="24">
        <f t="shared" si="3"/>
        <v>8.3759999999999994</v>
      </c>
      <c r="F11" s="24">
        <v>30843</v>
      </c>
      <c r="G11" s="24">
        <f t="shared" si="4"/>
        <v>0.60000000000000009</v>
      </c>
      <c r="H11" s="24">
        <v>10936535</v>
      </c>
      <c r="I11" s="24">
        <f t="shared" ref="I11:K38" si="6">+H11-H10</f>
        <v>603</v>
      </c>
      <c r="J11" s="45">
        <v>361992</v>
      </c>
      <c r="K11" s="24">
        <f t="shared" si="6"/>
        <v>0</v>
      </c>
      <c r="L11" s="24">
        <v>27173</v>
      </c>
      <c r="M11" s="24">
        <f t="shared" si="5"/>
        <v>3.9000000000000004</v>
      </c>
      <c r="N11" s="24">
        <v>30001160</v>
      </c>
      <c r="O11" s="24">
        <f t="shared" ref="O11:Q26" si="7">+N11-N10</f>
        <v>4096</v>
      </c>
      <c r="P11" s="24">
        <v>6287455</v>
      </c>
      <c r="Q11" s="29">
        <f t="shared" si="7"/>
        <v>140</v>
      </c>
      <c r="R11" s="37">
        <v>84</v>
      </c>
      <c r="S11" s="35">
        <v>63</v>
      </c>
      <c r="T11" s="24">
        <v>49</v>
      </c>
      <c r="U11" s="24">
        <f t="shared" si="0"/>
        <v>56</v>
      </c>
      <c r="V11" s="29">
        <f t="shared" si="1"/>
        <v>9</v>
      </c>
      <c r="W11" s="49">
        <v>0</v>
      </c>
    </row>
    <row r="12" spans="1:23" ht="20.25" customHeight="1" x14ac:dyDescent="0.25">
      <c r="A12" s="35">
        <v>5</v>
      </c>
      <c r="B12" s="24">
        <v>20751</v>
      </c>
      <c r="C12" s="24">
        <f t="shared" si="2"/>
        <v>6000</v>
      </c>
      <c r="D12" s="24">
        <v>50652</v>
      </c>
      <c r="E12" s="24">
        <f t="shared" si="3"/>
        <v>15.704999999999998</v>
      </c>
      <c r="F12" s="24">
        <v>30851</v>
      </c>
      <c r="G12" s="24">
        <f t="shared" si="4"/>
        <v>0.8</v>
      </c>
      <c r="H12" s="24">
        <v>10937825</v>
      </c>
      <c r="I12" s="24">
        <f t="shared" si="6"/>
        <v>1290</v>
      </c>
      <c r="J12" s="45">
        <v>361992</v>
      </c>
      <c r="K12" s="24">
        <f t="shared" si="6"/>
        <v>0</v>
      </c>
      <c r="L12" s="24">
        <v>27228</v>
      </c>
      <c r="M12" s="24">
        <f t="shared" si="5"/>
        <v>5.5</v>
      </c>
      <c r="N12" s="24">
        <v>30006910</v>
      </c>
      <c r="O12" s="24">
        <f t="shared" si="7"/>
        <v>5750</v>
      </c>
      <c r="P12" s="24">
        <v>6287651</v>
      </c>
      <c r="Q12" s="29">
        <f t="shared" si="7"/>
        <v>196</v>
      </c>
      <c r="R12" s="37">
        <v>108</v>
      </c>
      <c r="S12" s="35">
        <v>60</v>
      </c>
      <c r="T12" s="24">
        <v>50</v>
      </c>
      <c r="U12" s="24">
        <f t="shared" si="0"/>
        <v>55</v>
      </c>
      <c r="V12" s="29">
        <f t="shared" si="1"/>
        <v>10</v>
      </c>
      <c r="W12" s="49">
        <v>0</v>
      </c>
    </row>
    <row r="13" spans="1:23" ht="20.25" customHeight="1" x14ac:dyDescent="0.25">
      <c r="A13" s="35">
        <v>6</v>
      </c>
      <c r="B13" s="24">
        <v>20769</v>
      </c>
      <c r="C13" s="24">
        <f t="shared" si="2"/>
        <v>5400</v>
      </c>
      <c r="D13" s="24">
        <v>50662</v>
      </c>
      <c r="E13" s="24">
        <f t="shared" si="3"/>
        <v>10.469999999999999</v>
      </c>
      <c r="F13" s="24">
        <v>30868</v>
      </c>
      <c r="G13" s="24">
        <f t="shared" si="4"/>
        <v>1.7000000000000002</v>
      </c>
      <c r="H13" s="24">
        <v>10938720</v>
      </c>
      <c r="I13" s="24">
        <f t="shared" si="6"/>
        <v>895</v>
      </c>
      <c r="J13" s="45">
        <v>361992</v>
      </c>
      <c r="K13" s="24">
        <f t="shared" si="6"/>
        <v>0</v>
      </c>
      <c r="L13" s="24">
        <v>27277</v>
      </c>
      <c r="M13" s="24">
        <f t="shared" si="5"/>
        <v>4.9000000000000004</v>
      </c>
      <c r="N13" s="24">
        <v>30014115</v>
      </c>
      <c r="O13" s="24">
        <f t="shared" si="7"/>
        <v>7205</v>
      </c>
      <c r="P13" s="24">
        <v>6287842</v>
      </c>
      <c r="Q13" s="29">
        <f t="shared" si="7"/>
        <v>191</v>
      </c>
      <c r="R13" s="37">
        <v>99</v>
      </c>
      <c r="S13" s="35">
        <v>63</v>
      </c>
      <c r="T13" s="24">
        <v>51</v>
      </c>
      <c r="U13" s="24">
        <f t="shared" si="0"/>
        <v>57</v>
      </c>
      <c r="V13" s="29">
        <f t="shared" si="1"/>
        <v>8</v>
      </c>
      <c r="W13" s="49">
        <v>0</v>
      </c>
    </row>
    <row r="14" spans="1:23" ht="20.25" customHeight="1" x14ac:dyDescent="0.25">
      <c r="A14" s="35">
        <v>7</v>
      </c>
      <c r="B14" s="24">
        <v>20789</v>
      </c>
      <c r="C14" s="24">
        <f t="shared" si="2"/>
        <v>6000</v>
      </c>
      <c r="D14" s="24">
        <v>50678</v>
      </c>
      <c r="E14" s="24">
        <f t="shared" si="3"/>
        <v>16.751999999999999</v>
      </c>
      <c r="F14" s="24">
        <v>30877</v>
      </c>
      <c r="G14" s="24">
        <f t="shared" si="4"/>
        <v>0.9</v>
      </c>
      <c r="H14" s="24">
        <v>10939830</v>
      </c>
      <c r="I14" s="24">
        <f t="shared" si="6"/>
        <v>1110</v>
      </c>
      <c r="J14" s="45">
        <v>361992</v>
      </c>
      <c r="K14" s="24">
        <f t="shared" si="6"/>
        <v>0</v>
      </c>
      <c r="L14" s="24">
        <v>27333</v>
      </c>
      <c r="M14" s="24">
        <f t="shared" si="5"/>
        <v>5.6000000000000005</v>
      </c>
      <c r="N14" s="24">
        <v>30022200</v>
      </c>
      <c r="O14" s="24">
        <f t="shared" si="7"/>
        <v>8085</v>
      </c>
      <c r="P14" s="24">
        <v>6287842</v>
      </c>
      <c r="Q14" s="29">
        <f t="shared" si="7"/>
        <v>0</v>
      </c>
      <c r="R14" s="37">
        <v>52</v>
      </c>
      <c r="S14" s="35">
        <v>63</v>
      </c>
      <c r="T14" s="24">
        <v>51</v>
      </c>
      <c r="U14" s="24">
        <f t="shared" si="0"/>
        <v>57</v>
      </c>
      <c r="V14" s="29">
        <f t="shared" si="1"/>
        <v>8</v>
      </c>
      <c r="W14" s="49">
        <v>0</v>
      </c>
    </row>
    <row r="15" spans="1:23" ht="20.25" customHeight="1" x14ac:dyDescent="0.25">
      <c r="A15" s="35">
        <v>8</v>
      </c>
      <c r="B15" s="24">
        <v>20809</v>
      </c>
      <c r="C15" s="24">
        <f t="shared" si="2"/>
        <v>6000</v>
      </c>
      <c r="D15" s="24">
        <v>50693</v>
      </c>
      <c r="E15" s="24">
        <f t="shared" si="3"/>
        <v>15.704999999999998</v>
      </c>
      <c r="F15" s="24">
        <v>30880</v>
      </c>
      <c r="G15" s="24">
        <f t="shared" si="4"/>
        <v>0.30000000000000004</v>
      </c>
      <c r="H15" s="24">
        <v>10941125</v>
      </c>
      <c r="I15" s="24">
        <f t="shared" si="6"/>
        <v>1295</v>
      </c>
      <c r="J15" s="45">
        <v>361992</v>
      </c>
      <c r="K15" s="24">
        <f t="shared" si="6"/>
        <v>0</v>
      </c>
      <c r="L15" s="24">
        <v>27381</v>
      </c>
      <c r="M15" s="24">
        <f t="shared" si="5"/>
        <v>4.8000000000000007</v>
      </c>
      <c r="N15" s="24">
        <v>30028330</v>
      </c>
      <c r="O15" s="24">
        <f t="shared" si="7"/>
        <v>6130</v>
      </c>
      <c r="P15" s="24">
        <v>6287858</v>
      </c>
      <c r="Q15" s="29">
        <f t="shared" si="7"/>
        <v>16</v>
      </c>
      <c r="R15" s="37">
        <v>55</v>
      </c>
      <c r="S15" s="35">
        <v>58</v>
      </c>
      <c r="T15" s="24">
        <v>48</v>
      </c>
      <c r="U15" s="24">
        <f t="shared" si="0"/>
        <v>53</v>
      </c>
      <c r="V15" s="29">
        <f t="shared" si="1"/>
        <v>12</v>
      </c>
      <c r="W15" s="49">
        <v>0</v>
      </c>
    </row>
    <row r="16" spans="1:23" ht="20.25" customHeight="1" x14ac:dyDescent="0.25">
      <c r="A16" s="35">
        <v>9</v>
      </c>
      <c r="B16" s="24">
        <v>20831</v>
      </c>
      <c r="C16" s="24">
        <f>+(B16-B15)*300</f>
        <v>6600</v>
      </c>
      <c r="D16" s="24">
        <v>50708</v>
      </c>
      <c r="E16" s="24">
        <f t="shared" si="3"/>
        <v>15.704999999999998</v>
      </c>
      <c r="F16" s="24">
        <v>30885</v>
      </c>
      <c r="G16" s="24">
        <f t="shared" si="4"/>
        <v>0.5</v>
      </c>
      <c r="H16" s="24">
        <v>10942480</v>
      </c>
      <c r="I16" s="24">
        <f t="shared" si="6"/>
        <v>1355</v>
      </c>
      <c r="J16" s="45">
        <v>361992</v>
      </c>
      <c r="K16" s="24">
        <f t="shared" si="6"/>
        <v>0</v>
      </c>
      <c r="L16" s="24">
        <v>27470</v>
      </c>
      <c r="M16" s="24">
        <f t="shared" si="5"/>
        <v>8.9</v>
      </c>
      <c r="N16" s="24">
        <v>30037430</v>
      </c>
      <c r="O16" s="24">
        <f t="shared" si="7"/>
        <v>9100</v>
      </c>
      <c r="P16" s="24">
        <v>6287875</v>
      </c>
      <c r="Q16" s="29">
        <f t="shared" si="7"/>
        <v>17</v>
      </c>
      <c r="R16" s="37">
        <v>66</v>
      </c>
      <c r="S16" s="35">
        <v>58</v>
      </c>
      <c r="T16" s="24">
        <v>47</v>
      </c>
      <c r="U16" s="24">
        <f t="shared" si="0"/>
        <v>52.5</v>
      </c>
      <c r="V16" s="29">
        <f t="shared" si="1"/>
        <v>12.5</v>
      </c>
      <c r="W16" s="49">
        <v>0</v>
      </c>
    </row>
    <row r="17" spans="1:23" ht="20.25" customHeight="1" x14ac:dyDescent="0.25">
      <c r="A17" s="35">
        <v>10</v>
      </c>
      <c r="B17" s="24">
        <v>20848</v>
      </c>
      <c r="C17" s="24">
        <f t="shared" si="2"/>
        <v>5100</v>
      </c>
      <c r="D17" s="24">
        <v>50717</v>
      </c>
      <c r="E17" s="24">
        <f t="shared" si="3"/>
        <v>9.423</v>
      </c>
      <c r="F17" s="24">
        <v>30892</v>
      </c>
      <c r="G17" s="24">
        <f t="shared" si="4"/>
        <v>0.70000000000000007</v>
      </c>
      <c r="H17" s="24">
        <v>10943463</v>
      </c>
      <c r="I17" s="24">
        <f t="shared" si="6"/>
        <v>983</v>
      </c>
      <c r="J17" s="45">
        <v>361992</v>
      </c>
      <c r="K17" s="24">
        <f t="shared" si="6"/>
        <v>0</v>
      </c>
      <c r="L17" s="24">
        <v>27532</v>
      </c>
      <c r="M17" s="24">
        <f t="shared" si="5"/>
        <v>6.2</v>
      </c>
      <c r="N17" s="24">
        <v>30043498</v>
      </c>
      <c r="O17" s="24">
        <f t="shared" si="7"/>
        <v>6068</v>
      </c>
      <c r="P17" s="24">
        <v>6287883</v>
      </c>
      <c r="Q17" s="29">
        <f t="shared" si="7"/>
        <v>8</v>
      </c>
      <c r="R17" s="37">
        <v>96</v>
      </c>
      <c r="S17" s="35">
        <v>57</v>
      </c>
      <c r="T17" s="24">
        <v>45</v>
      </c>
      <c r="U17" s="24">
        <f t="shared" si="0"/>
        <v>51</v>
      </c>
      <c r="V17" s="29">
        <f t="shared" si="1"/>
        <v>14</v>
      </c>
      <c r="W17" s="49">
        <v>0</v>
      </c>
    </row>
    <row r="18" spans="1:23" ht="20.25" customHeight="1" x14ac:dyDescent="0.25">
      <c r="A18" s="35">
        <v>11</v>
      </c>
      <c r="B18" s="24">
        <v>20862</v>
      </c>
      <c r="C18" s="24">
        <f t="shared" si="2"/>
        <v>4200</v>
      </c>
      <c r="D18" s="24">
        <v>50726</v>
      </c>
      <c r="E18" s="24">
        <f t="shared" si="3"/>
        <v>9.423</v>
      </c>
      <c r="F18" s="24">
        <v>30898</v>
      </c>
      <c r="G18" s="24">
        <f t="shared" si="4"/>
        <v>0.60000000000000009</v>
      </c>
      <c r="H18" s="24">
        <v>10944210</v>
      </c>
      <c r="I18" s="24">
        <f t="shared" si="6"/>
        <v>747</v>
      </c>
      <c r="J18" s="45">
        <v>361992</v>
      </c>
      <c r="K18" s="24">
        <f t="shared" si="6"/>
        <v>0</v>
      </c>
      <c r="L18" s="24">
        <v>27584</v>
      </c>
      <c r="M18" s="24">
        <f t="shared" si="5"/>
        <v>5.2</v>
      </c>
      <c r="N18" s="24">
        <v>30047500</v>
      </c>
      <c r="O18" s="24">
        <f t="shared" si="7"/>
        <v>4002</v>
      </c>
      <c r="P18" s="24">
        <v>6287996</v>
      </c>
      <c r="Q18" s="29">
        <f t="shared" si="7"/>
        <v>113</v>
      </c>
      <c r="R18" s="37">
        <v>90</v>
      </c>
      <c r="S18" s="35">
        <v>60</v>
      </c>
      <c r="T18" s="24">
        <v>48</v>
      </c>
      <c r="U18" s="24">
        <f t="shared" si="0"/>
        <v>54</v>
      </c>
      <c r="V18" s="29">
        <f t="shared" si="1"/>
        <v>11</v>
      </c>
      <c r="W18" s="49">
        <v>0</v>
      </c>
    </row>
    <row r="19" spans="1:23" ht="20.25" customHeight="1" x14ac:dyDescent="0.25">
      <c r="A19" s="35">
        <v>12</v>
      </c>
      <c r="B19" s="24">
        <v>20881</v>
      </c>
      <c r="C19" s="24">
        <f t="shared" si="2"/>
        <v>5700</v>
      </c>
      <c r="D19" s="24">
        <v>50735</v>
      </c>
      <c r="E19" s="24">
        <f t="shared" si="3"/>
        <v>9.423</v>
      </c>
      <c r="F19" s="24">
        <v>30906</v>
      </c>
      <c r="G19" s="24">
        <f t="shared" si="4"/>
        <v>0.8</v>
      </c>
      <c r="H19" s="24">
        <v>10945100</v>
      </c>
      <c r="I19" s="24">
        <f t="shared" si="6"/>
        <v>890</v>
      </c>
      <c r="J19" s="45">
        <v>361992</v>
      </c>
      <c r="K19" s="24">
        <f t="shared" si="6"/>
        <v>0</v>
      </c>
      <c r="L19" s="24">
        <v>27657</v>
      </c>
      <c r="M19" s="24">
        <f t="shared" si="5"/>
        <v>7.3000000000000007</v>
      </c>
      <c r="N19" s="24">
        <v>30055300</v>
      </c>
      <c r="O19" s="24">
        <f t="shared" si="7"/>
        <v>7800</v>
      </c>
      <c r="P19" s="24">
        <v>6288065</v>
      </c>
      <c r="Q19" s="29">
        <f t="shared" si="7"/>
        <v>69</v>
      </c>
      <c r="R19" s="37">
        <v>77</v>
      </c>
      <c r="S19" s="35">
        <v>60</v>
      </c>
      <c r="T19" s="24">
        <v>48</v>
      </c>
      <c r="U19" s="24">
        <f t="shared" si="0"/>
        <v>54</v>
      </c>
      <c r="V19" s="29">
        <f t="shared" si="1"/>
        <v>11</v>
      </c>
      <c r="W19" s="49">
        <v>0</v>
      </c>
    </row>
    <row r="20" spans="1:23" ht="20.25" customHeight="1" x14ac:dyDescent="0.25">
      <c r="A20" s="35">
        <v>13</v>
      </c>
      <c r="B20" s="24">
        <v>20903</v>
      </c>
      <c r="C20" s="24">
        <f t="shared" si="2"/>
        <v>6600</v>
      </c>
      <c r="D20" s="24">
        <v>50751</v>
      </c>
      <c r="E20" s="24">
        <f t="shared" si="3"/>
        <v>16.751999999999999</v>
      </c>
      <c r="F20" s="24">
        <v>30912</v>
      </c>
      <c r="G20" s="24">
        <f t="shared" si="4"/>
        <v>0.60000000000000009</v>
      </c>
      <c r="H20" s="24">
        <v>10946300</v>
      </c>
      <c r="I20" s="24">
        <f t="shared" si="6"/>
        <v>1200</v>
      </c>
      <c r="J20" s="45">
        <v>361992</v>
      </c>
      <c r="K20" s="24">
        <f t="shared" si="6"/>
        <v>0</v>
      </c>
      <c r="L20" s="24">
        <v>27715</v>
      </c>
      <c r="M20" s="24">
        <f t="shared" si="5"/>
        <v>5.8000000000000007</v>
      </c>
      <c r="N20" s="24">
        <v>30059200</v>
      </c>
      <c r="O20" s="24">
        <f t="shared" si="7"/>
        <v>3900</v>
      </c>
      <c r="P20" s="24">
        <v>6288135</v>
      </c>
      <c r="Q20" s="29">
        <f t="shared" si="7"/>
        <v>70</v>
      </c>
      <c r="R20" s="37">
        <v>68</v>
      </c>
      <c r="S20" s="35">
        <v>70</v>
      </c>
      <c r="T20" s="24">
        <v>51</v>
      </c>
      <c r="U20" s="24">
        <f t="shared" si="0"/>
        <v>60.5</v>
      </c>
      <c r="V20" s="29">
        <f t="shared" si="1"/>
        <v>4.5</v>
      </c>
      <c r="W20" s="49">
        <v>0</v>
      </c>
    </row>
    <row r="21" spans="1:23" ht="20.25" customHeight="1" x14ac:dyDescent="0.25">
      <c r="A21" s="35">
        <v>14</v>
      </c>
      <c r="B21" s="24">
        <v>20920</v>
      </c>
      <c r="C21" s="24">
        <f t="shared" si="2"/>
        <v>5100</v>
      </c>
      <c r="D21" s="24">
        <v>50815</v>
      </c>
      <c r="E21" s="24">
        <f t="shared" si="3"/>
        <v>67.007999999999996</v>
      </c>
      <c r="F21" s="24">
        <v>30921</v>
      </c>
      <c r="G21" s="24">
        <f t="shared" si="4"/>
        <v>0.9</v>
      </c>
      <c r="H21" s="24">
        <v>10948990</v>
      </c>
      <c r="I21" s="24">
        <f t="shared" si="6"/>
        <v>2690</v>
      </c>
      <c r="J21" s="45">
        <v>361992</v>
      </c>
      <c r="K21" s="24">
        <f t="shared" si="6"/>
        <v>0</v>
      </c>
      <c r="L21" s="24">
        <v>27762</v>
      </c>
      <c r="M21" s="24">
        <f t="shared" si="5"/>
        <v>4.7</v>
      </c>
      <c r="N21" s="24">
        <v>30068120</v>
      </c>
      <c r="O21" s="24">
        <f t="shared" si="7"/>
        <v>8920</v>
      </c>
      <c r="P21" s="24">
        <v>6288228</v>
      </c>
      <c r="Q21" s="29">
        <f t="shared" si="7"/>
        <v>93</v>
      </c>
      <c r="R21" s="37">
        <v>95</v>
      </c>
      <c r="S21" s="35">
        <v>69</v>
      </c>
      <c r="T21" s="24">
        <v>53</v>
      </c>
      <c r="U21" s="24">
        <f t="shared" si="0"/>
        <v>61</v>
      </c>
      <c r="V21" s="29">
        <f t="shared" si="1"/>
        <v>4</v>
      </c>
      <c r="W21" s="49">
        <v>0</v>
      </c>
    </row>
    <row r="22" spans="1:23" ht="20.25" customHeight="1" x14ac:dyDescent="0.25">
      <c r="A22" s="35">
        <v>15</v>
      </c>
      <c r="B22" s="24">
        <v>20945</v>
      </c>
      <c r="C22" s="24">
        <f t="shared" si="2"/>
        <v>7500</v>
      </c>
      <c r="D22" s="24">
        <v>50870</v>
      </c>
      <c r="E22" s="24">
        <f t="shared" si="3"/>
        <v>57.584999999999994</v>
      </c>
      <c r="F22" s="24">
        <v>30932</v>
      </c>
      <c r="G22" s="24">
        <f t="shared" si="4"/>
        <v>1.1000000000000001</v>
      </c>
      <c r="H22" s="24">
        <v>10949872</v>
      </c>
      <c r="I22" s="24">
        <f t="shared" si="6"/>
        <v>882</v>
      </c>
      <c r="J22" s="45">
        <v>361992</v>
      </c>
      <c r="K22" s="24">
        <f t="shared" si="6"/>
        <v>0</v>
      </c>
      <c r="L22" s="24">
        <v>27822</v>
      </c>
      <c r="M22" s="24">
        <f t="shared" si="5"/>
        <v>6</v>
      </c>
      <c r="N22" s="24">
        <v>30077420</v>
      </c>
      <c r="O22" s="24">
        <f t="shared" si="7"/>
        <v>9300</v>
      </c>
      <c r="P22" s="24">
        <v>6288415</v>
      </c>
      <c r="Q22" s="29">
        <f t="shared" si="7"/>
        <v>187</v>
      </c>
      <c r="R22" s="37">
        <v>77</v>
      </c>
      <c r="S22" s="35">
        <v>64</v>
      </c>
      <c r="T22" s="24">
        <v>52</v>
      </c>
      <c r="U22" s="24">
        <f t="shared" si="0"/>
        <v>58</v>
      </c>
      <c r="V22" s="29">
        <f t="shared" si="1"/>
        <v>7</v>
      </c>
      <c r="W22" s="49">
        <v>0</v>
      </c>
    </row>
    <row r="23" spans="1:23" ht="20.25" customHeight="1" x14ac:dyDescent="0.25">
      <c r="A23" s="35">
        <v>16</v>
      </c>
      <c r="B23" s="24">
        <v>20966</v>
      </c>
      <c r="C23" s="24">
        <f t="shared" si="2"/>
        <v>6300</v>
      </c>
      <c r="D23" s="24">
        <v>50919</v>
      </c>
      <c r="E23" s="24">
        <f t="shared" si="3"/>
        <v>51.302999999999997</v>
      </c>
      <c r="F23" s="24">
        <v>30942</v>
      </c>
      <c r="G23" s="24">
        <f t="shared" si="4"/>
        <v>1</v>
      </c>
      <c r="H23" s="24">
        <v>10951931</v>
      </c>
      <c r="I23" s="24">
        <f t="shared" si="6"/>
        <v>2059</v>
      </c>
      <c r="J23" s="45">
        <v>361992</v>
      </c>
      <c r="K23" s="24">
        <f t="shared" si="6"/>
        <v>0</v>
      </c>
      <c r="L23" s="24">
        <v>27877</v>
      </c>
      <c r="M23" s="24">
        <f t="shared" si="5"/>
        <v>5.5</v>
      </c>
      <c r="N23" s="24">
        <v>30084244</v>
      </c>
      <c r="O23" s="24">
        <f t="shared" si="7"/>
        <v>6824</v>
      </c>
      <c r="P23" s="24">
        <v>6288666</v>
      </c>
      <c r="Q23" s="29">
        <f t="shared" si="7"/>
        <v>251</v>
      </c>
      <c r="R23" s="37">
        <v>64</v>
      </c>
      <c r="S23" s="35">
        <v>62</v>
      </c>
      <c r="T23" s="24">
        <v>50</v>
      </c>
      <c r="U23" s="24">
        <f t="shared" si="0"/>
        <v>56</v>
      </c>
      <c r="V23" s="29">
        <f t="shared" si="1"/>
        <v>9</v>
      </c>
      <c r="W23" s="49">
        <v>0</v>
      </c>
    </row>
    <row r="24" spans="1:23" ht="20.25" customHeight="1" x14ac:dyDescent="0.25">
      <c r="A24" s="35">
        <v>17</v>
      </c>
      <c r="B24" s="24">
        <v>20985</v>
      </c>
      <c r="C24" s="24">
        <f t="shared" si="2"/>
        <v>5700</v>
      </c>
      <c r="D24" s="24">
        <v>50964</v>
      </c>
      <c r="E24" s="24">
        <f t="shared" si="3"/>
        <v>47.114999999999995</v>
      </c>
      <c r="F24" s="24">
        <v>30948</v>
      </c>
      <c r="G24" s="24">
        <f t="shared" si="4"/>
        <v>0.60000000000000009</v>
      </c>
      <c r="H24" s="24">
        <v>10953906</v>
      </c>
      <c r="I24" s="24">
        <f t="shared" si="6"/>
        <v>1975</v>
      </c>
      <c r="J24" s="45">
        <v>361992</v>
      </c>
      <c r="K24" s="24">
        <f t="shared" si="6"/>
        <v>0</v>
      </c>
      <c r="L24" s="24">
        <v>27931</v>
      </c>
      <c r="M24" s="24">
        <f t="shared" si="5"/>
        <v>5.4</v>
      </c>
      <c r="N24" s="24">
        <v>30090601</v>
      </c>
      <c r="O24" s="24">
        <f t="shared" si="7"/>
        <v>6357</v>
      </c>
      <c r="P24" s="24">
        <v>6288744</v>
      </c>
      <c r="Q24" s="29">
        <f t="shared" si="7"/>
        <v>78</v>
      </c>
      <c r="R24" s="37">
        <v>95</v>
      </c>
      <c r="S24" s="35">
        <v>65</v>
      </c>
      <c r="T24" s="24">
        <v>50</v>
      </c>
      <c r="U24" s="24">
        <f t="shared" si="0"/>
        <v>57.5</v>
      </c>
      <c r="V24" s="29">
        <f t="shared" si="1"/>
        <v>7.5</v>
      </c>
      <c r="W24" s="49">
        <v>0</v>
      </c>
    </row>
    <row r="25" spans="1:23" ht="20.25" customHeight="1" x14ac:dyDescent="0.25">
      <c r="A25" s="35">
        <v>18</v>
      </c>
      <c r="B25" s="24">
        <v>20998</v>
      </c>
      <c r="C25" s="24">
        <f t="shared" si="2"/>
        <v>3900</v>
      </c>
      <c r="D25" s="24">
        <v>50990</v>
      </c>
      <c r="E25" s="24">
        <f t="shared" si="3"/>
        <v>27.221999999999998</v>
      </c>
      <c r="F25" s="24">
        <v>30952</v>
      </c>
      <c r="G25" s="24">
        <f t="shared" si="4"/>
        <v>0.4</v>
      </c>
      <c r="H25" s="24">
        <v>10955155</v>
      </c>
      <c r="I25" s="24">
        <f t="shared" si="6"/>
        <v>1249</v>
      </c>
      <c r="J25" s="45">
        <v>361992</v>
      </c>
      <c r="K25" s="24">
        <f t="shared" si="6"/>
        <v>0</v>
      </c>
      <c r="L25" s="24">
        <v>27971</v>
      </c>
      <c r="M25" s="24">
        <f t="shared" si="5"/>
        <v>4</v>
      </c>
      <c r="N25" s="24">
        <v>30095130</v>
      </c>
      <c r="O25" s="24">
        <f t="shared" si="7"/>
        <v>4529</v>
      </c>
      <c r="P25" s="24">
        <v>6288800</v>
      </c>
      <c r="Q25" s="29">
        <f t="shared" si="7"/>
        <v>56</v>
      </c>
      <c r="R25" s="37">
        <v>101</v>
      </c>
      <c r="S25" s="35">
        <v>72</v>
      </c>
      <c r="T25" s="24">
        <v>50</v>
      </c>
      <c r="U25" s="24">
        <f t="shared" si="0"/>
        <v>61</v>
      </c>
      <c r="V25" s="29">
        <f t="shared" si="1"/>
        <v>4</v>
      </c>
      <c r="W25" s="49">
        <v>0</v>
      </c>
    </row>
    <row r="26" spans="1:23" ht="20.25" customHeight="1" x14ac:dyDescent="0.25">
      <c r="A26" s="35">
        <v>19</v>
      </c>
      <c r="B26" s="24">
        <v>21019</v>
      </c>
      <c r="C26" s="24">
        <f t="shared" si="2"/>
        <v>6300</v>
      </c>
      <c r="D26" s="24">
        <v>51032</v>
      </c>
      <c r="E26" s="24">
        <f t="shared" si="3"/>
        <v>43.973999999999997</v>
      </c>
      <c r="F26" s="24">
        <v>30960</v>
      </c>
      <c r="G26" s="24">
        <f t="shared" si="4"/>
        <v>0.8</v>
      </c>
      <c r="H26" s="24">
        <v>10956755</v>
      </c>
      <c r="I26" s="24">
        <f t="shared" si="6"/>
        <v>1600</v>
      </c>
      <c r="J26" s="45">
        <v>361992</v>
      </c>
      <c r="K26" s="24">
        <f t="shared" si="6"/>
        <v>0</v>
      </c>
      <c r="L26" s="24">
        <v>28018</v>
      </c>
      <c r="M26" s="24">
        <f t="shared" si="5"/>
        <v>4.7</v>
      </c>
      <c r="N26" s="24">
        <v>30103590</v>
      </c>
      <c r="O26" s="24">
        <f t="shared" si="7"/>
        <v>8460</v>
      </c>
      <c r="P26" s="24">
        <v>6289608</v>
      </c>
      <c r="Q26" s="29">
        <f t="shared" si="7"/>
        <v>808</v>
      </c>
      <c r="R26" s="37">
        <v>105</v>
      </c>
      <c r="S26" s="35">
        <v>70</v>
      </c>
      <c r="T26" s="24">
        <v>52</v>
      </c>
      <c r="U26" s="24">
        <f t="shared" si="0"/>
        <v>61</v>
      </c>
      <c r="V26" s="29">
        <f t="shared" si="1"/>
        <v>4</v>
      </c>
      <c r="W26" s="49">
        <v>0</v>
      </c>
    </row>
    <row r="27" spans="1:23" ht="20.25" customHeight="1" x14ac:dyDescent="0.25">
      <c r="A27" s="35">
        <v>20</v>
      </c>
      <c r="B27" s="24">
        <v>21045</v>
      </c>
      <c r="C27" s="24">
        <f t="shared" si="2"/>
        <v>7800</v>
      </c>
      <c r="D27" s="24">
        <v>51094</v>
      </c>
      <c r="E27" s="24">
        <f t="shared" si="3"/>
        <v>64.914000000000001</v>
      </c>
      <c r="F27" s="24">
        <v>30968</v>
      </c>
      <c r="G27" s="24">
        <f t="shared" si="4"/>
        <v>0.8</v>
      </c>
      <c r="H27" s="24">
        <v>10959110</v>
      </c>
      <c r="I27" s="24">
        <f t="shared" si="6"/>
        <v>2355</v>
      </c>
      <c r="J27" s="45">
        <v>361992</v>
      </c>
      <c r="K27" s="24">
        <f t="shared" si="6"/>
        <v>0</v>
      </c>
      <c r="L27" s="24">
        <v>28072</v>
      </c>
      <c r="M27" s="24">
        <f t="shared" si="5"/>
        <v>5.4</v>
      </c>
      <c r="N27" s="24">
        <v>30112050</v>
      </c>
      <c r="O27" s="24">
        <f t="shared" ref="O27:Q38" si="8">+N27-N26</f>
        <v>8460</v>
      </c>
      <c r="P27" s="24">
        <v>6290310</v>
      </c>
      <c r="Q27" s="29">
        <f t="shared" si="8"/>
        <v>702</v>
      </c>
      <c r="R27" s="37">
        <v>75</v>
      </c>
      <c r="S27" s="35">
        <v>73</v>
      </c>
      <c r="T27" s="24">
        <v>49</v>
      </c>
      <c r="U27" s="24">
        <f t="shared" si="0"/>
        <v>61</v>
      </c>
      <c r="V27" s="29">
        <f t="shared" si="1"/>
        <v>4</v>
      </c>
      <c r="W27" s="49">
        <v>0</v>
      </c>
    </row>
    <row r="28" spans="1:23" ht="20.25" customHeight="1" x14ac:dyDescent="0.25">
      <c r="A28" s="35">
        <v>21</v>
      </c>
      <c r="B28" s="24">
        <v>21061</v>
      </c>
      <c r="C28" s="24">
        <f t="shared" si="2"/>
        <v>4800</v>
      </c>
      <c r="D28" s="24">
        <v>51123</v>
      </c>
      <c r="E28" s="24">
        <f t="shared" si="3"/>
        <v>30.363</v>
      </c>
      <c r="F28" s="24">
        <v>30975</v>
      </c>
      <c r="G28" s="24">
        <f t="shared" si="4"/>
        <v>0.70000000000000007</v>
      </c>
      <c r="H28" s="24">
        <v>10960390</v>
      </c>
      <c r="I28" s="24">
        <f t="shared" si="6"/>
        <v>1280</v>
      </c>
      <c r="J28" s="45">
        <v>361992</v>
      </c>
      <c r="K28" s="24">
        <f t="shared" si="6"/>
        <v>0</v>
      </c>
      <c r="L28" s="24">
        <v>28112</v>
      </c>
      <c r="M28" s="24">
        <f t="shared" si="5"/>
        <v>4</v>
      </c>
      <c r="N28" s="24">
        <v>30120690</v>
      </c>
      <c r="O28" s="24">
        <f t="shared" si="8"/>
        <v>8640</v>
      </c>
      <c r="P28" s="24">
        <v>6290757</v>
      </c>
      <c r="Q28" s="29">
        <f t="shared" si="8"/>
        <v>447</v>
      </c>
      <c r="R28" s="37">
        <v>90</v>
      </c>
      <c r="S28" s="35">
        <v>68</v>
      </c>
      <c r="T28" s="24">
        <v>52</v>
      </c>
      <c r="U28" s="24">
        <f t="shared" si="0"/>
        <v>60</v>
      </c>
      <c r="V28" s="29">
        <f t="shared" si="1"/>
        <v>5</v>
      </c>
      <c r="W28" s="49">
        <v>0</v>
      </c>
    </row>
    <row r="29" spans="1:23" ht="20.25" customHeight="1" x14ac:dyDescent="0.25">
      <c r="A29" s="35">
        <v>22</v>
      </c>
      <c r="B29" s="24">
        <v>21084</v>
      </c>
      <c r="C29" s="24">
        <f t="shared" si="2"/>
        <v>6900</v>
      </c>
      <c r="D29" s="24">
        <v>51160</v>
      </c>
      <c r="E29" s="24">
        <f t="shared" si="3"/>
        <v>38.738999999999997</v>
      </c>
      <c r="F29" s="24">
        <v>30986</v>
      </c>
      <c r="G29" s="24">
        <f t="shared" si="4"/>
        <v>1.1000000000000001</v>
      </c>
      <c r="H29" s="24">
        <v>10962023</v>
      </c>
      <c r="I29" s="24">
        <f t="shared" si="6"/>
        <v>1633</v>
      </c>
      <c r="J29" s="45">
        <v>361992</v>
      </c>
      <c r="K29" s="24">
        <f t="shared" si="6"/>
        <v>0</v>
      </c>
      <c r="L29" s="24">
        <v>28170</v>
      </c>
      <c r="M29" s="24">
        <f t="shared" si="5"/>
        <v>5.8000000000000007</v>
      </c>
      <c r="N29" s="24">
        <v>30131080</v>
      </c>
      <c r="O29" s="24">
        <f t="shared" si="8"/>
        <v>10390</v>
      </c>
      <c r="P29" s="24">
        <v>6291212</v>
      </c>
      <c r="Q29" s="29">
        <f t="shared" si="8"/>
        <v>455</v>
      </c>
      <c r="R29" s="37">
        <v>90</v>
      </c>
      <c r="S29" s="35">
        <v>69</v>
      </c>
      <c r="T29" s="24">
        <v>51</v>
      </c>
      <c r="U29" s="24">
        <f t="shared" si="0"/>
        <v>60</v>
      </c>
      <c r="V29" s="29">
        <f t="shared" si="1"/>
        <v>5</v>
      </c>
      <c r="W29" s="49">
        <v>0</v>
      </c>
    </row>
    <row r="30" spans="1:23" ht="20.25" customHeight="1" x14ac:dyDescent="0.25">
      <c r="A30" s="35">
        <v>23</v>
      </c>
      <c r="B30" s="24">
        <v>21108</v>
      </c>
      <c r="C30" s="24">
        <f t="shared" si="2"/>
        <v>7200</v>
      </c>
      <c r="D30" s="24">
        <v>51202</v>
      </c>
      <c r="E30" s="24">
        <f t="shared" si="3"/>
        <v>43.973999999999997</v>
      </c>
      <c r="F30" s="24">
        <v>30997</v>
      </c>
      <c r="G30" s="24">
        <f t="shared" si="4"/>
        <v>1.1000000000000001</v>
      </c>
      <c r="H30" s="24">
        <v>10964072</v>
      </c>
      <c r="I30" s="24">
        <f t="shared" si="6"/>
        <v>2049</v>
      </c>
      <c r="J30" s="45">
        <v>361992</v>
      </c>
      <c r="K30" s="24">
        <f t="shared" si="6"/>
        <v>0</v>
      </c>
      <c r="L30" s="24">
        <v>28215</v>
      </c>
      <c r="M30" s="24">
        <f t="shared" si="5"/>
        <v>4.5</v>
      </c>
      <c r="N30" s="24">
        <v>30141226</v>
      </c>
      <c r="O30" s="24">
        <f t="shared" si="8"/>
        <v>10146</v>
      </c>
      <c r="P30" s="24">
        <v>6291669</v>
      </c>
      <c r="Q30" s="29">
        <f t="shared" si="8"/>
        <v>457</v>
      </c>
      <c r="R30" s="37">
        <v>75</v>
      </c>
      <c r="S30" s="35">
        <v>68</v>
      </c>
      <c r="T30" s="24">
        <v>50</v>
      </c>
      <c r="U30" s="24">
        <f t="shared" si="0"/>
        <v>59</v>
      </c>
      <c r="V30" s="29">
        <f t="shared" si="1"/>
        <v>6</v>
      </c>
      <c r="W30" s="49">
        <v>0</v>
      </c>
    </row>
    <row r="31" spans="1:23" ht="20.25" customHeight="1" x14ac:dyDescent="0.25">
      <c r="A31" s="35">
        <v>24</v>
      </c>
      <c r="B31" s="24">
        <v>21128</v>
      </c>
      <c r="C31" s="24">
        <f t="shared" si="2"/>
        <v>6000</v>
      </c>
      <c r="D31" s="24">
        <v>51237</v>
      </c>
      <c r="E31" s="24">
        <f t="shared" si="3"/>
        <v>36.644999999999996</v>
      </c>
      <c r="F31" s="24">
        <v>31005</v>
      </c>
      <c r="G31" s="24">
        <f t="shared" si="4"/>
        <v>0.8</v>
      </c>
      <c r="H31" s="24">
        <v>10965555</v>
      </c>
      <c r="I31" s="24">
        <f t="shared" si="6"/>
        <v>1483</v>
      </c>
      <c r="J31" s="45">
        <v>361992</v>
      </c>
      <c r="K31" s="24">
        <f t="shared" si="6"/>
        <v>0</v>
      </c>
      <c r="L31" s="24">
        <v>28286</v>
      </c>
      <c r="M31" s="24">
        <f t="shared" si="5"/>
        <v>7.1000000000000005</v>
      </c>
      <c r="N31" s="24">
        <v>30150695</v>
      </c>
      <c r="O31" s="24">
        <f t="shared" si="8"/>
        <v>9469</v>
      </c>
      <c r="P31" s="24">
        <v>6292483</v>
      </c>
      <c r="Q31" s="29">
        <f t="shared" si="8"/>
        <v>814</v>
      </c>
      <c r="R31" s="37">
        <v>112</v>
      </c>
      <c r="S31" s="35">
        <v>72</v>
      </c>
      <c r="T31" s="24">
        <v>52</v>
      </c>
      <c r="U31" s="24">
        <f t="shared" si="0"/>
        <v>62</v>
      </c>
      <c r="V31" s="29">
        <f t="shared" si="1"/>
        <v>3</v>
      </c>
      <c r="W31" s="49">
        <v>0</v>
      </c>
    </row>
    <row r="32" spans="1:23" ht="20.25" customHeight="1" x14ac:dyDescent="0.25">
      <c r="A32" s="35">
        <v>25</v>
      </c>
      <c r="B32" s="24">
        <v>21147</v>
      </c>
      <c r="C32" s="24">
        <f t="shared" si="2"/>
        <v>5700</v>
      </c>
      <c r="D32" s="24">
        <v>51261</v>
      </c>
      <c r="E32" s="24">
        <f t="shared" si="3"/>
        <v>25.128</v>
      </c>
      <c r="F32" s="24">
        <v>31012</v>
      </c>
      <c r="G32" s="24">
        <f t="shared" si="4"/>
        <v>0.70000000000000007</v>
      </c>
      <c r="H32" s="24">
        <v>10966650</v>
      </c>
      <c r="I32" s="24">
        <f t="shared" si="6"/>
        <v>1095</v>
      </c>
      <c r="J32" s="45">
        <v>361992</v>
      </c>
      <c r="K32" s="24">
        <f t="shared" si="6"/>
        <v>0</v>
      </c>
      <c r="L32" s="24">
        <v>28324</v>
      </c>
      <c r="M32" s="24">
        <f t="shared" si="5"/>
        <v>3.8000000000000003</v>
      </c>
      <c r="N32" s="24">
        <v>30157830</v>
      </c>
      <c r="O32" s="24">
        <f t="shared" si="8"/>
        <v>7135</v>
      </c>
      <c r="P32" s="24">
        <v>6293335</v>
      </c>
      <c r="Q32" s="29">
        <f t="shared" si="8"/>
        <v>852</v>
      </c>
      <c r="R32" s="37">
        <v>114</v>
      </c>
      <c r="S32" s="35">
        <v>73</v>
      </c>
      <c r="T32" s="24">
        <v>52</v>
      </c>
      <c r="U32" s="24">
        <f t="shared" si="0"/>
        <v>62.5</v>
      </c>
      <c r="V32" s="29">
        <f t="shared" si="1"/>
        <v>2.5</v>
      </c>
      <c r="W32" s="49">
        <v>0</v>
      </c>
    </row>
    <row r="33" spans="1:23" ht="20.25" customHeight="1" x14ac:dyDescent="0.25">
      <c r="A33" s="35">
        <v>26</v>
      </c>
      <c r="B33" s="24">
        <v>21173</v>
      </c>
      <c r="C33" s="24">
        <f t="shared" si="2"/>
        <v>7800</v>
      </c>
      <c r="D33" s="24">
        <v>51301</v>
      </c>
      <c r="E33" s="24">
        <f t="shared" si="3"/>
        <v>41.879999999999995</v>
      </c>
      <c r="F33" s="24">
        <v>31020</v>
      </c>
      <c r="G33" s="24">
        <f t="shared" si="4"/>
        <v>0.8</v>
      </c>
      <c r="H33" s="24">
        <v>10969105</v>
      </c>
      <c r="I33" s="24">
        <f t="shared" si="6"/>
        <v>2455</v>
      </c>
      <c r="J33" s="45">
        <v>361992</v>
      </c>
      <c r="K33" s="24">
        <f t="shared" si="6"/>
        <v>0</v>
      </c>
      <c r="L33" s="24">
        <v>28405</v>
      </c>
      <c r="M33" s="24">
        <f t="shared" si="5"/>
        <v>8.1</v>
      </c>
      <c r="N33" s="24">
        <v>30163591</v>
      </c>
      <c r="O33" s="24">
        <f t="shared" si="8"/>
        <v>5761</v>
      </c>
      <c r="P33" s="24">
        <v>6293651</v>
      </c>
      <c r="Q33" s="29">
        <f t="shared" si="8"/>
        <v>316</v>
      </c>
      <c r="R33" s="37">
        <v>112</v>
      </c>
      <c r="S33" s="35">
        <v>63</v>
      </c>
      <c r="T33" s="24">
        <v>52</v>
      </c>
      <c r="U33" s="24">
        <f t="shared" si="0"/>
        <v>57.5</v>
      </c>
      <c r="V33" s="29">
        <f t="shared" si="1"/>
        <v>7.5</v>
      </c>
      <c r="W33" s="49">
        <v>0</v>
      </c>
    </row>
    <row r="34" spans="1:23" ht="20.25" customHeight="1" x14ac:dyDescent="0.25">
      <c r="A34" s="35">
        <v>27</v>
      </c>
      <c r="B34" s="24">
        <v>21196</v>
      </c>
      <c r="C34" s="24">
        <f t="shared" si="2"/>
        <v>6900</v>
      </c>
      <c r="D34" s="24">
        <v>51352</v>
      </c>
      <c r="E34" s="24">
        <f t="shared" si="3"/>
        <v>53.396999999999998</v>
      </c>
      <c r="F34" s="24">
        <v>31029</v>
      </c>
      <c r="G34" s="24">
        <f t="shared" si="4"/>
        <v>0.9</v>
      </c>
      <c r="H34" s="24">
        <v>10971020</v>
      </c>
      <c r="I34" s="24">
        <f t="shared" si="6"/>
        <v>1915</v>
      </c>
      <c r="J34" s="45">
        <v>361992</v>
      </c>
      <c r="K34" s="24">
        <f t="shared" si="6"/>
        <v>0</v>
      </c>
      <c r="L34" s="24">
        <v>28449</v>
      </c>
      <c r="M34" s="24">
        <f t="shared" si="5"/>
        <v>4.4000000000000004</v>
      </c>
      <c r="N34" s="24">
        <v>30171360</v>
      </c>
      <c r="O34" s="24">
        <f t="shared" si="8"/>
        <v>7769</v>
      </c>
      <c r="P34" s="24">
        <v>6294012</v>
      </c>
      <c r="Q34" s="29">
        <f t="shared" si="8"/>
        <v>361</v>
      </c>
      <c r="R34" s="37">
        <v>98</v>
      </c>
      <c r="S34" s="35">
        <v>62</v>
      </c>
      <c r="T34" s="24">
        <v>51</v>
      </c>
      <c r="U34" s="24">
        <f t="shared" si="0"/>
        <v>56.5</v>
      </c>
      <c r="V34" s="29">
        <f t="shared" si="1"/>
        <v>8.5</v>
      </c>
      <c r="W34" s="49">
        <v>0</v>
      </c>
    </row>
    <row r="35" spans="1:23" ht="20.25" customHeight="1" x14ac:dyDescent="0.25">
      <c r="A35" s="35">
        <v>28</v>
      </c>
      <c r="B35" s="24">
        <v>21210</v>
      </c>
      <c r="C35" s="24">
        <f t="shared" si="2"/>
        <v>4200</v>
      </c>
      <c r="D35" s="24">
        <v>51391</v>
      </c>
      <c r="E35" s="24">
        <f t="shared" si="3"/>
        <v>40.832999999999998</v>
      </c>
      <c r="F35" s="24">
        <v>31037</v>
      </c>
      <c r="G35" s="24">
        <f t="shared" si="4"/>
        <v>0.8</v>
      </c>
      <c r="H35" s="24">
        <v>10972237</v>
      </c>
      <c r="I35" s="24">
        <f t="shared" si="6"/>
        <v>1217</v>
      </c>
      <c r="J35" s="45">
        <v>361992</v>
      </c>
      <c r="K35" s="24">
        <f t="shared" si="6"/>
        <v>0</v>
      </c>
      <c r="L35" s="24">
        <v>28487</v>
      </c>
      <c r="M35" s="24">
        <f t="shared" si="5"/>
        <v>3.8000000000000003</v>
      </c>
      <c r="N35" s="24">
        <v>30182190</v>
      </c>
      <c r="O35" s="24">
        <f t="shared" si="8"/>
        <v>10830</v>
      </c>
      <c r="P35" s="24">
        <v>6294884</v>
      </c>
      <c r="Q35" s="29">
        <f t="shared" si="8"/>
        <v>872</v>
      </c>
      <c r="R35" s="37">
        <v>61</v>
      </c>
      <c r="S35" s="35">
        <v>65</v>
      </c>
      <c r="T35" s="24">
        <v>52</v>
      </c>
      <c r="U35" s="24">
        <f t="shared" si="0"/>
        <v>58.5</v>
      </c>
      <c r="V35" s="29">
        <f t="shared" si="1"/>
        <v>6.5</v>
      </c>
      <c r="W35" s="49">
        <v>0</v>
      </c>
    </row>
    <row r="36" spans="1:23" ht="20.25" customHeight="1" x14ac:dyDescent="0.25">
      <c r="A36" s="35">
        <v>29</v>
      </c>
      <c r="B36" s="24">
        <v>21232</v>
      </c>
      <c r="C36" s="24">
        <f t="shared" si="2"/>
        <v>6600</v>
      </c>
      <c r="D36" s="24">
        <v>51440</v>
      </c>
      <c r="E36" s="24">
        <f t="shared" si="3"/>
        <v>51.302999999999997</v>
      </c>
      <c r="F36" s="24">
        <v>31047</v>
      </c>
      <c r="G36" s="24">
        <f t="shared" si="4"/>
        <v>1</v>
      </c>
      <c r="H36" s="24">
        <v>10974210</v>
      </c>
      <c r="I36" s="24">
        <f t="shared" si="6"/>
        <v>1973</v>
      </c>
      <c r="J36" s="45">
        <v>361992</v>
      </c>
      <c r="K36" s="24">
        <f t="shared" si="6"/>
        <v>0</v>
      </c>
      <c r="L36" s="24">
        <v>28551</v>
      </c>
      <c r="M36" s="24">
        <f t="shared" si="5"/>
        <v>6.4</v>
      </c>
      <c r="N36" s="24">
        <v>30188619</v>
      </c>
      <c r="O36" s="24">
        <f t="shared" si="8"/>
        <v>6429</v>
      </c>
      <c r="P36" s="24">
        <v>6295051</v>
      </c>
      <c r="Q36" s="29">
        <f t="shared" si="8"/>
        <v>167</v>
      </c>
      <c r="R36" s="37">
        <v>69</v>
      </c>
      <c r="S36" s="35">
        <v>67</v>
      </c>
      <c r="T36" s="24">
        <v>50</v>
      </c>
      <c r="U36" s="24">
        <f t="shared" si="0"/>
        <v>58.5</v>
      </c>
      <c r="V36" s="29">
        <f t="shared" si="1"/>
        <v>6.5</v>
      </c>
      <c r="W36" s="49">
        <v>0</v>
      </c>
    </row>
    <row r="37" spans="1:23" ht="20.25" customHeight="1" thickBot="1" x14ac:dyDescent="0.3">
      <c r="A37" s="35">
        <v>30</v>
      </c>
      <c r="B37" s="24">
        <v>21256</v>
      </c>
      <c r="C37" s="24">
        <f t="shared" si="2"/>
        <v>7200</v>
      </c>
      <c r="D37" s="24">
        <v>51501</v>
      </c>
      <c r="E37" s="24">
        <f t="shared" si="3"/>
        <v>63.866999999999997</v>
      </c>
      <c r="F37" s="24">
        <v>31059</v>
      </c>
      <c r="G37" s="24">
        <f t="shared" si="4"/>
        <v>1.2000000000000002</v>
      </c>
      <c r="H37" s="24">
        <v>10976893</v>
      </c>
      <c r="I37" s="24">
        <f t="shared" si="6"/>
        <v>2683</v>
      </c>
      <c r="J37" s="45">
        <v>361992</v>
      </c>
      <c r="K37" s="24">
        <f t="shared" si="6"/>
        <v>0</v>
      </c>
      <c r="L37" s="24">
        <v>28616</v>
      </c>
      <c r="M37" s="24">
        <f t="shared" si="5"/>
        <v>6.5</v>
      </c>
      <c r="N37" s="24">
        <v>30197010</v>
      </c>
      <c r="O37" s="24">
        <f t="shared" si="8"/>
        <v>8391</v>
      </c>
      <c r="P37" s="24">
        <v>6295405</v>
      </c>
      <c r="Q37" s="29">
        <f t="shared" si="8"/>
        <v>354</v>
      </c>
      <c r="R37" s="37">
        <v>57</v>
      </c>
      <c r="S37" s="35">
        <v>66</v>
      </c>
      <c r="T37" s="24">
        <v>50</v>
      </c>
      <c r="U37" s="24">
        <f t="shared" si="0"/>
        <v>58</v>
      </c>
      <c r="V37" s="29">
        <f t="shared" si="1"/>
        <v>7</v>
      </c>
      <c r="W37" s="50">
        <v>0</v>
      </c>
    </row>
    <row r="38" spans="1:23" ht="20.25" customHeight="1" thickBot="1" x14ac:dyDescent="0.3">
      <c r="A38" s="36">
        <v>31</v>
      </c>
      <c r="B38" s="30">
        <v>21272</v>
      </c>
      <c r="C38" s="30">
        <f t="shared" si="2"/>
        <v>4800</v>
      </c>
      <c r="D38" s="30">
        <v>51538</v>
      </c>
      <c r="E38" s="30">
        <f t="shared" si="3"/>
        <v>38.738999999999997</v>
      </c>
      <c r="F38" s="30">
        <v>31065</v>
      </c>
      <c r="G38" s="30">
        <f t="shared" si="4"/>
        <v>0.60000000000000009</v>
      </c>
      <c r="H38" s="30">
        <v>10978110</v>
      </c>
      <c r="I38" s="30">
        <f t="shared" si="6"/>
        <v>1217</v>
      </c>
      <c r="J38" s="47">
        <v>361992</v>
      </c>
      <c r="K38" s="30">
        <f t="shared" si="6"/>
        <v>0</v>
      </c>
      <c r="L38" s="30">
        <v>28665</v>
      </c>
      <c r="M38" s="30">
        <f t="shared" si="5"/>
        <v>4.9000000000000004</v>
      </c>
      <c r="N38" s="30">
        <v>30200619</v>
      </c>
      <c r="O38" s="30">
        <f t="shared" si="8"/>
        <v>3609</v>
      </c>
      <c r="P38" s="30">
        <v>6295687</v>
      </c>
      <c r="Q38" s="31">
        <f t="shared" si="8"/>
        <v>282</v>
      </c>
      <c r="R38" s="38"/>
      <c r="S38" s="36"/>
      <c r="T38" s="30"/>
      <c r="U38" s="30">
        <f t="shared" si="0"/>
        <v>0</v>
      </c>
      <c r="V38" s="31">
        <f t="shared" si="1"/>
        <v>65</v>
      </c>
    </row>
    <row r="40" spans="1:23" x14ac:dyDescent="0.25">
      <c r="A40" s="25" t="s">
        <v>15</v>
      </c>
      <c r="C40" s="26">
        <f>SUM(C8:C39)</f>
        <v>184200</v>
      </c>
      <c r="E40" s="26">
        <f>SUM(E8:E39)</f>
        <v>999.88499999999999</v>
      </c>
      <c r="G40" s="26">
        <f>SUM(G8:G39)</f>
        <v>25.600000000000005</v>
      </c>
      <c r="I40" s="26">
        <f>SUM(I8:I39)</f>
        <v>45511</v>
      </c>
      <c r="K40" s="26">
        <f>SUM(K8:K39)</f>
        <v>0</v>
      </c>
      <c r="M40" s="26">
        <f>SUM(M8:M39)</f>
        <v>171.00000000000006</v>
      </c>
      <c r="O40" s="26">
        <f>SUM(O8:O39)</f>
        <v>225523</v>
      </c>
      <c r="Q40" s="26">
        <f>SUM(Q8:Q39)</f>
        <v>8753</v>
      </c>
      <c r="R40" s="16">
        <f>SUM(R8:R39)</f>
        <v>2471</v>
      </c>
      <c r="V40" s="16">
        <f>SUM(V8:V38)</f>
        <v>284.5</v>
      </c>
      <c r="W40" s="16">
        <f>SUM(W8:W37)</f>
        <v>0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2022-06-20T20:31:09Z</dcterms:modified>
  <cp:category/>
  <cp:contentStatus/>
</cp:coreProperties>
</file>