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057" documentId="13_ncr:1_{76C55D63-F869-4AF5-AAA3-3D809A91432B}" xr6:coauthVersionLast="47" xr6:coauthVersionMax="47" xr10:uidLastSave="{E5BB5203-230E-4D06-A1D0-08747AA2C1F9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27" l="1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K37" i="27"/>
  <c r="L37" i="27" s="1"/>
  <c r="F37" i="27"/>
  <c r="C37" i="27"/>
  <c r="D37" i="27" s="1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32" i="26" l="1"/>
  <c r="L36" i="27"/>
  <c r="E32" i="26"/>
  <c r="G38" i="28"/>
  <c r="G26" i="26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<sst xmlns="http://schemas.openxmlformats.org/spreadsheetml/2006/main" count="72" uniqueCount="33">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</sst>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18250.000000007276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3098</v>
      </c>
      <c r="J2" s="80">
        <v>0.21186441</v>
      </c>
      <c r="K2" s="11">
        <f>IF('Water, Gas, Diesel'!F6&lt;0,0,'Water, Gas, Diesel'!F6)</f>
        <v>313</v>
      </c>
      <c r="L2" s="80">
        <v>1.6949000000000001</v>
      </c>
      <c r="M2" s="11">
        <f>Electricity!H8</f>
        <v>74</v>
      </c>
      <c r="O2" s="103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14337.499999996908</v>
      </c>
      <c r="F3" s="80">
        <v>9.3200000000000005E-2</v>
      </c>
      <c r="G3" s="11">
        <f>IF('Water, Gas, Diesel'!K7&lt;0,0,'Water, Gas, Diesel'!K7)</f>
        <v>0</v>
      </c>
      <c r="H3" s="80">
        <v>0.7</v>
      </c>
      <c r="I3" s="11">
        <f>IF('Water, Gas, Diesel'!C7&lt;0,0,'Water, Gas, Diesel'!C7)</f>
        <v>2351</v>
      </c>
      <c r="J3" s="80">
        <v>0.21186441</v>
      </c>
      <c r="K3" s="11">
        <f>IF('Water, Gas, Diesel'!F7&lt;0,0,'Water, Gas, Diesel'!F7)</f>
        <v>244</v>
      </c>
      <c r="L3" s="80">
        <v>1.6949000000000001</v>
      </c>
      <c r="M3" s="11">
        <f>Electricity!H9</f>
        <v>77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17789.999999995416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3633</v>
      </c>
      <c r="J4" s="80">
        <v>0.21186441</v>
      </c>
      <c r="K4" s="11">
        <f>IF('Water, Gas, Diesel'!F8&lt;0,0,'Water, Gas, Diesel'!F8)</f>
        <v>302</v>
      </c>
      <c r="L4" s="80">
        <v>1.6949000000000001</v>
      </c>
      <c r="M4" s="11">
        <f>Electricity!H10</f>
        <v>69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17352.50000000633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3095</v>
      </c>
      <c r="J5" s="80">
        <v>0.21186441</v>
      </c>
      <c r="K5" s="11">
        <f>IF('Water, Gas, Diesel'!F9&lt;0,0,'Water, Gas, Diesel'!F9)</f>
        <v>331</v>
      </c>
      <c r="L5" s="80">
        <v>1.6949000000000001</v>
      </c>
      <c r="M5" s="11">
        <f>Electricity!H11</f>
        <v>66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17672.499999994216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4668</v>
      </c>
      <c r="J6" s="80">
        <v>0.21186441</v>
      </c>
      <c r="K6" s="11">
        <f>IF('Water, Gas, Diesel'!F10&lt;0,0,'Water, Gas, Diesel'!F10)</f>
        <v>277</v>
      </c>
      <c r="L6" s="80">
        <v>1.6949000000000001</v>
      </c>
      <c r="M6" s="11">
        <f>Electricity!H12</f>
        <v>107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21185.000000004948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4579</v>
      </c>
      <c r="J7" s="80">
        <v>0.21186441</v>
      </c>
      <c r="K7" s="11">
        <f>IF('Water, Gas, Diesel'!F11&lt;0,0,'Water, Gas, Diesel'!F11)</f>
        <v>364</v>
      </c>
      <c r="L7" s="80">
        <v>1.6949000000000001</v>
      </c>
      <c r="M7" s="11">
        <f>Electricity!H13</f>
        <v>88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18602.499999997235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4044</v>
      </c>
      <c r="J8" s="80">
        <v>0.21186441</v>
      </c>
      <c r="K8" s="11">
        <f>IF('Water, Gas, Diesel'!F12&lt;0,0,'Water, Gas, Diesel'!F12)</f>
        <v>314</v>
      </c>
      <c r="L8" s="80">
        <v>1.6949000000000001</v>
      </c>
      <c r="M8" s="11">
        <f>Electricity!H14</f>
        <v>99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18772.500000000036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4428</v>
      </c>
      <c r="J9" s="80">
        <v>0.21186441</v>
      </c>
      <c r="K9" s="11">
        <f>IF('Water, Gas, Diesel'!F13&lt;0,0,'Water, Gas, Diesel'!F13)</f>
        <v>320</v>
      </c>
      <c r="L9" s="80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17585.000000003674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3553</v>
      </c>
      <c r="J10" s="80">
        <v>0.21186441</v>
      </c>
      <c r="K10" s="11">
        <f>IF('Water, Gas, Diesel'!F14&lt;0,0,'Water, Gas, Diesel'!F14)</f>
        <v>298</v>
      </c>
      <c r="L10" s="80">
        <v>1.6949000000000001</v>
      </c>
      <c r="M10" s="11">
        <f>Electricity!H16</f>
        <v>68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14104.999999999563</v>
      </c>
      <c r="F11" s="80">
        <v>9.3200000000000005E-2</v>
      </c>
      <c r="G11" s="11">
        <f>IF('Water, Gas, Diesel'!K15&lt;0,0,'Water, Gas, Diesel'!K15)</f>
        <v>0</v>
      </c>
      <c r="H11" s="80">
        <v>0.7</v>
      </c>
      <c r="I11" s="11">
        <f>IF('Water, Gas, Diesel'!C15&lt;0,0,'Water, Gas, Diesel'!C15)</f>
        <v>2959</v>
      </c>
      <c r="J11" s="80">
        <v>0.21186441</v>
      </c>
      <c r="K11" s="11">
        <f>IF('Water, Gas, Diesel'!F15&lt;0,0,'Water, Gas, Diesel'!F15)</f>
        <v>52</v>
      </c>
      <c r="L11" s="80">
        <v>1.6949000000000001</v>
      </c>
      <c r="M11" s="11">
        <f>Electricity!H17</f>
        <v>53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18635.000000003856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4010</v>
      </c>
      <c r="J12" s="80">
        <v>0.21186441</v>
      </c>
      <c r="K12" s="11">
        <f>IF('Water, Gas, Diesel'!F16&lt;0,0,'Water, Gas, Diesel'!F16)</f>
        <v>94</v>
      </c>
      <c r="L12" s="80">
        <v>1.6949000000000001</v>
      </c>
      <c r="M12" s="11">
        <f>Electricity!H18</f>
        <v>46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18349.999999991269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3936</v>
      </c>
      <c r="J13" s="80">
        <v>0.21186441</v>
      </c>
      <c r="K13" s="11">
        <f>IF('Water, Gas, Diesel'!F17&lt;0,0,'Water, Gas, Diesel'!F17)</f>
        <v>320</v>
      </c>
      <c r="L13" s="80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20527.500000007421</v>
      </c>
      <c r="F14" s="80">
        <v>9.3200000000000005E-2</v>
      </c>
      <c r="G14" s="11">
        <f>IF('Water, Gas, Diesel'!K18&lt;0,0,'Water, Gas, Diesel'!K18)</f>
        <v>10</v>
      </c>
      <c r="H14" s="80">
        <v>0.7</v>
      </c>
      <c r="I14" s="11">
        <f>IF('Water, Gas, Diesel'!C18&lt;0,0,'Water, Gas, Diesel'!C18)</f>
        <v>3933</v>
      </c>
      <c r="J14" s="80">
        <v>0.21186441</v>
      </c>
      <c r="K14" s="11">
        <f>IF('Water, Gas, Diesel'!F18&lt;0,0,'Water, Gas, Diesel'!F18)</f>
        <v>352</v>
      </c>
      <c r="L14" s="80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17545.000000000073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4002</v>
      </c>
      <c r="J15" s="80">
        <v>0.21186441</v>
      </c>
      <c r="K15" s="11">
        <f>IF('Water, Gas, Diesel'!F19&lt;0,0,'Water, Gas, Diesel'!F19)</f>
        <v>142</v>
      </c>
      <c r="L15" s="80">
        <v>1.6949000000000001</v>
      </c>
      <c r="M15" s="11">
        <f>Electricity!H21</f>
        <v>61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22094.999999999345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3569</v>
      </c>
      <c r="J16" s="80">
        <v>0.21186441</v>
      </c>
      <c r="K16" s="11">
        <f>IF('Water, Gas, Diesel'!F20&lt;0,0,'Water, Gas, Diesel'!F20)</f>
        <v>90</v>
      </c>
      <c r="L16" s="80">
        <v>1.6949000000000001</v>
      </c>
      <c r="M16" s="11">
        <f>Electricity!H22</f>
        <v>58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16097.499999996217</v>
      </c>
      <c r="F17" s="80">
        <v>9.3200000000000005E-2</v>
      </c>
      <c r="G17" s="11">
        <f>IF('Water, Gas, Diesel'!K21&lt;0,0,'Water, Gas, Diesel'!K21)</f>
        <v>111</v>
      </c>
      <c r="H17" s="80">
        <v>0.7</v>
      </c>
      <c r="I17" s="11">
        <f>IF('Water, Gas, Diesel'!C21&lt;0,0,'Water, Gas, Diesel'!C21)</f>
        <v>2946</v>
      </c>
      <c r="J17" s="80">
        <v>0.21186441</v>
      </c>
      <c r="K17" s="11">
        <f>IF('Water, Gas, Diesel'!F21&lt;0,0,'Water, Gas, Diesel'!F21)</f>
        <v>87</v>
      </c>
      <c r="L17" s="80">
        <v>1.6949000000000001</v>
      </c>
      <c r="M17" s="11">
        <f>Electricity!H23</f>
        <v>64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17457.500000004984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3485</v>
      </c>
      <c r="J18" s="80">
        <v>0.21186441</v>
      </c>
      <c r="K18" s="11">
        <f>IF('Water, Gas, Diesel'!F22&lt;0,0,'Water, Gas, Diesel'!F22)</f>
        <v>263</v>
      </c>
      <c r="L18" s="80">
        <v>1.6949000000000001</v>
      </c>
      <c r="M18" s="11">
        <f>Electricity!H24</f>
        <v>139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18472.499999993488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3485</v>
      </c>
      <c r="J19" s="80">
        <v>0.21186441</v>
      </c>
      <c r="K19" s="11">
        <f>IF('Water, Gas, Diesel'!F23&lt;0,0,'Water, Gas, Diesel'!F23)</f>
        <v>299</v>
      </c>
      <c r="L19" s="80">
        <v>1.6949000000000001</v>
      </c>
      <c r="M19" s="11">
        <f>Electricity!H25</f>
        <v>162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21205.000000004475</v>
      </c>
      <c r="F20" s="80">
        <v>9.3200000000000005E-2</v>
      </c>
      <c r="G20" s="11">
        <f>IF('Water, Gas, Diesel'!K24&lt;0,0,'Water, Gas, Diesel'!K24)</f>
        <v>70</v>
      </c>
      <c r="H20" s="80">
        <v>0.7</v>
      </c>
      <c r="I20" s="11">
        <f>IF('Water, Gas, Diesel'!C24&lt;0,0,'Water, Gas, Diesel'!C24)</f>
        <v>5219</v>
      </c>
      <c r="J20" s="80">
        <v>0.21186441</v>
      </c>
      <c r="K20" s="11">
        <f>IF('Water, Gas, Diesel'!F24&lt;0,0,'Water, Gas, Diesel'!F24)</f>
        <v>352</v>
      </c>
      <c r="L20" s="80">
        <v>1.6949000000000001</v>
      </c>
      <c r="M20" s="11">
        <f>Electricity!H26</f>
        <v>161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16482.499999992797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4254</v>
      </c>
      <c r="J21" s="80">
        <v>0.21186441</v>
      </c>
      <c r="K21" s="11">
        <f>IF('Water, Gas, Diesel'!F25&lt;0,0,'Water, Gas, Diesel'!F25)</f>
        <v>246</v>
      </c>
      <c r="L21" s="80">
        <v>1.6949000000000001</v>
      </c>
      <c r="M21" s="11">
        <f>Electricity!H27</f>
        <v>116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20932.500000008076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5482</v>
      </c>
      <c r="J22" s="80">
        <v>0.21186441</v>
      </c>
      <c r="K22" s="11">
        <f>IF('Water, Gas, Diesel'!F26&lt;0,0,'Water, Gas, Diesel'!F26)</f>
        <v>162</v>
      </c>
      <c r="L22" s="80">
        <v>1.6949000000000001</v>
      </c>
      <c r="M22" s="11">
        <f>Electricity!H28</f>
        <v>109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19274.999999997817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4619</v>
      </c>
      <c r="J23" s="80">
        <v>0.21186441</v>
      </c>
      <c r="K23" s="11">
        <f>IF('Water, Gas, Diesel'!F27&lt;0,0,'Water, Gas, Diesel'!F27)</f>
        <v>231</v>
      </c>
      <c r="L23" s="80">
        <v>1.6949000000000001</v>
      </c>
      <c r="M23" s="11">
        <f>Electricity!H29</f>
        <v>58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18902.499999999236</v>
      </c>
      <c r="F24" s="80">
        <v>9.3200000000000005E-2</v>
      </c>
      <c r="G24" s="11">
        <f>IF('Water, Gas, Diesel'!K28&lt;0,0,'Water, Gas, Diesel'!K28)</f>
        <v>100</v>
      </c>
      <c r="H24" s="80">
        <v>0.7</v>
      </c>
      <c r="I24" s="11">
        <f>IF('Water, Gas, Diesel'!C28&lt;0,0,'Water, Gas, Diesel'!C28)</f>
        <v>4620</v>
      </c>
      <c r="J24" s="80">
        <v>0.21186441</v>
      </c>
      <c r="K24" s="11">
        <f>IF('Water, Gas, Diesel'!F28&lt;0,0,'Water, Gas, Diesel'!F28)</f>
        <v>281</v>
      </c>
      <c r="L24" s="80">
        <v>1.6949000000000001</v>
      </c>
      <c r="M24" s="11">
        <f>Electricity!H30</f>
        <v>96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19727.500000003602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4543</v>
      </c>
      <c r="J25" s="80">
        <v>0.21186441</v>
      </c>
      <c r="K25" s="11">
        <f>IF('Water, Gas, Diesel'!F29&lt;0,0,'Water, Gas, Diesel'!F29)</f>
        <v>292</v>
      </c>
      <c r="L25" s="80">
        <v>1.6949000000000001</v>
      </c>
      <c r="M25" s="11">
        <f>Electricity!H31</f>
        <v>109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18409.999999994398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4645</v>
      </c>
      <c r="J26" s="80">
        <v>0.21186441</v>
      </c>
      <c r="K26" s="11">
        <f>IF('Water, Gas, Diesel'!F30&lt;0,0,'Water, Gas, Diesel'!F30)</f>
        <v>42</v>
      </c>
      <c r="L26" s="80">
        <v>1.6949000000000001</v>
      </c>
      <c r="M26" s="11">
        <f>Electricity!H32</f>
        <v>83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20130.000000003747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4810</v>
      </c>
      <c r="J27" s="80">
        <v>0.21186441</v>
      </c>
      <c r="K27" s="11">
        <f>IF('Water, Gas, Diesel'!F31&lt;0,0,'Water, Gas, Diesel'!F31)</f>
        <v>0</v>
      </c>
      <c r="L27" s="80">
        <v>1.6949000000000001</v>
      </c>
      <c r="M27" s="11">
        <f>Electricity!H33</f>
        <v>72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19747.500000003129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5331</v>
      </c>
      <c r="J28" s="80">
        <v>0.21186441</v>
      </c>
      <c r="K28" s="11">
        <f>IF('Water, Gas, Diesel'!F32&lt;0,0,'Water, Gas, Diesel'!F32)</f>
        <v>306</v>
      </c>
      <c r="L28" s="80">
        <v>1.6949000000000001</v>
      </c>
      <c r="M28" s="11">
        <f>Electricity!H34</f>
        <v>78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17212.499999991451</v>
      </c>
      <c r="F29" s="80">
        <v>9.3200000000000005E-2</v>
      </c>
      <c r="G29" s="11">
        <f>IF('Water, Gas, Diesel'!K33&lt;0,0,'Water, Gas, Diesel'!K33)</f>
        <v>490</v>
      </c>
      <c r="H29" s="80">
        <v>0.7</v>
      </c>
      <c r="I29" s="11">
        <f>IF('Water, Gas, Diesel'!C33&lt;0,0,'Water, Gas, Diesel'!C33)</f>
        <v>4253</v>
      </c>
      <c r="J29" s="80">
        <v>0.21186441</v>
      </c>
      <c r="K29" s="11">
        <f>IF('Water, Gas, Diesel'!F33&lt;0,0,'Water, Gas, Diesel'!F33)</f>
        <v>283</v>
      </c>
      <c r="L29" s="80">
        <v>1.6949000000000001</v>
      </c>
      <c r="M29" s="11">
        <f>Electricity!H35</f>
        <v>84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16412.500000005821</v>
      </c>
      <c r="F30" s="80">
        <v>9.3200000000000005E-2</v>
      </c>
      <c r="G30" s="11">
        <f>IF('Water, Gas, Diesel'!K34&lt;0,0,'Water, Gas, Diesel'!K34)</f>
        <v>30</v>
      </c>
      <c r="H30" s="80">
        <v>0.7</v>
      </c>
      <c r="I30" s="11">
        <f>IF('Water, Gas, Diesel'!C34&lt;0,0,'Water, Gas, Diesel'!C34)</f>
        <v>4253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91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20452.500000001237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5217</v>
      </c>
      <c r="J31" s="80">
        <v>0.21186441</v>
      </c>
      <c r="K31" s="11">
        <f>IF('Water, Gas, Diesel'!F35&lt;0,0,'Water, Gas, Diesel'!F35)</f>
        <v>381</v>
      </c>
      <c r="L31" s="80">
        <v>1.6949000000000001</v>
      </c>
      <c r="M31" s="11">
        <f>Electricity!H37</f>
        <v>101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21012.49999999709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4432</v>
      </c>
      <c r="J32" s="80">
        <v>0.21186441</v>
      </c>
      <c r="K32" s="11">
        <f>IF('Water, Gas, Diesel'!F36&lt;0,0,'Water, Gas, Diesel'!F36)</f>
        <v>305</v>
      </c>
      <c r="L32" s="80">
        <v>1.6949000000000001</v>
      </c>
      <c r="M32" s="11">
        <f>Electricity!H38</f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4" activePane="bottomLeft" state="frozen"/>
      <selection pane="bottomLeft" activeCell="D39" sqref="D39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2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5" t="s">
        <v>22</v>
      </c>
      <c r="C5" s="60" t="s">
        <v>23</v>
      </c>
      <c r="D5" s="61" t="s">
        <v>22</v>
      </c>
      <c r="E5" s="60" t="s">
        <v>23</v>
      </c>
      <c r="F5" s="151"/>
      <c r="G5" s="153"/>
      <c r="H5" s="143"/>
    </row>
    <row r="6" spans="1:8" ht="15.75" hidden="1">
      <c r="A6" s="93"/>
      <c r="B6" s="22"/>
      <c r="C6" s="62"/>
      <c r="D6" s="63"/>
      <c r="E6" s="62"/>
      <c r="F6" s="25"/>
      <c r="G6" s="64"/>
      <c r="H6" s="94"/>
    </row>
    <row r="7" spans="1:8" ht="27.75" customHeight="1">
      <c r="A7" s="95">
        <v>30</v>
      </c>
      <c r="B7" s="66">
        <v>16145.029</v>
      </c>
      <c r="C7" s="67">
        <f t="shared" ref="C7:C24" si="0">(B8-B7)*2500</f>
        <v>10747.499999997672</v>
      </c>
      <c r="D7" s="66">
        <v>16388.432000000001</v>
      </c>
      <c r="E7" s="67">
        <f t="shared" ref="E7:E24" si="1">(D8-D7)*2500</f>
        <v>11044.999999994616</v>
      </c>
      <c r="F7" s="91">
        <f t="shared" ref="F7:F38" si="2">C7+E7</f>
        <v>21792.499999992287</v>
      </c>
      <c r="G7" s="65">
        <f>F7*0.0932</f>
        <v>2031.0609999992812</v>
      </c>
      <c r="H7" s="137">
        <v>76</v>
      </c>
    </row>
    <row r="8" spans="1:8" ht="30.95" customHeight="1">
      <c r="A8" s="96">
        <v>1</v>
      </c>
      <c r="B8" s="90">
        <v>16149.328</v>
      </c>
      <c r="C8" s="68">
        <f t="shared" si="0"/>
        <v>8765.0000000030559</v>
      </c>
      <c r="D8" s="69">
        <v>16392.849999999999</v>
      </c>
      <c r="E8" s="68">
        <f t="shared" si="1"/>
        <v>9485.0000000042201</v>
      </c>
      <c r="F8" s="49">
        <f t="shared" si="2"/>
        <v>18250.000000007276</v>
      </c>
      <c r="G8" s="65">
        <f t="shared" ref="G8:G39" si="3">F8*0.0932</f>
        <v>1700.9000000006781</v>
      </c>
      <c r="H8" s="97">
        <v>74</v>
      </c>
    </row>
    <row r="9" spans="1:8" ht="30.95" customHeight="1">
      <c r="A9" s="98">
        <v>2</v>
      </c>
      <c r="B9" s="70">
        <v>16152.834000000001</v>
      </c>
      <c r="C9" s="37">
        <f t="shared" si="0"/>
        <v>7502.4999999959618</v>
      </c>
      <c r="D9" s="69">
        <v>16396.644</v>
      </c>
      <c r="E9" s="37">
        <f t="shared" si="1"/>
        <v>6835.0000000009459</v>
      </c>
      <c r="F9" s="45">
        <f t="shared" si="2"/>
        <v>14337.499999996908</v>
      </c>
      <c r="G9" s="65">
        <f t="shared" si="3"/>
        <v>1336.2549999997118</v>
      </c>
      <c r="H9" s="99">
        <v>77</v>
      </c>
    </row>
    <row r="10" spans="1:8" ht="30.95" customHeight="1">
      <c r="A10" s="96">
        <v>3</v>
      </c>
      <c r="B10" s="71">
        <v>16155.834999999999</v>
      </c>
      <c r="C10" s="68">
        <f t="shared" si="0"/>
        <v>8710.0000000009459</v>
      </c>
      <c r="D10" s="72">
        <v>16399.378000000001</v>
      </c>
      <c r="E10" s="68">
        <f t="shared" si="1"/>
        <v>9079.9999999944703</v>
      </c>
      <c r="F10" s="49">
        <f t="shared" si="2"/>
        <v>17789.999999995416</v>
      </c>
      <c r="G10" s="65">
        <f t="shared" si="3"/>
        <v>1658.0279999995728</v>
      </c>
      <c r="H10" s="99">
        <v>69</v>
      </c>
    </row>
    <row r="11" spans="1:8" ht="30.95" customHeight="1">
      <c r="A11" s="98">
        <v>4</v>
      </c>
      <c r="B11" s="73">
        <v>16159.319</v>
      </c>
      <c r="C11" s="37">
        <f t="shared" si="0"/>
        <v>8209.9999999991269</v>
      </c>
      <c r="D11" s="74">
        <v>16403.009999999998</v>
      </c>
      <c r="E11" s="37">
        <f t="shared" si="1"/>
        <v>9142.5000000072032</v>
      </c>
      <c r="F11" s="45">
        <f t="shared" si="2"/>
        <v>17352.50000000633</v>
      </c>
      <c r="G11" s="65">
        <f t="shared" si="3"/>
        <v>1617.25300000059</v>
      </c>
      <c r="H11" s="99">
        <v>66</v>
      </c>
    </row>
    <row r="12" spans="1:8" ht="30.95" customHeight="1">
      <c r="A12" s="96">
        <v>5</v>
      </c>
      <c r="B12" s="75">
        <v>16162.602999999999</v>
      </c>
      <c r="C12" s="68">
        <f t="shared" si="0"/>
        <v>8507.5000000006185</v>
      </c>
      <c r="D12" s="72">
        <v>16406.667000000001</v>
      </c>
      <c r="E12" s="68">
        <f t="shared" si="1"/>
        <v>9164.9999999935972</v>
      </c>
      <c r="F12" s="49">
        <f t="shared" si="2"/>
        <v>17672.499999994216</v>
      </c>
      <c r="G12" s="65">
        <f t="shared" si="3"/>
        <v>1647.0769999994609</v>
      </c>
      <c r="H12" s="99">
        <v>107</v>
      </c>
    </row>
    <row r="13" spans="1:8" ht="30.95" customHeight="1">
      <c r="A13" s="98">
        <v>6</v>
      </c>
      <c r="B13" s="73">
        <v>16166.005999999999</v>
      </c>
      <c r="C13" s="37">
        <f t="shared" si="0"/>
        <v>10105.000000003201</v>
      </c>
      <c r="D13" s="74">
        <v>16410.332999999999</v>
      </c>
      <c r="E13" s="37">
        <f t="shared" si="1"/>
        <v>11080.000000001746</v>
      </c>
      <c r="F13" s="45">
        <f t="shared" si="2"/>
        <v>21185.000000004948</v>
      </c>
      <c r="G13" s="65">
        <f t="shared" si="3"/>
        <v>1974.4420000004611</v>
      </c>
      <c r="H13" s="99">
        <v>88</v>
      </c>
    </row>
    <row r="14" spans="1:8" ht="30.95" customHeight="1">
      <c r="A14" s="96">
        <v>7</v>
      </c>
      <c r="B14" s="75">
        <v>16170.048000000001</v>
      </c>
      <c r="C14" s="68">
        <f t="shared" si="0"/>
        <v>8509.9999999965803</v>
      </c>
      <c r="D14" s="100">
        <v>16414.764999999999</v>
      </c>
      <c r="E14" s="68">
        <f t="shared" si="1"/>
        <v>10092.500000000655</v>
      </c>
      <c r="F14" s="49">
        <f t="shared" si="2"/>
        <v>18602.499999997235</v>
      </c>
      <c r="G14" s="65">
        <f t="shared" si="3"/>
        <v>1733.7529999997423</v>
      </c>
      <c r="H14" s="99">
        <v>99</v>
      </c>
    </row>
    <row r="15" spans="1:8" ht="30.95" customHeight="1">
      <c r="A15" s="98">
        <v>8</v>
      </c>
      <c r="B15" s="73">
        <v>16173.451999999999</v>
      </c>
      <c r="C15" s="37">
        <f t="shared" si="0"/>
        <v>8595.0000000002547</v>
      </c>
      <c r="D15" s="76">
        <v>16418.802</v>
      </c>
      <c r="E15" s="37">
        <f t="shared" si="1"/>
        <v>10177.499999999782</v>
      </c>
      <c r="F15" s="45">
        <f t="shared" si="2"/>
        <v>18772.500000000036</v>
      </c>
      <c r="G15" s="65">
        <f t="shared" si="3"/>
        <v>1749.5970000000034</v>
      </c>
      <c r="H15" s="99">
        <v>77</v>
      </c>
    </row>
    <row r="16" spans="1:8" ht="30.95" customHeight="1">
      <c r="A16" s="96">
        <v>9</v>
      </c>
      <c r="B16" s="138">
        <v>16176.89</v>
      </c>
      <c r="C16" s="68">
        <f t="shared" si="0"/>
        <v>8247.5000000022192</v>
      </c>
      <c r="D16" s="77">
        <v>16422.873</v>
      </c>
      <c r="E16" s="68">
        <f t="shared" si="1"/>
        <v>9337.5000000014552</v>
      </c>
      <c r="F16" s="49">
        <f t="shared" si="2"/>
        <v>17585.000000003674</v>
      </c>
      <c r="G16" s="65">
        <f t="shared" si="3"/>
        <v>1638.9220000003425</v>
      </c>
      <c r="H16" s="99">
        <v>68</v>
      </c>
    </row>
    <row r="17" spans="1:8" ht="30.95" customHeight="1">
      <c r="A17" s="98">
        <v>10</v>
      </c>
      <c r="B17" s="75">
        <v>16180.189</v>
      </c>
      <c r="C17" s="37">
        <f t="shared" si="0"/>
        <v>6914.9999999990541</v>
      </c>
      <c r="D17" s="100">
        <v>16426.608</v>
      </c>
      <c r="E17" s="37">
        <f t="shared" si="1"/>
        <v>7190.0000000005093</v>
      </c>
      <c r="F17" s="45">
        <f t="shared" si="2"/>
        <v>14104.999999999563</v>
      </c>
      <c r="G17" s="65">
        <f t="shared" si="3"/>
        <v>1314.5859999999593</v>
      </c>
      <c r="H17" s="99">
        <v>53</v>
      </c>
    </row>
    <row r="18" spans="1:8" ht="30.95" customHeight="1">
      <c r="A18" s="96">
        <v>11</v>
      </c>
      <c r="B18" s="73">
        <v>16182.955</v>
      </c>
      <c r="C18" s="68">
        <f t="shared" si="0"/>
        <v>8715.0000000019645</v>
      </c>
      <c r="D18" s="76">
        <v>16429.484</v>
      </c>
      <c r="E18" s="68">
        <f t="shared" si="1"/>
        <v>9920.0000000018917</v>
      </c>
      <c r="F18" s="49">
        <f t="shared" si="2"/>
        <v>18635.000000003856</v>
      </c>
      <c r="G18" s="65">
        <f t="shared" si="3"/>
        <v>1736.7820000003594</v>
      </c>
      <c r="H18" s="99">
        <v>46</v>
      </c>
    </row>
    <row r="19" spans="1:8" ht="30.95" customHeight="1">
      <c r="A19" s="98">
        <v>12</v>
      </c>
      <c r="B19" s="75">
        <v>16186.441000000001</v>
      </c>
      <c r="C19" s="37">
        <f t="shared" si="0"/>
        <v>8644.9999999967986</v>
      </c>
      <c r="D19" s="100">
        <v>16433.452000000001</v>
      </c>
      <c r="E19" s="37">
        <f t="shared" si="1"/>
        <v>9704.9999999944703</v>
      </c>
      <c r="F19" s="45">
        <f t="shared" si="2"/>
        <v>18349.999999991269</v>
      </c>
      <c r="G19" s="65">
        <f t="shared" si="3"/>
        <v>1710.2199999991863</v>
      </c>
      <c r="H19" s="99">
        <v>60</v>
      </c>
    </row>
    <row r="20" spans="1:8" ht="30.95" customHeight="1">
      <c r="A20" s="96">
        <v>13</v>
      </c>
      <c r="B20" s="73">
        <v>16189.898999999999</v>
      </c>
      <c r="C20" s="68">
        <f t="shared" si="0"/>
        <v>11175.00000000291</v>
      </c>
      <c r="D20" s="78">
        <v>16437.333999999999</v>
      </c>
      <c r="E20" s="68">
        <f t="shared" si="1"/>
        <v>9352.5000000045111</v>
      </c>
      <c r="F20" s="49">
        <f t="shared" si="2"/>
        <v>20527.500000007421</v>
      </c>
      <c r="G20" s="65">
        <f t="shared" si="3"/>
        <v>1913.1630000006917</v>
      </c>
      <c r="H20" s="99">
        <v>66</v>
      </c>
    </row>
    <row r="21" spans="1:8" ht="30.95" customHeight="1">
      <c r="A21" s="98">
        <v>14</v>
      </c>
      <c r="B21" s="73">
        <v>16194.369000000001</v>
      </c>
      <c r="C21" s="37">
        <f t="shared" si="0"/>
        <v>10929.999999998472</v>
      </c>
      <c r="D21" s="76">
        <v>16441.075000000001</v>
      </c>
      <c r="E21" s="37">
        <f t="shared" si="1"/>
        <v>6615.0000000016007</v>
      </c>
      <c r="F21" s="45">
        <f t="shared" si="2"/>
        <v>17545.000000000073</v>
      </c>
      <c r="G21" s="65">
        <f t="shared" si="3"/>
        <v>1635.1940000000068</v>
      </c>
      <c r="H21" s="99">
        <v>61</v>
      </c>
    </row>
    <row r="22" spans="1:8" ht="30.95" customHeight="1">
      <c r="A22" s="96">
        <v>15</v>
      </c>
      <c r="B22" s="73">
        <v>16198.741</v>
      </c>
      <c r="C22" s="68">
        <f t="shared" si="0"/>
        <v>13789.999999999054</v>
      </c>
      <c r="D22" s="55">
        <v>16443.721000000001</v>
      </c>
      <c r="E22" s="68">
        <f t="shared" si="1"/>
        <v>8305.000000000291</v>
      </c>
      <c r="F22" s="49">
        <f t="shared" si="2"/>
        <v>22094.999999999345</v>
      </c>
      <c r="G22" s="65">
        <f t="shared" si="3"/>
        <v>2059.253999999939</v>
      </c>
      <c r="H22" s="99">
        <v>58</v>
      </c>
    </row>
    <row r="23" spans="1:8" ht="30.95" customHeight="1">
      <c r="A23" s="98">
        <v>16</v>
      </c>
      <c r="B23" s="81">
        <v>16204.257</v>
      </c>
      <c r="C23" s="37">
        <f t="shared" si="0"/>
        <v>10015.000000003056</v>
      </c>
      <c r="D23" s="82">
        <v>16447.043000000001</v>
      </c>
      <c r="E23" s="37">
        <f t="shared" si="1"/>
        <v>6082.4999999931606</v>
      </c>
      <c r="F23" s="45">
        <f t="shared" si="2"/>
        <v>16097.499999996217</v>
      </c>
      <c r="G23" s="65">
        <f t="shared" si="3"/>
        <v>1500.2869999996474</v>
      </c>
      <c r="H23" s="99">
        <v>64</v>
      </c>
    </row>
    <row r="24" spans="1:8" ht="30.95" customHeight="1">
      <c r="A24" s="96">
        <v>17</v>
      </c>
      <c r="B24" s="83">
        <v>16208.263000000001</v>
      </c>
      <c r="C24" s="68">
        <f t="shared" si="0"/>
        <v>10864.999999998872</v>
      </c>
      <c r="D24" s="100">
        <v>16449.475999999999</v>
      </c>
      <c r="E24" s="68">
        <f t="shared" si="1"/>
        <v>6592.5000000061118</v>
      </c>
      <c r="F24" s="49">
        <f t="shared" si="2"/>
        <v>17457.500000004984</v>
      </c>
      <c r="G24" s="65">
        <f t="shared" si="3"/>
        <v>1627.0390000004645</v>
      </c>
      <c r="H24" s="99">
        <v>139</v>
      </c>
    </row>
    <row r="25" spans="1:8" ht="30.95" customHeight="1">
      <c r="A25" s="98">
        <v>18</v>
      </c>
      <c r="B25" s="73">
        <v>16212.609</v>
      </c>
      <c r="C25" s="37">
        <f>(B26-B25)*2500</f>
        <v>11449.999999999818</v>
      </c>
      <c r="D25" s="76">
        <v>16452.113000000001</v>
      </c>
      <c r="E25" s="37">
        <f>(D26-D25)*2500</f>
        <v>7022.4999999936699</v>
      </c>
      <c r="F25" s="45">
        <f t="shared" si="2"/>
        <v>18472.499999993488</v>
      </c>
      <c r="G25" s="65">
        <f t="shared" si="3"/>
        <v>1721.6369999993931</v>
      </c>
      <c r="H25" s="99">
        <v>162</v>
      </c>
    </row>
    <row r="26" spans="1:8" ht="30.95" customHeight="1">
      <c r="A26" s="96">
        <v>19</v>
      </c>
      <c r="B26" s="75">
        <v>16217.189</v>
      </c>
      <c r="C26" s="68">
        <f t="shared" ref="C26:C38" si="4">(B27-B26)*2500</f>
        <v>12880.000000000109</v>
      </c>
      <c r="D26" s="100">
        <v>16454.921999999999</v>
      </c>
      <c r="E26" s="68">
        <f t="shared" ref="E26:E38" si="5">(D27-D26)*2500</f>
        <v>8325.0000000043656</v>
      </c>
      <c r="F26" s="45">
        <f t="shared" si="2"/>
        <v>21205.000000004475</v>
      </c>
      <c r="G26" s="65">
        <f t="shared" si="3"/>
        <v>1976.306000000417</v>
      </c>
      <c r="H26" s="99">
        <v>161</v>
      </c>
    </row>
    <row r="27" spans="1:8" ht="30.95" customHeight="1">
      <c r="A27" s="98">
        <v>20</v>
      </c>
      <c r="B27" s="73">
        <v>16222.341</v>
      </c>
      <c r="C27" s="37">
        <f t="shared" si="4"/>
        <v>9944.99999999789</v>
      </c>
      <c r="D27" s="78">
        <v>16458.252</v>
      </c>
      <c r="E27" s="37">
        <f t="shared" si="5"/>
        <v>6537.4999999949068</v>
      </c>
      <c r="F27" s="49">
        <f t="shared" si="2"/>
        <v>16482.499999992797</v>
      </c>
      <c r="G27" s="65">
        <f t="shared" si="3"/>
        <v>1536.1689999993287</v>
      </c>
      <c r="H27" s="99">
        <v>116</v>
      </c>
    </row>
    <row r="28" spans="1:8" ht="30.95" customHeight="1">
      <c r="A28" s="96">
        <v>21</v>
      </c>
      <c r="B28" s="75">
        <v>16226.319</v>
      </c>
      <c r="C28" s="68">
        <f t="shared" si="4"/>
        <v>12637.500000000728</v>
      </c>
      <c r="D28" s="100">
        <v>16460.866999999998</v>
      </c>
      <c r="E28" s="68">
        <f t="shared" si="5"/>
        <v>8295.0000000073487</v>
      </c>
      <c r="F28" s="45">
        <f t="shared" si="2"/>
        <v>20932.500000008076</v>
      </c>
      <c r="G28" s="65">
        <f t="shared" si="3"/>
        <v>1950.9090000007527</v>
      </c>
      <c r="H28" s="99">
        <v>109</v>
      </c>
    </row>
    <row r="29" spans="1:8" ht="30.95" customHeight="1">
      <c r="A29" s="98">
        <v>22</v>
      </c>
      <c r="B29" s="73">
        <v>16231.374</v>
      </c>
      <c r="C29" s="37">
        <f t="shared" si="4"/>
        <v>11869.999999998981</v>
      </c>
      <c r="D29" s="76">
        <v>16464.185000000001</v>
      </c>
      <c r="E29" s="37">
        <f t="shared" si="5"/>
        <v>7404.9999999988358</v>
      </c>
      <c r="F29" s="49">
        <f t="shared" si="2"/>
        <v>19274.999999997817</v>
      </c>
      <c r="G29" s="65">
        <f t="shared" si="3"/>
        <v>1796.4299999997966</v>
      </c>
      <c r="H29" s="99">
        <v>58</v>
      </c>
    </row>
    <row r="30" spans="1:8" ht="30.95" customHeight="1">
      <c r="A30" s="96">
        <v>23</v>
      </c>
      <c r="B30" s="75">
        <v>16236.121999999999</v>
      </c>
      <c r="C30" s="68">
        <f t="shared" si="4"/>
        <v>11557.500000003529</v>
      </c>
      <c r="D30" s="100">
        <v>16467.147000000001</v>
      </c>
      <c r="E30" s="68">
        <f t="shared" si="5"/>
        <v>7344.9999999957072</v>
      </c>
      <c r="F30" s="45">
        <f t="shared" si="2"/>
        <v>18902.499999999236</v>
      </c>
      <c r="G30" s="65">
        <f t="shared" si="3"/>
        <v>1761.7129999999288</v>
      </c>
      <c r="H30" s="99">
        <v>96</v>
      </c>
    </row>
    <row r="31" spans="1:8" ht="30.95" customHeight="1">
      <c r="A31" s="98">
        <v>24</v>
      </c>
      <c r="B31" s="73">
        <v>16240.745000000001</v>
      </c>
      <c r="C31" s="37">
        <f t="shared" si="4"/>
        <v>11844.999999998436</v>
      </c>
      <c r="D31" s="76">
        <v>16470.084999999999</v>
      </c>
      <c r="E31" s="37">
        <f t="shared" si="5"/>
        <v>7882.5000000051659</v>
      </c>
      <c r="F31" s="49">
        <f t="shared" si="2"/>
        <v>19727.500000003602</v>
      </c>
      <c r="G31" s="65">
        <f t="shared" si="3"/>
        <v>1838.6030000003357</v>
      </c>
      <c r="H31" s="99">
        <v>109</v>
      </c>
    </row>
    <row r="32" spans="1:8" ht="30.95" customHeight="1">
      <c r="A32" s="96">
        <v>25</v>
      </c>
      <c r="B32" s="75">
        <v>16245.483</v>
      </c>
      <c r="C32" s="68">
        <f t="shared" si="4"/>
        <v>10932.499999998981</v>
      </c>
      <c r="D32" s="100">
        <v>16473.238000000001</v>
      </c>
      <c r="E32" s="68">
        <f t="shared" si="5"/>
        <v>7477.4999999954161</v>
      </c>
      <c r="F32" s="45">
        <f t="shared" si="2"/>
        <v>18409.999999994398</v>
      </c>
      <c r="G32" s="65">
        <f t="shared" si="3"/>
        <v>1715.8119999994778</v>
      </c>
      <c r="H32" s="99">
        <v>83</v>
      </c>
    </row>
    <row r="33" spans="1:8" ht="30.95" customHeight="1">
      <c r="A33" s="98">
        <v>26</v>
      </c>
      <c r="B33" s="73">
        <v>16249.856</v>
      </c>
      <c r="C33" s="37">
        <f t="shared" si="4"/>
        <v>12027.499999999236</v>
      </c>
      <c r="D33" s="76">
        <v>16476.228999999999</v>
      </c>
      <c r="E33" s="37">
        <f t="shared" si="5"/>
        <v>8102.5000000045111</v>
      </c>
      <c r="F33" s="49">
        <f t="shared" si="2"/>
        <v>20130.000000003747</v>
      </c>
      <c r="G33" s="65">
        <f t="shared" si="3"/>
        <v>1876.1160000003492</v>
      </c>
      <c r="H33" s="99">
        <v>72</v>
      </c>
    </row>
    <row r="34" spans="1:8" ht="30.95" customHeight="1">
      <c r="A34" s="96">
        <v>27</v>
      </c>
      <c r="B34" s="75">
        <v>16254.666999999999</v>
      </c>
      <c r="C34" s="68">
        <f t="shared" si="4"/>
        <v>12070.000000003347</v>
      </c>
      <c r="D34" s="100">
        <v>16479.47</v>
      </c>
      <c r="E34" s="37">
        <f t="shared" si="5"/>
        <v>7677.4999999997817</v>
      </c>
      <c r="F34" s="45">
        <f t="shared" si="2"/>
        <v>19747.500000003129</v>
      </c>
      <c r="G34" s="65">
        <f t="shared" si="3"/>
        <v>1840.4670000002916</v>
      </c>
      <c r="H34" s="99">
        <v>78</v>
      </c>
    </row>
    <row r="35" spans="1:8" ht="30.95" customHeight="1">
      <c r="A35" s="98">
        <v>28</v>
      </c>
      <c r="B35" s="79">
        <v>16259.495000000001</v>
      </c>
      <c r="C35" s="37">
        <f t="shared" si="4"/>
        <v>9652.499999997417</v>
      </c>
      <c r="D35" s="76">
        <v>16482.541000000001</v>
      </c>
      <c r="E35" s="37">
        <f t="shared" si="5"/>
        <v>7559.9999999940337</v>
      </c>
      <c r="F35" s="45">
        <f t="shared" si="2"/>
        <v>17212.499999991451</v>
      </c>
      <c r="G35" s="65">
        <f t="shared" si="3"/>
        <v>1604.2049999992032</v>
      </c>
      <c r="H35" s="99">
        <v>84</v>
      </c>
    </row>
    <row r="36" spans="1:8" ht="30.95" customHeight="1">
      <c r="A36" s="96">
        <v>29</v>
      </c>
      <c r="B36" s="75">
        <v>16263.356</v>
      </c>
      <c r="C36" s="67">
        <f t="shared" si="4"/>
        <v>9652.5000000019645</v>
      </c>
      <c r="D36" s="55">
        <v>16485.564999999999</v>
      </c>
      <c r="E36" s="67">
        <f t="shared" si="5"/>
        <v>6760.0000000038563</v>
      </c>
      <c r="F36" s="40">
        <f t="shared" si="2"/>
        <v>16412.500000005821</v>
      </c>
      <c r="G36" s="65">
        <f t="shared" si="3"/>
        <v>1529.6450000005425</v>
      </c>
      <c r="H36" s="97">
        <v>91</v>
      </c>
    </row>
    <row r="37" spans="1:8" ht="30.95" customHeight="1">
      <c r="A37" s="104">
        <v>30</v>
      </c>
      <c r="B37" s="105">
        <v>16267.217000000001</v>
      </c>
      <c r="C37" s="106">
        <f>(B38-B37)*2500</f>
        <v>12057.5000000008</v>
      </c>
      <c r="D37" s="107">
        <v>16488.269</v>
      </c>
      <c r="E37" s="106">
        <f>(D38-D37)*2500</f>
        <v>8395.0000000004366</v>
      </c>
      <c r="F37" s="108">
        <f t="shared" si="2"/>
        <v>20452.500000001237</v>
      </c>
      <c r="G37" s="65">
        <f t="shared" si="3"/>
        <v>1906.1730000001153</v>
      </c>
      <c r="H37" s="109">
        <v>101</v>
      </c>
    </row>
    <row r="38" spans="1:8" ht="30.95" customHeight="1">
      <c r="A38" s="96">
        <v>31</v>
      </c>
      <c r="B38" s="72">
        <v>16272.04</v>
      </c>
      <c r="C38" s="68">
        <f t="shared" si="4"/>
        <v>12717.499999998836</v>
      </c>
      <c r="D38" s="100">
        <v>16491.627</v>
      </c>
      <c r="E38" s="68">
        <f t="shared" si="5"/>
        <v>8294.9999999982538</v>
      </c>
      <c r="F38" s="49">
        <f t="shared" si="2"/>
        <v>21012.49999999709</v>
      </c>
      <c r="G38" s="135">
        <f t="shared" si="3"/>
        <v>1958.3649999997288</v>
      </c>
      <c r="H38" s="136">
        <v>104</v>
      </c>
    </row>
    <row r="39" spans="1:8" ht="30.95" customHeight="1">
      <c r="A39" s="128">
        <v>1</v>
      </c>
      <c r="B39" s="129">
        <v>16277.127</v>
      </c>
      <c r="C39" s="130">
        <f t="shared" ref="C39" si="6">(B40-B39)*2500</f>
        <v>-40692817.5</v>
      </c>
      <c r="D39" s="131">
        <v>16494.945</v>
      </c>
      <c r="E39" s="130">
        <f t="shared" ref="E39" si="7">(D40-D39)*2500</f>
        <v>-41237362.5</v>
      </c>
      <c r="F39" s="132">
        <f t="shared" ref="F39" si="8">C39+E39</f>
        <v>-81930180</v>
      </c>
      <c r="G39" s="133">
        <f t="shared" si="3"/>
        <v>-7635892.7760000005</v>
      </c>
      <c r="H39" s="134">
        <v>86</v>
      </c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34" activePane="bottomLeft" state="frozen"/>
      <selection pane="bottomLeft" activeCell="N35" sqref="N35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89" t="s">
        <v>15</v>
      </c>
      <c r="B3" s="15" t="s">
        <v>22</v>
      </c>
      <c r="C3" s="16" t="s">
        <v>27</v>
      </c>
      <c r="D3" s="17" t="s">
        <v>28</v>
      </c>
      <c r="E3" s="86" t="s">
        <v>22</v>
      </c>
      <c r="F3" s="18" t="s">
        <v>23</v>
      </c>
      <c r="G3" s="19" t="s">
        <v>29</v>
      </c>
      <c r="H3" s="19" t="s">
        <v>30</v>
      </c>
      <c r="I3" s="85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7">
        <v>30</v>
      </c>
      <c r="B5" s="87">
        <v>7186431</v>
      </c>
      <c r="C5" s="101">
        <f>B6-B5</f>
        <v>3989</v>
      </c>
      <c r="D5" s="32">
        <f>C5*0.21186441</f>
        <v>845.12713149000001</v>
      </c>
      <c r="E5" s="33">
        <v>580231</v>
      </c>
      <c r="F5" s="102">
        <f>E6-E5</f>
        <v>371</v>
      </c>
      <c r="G5" s="34">
        <f>F5*0.84746</f>
        <v>314.40766000000002</v>
      </c>
      <c r="H5" s="34">
        <f>F5*0.84746</f>
        <v>314.40766000000002</v>
      </c>
      <c r="I5" s="88">
        <f>G5+H5</f>
        <v>628.81532000000004</v>
      </c>
      <c r="J5" s="35">
        <f>9960+6300</f>
        <v>16260</v>
      </c>
      <c r="K5" s="36">
        <f>J5-J6</f>
        <v>80</v>
      </c>
      <c r="L5" s="37">
        <f>K5*0.7</f>
        <v>56</v>
      </c>
    </row>
    <row r="6" spans="1:12" ht="32.450000000000003" customHeight="1">
      <c r="A6" s="38">
        <v>1</v>
      </c>
      <c r="B6" s="87">
        <v>7190420</v>
      </c>
      <c r="C6" s="51">
        <f t="shared" ref="C6:C15" si="0">B7-B6</f>
        <v>3098</v>
      </c>
      <c r="D6" s="39">
        <f>C6*0.21186441</f>
        <v>656.35594218000006</v>
      </c>
      <c r="E6" s="40">
        <v>580602</v>
      </c>
      <c r="F6" s="52">
        <f t="shared" ref="F6:F15" si="1">E7-E6</f>
        <v>313</v>
      </c>
      <c r="G6" s="41">
        <f>F6*0.84746</f>
        <v>265.25497999999999</v>
      </c>
      <c r="H6" s="41">
        <f>F6*0.84746</f>
        <v>265.25497999999999</v>
      </c>
      <c r="I6" s="42">
        <f t="shared" ref="I6:I36" si="2">G6+H6</f>
        <v>530.50995999999998</v>
      </c>
      <c r="J6" s="35">
        <f>9880+6300</f>
        <v>16180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7193518</v>
      </c>
      <c r="C7" s="53">
        <f t="shared" si="0"/>
        <v>2351</v>
      </c>
      <c r="D7" s="44">
        <f>C7*0.21186441</f>
        <v>498.09322791</v>
      </c>
      <c r="E7" s="45">
        <v>580915</v>
      </c>
      <c r="F7" s="54">
        <f t="shared" si="1"/>
        <v>244</v>
      </c>
      <c r="G7" s="46">
        <f t="shared" ref="G7:G36" si="4">F7*0.84746</f>
        <v>206.78023999999999</v>
      </c>
      <c r="H7" s="46">
        <f t="shared" ref="H7:H36" si="5">F7*0.84746</f>
        <v>206.78023999999999</v>
      </c>
      <c r="I7" s="47">
        <f t="shared" si="2"/>
        <v>413.56047999999998</v>
      </c>
      <c r="J7" s="35">
        <f>9880+6300</f>
        <v>16180</v>
      </c>
      <c r="K7" s="36">
        <f t="shared" si="3"/>
        <v>-119</v>
      </c>
      <c r="L7" s="37">
        <f t="shared" ref="L7:L35" si="6">K7*0.7</f>
        <v>-83.3</v>
      </c>
    </row>
    <row r="8" spans="1:12" ht="32.450000000000003" customHeight="1">
      <c r="A8" s="38">
        <v>3</v>
      </c>
      <c r="B8" s="38">
        <v>7195869</v>
      </c>
      <c r="C8" s="51">
        <f t="shared" si="0"/>
        <v>3633</v>
      </c>
      <c r="D8" s="44">
        <f t="shared" ref="D8:D36" si="7">C8*0.21186441</f>
        <v>769.70340153000006</v>
      </c>
      <c r="E8" s="45">
        <v>581159</v>
      </c>
      <c r="F8" s="52">
        <f t="shared" si="1"/>
        <v>302</v>
      </c>
      <c r="G8" s="41">
        <f t="shared" si="4"/>
        <v>255.93292</v>
      </c>
      <c r="H8" s="41">
        <f t="shared" si="5"/>
        <v>255.93292</v>
      </c>
      <c r="I8" s="47">
        <f t="shared" si="2"/>
        <v>511.86583999999999</v>
      </c>
      <c r="J8" s="35">
        <f>9999+6300</f>
        <v>16299</v>
      </c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>
        <v>7199502</v>
      </c>
      <c r="C9" s="53">
        <f t="shared" si="0"/>
        <v>3095</v>
      </c>
      <c r="D9" s="44">
        <f t="shared" si="7"/>
        <v>655.72034895000002</v>
      </c>
      <c r="E9" s="45">
        <v>581461</v>
      </c>
      <c r="F9" s="54">
        <f t="shared" si="1"/>
        <v>331</v>
      </c>
      <c r="G9" s="46">
        <f t="shared" si="4"/>
        <v>280.50925999999998</v>
      </c>
      <c r="H9" s="46">
        <f t="shared" si="5"/>
        <v>280.50925999999998</v>
      </c>
      <c r="I9" s="47">
        <f t="shared" si="2"/>
        <v>561.01851999999997</v>
      </c>
      <c r="J9" s="35">
        <f>9999+6300</f>
        <v>16299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7202597</v>
      </c>
      <c r="C10" s="51">
        <f t="shared" si="0"/>
        <v>4668</v>
      </c>
      <c r="D10" s="44">
        <f t="shared" si="7"/>
        <v>988.98306588000003</v>
      </c>
      <c r="E10" s="45">
        <v>581792</v>
      </c>
      <c r="F10" s="52">
        <f t="shared" si="1"/>
        <v>277</v>
      </c>
      <c r="G10" s="41">
        <f t="shared" si="4"/>
        <v>234.74642</v>
      </c>
      <c r="H10" s="41">
        <f t="shared" si="5"/>
        <v>234.74642</v>
      </c>
      <c r="I10" s="47">
        <f t="shared" si="2"/>
        <v>469.49284</v>
      </c>
      <c r="J10" s="35">
        <f>9999+6300</f>
        <v>16299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7207265</v>
      </c>
      <c r="C11" s="53">
        <f t="shared" si="0"/>
        <v>4579</v>
      </c>
      <c r="D11" s="44">
        <f t="shared" si="7"/>
        <v>970.12713339000004</v>
      </c>
      <c r="E11" s="45">
        <v>582069</v>
      </c>
      <c r="F11" s="54">
        <f t="shared" si="1"/>
        <v>364</v>
      </c>
      <c r="G11" s="46">
        <f t="shared" si="4"/>
        <v>308.47543999999999</v>
      </c>
      <c r="H11" s="46">
        <f t="shared" si="5"/>
        <v>308.47543999999999</v>
      </c>
      <c r="I11" s="47">
        <f t="shared" si="2"/>
        <v>616.95087999999998</v>
      </c>
      <c r="J11" s="35">
        <f>9999+6300</f>
        <v>16299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7211844</v>
      </c>
      <c r="C12" s="51">
        <f t="shared" si="0"/>
        <v>4044</v>
      </c>
      <c r="D12" s="44">
        <f t="shared" si="7"/>
        <v>856.77967404000003</v>
      </c>
      <c r="E12" s="45">
        <v>582433</v>
      </c>
      <c r="F12" s="52">
        <f t="shared" si="1"/>
        <v>314</v>
      </c>
      <c r="G12" s="41">
        <f t="shared" si="4"/>
        <v>266.10244</v>
      </c>
      <c r="H12" s="41">
        <f t="shared" si="5"/>
        <v>266.10244</v>
      </c>
      <c r="I12" s="47">
        <f t="shared" si="2"/>
        <v>532.20488</v>
      </c>
      <c r="J12" s="35">
        <f>9999+6300</f>
        <v>16299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7215888</v>
      </c>
      <c r="C13" s="53">
        <f t="shared" si="0"/>
        <v>4428</v>
      </c>
      <c r="D13" s="44">
        <f t="shared" si="7"/>
        <v>938.13560747999998</v>
      </c>
      <c r="E13" s="45">
        <v>582747</v>
      </c>
      <c r="F13" s="54">
        <f t="shared" si="1"/>
        <v>320</v>
      </c>
      <c r="G13" s="46">
        <f t="shared" si="4"/>
        <v>271.18720000000002</v>
      </c>
      <c r="H13" s="46">
        <f t="shared" si="5"/>
        <v>271.18720000000002</v>
      </c>
      <c r="I13" s="47">
        <f t="shared" si="2"/>
        <v>542.37440000000004</v>
      </c>
      <c r="J13" s="35">
        <f>9999+6300</f>
        <v>16299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7220316</v>
      </c>
      <c r="C14" s="51">
        <f t="shared" si="0"/>
        <v>3553</v>
      </c>
      <c r="D14" s="44">
        <f t="shared" si="7"/>
        <v>752.75424872999997</v>
      </c>
      <c r="E14" s="45">
        <v>583067</v>
      </c>
      <c r="F14" s="52">
        <f t="shared" si="1"/>
        <v>298</v>
      </c>
      <c r="G14" s="46">
        <f t="shared" si="4"/>
        <v>252.54308</v>
      </c>
      <c r="H14" s="41">
        <f t="shared" si="5"/>
        <v>252.54308</v>
      </c>
      <c r="I14" s="47">
        <f t="shared" si="2"/>
        <v>505.08616000000001</v>
      </c>
      <c r="J14" s="35">
        <f>9999+6300</f>
        <v>16299</v>
      </c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>
        <v>7223869</v>
      </c>
      <c r="C15" s="53">
        <f t="shared" si="0"/>
        <v>2959</v>
      </c>
      <c r="D15" s="44">
        <f t="shared" si="7"/>
        <v>626.90678919000004</v>
      </c>
      <c r="E15" s="45">
        <v>583365</v>
      </c>
      <c r="F15" s="54">
        <f t="shared" si="1"/>
        <v>52</v>
      </c>
      <c r="G15" s="46">
        <f t="shared" si="4"/>
        <v>44.067920000000001</v>
      </c>
      <c r="H15" s="46">
        <f t="shared" si="5"/>
        <v>44.067920000000001</v>
      </c>
      <c r="I15" s="47">
        <f t="shared" si="2"/>
        <v>88.135840000000002</v>
      </c>
      <c r="J15" s="35">
        <f>9999+6300</f>
        <v>16299</v>
      </c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>
        <v>7226828</v>
      </c>
      <c r="C16" s="51">
        <f>B17-B16</f>
        <v>4010</v>
      </c>
      <c r="D16" s="44">
        <f t="shared" si="7"/>
        <v>849.57628410000007</v>
      </c>
      <c r="E16" s="45">
        <v>583417</v>
      </c>
      <c r="F16" s="52">
        <f>E17-E16</f>
        <v>94</v>
      </c>
      <c r="G16" s="41">
        <f t="shared" si="4"/>
        <v>79.661239999999992</v>
      </c>
      <c r="H16" s="41">
        <f t="shared" si="5"/>
        <v>79.661239999999992</v>
      </c>
      <c r="I16" s="47">
        <f t="shared" si="2"/>
        <v>159.32247999999998</v>
      </c>
      <c r="J16" s="35">
        <f>9999+6300</f>
        <v>16299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7230838</v>
      </c>
      <c r="C17" s="53">
        <f t="shared" ref="C17:C35" si="8">B18-B17</f>
        <v>3936</v>
      </c>
      <c r="D17" s="44">
        <f t="shared" si="7"/>
        <v>833.89831776000005</v>
      </c>
      <c r="E17" s="45">
        <v>583511</v>
      </c>
      <c r="F17" s="54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9999+6300</f>
        <v>16299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7234774</v>
      </c>
      <c r="C18" s="51">
        <f t="shared" si="8"/>
        <v>3933</v>
      </c>
      <c r="D18" s="44">
        <f t="shared" si="7"/>
        <v>833.26272453000001</v>
      </c>
      <c r="E18" s="49">
        <v>583831</v>
      </c>
      <c r="F18" s="52">
        <f t="shared" si="9"/>
        <v>352</v>
      </c>
      <c r="G18" s="41">
        <f t="shared" si="4"/>
        <v>298.30592000000001</v>
      </c>
      <c r="H18" s="41">
        <f t="shared" si="5"/>
        <v>298.30592000000001</v>
      </c>
      <c r="I18" s="47">
        <f t="shared" si="2"/>
        <v>596.61184000000003</v>
      </c>
      <c r="J18" s="35">
        <f>9999+6300</f>
        <v>16299</v>
      </c>
      <c r="K18" s="36">
        <f t="shared" si="3"/>
        <v>10</v>
      </c>
      <c r="L18" s="37">
        <f t="shared" si="6"/>
        <v>7</v>
      </c>
    </row>
    <row r="19" spans="1:12" ht="32.450000000000003" customHeight="1">
      <c r="A19" s="43">
        <v>14</v>
      </c>
      <c r="B19" s="43">
        <v>7238707</v>
      </c>
      <c r="C19" s="53">
        <f t="shared" si="8"/>
        <v>4002</v>
      </c>
      <c r="D19" s="44">
        <f t="shared" si="7"/>
        <v>847.88136882000003</v>
      </c>
      <c r="E19" s="50">
        <v>584183</v>
      </c>
      <c r="F19" s="54">
        <f t="shared" si="9"/>
        <v>142</v>
      </c>
      <c r="G19" s="46">
        <f t="shared" si="4"/>
        <v>120.33932</v>
      </c>
      <c r="H19" s="46">
        <f t="shared" si="5"/>
        <v>120.33932</v>
      </c>
      <c r="I19" s="47">
        <f t="shared" si="2"/>
        <v>240.67864</v>
      </c>
      <c r="J19" s="35">
        <f>9999+6290</f>
        <v>16289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7242709</v>
      </c>
      <c r="C20" s="51">
        <f t="shared" si="8"/>
        <v>3569</v>
      </c>
      <c r="D20" s="44">
        <f t="shared" si="7"/>
        <v>756.14407929000004</v>
      </c>
      <c r="E20" s="49">
        <v>584325</v>
      </c>
      <c r="F20" s="52">
        <f t="shared" si="9"/>
        <v>90</v>
      </c>
      <c r="G20" s="41">
        <f t="shared" si="4"/>
        <v>76.2714</v>
      </c>
      <c r="H20" s="41">
        <f t="shared" si="5"/>
        <v>76.2714</v>
      </c>
      <c r="I20" s="47">
        <f t="shared" si="2"/>
        <v>152.5428</v>
      </c>
      <c r="J20" s="35">
        <f>9999+6290</f>
        <v>16289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3">
        <v>7246278</v>
      </c>
      <c r="C21" s="53">
        <f t="shared" si="8"/>
        <v>2946</v>
      </c>
      <c r="D21" s="44">
        <f t="shared" si="7"/>
        <v>624.15255186000002</v>
      </c>
      <c r="E21" s="84">
        <v>584415</v>
      </c>
      <c r="F21" s="54">
        <f t="shared" si="9"/>
        <v>87</v>
      </c>
      <c r="G21" s="46">
        <f t="shared" si="4"/>
        <v>73.729020000000006</v>
      </c>
      <c r="H21" s="46">
        <f t="shared" si="5"/>
        <v>73.729020000000006</v>
      </c>
      <c r="I21" s="47">
        <f t="shared" si="2"/>
        <v>147.45804000000001</v>
      </c>
      <c r="J21" s="35">
        <f>9999+6290</f>
        <v>16289</v>
      </c>
      <c r="K21" s="36">
        <f t="shared" si="3"/>
        <v>111</v>
      </c>
      <c r="L21" s="37">
        <f t="shared" si="6"/>
        <v>77.699999999999989</v>
      </c>
    </row>
    <row r="22" spans="1:12" ht="32.450000000000003" customHeight="1">
      <c r="A22" s="38">
        <v>17</v>
      </c>
      <c r="B22" s="38">
        <v>7249224</v>
      </c>
      <c r="C22" s="51">
        <f t="shared" si="8"/>
        <v>3485</v>
      </c>
      <c r="D22" s="44">
        <f t="shared" si="7"/>
        <v>738.34746885000004</v>
      </c>
      <c r="E22" s="50">
        <v>584502</v>
      </c>
      <c r="F22" s="52">
        <f t="shared" si="9"/>
        <v>263</v>
      </c>
      <c r="G22" s="41">
        <f t="shared" si="4"/>
        <v>222.88198</v>
      </c>
      <c r="H22" s="41">
        <f t="shared" si="5"/>
        <v>222.88198</v>
      </c>
      <c r="I22" s="47">
        <f t="shared" si="2"/>
        <v>445.76396</v>
      </c>
      <c r="J22" s="48">
        <f>9888+6290</f>
        <v>16178</v>
      </c>
      <c r="K22" s="36">
        <f t="shared" si="3"/>
        <v>-72</v>
      </c>
      <c r="L22" s="37">
        <f t="shared" si="6"/>
        <v>-50.4</v>
      </c>
    </row>
    <row r="23" spans="1:12" ht="32.450000000000003" customHeight="1">
      <c r="A23" s="43">
        <v>18</v>
      </c>
      <c r="B23" s="43">
        <v>7252709</v>
      </c>
      <c r="C23" s="53">
        <f t="shared" si="8"/>
        <v>3485</v>
      </c>
      <c r="D23" s="44">
        <f t="shared" si="7"/>
        <v>738.34746885000004</v>
      </c>
      <c r="E23" s="50">
        <v>584765</v>
      </c>
      <c r="F23" s="54">
        <f t="shared" si="9"/>
        <v>299</v>
      </c>
      <c r="G23" s="46">
        <f t="shared" si="4"/>
        <v>253.39053999999999</v>
      </c>
      <c r="H23" s="46">
        <f t="shared" si="5"/>
        <v>253.39053999999999</v>
      </c>
      <c r="I23" s="47">
        <f t="shared" si="2"/>
        <v>506.78107999999997</v>
      </c>
      <c r="J23" s="48">
        <f>9960+6290</f>
        <v>16250</v>
      </c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>
        <v>7256194</v>
      </c>
      <c r="C24" s="51">
        <f t="shared" si="8"/>
        <v>5219</v>
      </c>
      <c r="D24" s="44">
        <f t="shared" si="7"/>
        <v>1105.72035579</v>
      </c>
      <c r="E24" s="50">
        <v>585064</v>
      </c>
      <c r="F24" s="52">
        <f t="shared" si="9"/>
        <v>352</v>
      </c>
      <c r="G24" s="41">
        <f t="shared" si="4"/>
        <v>298.30592000000001</v>
      </c>
      <c r="H24" s="41">
        <f t="shared" si="5"/>
        <v>298.30592000000001</v>
      </c>
      <c r="I24" s="47">
        <f t="shared" si="2"/>
        <v>596.61184000000003</v>
      </c>
      <c r="J24" s="48">
        <f>9960+6290</f>
        <v>16250</v>
      </c>
      <c r="K24" s="36">
        <f t="shared" si="3"/>
        <v>70</v>
      </c>
      <c r="L24" s="37">
        <f t="shared" si="6"/>
        <v>49</v>
      </c>
    </row>
    <row r="25" spans="1:12" ht="32.450000000000003" customHeight="1">
      <c r="A25" s="43">
        <v>20</v>
      </c>
      <c r="B25" s="43">
        <v>7261413</v>
      </c>
      <c r="C25" s="53">
        <f t="shared" si="8"/>
        <v>4254</v>
      </c>
      <c r="D25" s="44">
        <f t="shared" si="7"/>
        <v>901.27120014000002</v>
      </c>
      <c r="E25" s="50">
        <v>585416</v>
      </c>
      <c r="F25" s="54">
        <f t="shared" si="9"/>
        <v>246</v>
      </c>
      <c r="G25" s="46">
        <f t="shared" si="4"/>
        <v>208.47515999999999</v>
      </c>
      <c r="H25" s="46">
        <f t="shared" si="5"/>
        <v>208.47515999999999</v>
      </c>
      <c r="I25" s="47">
        <f t="shared" si="2"/>
        <v>416.95031999999998</v>
      </c>
      <c r="J25" s="48">
        <f>9880+6300</f>
        <v>16180</v>
      </c>
      <c r="K25" s="36">
        <f t="shared" si="3"/>
        <v>-10</v>
      </c>
      <c r="L25" s="37">
        <f t="shared" si="6"/>
        <v>-7</v>
      </c>
    </row>
    <row r="26" spans="1:12" ht="32.450000000000003" customHeight="1">
      <c r="A26" s="38">
        <v>21</v>
      </c>
      <c r="B26" s="38">
        <v>7265667</v>
      </c>
      <c r="C26" s="51">
        <f t="shared" si="8"/>
        <v>5482</v>
      </c>
      <c r="D26" s="44">
        <f t="shared" si="7"/>
        <v>1161.44069562</v>
      </c>
      <c r="E26" s="50">
        <v>585662</v>
      </c>
      <c r="F26" s="52">
        <f t="shared" si="9"/>
        <v>162</v>
      </c>
      <c r="G26" s="41">
        <f t="shared" si="4"/>
        <v>137.28852000000001</v>
      </c>
      <c r="H26" s="41">
        <f t="shared" si="5"/>
        <v>137.28852000000001</v>
      </c>
      <c r="I26" s="47">
        <f t="shared" si="2"/>
        <v>274.57704000000001</v>
      </c>
      <c r="J26" s="48">
        <f>9890+6300</f>
        <v>16190</v>
      </c>
      <c r="K26" s="36">
        <f t="shared" si="3"/>
        <v>-110</v>
      </c>
      <c r="L26" s="37">
        <f t="shared" si="6"/>
        <v>-77</v>
      </c>
    </row>
    <row r="27" spans="1:12" ht="32.450000000000003" customHeight="1">
      <c r="A27" s="43">
        <v>22</v>
      </c>
      <c r="B27" s="43">
        <v>7271149</v>
      </c>
      <c r="C27" s="53">
        <f t="shared" si="8"/>
        <v>4619</v>
      </c>
      <c r="D27" s="44">
        <f t="shared" si="7"/>
        <v>978.60170978999997</v>
      </c>
      <c r="E27" s="50">
        <v>585824</v>
      </c>
      <c r="F27" s="54">
        <f t="shared" si="9"/>
        <v>231</v>
      </c>
      <c r="G27" s="46">
        <f t="shared" si="4"/>
        <v>195.76326</v>
      </c>
      <c r="H27" s="46">
        <f t="shared" si="5"/>
        <v>195.76326</v>
      </c>
      <c r="I27" s="47">
        <f t="shared" si="2"/>
        <v>391.52652</v>
      </c>
      <c r="J27" s="48">
        <f>10000+6300</f>
        <v>16300</v>
      </c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>
        <v>7275768</v>
      </c>
      <c r="C28" s="51">
        <f t="shared" si="8"/>
        <v>4620</v>
      </c>
      <c r="D28" s="44">
        <f t="shared" si="7"/>
        <v>978.81357420000006</v>
      </c>
      <c r="E28" s="50">
        <v>586055</v>
      </c>
      <c r="F28" s="52">
        <f t="shared" si="9"/>
        <v>281</v>
      </c>
      <c r="G28" s="41">
        <f t="shared" si="4"/>
        <v>238.13625999999999</v>
      </c>
      <c r="H28" s="41">
        <f t="shared" si="5"/>
        <v>238.13625999999999</v>
      </c>
      <c r="I28" s="47">
        <f t="shared" si="2"/>
        <v>476.27251999999999</v>
      </c>
      <c r="J28" s="48">
        <f>10000+6300</f>
        <v>16300</v>
      </c>
      <c r="K28" s="36">
        <f t="shared" si="3"/>
        <v>100</v>
      </c>
      <c r="L28" s="37">
        <f t="shared" si="6"/>
        <v>70</v>
      </c>
    </row>
    <row r="29" spans="1:12" ht="32.450000000000003" customHeight="1">
      <c r="A29" s="43">
        <v>24</v>
      </c>
      <c r="B29" s="43">
        <v>7280388</v>
      </c>
      <c r="C29" s="53">
        <f t="shared" si="8"/>
        <v>4543</v>
      </c>
      <c r="D29" s="44">
        <f t="shared" si="7"/>
        <v>962.50001463000001</v>
      </c>
      <c r="E29" s="50">
        <v>586336</v>
      </c>
      <c r="F29" s="54">
        <f t="shared" si="9"/>
        <v>292</v>
      </c>
      <c r="G29" s="46">
        <f t="shared" si="4"/>
        <v>247.45831999999999</v>
      </c>
      <c r="H29" s="46">
        <f t="shared" si="5"/>
        <v>247.45831999999999</v>
      </c>
      <c r="I29" s="47">
        <f t="shared" si="2"/>
        <v>494.91663999999997</v>
      </c>
      <c r="J29" s="48">
        <f>9900+6300</f>
        <v>16200</v>
      </c>
      <c r="K29" s="36">
        <f t="shared" si="3"/>
        <v>-90</v>
      </c>
      <c r="L29" s="37">
        <f t="shared" si="6"/>
        <v>-62.999999999999993</v>
      </c>
    </row>
    <row r="30" spans="1:12" ht="32.450000000000003" customHeight="1">
      <c r="A30" s="38">
        <v>25</v>
      </c>
      <c r="B30" s="38">
        <v>7284931</v>
      </c>
      <c r="C30" s="51">
        <f t="shared" si="8"/>
        <v>4645</v>
      </c>
      <c r="D30" s="44">
        <f t="shared" si="7"/>
        <v>984.11018445000002</v>
      </c>
      <c r="E30" s="50">
        <v>586628</v>
      </c>
      <c r="F30" s="52">
        <f t="shared" si="9"/>
        <v>42</v>
      </c>
      <c r="G30" s="41">
        <f t="shared" si="4"/>
        <v>35.593319999999999</v>
      </c>
      <c r="H30" s="41">
        <f t="shared" si="5"/>
        <v>35.593319999999999</v>
      </c>
      <c r="I30" s="47">
        <f t="shared" si="2"/>
        <v>71.186639999999997</v>
      </c>
      <c r="J30" s="48">
        <f>10000+6290</f>
        <v>16290</v>
      </c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>
        <v>7289576</v>
      </c>
      <c r="C31" s="53">
        <f t="shared" si="8"/>
        <v>4810</v>
      </c>
      <c r="D31" s="44">
        <f t="shared" si="7"/>
        <v>1019.0678121</v>
      </c>
      <c r="E31" s="50">
        <v>586670</v>
      </c>
      <c r="F31" s="54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48">
        <f>10000+6290</f>
        <v>16290</v>
      </c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>
        <v>7294386</v>
      </c>
      <c r="C32" s="51">
        <f t="shared" si="8"/>
        <v>5331</v>
      </c>
      <c r="D32" s="44">
        <f t="shared" si="7"/>
        <v>1129.44916971</v>
      </c>
      <c r="E32" s="50">
        <v>586670</v>
      </c>
      <c r="F32" s="53">
        <f t="shared" si="9"/>
        <v>306</v>
      </c>
      <c r="G32" s="41">
        <f t="shared" si="4"/>
        <v>259.32276000000002</v>
      </c>
      <c r="H32" s="41">
        <f t="shared" si="5"/>
        <v>259.32276000000002</v>
      </c>
      <c r="I32" s="47">
        <f t="shared" si="2"/>
        <v>518.64552000000003</v>
      </c>
      <c r="J32" s="48">
        <f>10000+6290</f>
        <v>16290</v>
      </c>
      <c r="K32" s="36">
        <f t="shared" si="3"/>
        <v>-500</v>
      </c>
      <c r="L32" s="37">
        <f t="shared" si="6"/>
        <v>-350</v>
      </c>
    </row>
    <row r="33" spans="1:12" ht="32.450000000000003" customHeight="1">
      <c r="A33" s="43">
        <v>28</v>
      </c>
      <c r="B33" s="43">
        <v>7299717</v>
      </c>
      <c r="C33" s="53">
        <f t="shared" si="8"/>
        <v>4253</v>
      </c>
      <c r="D33" s="44">
        <f t="shared" si="7"/>
        <v>901.05933573000004</v>
      </c>
      <c r="E33" s="50">
        <v>586976</v>
      </c>
      <c r="F33" s="52">
        <f t="shared" si="9"/>
        <v>283</v>
      </c>
      <c r="G33" s="46">
        <f t="shared" si="4"/>
        <v>239.83117999999999</v>
      </c>
      <c r="H33" s="46">
        <f t="shared" si="5"/>
        <v>239.83117999999999</v>
      </c>
      <c r="I33" s="47">
        <f t="shared" si="2"/>
        <v>479.66235999999998</v>
      </c>
      <c r="J33" s="48">
        <f>10000+6790</f>
        <v>16790</v>
      </c>
      <c r="K33" s="36">
        <f t="shared" si="3"/>
        <v>490</v>
      </c>
      <c r="L33" s="37">
        <f t="shared" si="6"/>
        <v>343</v>
      </c>
    </row>
    <row r="34" spans="1:12" ht="32.450000000000003" customHeight="1">
      <c r="A34" s="38">
        <v>29</v>
      </c>
      <c r="B34" s="38">
        <v>7303970</v>
      </c>
      <c r="C34" s="53">
        <f t="shared" si="8"/>
        <v>4253</v>
      </c>
      <c r="D34" s="44">
        <f t="shared" si="7"/>
        <v>901.05933573000004</v>
      </c>
      <c r="E34" s="50">
        <v>587259</v>
      </c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>
        <f>10000+6300</f>
        <v>16300</v>
      </c>
      <c r="K34" s="36">
        <f t="shared" si="3"/>
        <v>30</v>
      </c>
      <c r="L34" s="37">
        <f t="shared" si="6"/>
        <v>21</v>
      </c>
    </row>
    <row r="35" spans="1:12" ht="32.450000000000003" customHeight="1">
      <c r="A35" s="113">
        <v>30</v>
      </c>
      <c r="B35" s="114">
        <v>7308223</v>
      </c>
      <c r="C35" s="115">
        <f t="shared" si="8"/>
        <v>5217</v>
      </c>
      <c r="D35" s="116">
        <f t="shared" si="7"/>
        <v>1105.29662697</v>
      </c>
      <c r="E35" s="108">
        <v>587259</v>
      </c>
      <c r="F35" s="115">
        <f t="shared" si="9"/>
        <v>381</v>
      </c>
      <c r="G35" s="117">
        <f t="shared" si="4"/>
        <v>322.88225999999997</v>
      </c>
      <c r="H35" s="117">
        <f t="shared" si="5"/>
        <v>322.88225999999997</v>
      </c>
      <c r="I35" s="118">
        <f t="shared" si="2"/>
        <v>645.76451999999995</v>
      </c>
      <c r="J35" s="119">
        <f>9970+6300</f>
        <v>16270</v>
      </c>
      <c r="K35" s="120">
        <f t="shared" si="3"/>
        <v>-20</v>
      </c>
      <c r="L35" s="37">
        <f t="shared" si="6"/>
        <v>-14</v>
      </c>
    </row>
    <row r="36" spans="1:12" ht="32.450000000000003" customHeight="1">
      <c r="A36" s="110">
        <v>31</v>
      </c>
      <c r="B36" s="111">
        <v>7313440</v>
      </c>
      <c r="C36" s="121">
        <f t="shared" ref="C36" si="10">B37-B36</f>
        <v>4432</v>
      </c>
      <c r="D36" s="122">
        <f t="shared" si="7"/>
        <v>938.98306511999999</v>
      </c>
      <c r="E36" s="112">
        <v>587640</v>
      </c>
      <c r="F36" s="121">
        <f t="shared" ref="F36" si="11">E37-E36</f>
        <v>305</v>
      </c>
      <c r="G36" s="123">
        <f t="shared" ref="G36" si="12">F36*0.84746</f>
        <v>258.4753</v>
      </c>
      <c r="H36" s="123">
        <f t="shared" ref="H36" si="13">F36*0.84746</f>
        <v>258.4753</v>
      </c>
      <c r="I36" s="124">
        <f t="shared" ref="I36" si="14">G36+H36</f>
        <v>516.95060000000001</v>
      </c>
      <c r="J36" s="125">
        <f>10000+6290</f>
        <v>16290</v>
      </c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>
        <v>7317872</v>
      </c>
      <c r="C37" s="121">
        <f t="shared" ref="C37" si="16">B38-B37</f>
        <v>-7317872</v>
      </c>
      <c r="D37" s="122">
        <f t="shared" ref="D37" si="17">C37*0.21186441</f>
        <v>-1550396.6337355201</v>
      </c>
      <c r="E37" s="112">
        <v>587945</v>
      </c>
      <c r="F37" s="121">
        <f t="shared" ref="F37" si="18">E38-E37</f>
        <v>-587945</v>
      </c>
      <c r="G37" s="123">
        <f t="shared" ref="G37" si="19">F37*0.84746</f>
        <v>-498259.86969999998</v>
      </c>
      <c r="H37" s="123">
        <f t="shared" ref="H37" si="20">F37*0.84746</f>
        <v>-498259.86969999998</v>
      </c>
      <c r="I37" s="124">
        <f t="shared" ref="I37" si="21">G37+H37</f>
        <v>-996519.73939999996</v>
      </c>
      <c r="J37" s="125">
        <f>10000+6290</f>
        <v>16290</v>
      </c>
      <c r="K37" s="126">
        <f t="shared" ref="K37" si="22">J37-J38</f>
        <v>16290</v>
      </c>
      <c r="L37" s="127">
        <f>K37*0.7</f>
        <v>11403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32A88E-4F20-4310-AD4B-B43665ADED7A}"/>
</file>

<file path=customXml/itemProps2.xml><?xml version="1.0" encoding="utf-8"?>
<ds:datastoreItem xmlns:ds="http://schemas.openxmlformats.org/officeDocument/2006/customXml" ds:itemID="{8169A055-6880-4B7E-B153-32E81666CB30}"/>
</file>

<file path=customXml/itemProps3.xml><?xml version="1.0" encoding="utf-8"?>
<ds:datastoreItem xmlns:ds="http://schemas.openxmlformats.org/officeDocument/2006/customXml" ds:itemID="{B764E2F0-68A0-4923-AC43-D41B6713E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2023-01-05T07:02:40Z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