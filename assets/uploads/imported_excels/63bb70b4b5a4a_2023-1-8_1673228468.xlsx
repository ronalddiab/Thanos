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E63E5681-59EA-4BF2-A2A2-CBBF983C2804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<sst xmlns="http://schemas.openxmlformats.org/spreadsheetml/2006/main" count="66" uniqueCount="32">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</sst>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>
            <v>158</v>
          </cell>
          <cell r="I387">
            <v>162</v>
          </cell>
          <cell r="J387">
            <v>153</v>
          </cell>
          <cell r="K387">
            <v>137</v>
          </cell>
          <cell r="L387">
            <v>149</v>
          </cell>
          <cell r="M387">
            <v>162</v>
          </cell>
          <cell r="N387">
            <v>155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312</v>
          </cell>
          <cell r="H388">
            <v>288</v>
          </cell>
          <cell r="I388">
            <v>289</v>
          </cell>
          <cell r="J388">
            <v>274</v>
          </cell>
          <cell r="K388">
            <v>248</v>
          </cell>
          <cell r="L388">
            <v>313</v>
          </cell>
          <cell r="M388">
            <v>226</v>
          </cell>
          <cell r="N388">
            <v>316</v>
          </cell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211.8</v>
          </cell>
          <cell r="H23">
            <v>207.2</v>
          </cell>
          <cell r="I23">
            <v>213.1</v>
          </cell>
          <cell r="J23">
            <v>203.2</v>
          </cell>
          <cell r="K23">
            <v>207.7</v>
          </cell>
          <cell r="L23">
            <v>196.3</v>
          </cell>
          <cell r="M23">
            <v>204</v>
          </cell>
          <cell r="N23">
            <v>197.6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245</v>
          </cell>
          <cell r="H41">
            <v>231</v>
          </cell>
          <cell r="I41">
            <v>209</v>
          </cell>
          <cell r="J41">
            <v>210</v>
          </cell>
          <cell r="K41">
            <v>201</v>
          </cell>
          <cell r="L41">
            <v>192</v>
          </cell>
          <cell r="M41">
            <v>197</v>
          </cell>
          <cell r="N41">
            <v>217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24081.370800000001</v>
          </cell>
          <cell r="H91">
            <v>24731.9784</v>
          </cell>
          <cell r="I91">
            <v>25625.1054</v>
          </cell>
          <cell r="J91">
            <v>25556.488799999999</v>
          </cell>
          <cell r="K91">
            <v>25714.557000000001</v>
          </cell>
          <cell r="L91">
            <v>25734.2808</v>
          </cell>
          <cell r="M91">
            <v>24639.748799999998</v>
          </cell>
          <cell r="N91">
            <v>23270.472600000001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2717.4395999999997</v>
          </cell>
          <cell r="H115">
            <v>2591.5962</v>
          </cell>
          <cell r="I115">
            <v>2421.5825999999997</v>
          </cell>
          <cell r="J115">
            <v>2256.0137999999997</v>
          </cell>
          <cell r="K115">
            <v>1947.1001999999999</v>
          </cell>
          <cell r="L115">
            <v>1539.2898</v>
          </cell>
          <cell r="M115">
            <v>2360.4665999999997</v>
          </cell>
          <cell r="N115">
            <v>2664.9353999999998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16174</v>
          </cell>
          <cell r="H147">
            <v>15657</v>
          </cell>
          <cell r="I147">
            <v>15777</v>
          </cell>
          <cell r="J147">
            <v>15971</v>
          </cell>
          <cell r="K147">
            <v>15755</v>
          </cell>
          <cell r="L147">
            <v>15369</v>
          </cell>
          <cell r="M147">
            <v>15523</v>
          </cell>
          <cell r="N147">
            <v>15672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36.799999999999997</v>
          </cell>
        </row>
        <row r="23">
          <cell r="M23">
            <v>190.07550216344714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O31" sqref="O3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36.799999999999997</v>
      </c>
      <c r="G2" s="9">
        <f>'Otemachi Daily'!F5</f>
        <v>211.8</v>
      </c>
      <c r="H2" s="34">
        <f>[1]見込!$M$23</f>
        <v>190.07550216344714</v>
      </c>
      <c r="I2" s="9">
        <f>'Otemachi Daily'!H5</f>
        <v>2717.4395999999997</v>
      </c>
      <c r="J2" s="34">
        <v>10.79</v>
      </c>
      <c r="K2" s="9">
        <f>'Otemachi Daily'!J5</f>
        <v>24081.370800000001</v>
      </c>
      <c r="L2" s="34">
        <v>7.22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15657</v>
      </c>
      <c r="F3" s="34">
        <f>[1]見込!$G$3</f>
        <v>36.799999999999997</v>
      </c>
      <c r="G3" s="9">
        <f>'Otemachi Daily'!F6</f>
        <v>207.2</v>
      </c>
      <c r="H3" s="34">
        <f>[1]見込!$M$23</f>
        <v>190.07550216344714</v>
      </c>
      <c r="I3" s="9">
        <f>'Otemachi Daily'!H6</f>
        <v>2591.5962</v>
      </c>
      <c r="J3" s="34">
        <v>10.79</v>
      </c>
      <c r="K3" s="9">
        <f>'Otemachi Daily'!J6</f>
        <v>24731.9784</v>
      </c>
      <c r="L3" s="34">
        <v>7.22</v>
      </c>
      <c r="M3" s="9">
        <f>'Otemachi Daily'!L6</f>
        <v>231</v>
      </c>
      <c r="N3" s="34">
        <v>741</v>
      </c>
      <c r="O3" s="9">
        <f>'Otemachi Daily'!M6</f>
        <v>158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15777</v>
      </c>
      <c r="F4" s="34">
        <f>[1]見込!$G$3</f>
        <v>36.799999999999997</v>
      </c>
      <c r="G4" s="9">
        <f>'Otemachi Daily'!F7</f>
        <v>213.1</v>
      </c>
      <c r="H4" s="34">
        <f>[1]見込!$M$23</f>
        <v>190.07550216344714</v>
      </c>
      <c r="I4" s="9">
        <f>'Otemachi Daily'!H7</f>
        <v>2421.5825999999997</v>
      </c>
      <c r="J4" s="34">
        <v>10.79</v>
      </c>
      <c r="K4" s="9">
        <f>'Otemachi Daily'!J7</f>
        <v>25625.1054</v>
      </c>
      <c r="L4" s="34">
        <v>7.22</v>
      </c>
      <c r="M4" s="9">
        <f>'Otemachi Daily'!L7</f>
        <v>209</v>
      </c>
      <c r="N4" s="34">
        <v>741</v>
      </c>
      <c r="O4" s="9">
        <f>'Otemachi Daily'!M7</f>
        <v>162</v>
      </c>
      <c r="P4" s="9">
        <f>'Otemachi Daily'!N7</f>
        <v>289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15971</v>
      </c>
      <c r="F5" s="34">
        <f>[1]見込!$G$3</f>
        <v>36.799999999999997</v>
      </c>
      <c r="G5" s="9">
        <f>'Otemachi Daily'!F8</f>
        <v>203.2</v>
      </c>
      <c r="H5" s="34">
        <f>[1]見込!$M$23</f>
        <v>190.07550216344714</v>
      </c>
      <c r="I5" s="9">
        <f>'Otemachi Daily'!H8</f>
        <v>2256.0137999999997</v>
      </c>
      <c r="J5" s="34">
        <v>10.79</v>
      </c>
      <c r="K5" s="9">
        <f>'Otemachi Daily'!J8</f>
        <v>25556.488799999999</v>
      </c>
      <c r="L5" s="34">
        <v>7.22</v>
      </c>
      <c r="M5" s="9">
        <f>'Otemachi Daily'!L8</f>
        <v>210</v>
      </c>
      <c r="N5" s="34">
        <v>741</v>
      </c>
      <c r="O5" s="9">
        <f>'Otemachi Daily'!M8</f>
        <v>153</v>
      </c>
      <c r="P5" s="9">
        <f>'Otemachi Daily'!N8</f>
        <v>274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15755</v>
      </c>
      <c r="F6" s="34">
        <f>[1]見込!$G$3</f>
        <v>36.799999999999997</v>
      </c>
      <c r="G6" s="9">
        <f>'Otemachi Daily'!F9</f>
        <v>207.7</v>
      </c>
      <c r="H6" s="34">
        <f>[1]見込!$M$23</f>
        <v>190.07550216344714</v>
      </c>
      <c r="I6" s="9">
        <f>'Otemachi Daily'!H9</f>
        <v>1947.1001999999999</v>
      </c>
      <c r="J6" s="34">
        <v>10.79</v>
      </c>
      <c r="K6" s="9">
        <f>'Otemachi Daily'!J9</f>
        <v>25714.557000000001</v>
      </c>
      <c r="L6" s="34">
        <v>7.22</v>
      </c>
      <c r="M6" s="9">
        <f>'Otemachi Daily'!L9</f>
        <v>201</v>
      </c>
      <c r="N6" s="34">
        <v>741</v>
      </c>
      <c r="O6" s="9">
        <f>'Otemachi Daily'!M9</f>
        <v>137</v>
      </c>
      <c r="P6" s="9">
        <f>'Otemachi Daily'!N9</f>
        <v>248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15369</v>
      </c>
      <c r="F7" s="34">
        <f>[1]見込!$G$3</f>
        <v>36.799999999999997</v>
      </c>
      <c r="G7" s="9">
        <f>'Otemachi Daily'!F10</f>
        <v>196.3</v>
      </c>
      <c r="H7" s="34">
        <f>[1]見込!$M$23</f>
        <v>190.07550216344714</v>
      </c>
      <c r="I7" s="9">
        <f>'Otemachi Daily'!H10</f>
        <v>1539.2898</v>
      </c>
      <c r="J7" s="34">
        <v>10.79</v>
      </c>
      <c r="K7" s="9">
        <f>'Otemachi Daily'!J10</f>
        <v>25734.2808</v>
      </c>
      <c r="L7" s="34">
        <v>7.22</v>
      </c>
      <c r="M7" s="9">
        <f>'Otemachi Daily'!L10</f>
        <v>192</v>
      </c>
      <c r="N7" s="34">
        <v>741</v>
      </c>
      <c r="O7" s="9">
        <f>'Otemachi Daily'!M10</f>
        <v>149</v>
      </c>
      <c r="P7" s="9">
        <f>'Otemachi Daily'!N10</f>
        <v>313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15523</v>
      </c>
      <c r="F8" s="34">
        <f>[1]見込!$G$3</f>
        <v>36.799999999999997</v>
      </c>
      <c r="G8" s="9">
        <f>'Otemachi Daily'!F11</f>
        <v>204</v>
      </c>
      <c r="H8" s="34">
        <f>[1]見込!$M$23</f>
        <v>190.07550216344714</v>
      </c>
      <c r="I8" s="9">
        <f>'Otemachi Daily'!H11</f>
        <v>2360.4665999999997</v>
      </c>
      <c r="J8" s="34">
        <v>10.79</v>
      </c>
      <c r="K8" s="9">
        <f>'Otemachi Daily'!J11</f>
        <v>24639.748799999998</v>
      </c>
      <c r="L8" s="34">
        <v>7.22</v>
      </c>
      <c r="M8" s="9">
        <f>'Otemachi Daily'!L11</f>
        <v>197</v>
      </c>
      <c r="N8" s="34">
        <v>741</v>
      </c>
      <c r="O8" s="9">
        <f>'Otemachi Daily'!M11</f>
        <v>162</v>
      </c>
      <c r="P8" s="9">
        <f>'Otemachi Daily'!N11</f>
        <v>226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15672</v>
      </c>
      <c r="F9" s="34">
        <f>[1]見込!$G$3</f>
        <v>36.799999999999997</v>
      </c>
      <c r="G9" s="9">
        <f>'Otemachi Daily'!F12</f>
        <v>197.6</v>
      </c>
      <c r="H9" s="34">
        <f>[1]見込!$M$23</f>
        <v>190.07550216344714</v>
      </c>
      <c r="I9" s="9">
        <f>'Otemachi Daily'!H12</f>
        <v>2664.9353999999998</v>
      </c>
      <c r="J9" s="34">
        <v>10.79</v>
      </c>
      <c r="K9" s="9">
        <f>'Otemachi Daily'!J12</f>
        <v>23270.472600000001</v>
      </c>
      <c r="L9" s="34">
        <v>7.22</v>
      </c>
      <c r="M9" s="9">
        <f>'Otemachi Daily'!L12</f>
        <v>217</v>
      </c>
      <c r="N9" s="34">
        <v>741</v>
      </c>
      <c r="O9" s="9">
        <f>'Otemachi Daily'!M12</f>
        <v>155</v>
      </c>
      <c r="P9" s="9">
        <f>'Otemachi Daily'!N12</f>
        <v>316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0</v>
      </c>
      <c r="F10" s="34">
        <f>[1]見込!$G$3</f>
        <v>36.799999999999997</v>
      </c>
      <c r="G10" s="9">
        <f>'Otemachi Daily'!F13</f>
        <v>0</v>
      </c>
      <c r="H10" s="34">
        <f>[1]見込!$M$23</f>
        <v>190.07550216344714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0</v>
      </c>
      <c r="F11" s="34">
        <f>[1]見込!$G$3</f>
        <v>36.799999999999997</v>
      </c>
      <c r="G11" s="9">
        <f>'Otemachi Daily'!F14</f>
        <v>0</v>
      </c>
      <c r="H11" s="34">
        <f>[1]見込!$M$23</f>
        <v>190.07550216344714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0</v>
      </c>
      <c r="F12" s="34">
        <f>[1]見込!$G$3</f>
        <v>36.799999999999997</v>
      </c>
      <c r="G12" s="9">
        <f>'Otemachi Daily'!F15</f>
        <v>0</v>
      </c>
      <c r="H12" s="34">
        <f>[1]見込!$M$23</f>
        <v>190.07550216344714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0</v>
      </c>
      <c r="F13" s="34">
        <f>[1]見込!$G$3</f>
        <v>36.799999999999997</v>
      </c>
      <c r="G13" s="9">
        <f>'Otemachi Daily'!F16</f>
        <v>0</v>
      </c>
      <c r="H13" s="34">
        <f>[1]見込!$M$23</f>
        <v>190.07550216344714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0</v>
      </c>
      <c r="F14" s="34">
        <f>[1]見込!$G$3</f>
        <v>36.799999999999997</v>
      </c>
      <c r="G14" s="9">
        <f>'Otemachi Daily'!F17</f>
        <v>0</v>
      </c>
      <c r="H14" s="34">
        <f>[1]見込!$M$23</f>
        <v>190.07550216344714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0</v>
      </c>
      <c r="F15" s="34">
        <f>[1]見込!$G$3</f>
        <v>36.799999999999997</v>
      </c>
      <c r="G15" s="9">
        <f>'Otemachi Daily'!F18</f>
        <v>0</v>
      </c>
      <c r="H15" s="34">
        <f>[1]見込!$M$23</f>
        <v>190.07550216344714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0</v>
      </c>
      <c r="F16" s="34">
        <f>[1]見込!$G$3</f>
        <v>36.799999999999997</v>
      </c>
      <c r="G16" s="9">
        <f>'Otemachi Daily'!F19</f>
        <v>0</v>
      </c>
      <c r="H16" s="34">
        <f>[1]見込!$M$23</f>
        <v>190.07550216344714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0</v>
      </c>
      <c r="F17" s="34">
        <f>[1]見込!$G$3</f>
        <v>36.799999999999997</v>
      </c>
      <c r="G17" s="9">
        <f>'Otemachi Daily'!F20</f>
        <v>0</v>
      </c>
      <c r="H17" s="34">
        <f>[1]見込!$M$23</f>
        <v>190.07550216344714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0</v>
      </c>
      <c r="F18" s="34">
        <f>[1]見込!$G$3</f>
        <v>36.799999999999997</v>
      </c>
      <c r="G18" s="9">
        <f>'Otemachi Daily'!F21</f>
        <v>0</v>
      </c>
      <c r="H18" s="34">
        <f>[1]見込!$M$23</f>
        <v>190.07550216344714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0</v>
      </c>
      <c r="F19" s="34">
        <f>[1]見込!$G$3</f>
        <v>36.799999999999997</v>
      </c>
      <c r="G19" s="9">
        <f>'Otemachi Daily'!F22</f>
        <v>0</v>
      </c>
      <c r="H19" s="34">
        <f>[1]見込!$M$23</f>
        <v>190.07550216344714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0</v>
      </c>
      <c r="F20" s="34">
        <f>[1]見込!$G$3</f>
        <v>36.799999999999997</v>
      </c>
      <c r="G20" s="9">
        <f>'Otemachi Daily'!F23</f>
        <v>0</v>
      </c>
      <c r="H20" s="34">
        <f>[1]見込!$M$23</f>
        <v>190.07550216344714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0</v>
      </c>
      <c r="F21" s="34">
        <f>[1]見込!$G$3</f>
        <v>36.799999999999997</v>
      </c>
      <c r="G21" s="9">
        <f>'Otemachi Daily'!F24</f>
        <v>0</v>
      </c>
      <c r="H21" s="34">
        <f>[1]見込!$M$23</f>
        <v>190.07550216344714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0</v>
      </c>
      <c r="F22" s="34">
        <f>[1]見込!$G$3</f>
        <v>36.799999999999997</v>
      </c>
      <c r="G22" s="9">
        <f>'Otemachi Daily'!F25</f>
        <v>0</v>
      </c>
      <c r="H22" s="34">
        <f>[1]見込!$M$23</f>
        <v>190.07550216344714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0</v>
      </c>
      <c r="F23" s="34">
        <f>[1]見込!$G$3</f>
        <v>36.799999999999997</v>
      </c>
      <c r="G23" s="9">
        <f>'Otemachi Daily'!F26</f>
        <v>0</v>
      </c>
      <c r="H23" s="34">
        <f>[1]見込!$M$23</f>
        <v>190.07550216344714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0</v>
      </c>
      <c r="F24" s="34">
        <f>[1]見込!$G$3</f>
        <v>36.799999999999997</v>
      </c>
      <c r="G24" s="9">
        <f>'Otemachi Daily'!F27</f>
        <v>0</v>
      </c>
      <c r="H24" s="34">
        <f>[1]見込!$M$23</f>
        <v>190.07550216344714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0</v>
      </c>
      <c r="F25" s="34">
        <f>[1]見込!$G$3</f>
        <v>36.799999999999997</v>
      </c>
      <c r="G25" s="9">
        <f>'Otemachi Daily'!F28</f>
        <v>0</v>
      </c>
      <c r="H25" s="34">
        <f>[1]見込!$M$23</f>
        <v>190.07550216344714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0</v>
      </c>
      <c r="F26" s="34">
        <f>[1]見込!$G$3</f>
        <v>36.799999999999997</v>
      </c>
      <c r="G26" s="9">
        <f>'Otemachi Daily'!F29</f>
        <v>0</v>
      </c>
      <c r="H26" s="34">
        <f>[1]見込!$M$23</f>
        <v>190.07550216344714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0</v>
      </c>
      <c r="F27" s="34">
        <f>[1]見込!$G$3</f>
        <v>36.799999999999997</v>
      </c>
      <c r="G27" s="9">
        <f>'Otemachi Daily'!F30</f>
        <v>0</v>
      </c>
      <c r="H27" s="34">
        <f>[1]見込!$M$23</f>
        <v>190.07550216344714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0</v>
      </c>
      <c r="F28" s="34">
        <f>[1]見込!$G$3</f>
        <v>36.799999999999997</v>
      </c>
      <c r="G28" s="9">
        <f>'Otemachi Daily'!F31</f>
        <v>0</v>
      </c>
      <c r="H28" s="34">
        <f>[1]見込!$M$23</f>
        <v>190.07550216344714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0</v>
      </c>
      <c r="F29" s="34">
        <f>[1]見込!$G$3</f>
        <v>36.799999999999997</v>
      </c>
      <c r="G29" s="9">
        <f>'Otemachi Daily'!F32</f>
        <v>0</v>
      </c>
      <c r="H29" s="34">
        <f>[1]見込!$M$23</f>
        <v>190.07550216344714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0</v>
      </c>
      <c r="F30" s="34">
        <f>[1]見込!$G$3</f>
        <v>36.799999999999997</v>
      </c>
      <c r="G30" s="9">
        <f>'Otemachi Daily'!F33</f>
        <v>0</v>
      </c>
      <c r="H30" s="34">
        <f>[1]見込!$M$23</f>
        <v>190.07550216344714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0</v>
      </c>
      <c r="F31" s="34">
        <f>[1]見込!$G$3</f>
        <v>36.799999999999997</v>
      </c>
      <c r="G31" s="9">
        <f>'Otemachi Daily'!F34</f>
        <v>0</v>
      </c>
      <c r="H31" s="34">
        <f>[1]見込!$M$23</f>
        <v>190.07550216344714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0</v>
      </c>
      <c r="F32" s="34">
        <f>[1]見込!$G$3</f>
        <v>36.799999999999997</v>
      </c>
      <c r="G32" s="9">
        <f>'Otemachi Daily'!F35</f>
        <v>0</v>
      </c>
      <c r="H32" s="34">
        <f>[1]見込!$M$23</f>
        <v>190.07550216344714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0" sqref="R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8"/>
      <c r="C5" s="35">
        <f>[1]コスト!$G$147</f>
        <v>16174</v>
      </c>
      <c r="D5" s="35">
        <f>C5</f>
        <v>16174</v>
      </c>
      <c r="E5" s="35">
        <f>[1]コスト!$G$23</f>
        <v>211.8</v>
      </c>
      <c r="F5" s="35">
        <f>E5</f>
        <v>211.8</v>
      </c>
      <c r="G5" s="35">
        <f>[1]コスト!$G$115</f>
        <v>2717.4395999999997</v>
      </c>
      <c r="H5" s="35">
        <f>G5</f>
        <v>2717.4395999999997</v>
      </c>
      <c r="I5" s="35">
        <f>[1]コスト!$G$91</f>
        <v>24081.370800000001</v>
      </c>
      <c r="J5" s="35">
        <f>I5</f>
        <v>24081.370800000001</v>
      </c>
      <c r="K5" s="35">
        <f>[1]コスト!$G$41</f>
        <v>245</v>
      </c>
      <c r="L5" s="35">
        <f>K5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8"/>
      <c r="C6" s="35">
        <f>[1]コスト!$H$147</f>
        <v>15657</v>
      </c>
      <c r="D6" s="35">
        <f t="shared" ref="D6:F35" si="0">C6</f>
        <v>15657</v>
      </c>
      <c r="E6" s="35">
        <f>[1]コスト!$H$23</f>
        <v>207.2</v>
      </c>
      <c r="F6" s="35">
        <f t="shared" si="0"/>
        <v>207.2</v>
      </c>
      <c r="G6" s="35">
        <f>[1]コスト!$H$115</f>
        <v>2591.5962</v>
      </c>
      <c r="H6" s="35">
        <f t="shared" ref="H6" si="1">G6</f>
        <v>2591.5962</v>
      </c>
      <c r="I6" s="35">
        <f>[1]コスト!$H$91</f>
        <v>24731.9784</v>
      </c>
      <c r="J6" s="35">
        <f t="shared" ref="J6" si="2">I6</f>
        <v>24731.9784</v>
      </c>
      <c r="K6" s="35">
        <f>[1]コスト!$H$41</f>
        <v>231</v>
      </c>
      <c r="L6" s="35">
        <f t="shared" ref="L6" si="3">K6</f>
        <v>231</v>
      </c>
      <c r="M6" s="35">
        <f>[1]使用量!$H$387</f>
        <v>158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44929</v>
      </c>
      <c r="B7" s="38"/>
      <c r="C7" s="35">
        <f>[1]コスト!$I$147</f>
        <v>15777</v>
      </c>
      <c r="D7" s="35">
        <f t="shared" si="0"/>
        <v>15777</v>
      </c>
      <c r="E7" s="35">
        <f>[1]コスト!$I$23</f>
        <v>213.1</v>
      </c>
      <c r="F7" s="35">
        <f t="shared" si="0"/>
        <v>213.1</v>
      </c>
      <c r="G7" s="35">
        <f>[1]コスト!$I$115</f>
        <v>2421.5825999999997</v>
      </c>
      <c r="H7" s="35">
        <f t="shared" ref="H7" si="4">G7</f>
        <v>2421.5825999999997</v>
      </c>
      <c r="I7" s="35">
        <f>[1]コスト!$I$91</f>
        <v>25625.1054</v>
      </c>
      <c r="J7" s="35">
        <f t="shared" ref="J7" si="5">I7</f>
        <v>25625.1054</v>
      </c>
      <c r="K7" s="35">
        <f>[1]コスト!$I$41</f>
        <v>209</v>
      </c>
      <c r="L7" s="35">
        <f t="shared" ref="L7" si="6">K7</f>
        <v>209</v>
      </c>
      <c r="M7" s="35">
        <f>[1]使用量!$I$387</f>
        <v>162</v>
      </c>
      <c r="N7" s="35">
        <f>[1]使用量!$I$388</f>
        <v>289</v>
      </c>
      <c r="P7" s="37"/>
      <c r="Q7" s="37"/>
    </row>
    <row r="8" spans="1:17" ht="45" customHeight="1">
      <c r="A8" s="28">
        <v>44930</v>
      </c>
      <c r="B8" s="38"/>
      <c r="C8" s="35">
        <f>[1]コスト!$J$147</f>
        <v>15971</v>
      </c>
      <c r="D8" s="35">
        <f t="shared" si="0"/>
        <v>15971</v>
      </c>
      <c r="E8" s="35">
        <f>[1]コスト!$J$23</f>
        <v>203.2</v>
      </c>
      <c r="F8" s="35">
        <f t="shared" si="0"/>
        <v>203.2</v>
      </c>
      <c r="G8" s="35">
        <f>[1]コスト!$J$115</f>
        <v>2256.0137999999997</v>
      </c>
      <c r="H8" s="35">
        <f t="shared" ref="H8" si="7">G8</f>
        <v>2256.0137999999997</v>
      </c>
      <c r="I8" s="35">
        <f>[1]コスト!$J$91</f>
        <v>25556.488799999999</v>
      </c>
      <c r="J8" s="35">
        <f t="shared" ref="J8" si="8">I8</f>
        <v>25556.488799999999</v>
      </c>
      <c r="K8" s="35">
        <f>[1]コスト!$J$41</f>
        <v>210</v>
      </c>
      <c r="L8" s="35">
        <f t="shared" ref="L8" si="9">K8</f>
        <v>210</v>
      </c>
      <c r="M8" s="35">
        <f>[1]使用量!$J$387</f>
        <v>153</v>
      </c>
      <c r="N8" s="35">
        <f>[1]使用量!$J$388</f>
        <v>274</v>
      </c>
      <c r="P8" s="37"/>
      <c r="Q8" s="37"/>
    </row>
    <row r="9" spans="1:17" ht="45" customHeight="1">
      <c r="A9" s="28">
        <v>44931</v>
      </c>
      <c r="B9" s="38"/>
      <c r="C9" s="35">
        <f>[1]コスト!$K$147</f>
        <v>15755</v>
      </c>
      <c r="D9" s="35">
        <f t="shared" si="0"/>
        <v>15755</v>
      </c>
      <c r="E9" s="35">
        <f>[1]コスト!$K$23</f>
        <v>207.7</v>
      </c>
      <c r="F9" s="35">
        <f t="shared" si="0"/>
        <v>207.7</v>
      </c>
      <c r="G9" s="35">
        <f>[1]コスト!$K$115</f>
        <v>1947.1001999999999</v>
      </c>
      <c r="H9" s="35">
        <f t="shared" ref="H9" si="10">G9</f>
        <v>1947.1001999999999</v>
      </c>
      <c r="I9" s="35">
        <f>[1]コスト!$K$91</f>
        <v>25714.557000000001</v>
      </c>
      <c r="J9" s="35">
        <f t="shared" ref="J9" si="11">I9</f>
        <v>25714.557000000001</v>
      </c>
      <c r="K9" s="35">
        <f>[1]コスト!$K$41</f>
        <v>201</v>
      </c>
      <c r="L9" s="35">
        <f t="shared" ref="L9" si="12">K9</f>
        <v>201</v>
      </c>
      <c r="M9" s="35">
        <f>[1]使用量!$K$387</f>
        <v>137</v>
      </c>
      <c r="N9" s="35">
        <f>[1]使用量!$K$388</f>
        <v>248</v>
      </c>
      <c r="P9" s="37"/>
      <c r="Q9" s="37"/>
    </row>
    <row r="10" spans="1:17" ht="45" customHeight="1">
      <c r="A10" s="28">
        <v>44932</v>
      </c>
      <c r="B10" s="38"/>
      <c r="C10" s="35">
        <f>[1]コスト!$L$147</f>
        <v>15369</v>
      </c>
      <c r="D10" s="35">
        <f t="shared" si="0"/>
        <v>15369</v>
      </c>
      <c r="E10" s="35">
        <f>[1]コスト!$L$23</f>
        <v>196.3</v>
      </c>
      <c r="F10" s="35">
        <f t="shared" si="0"/>
        <v>196.3</v>
      </c>
      <c r="G10" s="35">
        <f>[1]コスト!$L$115</f>
        <v>1539.2898</v>
      </c>
      <c r="H10" s="35">
        <f t="shared" ref="H10" si="13">G10</f>
        <v>1539.2898</v>
      </c>
      <c r="I10" s="35">
        <f>[1]コスト!$L$91</f>
        <v>25734.2808</v>
      </c>
      <c r="J10" s="35">
        <f t="shared" ref="J10" si="14">I10</f>
        <v>25734.2808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149</v>
      </c>
      <c r="N10" s="35">
        <f>[1]使用量!$L$388</f>
        <v>313</v>
      </c>
      <c r="P10" s="37"/>
      <c r="Q10" s="37"/>
    </row>
    <row r="11" spans="1:17" ht="45" customHeight="1">
      <c r="A11" s="28">
        <v>44933</v>
      </c>
      <c r="B11" s="38"/>
      <c r="C11" s="35">
        <f>[1]コスト!$M$147</f>
        <v>15523</v>
      </c>
      <c r="D11" s="35">
        <f t="shared" si="0"/>
        <v>15523</v>
      </c>
      <c r="E11" s="35">
        <f>[1]コスト!$M$23</f>
        <v>204</v>
      </c>
      <c r="F11" s="35">
        <f t="shared" si="0"/>
        <v>204</v>
      </c>
      <c r="G11" s="35">
        <f>[1]コスト!$M$115</f>
        <v>2360.4665999999997</v>
      </c>
      <c r="H11" s="35">
        <f t="shared" ref="H11" si="16">G11</f>
        <v>2360.4665999999997</v>
      </c>
      <c r="I11" s="35">
        <f>[1]コスト!$M$91</f>
        <v>24639.748799999998</v>
      </c>
      <c r="J11" s="35">
        <f t="shared" ref="J11" si="17">I11</f>
        <v>24639.748799999998</v>
      </c>
      <c r="K11" s="35">
        <f>[1]コスト!$M$41</f>
        <v>197</v>
      </c>
      <c r="L11" s="35">
        <f t="shared" ref="L11" si="18">K11</f>
        <v>197</v>
      </c>
      <c r="M11" s="35">
        <f>[1]使用量!$M$387</f>
        <v>162</v>
      </c>
      <c r="N11" s="35">
        <f>[1]使用量!$M$388</f>
        <v>226</v>
      </c>
      <c r="P11" s="37"/>
      <c r="Q11" s="37"/>
    </row>
    <row r="12" spans="1:17" ht="45" customHeight="1">
      <c r="A12" s="28">
        <v>44934</v>
      </c>
      <c r="B12" s="38"/>
      <c r="C12" s="35">
        <f>[1]コスト!$N$147</f>
        <v>15672</v>
      </c>
      <c r="D12" s="35">
        <f t="shared" si="0"/>
        <v>15672</v>
      </c>
      <c r="E12" s="35">
        <f>[1]コスト!$N$23</f>
        <v>197.6</v>
      </c>
      <c r="F12" s="35">
        <f t="shared" si="0"/>
        <v>197.6</v>
      </c>
      <c r="G12" s="35">
        <f>[1]コスト!$N$115</f>
        <v>2664.9353999999998</v>
      </c>
      <c r="H12" s="35">
        <f t="shared" ref="H12" si="19">G12</f>
        <v>2664.9353999999998</v>
      </c>
      <c r="I12" s="35">
        <f>[1]コスト!$N$91</f>
        <v>23270.472600000001</v>
      </c>
      <c r="J12" s="35">
        <f t="shared" ref="J12" si="20">I12</f>
        <v>23270.472600000001</v>
      </c>
      <c r="K12" s="35">
        <f>[1]コスト!$N$41</f>
        <v>217</v>
      </c>
      <c r="L12" s="35">
        <f t="shared" ref="L12" si="21">K12</f>
        <v>217</v>
      </c>
      <c r="M12" s="35">
        <f>[1]使用量!$N$387</f>
        <v>155</v>
      </c>
      <c r="N12" s="35">
        <f>[1]使用量!$N$388</f>
        <v>316</v>
      </c>
      <c r="P12" s="37"/>
      <c r="Q12" s="37"/>
    </row>
    <row r="13" spans="1:17" ht="45" customHeight="1">
      <c r="A13" s="28">
        <v>44935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44936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44937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44938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44939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44940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44941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44942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44943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44944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44945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44946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44947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44948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44949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44950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44951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44952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44953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44954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44955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44956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44957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2023-01-09T01:38:35Z</dcterms:modified>
</cp:coreProperties>
</file>