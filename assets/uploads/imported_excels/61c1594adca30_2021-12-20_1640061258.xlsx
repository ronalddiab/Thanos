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<sst xmlns="http://schemas.openxmlformats.org/spreadsheetml/2006/main" count="107" uniqueCount="38">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</sst>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S6" sqref="S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19.630000000000109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9345</v>
      </c>
      <c r="F14" s="14">
        <v>0.11799999999999999</v>
      </c>
      <c r="G14" s="16">
        <f>'12 - 2021'!D20-'12 - 2021'!D19+'12 - 2021'!E20-'12 - 2021'!E19</f>
        <v>18.259999999999991</v>
      </c>
      <c r="H14" s="14">
        <v>0.99</v>
      </c>
      <c r="I14" s="16">
        <f>'12 - 2021'!J20-'12 - 2021'!J19</f>
        <v>13916</v>
      </c>
      <c r="J14" s="14">
        <v>8.1000000000000003E-2</v>
      </c>
      <c r="K14" s="27">
        <f>'12 - 2021'!H20-'12 - 2021'!H19</f>
        <v>0</v>
      </c>
      <c r="L14" s="16">
        <f>'12 - 2021'!I20-'12 - 2021'!I19</f>
        <v>98</v>
      </c>
      <c r="M14" s="15">
        <v>4.393629424766913</v>
      </c>
      <c r="N14" s="16">
        <v>94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10173</v>
      </c>
      <c r="F15" s="14">
        <v>0.11799999999999999</v>
      </c>
      <c r="G15" s="16">
        <f>'12 - 2021'!D21-'12 - 2021'!D20+'12 - 2021'!E21-'12 - 2021'!E20</f>
        <v>17.450000000000045</v>
      </c>
      <c r="H15" s="14">
        <v>0.99</v>
      </c>
      <c r="I15" s="16">
        <f>'12 - 2021'!J21-'12 - 2021'!J20</f>
        <v>15020</v>
      </c>
      <c r="J15" s="14">
        <v>8.1000000000000003E-2</v>
      </c>
      <c r="K15" s="27">
        <f>'12 - 2021'!H21-'12 - 2021'!H20</f>
        <v>0</v>
      </c>
      <c r="L15" s="16">
        <f>'12 - 2021'!I21-'12 - 2021'!I20</f>
        <v>102</v>
      </c>
      <c r="M15" s="15">
        <v>4.393629424766913</v>
      </c>
      <c r="N15" s="16">
        <v>103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9692</v>
      </c>
      <c r="F16" s="14">
        <v>0.11799999999999999</v>
      </c>
      <c r="G16" s="16">
        <f>'12 - 2021'!D22-'12 - 2021'!D21+'12 - 2021'!E22-'12 - 2021'!E21</f>
        <v>18.720000000000255</v>
      </c>
      <c r="H16" s="14">
        <v>0.99</v>
      </c>
      <c r="I16" s="16">
        <f>'12 - 2021'!J22-'12 - 2021'!J21</f>
        <v>14694</v>
      </c>
      <c r="J16" s="14">
        <v>8.1000000000000003E-2</v>
      </c>
      <c r="K16" s="27">
        <f>'12 - 2021'!H22-'12 - 2021'!H21</f>
        <v>0</v>
      </c>
      <c r="L16" s="16">
        <f>'12 - 2021'!I22-'12 - 2021'!I21</f>
        <v>117</v>
      </c>
      <c r="M16" s="15">
        <v>4.393629424766913</v>
      </c>
      <c r="N16" s="16">
        <v>94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9634</v>
      </c>
      <c r="F17" s="14">
        <v>0.11799999999999999</v>
      </c>
      <c r="G17" s="16">
        <f>'12 - 2021'!D23-'12 - 2021'!D22+'12 - 2021'!E23-'12 - 2021'!E22</f>
        <v>17.150000000000091</v>
      </c>
      <c r="H17" s="14">
        <v>0.99</v>
      </c>
      <c r="I17" s="16">
        <f>'12 - 2021'!J23-'12 - 2021'!J22</f>
        <v>15115</v>
      </c>
      <c r="J17" s="14">
        <v>8.1000000000000003E-2</v>
      </c>
      <c r="K17" s="27">
        <f>'12 - 2021'!H23-'12 - 2021'!H22</f>
        <v>0</v>
      </c>
      <c r="L17" s="16">
        <f>'12 - 2021'!I23-'12 - 2021'!I22</f>
        <v>114</v>
      </c>
      <c r="M17" s="15">
        <v>4.393629424766913</v>
      </c>
      <c r="N17" s="16">
        <v>89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9670</v>
      </c>
      <c r="F18" s="14">
        <v>0.11799999999999999</v>
      </c>
      <c r="G18" s="16">
        <f>'12 - 2021'!D24-'12 - 2021'!D23+'12 - 2021'!E24-'12 - 2021'!E23</f>
        <v>20.799999999999955</v>
      </c>
      <c r="H18" s="14">
        <v>0.99</v>
      </c>
      <c r="I18" s="16">
        <f>'12 - 2021'!J24-'12 - 2021'!J23</f>
        <v>14851</v>
      </c>
      <c r="J18" s="14">
        <v>8.1000000000000003E-2</v>
      </c>
      <c r="K18" s="27">
        <f>'12 - 2021'!H24-'12 - 2021'!H23</f>
        <v>0</v>
      </c>
      <c r="L18" s="16">
        <f>'12 - 2021'!I24-'12 - 2021'!I23</f>
        <v>107</v>
      </c>
      <c r="M18" s="15">
        <v>4.393629424766913</v>
      </c>
      <c r="N18" s="16">
        <v>94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9922</v>
      </c>
      <c r="F19" s="14">
        <v>0.11799999999999999</v>
      </c>
      <c r="G19" s="16">
        <f>'12 - 2021'!D25-'12 - 2021'!D24+'12 - 2021'!E25-'12 - 2021'!E24</f>
        <v>18.5300000000002</v>
      </c>
      <c r="H19" s="14">
        <v>0.99</v>
      </c>
      <c r="I19" s="16">
        <f>'12 - 2021'!J25-'12 - 2021'!J24</f>
        <v>14932</v>
      </c>
      <c r="J19" s="14">
        <v>8.1000000000000003E-2</v>
      </c>
      <c r="K19" s="27">
        <f>'12 - 2021'!H25-'12 - 2021'!H24</f>
        <v>0</v>
      </c>
      <c r="L19" s="16">
        <f>'12 - 2021'!I25-'12 - 2021'!I24</f>
        <v>105</v>
      </c>
      <c r="M19" s="15">
        <v>4.393629424766913</v>
      </c>
      <c r="N19" s="16">
        <v>85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9907</v>
      </c>
      <c r="F20" s="14">
        <v>0.11799999999999999</v>
      </c>
      <c r="G20" s="16">
        <f>'12 - 2021'!D26-'12 - 2021'!D25+'12 - 2021'!E26-'12 - 2021'!E25</f>
        <v>16.599999999999909</v>
      </c>
      <c r="H20" s="14">
        <v>0.99</v>
      </c>
      <c r="I20" s="16">
        <f>'12 - 2021'!J26-'12 - 2021'!J25</f>
        <v>14908</v>
      </c>
      <c r="J20" s="14">
        <v>8.1000000000000003E-2</v>
      </c>
      <c r="K20" s="27">
        <f>'12 - 2021'!H26-'12 - 2021'!H25</f>
        <v>0</v>
      </c>
      <c r="L20" s="16">
        <f>'12 - 2021'!I26-'12 - 2021'!I25</f>
        <v>111</v>
      </c>
      <c r="M20" s="15">
        <v>4.393629424766913</v>
      </c>
      <c r="N20" s="16">
        <v>83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9828</v>
      </c>
      <c r="F21" s="14">
        <v>0.11799999999999999</v>
      </c>
      <c r="G21" s="16">
        <f>'12 - 2021'!D27-'12 - 2021'!D26+'12 - 2021'!E27-'12 - 2021'!E26</f>
        <v>17.730000000000018</v>
      </c>
      <c r="H21" s="14">
        <v>0.99</v>
      </c>
      <c r="I21" s="16">
        <f>'12 - 2021'!J27-'12 - 2021'!J26</f>
        <v>14516</v>
      </c>
      <c r="J21" s="14">
        <v>8.1000000000000003E-2</v>
      </c>
      <c r="K21" s="27">
        <f>'12 - 2021'!H27-'12 - 2021'!H26</f>
        <v>0</v>
      </c>
      <c r="L21" s="16">
        <f>'12 - 2021'!I27-'12 - 2021'!I26</f>
        <v>102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9479.5400000000373</v>
      </c>
      <c r="F22" s="14">
        <v>0.11799999999999999</v>
      </c>
      <c r="G22" s="16">
        <f>'12 - 2021'!D28-'12 - 2021'!D27+'12 - 2021'!E28-'12 - 2021'!E27</f>
        <v>18.299999999999955</v>
      </c>
      <c r="H22" s="14">
        <v>0.99</v>
      </c>
      <c r="I22" s="16">
        <f>'12 - 2021'!J28-'12 - 2021'!J27</f>
        <v>13916</v>
      </c>
      <c r="J22" s="14">
        <v>8.1000000000000003E-2</v>
      </c>
      <c r="K22" s="27">
        <f>'12 - 2021'!H28-'12 - 2021'!H27</f>
        <v>0</v>
      </c>
      <c r="L22" s="16">
        <f>'12 - 2021'!I28-'12 - 2021'!I27</f>
        <v>93</v>
      </c>
      <c r="M22" s="15">
        <v>4.393629424766913</v>
      </c>
      <c r="N22" s="16">
        <v>71</v>
      </c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v>0</v>
      </c>
      <c r="F23" s="14">
        <v>0.11799999999999999</v>
      </c>
      <c r="G23" s="16">
        <v>0</v>
      </c>
      <c r="H23" s="14">
        <v>0.99</v>
      </c>
      <c r="I23" s="16">
        <v>0</v>
      </c>
      <c r="J23" s="14">
        <v>8.1000000000000003E-2</v>
      </c>
      <c r="K23" s="27">
        <v>0</v>
      </c>
      <c r="L23" s="16"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0</v>
      </c>
      <c r="F24" s="14">
        <v>0.11799999999999999</v>
      </c>
      <c r="G24" s="16">
        <f>'12 - 2021'!D30-'12 - 2021'!D29+'12 - 2021'!E30-'12 - 2021'!E29</f>
        <v>0</v>
      </c>
      <c r="H24" s="14">
        <v>0.99</v>
      </c>
      <c r="I24" s="16">
        <f>'12 - 2021'!J30-'12 - 2021'!J29</f>
        <v>0</v>
      </c>
      <c r="J24" s="14">
        <v>8.1000000000000003E-2</v>
      </c>
      <c r="K24" s="27">
        <f>'12 - 2021'!H30-'12 - 2021'!H29</f>
        <v>0</v>
      </c>
      <c r="L24" s="16">
        <f>'12 - 2021'!I30-'12 - 2021'!I29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0</v>
      </c>
      <c r="F25" s="14">
        <v>0.11799999999999999</v>
      </c>
      <c r="G25" s="16">
        <f>'12 - 2021'!D31-'12 - 2021'!D30+'12 - 2021'!E31-'12 - 2021'!E30</f>
        <v>0</v>
      </c>
      <c r="H25" s="14">
        <v>0.99</v>
      </c>
      <c r="I25" s="16">
        <f>'12 - 2021'!J31-'12 - 2021'!J30</f>
        <v>0</v>
      </c>
      <c r="J25" s="14">
        <v>8.1000000000000003E-2</v>
      </c>
      <c r="K25" s="27">
        <f>'12 - 2021'!H31-'12 - 2021'!H30</f>
        <v>0</v>
      </c>
      <c r="L25" s="16">
        <f>'12 - 2021'!I31-'12 - 2021'!I30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0</v>
      </c>
      <c r="F26" s="14">
        <v>0.11799999999999999</v>
      </c>
      <c r="G26" s="16">
        <f>'12 - 2021'!D32-'12 - 2021'!D31+'12 - 2021'!E32-'12 - 2021'!E31</f>
        <v>0</v>
      </c>
      <c r="H26" s="14">
        <v>0.99</v>
      </c>
      <c r="I26" s="16">
        <f>'12 - 2021'!J32-'12 - 2021'!J31</f>
        <v>0</v>
      </c>
      <c r="J26" s="14">
        <v>8.1000000000000003E-2</v>
      </c>
      <c r="K26" s="27">
        <f>'12 - 2021'!H32-'12 - 2021'!H31</f>
        <v>0</v>
      </c>
      <c r="L26" s="16">
        <f>'12 - 2021'!I32-'12 - 2021'!I31</f>
        <v>0</v>
      </c>
      <c r="M26" s="15">
        <v>4.393629424766913</v>
      </c>
      <c r="N26" s="23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0</v>
      </c>
      <c r="F27" s="14">
        <v>0.11799999999999999</v>
      </c>
      <c r="G27" s="16">
        <f>'12 - 2021'!D33-'12 - 2021'!D32+'12 - 2021'!E33-'12 - 2021'!E32</f>
        <v>0</v>
      </c>
      <c r="H27" s="14">
        <v>0.99</v>
      </c>
      <c r="I27" s="16">
        <f>'12 - 2021'!J33-'12 - 2021'!J32</f>
        <v>0</v>
      </c>
      <c r="J27" s="14">
        <v>8.1000000000000003E-2</v>
      </c>
      <c r="K27" s="27">
        <f>'12 - 2021'!H33-'12 - 2021'!H32</f>
        <v>0</v>
      </c>
      <c r="L27" s="16">
        <f>'12 - 2021'!I33-'12 - 2021'!I32</f>
        <v>0</v>
      </c>
      <c r="M27" s="15">
        <v>4.393629424766913</v>
      </c>
      <c r="N27" s="23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0</v>
      </c>
      <c r="F28" s="14">
        <v>0.11799999999999999</v>
      </c>
      <c r="G28" s="16">
        <f>'12 - 2021'!D34-'12 - 2021'!D33+'12 - 2021'!E34-'12 - 2021'!E33</f>
        <v>0</v>
      </c>
      <c r="H28" s="14">
        <v>0.99</v>
      </c>
      <c r="I28" s="16">
        <f>'12 - 2021'!J34-'12 - 2021'!J33</f>
        <v>0</v>
      </c>
      <c r="J28" s="14">
        <v>8.1000000000000003E-2</v>
      </c>
      <c r="K28" s="27">
        <f>'12 - 2021'!H34-'12 - 2021'!H33</f>
        <v>0</v>
      </c>
      <c r="L28" s="16">
        <f>'12 - 2021'!I34-'12 - 2021'!I33</f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3" sqref="J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3778</v>
      </c>
      <c r="F14" s="16">
        <f>'12 - 2021'!C20-'12 - 2021'!C19</f>
        <v>5567</v>
      </c>
      <c r="G14" s="14">
        <v>0.11799999999999999</v>
      </c>
      <c r="H14" s="16">
        <f>'12 - 2021'!E20-'12 - 2021'!E19</f>
        <v>18.329999999999927</v>
      </c>
      <c r="I14" s="16">
        <f>'12 - 2021'!F20-'12 - 2021'!F19</f>
        <v>8.42999999999995</v>
      </c>
      <c r="J14" s="16">
        <f>'12 - 2021'!G20-'12 - 2021'!G19</f>
        <v>35.529999999998836</v>
      </c>
      <c r="K14" s="14">
        <v>0.74</v>
      </c>
      <c r="L14" s="16">
        <v>94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4193</v>
      </c>
      <c r="F15" s="16">
        <f>'12 - 2021'!C21-'12 - 2021'!C20</f>
        <v>5980</v>
      </c>
      <c r="G15" s="14">
        <v>0.11799999999999999</v>
      </c>
      <c r="H15" s="16">
        <f>'12 - 2021'!E21-'12 - 2021'!E20</f>
        <v>17.529999999999973</v>
      </c>
      <c r="I15" s="16">
        <f>'12 - 2021'!F21-'12 - 2021'!F20</f>
        <v>7.8799999999999955</v>
      </c>
      <c r="J15" s="16">
        <f>'12 - 2021'!G21-'12 - 2021'!G20</f>
        <v>38.510000000002037</v>
      </c>
      <c r="K15" s="14">
        <v>0.74</v>
      </c>
      <c r="L15" s="16">
        <v>103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3867</v>
      </c>
      <c r="F16" s="16">
        <f>'12 - 2021'!C22-'12 - 2021'!C21</f>
        <v>5825</v>
      </c>
      <c r="G16" s="14">
        <v>0.11799999999999999</v>
      </c>
      <c r="H16" s="16">
        <f>'12 - 2021'!E22-'12 - 2021'!E21</f>
        <v>18.810000000000173</v>
      </c>
      <c r="I16" s="16">
        <f>'12 - 2021'!F22-'12 - 2021'!F21</f>
        <v>8.1400000000001</v>
      </c>
      <c r="J16" s="16">
        <f>'12 - 2021'!G22-'12 - 2021'!G21</f>
        <v>37.760000000002037</v>
      </c>
      <c r="K16" s="14">
        <v>0.74</v>
      </c>
      <c r="L16" s="16">
        <v>94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3888</v>
      </c>
      <c r="F17" s="16">
        <f>'12 - 2021'!C23-'12 - 2021'!C22</f>
        <v>5746</v>
      </c>
      <c r="G17" s="14">
        <v>0.11799999999999999</v>
      </c>
      <c r="H17" s="16">
        <f>'12 - 2021'!E23-'12 - 2021'!E22</f>
        <v>17.240000000000009</v>
      </c>
      <c r="I17" s="16">
        <f>'12 - 2021'!F23-'12 - 2021'!F22</f>
        <v>7.8899999999999864</v>
      </c>
      <c r="J17" s="16">
        <f>'12 - 2021'!G23-'12 - 2021'!G22</f>
        <v>37.629999999997381</v>
      </c>
      <c r="K17" s="14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3859</v>
      </c>
      <c r="F18" s="16">
        <f>'12 - 2021'!C24-'12 - 2021'!C23</f>
        <v>5811</v>
      </c>
      <c r="G18" s="14">
        <v>0.11799999999999999</v>
      </c>
      <c r="H18" s="16">
        <f>'12 - 2021'!E24-'12 - 2021'!E23</f>
        <v>20.869999999999891</v>
      </c>
      <c r="I18" s="16">
        <f>'12 - 2021'!F24-'12 - 2021'!F23</f>
        <v>7.9600000000000364</v>
      </c>
      <c r="J18" s="16">
        <f>'12 - 2021'!G24-'12 - 2021'!G23</f>
        <v>37.5</v>
      </c>
      <c r="K18" s="14">
        <v>0.74</v>
      </c>
      <c r="L18" s="16">
        <v>94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4071</v>
      </c>
      <c r="F19" s="16">
        <f>'12 - 2021'!C25-'12 - 2021'!C24</f>
        <v>5851</v>
      </c>
      <c r="G19" s="14">
        <v>0.11799999999999999</v>
      </c>
      <c r="H19" s="16">
        <f>'12 - 2021'!E25-'12 - 2021'!E24</f>
        <v>18.610000000000127</v>
      </c>
      <c r="I19" s="16">
        <f>'12 - 2021'!F25-'12 - 2021'!F24</f>
        <v>7.7200000000000273</v>
      </c>
      <c r="J19" s="16">
        <f>'12 - 2021'!G25-'12 - 2021'!G24</f>
        <v>37.520000000004075</v>
      </c>
      <c r="K19" s="14">
        <v>0.74</v>
      </c>
      <c r="L19" s="16">
        <v>85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4083</v>
      </c>
      <c r="F20" s="16">
        <f>'12 - 2021'!C26-'12 - 2021'!C25</f>
        <v>5824</v>
      </c>
      <c r="G20" s="14">
        <v>0.11799999999999999</v>
      </c>
      <c r="H20" s="16">
        <f>'12 - 2021'!E26-'12 - 2021'!E25</f>
        <v>16.669999999999845</v>
      </c>
      <c r="I20" s="16">
        <f>'12 - 2021'!F26-'12 - 2021'!F25</f>
        <v>7.6999999999998181</v>
      </c>
      <c r="J20" s="16">
        <f>'12 - 2021'!G26-'12 - 2021'!G25</f>
        <v>36.349999999998545</v>
      </c>
      <c r="K20" s="14">
        <v>0.74</v>
      </c>
      <c r="L20" s="4">
        <v>83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3982</v>
      </c>
      <c r="F21" s="16">
        <f>'12 - 2021'!C27-'12 - 2021'!C26</f>
        <v>5846</v>
      </c>
      <c r="G21" s="14">
        <v>0.11799999999999999</v>
      </c>
      <c r="H21" s="16">
        <f>'12 - 2021'!E27-'12 - 2021'!E26</f>
        <v>17.789999999999964</v>
      </c>
      <c r="I21" s="16">
        <f>'12 - 2021'!F27-'12 - 2021'!F26</f>
        <v>7.1000000000001364</v>
      </c>
      <c r="J21" s="16">
        <f>'12 - 2021'!G27-'12 - 2021'!G26</f>
        <v>34.510000000002037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3814</v>
      </c>
      <c r="F22" s="16">
        <f>'12 - 2021'!C28-'12 - 2021'!C27</f>
        <v>5665.5400000000373</v>
      </c>
      <c r="G22" s="14">
        <v>0.11799999999999999</v>
      </c>
      <c r="H22" s="16">
        <f>'12 - 2021'!E28-'12 - 2021'!E27</f>
        <v>17.740000000000009</v>
      </c>
      <c r="I22" s="16">
        <f>'12 - 2021'!F28-'12 - 2021'!F27</f>
        <v>7.7100000000000364</v>
      </c>
      <c r="J22" s="16">
        <f>'12 - 2021'!G28-'12 - 2021'!G27</f>
        <v>35.719999999993888</v>
      </c>
      <c r="K22" s="14">
        <v>0.74</v>
      </c>
      <c r="L22" s="16">
        <v>71</v>
      </c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v>0</v>
      </c>
      <c r="F23" s="16">
        <v>0</v>
      </c>
      <c r="G23" s="14">
        <v>0.11799999999999999</v>
      </c>
      <c r="H23" s="16">
        <v>0</v>
      </c>
      <c r="I23" s="16">
        <v>0</v>
      </c>
      <c r="J23" s="16"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0</v>
      </c>
      <c r="F24" s="16">
        <f>'12 - 2021'!C30-'12 - 2021'!C29</f>
        <v>0</v>
      </c>
      <c r="G24" s="14">
        <v>0.11799999999999999</v>
      </c>
      <c r="H24" s="16">
        <f>'12 - 2021'!E30-'12 - 2021'!E29</f>
        <v>0</v>
      </c>
      <c r="I24" s="16">
        <f>'12 - 2021'!F30-'12 - 2021'!F29</f>
        <v>0</v>
      </c>
      <c r="J24" s="16">
        <f>'12 - 2021'!G30-'12 - 2021'!G29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0</v>
      </c>
      <c r="F25" s="16">
        <f>'12 - 2021'!C31-'12 - 2021'!C30</f>
        <v>0</v>
      </c>
      <c r="G25" s="14">
        <v>0.11799999999999999</v>
      </c>
      <c r="H25" s="16">
        <f>'12 - 2021'!E31-'12 - 2021'!E30</f>
        <v>0</v>
      </c>
      <c r="I25" s="16">
        <f>'12 - 2021'!F31-'12 - 2021'!F30</f>
        <v>0</v>
      </c>
      <c r="J25" s="16">
        <f>'12 - 2021'!G31-'12 - 2021'!G30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0</v>
      </c>
      <c r="F26" s="16">
        <f>'12 - 2021'!C32-'12 - 2021'!C31</f>
        <v>0</v>
      </c>
      <c r="G26" s="14">
        <v>0.11799999999999999</v>
      </c>
      <c r="H26" s="16">
        <f>'12 - 2021'!E32-'12 - 2021'!E31</f>
        <v>0</v>
      </c>
      <c r="I26" s="16">
        <f>'12 - 2021'!F32-'12 - 2021'!F31</f>
        <v>0</v>
      </c>
      <c r="J26" s="16">
        <f>'12 - 2021'!G32-'12 - 2021'!G31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0</v>
      </c>
      <c r="F27" s="16">
        <f>'12 - 2021'!C33-'12 - 2021'!C32</f>
        <v>0</v>
      </c>
      <c r="G27" s="14">
        <v>0.11799999999999999</v>
      </c>
      <c r="H27" s="16">
        <f>'12 - 2021'!E33-'12 - 2021'!E32</f>
        <v>0</v>
      </c>
      <c r="I27" s="16">
        <f>'12 - 2021'!F33-'12 - 2021'!F32</f>
        <v>0</v>
      </c>
      <c r="J27" s="16">
        <f>'12 - 2021'!G33-'12 - 2021'!G32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0</v>
      </c>
      <c r="F28" s="16">
        <f>'12 - 2021'!C34-'12 - 2021'!C33</f>
        <v>0</v>
      </c>
      <c r="G28" s="14">
        <v>0.11799999999999999</v>
      </c>
      <c r="H28" s="16">
        <f>'12 - 2021'!E34-'12 - 2021'!E33</f>
        <v>0</v>
      </c>
      <c r="I28" s="16">
        <f>'12 - 2021'!F34-'12 - 2021'!F33</f>
        <v>0</v>
      </c>
      <c r="J28" s="16">
        <f>'12 - 2021'!G34-'12 - 2021'!G33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4" zoomScaleNormal="100" workbookViewId="0">
      <selection activeCell="F35" sqref="F3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0.85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>
        <v>461483</v>
      </c>
      <c r="C20" s="32">
        <v>956470</v>
      </c>
      <c r="D20" s="39">
        <v>0.78</v>
      </c>
      <c r="E20" s="40">
        <v>1378.08</v>
      </c>
      <c r="F20" s="40">
        <v>1004.3</v>
      </c>
      <c r="G20" s="31">
        <v>35955.129999999997</v>
      </c>
      <c r="H20" s="40">
        <v>14528</v>
      </c>
      <c r="I20" s="32">
        <v>140754</v>
      </c>
      <c r="J20" s="32">
        <v>52877696</v>
      </c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>
        <v>465676</v>
      </c>
      <c r="C21" s="32">
        <v>962450</v>
      </c>
      <c r="D21" s="39">
        <v>0.7</v>
      </c>
      <c r="E21" s="31">
        <v>1395.61</v>
      </c>
      <c r="F21" s="30">
        <v>1012.18</v>
      </c>
      <c r="G21" s="31">
        <v>35993.64</v>
      </c>
      <c r="H21" s="40">
        <v>14528</v>
      </c>
      <c r="I21" s="32">
        <v>140856</v>
      </c>
      <c r="J21" s="32">
        <v>52892716</v>
      </c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>
        <v>469543</v>
      </c>
      <c r="C22" s="40">
        <v>968275</v>
      </c>
      <c r="D22" s="39">
        <v>0.61</v>
      </c>
      <c r="E22" s="30">
        <v>1414.42</v>
      </c>
      <c r="F22" s="30">
        <v>1020.32</v>
      </c>
      <c r="G22" s="31">
        <v>36031.4</v>
      </c>
      <c r="H22" s="40">
        <v>14528</v>
      </c>
      <c r="I22" s="31">
        <v>140973</v>
      </c>
      <c r="J22" s="32">
        <v>52907410</v>
      </c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>
        <v>473431</v>
      </c>
      <c r="C23" s="32">
        <v>974021</v>
      </c>
      <c r="D23" s="39">
        <v>0.52</v>
      </c>
      <c r="E23" s="31">
        <v>1431.66</v>
      </c>
      <c r="F23" s="30">
        <v>1028.21</v>
      </c>
      <c r="G23" s="31">
        <v>36069.03</v>
      </c>
      <c r="H23" s="40">
        <v>14528</v>
      </c>
      <c r="I23" s="32">
        <v>141087</v>
      </c>
      <c r="J23" s="32">
        <v>52922525</v>
      </c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>
        <v>477290</v>
      </c>
      <c r="C24" s="32">
        <v>979832</v>
      </c>
      <c r="D24" s="39">
        <v>0.45</v>
      </c>
      <c r="E24" s="31">
        <v>1452.53</v>
      </c>
      <c r="F24" s="30">
        <v>1036.17</v>
      </c>
      <c r="G24" s="31">
        <v>36106.53</v>
      </c>
      <c r="H24" s="40">
        <v>14528</v>
      </c>
      <c r="I24" s="32">
        <v>141194</v>
      </c>
      <c r="J24" s="32">
        <v>52937376</v>
      </c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>
        <v>481361</v>
      </c>
      <c r="C25" s="31">
        <v>985683</v>
      </c>
      <c r="D25" s="39">
        <v>0.37</v>
      </c>
      <c r="E25" s="31">
        <v>1471.14</v>
      </c>
      <c r="F25" s="30">
        <v>1043.8900000000001</v>
      </c>
      <c r="G25" s="31">
        <v>36144.050000000003</v>
      </c>
      <c r="H25" s="40">
        <v>14528</v>
      </c>
      <c r="I25" s="32">
        <v>141299</v>
      </c>
      <c r="J25" s="32">
        <v>52952308</v>
      </c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>
        <v>485444</v>
      </c>
      <c r="C26" s="31">
        <v>991507</v>
      </c>
      <c r="D26" s="42">
        <v>0.3</v>
      </c>
      <c r="E26" s="31">
        <v>1487.81</v>
      </c>
      <c r="F26" s="30">
        <v>1051.5899999999999</v>
      </c>
      <c r="G26" s="31">
        <v>36180.400000000001</v>
      </c>
      <c r="H26" s="40">
        <v>14528</v>
      </c>
      <c r="I26" s="32">
        <v>141410</v>
      </c>
      <c r="J26" s="32">
        <v>52967216</v>
      </c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>
        <v>489426</v>
      </c>
      <c r="C27" s="32">
        <v>997353</v>
      </c>
      <c r="D27" s="39">
        <v>0.24</v>
      </c>
      <c r="E27" s="31">
        <v>1505.6</v>
      </c>
      <c r="F27" s="30">
        <v>1058.69</v>
      </c>
      <c r="G27" s="31">
        <v>36214.910000000003</v>
      </c>
      <c r="H27" s="40">
        <v>14528</v>
      </c>
      <c r="I27" s="32">
        <v>141512</v>
      </c>
      <c r="J27" s="32">
        <v>52981732</v>
      </c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>
        <v>493240</v>
      </c>
      <c r="C28" s="32">
        <v>1003018.54</v>
      </c>
      <c r="D28" s="39">
        <v>0.8</v>
      </c>
      <c r="E28" s="31">
        <v>1523.34</v>
      </c>
      <c r="F28" s="30">
        <v>1066.4000000000001</v>
      </c>
      <c r="G28" s="31">
        <v>36250.629999999997</v>
      </c>
      <c r="H28" s="40">
        <v>14528</v>
      </c>
      <c r="I28" s="32">
        <v>141605</v>
      </c>
      <c r="J28" s="32">
        <v>52995648</v>
      </c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/>
      <c r="C29" s="32"/>
      <c r="D29" s="39"/>
      <c r="E29" s="31"/>
      <c r="F29" s="30"/>
      <c r="G29" s="31"/>
      <c r="H29" s="40"/>
      <c r="I29" s="32"/>
      <c r="J29" s="32"/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/>
      <c r="C30" s="32"/>
      <c r="D30" s="39"/>
      <c r="E30" s="31"/>
      <c r="F30" s="30"/>
      <c r="G30" s="31"/>
      <c r="H30" s="40"/>
      <c r="I30" s="32"/>
      <c r="J30" s="32"/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/>
      <c r="C31" s="32"/>
      <c r="D31" s="39"/>
      <c r="E31" s="31"/>
      <c r="F31" s="30"/>
      <c r="G31" s="31"/>
      <c r="H31" s="40"/>
      <c r="I31" s="32"/>
      <c r="J31" s="32"/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/>
      <c r="C32" s="32"/>
      <c r="D32" s="39"/>
      <c r="E32" s="31"/>
      <c r="F32" s="30"/>
      <c r="G32" s="31"/>
      <c r="H32" s="40"/>
      <c r="I32" s="32"/>
      <c r="J32" s="32"/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/>
      <c r="C33" s="32"/>
      <c r="D33" s="39"/>
      <c r="E33" s="31"/>
      <c r="F33" s="30"/>
      <c r="G33" s="31"/>
      <c r="H33" s="40"/>
      <c r="I33" s="32"/>
      <c r="J33" s="32"/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2021-12-21T04:25:53Z</dcterms:modified>
</cp:coreProperties>
</file>