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783" documentId="8_{B5C46BEE-2163-4AAC-A0A7-4875FCE1155D}" xr6:coauthVersionLast="47" xr6:coauthVersionMax="47" xr10:uidLastSave="{5F5D66B5-C347-4CE7-848E-29C6A0C5F58A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AY3" i="2"/>
  <c r="AY4" i="2"/>
  <c r="BC3" i="2"/>
  <c r="BA3" i="2"/>
  <c r="BA4" i="2"/>
  <c r="BC4" i="2"/>
  <c r="BC5" i="2"/>
  <c r="AY10" i="2"/>
  <c r="AL3" i="2"/>
  <c r="D3" i="2"/>
  <c r="D4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3" i="2" l="1"/>
  <c r="BH32" i="2"/>
  <c r="BH31" i="2"/>
  <c r="BH30" i="2"/>
  <c r="BH29" i="2"/>
  <c r="BH28" i="2"/>
  <c r="BH27" i="2"/>
  <c r="BH26" i="2"/>
  <c r="AU21" i="2"/>
  <c r="AS21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AU13" i="2" l="1"/>
  <c r="AS13" i="2"/>
  <c r="BA5" i="2"/>
  <c r="BA6" i="2"/>
  <c r="AD3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4" i="2"/>
  <c r="BA33" i="2"/>
  <c r="BA32" i="2"/>
  <c r="BA31" i="2"/>
  <c r="BA30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H34" i="2"/>
  <c r="H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D32" i="2"/>
  <c r="D33" i="2"/>
  <c r="D34" i="2"/>
  <c r="D5" i="2"/>
  <c r="AC8" i="3" l="1"/>
  <c r="G8" i="1" s="1"/>
  <c r="AC9" i="3"/>
  <c r="G9" i="1" s="1"/>
  <c r="BA11" i="2"/>
  <c r="BA10" i="2"/>
  <c r="AD8" i="3"/>
  <c r="AD9" i="3"/>
  <c r="BC11" i="2"/>
  <c r="BC10" i="2"/>
  <c r="Z10" i="3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E31" i="1" s="1"/>
  <c r="F31" i="1" s="1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AN3" i="2"/>
  <c r="AP3" i="2"/>
  <c r="AH3" i="2"/>
  <c r="AF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<sst xmlns="http://schemas.openxmlformats.org/spreadsheetml/2006/main" count="195" uniqueCount="60">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</sst>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" fontId="3" fillId="0" borderId="3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D2" sqref="D2:D32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6" t="s">
        <v>5</v>
      </c>
      <c r="G1" s="25" t="s">
        <v>6</v>
      </c>
      <c r="H1" s="26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3586</v>
      </c>
      <c r="F2" s="15">
        <f>((Submetering!E2+Submetering!F2)*0.11+Submetering!G2*0.0302)/TOTAL!E2</f>
        <v>3.0200000000000001E-2</v>
      </c>
      <c r="G2" s="19">
        <f>Submetering!AC2</f>
        <v>1492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149</v>
      </c>
      <c r="L2" s="19">
        <f>Submetering!AF2</f>
        <v>230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3298</v>
      </c>
      <c r="F3" s="15">
        <f>((Submetering!E3+Submetering!F3)*0.11+Submetering!G3*0.0302)/TOTAL!E3</f>
        <v>3.0200000000000001E-2</v>
      </c>
      <c r="G3" s="19">
        <f>Submetering!AC3</f>
        <v>1340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158</v>
      </c>
      <c r="L3" s="19">
        <f>Submetering!AF3</f>
        <v>243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4148</v>
      </c>
      <c r="F4" s="15">
        <f>((Submetering!E4+Submetering!F4)*0.11+Submetering!G4*0.0302)/TOTAL!E4</f>
        <v>3.0200000000000001E-2</v>
      </c>
      <c r="G4" s="19">
        <f>Submetering!AC4</f>
        <v>1773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165</v>
      </c>
      <c r="L4" s="19">
        <f>Submetering!AF4</f>
        <v>233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4005</v>
      </c>
      <c r="F5" s="15">
        <f>((Submetering!E5+Submetering!F5)*0.11+Submetering!G5*0.0302)/TOTAL!E5</f>
        <v>3.0200000000000001E-2</v>
      </c>
      <c r="G5" s="19">
        <f>Submetering!AC5</f>
        <v>1667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180</v>
      </c>
      <c r="L5" s="19">
        <f>Submetering!AF5</f>
        <v>254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3646</v>
      </c>
      <c r="F6" s="15">
        <f>((Submetering!E6+Submetering!F6)*0.11+Submetering!G6*0.0302)/TOTAL!E6</f>
        <v>3.0200000000000001E-2</v>
      </c>
      <c r="G6" s="19">
        <f>Submetering!AC6</f>
        <v>1654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156</v>
      </c>
      <c r="L6" s="19">
        <f>Submetering!AF6</f>
        <v>226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3720</v>
      </c>
      <c r="F7" s="15">
        <f>((Submetering!E7+Submetering!F7)*0.11+Submetering!G7*0.0302)/TOTAL!E7</f>
        <v>3.0200000000000001E-2</v>
      </c>
      <c r="G7" s="19">
        <f>Submetering!AC7</f>
        <v>1274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157</v>
      </c>
      <c r="L7" s="19">
        <f>Submetering!AF7</f>
        <v>241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3809</v>
      </c>
      <c r="F8" s="15">
        <f>((Submetering!E8+Submetering!F8)*0.11+Submetering!G8*0.0302)/TOTAL!E8</f>
        <v>3.0200000000000001E-2</v>
      </c>
      <c r="G8" s="19">
        <f>Submetering!AC8</f>
        <v>2041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162</v>
      </c>
      <c r="L8" s="19">
        <f>Submetering!AF8</f>
        <v>262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3533</v>
      </c>
      <c r="F9" s="15">
        <f>((Submetering!E9+Submetering!F9)*0.11+Submetering!G9*0.0302)/TOTAL!E9</f>
        <v>3.0200000000000001E-2</v>
      </c>
      <c r="G9" s="19">
        <f>Submetering!AC9</f>
        <v>1720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179</v>
      </c>
      <c r="L9" s="19">
        <f>Submetering!AF9</f>
        <v>307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3747</v>
      </c>
      <c r="F10" s="15">
        <f>((Submetering!E10+Submetering!F10)*0.11+Submetering!G10*0.0302)/TOTAL!E10</f>
        <v>3.0200000000000001E-2</v>
      </c>
      <c r="G10" s="19">
        <f>Submetering!AC10</f>
        <v>1606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169</v>
      </c>
      <c r="L10" s="19">
        <f>Submetering!AF10</f>
        <v>294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3859</v>
      </c>
      <c r="F11" s="15">
        <f>((Submetering!E11+Submetering!F11)*0.11+Submetering!G11*0.0302)/TOTAL!E11</f>
        <v>3.0200000000000001E-2</v>
      </c>
      <c r="G11" s="19">
        <f>Submetering!AC11</f>
        <v>1665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157</v>
      </c>
      <c r="L11" s="19">
        <f>Submetering!AF11</f>
        <v>252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4096</v>
      </c>
      <c r="F12" s="15">
        <f>((Submetering!E12+Submetering!F12)*0.11+Submetering!G12*0.0302)/TOTAL!E12</f>
        <v>3.0200000000000001E-2</v>
      </c>
      <c r="G12" s="19">
        <f>Submetering!AC12</f>
        <v>1928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145</v>
      </c>
      <c r="L12" s="19">
        <f>Submetering!AF12</f>
        <v>230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7551</v>
      </c>
      <c r="F13" s="15">
        <f>((Submetering!E13+Submetering!F13)*0.11+Submetering!G13*0.0302)/TOTAL!E13</f>
        <v>3.0200000000000001E-2</v>
      </c>
      <c r="G13" s="19">
        <f>Submetering!AC13</f>
        <v>3378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161</v>
      </c>
      <c r="L13" s="19">
        <f>Submetering!AF13</f>
        <v>246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3548</v>
      </c>
      <c r="F14" s="15">
        <f>((Submetering!E14+Submetering!F14)*0.11+Submetering!G14*0.0302)/TOTAL!E14</f>
        <v>3.0200000000000001E-2</v>
      </c>
      <c r="G14" s="19">
        <f>Submetering!AC14</f>
        <v>1624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156</v>
      </c>
      <c r="L14" s="19">
        <f>Submetering!AF14</f>
        <v>229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4170</v>
      </c>
      <c r="F15" s="15">
        <f>((Submetering!E15+Submetering!F15)*0.11+Submetering!G15*0.0302)/TOTAL!E15</f>
        <v>3.0200000000000001E-2</v>
      </c>
      <c r="G15" s="19">
        <f>Submetering!AC15</f>
        <v>1804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154</v>
      </c>
      <c r="L15" s="19">
        <f>Submetering!AF15</f>
        <v>257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 t="e">
        <f>Submetering!E16+Submetering!F16+Submetering!G16</f>
        <v>#VALUE!</v>
      </c>
      <c r="F16" s="15" t="e">
        <f>((Submetering!E16+Submetering!F16)*0.11+Submetering!G16*0.0302)/TOTAL!E16</f>
        <v>#VALUE!</v>
      </c>
      <c r="G16" s="19" t="e">
        <f>Submetering!AC16</f>
        <v>#VALUE!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155</v>
      </c>
      <c r="L16" s="19">
        <f>Submetering!AF16</f>
        <v>262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 t="e">
        <f>Submetering!E17+Submetering!F17+Submetering!G17</f>
        <v>#VALUE!</v>
      </c>
      <c r="F17" s="15" t="e">
        <f>((Submetering!E17+Submetering!F17)*0.11+Submetering!G17*0.0302)/TOTAL!E17</f>
        <v>#VALUE!</v>
      </c>
      <c r="G17" s="19" t="e">
        <f>Submetering!AC17</f>
        <v>#VALUE!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127</v>
      </c>
      <c r="L17" s="19">
        <f>Submetering!AF17</f>
        <v>203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63624918</v>
      </c>
      <c r="F18" s="15">
        <f>((Submetering!E18+Submetering!F18)*0.11+Submetering!G18*0.0302)/TOTAL!E18</f>
        <v>0.10999559390551984</v>
      </c>
      <c r="G18" s="19">
        <f>Submetering!AC18</f>
        <v>1473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130</v>
      </c>
      <c r="L18" s="19">
        <f>Submetering!AF18</f>
        <v>198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16855</v>
      </c>
      <c r="F19" s="15">
        <f>((Submetering!E19+Submetering!F19)*0.11+Submetering!G19*0.0302)/TOTAL!E19</f>
        <v>9.2472880450904779E-2</v>
      </c>
      <c r="G19" s="19">
        <f>Submetering!AC19</f>
        <v>1570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141</v>
      </c>
      <c r="L19" s="19">
        <f>Submetering!AF19</f>
        <v>213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17041</v>
      </c>
      <c r="F20" s="15">
        <f>((Submetering!E20+Submetering!F20)*0.11+Submetering!G20*0.0302)/TOTAL!E20</f>
        <v>9.2949838624493866E-2</v>
      </c>
      <c r="G20" s="19">
        <f>Submetering!AC20</f>
        <v>1526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125</v>
      </c>
      <c r="L20" s="19">
        <f>Submetering!AF20</f>
        <v>185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16998</v>
      </c>
      <c r="F21" s="15">
        <f>((Submetering!E21+Submetering!F21)*0.11+Submetering!G21*0.0302)/TOTAL!E21</f>
        <v>9.4070984821743725E-2</v>
      </c>
      <c r="G21" s="19">
        <f>Submetering!AC21</f>
        <v>1468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132</v>
      </c>
      <c r="L21" s="19">
        <f>Submetering!AF21</f>
        <v>193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17435</v>
      </c>
      <c r="F22" s="15">
        <f>((Submetering!E22+Submetering!F22)*0.11+Submetering!G22*0.0302)/TOTAL!E22</f>
        <v>9.3380911958703752E-2</v>
      </c>
      <c r="G22" s="19">
        <f>Submetering!AC22</f>
        <v>1564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149</v>
      </c>
      <c r="L22" s="19">
        <f>Submetering!AF22</f>
        <v>230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16237</v>
      </c>
      <c r="F23" s="15">
        <f>((Submetering!E23+Submetering!F23)*0.11+Submetering!G23*0.0302)/TOTAL!E23</f>
        <v>9.2061341380796941E-2</v>
      </c>
      <c r="G23" s="19">
        <f>Submetering!AC23</f>
        <v>1565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154</v>
      </c>
      <c r="L23" s="19">
        <f>Submetering!AF23</f>
        <v>230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17160</v>
      </c>
      <c r="F24" s="15">
        <f>((Submetering!E24+Submetering!F24)*0.11+Submetering!G24*0.0302)/TOTAL!E24</f>
        <v>9.3082027972027984E-2</v>
      </c>
      <c r="G24" s="19">
        <f>Submetering!AC24</f>
        <v>1510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123</v>
      </c>
      <c r="L24" s="19">
        <f>Submetering!AF24</f>
        <v>182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13808</v>
      </c>
      <c r="F25" s="15">
        <f>((Submetering!E25+Submetering!F25)*0.11+Submetering!G25*0.0302)/TOTAL!E25</f>
        <v>9.291073290845886E-2</v>
      </c>
      <c r="G25" s="19">
        <f>Submetering!AC25</f>
        <v>1254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127</v>
      </c>
      <c r="L25" s="19">
        <f>Submetering!AF25</f>
        <v>181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16853</v>
      </c>
      <c r="F26" s="15">
        <f>((Submetering!E26+Submetering!F26)*0.11+Submetering!G26*0.0302)/TOTAL!E26</f>
        <v>9.2357158962795949E-2</v>
      </c>
      <c r="G26" s="19">
        <f>Submetering!AC26</f>
        <v>1588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79</v>
      </c>
      <c r="L26" s="19">
        <f>Submetering!AF26</f>
        <v>115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17260</v>
      </c>
      <c r="F27" s="15">
        <f>((Submetering!E27+Submetering!F27)*0.11+Submetering!G27*0.0302)/TOTAL!E27</f>
        <v>9.376721900347626E-2</v>
      </c>
      <c r="G27" s="19">
        <f>Submetering!AC27</f>
        <v>1453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109</v>
      </c>
      <c r="L27" s="19">
        <f>Submetering!AF27</f>
        <v>165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20511</v>
      </c>
      <c r="F28" s="15">
        <f>((Submetering!E28+Submetering!F28)*0.11+Submetering!G28*0.0302)/TOTAL!E28</f>
        <v>9.4542664911510893E-2</v>
      </c>
      <c r="G28" s="19">
        <f>Submetering!AC28</f>
        <v>1635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133</v>
      </c>
      <c r="L28" s="19">
        <f>Submetering!AF28</f>
        <v>212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 t="str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" activePane="bottomRight" state="frozen"/>
      <selection pane="bottomRight" activeCell="D2" sqref="D2:D32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3" t="s">
        <v>0</v>
      </c>
      <c r="B1" s="24" t="s">
        <v>1</v>
      </c>
      <c r="C1" s="24" t="s">
        <v>2</v>
      </c>
      <c r="D1" s="24" t="s">
        <v>3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27" t="s">
        <v>21</v>
      </c>
      <c r="N1" s="27" t="s">
        <v>22</v>
      </c>
      <c r="O1" s="27" t="s">
        <v>23</v>
      </c>
      <c r="P1" s="27" t="s">
        <v>24</v>
      </c>
      <c r="Q1" s="27" t="s">
        <v>25</v>
      </c>
      <c r="R1" s="27" t="s">
        <v>26</v>
      </c>
      <c r="S1" s="27" t="s">
        <v>27</v>
      </c>
      <c r="T1" s="27" t="s">
        <v>28</v>
      </c>
      <c r="U1" s="27" t="s">
        <v>29</v>
      </c>
      <c r="V1" s="27" t="s">
        <v>30</v>
      </c>
      <c r="W1" s="27" t="s">
        <v>31</v>
      </c>
      <c r="X1" s="27" t="s">
        <v>32</v>
      </c>
      <c r="Y1" s="27" t="s">
        <v>33</v>
      </c>
      <c r="Z1" s="27" t="s">
        <v>34</v>
      </c>
      <c r="AA1" s="27" t="s">
        <v>35</v>
      </c>
      <c r="AB1" s="27" t="s">
        <v>36</v>
      </c>
      <c r="AC1" s="27" t="s">
        <v>37</v>
      </c>
      <c r="AD1" s="27" t="s">
        <v>38</v>
      </c>
      <c r="AE1" s="25" t="s">
        <v>10</v>
      </c>
      <c r="AF1" s="27" t="s">
        <v>11</v>
      </c>
    </row>
    <row r="2" spans="1:32">
      <c r="A2" s="16" t="s">
        <v>12</v>
      </c>
      <c r="B2" s="7">
        <v>1</v>
      </c>
      <c r="C2" s="7">
        <v>10</v>
      </c>
      <c r="D2" s="7">
        <v>2022</v>
      </c>
      <c r="E2" s="19">
        <f>IF(('FSLPL Daily '!C4-'FSLPL Daily '!C3&lt;0), "0",'FSLPL Daily '!C4-'FSLPL Daily '!C3)</f>
        <v>0</v>
      </c>
      <c r="F2" s="19">
        <f>IF(('FSLPL Daily '!E4-'FSLPL Daily '!E3&lt;0), "0",'FSLPL Daily '!E4-'FSLPL Daily '!E3)</f>
        <v>0</v>
      </c>
      <c r="G2" s="19">
        <f>IF(('FSLPL Daily '!G4-'FSLPL Daily '!G3&lt;0), "0",'FSLPL Daily '!G4-'FSLPL Daily '!G3)</f>
        <v>3586</v>
      </c>
      <c r="H2" s="19">
        <f>IF(('FSLPL Daily '!I4-'FSLPL Daily '!I3&lt;0), "0",'FSLPL Daily '!I4-'FSLPL Daily '!I3)</f>
        <v>0</v>
      </c>
      <c r="I2" s="19">
        <f>IF(('FSLPL Daily '!K4-'FSLPL Daily '!K3&lt;0), "0",'FSLPL Daily '!K4-'FSLPL Daily '!K3)</f>
        <v>0</v>
      </c>
      <c r="J2" s="19">
        <f>IF(('FSLPL Daily '!M4-'FSLPL Daily '!M3&lt;0), "0",'FSLPL Daily '!M4-'FSLPL Daily '!M3)</f>
        <v>0</v>
      </c>
      <c r="K2" s="19">
        <f>IF(('FSLPL Daily '!O4-'FSLPL Daily '!O3&lt;0), "0",'FSLPL Daily '!O4-'FSLPL Daily '!O3)</f>
        <v>0</v>
      </c>
      <c r="L2" s="19">
        <f>IF(('FSLPL Daily '!Q4-'FSLPL Daily '!Q3&lt;0), "0",'FSLPL Daily '!Q4-'FSLPL Daily '!Q3)</f>
        <v>0</v>
      </c>
      <c r="M2" s="19">
        <f>IF(('FSLPL Daily '!S4-'FSLPL Daily '!S3&lt;0), "0",'FSLPL Daily '!S4-'FSLPL Daily '!S3)</f>
        <v>0</v>
      </c>
      <c r="N2" s="19">
        <f>IF(('FSLPL Daily '!U4-'FSLPL Daily '!U3&lt;0), "0",'FSLPL Daily '!U4-'FSLPL Daily '!U3)</f>
        <v>0</v>
      </c>
      <c r="O2" s="19">
        <f>IF(('FSLPL Daily '!W4-'FSLPL Daily '!W3&lt;0), "0",'FSLPL Daily '!W4-'FSLPL Daily '!W3)</f>
        <v>0</v>
      </c>
      <c r="P2" s="19">
        <f>IF(('FSLPL Daily '!Y4-'FSLPL Daily '!Y3&lt;0), "0",'FSLPL Daily '!Y4-'FSLPL Daily '!Y3)</f>
        <v>0</v>
      </c>
      <c r="Q2" s="19">
        <f>IF(('FSLPL Daily '!AA4-'FSLPL Daily '!AA3&lt;0), "0",'FSLPL Daily '!AA4-'FSLPL Daily '!AA3)</f>
        <v>0</v>
      </c>
      <c r="R2" s="19">
        <f>IF(('FSLPL Daily '!AC4-'FSLPL Daily '!AC3&lt;0), "0",'FSLPL Daily '!AC4-'FSLPL Daily '!AC3)</f>
        <v>0</v>
      </c>
      <c r="S2" s="19">
        <f>IF(('FSLPL Daily '!AE4-'FSLPL Daily '!AE3&lt;0), "0",'FSLPL Daily '!AE4-'FSLPL Daily '!AE3)</f>
        <v>0</v>
      </c>
      <c r="T2" s="19">
        <f>IF(('FSLPL Daily '!AG4-'FSLPL Daily '!AG3&lt;0), "0",'FSLPL Daily '!AG4-'FSLPL Daily '!AG3)</f>
        <v>0</v>
      </c>
      <c r="U2" s="19">
        <f>IF(('FSLPL Daily '!AI4-'FSLPL Daily '!AI3&lt;0), "0",'FSLPL Daily '!AI4-'FSLPL Daily '!AI3)</f>
        <v>0</v>
      </c>
      <c r="V2" s="19">
        <f>IF(('FSLPL Daily '!AK4-'FSLPL Daily '!AK3&lt;0), "0",'FSLPL Daily '!AK4-'FSLPL Daily '!AK3)</f>
        <v>0</v>
      </c>
      <c r="W2" s="19">
        <f>IF(('FSLPL Daily '!AM4-'FSLPL Daily '!AM3&lt;0), "0",'FSLPL Daily '!AM4-'FSLPL Daily '!AM3)</f>
        <v>0</v>
      </c>
      <c r="X2" s="19">
        <f>IF(('FSLPL Daily '!AO4-'FSLPL Daily '!AO3&lt;0), "0",'FSLPL Daily '!AO4-'FSLPL Daily '!AO3)</f>
        <v>0</v>
      </c>
      <c r="Y2" s="19">
        <f>'FSLPL Daily '!AS4</f>
        <v>0</v>
      </c>
      <c r="Z2" s="19">
        <f>'FSLPL Daily '!AU4</f>
        <v>0</v>
      </c>
      <c r="AA2" s="19" t="e">
        <f>IF(('FSLPL Daily '!AV4-'FSLPL Daily '!AV3&lt;0), "0",'FSLPL Daily '!AV4-'FSLPL Daily '!AV3)</f>
        <v>#VALUE!</v>
      </c>
      <c r="AB2" s="19" t="e">
        <f>IF(('FSLPL Daily '!AX4-'FSLPL Daily '!AX3&lt;0), "0",'FSLPL Daily '!AX4-'FSLPL Daily '!AX3)</f>
        <v>#VALUE!</v>
      </c>
      <c r="AC2" s="19">
        <f>IF(('FSLPL Daily '!AZ4-'FSLPL Daily '!AZ3&lt;0), "0",'FSLPL Daily '!AZ4-'FSLPL Daily '!AZ3)</f>
        <v>1492</v>
      </c>
      <c r="AD2" s="19">
        <f>IF(('FSLPL Daily '!BB4-'FSLPL Daily '!BB3&lt;0), "0",'FSLPL Daily '!BB4-'FSLPL Daily '!BB3)</f>
        <v>1147</v>
      </c>
      <c r="AE2" s="19">
        <f>'FSLPL Daily '!BD4</f>
        <v>149</v>
      </c>
      <c r="AF2" s="19">
        <f>'FSLPL Daily '!BE4</f>
        <v>230</v>
      </c>
    </row>
    <row r="3" spans="1:32">
      <c r="A3" s="16" t="s">
        <v>12</v>
      </c>
      <c r="B3" s="7">
        <f>B2+1</f>
        <v>2</v>
      </c>
      <c r="C3" s="7">
        <v>10</v>
      </c>
      <c r="D3" s="7">
        <v>2022</v>
      </c>
      <c r="E3" s="19">
        <f>IF(('FSLPL Daily '!C5-'FSLPL Daily '!C4&lt;0), "0",'FSLPL Daily '!C5-'FSLPL Daily '!C4)</f>
        <v>0</v>
      </c>
      <c r="F3" s="19">
        <f>IF(('FSLPL Daily '!E5-'FSLPL Daily '!E4&lt;0), "0",'FSLPL Daily '!E5-'FSLPL Daily '!E4)</f>
        <v>0</v>
      </c>
      <c r="G3" s="19">
        <f>IF(('FSLPL Daily '!G5-'FSLPL Daily '!G4&lt;0), "0",'FSLPL Daily '!G5-'FSLPL Daily '!G4)</f>
        <v>3298</v>
      </c>
      <c r="H3" s="19">
        <f>IF(('FSLPL Daily '!I5-'FSLPL Daily '!I4&lt;0), "0",'FSLPL Daily '!I5-'FSLPL Daily '!I4)</f>
        <v>0</v>
      </c>
      <c r="I3" s="19">
        <f>IF(('FSLPL Daily '!K5-'FSLPL Daily '!K4&lt;0), "0",'FSLPL Daily '!K5-'FSLPL Daily '!K4)</f>
        <v>0</v>
      </c>
      <c r="J3" s="19">
        <f>IF(('FSLPL Daily '!M5-'FSLPL Daily '!M4&lt;0), "0",'FSLPL Daily '!M5-'FSLPL Daily '!M4)</f>
        <v>0</v>
      </c>
      <c r="K3" s="19">
        <f>IF(('FSLPL Daily '!O5-'FSLPL Daily '!O4&lt;0), "0",'FSLPL Daily '!O5-'FSLPL Daily '!O4)</f>
        <v>0</v>
      </c>
      <c r="L3" s="19">
        <f>IF(('FSLPL Daily '!Q5-'FSLPL Daily '!Q4&lt;0), "0",'FSLPL Daily '!Q5-'FSLPL Daily '!Q4)</f>
        <v>0</v>
      </c>
      <c r="M3" s="19">
        <f>IF(('FSLPL Daily '!S5-'FSLPL Daily '!S4&lt;0), "0",'FSLPL Daily '!S5-'FSLPL Daily '!S4)</f>
        <v>0</v>
      </c>
      <c r="N3" s="19">
        <f>IF(('FSLPL Daily '!U5-'FSLPL Daily '!U4&lt;0), "0",'FSLPL Daily '!U5-'FSLPL Daily '!U4)</f>
        <v>0</v>
      </c>
      <c r="O3" s="19">
        <f>IF(('FSLPL Daily '!W5-'FSLPL Daily '!W4&lt;0), "0",'FSLPL Daily '!W5-'FSLPL Daily '!W4)</f>
        <v>0</v>
      </c>
      <c r="P3" s="19">
        <f>IF(('FSLPL Daily '!Y5-'FSLPL Daily '!Y4&lt;0), "0",'FSLPL Daily '!Y5-'FSLPL Daily '!Y4)</f>
        <v>0</v>
      </c>
      <c r="Q3" s="19">
        <f>IF(('FSLPL Daily '!AA5-'FSLPL Daily '!AA4&lt;0), "0",'FSLPL Daily '!AA5-'FSLPL Daily '!AA4)</f>
        <v>0</v>
      </c>
      <c r="R3" s="19">
        <f>IF(('FSLPL Daily '!AC5-'FSLPL Daily '!AC4&lt;0), "0",'FSLPL Daily '!AC5-'FSLPL Daily '!AC4)</f>
        <v>0</v>
      </c>
      <c r="S3" s="19">
        <f>IF(('FSLPL Daily '!AE5-'FSLPL Daily '!AE4&lt;0), "0",'FSLPL Daily '!AE5-'FSLPL Daily '!AE4)</f>
        <v>0</v>
      </c>
      <c r="T3" s="19">
        <f>IF(('FSLPL Daily '!AG5-'FSLPL Daily '!AG4&lt;0), "0",'FSLPL Daily '!AG5-'FSLPL Daily '!AG4)</f>
        <v>0</v>
      </c>
      <c r="U3" s="19">
        <f>IF(('FSLPL Daily '!AI5-'FSLPL Daily '!AI4&lt;0), "0",'FSLPL Daily '!AI5-'FSLPL Daily '!AI4)</f>
        <v>0</v>
      </c>
      <c r="V3" s="19">
        <f>IF(('FSLPL Daily '!AK5-'FSLPL Daily '!AK4&lt;0), "0",'FSLPL Daily '!AK5-'FSLPL Daily '!AK4)</f>
        <v>0</v>
      </c>
      <c r="W3" s="19">
        <f>IF(('FSLPL Daily '!AM5-'FSLPL Daily '!AM4&lt;0), "0",'FSLPL Daily '!AM5-'FSLPL Daily '!AM4)</f>
        <v>0</v>
      </c>
      <c r="X3" s="19">
        <f>IF(('FSLPL Daily '!AO5-'FSLPL Daily '!AO4&lt;0), "0",'FSLPL Daily '!AO5-'FSLPL Daily '!AO4)</f>
        <v>0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14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1340</v>
      </c>
      <c r="AD3" s="19">
        <f>IF(('FSLPL Daily '!BB5-'FSLPL Daily '!BB4&lt;0), "0",'FSLPL Daily '!BB5-'FSLPL Daily '!BB4)</f>
        <v>1051</v>
      </c>
      <c r="AE3" s="19">
        <f>'FSLPL Daily '!BD5</f>
        <v>158</v>
      </c>
      <c r="AF3" s="19">
        <f>'FSLPL Daily '!BE5</f>
        <v>243</v>
      </c>
    </row>
    <row r="4" spans="1:32">
      <c r="A4" s="16" t="s">
        <v>12</v>
      </c>
      <c r="B4" s="7">
        <f t="shared" ref="B4:B30" si="0">B3+1</f>
        <v>3</v>
      </c>
      <c r="C4" s="7">
        <v>10</v>
      </c>
      <c r="D4" s="7">
        <v>2022</v>
      </c>
      <c r="E4" s="19">
        <f>IF(('FSLPL Daily '!C6-'FSLPL Daily '!C5&lt;0), "0",'FSLPL Daily '!C6-'FSLPL Daily '!C5)</f>
        <v>0</v>
      </c>
      <c r="F4" s="19">
        <f>IF(('FSLPL Daily '!E6-'FSLPL Daily '!E5&lt;0), "0",'FSLPL Daily '!E6-'FSLPL Daily '!E5)</f>
        <v>0</v>
      </c>
      <c r="G4" s="19">
        <f>IF(('FSLPL Daily '!G6-'FSLPL Daily '!G5&lt;0), "0",'FSLPL Daily '!G6-'FSLPL Daily '!G5)</f>
        <v>4148</v>
      </c>
      <c r="H4" s="19">
        <f>IF(('FSLPL Daily '!I6-'FSLPL Daily '!I5&lt;0), "0",'FSLPL Daily '!I6-'FSLPL Daily '!I5)</f>
        <v>0</v>
      </c>
      <c r="I4" s="19">
        <f>IF(('FSLPL Daily '!K6-'FSLPL Daily '!K5&lt;0), "0",'FSLPL Daily '!K6-'FSLPL Daily '!K5)</f>
        <v>0</v>
      </c>
      <c r="J4" s="19">
        <f>IF(('FSLPL Daily '!M6-'FSLPL Daily '!M5&lt;0), "0",'FSLPL Daily '!M6-'FSLPL Daily '!M5)</f>
        <v>0</v>
      </c>
      <c r="K4" s="19">
        <f>IF(('FSLPL Daily '!O6-'FSLPL Daily '!O5&lt;0), "0",'FSLPL Daily '!O6-'FSLPL Daily '!O5)</f>
        <v>0</v>
      </c>
      <c r="L4" s="19">
        <f>IF(('FSLPL Daily '!Q6-'FSLPL Daily '!Q5&lt;0), "0",'FSLPL Daily '!Q6-'FSLPL Daily '!Q5)</f>
        <v>0</v>
      </c>
      <c r="M4" s="19">
        <f>IF(('FSLPL Daily '!S6-'FSLPL Daily '!S5&lt;0), "0",'FSLPL Daily '!S6-'FSLPL Daily '!S5)</f>
        <v>0</v>
      </c>
      <c r="N4" s="19">
        <f>IF(('FSLPL Daily '!U6-'FSLPL Daily '!U5&lt;0), "0",'FSLPL Daily '!U6-'FSLPL Daily '!U5)</f>
        <v>0</v>
      </c>
      <c r="O4" s="19">
        <f>IF(('FSLPL Daily '!W6-'FSLPL Daily '!W5&lt;0), "0",'FSLPL Daily '!W6-'FSLPL Daily '!W5)</f>
        <v>0</v>
      </c>
      <c r="P4" s="19">
        <f>IF(('FSLPL Daily '!Y6-'FSLPL Daily '!Y5&lt;0), "0",'FSLPL Daily '!Y6-'FSLPL Daily '!Y5)</f>
        <v>0</v>
      </c>
      <c r="Q4" s="19">
        <f>IF(('FSLPL Daily '!AA6-'FSLPL Daily '!AA5&lt;0), "0",'FSLPL Daily '!AA6-'FSLPL Daily '!AA5)</f>
        <v>0</v>
      </c>
      <c r="R4" s="19">
        <f>IF(('FSLPL Daily '!AC6-'FSLPL Daily '!AC5&lt;0), "0",'FSLPL Daily '!AC6-'FSLPL Daily '!AC5)</f>
        <v>0</v>
      </c>
      <c r="S4" s="19">
        <f>IF(('FSLPL Daily '!AE6-'FSLPL Daily '!AE5&lt;0), "0",'FSLPL Daily '!AE6-'FSLPL Daily '!AE5)</f>
        <v>0</v>
      </c>
      <c r="T4" s="19">
        <f>IF(('FSLPL Daily '!AG6-'FSLPL Daily '!AG5&lt;0), "0",'FSLPL Daily '!AG6-'FSLPL Daily '!AG5)</f>
        <v>0</v>
      </c>
      <c r="U4" s="19">
        <f>IF(('FSLPL Daily '!AI6-'FSLPL Daily '!AI5&lt;0), "0",'FSLPL Daily '!AI6-'FSLPL Daily '!AI5)</f>
        <v>0</v>
      </c>
      <c r="V4" s="19">
        <f>IF(('FSLPL Daily '!AK6-'FSLPL Daily '!AK5&lt;0), "0",'FSLPL Daily '!AK6-'FSLPL Daily '!AK5)</f>
        <v>0</v>
      </c>
      <c r="W4" s="19">
        <f>IF(('FSLPL Daily '!AM6-'FSLPL Daily '!AM5&lt;0), "0",'FSLPL Daily '!AM6-'FSLPL Daily '!AM5)</f>
        <v>0</v>
      </c>
      <c r="X4" s="19">
        <f>IF(('FSLPL Daily '!AO6-'FSLPL Daily '!AO5&lt;0), "0",'FSLPL Daily '!AO6-'FSLPL Daily '!AO5)</f>
        <v>0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21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1773</v>
      </c>
      <c r="AD4" s="19">
        <f>IF(('FSLPL Daily '!BB6-'FSLPL Daily '!BB5&lt;0), "0",'FSLPL Daily '!BB6-'FSLPL Daily '!BB5)</f>
        <v>1311</v>
      </c>
      <c r="AE4" s="19">
        <f>'FSLPL Daily '!BD6</f>
        <v>165</v>
      </c>
      <c r="AF4" s="19">
        <f>'FSLPL Daily '!BE6</f>
        <v>233</v>
      </c>
    </row>
    <row r="5" spans="1:32">
      <c r="A5" s="16" t="s">
        <v>12</v>
      </c>
      <c r="B5" s="7">
        <f t="shared" si="0"/>
        <v>4</v>
      </c>
      <c r="C5" s="7">
        <v>10</v>
      </c>
      <c r="D5" s="7">
        <v>2022</v>
      </c>
      <c r="E5" s="19">
        <f>IF(('FSLPL Daily '!C7-'FSLPL Daily '!C6&lt;0), "0",'FSLPL Daily '!C7-'FSLPL Daily '!C6)</f>
        <v>0</v>
      </c>
      <c r="F5" s="19">
        <f>IF(('FSLPL Daily '!E7-'FSLPL Daily '!E6&lt;0), "0",'FSLPL Daily '!E7-'FSLPL Daily '!E6)</f>
        <v>0</v>
      </c>
      <c r="G5" s="19">
        <f>IF(('FSLPL Daily '!G7-'FSLPL Daily '!G6&lt;0), "0",'FSLPL Daily '!G7-'FSLPL Daily '!G6)</f>
        <v>4005</v>
      </c>
      <c r="H5" s="19">
        <f>IF(('FSLPL Daily '!I7-'FSLPL Daily '!I6&lt;0), "0",'FSLPL Daily '!I7-'FSLPL Daily '!I6)</f>
        <v>0</v>
      </c>
      <c r="I5" s="19">
        <f>IF(('FSLPL Daily '!K7-'FSLPL Daily '!K6&lt;0), "0",'FSLPL Daily '!K7-'FSLPL Daily '!K6)</f>
        <v>0</v>
      </c>
      <c r="J5" s="19">
        <f>IF(('FSLPL Daily '!M7-'FSLPL Daily '!M6&lt;0), "0",'FSLPL Daily '!M7-'FSLPL Daily '!M6)</f>
        <v>0</v>
      </c>
      <c r="K5" s="19">
        <f>IF(('FSLPL Daily '!O7-'FSLPL Daily '!O6&lt;0), "0",'FSLPL Daily '!O7-'FSLPL Daily '!O6)</f>
        <v>0</v>
      </c>
      <c r="L5" s="19">
        <f>IF(('FSLPL Daily '!Q7-'FSLPL Daily '!Q6&lt;0), "0",'FSLPL Daily '!Q7-'FSLPL Daily '!Q6)</f>
        <v>0</v>
      </c>
      <c r="M5" s="19">
        <f>IF(('FSLPL Daily '!S7-'FSLPL Daily '!S6&lt;0), "0",'FSLPL Daily '!S7-'FSLPL Daily '!S6)</f>
        <v>0</v>
      </c>
      <c r="N5" s="19">
        <f>IF(('FSLPL Daily '!U7-'FSLPL Daily '!U6&lt;0), "0",'FSLPL Daily '!U7-'FSLPL Daily '!U6)</f>
        <v>0</v>
      </c>
      <c r="O5" s="19">
        <f>IF(('FSLPL Daily '!W7-'FSLPL Daily '!W6&lt;0), "0",'FSLPL Daily '!W7-'FSLPL Daily '!W6)</f>
        <v>0</v>
      </c>
      <c r="P5" s="19">
        <f>IF(('FSLPL Daily '!Y7-'FSLPL Daily '!Y6&lt;0), "0",'FSLPL Daily '!Y7-'FSLPL Daily '!Y6)</f>
        <v>0</v>
      </c>
      <c r="Q5" s="19">
        <f>IF(('FSLPL Daily '!AA7-'FSLPL Daily '!AA6&lt;0), "0",'FSLPL Daily '!AA7-'FSLPL Daily '!AA6)</f>
        <v>0</v>
      </c>
      <c r="R5" s="19">
        <f>IF(('FSLPL Daily '!AC7-'FSLPL Daily '!AC6&lt;0), "0",'FSLPL Daily '!AC7-'FSLPL Daily '!AC6)</f>
        <v>0</v>
      </c>
      <c r="S5" s="19">
        <f>IF(('FSLPL Daily '!AE7-'FSLPL Daily '!AE6&lt;0), "0",'FSLPL Daily '!AE7-'FSLPL Daily '!AE6)</f>
        <v>0</v>
      </c>
      <c r="T5" s="19">
        <f>IF(('FSLPL Daily '!AG7-'FSLPL Daily '!AG6&lt;0), "0",'FSLPL Daily '!AG7-'FSLPL Daily '!AG6)</f>
        <v>0</v>
      </c>
      <c r="U5" s="19">
        <f>IF(('FSLPL Daily '!AI7-'FSLPL Daily '!AI6&lt;0), "0",'FSLPL Daily '!AI7-'FSLPL Daily '!AI6)</f>
        <v>0</v>
      </c>
      <c r="V5" s="19">
        <f>IF(('FSLPL Daily '!AK7-'FSLPL Daily '!AK6&lt;0), "0",'FSLPL Daily '!AK7-'FSLPL Daily '!AK6)</f>
        <v>0</v>
      </c>
      <c r="W5" s="19">
        <f>IF(('FSLPL Daily '!AM7-'FSLPL Daily '!AM6&lt;0), "0",'FSLPL Daily '!AM7-'FSLPL Daily '!AM6)</f>
        <v>0</v>
      </c>
      <c r="X5" s="19">
        <f>IF(('FSLPL Daily '!AO7-'FSLPL Daily '!AO6&lt;0), "0",'FSLPL Daily '!AO7-'FSLPL Daily '!AO6)</f>
        <v>0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18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1667</v>
      </c>
      <c r="AD5" s="19">
        <f>IF(('FSLPL Daily '!BB7-'FSLPL Daily '!BB6&lt;0), "0",'FSLPL Daily '!BB7-'FSLPL Daily '!BB6)</f>
        <v>1293</v>
      </c>
      <c r="AE5" s="19">
        <f>'FSLPL Daily '!BD7</f>
        <v>180</v>
      </c>
      <c r="AF5" s="19">
        <f>'FSLPL Daily '!BE7</f>
        <v>254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2022</v>
      </c>
      <c r="E6" s="19">
        <f>IF(('FSLPL Daily '!C8-'FSLPL Daily '!C7&lt;0), "0",'FSLPL Daily '!C8-'FSLPL Daily '!C7)</f>
        <v>0</v>
      </c>
      <c r="F6" s="19">
        <f>IF(('FSLPL Daily '!E8-'FSLPL Daily '!E7&lt;0), "0",'FSLPL Daily '!E8-'FSLPL Daily '!E7)</f>
        <v>0</v>
      </c>
      <c r="G6" s="19">
        <f>IF(('FSLPL Daily '!G8-'FSLPL Daily '!G7&lt;0), "0",'FSLPL Daily '!G8-'FSLPL Daily '!G7)</f>
        <v>3646</v>
      </c>
      <c r="H6" s="19">
        <f>IF(('FSLPL Daily '!I8-'FSLPL Daily '!I7&lt;0), "0",'FSLPL Daily '!I8-'FSLPL Daily '!I7)</f>
        <v>0</v>
      </c>
      <c r="I6" s="19">
        <f>IF(('FSLPL Daily '!K8-'FSLPL Daily '!K7&lt;0), "0",'FSLPL Daily '!K8-'FSLPL Daily '!K7)</f>
        <v>0</v>
      </c>
      <c r="J6" s="19">
        <f>IF(('FSLPL Daily '!M8-'FSLPL Daily '!M7&lt;0), "0",'FSLPL Daily '!M8-'FSLPL Daily '!M7)</f>
        <v>0</v>
      </c>
      <c r="K6" s="19">
        <f>IF(('FSLPL Daily '!O8-'FSLPL Daily '!O7&lt;0), "0",'FSLPL Daily '!O8-'FSLPL Daily '!O7)</f>
        <v>0</v>
      </c>
      <c r="L6" s="19">
        <f>IF(('FSLPL Daily '!Q8-'FSLPL Daily '!Q7&lt;0), "0",'FSLPL Daily '!Q8-'FSLPL Daily '!Q7)</f>
        <v>0</v>
      </c>
      <c r="M6" s="19">
        <f>IF(('FSLPL Daily '!S8-'FSLPL Daily '!S7&lt;0), "0",'FSLPL Daily '!S8-'FSLPL Daily '!S7)</f>
        <v>0</v>
      </c>
      <c r="N6" s="19">
        <f>IF(('FSLPL Daily '!U8-'FSLPL Daily '!U7&lt;0), "0",'FSLPL Daily '!U8-'FSLPL Daily '!U7)</f>
        <v>0</v>
      </c>
      <c r="O6" s="19">
        <f>IF(('FSLPL Daily '!W8-'FSLPL Daily '!W7&lt;0), "0",'FSLPL Daily '!W8-'FSLPL Daily '!W7)</f>
        <v>0</v>
      </c>
      <c r="P6" s="19">
        <f>IF(('FSLPL Daily '!Y8-'FSLPL Daily '!Y7&lt;0), "0",'FSLPL Daily '!Y8-'FSLPL Daily '!Y7)</f>
        <v>0</v>
      </c>
      <c r="Q6" s="19">
        <f>IF(('FSLPL Daily '!AA8-'FSLPL Daily '!AA7&lt;0), "0",'FSLPL Daily '!AA8-'FSLPL Daily '!AA7)</f>
        <v>0</v>
      </c>
      <c r="R6" s="19">
        <f>IF(('FSLPL Daily '!AC8-'FSLPL Daily '!AC7&lt;0), "0",'FSLPL Daily '!AC8-'FSLPL Daily '!AC7)</f>
        <v>0</v>
      </c>
      <c r="S6" s="19">
        <f>IF(('FSLPL Daily '!AE8-'FSLPL Daily '!AE7&lt;0), "0",'FSLPL Daily '!AE8-'FSLPL Daily '!AE7)</f>
        <v>0</v>
      </c>
      <c r="T6" s="19">
        <f>IF(('FSLPL Daily '!AG8-'FSLPL Daily '!AG7&lt;0), "0",'FSLPL Daily '!AG8-'FSLPL Daily '!AG7)</f>
        <v>0</v>
      </c>
      <c r="U6" s="19">
        <f>IF(('FSLPL Daily '!AI8-'FSLPL Daily '!AI7&lt;0), "0",'FSLPL Daily '!AI8-'FSLPL Daily '!AI7)</f>
        <v>0</v>
      </c>
      <c r="V6" s="19">
        <f>IF(('FSLPL Daily '!AK8-'FSLPL Daily '!AK7&lt;0), "0",'FSLPL Daily '!AK8-'FSLPL Daily '!AK7)</f>
        <v>0</v>
      </c>
      <c r="W6" s="19">
        <f>IF(('FSLPL Daily '!AM8-'FSLPL Daily '!AM7&lt;0), "0",'FSLPL Daily '!AM8-'FSLPL Daily '!AM7)</f>
        <v>0</v>
      </c>
      <c r="X6" s="19">
        <f>IF(('FSLPL Daily '!AO8-'FSLPL Daily '!AO7&lt;0), "0",'FSLPL Daily '!AO8-'FSLPL Daily '!AO7)</f>
        <v>0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17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1654</v>
      </c>
      <c r="AD6" s="19">
        <f>IF(('FSLPL Daily '!BB8-'FSLPL Daily '!BB7&lt;0), "0",'FSLPL Daily '!BB8-'FSLPL Daily '!BB7)</f>
        <v>1187</v>
      </c>
      <c r="AE6" s="19">
        <f>'FSLPL Daily '!BD8</f>
        <v>156</v>
      </c>
      <c r="AF6" s="19">
        <f>'FSLPL Daily '!BE8</f>
        <v>226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2022</v>
      </c>
      <c r="E7" s="19">
        <f>IF(('FSLPL Daily '!C9-'FSLPL Daily '!C8&lt;0), "0",'FSLPL Daily '!C9-'FSLPL Daily '!C8)</f>
        <v>0</v>
      </c>
      <c r="F7" s="19">
        <f>IF(('FSLPL Daily '!E9-'FSLPL Daily '!E8&lt;0), "0",'FSLPL Daily '!E9-'FSLPL Daily '!E8)</f>
        <v>0</v>
      </c>
      <c r="G7" s="19">
        <f>IF(('FSLPL Daily '!G9-'FSLPL Daily '!G8&lt;0), "0",'FSLPL Daily '!G9-'FSLPL Daily '!G8)</f>
        <v>3720</v>
      </c>
      <c r="H7" s="19">
        <f>IF(('FSLPL Daily '!I9-'FSLPL Daily '!I8&lt;0), "0",'FSLPL Daily '!I9-'FSLPL Daily '!I8)</f>
        <v>0</v>
      </c>
      <c r="I7" s="19">
        <f>IF(('FSLPL Daily '!K9-'FSLPL Daily '!K8&lt;0), "0",'FSLPL Daily '!K9-'FSLPL Daily '!K8)</f>
        <v>0</v>
      </c>
      <c r="J7" s="19">
        <f>IF(('FSLPL Daily '!M9-'FSLPL Daily '!M8&lt;0), "0",'FSLPL Daily '!M9-'FSLPL Daily '!M8)</f>
        <v>0</v>
      </c>
      <c r="K7" s="19">
        <f>IF(('FSLPL Daily '!O9-'FSLPL Daily '!O8&lt;0), "0",'FSLPL Daily '!O9-'FSLPL Daily '!O8)</f>
        <v>0</v>
      </c>
      <c r="L7" s="19">
        <f>IF(('FSLPL Daily '!Q9-'FSLPL Daily '!Q8&lt;0), "0",'FSLPL Daily '!Q9-'FSLPL Daily '!Q8)</f>
        <v>0</v>
      </c>
      <c r="M7" s="19">
        <f>IF(('FSLPL Daily '!S9-'FSLPL Daily '!S8&lt;0), "0",'FSLPL Daily '!S9-'FSLPL Daily '!S8)</f>
        <v>0</v>
      </c>
      <c r="N7" s="19">
        <f>IF(('FSLPL Daily '!U9-'FSLPL Daily '!U8&lt;0), "0",'FSLPL Daily '!U9-'FSLPL Daily '!U8)</f>
        <v>0</v>
      </c>
      <c r="O7" s="19">
        <f>IF(('FSLPL Daily '!W9-'FSLPL Daily '!W8&lt;0), "0",'FSLPL Daily '!W9-'FSLPL Daily '!W8)</f>
        <v>0</v>
      </c>
      <c r="P7" s="19">
        <f>IF(('FSLPL Daily '!Y9-'FSLPL Daily '!Y8&lt;0), "0",'FSLPL Daily '!Y9-'FSLPL Daily '!Y8)</f>
        <v>0</v>
      </c>
      <c r="Q7" s="19">
        <f>IF(('FSLPL Daily '!AA9-'FSLPL Daily '!AA8&lt;0), "0",'FSLPL Daily '!AA9-'FSLPL Daily '!AA8)</f>
        <v>0</v>
      </c>
      <c r="R7" s="19">
        <f>IF(('FSLPL Daily '!AC9-'FSLPL Daily '!AC8&lt;0), "0",'FSLPL Daily '!AC9-'FSLPL Daily '!AC8)</f>
        <v>0</v>
      </c>
      <c r="S7" s="19">
        <f>IF(('FSLPL Daily '!AE9-'FSLPL Daily '!AE8&lt;0), "0",'FSLPL Daily '!AE9-'FSLPL Daily '!AE8)</f>
        <v>0</v>
      </c>
      <c r="T7" s="19">
        <f>IF(('FSLPL Daily '!AG9-'FSLPL Daily '!AG8&lt;0), "0",'FSLPL Daily '!AG9-'FSLPL Daily '!AG8)</f>
        <v>0</v>
      </c>
      <c r="U7" s="19">
        <f>IF(('FSLPL Daily '!AI9-'FSLPL Daily '!AI8&lt;0), "0",'FSLPL Daily '!AI9-'FSLPL Daily '!AI8)</f>
        <v>0</v>
      </c>
      <c r="V7" s="19">
        <f>IF(('FSLPL Daily '!AK9-'FSLPL Daily '!AK8&lt;0), "0",'FSLPL Daily '!AK9-'FSLPL Daily '!AK8)</f>
        <v>0</v>
      </c>
      <c r="W7" s="19">
        <f>IF(('FSLPL Daily '!AM9-'FSLPL Daily '!AM8&lt;0), "0",'FSLPL Daily '!AM9-'FSLPL Daily '!AM8)</f>
        <v>0</v>
      </c>
      <c r="X7" s="19">
        <f>IF(('FSLPL Daily '!AO9-'FSLPL Daily '!AO8&lt;0), "0",'FSLPL Daily '!AO9-'FSLPL Daily '!AO8)</f>
        <v>0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14</v>
      </c>
      <c r="AB7" s="19">
        <f>IF(('FSLPL Daily '!AX9-'FSLPL Daily '!AX8&lt;0), "0",'FSLPL Daily '!AX9-'FSLPL Daily '!AX8)</f>
        <v>3</v>
      </c>
      <c r="AC7" s="19">
        <f>IF(('FSLPL Daily '!AZ9-'FSLPL Daily '!AZ8&lt;0), "0",'FSLPL Daily '!AZ9-'FSLPL Daily '!AZ8)</f>
        <v>1274</v>
      </c>
      <c r="AD7" s="19">
        <f>IF(('FSLPL Daily '!BB9-'FSLPL Daily '!BB8&lt;0), "0",'FSLPL Daily '!BB9-'FSLPL Daily '!BB8)</f>
        <v>1242</v>
      </c>
      <c r="AE7" s="19">
        <f>'FSLPL Daily '!BD9</f>
        <v>157</v>
      </c>
      <c r="AF7" s="19">
        <f>'FSLPL Daily '!BE9</f>
        <v>241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2022</v>
      </c>
      <c r="E8" s="19">
        <f>IF(('FSLPL Daily '!C10-'FSLPL Daily '!C9&lt;0), "0",'FSLPL Daily '!C10-'FSLPL Daily '!C9)</f>
        <v>0</v>
      </c>
      <c r="F8" s="19">
        <f>IF(('FSLPL Daily '!E10-'FSLPL Daily '!E9&lt;0), "0",'FSLPL Daily '!E10-'FSLPL Daily '!E9)</f>
        <v>0</v>
      </c>
      <c r="G8" s="19">
        <f>IF(('FSLPL Daily '!G10-'FSLPL Daily '!G9&lt;0), "0",'FSLPL Daily '!G10-'FSLPL Daily '!G9)</f>
        <v>3809</v>
      </c>
      <c r="H8" s="19">
        <f>IF(('FSLPL Daily '!I10-'FSLPL Daily '!I9&lt;0), "0",'FSLPL Daily '!I10-'FSLPL Daily '!I9)</f>
        <v>0</v>
      </c>
      <c r="I8" s="19">
        <f>IF(('FSLPL Daily '!K10-'FSLPL Daily '!K9&lt;0), "0",'FSLPL Daily '!K10-'FSLPL Daily '!K9)</f>
        <v>0</v>
      </c>
      <c r="J8" s="19">
        <f>IF(('FSLPL Daily '!M10-'FSLPL Daily '!M9&lt;0), "0",'FSLPL Daily '!M10-'FSLPL Daily '!M9)</f>
        <v>0</v>
      </c>
      <c r="K8" s="19">
        <f>IF(('FSLPL Daily '!O10-'FSLPL Daily '!O9&lt;0), "0",'FSLPL Daily '!O10-'FSLPL Daily '!O9)</f>
        <v>0</v>
      </c>
      <c r="L8" s="19">
        <f>IF(('FSLPL Daily '!Q10-'FSLPL Daily '!Q9&lt;0), "0",'FSLPL Daily '!Q10-'FSLPL Daily '!Q9)</f>
        <v>0</v>
      </c>
      <c r="M8" s="19">
        <f>IF(('FSLPL Daily '!S10-'FSLPL Daily '!S9&lt;0), "0",'FSLPL Daily '!S10-'FSLPL Daily '!S9)</f>
        <v>0</v>
      </c>
      <c r="N8" s="19">
        <f>IF(('FSLPL Daily '!U10-'FSLPL Daily '!U9&lt;0), "0",'FSLPL Daily '!U10-'FSLPL Daily '!U9)</f>
        <v>0</v>
      </c>
      <c r="O8" s="19">
        <f>IF(('FSLPL Daily '!W10-'FSLPL Daily '!W9&lt;0), "0",'FSLPL Daily '!W10-'FSLPL Daily '!W9)</f>
        <v>0</v>
      </c>
      <c r="P8" s="19">
        <f>IF(('FSLPL Daily '!Y10-'FSLPL Daily '!Y9&lt;0), "0",'FSLPL Daily '!Y10-'FSLPL Daily '!Y9)</f>
        <v>0</v>
      </c>
      <c r="Q8" s="19">
        <f>IF(('FSLPL Daily '!AA10-'FSLPL Daily '!AA9&lt;0), "0",'FSLPL Daily '!AA10-'FSLPL Daily '!AA9)</f>
        <v>0</v>
      </c>
      <c r="R8" s="19">
        <f>IF(('FSLPL Daily '!AC10-'FSLPL Daily '!AC9&lt;0), "0",'FSLPL Daily '!AC10-'FSLPL Daily '!AC9)</f>
        <v>0</v>
      </c>
      <c r="S8" s="19">
        <f>IF(('FSLPL Daily '!AE10-'FSLPL Daily '!AE9&lt;0), "0",'FSLPL Daily '!AE10-'FSLPL Daily '!AE9)</f>
        <v>0</v>
      </c>
      <c r="T8" s="19">
        <f>IF(('FSLPL Daily '!AG10-'FSLPL Daily '!AG9&lt;0), "0",'FSLPL Daily '!AG10-'FSLPL Daily '!AG9)</f>
        <v>0</v>
      </c>
      <c r="U8" s="19">
        <f>IF(('FSLPL Daily '!AI10-'FSLPL Daily '!AI9&lt;0), "0",'FSLPL Daily '!AI10-'FSLPL Daily '!AI9)</f>
        <v>0</v>
      </c>
      <c r="V8" s="19">
        <f>IF(('FSLPL Daily '!AK10-'FSLPL Daily '!AK9&lt;0), "0",'FSLPL Daily '!AK10-'FSLPL Daily '!AK9)</f>
        <v>0</v>
      </c>
      <c r="W8" s="19">
        <f>IF(('FSLPL Daily '!AM10-'FSLPL Daily '!AM9&lt;0), "0",'FSLPL Daily '!AM10-'FSLPL Daily '!AM9)</f>
        <v>0</v>
      </c>
      <c r="X8" s="19">
        <f>IF(('FSLPL Daily '!AO10-'FSLPL Daily '!AO9&lt;0), "0",'FSLPL Daily '!AO10-'FSLPL Daily '!AO9)</f>
        <v>0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16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2041</v>
      </c>
      <c r="AD8" s="19">
        <f>IF(('FSLPL Daily '!BB10-'FSLPL Daily '!BB9&lt;0), "0",'FSLPL Daily '!BB10-'FSLPL Daily '!BB9)</f>
        <v>1177</v>
      </c>
      <c r="AE8" s="19">
        <f>'FSLPL Daily '!BD10</f>
        <v>162</v>
      </c>
      <c r="AF8" s="19">
        <f>'FSLPL Daily '!BE10</f>
        <v>262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2022</v>
      </c>
      <c r="E9" s="19">
        <f>IF(('FSLPL Daily '!C11-'FSLPL Daily '!C10&lt;0), "0",'FSLPL Daily '!C11-'FSLPL Daily '!C10)</f>
        <v>0</v>
      </c>
      <c r="F9" s="19">
        <f>IF(('FSLPL Daily '!E11-'FSLPL Daily '!E10&lt;0), "0",'FSLPL Daily '!E11-'FSLPL Daily '!E10)</f>
        <v>0</v>
      </c>
      <c r="G9" s="19">
        <f>IF(('FSLPL Daily '!G11-'FSLPL Daily '!G10&lt;0), "0",'FSLPL Daily '!G11-'FSLPL Daily '!G10)</f>
        <v>3533</v>
      </c>
      <c r="H9" s="19">
        <f>IF(('FSLPL Daily '!I11-'FSLPL Daily '!I10&lt;0), "0",'FSLPL Daily '!I11-'FSLPL Daily '!I10)</f>
        <v>0</v>
      </c>
      <c r="I9" s="19">
        <f>IF(('FSLPL Daily '!K11-'FSLPL Daily '!K10&lt;0), "0",'FSLPL Daily '!K11-'FSLPL Daily '!K10)</f>
        <v>0</v>
      </c>
      <c r="J9" s="19">
        <f>IF(('FSLPL Daily '!M11-'FSLPL Daily '!M10&lt;0), "0",'FSLPL Daily '!M11-'FSLPL Daily '!M10)</f>
        <v>0</v>
      </c>
      <c r="K9" s="19">
        <f>IF(('FSLPL Daily '!O11-'FSLPL Daily '!O10&lt;0), "0",'FSLPL Daily '!O11-'FSLPL Daily '!O10)</f>
        <v>0</v>
      </c>
      <c r="L9" s="19">
        <f>IF(('FSLPL Daily '!Q11-'FSLPL Daily '!Q10&lt;0), "0",'FSLPL Daily '!Q11-'FSLPL Daily '!Q10)</f>
        <v>0</v>
      </c>
      <c r="M9" s="19">
        <f>IF(('FSLPL Daily '!S11-'FSLPL Daily '!S10&lt;0), "0",'FSLPL Daily '!S11-'FSLPL Daily '!S10)</f>
        <v>0</v>
      </c>
      <c r="N9" s="19">
        <f>IF(('FSLPL Daily '!U11-'FSLPL Daily '!U10&lt;0), "0",'FSLPL Daily '!U11-'FSLPL Daily '!U10)</f>
        <v>0</v>
      </c>
      <c r="O9" s="19">
        <f>IF(('FSLPL Daily '!W11-'FSLPL Daily '!W10&lt;0), "0",'FSLPL Daily '!W11-'FSLPL Daily '!W10)</f>
        <v>0</v>
      </c>
      <c r="P9" s="19">
        <f>IF(('FSLPL Daily '!Y11-'FSLPL Daily '!Y10&lt;0), "0",'FSLPL Daily '!Y11-'FSLPL Daily '!Y10)</f>
        <v>0</v>
      </c>
      <c r="Q9" s="19">
        <f>IF(('FSLPL Daily '!AA11-'FSLPL Daily '!AA10&lt;0), "0",'FSLPL Daily '!AA11-'FSLPL Daily '!AA10)</f>
        <v>0</v>
      </c>
      <c r="R9" s="19">
        <f>IF(('FSLPL Daily '!AC11-'FSLPL Daily '!AC10&lt;0), "0",'FSLPL Daily '!AC11-'FSLPL Daily '!AC10)</f>
        <v>0</v>
      </c>
      <c r="S9" s="19">
        <f>IF(('FSLPL Daily '!AE11-'FSLPL Daily '!AE10&lt;0), "0",'FSLPL Daily '!AE11-'FSLPL Daily '!AE10)</f>
        <v>0</v>
      </c>
      <c r="T9" s="19">
        <f>IF(('FSLPL Daily '!AG11-'FSLPL Daily '!AG10&lt;0), "0",'FSLPL Daily '!AG11-'FSLPL Daily '!AG10)</f>
        <v>0</v>
      </c>
      <c r="U9" s="19">
        <f>IF(('FSLPL Daily '!AI11-'FSLPL Daily '!AI10&lt;0), "0",'FSLPL Daily '!AI11-'FSLPL Daily '!AI10)</f>
        <v>0</v>
      </c>
      <c r="V9" s="19">
        <f>IF(('FSLPL Daily '!AK11-'FSLPL Daily '!AK10&lt;0), "0",'FSLPL Daily '!AK11-'FSLPL Daily '!AK10)</f>
        <v>0</v>
      </c>
      <c r="W9" s="19">
        <f>IF(('FSLPL Daily '!AM11-'FSLPL Daily '!AM10&lt;0), "0",'FSLPL Daily '!AM11-'FSLPL Daily '!AM10)</f>
        <v>0</v>
      </c>
      <c r="X9" s="19">
        <f>IF(('FSLPL Daily '!AO11-'FSLPL Daily '!AO10&lt;0), "0",'FSLPL Daily '!AO11-'FSLPL Daily '!AO10)</f>
        <v>0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18</v>
      </c>
      <c r="AB9" s="19">
        <f>IF(('FSLPL Daily '!AX11-'FSLPL Daily '!AX10&lt;0), "0",'FSLPL Daily '!AX11-'FSLPL Daily '!AX10)</f>
        <v>2</v>
      </c>
      <c r="AC9" s="19">
        <f>IF(('FSLPL Daily '!AZ11-'FSLPL Daily '!AZ10&lt;0), "0",'FSLPL Daily '!AZ11-'FSLPL Daily '!AZ10)</f>
        <v>1720</v>
      </c>
      <c r="AD9" s="19">
        <f>IF(('FSLPL Daily '!BB11-'FSLPL Daily '!BB10&lt;0), "0",'FSLPL Daily '!BB11-'FSLPL Daily '!BB10)</f>
        <v>1130</v>
      </c>
      <c r="AE9" s="19">
        <f>'FSLPL Daily '!BD11</f>
        <v>179</v>
      </c>
      <c r="AF9" s="19">
        <f>'FSLPL Daily '!BE11</f>
        <v>307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2022</v>
      </c>
      <c r="E10" s="19">
        <f>IF(('FSLPL Daily '!C12-'FSLPL Daily '!C11&lt;0), "0",'FSLPL Daily '!C12-'FSLPL Daily '!C11)</f>
        <v>0</v>
      </c>
      <c r="F10" s="19">
        <f>IF(('FSLPL Daily '!E12-'FSLPL Daily '!E11&lt;0), "0",'FSLPL Daily '!E12-'FSLPL Daily '!E11)</f>
        <v>0</v>
      </c>
      <c r="G10" s="19">
        <f>IF(('FSLPL Daily '!G12-'FSLPL Daily '!G11&lt;0), "0",'FSLPL Daily '!G12-'FSLPL Daily '!G11)</f>
        <v>3747</v>
      </c>
      <c r="H10" s="19">
        <f>IF(('FSLPL Daily '!I12-'FSLPL Daily '!I11&lt;0), "0",'FSLPL Daily '!I12-'FSLPL Daily '!I11)</f>
        <v>0</v>
      </c>
      <c r="I10" s="19">
        <f>IF(('FSLPL Daily '!K12-'FSLPL Daily '!K11&lt;0), "0",'FSLPL Daily '!K12-'FSLPL Daily '!K11)</f>
        <v>0</v>
      </c>
      <c r="J10" s="19">
        <f>IF(('FSLPL Daily '!M12-'FSLPL Daily '!M11&lt;0), "0",'FSLPL Daily '!M12-'FSLPL Daily '!M11)</f>
        <v>0</v>
      </c>
      <c r="K10" s="19">
        <f>IF(('FSLPL Daily '!O12-'FSLPL Daily '!O11&lt;0), "0",'FSLPL Daily '!O12-'FSLPL Daily '!O11)</f>
        <v>0</v>
      </c>
      <c r="L10" s="19">
        <f>IF(('FSLPL Daily '!Q12-'FSLPL Daily '!Q11&lt;0), "0",'FSLPL Daily '!Q12-'FSLPL Daily '!Q11)</f>
        <v>0</v>
      </c>
      <c r="M10" s="19">
        <f>IF(('FSLPL Daily '!S12-'FSLPL Daily '!S11&lt;0), "0",'FSLPL Daily '!S12-'FSLPL Daily '!S11)</f>
        <v>0</v>
      </c>
      <c r="N10" s="19">
        <f>IF(('FSLPL Daily '!U12-'FSLPL Daily '!U11&lt;0), "0",'FSLPL Daily '!U12-'FSLPL Daily '!U11)</f>
        <v>0</v>
      </c>
      <c r="O10" s="19">
        <f>IF(('FSLPL Daily '!W12-'FSLPL Daily '!W11&lt;0), "0",'FSLPL Daily '!W12-'FSLPL Daily '!W11)</f>
        <v>0</v>
      </c>
      <c r="P10" s="19">
        <f>IF(('FSLPL Daily '!Y12-'FSLPL Daily '!Y11&lt;0), "0",'FSLPL Daily '!Y12-'FSLPL Daily '!Y11)</f>
        <v>0</v>
      </c>
      <c r="Q10" s="19">
        <f>IF(('FSLPL Daily '!AA12-'FSLPL Daily '!AA11&lt;0), "0",'FSLPL Daily '!AA12-'FSLPL Daily '!AA11)</f>
        <v>0</v>
      </c>
      <c r="R10" s="19">
        <f>IF(('FSLPL Daily '!AC12-'FSLPL Daily '!AC11&lt;0), "0",'FSLPL Daily '!AC12-'FSLPL Daily '!AC11)</f>
        <v>0</v>
      </c>
      <c r="S10" s="19">
        <f>IF(('FSLPL Daily '!AE12-'FSLPL Daily '!AE11&lt;0), "0",'FSLPL Daily '!AE12-'FSLPL Daily '!AE11)</f>
        <v>0</v>
      </c>
      <c r="T10" s="19">
        <f>IF(('FSLPL Daily '!AG12-'FSLPL Daily '!AG11&lt;0), "0",'FSLPL Daily '!AG12-'FSLPL Daily '!AG11)</f>
        <v>0</v>
      </c>
      <c r="U10" s="19">
        <f>IF(('FSLPL Daily '!AI12-'FSLPL Daily '!AI11&lt;0), "0",'FSLPL Daily '!AI12-'FSLPL Daily '!AI11)</f>
        <v>0</v>
      </c>
      <c r="V10" s="19">
        <f>IF(('FSLPL Daily '!AK12-'FSLPL Daily '!AK11&lt;0), "0",'FSLPL Daily '!AK12-'FSLPL Daily '!AK11)</f>
        <v>0</v>
      </c>
      <c r="W10" s="19">
        <f>IF(('FSLPL Daily '!AM12-'FSLPL Daily '!AM11&lt;0), "0",'FSLPL Daily '!AM12-'FSLPL Daily '!AM11)</f>
        <v>0</v>
      </c>
      <c r="X10" s="19">
        <f>IF(('FSLPL Daily '!AO12-'FSLPL Daily '!AO11&lt;0), "0",'FSLPL Daily '!AO12-'FSLPL Daily '!AO11)</f>
        <v>0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18</v>
      </c>
      <c r="AB10" s="19">
        <f>IF(('FSLPL Daily '!AX12-'FSLPL Daily '!AX11&lt;0), "0",'FSLPL Daily '!AX12-'FSLPL Daily '!AX11)</f>
        <v>2</v>
      </c>
      <c r="AC10" s="19">
        <f>IF(('FSLPL Daily '!AZ12-'FSLPL Daily '!AZ11&lt;0), "0",'FSLPL Daily '!AZ12-'FSLPL Daily '!AZ11)</f>
        <v>1606</v>
      </c>
      <c r="AD10" s="19">
        <f>IF(('FSLPL Daily '!BB12-'FSLPL Daily '!BB11&lt;0), "0",'FSLPL Daily '!BB12-'FSLPL Daily '!BB11)</f>
        <v>1205</v>
      </c>
      <c r="AE10" s="19">
        <f>'FSLPL Daily '!BD12</f>
        <v>169</v>
      </c>
      <c r="AF10" s="19">
        <f>'FSLPL Daily '!BE12</f>
        <v>294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2022</v>
      </c>
      <c r="E11" s="19">
        <f>IF(('FSLPL Daily '!C13-'FSLPL Daily '!C12&lt;0), "0",'FSLPL Daily '!C13-'FSLPL Daily '!C12)</f>
        <v>0</v>
      </c>
      <c r="F11" s="19">
        <f>IF(('FSLPL Daily '!E13-'FSLPL Daily '!E12&lt;0), "0",'FSLPL Daily '!E13-'FSLPL Daily '!E12)</f>
        <v>0</v>
      </c>
      <c r="G11" s="19">
        <f>IF(('FSLPL Daily '!G13-'FSLPL Daily '!G12&lt;0), "0",'FSLPL Daily '!G13-'FSLPL Daily '!G12)</f>
        <v>3859</v>
      </c>
      <c r="H11" s="19">
        <f>IF(('FSLPL Daily '!I13-'FSLPL Daily '!I12&lt;0), "0",'FSLPL Daily '!I13-'FSLPL Daily '!I12)</f>
        <v>0</v>
      </c>
      <c r="I11" s="19">
        <f>IF(('FSLPL Daily '!K13-'FSLPL Daily '!K12&lt;0), "0",'FSLPL Daily '!K13-'FSLPL Daily '!K12)</f>
        <v>0</v>
      </c>
      <c r="J11" s="19">
        <f>IF(('FSLPL Daily '!M13-'FSLPL Daily '!M12&lt;0), "0",'FSLPL Daily '!M13-'FSLPL Daily '!M12)</f>
        <v>0</v>
      </c>
      <c r="K11" s="19">
        <f>IF(('FSLPL Daily '!O13-'FSLPL Daily '!O12&lt;0), "0",'FSLPL Daily '!O13-'FSLPL Daily '!O12)</f>
        <v>0</v>
      </c>
      <c r="L11" s="19">
        <f>IF(('FSLPL Daily '!Q13-'FSLPL Daily '!Q12&lt;0), "0",'FSLPL Daily '!Q13-'FSLPL Daily '!Q12)</f>
        <v>0</v>
      </c>
      <c r="M11" s="19">
        <f>IF(('FSLPL Daily '!S13-'FSLPL Daily '!S12&lt;0), "0",'FSLPL Daily '!S13-'FSLPL Daily '!S12)</f>
        <v>0</v>
      </c>
      <c r="N11" s="19">
        <f>IF(('FSLPL Daily '!U13-'FSLPL Daily '!U12&lt;0), "0",'FSLPL Daily '!U13-'FSLPL Daily '!U12)</f>
        <v>0</v>
      </c>
      <c r="O11" s="19">
        <f>IF(('FSLPL Daily '!W13-'FSLPL Daily '!W12&lt;0), "0",'FSLPL Daily '!W13-'FSLPL Daily '!W12)</f>
        <v>0</v>
      </c>
      <c r="P11" s="19">
        <f>IF(('FSLPL Daily '!Y13-'FSLPL Daily '!Y12&lt;0), "0",'FSLPL Daily '!Y13-'FSLPL Daily '!Y12)</f>
        <v>0</v>
      </c>
      <c r="Q11" s="19">
        <f>IF(('FSLPL Daily '!AA13-'FSLPL Daily '!AA12&lt;0), "0",'FSLPL Daily '!AA13-'FSLPL Daily '!AA12)</f>
        <v>0</v>
      </c>
      <c r="R11" s="19">
        <f>IF(('FSLPL Daily '!AC13-'FSLPL Daily '!AC12&lt;0), "0",'FSLPL Daily '!AC13-'FSLPL Daily '!AC12)</f>
        <v>0</v>
      </c>
      <c r="S11" s="19">
        <f>IF(('FSLPL Daily '!AE13-'FSLPL Daily '!AE12&lt;0), "0",'FSLPL Daily '!AE13-'FSLPL Daily '!AE12)</f>
        <v>0</v>
      </c>
      <c r="T11" s="19">
        <f>IF(('FSLPL Daily '!AG13-'FSLPL Daily '!AG12&lt;0), "0",'FSLPL Daily '!AG13-'FSLPL Daily '!AG12)</f>
        <v>0</v>
      </c>
      <c r="U11" s="19">
        <f>IF(('FSLPL Daily '!AI13-'FSLPL Daily '!AI12&lt;0), "0",'FSLPL Daily '!AI13-'FSLPL Daily '!AI12)</f>
        <v>0</v>
      </c>
      <c r="V11" s="19">
        <f>IF(('FSLPL Daily '!AK13-'FSLPL Daily '!AK12&lt;0), "0",'FSLPL Daily '!AK13-'FSLPL Daily '!AK12)</f>
        <v>0</v>
      </c>
      <c r="W11" s="19">
        <f>IF(('FSLPL Daily '!AM13-'FSLPL Daily '!AM12&lt;0), "0",'FSLPL Daily '!AM13-'FSLPL Daily '!AM12)</f>
        <v>0</v>
      </c>
      <c r="X11" s="19">
        <f>IF(('FSLPL Daily '!AO13-'FSLPL Daily '!AO12&lt;0), "0",'FSLPL Daily '!AO13-'FSLPL Daily '!AO12)</f>
        <v>0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15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1665</v>
      </c>
      <c r="AD11" s="19">
        <f>IF(('FSLPL Daily '!BB13-'FSLPL Daily '!BB12&lt;0), "0",'FSLPL Daily '!BB13-'FSLPL Daily '!BB12)</f>
        <v>1226</v>
      </c>
      <c r="AE11" s="19">
        <f>'FSLPL Daily '!BD13</f>
        <v>157</v>
      </c>
      <c r="AF11" s="19">
        <f>'FSLPL Daily '!BE13</f>
        <v>252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2022</v>
      </c>
      <c r="E12" s="19">
        <f>IF(('FSLPL Daily '!C14-'FSLPL Daily '!C13&lt;0), "0",'FSLPL Daily '!C14-'FSLPL Daily '!C13)</f>
        <v>0</v>
      </c>
      <c r="F12" s="19">
        <f>IF(('FSLPL Daily '!E14-'FSLPL Daily '!E13&lt;0), "0",'FSLPL Daily '!E14-'FSLPL Daily '!E13)</f>
        <v>0</v>
      </c>
      <c r="G12" s="19">
        <f>IF(('FSLPL Daily '!G14-'FSLPL Daily '!G13&lt;0), "0",'FSLPL Daily '!G14-'FSLPL Daily '!G13)</f>
        <v>4096</v>
      </c>
      <c r="H12" s="19">
        <f>IF(('FSLPL Daily '!I14-'FSLPL Daily '!I13&lt;0), "0",'FSLPL Daily '!I14-'FSLPL Daily '!I13)</f>
        <v>0</v>
      </c>
      <c r="I12" s="19">
        <f>IF(('FSLPL Daily '!K14-'FSLPL Daily '!K13&lt;0), "0",'FSLPL Daily '!K14-'FSLPL Daily '!K13)</f>
        <v>0</v>
      </c>
      <c r="J12" s="19">
        <f>IF(('FSLPL Daily '!M14-'FSLPL Daily '!M13&lt;0), "0",'FSLPL Daily '!M14-'FSLPL Daily '!M13)</f>
        <v>0</v>
      </c>
      <c r="K12" s="19">
        <f>IF(('FSLPL Daily '!O14-'FSLPL Daily '!O13&lt;0), "0",'FSLPL Daily '!O14-'FSLPL Daily '!O13)</f>
        <v>0</v>
      </c>
      <c r="L12" s="19">
        <f>IF(('FSLPL Daily '!Q14-'FSLPL Daily '!Q13&lt;0), "0",'FSLPL Daily '!Q14-'FSLPL Daily '!Q13)</f>
        <v>0</v>
      </c>
      <c r="M12" s="19">
        <f>IF(('FSLPL Daily '!S14-'FSLPL Daily '!S13&lt;0), "0",'FSLPL Daily '!S14-'FSLPL Daily '!S13)</f>
        <v>0</v>
      </c>
      <c r="N12" s="19">
        <f>IF(('FSLPL Daily '!U14-'FSLPL Daily '!U13&lt;0), "0",'FSLPL Daily '!U14-'FSLPL Daily '!U13)</f>
        <v>0</v>
      </c>
      <c r="O12" s="19">
        <f>IF(('FSLPL Daily '!W14-'FSLPL Daily '!W13&lt;0), "0",'FSLPL Daily '!W14-'FSLPL Daily '!W13)</f>
        <v>0</v>
      </c>
      <c r="P12" s="19">
        <f>IF(('FSLPL Daily '!Y14-'FSLPL Daily '!Y13&lt;0), "0",'FSLPL Daily '!Y14-'FSLPL Daily '!Y13)</f>
        <v>0</v>
      </c>
      <c r="Q12" s="19">
        <f>IF(('FSLPL Daily '!AA14-'FSLPL Daily '!AA13&lt;0), "0",'FSLPL Daily '!AA14-'FSLPL Daily '!AA13)</f>
        <v>0</v>
      </c>
      <c r="R12" s="19">
        <f>IF(('FSLPL Daily '!AC14-'FSLPL Daily '!AC13&lt;0), "0",'FSLPL Daily '!AC14-'FSLPL Daily '!AC13)</f>
        <v>0</v>
      </c>
      <c r="S12" s="19">
        <f>IF(('FSLPL Daily '!AE14-'FSLPL Daily '!AE13&lt;0), "0",'FSLPL Daily '!AE14-'FSLPL Daily '!AE13)</f>
        <v>0</v>
      </c>
      <c r="T12" s="19">
        <f>IF(('FSLPL Daily '!AG14-'FSLPL Daily '!AG13&lt;0), "0",'FSLPL Daily '!AG14-'FSLPL Daily '!AG13)</f>
        <v>0</v>
      </c>
      <c r="U12" s="19">
        <f>IF(('FSLPL Daily '!AI14-'FSLPL Daily '!AI13&lt;0), "0",'FSLPL Daily '!AI14-'FSLPL Daily '!AI13)</f>
        <v>0</v>
      </c>
      <c r="V12" s="19">
        <f>IF(('FSLPL Daily '!AK14-'FSLPL Daily '!AK13&lt;0), "0",'FSLPL Daily '!AK14-'FSLPL Daily '!AK13)</f>
        <v>0</v>
      </c>
      <c r="W12" s="19">
        <f>IF(('FSLPL Daily '!AM14-'FSLPL Daily '!AM13&lt;0), "0",'FSLPL Daily '!AM14-'FSLPL Daily '!AM13)</f>
        <v>0</v>
      </c>
      <c r="X12" s="19">
        <f>IF(('FSLPL Daily '!AO14-'FSLPL Daily '!AO13&lt;0), "0",'FSLPL Daily '!AO14-'FSLPL Daily '!AO13)</f>
        <v>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15</v>
      </c>
      <c r="AB12" s="19">
        <f>IF(('FSLPL Daily '!AX14-'FSLPL Daily '!AX13&lt;0), "0",'FSLPL Daily '!AX14-'FSLPL Daily '!AX13)</f>
        <v>2</v>
      </c>
      <c r="AC12" s="19">
        <f>IF(('FSLPL Daily '!AZ14-'FSLPL Daily '!AZ13&lt;0), "0",'FSLPL Daily '!AZ14-'FSLPL Daily '!AZ13)</f>
        <v>1928</v>
      </c>
      <c r="AD12" s="19">
        <f>IF(('FSLPL Daily '!BB14-'FSLPL Daily '!BB13&lt;0), "0",'FSLPL Daily '!BB14-'FSLPL Daily '!BB13)</f>
        <v>1289</v>
      </c>
      <c r="AE12" s="19">
        <f>'FSLPL Daily '!BD14</f>
        <v>145</v>
      </c>
      <c r="AF12" s="19">
        <f>'FSLPL Daily '!BE14</f>
        <v>230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2022</v>
      </c>
      <c r="E13" s="19">
        <f>IF(('FSLPL Daily '!C15-'FSLPL Daily '!C14&lt;0), "0",'FSLPL Daily '!C15-'FSLPL Daily '!C14)</f>
        <v>0</v>
      </c>
      <c r="F13" s="19">
        <f>IF(('FSLPL Daily '!E15-'FSLPL Daily '!E14&lt;0), "0",'FSLPL Daily '!E15-'FSLPL Daily '!E14)</f>
        <v>0</v>
      </c>
      <c r="G13" s="19">
        <f>IF(('FSLPL Daily '!G15-'FSLPL Daily '!G14&lt;0), "0",'FSLPL Daily '!G15-'FSLPL Daily '!G14)</f>
        <v>7551</v>
      </c>
      <c r="H13" s="19">
        <f>IF(('FSLPL Daily '!I15-'FSLPL Daily '!I14&lt;0), "0",'FSLPL Daily '!I15-'FSLPL Daily '!I14)</f>
        <v>0</v>
      </c>
      <c r="I13" s="19">
        <f>IF(('FSLPL Daily '!K15-'FSLPL Daily '!K14&lt;0), "0",'FSLPL Daily '!K15-'FSLPL Daily '!K14)</f>
        <v>0</v>
      </c>
      <c r="J13" s="19">
        <f>IF(('FSLPL Daily '!M15-'FSLPL Daily '!M14&lt;0), "0",'FSLPL Daily '!M15-'FSLPL Daily '!M14)</f>
        <v>0</v>
      </c>
      <c r="K13" s="19">
        <f>IF(('FSLPL Daily '!O15-'FSLPL Daily '!O14&lt;0), "0",'FSLPL Daily '!O15-'FSLPL Daily '!O14)</f>
        <v>0</v>
      </c>
      <c r="L13" s="19">
        <f>IF(('FSLPL Daily '!Q15-'FSLPL Daily '!Q14&lt;0), "0",'FSLPL Daily '!Q15-'FSLPL Daily '!Q14)</f>
        <v>0</v>
      </c>
      <c r="M13" s="19">
        <f>IF(('FSLPL Daily '!S15-'FSLPL Daily '!S14&lt;0), "0",'FSLPL Daily '!S15-'FSLPL Daily '!S14)</f>
        <v>0</v>
      </c>
      <c r="N13" s="19">
        <f>IF(('FSLPL Daily '!U15-'FSLPL Daily '!U14&lt;0), "0",'FSLPL Daily '!U15-'FSLPL Daily '!U14)</f>
        <v>0</v>
      </c>
      <c r="O13" s="19">
        <f>IF(('FSLPL Daily '!W15-'FSLPL Daily '!W14&lt;0), "0",'FSLPL Daily '!W15-'FSLPL Daily '!W14)</f>
        <v>0</v>
      </c>
      <c r="P13" s="19">
        <f>IF(('FSLPL Daily '!Y15-'FSLPL Daily '!Y14&lt;0), "0",'FSLPL Daily '!Y15-'FSLPL Daily '!Y14)</f>
        <v>0</v>
      </c>
      <c r="Q13" s="19">
        <f>IF(('FSLPL Daily '!AA15-'FSLPL Daily '!AA14&lt;0), "0",'FSLPL Daily '!AA15-'FSLPL Daily '!AA14)</f>
        <v>0</v>
      </c>
      <c r="R13" s="19">
        <f>IF(('FSLPL Daily '!AC15-'FSLPL Daily '!AC14&lt;0), "0",'FSLPL Daily '!AC15-'FSLPL Daily '!AC14)</f>
        <v>0</v>
      </c>
      <c r="S13" s="19">
        <f>IF(('FSLPL Daily '!AE15-'FSLPL Daily '!AE14&lt;0), "0",'FSLPL Daily '!AE15-'FSLPL Daily '!AE14)</f>
        <v>0</v>
      </c>
      <c r="T13" s="19">
        <f>IF(('FSLPL Daily '!AG15-'FSLPL Daily '!AG14&lt;0), "0",'FSLPL Daily '!AG15-'FSLPL Daily '!AG14)</f>
        <v>0</v>
      </c>
      <c r="U13" s="19">
        <f>IF(('FSLPL Daily '!AI15-'FSLPL Daily '!AI14&lt;0), "0",'FSLPL Daily '!AI15-'FSLPL Daily '!AI14)</f>
        <v>0</v>
      </c>
      <c r="V13" s="19">
        <f>IF(('FSLPL Daily '!AK15-'FSLPL Daily '!AK14&lt;0), "0",'FSLPL Daily '!AK15-'FSLPL Daily '!AK14)</f>
        <v>0</v>
      </c>
      <c r="W13" s="19">
        <f>IF(('FSLPL Daily '!AM15-'FSLPL Daily '!AM14&lt;0), "0",'FSLPL Daily '!AM15-'FSLPL Daily '!AM14)</f>
        <v>0</v>
      </c>
      <c r="X13" s="19">
        <f>IF(('FSLPL Daily '!AO15-'FSLPL Daily '!AO14&lt;0), "0",'FSLPL Daily '!AO15-'FSLPL Daily '!AO14)</f>
        <v>0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35</v>
      </c>
      <c r="AB13" s="19">
        <f>IF(('FSLPL Daily '!AX15-'FSLPL Daily '!AX14&lt;0), "0",'FSLPL Daily '!AX15-'FSLPL Daily '!AX14)</f>
        <v>4</v>
      </c>
      <c r="AC13" s="19">
        <f>IF(('FSLPL Daily '!AZ15-'FSLPL Daily '!AZ14&lt;0), "0",'FSLPL Daily '!AZ15-'FSLPL Daily '!AZ14)</f>
        <v>3378</v>
      </c>
      <c r="AD13" s="19">
        <f>IF(('FSLPL Daily '!BB15-'FSLPL Daily '!BB14&lt;0), "0",'FSLPL Daily '!BB15-'FSLPL Daily '!BB14)</f>
        <v>2394</v>
      </c>
      <c r="AE13" s="19">
        <f>'FSLPL Daily '!BD15</f>
        <v>161</v>
      </c>
      <c r="AF13" s="19">
        <f>'FSLPL Daily '!BE15</f>
        <v>246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2022</v>
      </c>
      <c r="E14" s="19">
        <f>IF(('FSLPL Daily '!C16-'FSLPL Daily '!C15&lt;0), "0",'FSLPL Daily '!C16-'FSLPL Daily '!C15)</f>
        <v>0</v>
      </c>
      <c r="F14" s="19">
        <f>IF(('FSLPL Daily '!E16-'FSLPL Daily '!E15&lt;0), "0",'FSLPL Daily '!E16-'FSLPL Daily '!E15)</f>
        <v>0</v>
      </c>
      <c r="G14" s="19">
        <f>IF(('FSLPL Daily '!G16-'FSLPL Daily '!G15&lt;0), "0",'FSLPL Daily '!G16-'FSLPL Daily '!G15)</f>
        <v>3548</v>
      </c>
      <c r="H14" s="19">
        <f>IF(('FSLPL Daily '!I16-'FSLPL Daily '!I15&lt;0), "0",'FSLPL Daily '!I16-'FSLPL Daily '!I15)</f>
        <v>0</v>
      </c>
      <c r="I14" s="19">
        <f>IF(('FSLPL Daily '!K16-'FSLPL Daily '!K15&lt;0), "0",'FSLPL Daily '!K16-'FSLPL Daily '!K15)</f>
        <v>0</v>
      </c>
      <c r="J14" s="19">
        <f>IF(('FSLPL Daily '!M16-'FSLPL Daily '!M15&lt;0), "0",'FSLPL Daily '!M16-'FSLPL Daily '!M15)</f>
        <v>0</v>
      </c>
      <c r="K14" s="19">
        <f>IF(('FSLPL Daily '!O16-'FSLPL Daily '!O15&lt;0), "0",'FSLPL Daily '!O16-'FSLPL Daily '!O15)</f>
        <v>0</v>
      </c>
      <c r="L14" s="19">
        <f>IF(('FSLPL Daily '!Q16-'FSLPL Daily '!Q15&lt;0), "0",'FSLPL Daily '!Q16-'FSLPL Daily '!Q15)</f>
        <v>0</v>
      </c>
      <c r="M14" s="19">
        <f>IF(('FSLPL Daily '!S16-'FSLPL Daily '!S15&lt;0), "0",'FSLPL Daily '!S16-'FSLPL Daily '!S15)</f>
        <v>0</v>
      </c>
      <c r="N14" s="19">
        <f>IF(('FSLPL Daily '!U16-'FSLPL Daily '!U15&lt;0), "0",'FSLPL Daily '!U16-'FSLPL Daily '!U15)</f>
        <v>0</v>
      </c>
      <c r="O14" s="19">
        <f>IF(('FSLPL Daily '!W16-'FSLPL Daily '!W15&lt;0), "0",'FSLPL Daily '!W16-'FSLPL Daily '!W15)</f>
        <v>0</v>
      </c>
      <c r="P14" s="19">
        <f>IF(('FSLPL Daily '!Y16-'FSLPL Daily '!Y15&lt;0), "0",'FSLPL Daily '!Y16-'FSLPL Daily '!Y15)</f>
        <v>0</v>
      </c>
      <c r="Q14" s="19">
        <f>IF(('FSLPL Daily '!AA16-'FSLPL Daily '!AA15&lt;0), "0",'FSLPL Daily '!AA16-'FSLPL Daily '!AA15)</f>
        <v>0</v>
      </c>
      <c r="R14" s="19">
        <f>IF(('FSLPL Daily '!AC16-'FSLPL Daily '!AC15&lt;0), "0",'FSLPL Daily '!AC16-'FSLPL Daily '!AC15)</f>
        <v>0</v>
      </c>
      <c r="S14" s="19">
        <f>IF(('FSLPL Daily '!AE16-'FSLPL Daily '!AE15&lt;0), "0",'FSLPL Daily '!AE16-'FSLPL Daily '!AE15)</f>
        <v>0</v>
      </c>
      <c r="T14" s="19">
        <f>IF(('FSLPL Daily '!AG16-'FSLPL Daily '!AG15&lt;0), "0",'FSLPL Daily '!AG16-'FSLPL Daily '!AG15)</f>
        <v>0</v>
      </c>
      <c r="U14" s="19">
        <f>IF(('FSLPL Daily '!AI16-'FSLPL Daily '!AI15&lt;0), "0",'FSLPL Daily '!AI16-'FSLPL Daily '!AI15)</f>
        <v>0</v>
      </c>
      <c r="V14" s="19">
        <f>IF(('FSLPL Daily '!AK16-'FSLPL Daily '!AK15&lt;0), "0",'FSLPL Daily '!AK16-'FSLPL Daily '!AK15)</f>
        <v>0</v>
      </c>
      <c r="W14" s="19">
        <f>IF(('FSLPL Daily '!AM16-'FSLPL Daily '!AM15&lt;0), "0",'FSLPL Daily '!AM16-'FSLPL Daily '!AM15)</f>
        <v>0</v>
      </c>
      <c r="X14" s="19">
        <f>IF(('FSLPL Daily '!AO16-'FSLPL Daily '!AO15&lt;0), "0",'FSLPL Daily '!AO16-'FSLPL Daily '!AO15)</f>
        <v>0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17</v>
      </c>
      <c r="AB14" s="19">
        <f>IF(('FSLPL Daily '!AX16-'FSLPL Daily '!AX15&lt;0), "0",'FSLPL Daily '!AX16-'FSLPL Daily '!AX15)</f>
        <v>2</v>
      </c>
      <c r="AC14" s="19">
        <f>IF(('FSLPL Daily '!AZ16-'FSLPL Daily '!AZ15&lt;0), "0",'FSLPL Daily '!AZ16-'FSLPL Daily '!AZ15)</f>
        <v>1624</v>
      </c>
      <c r="AD14" s="19">
        <f>IF(('FSLPL Daily '!BB16-'FSLPL Daily '!BB15&lt;0), "0",'FSLPL Daily '!BB16-'FSLPL Daily '!BB15)</f>
        <v>1135</v>
      </c>
      <c r="AE14" s="19">
        <f>'FSLPL Daily '!BD16</f>
        <v>156</v>
      </c>
      <c r="AF14" s="19">
        <f>'FSLPL Daily '!BE16</f>
        <v>229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2022</v>
      </c>
      <c r="E15" s="19">
        <f>IF(('FSLPL Daily '!C17-'FSLPL Daily '!C16&lt;0), "0",'FSLPL Daily '!C17-'FSLPL Daily '!C16)</f>
        <v>0</v>
      </c>
      <c r="F15" s="19">
        <f>IF(('FSLPL Daily '!E17-'FSLPL Daily '!E16&lt;0), "0",'FSLPL Daily '!E17-'FSLPL Daily '!E16)</f>
        <v>0</v>
      </c>
      <c r="G15" s="19">
        <f>IF(('FSLPL Daily '!G17-'FSLPL Daily '!G16&lt;0), "0",'FSLPL Daily '!G17-'FSLPL Daily '!G16)</f>
        <v>4170</v>
      </c>
      <c r="H15" s="19">
        <f>IF(('FSLPL Daily '!I17-'FSLPL Daily '!I16&lt;0), "0",'FSLPL Daily '!I17-'FSLPL Daily '!I16)</f>
        <v>0</v>
      </c>
      <c r="I15" s="19">
        <f>IF(('FSLPL Daily '!K17-'FSLPL Daily '!K16&lt;0), "0",'FSLPL Daily '!K17-'FSLPL Daily '!K16)</f>
        <v>0</v>
      </c>
      <c r="J15" s="19">
        <f>IF(('FSLPL Daily '!M17-'FSLPL Daily '!M16&lt;0), "0",'FSLPL Daily '!M17-'FSLPL Daily '!M16)</f>
        <v>0</v>
      </c>
      <c r="K15" s="19">
        <f>IF(('FSLPL Daily '!O17-'FSLPL Daily '!O16&lt;0), "0",'FSLPL Daily '!O17-'FSLPL Daily '!O16)</f>
        <v>0</v>
      </c>
      <c r="L15" s="19">
        <f>IF(('FSLPL Daily '!Q17-'FSLPL Daily '!Q16&lt;0), "0",'FSLPL Daily '!Q17-'FSLPL Daily '!Q16)</f>
        <v>0</v>
      </c>
      <c r="M15" s="19">
        <f>IF(('FSLPL Daily '!S17-'FSLPL Daily '!S16&lt;0), "0",'FSLPL Daily '!S17-'FSLPL Daily '!S16)</f>
        <v>0</v>
      </c>
      <c r="N15" s="19">
        <f>IF(('FSLPL Daily '!U17-'FSLPL Daily '!U16&lt;0), "0",'FSLPL Daily '!U17-'FSLPL Daily '!U16)</f>
        <v>0</v>
      </c>
      <c r="O15" s="19">
        <f>IF(('FSLPL Daily '!W17-'FSLPL Daily '!W16&lt;0), "0",'FSLPL Daily '!W17-'FSLPL Daily '!W16)</f>
        <v>0</v>
      </c>
      <c r="P15" s="19">
        <f>IF(('FSLPL Daily '!Y17-'FSLPL Daily '!Y16&lt;0), "0",'FSLPL Daily '!Y17-'FSLPL Daily '!Y16)</f>
        <v>0</v>
      </c>
      <c r="Q15" s="19">
        <f>IF(('FSLPL Daily '!AA17-'FSLPL Daily '!AA16&lt;0), "0",'FSLPL Daily '!AA17-'FSLPL Daily '!AA16)</f>
        <v>0</v>
      </c>
      <c r="R15" s="19">
        <f>IF(('FSLPL Daily '!AC17-'FSLPL Daily '!AC16&lt;0), "0",'FSLPL Daily '!AC17-'FSLPL Daily '!AC16)</f>
        <v>0</v>
      </c>
      <c r="S15" s="19">
        <f>IF(('FSLPL Daily '!AE17-'FSLPL Daily '!AE16&lt;0), "0",'FSLPL Daily '!AE17-'FSLPL Daily '!AE16)</f>
        <v>0</v>
      </c>
      <c r="T15" s="19">
        <f>IF(('FSLPL Daily '!AG17-'FSLPL Daily '!AG16&lt;0), "0",'FSLPL Daily '!AG17-'FSLPL Daily '!AG16)</f>
        <v>0</v>
      </c>
      <c r="U15" s="19">
        <f>IF(('FSLPL Daily '!AI17-'FSLPL Daily '!AI16&lt;0), "0",'FSLPL Daily '!AI17-'FSLPL Daily '!AI16)</f>
        <v>0</v>
      </c>
      <c r="V15" s="19">
        <f>IF(('FSLPL Daily '!AK17-'FSLPL Daily '!AK16&lt;0), "0",'FSLPL Daily '!AK17-'FSLPL Daily '!AK16)</f>
        <v>0</v>
      </c>
      <c r="W15" s="19">
        <f>IF(('FSLPL Daily '!AM17-'FSLPL Daily '!AM16&lt;0), "0",'FSLPL Daily '!AM17-'FSLPL Daily '!AM16)</f>
        <v>0</v>
      </c>
      <c r="X15" s="19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18</v>
      </c>
      <c r="AB15" s="19">
        <f>IF(('FSLPL Daily '!AX17-'FSLPL Daily '!AX16&lt;0), "0",'FSLPL Daily '!AX17-'FSLPL Daily '!AX16)</f>
        <v>2</v>
      </c>
      <c r="AC15" s="19">
        <f>IF(('FSLPL Daily '!AZ17-'FSLPL Daily '!AZ16&lt;0), "0",'FSLPL Daily '!AZ17-'FSLPL Daily '!AZ16)</f>
        <v>1804</v>
      </c>
      <c r="AD15" s="19">
        <f>IF(('FSLPL Daily '!BB17-'FSLPL Daily '!BB16&lt;0), "0",'FSLPL Daily '!BB17-'FSLPL Daily '!BB16)</f>
        <v>1337</v>
      </c>
      <c r="AE15" s="19">
        <f>'FSLPL Daily '!BD17</f>
        <v>154</v>
      </c>
      <c r="AF15" s="19">
        <f>'FSLPL Daily '!BE17</f>
        <v>257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2022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 t="e">
        <f>IF(('FSLPL Daily '!G18-'FSLPL Daily '!G17&lt;0), "0",'FSLPL Daily '!G18-'FSLPL Daily '!G17)</f>
        <v>#VALUE!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 t="e">
        <f>IF(('FSLPL Daily '!AV18-'FSLPL Daily '!AV17&lt;0), "0",'FSLPL Daily '!AV18-'FSLPL Daily '!AV17)</f>
        <v>#VALUE!</v>
      </c>
      <c r="AB16" s="19" t="e">
        <f>IF(('FSLPL Daily '!AX18-'FSLPL Daily '!AX17&lt;0), "0",'FSLPL Daily '!AX18-'FSLPL Daily '!AX17)</f>
        <v>#VALUE!</v>
      </c>
      <c r="AC16" s="19" t="e">
        <f>IF(('FSLPL Daily '!AZ18-'FSLPL Daily '!AZ17&lt;0), "0",'FSLPL Daily '!AZ18-'FSLPL Daily '!AZ17)</f>
        <v>#VALUE!</v>
      </c>
      <c r="AD16" s="19" t="e">
        <f>IF(('FSLPL Daily '!BB18-'FSLPL Daily '!BB17&lt;0), "0",'FSLPL Daily '!BB18-'FSLPL Daily '!BB17)</f>
        <v>#VALUE!</v>
      </c>
      <c r="AE16" s="19">
        <f>'FSLPL Daily '!BD18</f>
        <v>155</v>
      </c>
      <c r="AF16" s="19">
        <f>'FSLPL Daily '!BE18</f>
        <v>262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2022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 t="e">
        <f>IF(('FSLPL Daily '!G19-'FSLPL Daily '!G18&lt;0), "0",'FSLPL Daily '!G19-'FSLPL Daily '!G18)</f>
        <v>#VALUE!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 t="e">
        <f>IF(('FSLPL Daily '!AV19-'FSLPL Daily '!AV18&lt;0), "0",'FSLPL Daily '!AV19-'FSLPL Daily '!AV18)</f>
        <v>#VALUE!</v>
      </c>
      <c r="AB17" s="19" t="e">
        <f>IF(('FSLPL Daily '!AX19-'FSLPL Daily '!AX18&lt;0), "0",'FSLPL Daily '!AX19-'FSLPL Daily '!AX18)</f>
        <v>#VALUE!</v>
      </c>
      <c r="AC17" s="19" t="e">
        <f>IF(('FSLPL Daily '!AZ19-'FSLPL Daily '!AZ18&lt;0), "0",'FSLPL Daily '!AZ19-'FSLPL Daily '!AZ18)</f>
        <v>#VALUE!</v>
      </c>
      <c r="AD17" s="19" t="e">
        <f>IF(('FSLPL Daily '!BB19-'FSLPL Daily '!BB18&lt;0), "0",'FSLPL Daily '!BB19-'FSLPL Daily '!BB18)</f>
        <v>#VALUE!</v>
      </c>
      <c r="AE17" s="19">
        <f>'FSLPL Daily '!BD19</f>
        <v>127</v>
      </c>
      <c r="AF17" s="19">
        <f>'FSLPL Daily '!BE19</f>
        <v>203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2022</v>
      </c>
      <c r="E18" s="19">
        <f>IF(('FSLPL Daily '!C20-'FSLPL Daily '!C19&lt;0), "0",'FSLPL Daily '!C20-'FSLPL Daily '!C19)</f>
        <v>31549729</v>
      </c>
      <c r="F18" s="19">
        <f>IF(('FSLPL Daily '!E20-'FSLPL Daily '!E19&lt;0), "0",'FSLPL Daily '!E20-'FSLPL Daily '!E19)</f>
        <v>32071676</v>
      </c>
      <c r="G18" s="19">
        <f>IF(('FSLPL Daily '!G20-'FSLPL Daily '!G19&lt;0), "0",'FSLPL Daily '!G20-'FSLPL Daily '!G19)</f>
        <v>3513</v>
      </c>
      <c r="H18" s="19">
        <f>IF(('FSLPL Daily '!I20-'FSLPL Daily '!I19&lt;0), "0",'FSLPL Daily '!I20-'FSLPL Daily '!I19)</f>
        <v>1886822</v>
      </c>
      <c r="I18" s="19">
        <f>IF(('FSLPL Daily '!K20-'FSLPL Daily '!K19&lt;0), "0",'FSLPL Daily '!K20-'FSLPL Daily '!K19)</f>
        <v>3884574</v>
      </c>
      <c r="J18" s="19">
        <f>IF(('FSLPL Daily '!M20-'FSLPL Daily '!M19&lt;0), "0",'FSLPL Daily '!M20-'FSLPL Daily '!M19)</f>
        <v>5060480</v>
      </c>
      <c r="K18" s="19">
        <f>IF(('FSLPL Daily '!O20-'FSLPL Daily '!O19&lt;0), "0",'FSLPL Daily '!O20-'FSLPL Daily '!O19)</f>
        <v>2630105</v>
      </c>
      <c r="L18" s="19">
        <f>IF(('FSLPL Daily '!Q20-'FSLPL Daily '!Q19&lt;0), "0",'FSLPL Daily '!Q20-'FSLPL Daily '!Q19)</f>
        <v>1546401</v>
      </c>
      <c r="M18" s="19">
        <f>IF(('FSLPL Daily '!S20-'FSLPL Daily '!S19&lt;0), "0",'FSLPL Daily '!S20-'FSLPL Daily '!S19)</f>
        <v>568384</v>
      </c>
      <c r="N18" s="19">
        <f>IF(('FSLPL Daily '!U20-'FSLPL Daily '!U19&lt;0), "0",'FSLPL Daily '!U20-'FSLPL Daily '!U19)</f>
        <v>4848293</v>
      </c>
      <c r="O18" s="19">
        <f>IF(('FSLPL Daily '!W20-'FSLPL Daily '!W19&lt;0), "0",'FSLPL Daily '!W20-'FSLPL Daily '!W19)</f>
        <v>1101338</v>
      </c>
      <c r="P18" s="19">
        <f>IF(('FSLPL Daily '!Y20-'FSLPL Daily '!Y19&lt;0), "0",'FSLPL Daily '!Y20-'FSLPL Daily '!Y19)</f>
        <v>5001458</v>
      </c>
      <c r="Q18" s="19">
        <f>IF(('FSLPL Daily '!AA20-'FSLPL Daily '!AA19&lt;0), "0",'FSLPL Daily '!AA20-'FSLPL Daily '!AA19)</f>
        <v>2258227</v>
      </c>
      <c r="R18" s="19">
        <f>IF(('FSLPL Daily '!AC20-'FSLPL Daily '!AC19&lt;0), "0",'FSLPL Daily '!AC20-'FSLPL Daily '!AC19)</f>
        <v>6283543</v>
      </c>
      <c r="S18" s="19">
        <f>IF(('FSLPL Daily '!AE20-'FSLPL Daily '!AE19&lt;0), "0",'FSLPL Daily '!AE20-'FSLPL Daily '!AE19)</f>
        <v>9054217</v>
      </c>
      <c r="T18" s="19">
        <f>IF(('FSLPL Daily '!AG20-'FSLPL Daily '!AG19&lt;0), "0",'FSLPL Daily '!AG20-'FSLPL Daily '!AG19)</f>
        <v>1501163</v>
      </c>
      <c r="U18" s="19">
        <f>IF(('FSLPL Daily '!AI20-'FSLPL Daily '!AI19&lt;0), "0",'FSLPL Daily '!AI20-'FSLPL Daily '!AI19)</f>
        <v>282404</v>
      </c>
      <c r="V18" s="19">
        <f>IF(('FSLPL Daily '!AK20-'FSLPL Daily '!AK19&lt;0), "0",'FSLPL Daily '!AK20-'FSLPL Daily '!AK19)</f>
        <v>1184064</v>
      </c>
      <c r="W18" s="19">
        <f>IF(('FSLPL Daily '!AM20-'FSLPL Daily '!AM19&lt;0), "0",'FSLPL Daily '!AM20-'FSLPL Daily '!AM19)</f>
        <v>2241986</v>
      </c>
      <c r="X18" s="19">
        <f>IF(('FSLPL Daily '!AO20-'FSLPL Daily '!AO19&lt;0), "0",'FSLPL Daily '!AO20-'FSLPL Daily '!AO19)</f>
        <v>2162482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17</v>
      </c>
      <c r="AB18" s="19">
        <f>IF(('FSLPL Daily '!AX20-'FSLPL Daily '!AX19&lt;0), "0",'FSLPL Daily '!AX20-'FSLPL Daily '!AX19)</f>
        <v>3</v>
      </c>
      <c r="AC18" s="19">
        <f>IF(('FSLPL Daily '!AZ20-'FSLPL Daily '!AZ19&lt;0), "0",'FSLPL Daily '!AZ20-'FSLPL Daily '!AZ19)</f>
        <v>1473</v>
      </c>
      <c r="AD18" s="19">
        <f>IF(('FSLPL Daily '!BB20-'FSLPL Daily '!BB19&lt;0), "0",'FSLPL Daily '!BB20-'FSLPL Daily '!BB19)</f>
        <v>1138</v>
      </c>
      <c r="AE18" s="19">
        <f>'FSLPL Daily '!BD20</f>
        <v>130</v>
      </c>
      <c r="AF18" s="19">
        <f>'FSLPL Daily '!BE20</f>
        <v>198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2022</v>
      </c>
      <c r="E19" s="19">
        <f>IF(('FSLPL Daily '!C21-'FSLPL Daily '!C20&lt;0), "0",'FSLPL Daily '!C21-'FSLPL Daily '!C20)</f>
        <v>6744</v>
      </c>
      <c r="F19" s="19">
        <f>IF(('FSLPL Daily '!E21-'FSLPL Daily '!E20&lt;0), "0",'FSLPL Daily '!E21-'FSLPL Daily '!E20)</f>
        <v>6409</v>
      </c>
      <c r="G19" s="19">
        <f>IF(('FSLPL Daily '!G21-'FSLPL Daily '!G20&lt;0), "0",'FSLPL Daily '!G21-'FSLPL Daily '!G20)</f>
        <v>3702</v>
      </c>
      <c r="H19" s="19">
        <f>IF(('FSLPL Daily '!I21-'FSLPL Daily '!I20&lt;0), "0",'FSLPL Daily '!I21-'FSLPL Daily '!I20)</f>
        <v>505</v>
      </c>
      <c r="I19" s="19">
        <f>IF(('FSLPL Daily '!K21-'FSLPL Daily '!K20&lt;0), "0",'FSLPL Daily '!K21-'FSLPL Daily '!K20)</f>
        <v>757</v>
      </c>
      <c r="J19" s="19">
        <f>IF(('FSLPL Daily '!M21-'FSLPL Daily '!M20&lt;0), "0",'FSLPL Daily '!M21-'FSLPL Daily '!M20)</f>
        <v>896</v>
      </c>
      <c r="K19" s="19">
        <f>IF(('FSLPL Daily '!O21-'FSLPL Daily '!O20&lt;0), "0",'FSLPL Daily '!O21-'FSLPL Daily '!O20)</f>
        <v>620</v>
      </c>
      <c r="L19" s="19">
        <f>IF(('FSLPL Daily '!Q21-'FSLPL Daily '!Q20&lt;0), "0",'FSLPL Daily '!Q21-'FSLPL Daily '!Q20)</f>
        <v>348</v>
      </c>
      <c r="M19" s="19">
        <f>IF(('FSLPL Daily '!S21-'FSLPL Daily '!S20&lt;0), "0",'FSLPL Daily '!S21-'FSLPL Daily '!S20)</f>
        <v>120</v>
      </c>
      <c r="N19" s="19">
        <f>IF(('FSLPL Daily '!U21-'FSLPL Daily '!U20&lt;0), "0",'FSLPL Daily '!U21-'FSLPL Daily '!U20)</f>
        <v>813</v>
      </c>
      <c r="O19" s="19">
        <f>IF(('FSLPL Daily '!W21-'FSLPL Daily '!W20&lt;0), "0",'FSLPL Daily '!W21-'FSLPL Daily '!W20)</f>
        <v>278</v>
      </c>
      <c r="P19" s="19">
        <f>IF(('FSLPL Daily '!Y21-'FSLPL Daily '!Y20&lt;0), "0",'FSLPL Daily '!Y21-'FSLPL Daily '!Y20)</f>
        <v>659</v>
      </c>
      <c r="Q19" s="19">
        <f>IF(('FSLPL Daily '!AA21-'FSLPL Daily '!AA20&lt;0), "0",'FSLPL Daily '!AA21-'FSLPL Daily '!AA20)</f>
        <v>647</v>
      </c>
      <c r="R19" s="19">
        <f>IF(('FSLPL Daily '!AC21-'FSLPL Daily '!AC20&lt;0), "0",'FSLPL Daily '!AC21-'FSLPL Daily '!AC20)</f>
        <v>1354</v>
      </c>
      <c r="S19" s="19">
        <f>IF(('FSLPL Daily '!AE21-'FSLPL Daily '!AE20&lt;0), "0",'FSLPL Daily '!AE21-'FSLPL Daily '!AE20)</f>
        <v>2015</v>
      </c>
      <c r="T19" s="19">
        <f>IF(('FSLPL Daily '!AG21-'FSLPL Daily '!AG20&lt;0), "0",'FSLPL Daily '!AG21-'FSLPL Daily '!AG20)</f>
        <v>418</v>
      </c>
      <c r="U19" s="19">
        <f>IF(('FSLPL Daily '!AI21-'FSLPL Daily '!AI20&lt;0), "0",'FSLPL Daily '!AI21-'FSLPL Daily '!AI20)</f>
        <v>73</v>
      </c>
      <c r="V19" s="19">
        <f>IF(('FSLPL Daily '!AK21-'FSLPL Daily '!AK20&lt;0), "0",'FSLPL Daily '!AK21-'FSLPL Daily '!AK20)</f>
        <v>235</v>
      </c>
      <c r="W19" s="19">
        <f>IF(('FSLPL Daily '!AM21-'FSLPL Daily '!AM20&lt;0), "0",'FSLPL Daily '!AM21-'FSLPL Daily '!AM20)</f>
        <v>489</v>
      </c>
      <c r="X19" s="19">
        <f>IF(('FSLPL Daily '!AO21-'FSLPL Daily '!AO20&lt;0), "0",'FSLPL Daily '!AO21-'FSLPL Daily '!AO20)</f>
        <v>459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13</v>
      </c>
      <c r="AB19" s="19">
        <f>IF(('FSLPL Daily '!AX21-'FSLPL Daily '!AX20&lt;0), "0",'FSLPL Daily '!AX21-'FSLPL Daily '!AX20)</f>
        <v>1</v>
      </c>
      <c r="AC19" s="19">
        <f>IF(('FSLPL Daily '!AZ21-'FSLPL Daily '!AZ20&lt;0), "0",'FSLPL Daily '!AZ21-'FSLPL Daily '!AZ20)</f>
        <v>1570</v>
      </c>
      <c r="AD19" s="19">
        <f>IF(('FSLPL Daily '!BB21-'FSLPL Daily '!BB20&lt;0), "0",'FSLPL Daily '!BB21-'FSLPL Daily '!BB20)</f>
        <v>1172</v>
      </c>
      <c r="AE19" s="19">
        <f>'FSLPL Daily '!BD21</f>
        <v>141</v>
      </c>
      <c r="AF19" s="19">
        <f>'FSLPL Daily '!BE21</f>
        <v>213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2022</v>
      </c>
      <c r="E20" s="19">
        <f>IF(('FSLPL Daily '!C22-'FSLPL Daily '!C21&lt;0), "0",'FSLPL Daily '!C22-'FSLPL Daily '!C21)</f>
        <v>6781</v>
      </c>
      <c r="F20" s="19">
        <f>IF(('FSLPL Daily '!E22-'FSLPL Daily '!E21&lt;0), "0",'FSLPL Daily '!E22-'FSLPL Daily '!E21)</f>
        <v>6619</v>
      </c>
      <c r="G20" s="19">
        <f>IF(('FSLPL Daily '!G22-'FSLPL Daily '!G21&lt;0), "0",'FSLPL Daily '!G22-'FSLPL Daily '!G21)</f>
        <v>3641</v>
      </c>
      <c r="H20" s="19">
        <f>IF(('FSLPL Daily '!I22-'FSLPL Daily '!I21&lt;0), "0",'FSLPL Daily '!I22-'FSLPL Daily '!I21)</f>
        <v>529</v>
      </c>
      <c r="I20" s="19">
        <f>IF(('FSLPL Daily '!K22-'FSLPL Daily '!K21&lt;0), "0",'FSLPL Daily '!K22-'FSLPL Daily '!K21)</f>
        <v>780</v>
      </c>
      <c r="J20" s="19">
        <f>IF(('FSLPL Daily '!M22-'FSLPL Daily '!M21&lt;0), "0",'FSLPL Daily '!M22-'FSLPL Daily '!M21)</f>
        <v>755</v>
      </c>
      <c r="K20" s="19">
        <f>IF(('FSLPL Daily '!O22-'FSLPL Daily '!O21&lt;0), "0",'FSLPL Daily '!O22-'FSLPL Daily '!O21)</f>
        <v>604</v>
      </c>
      <c r="L20" s="19">
        <f>IF(('FSLPL Daily '!Q22-'FSLPL Daily '!Q21&lt;0), "0",'FSLPL Daily '!Q22-'FSLPL Daily '!Q21)</f>
        <v>295</v>
      </c>
      <c r="M20" s="19">
        <f>IF(('FSLPL Daily '!S22-'FSLPL Daily '!S21&lt;0), "0",'FSLPL Daily '!S22-'FSLPL Daily '!S21)</f>
        <v>67</v>
      </c>
      <c r="N20" s="19">
        <f>IF(('FSLPL Daily '!U22-'FSLPL Daily '!U21&lt;0), "0",'FSLPL Daily '!U22-'FSLPL Daily '!U21)</f>
        <v>852</v>
      </c>
      <c r="O20" s="19">
        <f>IF(('FSLPL Daily '!W22-'FSLPL Daily '!W21&lt;0), "0",'FSLPL Daily '!W22-'FSLPL Daily '!W21)</f>
        <v>282</v>
      </c>
      <c r="P20" s="19">
        <f>IF(('FSLPL Daily '!Y22-'FSLPL Daily '!Y21&lt;0), "0",'FSLPL Daily '!Y22-'FSLPL Daily '!Y21)</f>
        <v>841</v>
      </c>
      <c r="Q20" s="19">
        <f>IF(('FSLPL Daily '!AA22-'FSLPL Daily '!AA21&lt;0), "0",'FSLPL Daily '!AA22-'FSLPL Daily '!AA21)</f>
        <v>647</v>
      </c>
      <c r="R20" s="19">
        <f>IF(('FSLPL Daily '!AC22-'FSLPL Daily '!AC21&lt;0), "0",'FSLPL Daily '!AC22-'FSLPL Daily '!AC21)</f>
        <v>1428</v>
      </c>
      <c r="S20" s="19">
        <f>IF(('FSLPL Daily '!AE22-'FSLPL Daily '!AE21&lt;0), "0",'FSLPL Daily '!AE22-'FSLPL Daily '!AE21)</f>
        <v>1890</v>
      </c>
      <c r="T20" s="19">
        <f>IF(('FSLPL Daily '!AG22-'FSLPL Daily '!AG21&lt;0), "0",'FSLPL Daily '!AG22-'FSLPL Daily '!AG21)</f>
        <v>440</v>
      </c>
      <c r="U20" s="19">
        <f>IF(('FSLPL Daily '!AI22-'FSLPL Daily '!AI21&lt;0), "0",'FSLPL Daily '!AI22-'FSLPL Daily '!AI21)</f>
        <v>70</v>
      </c>
      <c r="V20" s="19">
        <f>IF(('FSLPL Daily '!AK22-'FSLPL Daily '!AK21&lt;0), "0",'FSLPL Daily '!AK22-'FSLPL Daily '!AK21)</f>
        <v>252</v>
      </c>
      <c r="W20" s="19">
        <f>IF(('FSLPL Daily '!AM22-'FSLPL Daily '!AM21&lt;0), "0",'FSLPL Daily '!AM22-'FSLPL Daily '!AM21)</f>
        <v>501</v>
      </c>
      <c r="X20" s="19">
        <f>IF(('FSLPL Daily '!AO22-'FSLPL Daily '!AO21&lt;0), "0",'FSLPL Daily '!AO22-'FSLPL Daily '!AO21)</f>
        <v>580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18</v>
      </c>
      <c r="AB20" s="19">
        <f>IF(('FSLPL Daily '!AX22-'FSLPL Daily '!AX21&lt;0), "0",'FSLPL Daily '!AX22-'FSLPL Daily '!AX21)</f>
        <v>3</v>
      </c>
      <c r="AC20" s="19">
        <f>IF(('FSLPL Daily '!AZ22-'FSLPL Daily '!AZ21&lt;0), "0",'FSLPL Daily '!AZ22-'FSLPL Daily '!AZ21)</f>
        <v>1526</v>
      </c>
      <c r="AD20" s="19">
        <f>IF(('FSLPL Daily '!BB22-'FSLPL Daily '!BB21&lt;0), "0",'FSLPL Daily '!BB22-'FSLPL Daily '!BB21)</f>
        <v>1177</v>
      </c>
      <c r="AE20" s="19">
        <f>'FSLPL Daily '!BD22</f>
        <v>125</v>
      </c>
      <c r="AF20" s="19">
        <f>'FSLPL Daily '!BE22</f>
        <v>185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2022</v>
      </c>
      <c r="E21" s="19">
        <f>IF(('FSLPL Daily '!C23-'FSLPL Daily '!C22&lt;0), "0",'FSLPL Daily '!C23-'FSLPL Daily '!C22)</f>
        <v>6873</v>
      </c>
      <c r="F21" s="19">
        <f>IF(('FSLPL Daily '!E23-'FSLPL Daily '!E22&lt;0), "0",'FSLPL Daily '!E23-'FSLPL Daily '!E22)</f>
        <v>6732</v>
      </c>
      <c r="G21" s="19">
        <f>IF(('FSLPL Daily '!G23-'FSLPL Daily '!G22&lt;0), "0",'FSLPL Daily '!G23-'FSLPL Daily '!G22)</f>
        <v>3393</v>
      </c>
      <c r="H21" s="19">
        <f>IF(('FSLPL Daily '!I23-'FSLPL Daily '!I22&lt;0), "0",'FSLPL Daily '!I23-'FSLPL Daily '!I22)</f>
        <v>532</v>
      </c>
      <c r="I21" s="19">
        <f>IF(('FSLPL Daily '!K23-'FSLPL Daily '!K22&lt;0), "0",'FSLPL Daily '!K23-'FSLPL Daily '!K22)</f>
        <v>754</v>
      </c>
      <c r="J21" s="19">
        <f>IF(('FSLPL Daily '!M23-'FSLPL Daily '!M22&lt;0), "0",'FSLPL Daily '!M23-'FSLPL Daily '!M22)</f>
        <v>811</v>
      </c>
      <c r="K21" s="19">
        <f>IF(('FSLPL Daily '!O23-'FSLPL Daily '!O22&lt;0), "0",'FSLPL Daily '!O23-'FSLPL Daily '!O22)</f>
        <v>598</v>
      </c>
      <c r="L21" s="19">
        <f>IF(('FSLPL Daily '!Q23-'FSLPL Daily '!Q22&lt;0), "0",'FSLPL Daily '!Q23-'FSLPL Daily '!Q22)</f>
        <v>294</v>
      </c>
      <c r="M21" s="19">
        <f>IF(('FSLPL Daily '!S23-'FSLPL Daily '!S22&lt;0), "0",'FSLPL Daily '!S23-'FSLPL Daily '!S22)</f>
        <v>142</v>
      </c>
      <c r="N21" s="19">
        <f>IF(('FSLPL Daily '!U23-'FSLPL Daily '!U22&lt;0), "0",'FSLPL Daily '!U23-'FSLPL Daily '!U22)</f>
        <v>811</v>
      </c>
      <c r="O21" s="19">
        <f>IF(('FSLPL Daily '!W23-'FSLPL Daily '!W22&lt;0), "0",'FSLPL Daily '!W23-'FSLPL Daily '!W22)</f>
        <v>351</v>
      </c>
      <c r="P21" s="19">
        <f>IF(('FSLPL Daily '!Y23-'FSLPL Daily '!Y22&lt;0), "0",'FSLPL Daily '!Y23-'FSLPL Daily '!Y22)</f>
        <v>874</v>
      </c>
      <c r="Q21" s="19">
        <f>IF(('FSLPL Daily '!AA23-'FSLPL Daily '!AA22&lt;0), "0",'FSLPL Daily '!AA23-'FSLPL Daily '!AA22)</f>
        <v>665</v>
      </c>
      <c r="R21" s="19">
        <f>IF(('FSLPL Daily '!AC23-'FSLPL Daily '!AC22&lt;0), "0",'FSLPL Daily '!AC23-'FSLPL Daily '!AC22)</f>
        <v>1369</v>
      </c>
      <c r="S21" s="19">
        <f>IF(('FSLPL Daily '!AE23-'FSLPL Daily '!AE22&lt;0), "0",'FSLPL Daily '!AE23-'FSLPL Daily '!AE22)</f>
        <v>1975</v>
      </c>
      <c r="T21" s="19">
        <f>IF(('FSLPL Daily '!AG23-'FSLPL Daily '!AG22&lt;0), "0",'FSLPL Daily '!AG23-'FSLPL Daily '!AG22)</f>
        <v>420</v>
      </c>
      <c r="U21" s="19">
        <f>IF(('FSLPL Daily '!AI23-'FSLPL Daily '!AI22&lt;0), "0",'FSLPL Daily '!AI23-'FSLPL Daily '!AI22)</f>
        <v>63</v>
      </c>
      <c r="V21" s="19">
        <f>IF(('FSLPL Daily '!AK23-'FSLPL Daily '!AK22&lt;0), "0",'FSLPL Daily '!AK23-'FSLPL Daily '!AK22)</f>
        <v>234</v>
      </c>
      <c r="W21" s="19">
        <f>IF(('FSLPL Daily '!AM23-'FSLPL Daily '!AM22&lt;0), "0",'FSLPL Daily '!AM23-'FSLPL Daily '!AM22)</f>
        <v>515</v>
      </c>
      <c r="X21" s="19">
        <f>IF(('FSLPL Daily '!AO23-'FSLPL Daily '!AO22&lt;0), "0",'FSLPL Daily '!AO23-'FSLPL Daily '!AO22)</f>
        <v>543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13</v>
      </c>
      <c r="AB21" s="19">
        <f>IF(('FSLPL Daily '!AX23-'FSLPL Daily '!AX22&lt;0), "0",'FSLPL Daily '!AX23-'FSLPL Daily '!AX22)</f>
        <v>1</v>
      </c>
      <c r="AC21" s="19">
        <f>IF(('FSLPL Daily '!AZ23-'FSLPL Daily '!AZ22&lt;0), "0",'FSLPL Daily '!AZ23-'FSLPL Daily '!AZ22)</f>
        <v>1468</v>
      </c>
      <c r="AD21" s="19">
        <f>IF(('FSLPL Daily '!BB23-'FSLPL Daily '!BB22&lt;0), "0",'FSLPL Daily '!BB23-'FSLPL Daily '!BB22)</f>
        <v>1119</v>
      </c>
      <c r="AE21" s="19">
        <f>'FSLPL Daily '!BD23</f>
        <v>132</v>
      </c>
      <c r="AF21" s="19">
        <f>'FSLPL Daily '!BE23</f>
        <v>193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2022</v>
      </c>
      <c r="E22" s="19">
        <f>IF(('FSLPL Daily '!C24-'FSLPL Daily '!C23&lt;0), "0",'FSLPL Daily '!C24-'FSLPL Daily '!C23)</f>
        <v>6366</v>
      </c>
      <c r="F22" s="19">
        <f>IF(('FSLPL Daily '!E24-'FSLPL Daily '!E23&lt;0), "0",'FSLPL Daily '!E24-'FSLPL Daily '!E23)</f>
        <v>7438</v>
      </c>
      <c r="G22" s="19">
        <f>IF(('FSLPL Daily '!G24-'FSLPL Daily '!G23&lt;0), "0",'FSLPL Daily '!G24-'FSLPL Daily '!G23)</f>
        <v>3631</v>
      </c>
      <c r="H22" s="19">
        <f>IF(('FSLPL Daily '!I24-'FSLPL Daily '!I23&lt;0), "0",'FSLPL Daily '!I24-'FSLPL Daily '!I23)</f>
        <v>521</v>
      </c>
      <c r="I22" s="19">
        <f>IF(('FSLPL Daily '!K24-'FSLPL Daily '!K23&lt;0), "0",'FSLPL Daily '!K24-'FSLPL Daily '!K23)</f>
        <v>781</v>
      </c>
      <c r="J22" s="19">
        <f>IF(('FSLPL Daily '!M24-'FSLPL Daily '!M23&lt;0), "0",'FSLPL Daily '!M24-'FSLPL Daily '!M23)</f>
        <v>822</v>
      </c>
      <c r="K22" s="19">
        <f>IF(('FSLPL Daily '!O24-'FSLPL Daily '!O23&lt;0), "0",'FSLPL Daily '!O24-'FSLPL Daily '!O23)</f>
        <v>615</v>
      </c>
      <c r="L22" s="19">
        <f>IF(('FSLPL Daily '!Q24-'FSLPL Daily '!Q23&lt;0), "0",'FSLPL Daily '!Q24-'FSLPL Daily '!Q23)</f>
        <v>318</v>
      </c>
      <c r="M22" s="19">
        <f>IF(('FSLPL Daily '!S24-'FSLPL Daily '!S23&lt;0), "0",'FSLPL Daily '!S24-'FSLPL Daily '!S23)</f>
        <v>173</v>
      </c>
      <c r="N22" s="19">
        <f>IF(('FSLPL Daily '!U24-'FSLPL Daily '!U23&lt;0), "0",'FSLPL Daily '!U24-'FSLPL Daily '!U23)</f>
        <v>778</v>
      </c>
      <c r="O22" s="19">
        <f>IF(('FSLPL Daily '!W24-'FSLPL Daily '!W23&lt;0), "0",'FSLPL Daily '!W24-'FSLPL Daily '!W23)</f>
        <v>127</v>
      </c>
      <c r="P22" s="19">
        <f>IF(('FSLPL Daily '!Y24-'FSLPL Daily '!Y23&lt;0), "0",'FSLPL Daily '!Y24-'FSLPL Daily '!Y23)</f>
        <v>388</v>
      </c>
      <c r="Q22" s="19">
        <f>IF(('FSLPL Daily '!AA24-'FSLPL Daily '!AA23&lt;0), "0",'FSLPL Daily '!AA24-'FSLPL Daily '!AA23)</f>
        <v>1023</v>
      </c>
      <c r="R22" s="19">
        <f>IF(('FSLPL Daily '!AC24-'FSLPL Daily '!AC23&lt;0), "0",'FSLPL Daily '!AC24-'FSLPL Daily '!AC23)</f>
        <v>1414</v>
      </c>
      <c r="S22" s="19">
        <f>IF(('FSLPL Daily '!AE24-'FSLPL Daily '!AE23&lt;0), "0",'FSLPL Daily '!AE24-'FSLPL Daily '!AE23)</f>
        <v>2058</v>
      </c>
      <c r="T22" s="19">
        <f>IF(('FSLPL Daily '!AG24-'FSLPL Daily '!AG23&lt;0), "0",'FSLPL Daily '!AG24-'FSLPL Daily '!AG23)</f>
        <v>432</v>
      </c>
      <c r="U22" s="19">
        <f>IF(('FSLPL Daily '!AI24-'FSLPL Daily '!AI23&lt;0), "0",'FSLPL Daily '!AI24-'FSLPL Daily '!AI23)</f>
        <v>73</v>
      </c>
      <c r="V22" s="19">
        <f>IF(('FSLPL Daily '!AK24-'FSLPL Daily '!AK23&lt;0), "0",'FSLPL Daily '!AK24-'FSLPL Daily '!AK23)</f>
        <v>249</v>
      </c>
      <c r="W22" s="19">
        <f>IF(('FSLPL Daily '!AM24-'FSLPL Daily '!AM23&lt;0), "0",'FSLPL Daily '!AM24-'FSLPL Daily '!AM23)</f>
        <v>536</v>
      </c>
      <c r="X22" s="19">
        <f>IF(('FSLPL Daily '!AO24-'FSLPL Daily '!AO23&lt;0), "0",'FSLPL Daily '!AO24-'FSLPL Daily '!AO23)</f>
        <v>523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15</v>
      </c>
      <c r="AB22" s="19">
        <f>IF(('FSLPL Daily '!AX24-'FSLPL Daily '!AX23&lt;0), "0",'FSLPL Daily '!AX24-'FSLPL Daily '!AX23)</f>
        <v>2</v>
      </c>
      <c r="AC22" s="19">
        <f>IF(('FSLPL Daily '!AZ24-'FSLPL Daily '!AZ23&lt;0), "0",'FSLPL Daily '!AZ24-'FSLPL Daily '!AZ23)</f>
        <v>1564</v>
      </c>
      <c r="AD22" s="19">
        <f>IF(('FSLPL Daily '!BB24-'FSLPL Daily '!BB23&lt;0), "0",'FSLPL Daily '!BB24-'FSLPL Daily '!BB23)</f>
        <v>1194</v>
      </c>
      <c r="AE22" s="19">
        <f>'FSLPL Daily '!BD24</f>
        <v>149</v>
      </c>
      <c r="AF22" s="19">
        <f>'FSLPL Daily '!BE24</f>
        <v>230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2022</v>
      </c>
      <c r="E23" s="19">
        <f>IF(('FSLPL Daily '!C25-'FSLPL Daily '!C24&lt;0), "0",'FSLPL Daily '!C25-'FSLPL Daily '!C24)</f>
        <v>6250</v>
      </c>
      <c r="F23" s="19">
        <f>IF(('FSLPL Daily '!E25-'FSLPL Daily '!E24&lt;0), "0",'FSLPL Daily '!E25-'FSLPL Daily '!E24)</f>
        <v>6337</v>
      </c>
      <c r="G23" s="19">
        <f>IF(('FSLPL Daily '!G25-'FSLPL Daily '!G24&lt;0), "0",'FSLPL Daily '!G25-'FSLPL Daily '!G24)</f>
        <v>3650</v>
      </c>
      <c r="H23" s="19">
        <f>IF(('FSLPL Daily '!I25-'FSLPL Daily '!I24&lt;0), "0",'FSLPL Daily '!I25-'FSLPL Daily '!I24)</f>
        <v>528</v>
      </c>
      <c r="I23" s="19">
        <f>IF(('FSLPL Daily '!K25-'FSLPL Daily '!K24&lt;0), "0",'FSLPL Daily '!K25-'FSLPL Daily '!K24)</f>
        <v>759</v>
      </c>
      <c r="J23" s="19">
        <f>IF(('FSLPL Daily '!M25-'FSLPL Daily '!M24&lt;0), "0",'FSLPL Daily '!M25-'FSLPL Daily '!M24)</f>
        <v>715</v>
      </c>
      <c r="K23" s="19">
        <f>IF(('FSLPL Daily '!O25-'FSLPL Daily '!O24&lt;0), "0",'FSLPL Daily '!O25-'FSLPL Daily '!O24)</f>
        <v>627</v>
      </c>
      <c r="L23" s="19">
        <f>IF(('FSLPL Daily '!Q25-'FSLPL Daily '!Q24&lt;0), "0",'FSLPL Daily '!Q25-'FSLPL Daily '!Q24)</f>
        <v>321</v>
      </c>
      <c r="M23" s="19">
        <f>IF(('FSLPL Daily '!S25-'FSLPL Daily '!S24&lt;0), "0",'FSLPL Daily '!S25-'FSLPL Daily '!S24)</f>
        <v>171</v>
      </c>
      <c r="N23" s="19">
        <f>IF(('FSLPL Daily '!U25-'FSLPL Daily '!U24&lt;0), "0",'FSLPL Daily '!U25-'FSLPL Daily '!U24)</f>
        <v>634</v>
      </c>
      <c r="O23" s="19">
        <f>IF(('FSLPL Daily '!W25-'FSLPL Daily '!W24&lt;0), "0",'FSLPL Daily '!W25-'FSLPL Daily '!W24)</f>
        <v>77</v>
      </c>
      <c r="P23" s="19">
        <f>IF(('FSLPL Daily '!Y25-'FSLPL Daily '!Y24&lt;0), "0",'FSLPL Daily '!Y25-'FSLPL Daily '!Y24)</f>
        <v>600</v>
      </c>
      <c r="Q23" s="19">
        <f>IF(('FSLPL Daily '!AA25-'FSLPL Daily '!AA24&lt;0), "0",'FSLPL Daily '!AA25-'FSLPL Daily '!AA24)</f>
        <v>798</v>
      </c>
      <c r="R23" s="19">
        <f>IF(('FSLPL Daily '!AC25-'FSLPL Daily '!AC24&lt;0), "0",'FSLPL Daily '!AC25-'FSLPL Daily '!AC24)</f>
        <v>1418</v>
      </c>
      <c r="S23" s="19">
        <f>IF(('FSLPL Daily '!AE25-'FSLPL Daily '!AE24&lt;0), "0",'FSLPL Daily '!AE25-'FSLPL Daily '!AE24)</f>
        <v>2080</v>
      </c>
      <c r="T23" s="19">
        <f>IF(('FSLPL Daily '!AG25-'FSLPL Daily '!AG24&lt;0), "0",'FSLPL Daily '!AG25-'FSLPL Daily '!AG24)</f>
        <v>430</v>
      </c>
      <c r="U23" s="19">
        <f>IF(('FSLPL Daily '!AI25-'FSLPL Daily '!AI24&lt;0), "0",'FSLPL Daily '!AI25-'FSLPL Daily '!AI24)</f>
        <v>69</v>
      </c>
      <c r="V23" s="19">
        <f>IF(('FSLPL Daily '!AK25-'FSLPL Daily '!AK24&lt;0), "0",'FSLPL Daily '!AK25-'FSLPL Daily '!AK24)</f>
        <v>143</v>
      </c>
      <c r="W23" s="19">
        <f>IF(('FSLPL Daily '!AM25-'FSLPL Daily '!AM24&lt;0), "0",'FSLPL Daily '!AM25-'FSLPL Daily '!AM24)</f>
        <v>498</v>
      </c>
      <c r="X23" s="19">
        <f>IF(('FSLPL Daily '!AO25-'FSLPL Daily '!AO24&lt;0), "0",'FSLPL Daily '!AO25-'FSLPL Daily '!AO24)</f>
        <v>561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17</v>
      </c>
      <c r="AB23" s="19">
        <f>IF(('FSLPL Daily '!AX25-'FSLPL Daily '!AX24&lt;0), "0",'FSLPL Daily '!AX25-'FSLPL Daily '!AX24)</f>
        <v>2</v>
      </c>
      <c r="AC23" s="19">
        <f>IF(('FSLPL Daily '!AZ25-'FSLPL Daily '!AZ24&lt;0), "0",'FSLPL Daily '!AZ25-'FSLPL Daily '!AZ24)</f>
        <v>1565</v>
      </c>
      <c r="AD23" s="19">
        <f>IF(('FSLPL Daily '!BB25-'FSLPL Daily '!BB24&lt;0), "0",'FSLPL Daily '!BB25-'FSLPL Daily '!BB24)</f>
        <v>1182</v>
      </c>
      <c r="AE23" s="19">
        <f>'FSLPL Daily '!BD25</f>
        <v>154</v>
      </c>
      <c r="AF23" s="19">
        <f>'FSLPL Daily '!BE25</f>
        <v>230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2022</v>
      </c>
      <c r="E24" s="19">
        <f>IF(('FSLPL Daily '!C26-'FSLPL Daily '!C25&lt;0), "0",'FSLPL Daily '!C26-'FSLPL Daily '!C25)</f>
        <v>5601</v>
      </c>
      <c r="F24" s="19">
        <f>IF(('FSLPL Daily '!E26-'FSLPL Daily '!E25&lt;0), "0",'FSLPL Daily '!E26-'FSLPL Daily '!E25)</f>
        <v>7921</v>
      </c>
      <c r="G24" s="19">
        <f>IF(('FSLPL Daily '!G26-'FSLPL Daily '!G25&lt;0), "0",'FSLPL Daily '!G26-'FSLPL Daily '!G25)</f>
        <v>3638</v>
      </c>
      <c r="H24" s="19">
        <f>IF(('FSLPL Daily '!I26-'FSLPL Daily '!I25&lt;0), "0",'FSLPL Daily '!I26-'FSLPL Daily '!I25)</f>
        <v>28</v>
      </c>
      <c r="I24" s="19">
        <f>IF(('FSLPL Daily '!K26-'FSLPL Daily '!K25&lt;0), "0",'FSLPL Daily '!K26-'FSLPL Daily '!K25)</f>
        <v>763</v>
      </c>
      <c r="J24" s="19">
        <f>IF(('FSLPL Daily '!M26-'FSLPL Daily '!M25&lt;0), "0",'FSLPL Daily '!M26-'FSLPL Daily '!M25)</f>
        <v>534</v>
      </c>
      <c r="K24" s="19">
        <f>IF(('FSLPL Daily '!O26-'FSLPL Daily '!O25&lt;0), "0",'FSLPL Daily '!O26-'FSLPL Daily '!O25)</f>
        <v>628</v>
      </c>
      <c r="L24" s="19">
        <f>IF(('FSLPL Daily '!Q26-'FSLPL Daily '!Q25&lt;0), "0",'FSLPL Daily '!Q26-'FSLPL Daily '!Q25)</f>
        <v>321</v>
      </c>
      <c r="M24" s="19">
        <f>IF(('FSLPL Daily '!S26-'FSLPL Daily '!S25&lt;0), "0",'FSLPL Daily '!S26-'FSLPL Daily '!S25)</f>
        <v>171</v>
      </c>
      <c r="N24" s="19">
        <f>IF(('FSLPL Daily '!U26-'FSLPL Daily '!U25&lt;0), "0",'FSLPL Daily '!U26-'FSLPL Daily '!U25)</f>
        <v>619</v>
      </c>
      <c r="O24" s="19">
        <f>IF(('FSLPL Daily '!W26-'FSLPL Daily '!W25&lt;0), "0",'FSLPL Daily '!W26-'FSLPL Daily '!W25)</f>
        <v>40</v>
      </c>
      <c r="P24" s="19">
        <f>IF(('FSLPL Daily '!Y26-'FSLPL Daily '!Y25&lt;0), "0",'FSLPL Daily '!Y26-'FSLPL Daily '!Y25)</f>
        <v>194</v>
      </c>
      <c r="Q24" s="19">
        <f>IF(('FSLPL Daily '!AA26-'FSLPL Daily '!AA25&lt;0), "0",'FSLPL Daily '!AA26-'FSLPL Daily '!AA25)</f>
        <v>1136</v>
      </c>
      <c r="R24" s="19">
        <f>IF(('FSLPL Daily '!AC26-'FSLPL Daily '!AC25&lt;0), "0",'FSLPL Daily '!AC26-'FSLPL Daily '!AC25)</f>
        <v>1420</v>
      </c>
      <c r="S24" s="19">
        <f>IF(('FSLPL Daily '!AE26-'FSLPL Daily '!AE25&lt;0), "0",'FSLPL Daily '!AE26-'FSLPL Daily '!AE25)</f>
        <v>2075</v>
      </c>
      <c r="T24" s="19">
        <f>IF(('FSLPL Daily '!AG26-'FSLPL Daily '!AG25&lt;0), "0",'FSLPL Daily '!AG26-'FSLPL Daily '!AG25)</f>
        <v>437</v>
      </c>
      <c r="U24" s="19">
        <f>IF(('FSLPL Daily '!AI26-'FSLPL Daily '!AI25&lt;0), "0",'FSLPL Daily '!AI26-'FSLPL Daily '!AI25)</f>
        <v>79</v>
      </c>
      <c r="V24" s="19">
        <f>IF(('FSLPL Daily '!AK26-'FSLPL Daily '!AK25&lt;0), "0",'FSLPL Daily '!AK26-'FSLPL Daily '!AK25)</f>
        <v>341</v>
      </c>
      <c r="W24" s="19">
        <f>IF(('FSLPL Daily '!AM26-'FSLPL Daily '!AM25&lt;0), "0",'FSLPL Daily '!AM26-'FSLPL Daily '!AM25)</f>
        <v>538</v>
      </c>
      <c r="X24" s="19">
        <f>IF(('FSLPL Daily '!AO26-'FSLPL Daily '!AO25&lt;0), "0",'FSLPL Daily '!AO26-'FSLPL Daily '!AO25)</f>
        <v>548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23</v>
      </c>
      <c r="AB24" s="19">
        <f>IF(('FSLPL Daily '!AX26-'FSLPL Daily '!AX25&lt;0), "0",'FSLPL Daily '!AX26-'FSLPL Daily '!AX25)</f>
        <v>3</v>
      </c>
      <c r="AC24" s="19">
        <f>IF(('FSLPL Daily '!AZ26-'FSLPL Daily '!AZ25&lt;0), "0",'FSLPL Daily '!AZ26-'FSLPL Daily '!AZ25)</f>
        <v>1510</v>
      </c>
      <c r="AD24" s="19">
        <f>IF(('FSLPL Daily '!BB26-'FSLPL Daily '!BB25&lt;0), "0",'FSLPL Daily '!BB26-'FSLPL Daily '!BB25)</f>
        <v>1190</v>
      </c>
      <c r="AE24" s="19">
        <f>'FSLPL Daily '!BD26</f>
        <v>123</v>
      </c>
      <c r="AF24" s="19">
        <f>'FSLPL Daily '!BE26</f>
        <v>182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2022</v>
      </c>
      <c r="E25" s="19">
        <f>IF(('FSLPL Daily '!C27-'FSLPL Daily '!C26&lt;0), "0",'FSLPL Daily '!C27-'FSLPL Daily '!C26)</f>
        <v>4941</v>
      </c>
      <c r="F25" s="19">
        <f>IF(('FSLPL Daily '!E27-'FSLPL Daily '!E26&lt;0), "0",'FSLPL Daily '!E27-'FSLPL Daily '!E26)</f>
        <v>5910</v>
      </c>
      <c r="G25" s="19">
        <f>IF(('FSLPL Daily '!G27-'FSLPL Daily '!G26&lt;0), "0",'FSLPL Daily '!G27-'FSLPL Daily '!G26)</f>
        <v>2957</v>
      </c>
      <c r="H25" s="19">
        <f>IF(('FSLPL Daily '!I27-'FSLPL Daily '!I26&lt;0), "0",'FSLPL Daily '!I27-'FSLPL Daily '!I26)</f>
        <v>954</v>
      </c>
      <c r="I25" s="19" t="str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593</v>
      </c>
      <c r="K25" s="19">
        <f>IF(('FSLPL Daily '!O27-'FSLPL Daily '!O26&lt;0), "0",'FSLPL Daily '!O27-'FSLPL Daily '!O26)</f>
        <v>479</v>
      </c>
      <c r="L25" s="19">
        <f>IF(('FSLPL Daily '!Q27-'FSLPL Daily '!Q26&lt;0), "0",'FSLPL Daily '!Q27-'FSLPL Daily '!Q26)</f>
        <v>267</v>
      </c>
      <c r="M25" s="19">
        <f>IF(('FSLPL Daily '!S27-'FSLPL Daily '!S26&lt;0), "0",'FSLPL Daily '!S27-'FSLPL Daily '!S26)</f>
        <v>139</v>
      </c>
      <c r="N25" s="19">
        <f>IF(('FSLPL Daily '!U27-'FSLPL Daily '!U26&lt;0), "0",'FSLPL Daily '!U27-'FSLPL Daily '!U26)</f>
        <v>582</v>
      </c>
      <c r="O25" s="19">
        <f>IF(('FSLPL Daily '!W27-'FSLPL Daily '!W26&lt;0), "0",'FSLPL Daily '!W27-'FSLPL Daily '!W26)</f>
        <v>114</v>
      </c>
      <c r="P25" s="19">
        <f>IF(('FSLPL Daily '!Y27-'FSLPL Daily '!Y26&lt;0), "0",'FSLPL Daily '!Y27-'FSLPL Daily '!Y26)</f>
        <v>141</v>
      </c>
      <c r="Q25" s="19">
        <f>IF(('FSLPL Daily '!AA27-'FSLPL Daily '!AA26&lt;0), "0",'FSLPL Daily '!AA27-'FSLPL Daily '!AA26)</f>
        <v>833</v>
      </c>
      <c r="R25" s="19">
        <f>IF(('FSLPL Daily '!AC27-'FSLPL Daily '!AC26&lt;0), "0",'FSLPL Daily '!AC27-'FSLPL Daily '!AC26)</f>
        <v>1155</v>
      </c>
      <c r="S25" s="19">
        <f>IF(('FSLPL Daily '!AE27-'FSLPL Daily '!AE26&lt;0), "0",'FSLPL Daily '!AE27-'FSLPL Daily '!AE26)</f>
        <v>1697</v>
      </c>
      <c r="T25" s="19">
        <f>IF(('FSLPL Daily '!AG27-'FSLPL Daily '!AG26&lt;0), "0",'FSLPL Daily '!AG27-'FSLPL Daily '!AG26)</f>
        <v>353</v>
      </c>
      <c r="U25" s="19">
        <f>IF(('FSLPL Daily '!AI27-'FSLPL Daily '!AI26&lt;0), "0",'FSLPL Daily '!AI27-'FSLPL Daily '!AI26)</f>
        <v>60</v>
      </c>
      <c r="V25" s="19">
        <f>IF(('FSLPL Daily '!AK27-'FSLPL Daily '!AK26&lt;0), "0",'FSLPL Daily '!AK27-'FSLPL Daily '!AK26)</f>
        <v>196</v>
      </c>
      <c r="W25" s="19">
        <f>IF(('FSLPL Daily '!AM27-'FSLPL Daily '!AM26&lt;0), "0",'FSLPL Daily '!AM27-'FSLPL Daily '!AM26)</f>
        <v>414</v>
      </c>
      <c r="X25" s="19">
        <f>IF(('FSLPL Daily '!AO27-'FSLPL Daily '!AO26&lt;0), "0",'FSLPL Daily '!AO27-'FSLPL Daily '!AO26)</f>
        <v>450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8</v>
      </c>
      <c r="AB25" s="19">
        <f>IF(('FSLPL Daily '!AX27-'FSLPL Daily '!AX26&lt;0), "0",'FSLPL Daily '!AX27-'FSLPL Daily '!AX26)</f>
        <v>2</v>
      </c>
      <c r="AC25" s="19">
        <f>IF(('FSLPL Daily '!AZ27-'FSLPL Daily '!AZ26&lt;0), "0",'FSLPL Daily '!AZ27-'FSLPL Daily '!AZ26)</f>
        <v>1254</v>
      </c>
      <c r="AD25" s="19">
        <f>IF(('FSLPL Daily '!BB27-'FSLPL Daily '!BB26&lt;0), "0",'FSLPL Daily '!BB27-'FSLPL Daily '!BB26)</f>
        <v>960</v>
      </c>
      <c r="AE25" s="19">
        <f>'FSLPL Daily '!BD27</f>
        <v>127</v>
      </c>
      <c r="AF25" s="19">
        <f>'FSLPL Daily '!BE27</f>
        <v>181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2022</v>
      </c>
      <c r="E26" s="19">
        <f>IF(('FSLPL Daily '!C28-'FSLPL Daily '!C27&lt;0), "0",'FSLPL Daily '!C28-'FSLPL Daily '!C27)</f>
        <v>6450</v>
      </c>
      <c r="F26" s="19">
        <f>IF(('FSLPL Daily '!E28-'FSLPL Daily '!E27&lt;0), "0",'FSLPL Daily '!E28-'FSLPL Daily '!E27)</f>
        <v>6677</v>
      </c>
      <c r="G26" s="19">
        <f>IF(('FSLPL Daily '!G28-'FSLPL Daily '!G27&lt;0), "0",'FSLPL Daily '!G28-'FSLPL Daily '!G27)</f>
        <v>3726</v>
      </c>
      <c r="H26" s="19">
        <f>IF(('FSLPL Daily '!I28-'FSLPL Daily '!I27&lt;0), "0",'FSLPL Daily '!I28-'FSLPL Daily '!I27)</f>
        <v>525</v>
      </c>
      <c r="I26" s="19">
        <f>IF(('FSLPL Daily '!K28-'FSLPL Daily '!K27&lt;0), "0",'FSLPL Daily '!K28-'FSLPL Daily '!K27)</f>
        <v>8755</v>
      </c>
      <c r="J26" s="19">
        <f>IF(('FSLPL Daily '!M28-'FSLPL Daily '!M27&lt;0), "0",'FSLPL Daily '!M28-'FSLPL Daily '!M27)</f>
        <v>807</v>
      </c>
      <c r="K26" s="19">
        <f>IF(('FSLPL Daily '!O28-'FSLPL Daily '!O27&lt;0), "0",'FSLPL Daily '!O28-'FSLPL Daily '!O27)</f>
        <v>627</v>
      </c>
      <c r="L26" s="19">
        <f>IF(('FSLPL Daily '!Q28-'FSLPL Daily '!Q27&lt;0), "0",'FSLPL Daily '!Q28-'FSLPL Daily '!Q27)</f>
        <v>342</v>
      </c>
      <c r="M26" s="19">
        <f>IF(('FSLPL Daily '!S28-'FSLPL Daily '!S27&lt;0), "0",'FSLPL Daily '!S28-'FSLPL Daily '!S27)</f>
        <v>172</v>
      </c>
      <c r="N26" s="19">
        <f>IF(('FSLPL Daily '!U28-'FSLPL Daily '!U27&lt;0), "0",'FSLPL Daily '!U28-'FSLPL Daily '!U27)</f>
        <v>793</v>
      </c>
      <c r="O26" s="19">
        <f>IF(('FSLPL Daily '!W28-'FSLPL Daily '!W27&lt;0), "0",'FSLPL Daily '!W28-'FSLPL Daily '!W27)</f>
        <v>260</v>
      </c>
      <c r="P26" s="19">
        <f>IF(('FSLPL Daily '!Y28-'FSLPL Daily '!Y27&lt;0), "0",'FSLPL Daily '!Y28-'FSLPL Daily '!Y27)</f>
        <v>355</v>
      </c>
      <c r="Q26" s="19">
        <f>IF(('FSLPL Daily '!AA28-'FSLPL Daily '!AA27&lt;0), "0",'FSLPL Daily '!AA28-'FSLPL Daily '!AA27)</f>
        <v>834</v>
      </c>
      <c r="R26" s="19">
        <f>IF(('FSLPL Daily '!AC28-'FSLPL Daily '!AC27&lt;0), "0",'FSLPL Daily '!AC28-'FSLPL Daily '!AC27)</f>
        <v>1423</v>
      </c>
      <c r="S26" s="19">
        <f>IF(('FSLPL Daily '!AE28-'FSLPL Daily '!AE27&lt;0), "0",'FSLPL Daily '!AE28-'FSLPL Daily '!AE27)</f>
        <v>1969</v>
      </c>
      <c r="T26" s="19">
        <f>IF(('FSLPL Daily '!AG28-'FSLPL Daily '!AG27&lt;0), "0",'FSLPL Daily '!AG28-'FSLPL Daily '!AG27)</f>
        <v>435</v>
      </c>
      <c r="U26" s="19">
        <f>IF(('FSLPL Daily '!AI28-'FSLPL Daily '!AI27&lt;0), "0",'FSLPL Daily '!AI28-'FSLPL Daily '!AI27)</f>
        <v>74</v>
      </c>
      <c r="V26" s="19">
        <f>IF(('FSLPL Daily '!AK28-'FSLPL Daily '!AK27&lt;0), "0",'FSLPL Daily '!AK28-'FSLPL Daily '!AK27)</f>
        <v>232</v>
      </c>
      <c r="W26" s="19">
        <f>IF(('FSLPL Daily '!AM28-'FSLPL Daily '!AM27&lt;0), "0",'FSLPL Daily '!AM28-'FSLPL Daily '!AM27)</f>
        <v>523</v>
      </c>
      <c r="X26" s="19">
        <f>IF(('FSLPL Daily '!AO28-'FSLPL Daily '!AO27&lt;0), "0",'FSLPL Daily '!AO28-'FSLPL Daily '!AO27)</f>
        <v>521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14</v>
      </c>
      <c r="AB26" s="19">
        <f>IF(('FSLPL Daily '!AX28-'FSLPL Daily '!AX27&lt;0), "0",'FSLPL Daily '!AX28-'FSLPL Daily '!AX27)</f>
        <v>1</v>
      </c>
      <c r="AC26" s="19">
        <f>IF(('FSLPL Daily '!AZ28-'FSLPL Daily '!AZ27&lt;0), "0",'FSLPL Daily '!AZ28-'FSLPL Daily '!AZ27)</f>
        <v>1588</v>
      </c>
      <c r="AD26" s="19">
        <f>IF(('FSLPL Daily '!BB28-'FSLPL Daily '!BB27&lt;0), "0",'FSLPL Daily '!BB28-'FSLPL Daily '!BB27)</f>
        <v>1193</v>
      </c>
      <c r="AE26" s="19">
        <f>'FSLPL Daily '!BD28</f>
        <v>79</v>
      </c>
      <c r="AF26" s="19">
        <f>'FSLPL Daily '!BE28</f>
        <v>115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2022</v>
      </c>
      <c r="E27" s="19">
        <f>IF(('FSLPL Daily '!C29-'FSLPL Daily '!C28&lt;0), "0",'FSLPL Daily '!C29-'FSLPL Daily '!C28)</f>
        <v>6473</v>
      </c>
      <c r="F27" s="19">
        <f>IF(('FSLPL Daily '!E29-'FSLPL Daily '!E28&lt;0), "0",'FSLPL Daily '!E29-'FSLPL Daily '!E28)</f>
        <v>7276</v>
      </c>
      <c r="G27" s="19">
        <f>IF(('FSLPL Daily '!G29-'FSLPL Daily '!G28&lt;0), "0",'FSLPL Daily '!G29-'FSLPL Daily '!G28)</f>
        <v>3511</v>
      </c>
      <c r="H27" s="19">
        <f>IF(('FSLPL Daily '!I29-'FSLPL Daily '!I28&lt;0), "0",'FSLPL Daily '!I29-'FSLPL Daily '!I28)</f>
        <v>515</v>
      </c>
      <c r="I27" s="19">
        <f>IF(('FSLPL Daily '!K29-'FSLPL Daily '!K28&lt;0), "0",'FSLPL Daily '!K29-'FSLPL Daily '!K28)</f>
        <v>779</v>
      </c>
      <c r="J27" s="19">
        <f>IF(('FSLPL Daily '!M29-'FSLPL Daily '!M28&lt;0), "0",'FSLPL Daily '!M29-'FSLPL Daily '!M28)</f>
        <v>682</v>
      </c>
      <c r="K27" s="19">
        <f>IF(('FSLPL Daily '!O29-'FSLPL Daily '!O28&lt;0), "0",'FSLPL Daily '!O29-'FSLPL Daily '!O28)</f>
        <v>571</v>
      </c>
      <c r="L27" s="19">
        <f>IF(('FSLPL Daily '!Q29-'FSLPL Daily '!Q28&lt;0), "0",'FSLPL Daily '!Q29-'FSLPL Daily '!Q28)</f>
        <v>331</v>
      </c>
      <c r="M27" s="19">
        <f>IF(('FSLPL Daily '!S29-'FSLPL Daily '!S28&lt;0), "0",'FSLPL Daily '!S29-'FSLPL Daily '!S28)</f>
        <v>172</v>
      </c>
      <c r="N27" s="19">
        <f>IF(('FSLPL Daily '!U29-'FSLPL Daily '!U28&lt;0), "0",'FSLPL Daily '!U29-'FSLPL Daily '!U28)</f>
        <v>840</v>
      </c>
      <c r="O27" s="19">
        <f>IF(('FSLPL Daily '!W29-'FSLPL Daily '!W28&lt;0), "0",'FSLPL Daily '!W29-'FSLPL Daily '!W28)</f>
        <v>373</v>
      </c>
      <c r="P27" s="19">
        <f>IF(('FSLPL Daily '!Y29-'FSLPL Daily '!Y28&lt;0), "0",'FSLPL Daily '!Y29-'FSLPL Daily '!Y28)</f>
        <v>423</v>
      </c>
      <c r="Q27" s="19">
        <f>IF(('FSLPL Daily '!AA29-'FSLPL Daily '!AA28&lt;0), "0",'FSLPL Daily '!AA29-'FSLPL Daily '!AA28)</f>
        <v>1036</v>
      </c>
      <c r="R27" s="19">
        <f>IF(('FSLPL Daily '!AC29-'FSLPL Daily '!AC28&lt;0), "0",'FSLPL Daily '!AC29-'FSLPL Daily '!AC28)</f>
        <v>1417</v>
      </c>
      <c r="S27" s="19">
        <f>IF(('FSLPL Daily '!AE29-'FSLPL Daily '!AE28&lt;0), "0",'FSLPL Daily '!AE29-'FSLPL Daily '!AE28)</f>
        <v>2066</v>
      </c>
      <c r="T27" s="19">
        <f>IF(('FSLPL Daily '!AG29-'FSLPL Daily '!AG28&lt;0), "0",'FSLPL Daily '!AG29-'FSLPL Daily '!AG28)</f>
        <v>433</v>
      </c>
      <c r="U27" s="19">
        <f>IF(('FSLPL Daily '!AI29-'FSLPL Daily '!AI28&lt;0), "0",'FSLPL Daily '!AI29-'FSLPL Daily '!AI28)</f>
        <v>74</v>
      </c>
      <c r="V27" s="19">
        <f>IF(('FSLPL Daily '!AK29-'FSLPL Daily '!AK28&lt;0), "0",'FSLPL Daily '!AK29-'FSLPL Daily '!AK28)</f>
        <v>237</v>
      </c>
      <c r="W27" s="19">
        <f>IF(('FSLPL Daily '!AM29-'FSLPL Daily '!AM28&lt;0), "0",'FSLPL Daily '!AM29-'FSLPL Daily '!AM28)</f>
        <v>544</v>
      </c>
      <c r="X27" s="19">
        <f>IF(('FSLPL Daily '!AO29-'FSLPL Daily '!AO28&lt;0), "0",'FSLPL Daily '!AO29-'FSLPL Daily '!AO28)</f>
        <v>465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13</v>
      </c>
      <c r="AB27" s="19">
        <f>IF(('FSLPL Daily '!AX29-'FSLPL Daily '!AX28&lt;0), "0",'FSLPL Daily '!AX29-'FSLPL Daily '!AX28)</f>
        <v>2</v>
      </c>
      <c r="AC27" s="19">
        <f>IF(('FSLPL Daily '!AZ29-'FSLPL Daily '!AZ28&lt;0), "0",'FSLPL Daily '!AZ29-'FSLPL Daily '!AZ28)</f>
        <v>1453</v>
      </c>
      <c r="AD27" s="19">
        <f>IF(('FSLPL Daily '!BB29-'FSLPL Daily '!BB28&lt;0), "0",'FSLPL Daily '!BB29-'FSLPL Daily '!BB28)</f>
        <v>1146</v>
      </c>
      <c r="AE27" s="19">
        <f>'FSLPL Daily '!BD29</f>
        <v>109</v>
      </c>
      <c r="AF27" s="19">
        <f>'FSLPL Daily '!BE29</f>
        <v>165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2022</v>
      </c>
      <c r="E28" s="19">
        <f>IF(('FSLPL Daily '!C30-'FSLPL Daily '!C29&lt;0), "0",'FSLPL Daily '!C30-'FSLPL Daily '!C29)</f>
        <v>8397</v>
      </c>
      <c r="F28" s="19">
        <f>IF(('FSLPL Daily '!E30-'FSLPL Daily '!E29&lt;0), "0",'FSLPL Daily '!E30-'FSLPL Daily '!E29)</f>
        <v>8141</v>
      </c>
      <c r="G28" s="19">
        <f>IF(('FSLPL Daily '!G30-'FSLPL Daily '!G29&lt;0), "0",'FSLPL Daily '!G30-'FSLPL Daily '!G29)</f>
        <v>3973</v>
      </c>
      <c r="H28" s="19">
        <f>IF(('FSLPL Daily '!I30-'FSLPL Daily '!I29&lt;0), "0",'FSLPL Daily '!I30-'FSLPL Daily '!I29)</f>
        <v>567</v>
      </c>
      <c r="I28" s="19">
        <f>IF(('FSLPL Daily '!K30-'FSLPL Daily '!K29&lt;0), "0",'FSLPL Daily '!K30-'FSLPL Daily '!K29)</f>
        <v>879</v>
      </c>
      <c r="J28" s="19">
        <f>IF(('FSLPL Daily '!M30-'FSLPL Daily '!M29&lt;0), "0",'FSLPL Daily '!M30-'FSLPL Daily '!M29)</f>
        <v>793</v>
      </c>
      <c r="K28" s="19">
        <f>IF(('FSLPL Daily '!O30-'FSLPL Daily '!O29&lt;0), "0",'FSLPL Daily '!O30-'FSLPL Daily '!O29)</f>
        <v>730</v>
      </c>
      <c r="L28" s="19">
        <f>IF(('FSLPL Daily '!Q30-'FSLPL Daily '!Q29&lt;0), "0",'FSLPL Daily '!Q30-'FSLPL Daily '!Q29)</f>
        <v>369</v>
      </c>
      <c r="M28" s="19">
        <f>IF(('FSLPL Daily '!S30-'FSLPL Daily '!S29&lt;0), "0",'FSLPL Daily '!S30-'FSLPL Daily '!S29)</f>
        <v>191</v>
      </c>
      <c r="N28" s="19">
        <f>IF(('FSLPL Daily '!U30-'FSLPL Daily '!U29&lt;0), "0",'FSLPL Daily '!U30-'FSLPL Daily '!U29)</f>
        <v>871</v>
      </c>
      <c r="O28" s="19">
        <f>IF(('FSLPL Daily '!W30-'FSLPL Daily '!W29&lt;0), "0",'FSLPL Daily '!W30-'FSLPL Daily '!W29)</f>
        <v>500</v>
      </c>
      <c r="P28" s="19">
        <f>IF(('FSLPL Daily '!Y30-'FSLPL Daily '!Y29&lt;0), "0",'FSLPL Daily '!Y30-'FSLPL Daily '!Y29)</f>
        <v>1490</v>
      </c>
      <c r="Q28" s="19">
        <f>IF(('FSLPL Daily '!AA30-'FSLPL Daily '!AA29&lt;0), "0",'FSLPL Daily '!AA30-'FSLPL Daily '!AA29)</f>
        <v>1123</v>
      </c>
      <c r="R28" s="19">
        <f>IF(('FSLPL Daily '!AC30-'FSLPL Daily '!AC29&lt;0), "0",'FSLPL Daily '!AC30-'FSLPL Daily '!AC29)</f>
        <v>1594</v>
      </c>
      <c r="S28" s="19">
        <f>IF(('FSLPL Daily '!AE30-'FSLPL Daily '!AE29&lt;0), "0",'FSLPL Daily '!AE30-'FSLPL Daily '!AE29)</f>
        <v>2334</v>
      </c>
      <c r="T28" s="19">
        <f>IF(('FSLPL Daily '!AG30-'FSLPL Daily '!AG29&lt;0), "0",'FSLPL Daily '!AG30-'FSLPL Daily '!AG29)</f>
        <v>485</v>
      </c>
      <c r="U28" s="19">
        <f>IF(('FSLPL Daily '!AI30-'FSLPL Daily '!AI29&lt;0), "0",'FSLPL Daily '!AI30-'FSLPL Daily '!AI29)</f>
        <v>83</v>
      </c>
      <c r="V28" s="19">
        <f>IF(('FSLPL Daily '!AK30-'FSLPL Daily '!AK29&lt;0), "0",'FSLPL Daily '!AK30-'FSLPL Daily '!AK29)</f>
        <v>267</v>
      </c>
      <c r="W28" s="19">
        <f>IF(('FSLPL Daily '!AM30-'FSLPL Daily '!AM29&lt;0), "0",'FSLPL Daily '!AM30-'FSLPL Daily '!AM29)</f>
        <v>564</v>
      </c>
      <c r="X28" s="19">
        <f>IF(('FSLPL Daily '!AO30-'FSLPL Daily '!AO29&lt;0), "0",'FSLPL Daily '!AO30-'FSLPL Daily '!AO29)</f>
        <v>595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17</v>
      </c>
      <c r="AB28" s="19">
        <f>IF(('FSLPL Daily '!AX30-'FSLPL Daily '!AX29&lt;0), "0",'FSLPL Daily '!AX30-'FSLPL Daily '!AX29)</f>
        <v>1</v>
      </c>
      <c r="AC28" s="19">
        <f>IF(('FSLPL Daily '!AZ30-'FSLPL Daily '!AZ29&lt;0), "0",'FSLPL Daily '!AZ30-'FSLPL Daily '!AZ29)</f>
        <v>1635</v>
      </c>
      <c r="AD28" s="19">
        <f>IF(('FSLPL Daily '!BB30-'FSLPL Daily '!BB29&lt;0), "0",'FSLPL Daily '!BB30-'FSLPL Daily '!BB29)</f>
        <v>1289</v>
      </c>
      <c r="AE28" s="19">
        <f>'FSLPL Daily '!BD30</f>
        <v>133</v>
      </c>
      <c r="AF28" s="19">
        <f>'FSLPL Daily '!BE30</f>
        <v>212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2022</v>
      </c>
      <c r="E29" s="19" t="str">
        <f>IF(('FSLPL Daily '!C31-'FSLPL Daily '!C30&lt;0), "0",'FSLPL Daily '!C31-'FSLPL Daily '!C30)</f>
        <v>0</v>
      </c>
      <c r="F29" s="19" t="str">
        <f>IF(('FSLPL Daily '!E31-'FSLPL Daily '!E30&lt;0), "0",'FSLPL Daily '!E31-'FSLPL Daily '!E30)</f>
        <v>0</v>
      </c>
      <c r="G29" s="19" t="str">
        <f>IF(('FSLPL Daily '!G31-'FSLPL Daily '!G30&lt;0), "0",'FSLPL Daily '!G31-'FSLPL Daily '!G30)</f>
        <v>0</v>
      </c>
      <c r="H29" s="19" t="str">
        <f>IF(('FSLPL Daily '!I31-'FSLPL Daily '!I30&lt;0), "0",'FSLPL Daily '!I31-'FSLPL Daily '!I30)</f>
        <v>0</v>
      </c>
      <c r="I29" s="19" t="str">
        <f>IF(('FSLPL Daily '!K31-'FSLPL Daily '!K30&lt;0), "0",'FSLPL Daily '!K31-'FSLPL Daily '!K30)</f>
        <v>0</v>
      </c>
      <c r="J29" s="19" t="str">
        <f>IF(('FSLPL Daily '!M31-'FSLPL Daily '!M30&lt;0), "0",'FSLPL Daily '!M31-'FSLPL Daily '!M30)</f>
        <v>0</v>
      </c>
      <c r="K29" s="19" t="str">
        <f>IF(('FSLPL Daily '!O31-'FSLPL Daily '!O30&lt;0), "0",'FSLPL Daily '!O31-'FSLPL Daily '!O30)</f>
        <v>0</v>
      </c>
      <c r="L29" s="19" t="str">
        <f>IF(('FSLPL Daily '!Q31-'FSLPL Daily '!Q30&lt;0), "0",'FSLPL Daily '!Q31-'FSLPL Daily '!Q30)</f>
        <v>0</v>
      </c>
      <c r="M29" s="19" t="str">
        <f>IF(('FSLPL Daily '!S31-'FSLPL Daily '!S30&lt;0), "0",'FSLPL Daily '!S31-'FSLPL Daily '!S30)</f>
        <v>0</v>
      </c>
      <c r="N29" s="19" t="str">
        <f>IF(('FSLPL Daily '!U31-'FSLPL Daily '!U30&lt;0), "0",'FSLPL Daily '!U31-'FSLPL Daily '!U30)</f>
        <v>0</v>
      </c>
      <c r="O29" s="19" t="str">
        <f>IF(('FSLPL Daily '!W31-'FSLPL Daily '!W30&lt;0), "0",'FSLPL Daily '!W31-'FSLPL Daily '!W30)</f>
        <v>0</v>
      </c>
      <c r="P29" s="19" t="str">
        <f>IF(('FSLPL Daily '!Y31-'FSLPL Daily '!Y30&lt;0), "0",'FSLPL Daily '!Y31-'FSLPL Daily '!Y30)</f>
        <v>0</v>
      </c>
      <c r="Q29" s="19" t="str">
        <f>IF(('FSLPL Daily '!AA31-'FSLPL Daily '!AA30&lt;0), "0",'FSLPL Daily '!AA31-'FSLPL Daily '!AA30)</f>
        <v>0</v>
      </c>
      <c r="R29" s="19" t="str">
        <f>IF(('FSLPL Daily '!AC31-'FSLPL Daily '!AC30&lt;0), "0",'FSLPL Daily '!AC31-'FSLPL Daily '!AC30)</f>
        <v>0</v>
      </c>
      <c r="S29" s="19" t="str">
        <f>IF(('FSLPL Daily '!AE31-'FSLPL Daily '!AE30&lt;0), "0",'FSLPL Daily '!AE31-'FSLPL Daily '!AE30)</f>
        <v>0</v>
      </c>
      <c r="T29" s="19" t="str">
        <f>IF(('FSLPL Daily '!AG31-'FSLPL Daily '!AG30&lt;0), "0",'FSLPL Daily '!AG31-'FSLPL Daily '!AG30)</f>
        <v>0</v>
      </c>
      <c r="U29" s="19" t="str">
        <f>IF(('FSLPL Daily '!AI31-'FSLPL Daily '!AI30&lt;0), "0",'FSLPL Daily '!AI31-'FSLPL Daily '!AI30)</f>
        <v>0</v>
      </c>
      <c r="V29" s="19" t="str">
        <f>IF(('FSLPL Daily '!AK31-'FSLPL Daily '!AK30&lt;0), "0",'FSLPL Daily '!AK31-'FSLPL Daily '!AK30)</f>
        <v>0</v>
      </c>
      <c r="W29" s="19" t="str">
        <f>IF(('FSLPL Daily '!AM31-'FSLPL Daily '!AM30&lt;0), "0",'FSLPL Daily '!AM31-'FSLPL Daily '!AM30)</f>
        <v>0</v>
      </c>
      <c r="X29" s="19" t="str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 t="str">
        <f>IF(('FSLPL Daily '!AV31-'FSLPL Daily '!AV30&lt;0), "0",'FSLPL Daily '!AV31-'FSLPL Daily '!AV30)</f>
        <v>0</v>
      </c>
      <c r="AB29" s="19" t="str">
        <f>IF(('FSLPL Daily '!AX31-'FSLPL Daily '!AX30&lt;0), "0",'FSLPL Daily '!AX31-'FSLPL Daily '!AX30)</f>
        <v>0</v>
      </c>
      <c r="AC29" s="19" t="str">
        <f>IF(('FSLPL Daily '!AZ31-'FSLPL Daily '!AZ30&lt;0), "0",'FSLPL Daily '!AZ31-'FSLPL Daily '!AZ30)</f>
        <v>0</v>
      </c>
      <c r="AD29" s="19" t="str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2022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>
      <c r="A31" s="16" t="s">
        <v>12</v>
      </c>
      <c r="B31" s="7">
        <v>30</v>
      </c>
      <c r="C31" s="7">
        <v>10</v>
      </c>
      <c r="D31" s="7">
        <v>2022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>
      <c r="A32" s="16" t="s">
        <v>12</v>
      </c>
      <c r="B32" s="7">
        <v>31</v>
      </c>
      <c r="C32" s="7">
        <v>10</v>
      </c>
      <c r="D32" s="7">
        <v>2022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4"/>
  <sheetViews>
    <sheetView tabSelected="1" topLeftCell="AE1" zoomScale="70" zoomScaleNormal="70" workbookViewId="0">
      <pane ySplit="1" topLeftCell="A23" activePane="bottomLeft" state="frozen"/>
      <selection pane="bottomLeft" activeCell="I22" sqref="I22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 thickBot="1">
      <c r="A1" s="18" t="s">
        <v>39</v>
      </c>
      <c r="B1" s="42"/>
      <c r="C1" s="53" t="s">
        <v>13</v>
      </c>
      <c r="D1" s="54"/>
      <c r="E1" s="46" t="s">
        <v>14</v>
      </c>
      <c r="F1" s="46"/>
      <c r="G1" s="46" t="s">
        <v>15</v>
      </c>
      <c r="H1" s="46"/>
      <c r="I1" s="46" t="s">
        <v>16</v>
      </c>
      <c r="J1" s="46"/>
      <c r="K1" s="46" t="s">
        <v>17</v>
      </c>
      <c r="L1" s="46"/>
      <c r="M1" s="46" t="s">
        <v>40</v>
      </c>
      <c r="N1" s="46"/>
      <c r="O1" s="46" t="s">
        <v>41</v>
      </c>
      <c r="P1" s="46"/>
      <c r="Q1" s="46" t="s">
        <v>20</v>
      </c>
      <c r="R1" s="46"/>
      <c r="S1" s="46" t="s">
        <v>21</v>
      </c>
      <c r="T1" s="46"/>
      <c r="U1" s="46" t="s">
        <v>42</v>
      </c>
      <c r="V1" s="46"/>
      <c r="W1" s="46" t="s">
        <v>23</v>
      </c>
      <c r="X1" s="46"/>
      <c r="Y1" s="46" t="s">
        <v>24</v>
      </c>
      <c r="Z1" s="46"/>
      <c r="AA1" s="46" t="s">
        <v>25</v>
      </c>
      <c r="AB1" s="46"/>
      <c r="AC1" s="46" t="s">
        <v>26</v>
      </c>
      <c r="AD1" s="46"/>
      <c r="AE1" s="46" t="s">
        <v>27</v>
      </c>
      <c r="AF1" s="46"/>
      <c r="AG1" s="46" t="s">
        <v>28</v>
      </c>
      <c r="AH1" s="46"/>
      <c r="AI1" s="46" t="s">
        <v>29</v>
      </c>
      <c r="AJ1" s="46"/>
      <c r="AK1" s="46" t="s">
        <v>30</v>
      </c>
      <c r="AL1" s="46"/>
      <c r="AM1" s="46" t="s">
        <v>31</v>
      </c>
      <c r="AN1" s="46"/>
      <c r="AO1" s="46" t="s">
        <v>32</v>
      </c>
      <c r="AP1" s="46"/>
      <c r="AQ1" s="44"/>
      <c r="AR1" s="51" t="s">
        <v>43</v>
      </c>
      <c r="AS1" s="52"/>
      <c r="AT1" s="50" t="s">
        <v>44</v>
      </c>
      <c r="AU1" s="50"/>
      <c r="AV1" s="49" t="s">
        <v>45</v>
      </c>
      <c r="AW1" s="50"/>
      <c r="AX1" s="49" t="s">
        <v>46</v>
      </c>
      <c r="AY1" s="50"/>
      <c r="AZ1" s="47" t="s">
        <v>47</v>
      </c>
      <c r="BA1" s="48"/>
      <c r="BB1" s="47" t="s">
        <v>38</v>
      </c>
      <c r="BC1" s="48"/>
      <c r="BD1" s="11"/>
      <c r="BE1" s="11"/>
    </row>
    <row r="2" spans="1:60" ht="44.25" customHeight="1">
      <c r="A2" s="1" t="s">
        <v>48</v>
      </c>
      <c r="B2" s="42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4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1" t="s">
        <v>57</v>
      </c>
      <c r="BE2" s="21" t="s">
        <v>58</v>
      </c>
    </row>
    <row r="3" spans="1:60" ht="42" customHeight="1">
      <c r="A3" s="8">
        <v>44834</v>
      </c>
      <c r="B3" s="42"/>
      <c r="C3" s="17"/>
      <c r="D3" s="9" t="e">
        <f>IF((C3-C2&lt;0), "0",C3-C2)</f>
        <v>#VALUE!</v>
      </c>
      <c r="E3" s="17"/>
      <c r="F3" s="17"/>
      <c r="G3" s="17">
        <v>13406571</v>
      </c>
      <c r="H3" s="28"/>
      <c r="I3" s="17"/>
      <c r="J3" s="9">
        <f>IF((I4-I3&lt;0), "",I4-I3)</f>
        <v>0</v>
      </c>
      <c r="K3" s="17"/>
      <c r="L3" s="9">
        <f>IF((K4-K3&lt;0), "",K4-K3)</f>
        <v>0</v>
      </c>
      <c r="M3" s="17"/>
      <c r="N3" s="9">
        <f>IF((M4-M3&lt;0), "",M4-M3)</f>
        <v>0</v>
      </c>
      <c r="O3" s="17"/>
      <c r="P3" s="9">
        <f>IF((O4-O3&lt;0), "",O4-O3)</f>
        <v>0</v>
      </c>
      <c r="Q3" s="17"/>
      <c r="R3" s="9">
        <f>IF((Q4-Q3&lt;0), "",Q4-Q3)</f>
        <v>0</v>
      </c>
      <c r="S3" s="7"/>
      <c r="T3" s="9">
        <f>IF((S4-S3&lt;0), "",S4-S3)</f>
        <v>0</v>
      </c>
      <c r="U3" s="7"/>
      <c r="V3" s="9">
        <f>IF((U4-U3&lt;0), "",U4-U3)</f>
        <v>0</v>
      </c>
      <c r="W3" s="7"/>
      <c r="X3" s="9">
        <f>IF((W4-W3&lt;0), "",W4-W3)</f>
        <v>0</v>
      </c>
      <c r="Y3" s="7"/>
      <c r="Z3" s="9">
        <f>IF((Y4-Y3&lt;0), "",Y4-Y3)</f>
        <v>0</v>
      </c>
      <c r="AA3" s="7"/>
      <c r="AB3" s="9">
        <f>IF((AA4-AA3&lt;0), "",AA4-AA3)</f>
        <v>0</v>
      </c>
      <c r="AC3" s="7"/>
      <c r="AD3" s="9">
        <f>IF((AC4-AC3&lt;0), "",AC4-AC3)</f>
        <v>0</v>
      </c>
      <c r="AE3" s="17"/>
      <c r="AF3" s="9">
        <f>IF((AE4-AE3&lt;0), "",AE4-AE3)</f>
        <v>0</v>
      </c>
      <c r="AG3" s="17"/>
      <c r="AH3" s="9">
        <f>IF((AG4-AG3&lt;0), "",AG4-AG3)</f>
        <v>0</v>
      </c>
      <c r="AI3" s="17"/>
      <c r="AJ3" s="9">
        <f>IF((AI4-AI3&lt;0), "",AI4-AI3)</f>
        <v>0</v>
      </c>
      <c r="AK3" s="17"/>
      <c r="AL3" s="9">
        <f>IF((AK4-AK3&lt;0), "",AK4-AK3)</f>
        <v>0</v>
      </c>
      <c r="AM3" s="17"/>
      <c r="AN3" s="9">
        <f>IF((AM4-AM3&lt;0), "",AM4-AM3)</f>
        <v>0</v>
      </c>
      <c r="AO3" s="17"/>
      <c r="AP3" s="9">
        <f>IF((AO4-AO3&lt;0), "",AO4-AO3)</f>
        <v>0</v>
      </c>
      <c r="AQ3" s="44"/>
      <c r="AR3" s="17"/>
      <c r="AS3" s="9">
        <v>0</v>
      </c>
      <c r="AT3" s="17"/>
      <c r="AU3" s="9">
        <v>0</v>
      </c>
      <c r="AV3" s="41" t="s">
        <v>59</v>
      </c>
      <c r="AW3" s="40"/>
      <c r="AX3" s="41" t="s">
        <v>59</v>
      </c>
      <c r="AY3" s="29" t="e">
        <f>IF((AX3-AX2&lt;0), "",AX3-AX2)</f>
        <v>#VALUE!</v>
      </c>
      <c r="AZ3" s="17">
        <v>8192135</v>
      </c>
      <c r="BA3" s="9" t="e">
        <f>IF((AZ3-AZ2&lt;0), "",AZ3-AZ2)</f>
        <v>#VALUE!</v>
      </c>
      <c r="BB3" s="17">
        <v>1875767</v>
      </c>
      <c r="BC3" s="9" t="e">
        <f>IF((BB3-BB2&lt;0), "",BB3-BB2)</f>
        <v>#VALUE!</v>
      </c>
      <c r="BD3" s="22"/>
      <c r="BE3" s="22"/>
      <c r="BF3">
        <v>12.24</v>
      </c>
      <c r="BH3">
        <f>193*(BF3/100)</f>
        <v>23.623200000000001</v>
      </c>
    </row>
    <row r="4" spans="1:60" ht="45.75" customHeight="1">
      <c r="A4" s="8">
        <v>44835</v>
      </c>
      <c r="B4" s="42"/>
      <c r="C4" s="17"/>
      <c r="D4" s="9">
        <f>IF((C4-C3&lt;0), "0",C4-C3)</f>
        <v>0</v>
      </c>
      <c r="E4" s="17"/>
      <c r="F4" s="17"/>
      <c r="G4" s="38">
        <v>13410157</v>
      </c>
      <c r="H4" s="37">
        <f>IF((G5-G4&lt;0), "0",G5-G4)</f>
        <v>3298</v>
      </c>
      <c r="I4" s="39"/>
      <c r="J4" s="40"/>
      <c r="K4" s="17"/>
      <c r="L4" s="40"/>
      <c r="M4" s="17"/>
      <c r="N4" s="9"/>
      <c r="O4" s="17"/>
      <c r="P4" s="9"/>
      <c r="Q4" s="17"/>
      <c r="R4" s="9"/>
      <c r="S4" s="17"/>
      <c r="T4" s="9"/>
      <c r="U4" s="17"/>
      <c r="V4" s="9"/>
      <c r="W4" s="17"/>
      <c r="X4" s="9"/>
      <c r="Y4" s="17"/>
      <c r="Z4" s="9"/>
      <c r="AA4" s="17"/>
      <c r="AB4" s="9"/>
      <c r="AC4" s="17"/>
      <c r="AD4" s="9"/>
      <c r="AE4" s="17"/>
      <c r="AF4" s="9"/>
      <c r="AG4" s="17"/>
      <c r="AH4" s="9"/>
      <c r="AI4" s="17"/>
      <c r="AJ4" s="9"/>
      <c r="AK4" s="17"/>
      <c r="AL4" s="9"/>
      <c r="AM4" s="17"/>
      <c r="AN4" s="9"/>
      <c r="AO4" s="17"/>
      <c r="AP4" s="9"/>
      <c r="AQ4" s="44"/>
      <c r="AR4" s="17"/>
      <c r="AS4" s="9">
        <v>0</v>
      </c>
      <c r="AT4" s="17"/>
      <c r="AU4" s="9">
        <v>0</v>
      </c>
      <c r="AV4" s="17">
        <v>96318</v>
      </c>
      <c r="AW4" s="40"/>
      <c r="AX4" s="17">
        <v>1346</v>
      </c>
      <c r="AY4" s="9" t="e">
        <f>IF((AX4-AX3&lt;0), "",AX4-AX3)</f>
        <v>#VALUE!</v>
      </c>
      <c r="AZ4" s="17">
        <v>8193627</v>
      </c>
      <c r="BA4" s="9">
        <f>IF((AZ4-AZ3&lt;0), "",AZ4-AZ3)</f>
        <v>1492</v>
      </c>
      <c r="BB4" s="17">
        <v>1876914</v>
      </c>
      <c r="BC4" s="9">
        <f>IF((BB4-BB3&lt;0), "",BB4-BB3)</f>
        <v>1147</v>
      </c>
      <c r="BD4" s="22">
        <v>149</v>
      </c>
      <c r="BE4" s="22">
        <v>230</v>
      </c>
      <c r="BF4">
        <v>20.92</v>
      </c>
      <c r="BH4">
        <f t="shared" ref="BH4:BH33" si="0">193*(BF4/100)</f>
        <v>40.375600000000006</v>
      </c>
    </row>
    <row r="5" spans="1:60" ht="45" customHeight="1">
      <c r="A5" s="8">
        <v>44836</v>
      </c>
      <c r="B5" s="42"/>
      <c r="C5" s="17"/>
      <c r="D5" s="9">
        <f>IF((C5-C4&lt;0), "0",C5-C4)</f>
        <v>0</v>
      </c>
      <c r="E5" s="17"/>
      <c r="F5" s="9">
        <f>IF((E5-E4&lt;0), "0",E5-E4)</f>
        <v>0</v>
      </c>
      <c r="G5" s="17">
        <v>13413455</v>
      </c>
      <c r="I5" s="17"/>
      <c r="J5" s="9">
        <f>IF((I5-I4&lt;0), "0",I5-I4)</f>
        <v>0</v>
      </c>
      <c r="K5" s="17"/>
      <c r="L5" s="9">
        <f>IF((K5-K4&lt;0), "0",K5-K4)</f>
        <v>0</v>
      </c>
      <c r="M5" s="17"/>
      <c r="N5" s="9">
        <f>IF((M5-M4&lt;0), "0",M5-M4)</f>
        <v>0</v>
      </c>
      <c r="O5" s="17"/>
      <c r="P5" s="9">
        <f>IF((O5-O4&lt;0), "0",O5-O4)</f>
        <v>0</v>
      </c>
      <c r="Q5" s="17"/>
      <c r="R5" s="9">
        <f>IF((Q5-Q4&lt;0), "0",Q5-Q4)</f>
        <v>0</v>
      </c>
      <c r="S5" s="17"/>
      <c r="T5" s="9">
        <f>IF((S5-S4&lt;0), "0",S5-S4)</f>
        <v>0</v>
      </c>
      <c r="U5" s="17"/>
      <c r="V5" s="9">
        <f t="shared" ref="V5:AP15" si="1">IF((U5-U4&lt;0), "",U5-U4)</f>
        <v>0</v>
      </c>
      <c r="W5" s="17"/>
      <c r="X5" s="9">
        <f t="shared" si="1"/>
        <v>0</v>
      </c>
      <c r="Y5" s="17"/>
      <c r="Z5" s="9">
        <f t="shared" si="1"/>
        <v>0</v>
      </c>
      <c r="AA5" s="17"/>
      <c r="AB5" s="9">
        <f t="shared" si="1"/>
        <v>0</v>
      </c>
      <c r="AC5" s="17"/>
      <c r="AD5" s="9">
        <f t="shared" si="1"/>
        <v>0</v>
      </c>
      <c r="AE5" s="17"/>
      <c r="AF5" s="9">
        <f t="shared" si="1"/>
        <v>0</v>
      </c>
      <c r="AG5" s="17"/>
      <c r="AH5" s="9">
        <f t="shared" si="1"/>
        <v>0</v>
      </c>
      <c r="AI5" s="17"/>
      <c r="AJ5" s="9">
        <f t="shared" si="1"/>
        <v>0</v>
      </c>
      <c r="AK5" s="17"/>
      <c r="AL5" s="9">
        <f t="shared" si="1"/>
        <v>0</v>
      </c>
      <c r="AM5" s="17"/>
      <c r="AN5" s="9">
        <f t="shared" si="1"/>
        <v>0</v>
      </c>
      <c r="AO5" s="17"/>
      <c r="AP5" s="9">
        <f t="shared" si="1"/>
        <v>0</v>
      </c>
      <c r="AQ5" s="45"/>
      <c r="AR5" s="17"/>
      <c r="AS5" s="9">
        <v>0</v>
      </c>
      <c r="AT5" s="17"/>
      <c r="AU5" s="9">
        <v>0</v>
      </c>
      <c r="AV5" s="17">
        <v>96332</v>
      </c>
      <c r="AW5" s="9">
        <f t="shared" ref="AW5:AW34" si="2">IF((AV5-AV4&lt;0), "",AV5-AV4)</f>
        <v>14</v>
      </c>
      <c r="AX5" s="17">
        <v>1348</v>
      </c>
      <c r="AY5" s="9">
        <f t="shared" ref="AY5:AY34" si="3">IF((AX5-AX4&lt;0), "",AX5-AX4)</f>
        <v>2</v>
      </c>
      <c r="AZ5" s="17">
        <v>8194967</v>
      </c>
      <c r="BA5" s="9">
        <f t="shared" ref="BA5:BA34" si="4">IF((AZ5-AZ4&lt;0), "",AZ5-AZ4)</f>
        <v>1340</v>
      </c>
      <c r="BB5" s="17">
        <v>1877965</v>
      </c>
      <c r="BC5" s="9">
        <f>IF((BB5-BB4&lt;0), "",BB5-BB4)</f>
        <v>1051</v>
      </c>
      <c r="BD5" s="20">
        <v>158</v>
      </c>
      <c r="BE5" s="20">
        <v>243</v>
      </c>
      <c r="BF5">
        <v>18.95</v>
      </c>
      <c r="BH5">
        <f t="shared" si="0"/>
        <v>36.573500000000003</v>
      </c>
    </row>
    <row r="6" spans="1:60" ht="42.75" customHeight="1">
      <c r="A6" s="8">
        <v>44837</v>
      </c>
      <c r="B6" s="42"/>
      <c r="C6" s="17"/>
      <c r="D6" s="9">
        <f t="shared" ref="D6:D34" si="5">IF((C6-C5&lt;0), "0",C6-C5)</f>
        <v>0</v>
      </c>
      <c r="E6" s="17"/>
      <c r="F6" s="9">
        <f t="shared" ref="F6:F34" si="6">IF((E6-E5&lt;0), "0",E6-E5)</f>
        <v>0</v>
      </c>
      <c r="G6" s="17">
        <v>13417603</v>
      </c>
      <c r="H6" s="9">
        <f t="shared" ref="H6:H34" si="7">IF((G6-G5&lt;0), "0",G6-G5)</f>
        <v>4148</v>
      </c>
      <c r="I6" s="17"/>
      <c r="J6" s="9">
        <f t="shared" ref="J6:L34" si="8">IF((I6-I5&lt;0), "0",I6-I5)</f>
        <v>0</v>
      </c>
      <c r="K6" s="17"/>
      <c r="L6" s="9">
        <f t="shared" si="8"/>
        <v>0</v>
      </c>
      <c r="M6" s="17"/>
      <c r="N6" s="9">
        <f t="shared" ref="N6" si="9">IF((M6-M5&lt;0), "0",M6-M5)</f>
        <v>0</v>
      </c>
      <c r="O6" s="17"/>
      <c r="P6" s="9">
        <f t="shared" ref="P6" si="10">IF((O6-O5&lt;0), "0",O6-O5)</f>
        <v>0</v>
      </c>
      <c r="Q6" s="17"/>
      <c r="R6" s="9">
        <f t="shared" ref="R6" si="11">IF((Q6-Q5&lt;0), "0",Q6-Q5)</f>
        <v>0</v>
      </c>
      <c r="S6" s="17"/>
      <c r="T6" s="9">
        <f t="shared" ref="T6" si="12">IF((S6-S5&lt;0), "0",S6-S5)</f>
        <v>0</v>
      </c>
      <c r="U6" s="17"/>
      <c r="V6" s="9">
        <f t="shared" si="1"/>
        <v>0</v>
      </c>
      <c r="W6" s="17"/>
      <c r="X6" s="9">
        <f t="shared" si="1"/>
        <v>0</v>
      </c>
      <c r="Y6" s="17"/>
      <c r="Z6" s="9">
        <f t="shared" si="1"/>
        <v>0</v>
      </c>
      <c r="AA6" s="17"/>
      <c r="AB6" s="9">
        <f t="shared" si="1"/>
        <v>0</v>
      </c>
      <c r="AC6" s="17"/>
      <c r="AD6" s="9">
        <f t="shared" si="1"/>
        <v>0</v>
      </c>
      <c r="AE6" s="17"/>
      <c r="AF6" s="9">
        <f t="shared" si="1"/>
        <v>0</v>
      </c>
      <c r="AG6" s="17"/>
      <c r="AH6" s="9">
        <f t="shared" si="1"/>
        <v>0</v>
      </c>
      <c r="AI6" s="17"/>
      <c r="AJ6" s="9">
        <f t="shared" si="1"/>
        <v>0</v>
      </c>
      <c r="AK6" s="17"/>
      <c r="AL6" s="9">
        <f t="shared" si="1"/>
        <v>0</v>
      </c>
      <c r="AM6" s="17"/>
      <c r="AN6" s="9">
        <f t="shared" si="1"/>
        <v>0</v>
      </c>
      <c r="AO6" s="17"/>
      <c r="AP6" s="9">
        <f t="shared" si="1"/>
        <v>0</v>
      </c>
      <c r="AQ6" s="44"/>
      <c r="AR6" s="17"/>
      <c r="AS6" s="9">
        <v>0</v>
      </c>
      <c r="AT6" s="17"/>
      <c r="AU6" s="9">
        <v>0</v>
      </c>
      <c r="AV6" s="17">
        <v>96353</v>
      </c>
      <c r="AW6" s="9">
        <f t="shared" si="2"/>
        <v>21</v>
      </c>
      <c r="AX6" s="17">
        <v>1351</v>
      </c>
      <c r="AY6" s="9">
        <f t="shared" si="3"/>
        <v>3</v>
      </c>
      <c r="AZ6" s="17">
        <v>8196740</v>
      </c>
      <c r="BA6" s="9">
        <f t="shared" si="4"/>
        <v>1773</v>
      </c>
      <c r="BB6" s="17">
        <v>1879276</v>
      </c>
      <c r="BC6" s="9">
        <f t="shared" ref="BC5:BC34" si="13">IF((BB6-BB5&lt;0), "",BB6-BB5)</f>
        <v>1311</v>
      </c>
      <c r="BD6" s="20">
        <v>165</v>
      </c>
      <c r="BE6" s="20">
        <v>233</v>
      </c>
      <c r="BF6">
        <v>22.37</v>
      </c>
      <c r="BH6">
        <f t="shared" si="0"/>
        <v>43.174100000000003</v>
      </c>
    </row>
    <row r="7" spans="1:60" ht="45" customHeight="1">
      <c r="A7" s="8">
        <v>44838</v>
      </c>
      <c r="B7" s="42"/>
      <c r="C7" s="17"/>
      <c r="D7" s="9">
        <f t="shared" si="5"/>
        <v>0</v>
      </c>
      <c r="E7" s="17"/>
      <c r="F7" s="9">
        <f t="shared" si="6"/>
        <v>0</v>
      </c>
      <c r="G7" s="17">
        <v>13421608</v>
      </c>
      <c r="H7" s="9">
        <f t="shared" si="7"/>
        <v>4005</v>
      </c>
      <c r="I7" s="17"/>
      <c r="J7" s="9">
        <f t="shared" si="8"/>
        <v>0</v>
      </c>
      <c r="K7" s="17"/>
      <c r="L7" s="9">
        <f t="shared" si="8"/>
        <v>0</v>
      </c>
      <c r="M7" s="17"/>
      <c r="N7" s="9">
        <f t="shared" ref="N7" si="14">IF((M7-M6&lt;0), "0",M7-M6)</f>
        <v>0</v>
      </c>
      <c r="O7" s="17"/>
      <c r="P7" s="9">
        <f t="shared" ref="P7" si="15">IF((O7-O6&lt;0), "0",O7-O6)</f>
        <v>0</v>
      </c>
      <c r="Q7" s="17"/>
      <c r="R7" s="9">
        <f t="shared" ref="R7" si="16">IF((Q7-Q6&lt;0), "0",Q7-Q6)</f>
        <v>0</v>
      </c>
      <c r="S7" s="17"/>
      <c r="T7" s="9">
        <f t="shared" ref="T7" si="17">IF((S7-S6&lt;0), "0",S7-S6)</f>
        <v>0</v>
      </c>
      <c r="U7" s="17"/>
      <c r="V7" s="9">
        <f t="shared" si="1"/>
        <v>0</v>
      </c>
      <c r="W7" s="17"/>
      <c r="X7" s="9">
        <f t="shared" si="1"/>
        <v>0</v>
      </c>
      <c r="Y7" s="17"/>
      <c r="Z7" s="9">
        <f t="shared" si="1"/>
        <v>0</v>
      </c>
      <c r="AA7" s="17"/>
      <c r="AB7" s="9">
        <f t="shared" si="1"/>
        <v>0</v>
      </c>
      <c r="AC7" s="17"/>
      <c r="AD7" s="9">
        <f t="shared" si="1"/>
        <v>0</v>
      </c>
      <c r="AE7" s="17"/>
      <c r="AF7" s="9">
        <f t="shared" si="1"/>
        <v>0</v>
      </c>
      <c r="AG7" s="17"/>
      <c r="AH7" s="9">
        <f t="shared" si="1"/>
        <v>0</v>
      </c>
      <c r="AI7" s="17"/>
      <c r="AJ7" s="9">
        <f t="shared" si="1"/>
        <v>0</v>
      </c>
      <c r="AK7" s="17"/>
      <c r="AL7" s="9">
        <f t="shared" si="1"/>
        <v>0</v>
      </c>
      <c r="AM7" s="17"/>
      <c r="AN7" s="9">
        <f t="shared" si="1"/>
        <v>0</v>
      </c>
      <c r="AO7" s="17"/>
      <c r="AP7" s="9">
        <f t="shared" si="1"/>
        <v>0</v>
      </c>
      <c r="AQ7" s="44"/>
      <c r="AR7" s="17"/>
      <c r="AS7" s="9">
        <v>0</v>
      </c>
      <c r="AT7" s="17"/>
      <c r="AU7" s="9">
        <v>0</v>
      </c>
      <c r="AV7" s="17">
        <v>96371</v>
      </c>
      <c r="AW7" s="9">
        <f t="shared" si="2"/>
        <v>18</v>
      </c>
      <c r="AX7" s="17">
        <v>1353</v>
      </c>
      <c r="AY7" s="9">
        <f t="shared" si="3"/>
        <v>2</v>
      </c>
      <c r="AZ7" s="17">
        <v>8198407</v>
      </c>
      <c r="BA7" s="9">
        <f t="shared" si="4"/>
        <v>1667</v>
      </c>
      <c r="BB7" s="17">
        <v>1880569</v>
      </c>
      <c r="BC7" s="9">
        <f t="shared" si="13"/>
        <v>1293</v>
      </c>
      <c r="BD7" s="20">
        <v>180</v>
      </c>
      <c r="BE7" s="20">
        <v>254</v>
      </c>
      <c r="BF7">
        <v>27.63</v>
      </c>
      <c r="BH7">
        <f t="shared" si="0"/>
        <v>53.325899999999997</v>
      </c>
    </row>
    <row r="8" spans="1:60" ht="45" customHeight="1">
      <c r="A8" s="8">
        <v>44839</v>
      </c>
      <c r="B8" s="42"/>
      <c r="C8" s="17"/>
      <c r="D8" s="9">
        <f t="shared" si="5"/>
        <v>0</v>
      </c>
      <c r="E8" s="17"/>
      <c r="F8" s="9">
        <f t="shared" si="6"/>
        <v>0</v>
      </c>
      <c r="G8" s="17">
        <v>13425254</v>
      </c>
      <c r="H8" s="9">
        <f t="shared" si="7"/>
        <v>3646</v>
      </c>
      <c r="I8" s="17"/>
      <c r="J8" s="9">
        <f t="shared" si="8"/>
        <v>0</v>
      </c>
      <c r="K8" s="17"/>
      <c r="L8" s="9">
        <f t="shared" si="8"/>
        <v>0</v>
      </c>
      <c r="M8" s="17"/>
      <c r="N8" s="9">
        <f t="shared" ref="N8" si="18">IF((M8-M7&lt;0), "0",M8-M7)</f>
        <v>0</v>
      </c>
      <c r="O8" s="17"/>
      <c r="P8" s="9">
        <f t="shared" ref="P8" si="19">IF((O8-O7&lt;0), "0",O8-O7)</f>
        <v>0</v>
      </c>
      <c r="Q8" s="17"/>
      <c r="R8" s="9">
        <f t="shared" ref="R8" si="20">IF((Q8-Q7&lt;0), "0",Q8-Q7)</f>
        <v>0</v>
      </c>
      <c r="S8" s="17"/>
      <c r="T8" s="9">
        <f t="shared" ref="T8" si="21">IF((S8-S7&lt;0), "0",S8-S7)</f>
        <v>0</v>
      </c>
      <c r="U8" s="17"/>
      <c r="V8" s="9">
        <f t="shared" si="1"/>
        <v>0</v>
      </c>
      <c r="W8" s="17"/>
      <c r="X8" s="9">
        <f t="shared" si="1"/>
        <v>0</v>
      </c>
      <c r="Y8" s="17"/>
      <c r="Z8" s="9">
        <f t="shared" si="1"/>
        <v>0</v>
      </c>
      <c r="AA8" s="17"/>
      <c r="AB8" s="9">
        <f t="shared" si="1"/>
        <v>0</v>
      </c>
      <c r="AC8" s="17"/>
      <c r="AD8" s="9">
        <f t="shared" si="1"/>
        <v>0</v>
      </c>
      <c r="AE8" s="17"/>
      <c r="AF8" s="9">
        <f t="shared" si="1"/>
        <v>0</v>
      </c>
      <c r="AG8" s="17"/>
      <c r="AH8" s="9">
        <f t="shared" si="1"/>
        <v>0</v>
      </c>
      <c r="AI8" s="17"/>
      <c r="AJ8" s="9">
        <f t="shared" si="1"/>
        <v>0</v>
      </c>
      <c r="AK8" s="17"/>
      <c r="AL8" s="9">
        <f t="shared" si="1"/>
        <v>0</v>
      </c>
      <c r="AM8" s="17"/>
      <c r="AN8" s="9">
        <f t="shared" si="1"/>
        <v>0</v>
      </c>
      <c r="AO8" s="17"/>
      <c r="AP8" s="9">
        <f t="shared" si="1"/>
        <v>0</v>
      </c>
      <c r="AQ8" s="44"/>
      <c r="AR8" s="17"/>
      <c r="AS8" s="9">
        <v>0</v>
      </c>
      <c r="AT8" s="17"/>
      <c r="AU8" s="9">
        <v>0</v>
      </c>
      <c r="AV8" s="17">
        <v>96388</v>
      </c>
      <c r="AW8" s="9">
        <f t="shared" si="2"/>
        <v>17</v>
      </c>
      <c r="AX8" s="17">
        <v>1354</v>
      </c>
      <c r="AY8" s="9">
        <f t="shared" si="3"/>
        <v>1</v>
      </c>
      <c r="AZ8" s="17">
        <v>8200061</v>
      </c>
      <c r="BA8" s="9">
        <f t="shared" si="4"/>
        <v>1654</v>
      </c>
      <c r="BB8" s="17">
        <v>1881756</v>
      </c>
      <c r="BC8" s="9">
        <f t="shared" si="13"/>
        <v>1187</v>
      </c>
      <c r="BD8" s="20">
        <v>156</v>
      </c>
      <c r="BE8" s="20">
        <v>226</v>
      </c>
      <c r="BF8">
        <v>26.97</v>
      </c>
      <c r="BH8">
        <f t="shared" si="0"/>
        <v>52.052099999999996</v>
      </c>
    </row>
    <row r="9" spans="1:60" ht="45" customHeight="1">
      <c r="A9" s="8">
        <v>44840</v>
      </c>
      <c r="B9" s="42"/>
      <c r="C9" s="17"/>
      <c r="D9" s="9">
        <f t="shared" si="5"/>
        <v>0</v>
      </c>
      <c r="E9" s="17"/>
      <c r="F9" s="9">
        <f t="shared" si="6"/>
        <v>0</v>
      </c>
      <c r="G9" s="17">
        <v>13428974</v>
      </c>
      <c r="H9" s="9">
        <f t="shared" si="7"/>
        <v>3720</v>
      </c>
      <c r="I9" s="17"/>
      <c r="J9" s="9">
        <f t="shared" si="8"/>
        <v>0</v>
      </c>
      <c r="K9" s="17"/>
      <c r="L9" s="9">
        <f t="shared" si="8"/>
        <v>0</v>
      </c>
      <c r="M9" s="17"/>
      <c r="N9" s="9">
        <f t="shared" ref="N9" si="22">IF((M9-M8&lt;0), "0",M9-M8)</f>
        <v>0</v>
      </c>
      <c r="O9" s="17"/>
      <c r="P9" s="9">
        <f t="shared" ref="P9" si="23">IF((O9-O8&lt;0), "0",O9-O8)</f>
        <v>0</v>
      </c>
      <c r="Q9" s="17"/>
      <c r="R9" s="9">
        <f t="shared" ref="R9" si="24">IF((Q9-Q8&lt;0), "0",Q9-Q8)</f>
        <v>0</v>
      </c>
      <c r="S9" s="17"/>
      <c r="T9" s="9">
        <f t="shared" ref="T9" si="25">IF((S9-S8&lt;0), "0",S9-S8)</f>
        <v>0</v>
      </c>
      <c r="U9" s="17"/>
      <c r="V9" s="9">
        <f t="shared" si="1"/>
        <v>0</v>
      </c>
      <c r="W9" s="17"/>
      <c r="X9" s="9">
        <f t="shared" si="1"/>
        <v>0</v>
      </c>
      <c r="Y9" s="17"/>
      <c r="Z9" s="9">
        <f t="shared" si="1"/>
        <v>0</v>
      </c>
      <c r="AA9" s="17"/>
      <c r="AB9" s="9">
        <f t="shared" si="1"/>
        <v>0</v>
      </c>
      <c r="AC9" s="17"/>
      <c r="AD9" s="9">
        <f t="shared" si="1"/>
        <v>0</v>
      </c>
      <c r="AE9" s="17"/>
      <c r="AF9" s="9">
        <f t="shared" si="1"/>
        <v>0</v>
      </c>
      <c r="AG9" s="17"/>
      <c r="AH9" s="9">
        <f t="shared" si="1"/>
        <v>0</v>
      </c>
      <c r="AI9" s="17"/>
      <c r="AJ9" s="9">
        <f t="shared" si="1"/>
        <v>0</v>
      </c>
      <c r="AK9" s="17"/>
      <c r="AL9" s="9">
        <f t="shared" si="1"/>
        <v>0</v>
      </c>
      <c r="AM9" s="17"/>
      <c r="AN9" s="9">
        <f t="shared" si="1"/>
        <v>0</v>
      </c>
      <c r="AO9" s="17"/>
      <c r="AP9" s="9">
        <f t="shared" si="1"/>
        <v>0</v>
      </c>
      <c r="AQ9" s="44"/>
      <c r="AR9" s="17"/>
      <c r="AS9" s="9">
        <v>0</v>
      </c>
      <c r="AT9" s="17"/>
      <c r="AU9" s="9">
        <v>0</v>
      </c>
      <c r="AV9" s="17">
        <v>96402</v>
      </c>
      <c r="AW9" s="9">
        <f t="shared" si="2"/>
        <v>14</v>
      </c>
      <c r="AX9" s="17">
        <v>1357</v>
      </c>
      <c r="AY9" s="9">
        <f t="shared" si="3"/>
        <v>3</v>
      </c>
      <c r="AZ9" s="17">
        <v>8201335</v>
      </c>
      <c r="BA9" s="9">
        <f t="shared" si="4"/>
        <v>1274</v>
      </c>
      <c r="BB9" s="17">
        <v>1882998</v>
      </c>
      <c r="BC9" s="9">
        <f t="shared" si="13"/>
        <v>1242</v>
      </c>
      <c r="BD9" s="20">
        <v>157</v>
      </c>
      <c r="BE9" s="20">
        <v>241</v>
      </c>
      <c r="BF9">
        <v>22.52</v>
      </c>
      <c r="BH9">
        <f t="shared" si="0"/>
        <v>43.4636</v>
      </c>
    </row>
    <row r="10" spans="1:60" ht="45" customHeight="1">
      <c r="A10" s="8">
        <v>44841</v>
      </c>
      <c r="B10" s="42"/>
      <c r="C10" s="17"/>
      <c r="D10" s="9">
        <f t="shared" si="5"/>
        <v>0</v>
      </c>
      <c r="E10" s="17"/>
      <c r="F10" s="9">
        <f t="shared" si="6"/>
        <v>0</v>
      </c>
      <c r="G10" s="20">
        <v>13432783</v>
      </c>
      <c r="H10" s="9">
        <f t="shared" si="7"/>
        <v>3809</v>
      </c>
      <c r="I10" s="17"/>
      <c r="J10" s="9">
        <f t="shared" si="8"/>
        <v>0</v>
      </c>
      <c r="K10" s="17"/>
      <c r="L10" s="9">
        <f t="shared" si="8"/>
        <v>0</v>
      </c>
      <c r="M10" s="17"/>
      <c r="N10" s="9">
        <f t="shared" ref="N10" si="26">IF((M10-M9&lt;0), "0",M10-M9)</f>
        <v>0</v>
      </c>
      <c r="O10" s="17"/>
      <c r="P10" s="9">
        <f t="shared" ref="P10" si="27">IF((O10-O9&lt;0), "0",O10-O9)</f>
        <v>0</v>
      </c>
      <c r="Q10" s="17"/>
      <c r="R10" s="9">
        <f t="shared" ref="R10" si="28">IF((Q10-Q9&lt;0), "0",Q10-Q9)</f>
        <v>0</v>
      </c>
      <c r="S10" s="17"/>
      <c r="T10" s="9">
        <f t="shared" ref="T10" si="29">IF((S10-S9&lt;0), "0",S10-S9)</f>
        <v>0</v>
      </c>
      <c r="U10" s="17"/>
      <c r="V10" s="9">
        <f t="shared" si="1"/>
        <v>0</v>
      </c>
      <c r="W10" s="17"/>
      <c r="X10" s="9">
        <f t="shared" si="1"/>
        <v>0</v>
      </c>
      <c r="Y10" s="17"/>
      <c r="Z10" s="9">
        <f t="shared" si="1"/>
        <v>0</v>
      </c>
      <c r="AA10" s="17"/>
      <c r="AB10" s="9">
        <f t="shared" si="1"/>
        <v>0</v>
      </c>
      <c r="AC10" s="17"/>
      <c r="AD10" s="9">
        <f t="shared" si="1"/>
        <v>0</v>
      </c>
      <c r="AE10" s="17"/>
      <c r="AF10" s="9">
        <f t="shared" si="1"/>
        <v>0</v>
      </c>
      <c r="AG10" s="17"/>
      <c r="AH10" s="9">
        <f t="shared" si="1"/>
        <v>0</v>
      </c>
      <c r="AI10" s="17"/>
      <c r="AJ10" s="9">
        <f t="shared" si="1"/>
        <v>0</v>
      </c>
      <c r="AK10" s="17"/>
      <c r="AL10" s="9">
        <f t="shared" si="1"/>
        <v>0</v>
      </c>
      <c r="AM10" s="17"/>
      <c r="AN10" s="9">
        <f t="shared" si="1"/>
        <v>0</v>
      </c>
      <c r="AO10" s="17"/>
      <c r="AP10" s="9">
        <f t="shared" si="1"/>
        <v>0</v>
      </c>
      <c r="AQ10" s="44"/>
      <c r="AR10" s="17"/>
      <c r="AS10" s="9">
        <v>0</v>
      </c>
      <c r="AT10" s="17"/>
      <c r="AU10" s="9">
        <v>0</v>
      </c>
      <c r="AV10" s="17">
        <v>96418</v>
      </c>
      <c r="AW10" s="9">
        <f t="shared" si="2"/>
        <v>16</v>
      </c>
      <c r="AX10" s="17">
        <v>1359</v>
      </c>
      <c r="AY10" s="9">
        <f t="shared" si="3"/>
        <v>2</v>
      </c>
      <c r="AZ10" s="20">
        <v>8203376</v>
      </c>
      <c r="BA10" s="9">
        <f t="shared" si="4"/>
        <v>2041</v>
      </c>
      <c r="BB10" s="20">
        <v>1884175</v>
      </c>
      <c r="BC10" s="9">
        <f t="shared" si="13"/>
        <v>1177</v>
      </c>
      <c r="BD10" s="20">
        <v>162</v>
      </c>
      <c r="BE10" s="20">
        <v>262</v>
      </c>
      <c r="BF10">
        <v>21.19</v>
      </c>
      <c r="BH10">
        <f t="shared" si="0"/>
        <v>40.896700000000003</v>
      </c>
    </row>
    <row r="11" spans="1:60" ht="45" customHeight="1">
      <c r="A11" s="8">
        <v>44842</v>
      </c>
      <c r="B11" s="42"/>
      <c r="C11" s="17"/>
      <c r="D11" s="9">
        <f t="shared" si="5"/>
        <v>0</v>
      </c>
      <c r="E11" s="17"/>
      <c r="F11" s="9">
        <f t="shared" si="6"/>
        <v>0</v>
      </c>
      <c r="G11" s="17">
        <v>13436316</v>
      </c>
      <c r="H11" s="9">
        <f t="shared" si="7"/>
        <v>3533</v>
      </c>
      <c r="I11" s="17"/>
      <c r="J11" s="9">
        <f t="shared" si="8"/>
        <v>0</v>
      </c>
      <c r="K11" s="17"/>
      <c r="L11" s="9">
        <f t="shared" si="8"/>
        <v>0</v>
      </c>
      <c r="M11" s="17"/>
      <c r="N11" s="9">
        <f t="shared" ref="N11" si="30">IF((M11-M10&lt;0), "0",M11-M10)</f>
        <v>0</v>
      </c>
      <c r="O11" s="17"/>
      <c r="P11" s="9">
        <f t="shared" ref="P11" si="31">IF((O11-O10&lt;0), "0",O11-O10)</f>
        <v>0</v>
      </c>
      <c r="Q11" s="17"/>
      <c r="R11" s="9">
        <f t="shared" ref="R11" si="32">IF((Q11-Q10&lt;0), "0",Q11-Q10)</f>
        <v>0</v>
      </c>
      <c r="S11" s="17"/>
      <c r="T11" s="9">
        <f t="shared" ref="T11" si="33">IF((S11-S10&lt;0), "0",S11-S10)</f>
        <v>0</v>
      </c>
      <c r="U11" s="17"/>
      <c r="V11" s="9">
        <f t="shared" si="1"/>
        <v>0</v>
      </c>
      <c r="W11" s="17"/>
      <c r="X11" s="9">
        <f t="shared" si="1"/>
        <v>0</v>
      </c>
      <c r="Y11" s="17"/>
      <c r="Z11" s="9">
        <f t="shared" si="1"/>
        <v>0</v>
      </c>
      <c r="AA11" s="17"/>
      <c r="AB11" s="9">
        <f t="shared" si="1"/>
        <v>0</v>
      </c>
      <c r="AC11" s="17"/>
      <c r="AD11" s="9">
        <f t="shared" si="1"/>
        <v>0</v>
      </c>
      <c r="AE11" s="17"/>
      <c r="AF11" s="9">
        <f t="shared" si="1"/>
        <v>0</v>
      </c>
      <c r="AG11" s="17"/>
      <c r="AH11" s="9">
        <f t="shared" si="1"/>
        <v>0</v>
      </c>
      <c r="AI11" s="17"/>
      <c r="AJ11" s="9">
        <f t="shared" si="1"/>
        <v>0</v>
      </c>
      <c r="AK11" s="17"/>
      <c r="AL11" s="9">
        <f t="shared" si="1"/>
        <v>0</v>
      </c>
      <c r="AM11" s="17"/>
      <c r="AN11" s="9">
        <f t="shared" si="1"/>
        <v>0</v>
      </c>
      <c r="AO11" s="17"/>
      <c r="AP11" s="9">
        <f t="shared" si="1"/>
        <v>0</v>
      </c>
      <c r="AQ11" s="44"/>
      <c r="AR11" s="17"/>
      <c r="AS11" s="9">
        <v>0</v>
      </c>
      <c r="AT11" s="17"/>
      <c r="AU11" s="9">
        <v>0</v>
      </c>
      <c r="AV11" s="17">
        <v>96436</v>
      </c>
      <c r="AW11" s="9">
        <f t="shared" si="2"/>
        <v>18</v>
      </c>
      <c r="AX11" s="17">
        <v>1361</v>
      </c>
      <c r="AY11" s="9">
        <f t="shared" si="3"/>
        <v>2</v>
      </c>
      <c r="AZ11" s="17">
        <v>8205096</v>
      </c>
      <c r="BA11" s="9">
        <f t="shared" si="4"/>
        <v>1720</v>
      </c>
      <c r="BB11" s="17">
        <v>1885305</v>
      </c>
      <c r="BC11" s="9">
        <f t="shared" si="13"/>
        <v>1130</v>
      </c>
      <c r="BD11" s="20">
        <v>179</v>
      </c>
      <c r="BE11" s="20">
        <v>307</v>
      </c>
      <c r="BF11">
        <v>22</v>
      </c>
      <c r="BH11">
        <f t="shared" si="0"/>
        <v>42.46</v>
      </c>
    </row>
    <row r="12" spans="1:60" ht="45" customHeight="1">
      <c r="A12" s="8">
        <v>44843</v>
      </c>
      <c r="B12" s="42"/>
      <c r="C12" s="17"/>
      <c r="D12" s="9">
        <f t="shared" si="5"/>
        <v>0</v>
      </c>
      <c r="E12" s="17"/>
      <c r="F12" s="9">
        <f t="shared" si="6"/>
        <v>0</v>
      </c>
      <c r="G12" s="17">
        <v>13440063</v>
      </c>
      <c r="H12" s="9">
        <f t="shared" si="7"/>
        <v>3747</v>
      </c>
      <c r="I12" s="17"/>
      <c r="J12" s="9">
        <f t="shared" si="8"/>
        <v>0</v>
      </c>
      <c r="K12" s="17"/>
      <c r="L12" s="9">
        <f t="shared" si="8"/>
        <v>0</v>
      </c>
      <c r="M12" s="17"/>
      <c r="N12" s="9">
        <f t="shared" ref="N12" si="34">IF((M12-M11&lt;0), "0",M12-M11)</f>
        <v>0</v>
      </c>
      <c r="O12" s="17"/>
      <c r="P12" s="9">
        <f t="shared" ref="P12" si="35">IF((O12-O11&lt;0), "0",O12-O11)</f>
        <v>0</v>
      </c>
      <c r="Q12" s="17"/>
      <c r="R12" s="9">
        <f t="shared" ref="R12" si="36">IF((Q12-Q11&lt;0), "0",Q12-Q11)</f>
        <v>0</v>
      </c>
      <c r="S12" s="17"/>
      <c r="T12" s="9">
        <f t="shared" ref="T12" si="37">IF((S12-S11&lt;0), "0",S12-S11)</f>
        <v>0</v>
      </c>
      <c r="U12" s="17"/>
      <c r="V12" s="9">
        <f t="shared" si="1"/>
        <v>0</v>
      </c>
      <c r="W12" s="17"/>
      <c r="X12" s="9">
        <f t="shared" si="1"/>
        <v>0</v>
      </c>
      <c r="Y12" s="17"/>
      <c r="Z12" s="9">
        <f t="shared" si="1"/>
        <v>0</v>
      </c>
      <c r="AA12" s="17"/>
      <c r="AB12" s="9">
        <f t="shared" si="1"/>
        <v>0</v>
      </c>
      <c r="AC12" s="17"/>
      <c r="AD12" s="9">
        <f t="shared" si="1"/>
        <v>0</v>
      </c>
      <c r="AE12" s="7"/>
      <c r="AF12" s="9">
        <f t="shared" si="1"/>
        <v>0</v>
      </c>
      <c r="AG12" s="7"/>
      <c r="AH12" s="9">
        <f t="shared" si="1"/>
        <v>0</v>
      </c>
      <c r="AI12" s="17"/>
      <c r="AJ12" s="9">
        <f t="shared" si="1"/>
        <v>0</v>
      </c>
      <c r="AK12" s="17"/>
      <c r="AL12" s="9">
        <f t="shared" si="1"/>
        <v>0</v>
      </c>
      <c r="AM12" s="17"/>
      <c r="AN12" s="9">
        <f t="shared" si="1"/>
        <v>0</v>
      </c>
      <c r="AO12" s="17"/>
      <c r="AP12" s="9">
        <f t="shared" si="1"/>
        <v>0</v>
      </c>
      <c r="AQ12" s="44"/>
      <c r="AR12" s="17"/>
      <c r="AS12" s="9"/>
      <c r="AT12" s="17"/>
      <c r="AU12" s="9"/>
      <c r="AV12" s="17">
        <v>96454</v>
      </c>
      <c r="AW12" s="9">
        <f t="shared" si="2"/>
        <v>18</v>
      </c>
      <c r="AX12" s="17">
        <v>1363</v>
      </c>
      <c r="AY12" s="9">
        <f t="shared" si="3"/>
        <v>2</v>
      </c>
      <c r="AZ12" s="17">
        <v>8206702</v>
      </c>
      <c r="BA12" s="9">
        <f t="shared" si="4"/>
        <v>1606</v>
      </c>
      <c r="BB12" s="17">
        <v>1886510</v>
      </c>
      <c r="BC12" s="9">
        <f t="shared" si="13"/>
        <v>1205</v>
      </c>
      <c r="BD12" s="20">
        <v>169</v>
      </c>
      <c r="BE12" s="20">
        <v>294</v>
      </c>
      <c r="BF12">
        <v>26</v>
      </c>
      <c r="BH12">
        <f t="shared" si="0"/>
        <v>50.18</v>
      </c>
    </row>
    <row r="13" spans="1:60" ht="45" customHeight="1">
      <c r="A13" s="8">
        <v>44844</v>
      </c>
      <c r="B13" s="42"/>
      <c r="C13" s="17"/>
      <c r="D13" s="9">
        <f t="shared" si="5"/>
        <v>0</v>
      </c>
      <c r="E13" s="17"/>
      <c r="F13" s="9">
        <f t="shared" si="6"/>
        <v>0</v>
      </c>
      <c r="G13" s="17">
        <v>13443922</v>
      </c>
      <c r="H13" s="9">
        <f t="shared" si="7"/>
        <v>3859</v>
      </c>
      <c r="I13" s="17"/>
      <c r="J13" s="9">
        <f t="shared" si="8"/>
        <v>0</v>
      </c>
      <c r="K13" s="17"/>
      <c r="L13" s="9">
        <f t="shared" si="8"/>
        <v>0</v>
      </c>
      <c r="M13" s="17"/>
      <c r="N13" s="9">
        <f t="shared" ref="N13" si="38">IF((M13-M12&lt;0), "0",M13-M12)</f>
        <v>0</v>
      </c>
      <c r="O13" s="17"/>
      <c r="P13" s="9">
        <f t="shared" ref="P13" si="39">IF((O13-O12&lt;0), "0",O13-O12)</f>
        <v>0</v>
      </c>
      <c r="Q13" s="17"/>
      <c r="R13" s="9">
        <f t="shared" ref="R13" si="40">IF((Q13-Q12&lt;0), "0",Q13-Q12)</f>
        <v>0</v>
      </c>
      <c r="S13" s="17"/>
      <c r="T13" s="9">
        <f t="shared" ref="T13" si="41">IF((S13-S12&lt;0), "0",S13-S12)</f>
        <v>0</v>
      </c>
      <c r="U13" s="17"/>
      <c r="V13" s="9">
        <f t="shared" si="1"/>
        <v>0</v>
      </c>
      <c r="W13" s="17"/>
      <c r="X13" s="9">
        <f t="shared" si="1"/>
        <v>0</v>
      </c>
      <c r="Y13" s="17"/>
      <c r="Z13" s="9">
        <f t="shared" si="1"/>
        <v>0</v>
      </c>
      <c r="AA13" s="17"/>
      <c r="AB13" s="9">
        <f t="shared" si="1"/>
        <v>0</v>
      </c>
      <c r="AC13" s="17"/>
      <c r="AD13" s="9">
        <f t="shared" si="1"/>
        <v>0</v>
      </c>
      <c r="AE13" s="17"/>
      <c r="AF13" s="9">
        <f t="shared" si="1"/>
        <v>0</v>
      </c>
      <c r="AG13" s="17"/>
      <c r="AH13" s="9">
        <f t="shared" si="1"/>
        <v>0</v>
      </c>
      <c r="AI13" s="17"/>
      <c r="AJ13" s="9">
        <f t="shared" si="1"/>
        <v>0</v>
      </c>
      <c r="AK13" s="17"/>
      <c r="AL13" s="9">
        <f t="shared" si="1"/>
        <v>0</v>
      </c>
      <c r="AM13" s="17"/>
      <c r="AN13" s="9">
        <f t="shared" si="1"/>
        <v>0</v>
      </c>
      <c r="AO13" s="17"/>
      <c r="AP13" s="9">
        <f t="shared" si="1"/>
        <v>0</v>
      </c>
      <c r="AQ13" s="44"/>
      <c r="AR13" s="17"/>
      <c r="AS13" s="9">
        <f>AR13-AR3</f>
        <v>0</v>
      </c>
      <c r="AT13" s="17"/>
      <c r="AU13" s="9">
        <f>AT13-AT3</f>
        <v>0</v>
      </c>
      <c r="AV13" s="17">
        <v>96469</v>
      </c>
      <c r="AW13" s="9">
        <f t="shared" si="2"/>
        <v>15</v>
      </c>
      <c r="AX13" s="17">
        <v>1365</v>
      </c>
      <c r="AY13" s="9">
        <f t="shared" si="3"/>
        <v>2</v>
      </c>
      <c r="AZ13" s="17">
        <v>8208367</v>
      </c>
      <c r="BA13" s="9">
        <f t="shared" si="4"/>
        <v>1665</v>
      </c>
      <c r="BB13" s="17">
        <v>1887736</v>
      </c>
      <c r="BC13" s="9">
        <f t="shared" si="13"/>
        <v>1226</v>
      </c>
      <c r="BD13" s="20">
        <v>157</v>
      </c>
      <c r="BE13" s="20">
        <v>252</v>
      </c>
      <c r="BF13">
        <v>27.81</v>
      </c>
      <c r="BH13">
        <f t="shared" si="0"/>
        <v>53.673300000000005</v>
      </c>
    </row>
    <row r="14" spans="1:60" ht="45" customHeight="1">
      <c r="A14" s="8">
        <v>44845</v>
      </c>
      <c r="B14" s="42"/>
      <c r="C14" s="17"/>
      <c r="D14" s="9">
        <f t="shared" si="5"/>
        <v>0</v>
      </c>
      <c r="E14" s="17"/>
      <c r="F14" s="9">
        <f t="shared" si="6"/>
        <v>0</v>
      </c>
      <c r="G14" s="17">
        <v>13448018</v>
      </c>
      <c r="H14" s="9">
        <f t="shared" si="7"/>
        <v>4096</v>
      </c>
      <c r="I14" s="17"/>
      <c r="J14" s="9">
        <f t="shared" si="8"/>
        <v>0</v>
      </c>
      <c r="K14" s="17"/>
      <c r="L14" s="9">
        <f t="shared" si="8"/>
        <v>0</v>
      </c>
      <c r="M14" s="17"/>
      <c r="N14" s="9">
        <f t="shared" ref="N14" si="42">IF((M14-M13&lt;0), "0",M14-M13)</f>
        <v>0</v>
      </c>
      <c r="O14" s="17"/>
      <c r="P14" s="9">
        <f t="shared" ref="P14" si="43">IF((O14-O13&lt;0), "0",O14-O13)</f>
        <v>0</v>
      </c>
      <c r="Q14" s="17"/>
      <c r="R14" s="9">
        <f t="shared" ref="R14" si="44">IF((Q14-Q13&lt;0), "0",Q14-Q13)</f>
        <v>0</v>
      </c>
      <c r="S14" s="17"/>
      <c r="T14" s="9">
        <f t="shared" ref="T14" si="45">IF((S14-S13&lt;0), "0",S14-S13)</f>
        <v>0</v>
      </c>
      <c r="U14" s="17"/>
      <c r="V14" s="9">
        <f t="shared" si="1"/>
        <v>0</v>
      </c>
      <c r="W14" s="17"/>
      <c r="X14" s="9">
        <f t="shared" si="1"/>
        <v>0</v>
      </c>
      <c r="Y14" s="17"/>
      <c r="Z14" s="9">
        <f t="shared" si="1"/>
        <v>0</v>
      </c>
      <c r="AA14" s="17"/>
      <c r="AB14" s="9">
        <f t="shared" si="1"/>
        <v>0</v>
      </c>
      <c r="AC14" s="17"/>
      <c r="AD14" s="9">
        <f t="shared" si="1"/>
        <v>0</v>
      </c>
      <c r="AE14" s="17"/>
      <c r="AF14" s="9">
        <f t="shared" si="1"/>
        <v>0</v>
      </c>
      <c r="AG14" s="17"/>
      <c r="AH14" s="9">
        <f t="shared" si="1"/>
        <v>0</v>
      </c>
      <c r="AI14" s="17"/>
      <c r="AJ14" s="9">
        <f t="shared" si="1"/>
        <v>0</v>
      </c>
      <c r="AK14" s="17"/>
      <c r="AL14" s="9">
        <f t="shared" si="1"/>
        <v>0</v>
      </c>
      <c r="AM14" s="17"/>
      <c r="AN14" s="9">
        <f t="shared" si="1"/>
        <v>0</v>
      </c>
      <c r="AO14" s="17"/>
      <c r="AP14" s="9">
        <f t="shared" si="1"/>
        <v>0</v>
      </c>
      <c r="AQ14" s="44"/>
      <c r="AR14" s="17"/>
      <c r="AS14" s="9"/>
      <c r="AT14" s="17"/>
      <c r="AU14" s="9"/>
      <c r="AV14" s="17">
        <v>96484</v>
      </c>
      <c r="AW14" s="9">
        <f t="shared" si="2"/>
        <v>15</v>
      </c>
      <c r="AX14" s="17">
        <v>1367</v>
      </c>
      <c r="AY14" s="9">
        <f t="shared" si="3"/>
        <v>2</v>
      </c>
      <c r="AZ14" s="17">
        <v>8210295</v>
      </c>
      <c r="BA14" s="9">
        <f t="shared" si="4"/>
        <v>1928</v>
      </c>
      <c r="BB14" s="55">
        <v>1889025</v>
      </c>
      <c r="BC14" s="9">
        <f t="shared" si="13"/>
        <v>1289</v>
      </c>
      <c r="BD14" s="20">
        <v>145</v>
      </c>
      <c r="BE14" s="20">
        <v>230</v>
      </c>
      <c r="BF14">
        <v>25.83</v>
      </c>
      <c r="BH14">
        <f t="shared" si="0"/>
        <v>49.851899999999993</v>
      </c>
    </row>
    <row r="15" spans="1:60" ht="45" customHeight="1">
      <c r="A15" s="8">
        <v>44846</v>
      </c>
      <c r="B15" s="42"/>
      <c r="C15" s="17"/>
      <c r="D15" s="9">
        <f t="shared" si="5"/>
        <v>0</v>
      </c>
      <c r="E15" s="17"/>
      <c r="F15" s="9">
        <f t="shared" si="6"/>
        <v>0</v>
      </c>
      <c r="G15" s="17">
        <v>13455569</v>
      </c>
      <c r="H15" s="9">
        <f t="shared" si="7"/>
        <v>7551</v>
      </c>
      <c r="I15" s="17"/>
      <c r="J15" s="9">
        <f t="shared" si="8"/>
        <v>0</v>
      </c>
      <c r="K15" s="17"/>
      <c r="L15" s="9">
        <f t="shared" si="8"/>
        <v>0</v>
      </c>
      <c r="M15" s="17"/>
      <c r="N15" s="9">
        <f t="shared" ref="N15" si="46">IF((M15-M14&lt;0), "0",M15-M14)</f>
        <v>0</v>
      </c>
      <c r="O15" s="17"/>
      <c r="P15" s="9">
        <f t="shared" ref="P15" si="47">IF((O15-O14&lt;0), "0",O15-O14)</f>
        <v>0</v>
      </c>
      <c r="Q15" s="17"/>
      <c r="R15" s="9">
        <f t="shared" ref="R15" si="48">IF((Q15-Q14&lt;0), "0",Q15-Q14)</f>
        <v>0</v>
      </c>
      <c r="S15" s="17"/>
      <c r="T15" s="9">
        <f t="shared" ref="T15" si="49">IF((S15-S14&lt;0), "0",S15-S14)</f>
        <v>0</v>
      </c>
      <c r="U15" s="17"/>
      <c r="V15" s="9">
        <f t="shared" si="1"/>
        <v>0</v>
      </c>
      <c r="W15" s="17"/>
      <c r="X15" s="9">
        <f t="shared" si="1"/>
        <v>0</v>
      </c>
      <c r="Y15" s="17"/>
      <c r="Z15" s="9">
        <f t="shared" si="1"/>
        <v>0</v>
      </c>
      <c r="AA15" s="17"/>
      <c r="AB15" s="9">
        <f t="shared" si="1"/>
        <v>0</v>
      </c>
      <c r="AC15" s="17"/>
      <c r="AD15" s="9">
        <f t="shared" si="1"/>
        <v>0</v>
      </c>
      <c r="AE15" s="17"/>
      <c r="AF15" s="9">
        <f t="shared" si="1"/>
        <v>0</v>
      </c>
      <c r="AG15" s="17"/>
      <c r="AH15" s="9">
        <f t="shared" si="1"/>
        <v>0</v>
      </c>
      <c r="AI15" s="17"/>
      <c r="AJ15" s="9">
        <f t="shared" si="1"/>
        <v>0</v>
      </c>
      <c r="AK15" s="17"/>
      <c r="AL15" s="9">
        <f t="shared" si="1"/>
        <v>0</v>
      </c>
      <c r="AM15" s="17"/>
      <c r="AN15" s="9">
        <f t="shared" si="1"/>
        <v>0</v>
      </c>
      <c r="AO15" s="17"/>
      <c r="AP15" s="9">
        <f t="shared" si="1"/>
        <v>0</v>
      </c>
      <c r="AQ15" s="44"/>
      <c r="AR15" s="17"/>
      <c r="AS15" s="9">
        <v>0</v>
      </c>
      <c r="AT15" s="17"/>
      <c r="AU15" s="9">
        <v>0</v>
      </c>
      <c r="AV15" s="17">
        <v>96519</v>
      </c>
      <c r="AW15" s="9">
        <f t="shared" si="2"/>
        <v>35</v>
      </c>
      <c r="AX15" s="17">
        <v>1371</v>
      </c>
      <c r="AY15" s="9">
        <f t="shared" si="3"/>
        <v>4</v>
      </c>
      <c r="AZ15" s="17">
        <v>8213673</v>
      </c>
      <c r="BA15" s="9">
        <f t="shared" si="4"/>
        <v>3378</v>
      </c>
      <c r="BB15" s="17">
        <v>1891419</v>
      </c>
      <c r="BC15" s="9">
        <f t="shared" si="13"/>
        <v>2394</v>
      </c>
      <c r="BD15" s="20">
        <v>161</v>
      </c>
      <c r="BE15" s="20">
        <v>246</v>
      </c>
      <c r="BF15">
        <v>23.18</v>
      </c>
      <c r="BH15">
        <f t="shared" si="0"/>
        <v>44.737400000000001</v>
      </c>
    </row>
    <row r="16" spans="1:60" ht="45" customHeight="1">
      <c r="A16" s="8">
        <v>44847</v>
      </c>
      <c r="B16" s="42"/>
      <c r="C16" s="17"/>
      <c r="D16" s="9">
        <f t="shared" si="5"/>
        <v>0</v>
      </c>
      <c r="E16" s="17"/>
      <c r="F16" s="9">
        <f t="shared" si="6"/>
        <v>0</v>
      </c>
      <c r="G16" s="17">
        <v>13459117</v>
      </c>
      <c r="H16" s="9">
        <f t="shared" si="7"/>
        <v>3548</v>
      </c>
      <c r="I16" s="17"/>
      <c r="J16" s="9">
        <f t="shared" si="8"/>
        <v>0</v>
      </c>
      <c r="K16" s="17"/>
      <c r="L16" s="9">
        <f t="shared" si="8"/>
        <v>0</v>
      </c>
      <c r="M16" s="17"/>
      <c r="N16" s="9">
        <f t="shared" ref="N16" si="50">IF((M16-M15&lt;0), "0",M16-M15)</f>
        <v>0</v>
      </c>
      <c r="O16" s="17"/>
      <c r="P16" s="9">
        <f t="shared" ref="P16" si="51">IF((O16-O15&lt;0), "0",O16-O15)</f>
        <v>0</v>
      </c>
      <c r="Q16" s="17"/>
      <c r="R16" s="9">
        <f t="shared" ref="R16" si="52">IF((Q16-Q15&lt;0), "0",Q16-Q15)</f>
        <v>0</v>
      </c>
      <c r="S16" s="17"/>
      <c r="T16" s="9">
        <f t="shared" ref="T16" si="53">IF((S16-S15&lt;0), "0",S16-S15)</f>
        <v>0</v>
      </c>
      <c r="U16" s="17"/>
      <c r="V16" s="9">
        <f t="shared" ref="V16:AP34" si="54">IF((U16-U15&lt;0), "",U16-U15)</f>
        <v>0</v>
      </c>
      <c r="W16" s="17"/>
      <c r="X16" s="9">
        <f t="shared" si="54"/>
        <v>0</v>
      </c>
      <c r="Y16" s="17"/>
      <c r="Z16" s="9">
        <f t="shared" si="54"/>
        <v>0</v>
      </c>
      <c r="AA16" s="17"/>
      <c r="AB16" s="9">
        <f t="shared" si="54"/>
        <v>0</v>
      </c>
      <c r="AC16" s="17"/>
      <c r="AD16" s="9">
        <f t="shared" si="54"/>
        <v>0</v>
      </c>
      <c r="AE16" s="17"/>
      <c r="AF16" s="9">
        <f t="shared" si="54"/>
        <v>0</v>
      </c>
      <c r="AG16" s="17"/>
      <c r="AH16" s="9">
        <f t="shared" si="54"/>
        <v>0</v>
      </c>
      <c r="AI16" s="17"/>
      <c r="AJ16" s="9">
        <f t="shared" si="54"/>
        <v>0</v>
      </c>
      <c r="AK16" s="17"/>
      <c r="AL16" s="9">
        <f t="shared" si="54"/>
        <v>0</v>
      </c>
      <c r="AM16" s="17"/>
      <c r="AN16" s="9">
        <f t="shared" si="54"/>
        <v>0</v>
      </c>
      <c r="AO16" s="17"/>
      <c r="AP16" s="9">
        <f t="shared" si="54"/>
        <v>0</v>
      </c>
      <c r="AQ16" s="44"/>
      <c r="AR16" s="17"/>
      <c r="AS16" s="9">
        <v>0</v>
      </c>
      <c r="AT16" s="17"/>
      <c r="AU16" s="9">
        <v>0</v>
      </c>
      <c r="AV16" s="17">
        <v>96536</v>
      </c>
      <c r="AW16" s="9">
        <f t="shared" si="2"/>
        <v>17</v>
      </c>
      <c r="AX16" s="17">
        <v>1373</v>
      </c>
      <c r="AY16" s="9">
        <f t="shared" si="3"/>
        <v>2</v>
      </c>
      <c r="AZ16" s="17">
        <v>8215297</v>
      </c>
      <c r="BA16" s="9">
        <f t="shared" si="4"/>
        <v>1624</v>
      </c>
      <c r="BB16" s="17">
        <v>1892554</v>
      </c>
      <c r="BC16" s="9">
        <f t="shared" si="13"/>
        <v>1135</v>
      </c>
      <c r="BD16" s="20">
        <v>156</v>
      </c>
      <c r="BE16" s="20">
        <v>229</v>
      </c>
      <c r="BF16">
        <v>16.559999999999999</v>
      </c>
      <c r="BH16">
        <f t="shared" si="0"/>
        <v>31.960799999999999</v>
      </c>
    </row>
    <row r="17" spans="1:60" ht="45" customHeight="1">
      <c r="A17" s="8">
        <v>44848</v>
      </c>
      <c r="B17" s="42"/>
      <c r="C17" s="17"/>
      <c r="D17" s="9">
        <f t="shared" si="5"/>
        <v>0</v>
      </c>
      <c r="E17" s="17"/>
      <c r="F17" s="9">
        <f t="shared" si="6"/>
        <v>0</v>
      </c>
      <c r="G17" s="17">
        <v>13463287</v>
      </c>
      <c r="H17" s="9">
        <f t="shared" si="7"/>
        <v>4170</v>
      </c>
      <c r="I17" s="17"/>
      <c r="J17" s="9">
        <f t="shared" si="8"/>
        <v>0</v>
      </c>
      <c r="K17" s="17"/>
      <c r="L17" s="9">
        <f t="shared" si="8"/>
        <v>0</v>
      </c>
      <c r="M17" s="17"/>
      <c r="N17" s="9">
        <f t="shared" ref="N17" si="55">IF((M17-M16&lt;0), "0",M17-M16)</f>
        <v>0</v>
      </c>
      <c r="O17" s="17"/>
      <c r="P17" s="9">
        <f t="shared" ref="P17" si="56">IF((O17-O16&lt;0), "0",O17-O16)</f>
        <v>0</v>
      </c>
      <c r="Q17" s="17"/>
      <c r="R17" s="9">
        <f t="shared" ref="R17" si="57">IF((Q17-Q16&lt;0), "0",Q17-Q16)</f>
        <v>0</v>
      </c>
      <c r="S17" s="17"/>
      <c r="T17" s="9">
        <f t="shared" ref="T17" si="58">IF((S17-S16&lt;0), "0",S17-S16)</f>
        <v>0</v>
      </c>
      <c r="U17" s="17"/>
      <c r="V17" s="9">
        <f t="shared" si="54"/>
        <v>0</v>
      </c>
      <c r="W17" s="17"/>
      <c r="X17" s="9">
        <f t="shared" si="54"/>
        <v>0</v>
      </c>
      <c r="Y17" s="17"/>
      <c r="Z17" s="9">
        <f t="shared" si="54"/>
        <v>0</v>
      </c>
      <c r="AA17" s="17"/>
      <c r="AB17" s="9">
        <f t="shared" si="54"/>
        <v>0</v>
      </c>
      <c r="AC17" s="17"/>
      <c r="AD17" s="9">
        <f t="shared" si="54"/>
        <v>0</v>
      </c>
      <c r="AE17" s="17"/>
      <c r="AF17" s="9">
        <f t="shared" si="54"/>
        <v>0</v>
      </c>
      <c r="AG17" s="17"/>
      <c r="AH17" s="9">
        <f t="shared" si="54"/>
        <v>0</v>
      </c>
      <c r="AI17" s="17"/>
      <c r="AJ17" s="9">
        <f t="shared" si="54"/>
        <v>0</v>
      </c>
      <c r="AK17" s="17"/>
      <c r="AL17" s="9">
        <f t="shared" si="54"/>
        <v>0</v>
      </c>
      <c r="AM17" s="17"/>
      <c r="AN17" s="9">
        <f t="shared" si="54"/>
        <v>0</v>
      </c>
      <c r="AO17" s="17"/>
      <c r="AP17" s="9">
        <f t="shared" si="54"/>
        <v>0</v>
      </c>
      <c r="AQ17" s="44"/>
      <c r="AR17" s="17"/>
      <c r="AS17" s="9">
        <v>0</v>
      </c>
      <c r="AT17" s="17"/>
      <c r="AU17" s="9">
        <v>0</v>
      </c>
      <c r="AV17" s="17">
        <v>96554</v>
      </c>
      <c r="AW17" s="9">
        <f t="shared" si="2"/>
        <v>18</v>
      </c>
      <c r="AX17" s="17">
        <v>1375</v>
      </c>
      <c r="AY17" s="9">
        <v>4</v>
      </c>
      <c r="AZ17" s="17">
        <v>8217101</v>
      </c>
      <c r="BA17" s="9">
        <f t="shared" si="4"/>
        <v>1804</v>
      </c>
      <c r="BB17" s="17">
        <v>1893891</v>
      </c>
      <c r="BC17" s="9">
        <f t="shared" si="13"/>
        <v>1337</v>
      </c>
      <c r="BD17" s="20">
        <v>154</v>
      </c>
      <c r="BE17" s="20">
        <v>257</v>
      </c>
      <c r="BF17">
        <v>22.88</v>
      </c>
      <c r="BH17">
        <f t="shared" si="0"/>
        <v>44.1584</v>
      </c>
    </row>
    <row r="18" spans="1:60" ht="45" customHeight="1">
      <c r="A18" s="8">
        <v>44849</v>
      </c>
      <c r="B18" s="42"/>
      <c r="C18" s="17"/>
      <c r="D18" s="9">
        <f t="shared" si="5"/>
        <v>0</v>
      </c>
      <c r="E18" s="17"/>
      <c r="F18" s="9">
        <f t="shared" si="6"/>
        <v>0</v>
      </c>
      <c r="G18" s="41" t="s">
        <v>59</v>
      </c>
      <c r="H18" s="9" t="e">
        <f t="shared" si="7"/>
        <v>#VALUE!</v>
      </c>
      <c r="I18" s="17"/>
      <c r="J18" s="9">
        <f t="shared" si="8"/>
        <v>0</v>
      </c>
      <c r="K18" s="17"/>
      <c r="L18" s="9">
        <f t="shared" si="8"/>
        <v>0</v>
      </c>
      <c r="M18" s="17"/>
      <c r="N18" s="9">
        <f t="shared" ref="N18" si="59">IF((M18-M17&lt;0), "0",M18-M17)</f>
        <v>0</v>
      </c>
      <c r="O18" s="17"/>
      <c r="P18" s="9">
        <f t="shared" ref="P18" si="60">IF((O18-O17&lt;0), "0",O18-O17)</f>
        <v>0</v>
      </c>
      <c r="Q18" s="17"/>
      <c r="R18" s="9">
        <f t="shared" ref="R18" si="61">IF((Q18-Q17&lt;0), "0",Q18-Q17)</f>
        <v>0</v>
      </c>
      <c r="S18" s="17"/>
      <c r="T18" s="9">
        <f t="shared" ref="T18" si="62">IF((S18-S17&lt;0), "0",S18-S17)</f>
        <v>0</v>
      </c>
      <c r="U18" s="17"/>
      <c r="V18" s="9">
        <f t="shared" si="54"/>
        <v>0</v>
      </c>
      <c r="W18" s="17"/>
      <c r="X18" s="9">
        <f t="shared" si="54"/>
        <v>0</v>
      </c>
      <c r="Y18" s="17"/>
      <c r="Z18" s="9">
        <f t="shared" si="54"/>
        <v>0</v>
      </c>
      <c r="AA18" s="17"/>
      <c r="AB18" s="9">
        <f t="shared" si="54"/>
        <v>0</v>
      </c>
      <c r="AC18" s="17"/>
      <c r="AD18" s="9">
        <f t="shared" si="54"/>
        <v>0</v>
      </c>
      <c r="AE18" s="17"/>
      <c r="AF18" s="9">
        <f t="shared" si="54"/>
        <v>0</v>
      </c>
      <c r="AG18" s="17"/>
      <c r="AH18" s="9">
        <f t="shared" si="54"/>
        <v>0</v>
      </c>
      <c r="AI18" s="17"/>
      <c r="AJ18" s="9">
        <f t="shared" si="54"/>
        <v>0</v>
      </c>
      <c r="AK18" s="17"/>
      <c r="AL18" s="9">
        <f t="shared" si="54"/>
        <v>0</v>
      </c>
      <c r="AM18" s="17"/>
      <c r="AN18" s="9">
        <f t="shared" si="54"/>
        <v>0</v>
      </c>
      <c r="AO18" s="17"/>
      <c r="AP18" s="9">
        <f t="shared" si="54"/>
        <v>0</v>
      </c>
      <c r="AQ18" s="44"/>
      <c r="AR18" s="17"/>
      <c r="AS18" s="9">
        <v>0</v>
      </c>
      <c r="AT18" s="17"/>
      <c r="AU18" s="9">
        <v>0</v>
      </c>
      <c r="AV18" s="41" t="s">
        <v>59</v>
      </c>
      <c r="AW18" s="9" t="e">
        <f t="shared" si="2"/>
        <v>#VALUE!</v>
      </c>
      <c r="AX18" s="41" t="s">
        <v>59</v>
      </c>
      <c r="AY18" s="9" t="e">
        <f t="shared" si="3"/>
        <v>#VALUE!</v>
      </c>
      <c r="AZ18" s="41" t="s">
        <v>59</v>
      </c>
      <c r="BA18" s="9" t="e">
        <f t="shared" si="4"/>
        <v>#VALUE!</v>
      </c>
      <c r="BB18" s="41" t="s">
        <v>59</v>
      </c>
      <c r="BC18" s="9" t="e">
        <f t="shared" si="13"/>
        <v>#VALUE!</v>
      </c>
      <c r="BD18" s="20">
        <v>155</v>
      </c>
      <c r="BE18" s="20">
        <v>262</v>
      </c>
      <c r="BF18">
        <v>25.49</v>
      </c>
      <c r="BH18">
        <f t="shared" si="0"/>
        <v>49.195699999999995</v>
      </c>
    </row>
    <row r="19" spans="1:60" ht="45" customHeight="1">
      <c r="A19" s="8">
        <v>44850</v>
      </c>
      <c r="B19" s="42"/>
      <c r="C19" s="17"/>
      <c r="D19" s="9">
        <f t="shared" si="5"/>
        <v>0</v>
      </c>
      <c r="E19" s="17"/>
      <c r="F19" s="9">
        <f t="shared" si="6"/>
        <v>0</v>
      </c>
      <c r="G19" s="17">
        <v>13466738</v>
      </c>
      <c r="H19" s="9" t="e">
        <f t="shared" si="7"/>
        <v>#VALUE!</v>
      </c>
      <c r="I19" s="17"/>
      <c r="J19" s="9">
        <f t="shared" si="8"/>
        <v>0</v>
      </c>
      <c r="K19" s="17"/>
      <c r="L19" s="9">
        <f t="shared" si="8"/>
        <v>0</v>
      </c>
      <c r="M19" s="17"/>
      <c r="N19" s="9">
        <f t="shared" ref="N19" si="63">IF((M19-M18&lt;0), "0",M19-M18)</f>
        <v>0</v>
      </c>
      <c r="O19" s="17"/>
      <c r="P19" s="9">
        <f t="shared" ref="P19" si="64">IF((O19-O18&lt;0), "0",O19-O18)</f>
        <v>0</v>
      </c>
      <c r="Q19" s="17"/>
      <c r="R19" s="9">
        <f t="shared" ref="R19" si="65">IF((Q19-Q18&lt;0), "0",Q19-Q18)</f>
        <v>0</v>
      </c>
      <c r="S19" s="17"/>
      <c r="T19" s="9">
        <f t="shared" ref="T19" si="66">IF((S19-S18&lt;0), "0",S19-S18)</f>
        <v>0</v>
      </c>
      <c r="U19" s="17"/>
      <c r="V19" s="9">
        <f t="shared" si="54"/>
        <v>0</v>
      </c>
      <c r="W19" s="17"/>
      <c r="X19" s="9">
        <f t="shared" si="54"/>
        <v>0</v>
      </c>
      <c r="Y19" s="17"/>
      <c r="Z19" s="9">
        <f t="shared" si="54"/>
        <v>0</v>
      </c>
      <c r="AA19" s="17"/>
      <c r="AB19" s="9">
        <f t="shared" si="54"/>
        <v>0</v>
      </c>
      <c r="AC19" s="17"/>
      <c r="AD19" s="9">
        <f t="shared" si="54"/>
        <v>0</v>
      </c>
      <c r="AE19" s="17"/>
      <c r="AF19" s="9">
        <f t="shared" si="54"/>
        <v>0</v>
      </c>
      <c r="AG19" s="17"/>
      <c r="AH19" s="9">
        <f t="shared" si="54"/>
        <v>0</v>
      </c>
      <c r="AI19" s="17"/>
      <c r="AJ19" s="9">
        <f t="shared" si="54"/>
        <v>0</v>
      </c>
      <c r="AK19" s="17"/>
      <c r="AL19" s="9">
        <f t="shared" si="54"/>
        <v>0</v>
      </c>
      <c r="AM19" s="17"/>
      <c r="AN19" s="9">
        <f t="shared" si="54"/>
        <v>0</v>
      </c>
      <c r="AO19" s="17"/>
      <c r="AP19" s="9">
        <f t="shared" si="54"/>
        <v>0</v>
      </c>
      <c r="AQ19" s="44"/>
      <c r="AR19" s="17"/>
      <c r="AS19" s="9">
        <v>0</v>
      </c>
      <c r="AT19" s="17"/>
      <c r="AU19" s="9">
        <v>0</v>
      </c>
      <c r="AV19" s="17">
        <v>96571</v>
      </c>
      <c r="AW19" s="9" t="e">
        <f t="shared" si="2"/>
        <v>#VALUE!</v>
      </c>
      <c r="AX19" s="17">
        <v>1377</v>
      </c>
      <c r="AY19" s="9" t="e">
        <f t="shared" si="3"/>
        <v>#VALUE!</v>
      </c>
      <c r="AZ19" s="17">
        <v>8218588</v>
      </c>
      <c r="BA19" s="9" t="e">
        <f t="shared" si="4"/>
        <v>#VALUE!</v>
      </c>
      <c r="BB19" s="17">
        <v>1895001</v>
      </c>
      <c r="BC19" s="9" t="e">
        <f t="shared" si="13"/>
        <v>#VALUE!</v>
      </c>
      <c r="BD19" s="20">
        <v>127</v>
      </c>
      <c r="BE19" s="20">
        <v>203</v>
      </c>
      <c r="BF19">
        <v>25.32</v>
      </c>
      <c r="BH19">
        <f t="shared" si="0"/>
        <v>48.867599999999996</v>
      </c>
    </row>
    <row r="20" spans="1:60" ht="45" customHeight="1">
      <c r="A20" s="8">
        <v>44851</v>
      </c>
      <c r="B20" s="42"/>
      <c r="C20" s="17">
        <v>31549729</v>
      </c>
      <c r="D20" s="9">
        <f t="shared" si="5"/>
        <v>31549729</v>
      </c>
      <c r="E20" s="17">
        <v>32071676</v>
      </c>
      <c r="F20" s="9">
        <f t="shared" si="6"/>
        <v>32071676</v>
      </c>
      <c r="G20" s="17">
        <v>13470251</v>
      </c>
      <c r="H20" s="9">
        <f t="shared" si="7"/>
        <v>3513</v>
      </c>
      <c r="I20" s="17">
        <v>1886822</v>
      </c>
      <c r="J20" s="9">
        <f t="shared" si="8"/>
        <v>1886822</v>
      </c>
      <c r="K20" s="17">
        <v>3884574</v>
      </c>
      <c r="L20" s="9">
        <f t="shared" si="8"/>
        <v>3884574</v>
      </c>
      <c r="M20" s="17">
        <v>5060480</v>
      </c>
      <c r="N20" s="9">
        <f t="shared" ref="N20" si="67">IF((M20-M19&lt;0), "0",M20-M19)</f>
        <v>5060480</v>
      </c>
      <c r="O20" s="17">
        <v>2630105</v>
      </c>
      <c r="P20" s="9">
        <f t="shared" ref="P20" si="68">IF((O20-O19&lt;0), "0",O20-O19)</f>
        <v>2630105</v>
      </c>
      <c r="Q20" s="17">
        <v>1546401</v>
      </c>
      <c r="R20" s="9">
        <f t="shared" ref="R20" si="69">IF((Q20-Q19&lt;0), "0",Q20-Q19)</f>
        <v>1546401</v>
      </c>
      <c r="S20" s="17">
        <v>568384</v>
      </c>
      <c r="T20" s="9">
        <f t="shared" ref="T20" si="70">IF((S20-S19&lt;0), "0",S20-S19)</f>
        <v>568384</v>
      </c>
      <c r="U20" s="17">
        <v>4848293</v>
      </c>
      <c r="V20" s="9">
        <f t="shared" si="54"/>
        <v>4848293</v>
      </c>
      <c r="W20" s="17">
        <v>1101338</v>
      </c>
      <c r="X20" s="9">
        <f t="shared" si="54"/>
        <v>1101338</v>
      </c>
      <c r="Y20" s="17">
        <v>5001458</v>
      </c>
      <c r="Z20" s="9">
        <f t="shared" si="54"/>
        <v>5001458</v>
      </c>
      <c r="AA20" s="17">
        <v>2258227</v>
      </c>
      <c r="AB20" s="9">
        <f t="shared" si="54"/>
        <v>2258227</v>
      </c>
      <c r="AC20" s="17">
        <v>6283543</v>
      </c>
      <c r="AD20" s="9">
        <f t="shared" si="54"/>
        <v>6283543</v>
      </c>
      <c r="AE20" s="7">
        <v>9054217</v>
      </c>
      <c r="AF20" s="9">
        <f t="shared" si="54"/>
        <v>9054217</v>
      </c>
      <c r="AG20" s="7">
        <v>1501163</v>
      </c>
      <c r="AH20" s="9">
        <f t="shared" si="54"/>
        <v>1501163</v>
      </c>
      <c r="AI20" s="17">
        <v>282404</v>
      </c>
      <c r="AJ20" s="9">
        <f t="shared" si="54"/>
        <v>282404</v>
      </c>
      <c r="AK20" s="17">
        <v>1184064</v>
      </c>
      <c r="AL20" s="9">
        <f t="shared" si="54"/>
        <v>1184064</v>
      </c>
      <c r="AM20" s="17">
        <v>2241986</v>
      </c>
      <c r="AN20" s="9">
        <f t="shared" si="54"/>
        <v>2241986</v>
      </c>
      <c r="AO20" s="17">
        <v>2162482</v>
      </c>
      <c r="AP20" s="9">
        <f t="shared" si="54"/>
        <v>2162482</v>
      </c>
      <c r="AQ20" s="44"/>
      <c r="AR20" s="17"/>
      <c r="AS20" s="9">
        <v>0</v>
      </c>
      <c r="AT20" s="17"/>
      <c r="AU20" s="9">
        <v>0</v>
      </c>
      <c r="AV20" s="17">
        <v>96588</v>
      </c>
      <c r="AW20" s="9">
        <f t="shared" si="2"/>
        <v>17</v>
      </c>
      <c r="AX20" s="17">
        <v>1380</v>
      </c>
      <c r="AY20" s="9">
        <f t="shared" si="3"/>
        <v>3</v>
      </c>
      <c r="AZ20" s="17">
        <v>8220061</v>
      </c>
      <c r="BA20" s="9">
        <f t="shared" si="4"/>
        <v>1473</v>
      </c>
      <c r="BB20" s="17">
        <v>1896139</v>
      </c>
      <c r="BC20" s="9">
        <f t="shared" si="13"/>
        <v>1138</v>
      </c>
      <c r="BD20" s="20">
        <v>130</v>
      </c>
      <c r="BE20" s="20">
        <v>198</v>
      </c>
      <c r="BF20">
        <v>23.38</v>
      </c>
      <c r="BH20">
        <f t="shared" si="0"/>
        <v>45.123399999999997</v>
      </c>
    </row>
    <row r="21" spans="1:60" ht="45" customHeight="1">
      <c r="A21" s="8">
        <v>44852</v>
      </c>
      <c r="B21" s="42"/>
      <c r="C21" s="17">
        <v>31556473</v>
      </c>
      <c r="D21" s="9">
        <f t="shared" si="5"/>
        <v>6744</v>
      </c>
      <c r="E21" s="17">
        <v>32078085</v>
      </c>
      <c r="F21" s="9">
        <f t="shared" si="6"/>
        <v>6409</v>
      </c>
      <c r="G21" s="17">
        <v>13473953</v>
      </c>
      <c r="H21" s="9">
        <f t="shared" si="7"/>
        <v>3702</v>
      </c>
      <c r="I21" s="17">
        <v>1887327</v>
      </c>
      <c r="J21" s="9">
        <f t="shared" si="8"/>
        <v>505</v>
      </c>
      <c r="K21" s="17">
        <v>3885331</v>
      </c>
      <c r="L21" s="9">
        <f t="shared" si="8"/>
        <v>757</v>
      </c>
      <c r="M21" s="17">
        <v>5061376</v>
      </c>
      <c r="N21" s="9">
        <f t="shared" ref="N21" si="71">IF((M21-M20&lt;0), "0",M21-M20)</f>
        <v>896</v>
      </c>
      <c r="O21" s="17">
        <v>2630725</v>
      </c>
      <c r="P21" s="9">
        <f t="shared" ref="P21" si="72">IF((O21-O20&lt;0), "0",O21-O20)</f>
        <v>620</v>
      </c>
      <c r="Q21" s="17">
        <v>1546749</v>
      </c>
      <c r="R21" s="9">
        <f t="shared" ref="R21" si="73">IF((Q21-Q20&lt;0), "0",Q21-Q20)</f>
        <v>348</v>
      </c>
      <c r="S21" s="17">
        <v>568504</v>
      </c>
      <c r="T21" s="9">
        <f t="shared" ref="T21" si="74">IF((S21-S20&lt;0), "0",S21-S20)</f>
        <v>120</v>
      </c>
      <c r="U21" s="17">
        <v>4849106</v>
      </c>
      <c r="V21" s="9">
        <f t="shared" si="54"/>
        <v>813</v>
      </c>
      <c r="W21" s="17">
        <v>1101616</v>
      </c>
      <c r="X21" s="9">
        <f t="shared" si="54"/>
        <v>278</v>
      </c>
      <c r="Y21" s="17">
        <v>5002117</v>
      </c>
      <c r="Z21" s="9">
        <f t="shared" si="54"/>
        <v>659</v>
      </c>
      <c r="AA21" s="17">
        <v>2258874</v>
      </c>
      <c r="AB21" s="9">
        <f t="shared" si="54"/>
        <v>647</v>
      </c>
      <c r="AC21" s="17">
        <v>6284897</v>
      </c>
      <c r="AD21" s="9">
        <f t="shared" si="54"/>
        <v>1354</v>
      </c>
      <c r="AE21" s="17">
        <v>9056232</v>
      </c>
      <c r="AF21" s="9">
        <f t="shared" si="54"/>
        <v>2015</v>
      </c>
      <c r="AG21" s="17">
        <v>1501581</v>
      </c>
      <c r="AH21" s="9">
        <f t="shared" si="54"/>
        <v>418</v>
      </c>
      <c r="AI21" s="17">
        <v>282477</v>
      </c>
      <c r="AJ21" s="9">
        <f t="shared" si="54"/>
        <v>73</v>
      </c>
      <c r="AK21" s="17">
        <v>1184299</v>
      </c>
      <c r="AL21" s="9">
        <f t="shared" si="54"/>
        <v>235</v>
      </c>
      <c r="AM21" s="17">
        <v>2242475</v>
      </c>
      <c r="AN21" s="9">
        <f t="shared" si="54"/>
        <v>489</v>
      </c>
      <c r="AO21" s="17">
        <v>2162941</v>
      </c>
      <c r="AP21" s="9">
        <f t="shared" si="54"/>
        <v>459</v>
      </c>
      <c r="AQ21" s="44"/>
      <c r="AR21" s="17"/>
      <c r="AS21" s="9">
        <f>AR21-AR4</f>
        <v>0</v>
      </c>
      <c r="AT21" s="17"/>
      <c r="AU21" s="9">
        <f>AT21-AT4</f>
        <v>0</v>
      </c>
      <c r="AV21" s="17">
        <v>96601</v>
      </c>
      <c r="AW21" s="9">
        <f t="shared" si="2"/>
        <v>13</v>
      </c>
      <c r="AX21" s="17">
        <v>1381</v>
      </c>
      <c r="AY21" s="9">
        <f t="shared" si="3"/>
        <v>1</v>
      </c>
      <c r="AZ21" s="17">
        <v>8221631</v>
      </c>
      <c r="BA21" s="9">
        <f t="shared" si="4"/>
        <v>1570</v>
      </c>
      <c r="BB21" s="17">
        <v>1897311</v>
      </c>
      <c r="BC21" s="9">
        <f t="shared" si="13"/>
        <v>1172</v>
      </c>
      <c r="BD21" s="20">
        <v>141</v>
      </c>
      <c r="BE21" s="20">
        <v>213</v>
      </c>
      <c r="BF21">
        <v>25.49</v>
      </c>
      <c r="BH21">
        <f t="shared" si="0"/>
        <v>49.195699999999995</v>
      </c>
    </row>
    <row r="22" spans="1:60" ht="45" customHeight="1">
      <c r="A22" s="8">
        <v>44853</v>
      </c>
      <c r="B22" s="42"/>
      <c r="C22" s="17">
        <v>31563254</v>
      </c>
      <c r="D22" s="9">
        <f t="shared" si="5"/>
        <v>6781</v>
      </c>
      <c r="E22" s="17">
        <v>32084704</v>
      </c>
      <c r="F22" s="9">
        <f t="shared" si="6"/>
        <v>6619</v>
      </c>
      <c r="G22" s="17">
        <v>13477594</v>
      </c>
      <c r="H22" s="9">
        <f t="shared" si="7"/>
        <v>3641</v>
      </c>
      <c r="I22" s="17">
        <v>1887856</v>
      </c>
      <c r="J22" s="9">
        <f t="shared" si="8"/>
        <v>529</v>
      </c>
      <c r="K22" s="17">
        <v>3886111</v>
      </c>
      <c r="L22" s="9">
        <f t="shared" si="8"/>
        <v>780</v>
      </c>
      <c r="M22" s="17">
        <v>5062131</v>
      </c>
      <c r="N22" s="9">
        <f t="shared" ref="N22" si="75">IF((M22-M21&lt;0), "0",M22-M21)</f>
        <v>755</v>
      </c>
      <c r="O22" s="17">
        <v>2631329</v>
      </c>
      <c r="P22" s="9">
        <f t="shared" ref="P22" si="76">IF((O22-O21&lt;0), "0",O22-O21)</f>
        <v>604</v>
      </c>
      <c r="Q22" s="17">
        <v>1547044</v>
      </c>
      <c r="R22" s="9">
        <f t="shared" ref="R22" si="77">IF((Q22-Q21&lt;0), "0",Q22-Q21)</f>
        <v>295</v>
      </c>
      <c r="S22" s="17">
        <v>568571</v>
      </c>
      <c r="T22" s="9">
        <f t="shared" ref="T22" si="78">IF((S22-S21&lt;0), "0",S22-S21)</f>
        <v>67</v>
      </c>
      <c r="U22" s="17">
        <v>4849958</v>
      </c>
      <c r="V22" s="9">
        <f t="shared" si="54"/>
        <v>852</v>
      </c>
      <c r="W22" s="17">
        <v>1101898</v>
      </c>
      <c r="X22" s="9">
        <f t="shared" si="54"/>
        <v>282</v>
      </c>
      <c r="Y22" s="17">
        <v>5002958</v>
      </c>
      <c r="Z22" s="9">
        <f t="shared" si="54"/>
        <v>841</v>
      </c>
      <c r="AA22" s="17">
        <v>2259521</v>
      </c>
      <c r="AB22" s="9">
        <f t="shared" si="54"/>
        <v>647</v>
      </c>
      <c r="AC22" s="17">
        <v>6286325</v>
      </c>
      <c r="AD22" s="9">
        <f t="shared" si="54"/>
        <v>1428</v>
      </c>
      <c r="AE22" s="17">
        <v>9058122</v>
      </c>
      <c r="AF22" s="9">
        <f t="shared" si="54"/>
        <v>1890</v>
      </c>
      <c r="AG22" s="17">
        <v>1502021</v>
      </c>
      <c r="AH22" s="9">
        <f t="shared" si="54"/>
        <v>440</v>
      </c>
      <c r="AI22" s="17">
        <v>282547</v>
      </c>
      <c r="AJ22" s="9">
        <f t="shared" si="54"/>
        <v>70</v>
      </c>
      <c r="AK22" s="17">
        <v>1184551</v>
      </c>
      <c r="AL22" s="9">
        <f t="shared" si="54"/>
        <v>252</v>
      </c>
      <c r="AM22" s="17">
        <v>2242976</v>
      </c>
      <c r="AN22" s="9">
        <f t="shared" si="54"/>
        <v>501</v>
      </c>
      <c r="AO22" s="17">
        <v>2163521</v>
      </c>
      <c r="AP22" s="9">
        <f t="shared" si="54"/>
        <v>580</v>
      </c>
      <c r="AQ22" s="44"/>
      <c r="AR22" s="17"/>
      <c r="AS22" s="9">
        <v>0</v>
      </c>
      <c r="AT22" s="17"/>
      <c r="AU22" s="9">
        <v>0</v>
      </c>
      <c r="AV22" s="17">
        <v>96619</v>
      </c>
      <c r="AW22" s="9">
        <f t="shared" si="2"/>
        <v>18</v>
      </c>
      <c r="AX22" s="17">
        <v>1384</v>
      </c>
      <c r="AY22" s="9">
        <f t="shared" si="3"/>
        <v>3</v>
      </c>
      <c r="AZ22" s="17">
        <v>8223157</v>
      </c>
      <c r="BA22" s="9">
        <f t="shared" si="4"/>
        <v>1526</v>
      </c>
      <c r="BB22" s="17">
        <v>1898488</v>
      </c>
      <c r="BC22" s="9">
        <f t="shared" si="13"/>
        <v>1177</v>
      </c>
      <c r="BD22" s="20">
        <v>125</v>
      </c>
      <c r="BE22" s="20">
        <v>185</v>
      </c>
      <c r="BF22">
        <v>21.94</v>
      </c>
      <c r="BH22">
        <f t="shared" si="0"/>
        <v>42.344200000000001</v>
      </c>
    </row>
    <row r="23" spans="1:60" ht="45" customHeight="1">
      <c r="A23" s="8">
        <v>44854</v>
      </c>
      <c r="B23" s="42"/>
      <c r="C23" s="17">
        <v>31570127</v>
      </c>
      <c r="D23" s="9">
        <f t="shared" si="5"/>
        <v>6873</v>
      </c>
      <c r="E23" s="17">
        <v>32091436</v>
      </c>
      <c r="F23" s="9">
        <f t="shared" si="6"/>
        <v>6732</v>
      </c>
      <c r="G23" s="17">
        <v>13480987</v>
      </c>
      <c r="H23" s="9">
        <f t="shared" si="7"/>
        <v>3393</v>
      </c>
      <c r="I23" s="17">
        <v>1888388</v>
      </c>
      <c r="J23" s="9">
        <f t="shared" si="8"/>
        <v>532</v>
      </c>
      <c r="K23" s="17">
        <v>3886865</v>
      </c>
      <c r="L23" s="9">
        <f t="shared" si="8"/>
        <v>754</v>
      </c>
      <c r="M23" s="17">
        <v>5062942</v>
      </c>
      <c r="N23" s="9">
        <f t="shared" ref="N23" si="79">IF((M23-M22&lt;0), "0",M23-M22)</f>
        <v>811</v>
      </c>
      <c r="O23" s="17">
        <v>2631927</v>
      </c>
      <c r="P23" s="9">
        <f t="shared" ref="P23" si="80">IF((O23-O22&lt;0), "0",O23-O22)</f>
        <v>598</v>
      </c>
      <c r="Q23" s="17">
        <v>1547338</v>
      </c>
      <c r="R23" s="9">
        <f t="shared" ref="R23" si="81">IF((Q23-Q22&lt;0), "0",Q23-Q22)</f>
        <v>294</v>
      </c>
      <c r="S23" s="17">
        <v>568713</v>
      </c>
      <c r="T23" s="9">
        <f t="shared" ref="T23" si="82">IF((S23-S22&lt;0), "0",S23-S22)</f>
        <v>142</v>
      </c>
      <c r="U23" s="17">
        <v>4850769</v>
      </c>
      <c r="V23" s="9">
        <f t="shared" si="54"/>
        <v>811</v>
      </c>
      <c r="W23" s="17">
        <v>1102249</v>
      </c>
      <c r="X23" s="9">
        <f t="shared" si="54"/>
        <v>351</v>
      </c>
      <c r="Y23" s="17">
        <v>5003832</v>
      </c>
      <c r="Z23" s="9">
        <f t="shared" si="54"/>
        <v>874</v>
      </c>
      <c r="AA23" s="17">
        <v>2260186</v>
      </c>
      <c r="AB23" s="9">
        <f t="shared" si="54"/>
        <v>665</v>
      </c>
      <c r="AC23" s="17">
        <v>6287694</v>
      </c>
      <c r="AD23" s="9">
        <f t="shared" si="54"/>
        <v>1369</v>
      </c>
      <c r="AE23" s="17">
        <v>9060097</v>
      </c>
      <c r="AF23" s="9">
        <f t="shared" si="54"/>
        <v>1975</v>
      </c>
      <c r="AG23" s="17">
        <v>1502441</v>
      </c>
      <c r="AH23" s="9">
        <f t="shared" si="54"/>
        <v>420</v>
      </c>
      <c r="AI23" s="17">
        <v>282610</v>
      </c>
      <c r="AJ23" s="9">
        <f t="shared" si="54"/>
        <v>63</v>
      </c>
      <c r="AK23" s="17">
        <v>1184785</v>
      </c>
      <c r="AL23" s="9">
        <f t="shared" si="54"/>
        <v>234</v>
      </c>
      <c r="AM23" s="17">
        <v>2243491</v>
      </c>
      <c r="AN23" s="9">
        <f t="shared" si="54"/>
        <v>515</v>
      </c>
      <c r="AO23" s="17">
        <v>2164064</v>
      </c>
      <c r="AP23" s="9">
        <f t="shared" si="54"/>
        <v>543</v>
      </c>
      <c r="AQ23" s="44"/>
      <c r="AR23" s="17"/>
      <c r="AS23" s="9">
        <v>0</v>
      </c>
      <c r="AT23" s="17"/>
      <c r="AU23" s="9">
        <v>0</v>
      </c>
      <c r="AV23" s="17">
        <v>96632</v>
      </c>
      <c r="AW23" s="9">
        <f t="shared" si="2"/>
        <v>13</v>
      </c>
      <c r="AX23" s="17">
        <v>1385</v>
      </c>
      <c r="AY23" s="9">
        <f t="shared" si="3"/>
        <v>1</v>
      </c>
      <c r="AZ23" s="17">
        <v>8224625</v>
      </c>
      <c r="BA23" s="9">
        <f t="shared" si="4"/>
        <v>1468</v>
      </c>
      <c r="BB23" s="17">
        <v>1899607</v>
      </c>
      <c r="BC23" s="9">
        <f t="shared" si="13"/>
        <v>1119</v>
      </c>
      <c r="BD23" s="20">
        <v>132</v>
      </c>
      <c r="BE23" s="20">
        <v>193</v>
      </c>
      <c r="BF23">
        <v>18.18</v>
      </c>
      <c r="BH23">
        <f t="shared" si="0"/>
        <v>35.087399999999995</v>
      </c>
    </row>
    <row r="24" spans="1:60" ht="45" customHeight="1">
      <c r="A24" s="8">
        <v>44855</v>
      </c>
      <c r="B24" s="42"/>
      <c r="C24" s="17">
        <v>31576493</v>
      </c>
      <c r="D24" s="9">
        <f t="shared" si="5"/>
        <v>6366</v>
      </c>
      <c r="E24" s="17">
        <v>32098874</v>
      </c>
      <c r="F24" s="9">
        <f t="shared" si="6"/>
        <v>7438</v>
      </c>
      <c r="G24" s="17">
        <v>13484618</v>
      </c>
      <c r="H24" s="9">
        <f t="shared" si="7"/>
        <v>3631</v>
      </c>
      <c r="I24" s="17">
        <v>1888909</v>
      </c>
      <c r="J24" s="9">
        <f t="shared" si="8"/>
        <v>521</v>
      </c>
      <c r="K24" s="17">
        <v>3887646</v>
      </c>
      <c r="L24" s="9">
        <f t="shared" si="8"/>
        <v>781</v>
      </c>
      <c r="M24" s="17">
        <v>5063764</v>
      </c>
      <c r="N24" s="9">
        <f t="shared" ref="N24" si="83">IF((M24-M23&lt;0), "0",M24-M23)</f>
        <v>822</v>
      </c>
      <c r="O24" s="17">
        <v>2632542</v>
      </c>
      <c r="P24" s="9">
        <f t="shared" ref="P24" si="84">IF((O24-O23&lt;0), "0",O24-O23)</f>
        <v>615</v>
      </c>
      <c r="Q24" s="17">
        <v>1547656</v>
      </c>
      <c r="R24" s="9">
        <f t="shared" ref="R24" si="85">IF((Q24-Q23&lt;0), "0",Q24-Q23)</f>
        <v>318</v>
      </c>
      <c r="S24" s="17">
        <v>568886</v>
      </c>
      <c r="T24" s="9">
        <f t="shared" ref="T24" si="86">IF((S24-S23&lt;0), "0",S24-S23)</f>
        <v>173</v>
      </c>
      <c r="U24" s="17">
        <v>4851547</v>
      </c>
      <c r="V24" s="56">
        <f t="shared" si="54"/>
        <v>778</v>
      </c>
      <c r="W24" s="17">
        <v>1102376</v>
      </c>
      <c r="X24" s="9">
        <f t="shared" si="54"/>
        <v>127</v>
      </c>
      <c r="Y24" s="17">
        <v>5004220</v>
      </c>
      <c r="Z24" s="9">
        <f t="shared" si="54"/>
        <v>388</v>
      </c>
      <c r="AA24" s="17">
        <v>2261209</v>
      </c>
      <c r="AB24" s="9">
        <f t="shared" si="54"/>
        <v>1023</v>
      </c>
      <c r="AC24" s="17">
        <v>6289108</v>
      </c>
      <c r="AD24" s="9">
        <f t="shared" si="54"/>
        <v>1414</v>
      </c>
      <c r="AE24" s="17">
        <v>9062155</v>
      </c>
      <c r="AF24" s="56">
        <f t="shared" si="54"/>
        <v>2058</v>
      </c>
      <c r="AG24" s="17">
        <v>1502873</v>
      </c>
      <c r="AH24" s="9">
        <f t="shared" si="54"/>
        <v>432</v>
      </c>
      <c r="AI24" s="17">
        <v>282683</v>
      </c>
      <c r="AJ24" s="9">
        <f t="shared" si="54"/>
        <v>73</v>
      </c>
      <c r="AK24" s="17">
        <v>1185034</v>
      </c>
      <c r="AL24" s="9">
        <f t="shared" si="54"/>
        <v>249</v>
      </c>
      <c r="AM24" s="17">
        <v>2244027</v>
      </c>
      <c r="AN24" s="9">
        <f t="shared" si="54"/>
        <v>536</v>
      </c>
      <c r="AO24" s="17">
        <v>2164587</v>
      </c>
      <c r="AP24" s="9">
        <f t="shared" si="54"/>
        <v>523</v>
      </c>
      <c r="AQ24" s="44"/>
      <c r="AR24" s="17"/>
      <c r="AS24" s="9">
        <v>0</v>
      </c>
      <c r="AT24" s="17"/>
      <c r="AU24" s="9">
        <v>0</v>
      </c>
      <c r="AV24" s="17">
        <v>96647</v>
      </c>
      <c r="AW24" s="9">
        <f t="shared" si="2"/>
        <v>15</v>
      </c>
      <c r="AX24" s="17">
        <v>1387</v>
      </c>
      <c r="AY24" s="9">
        <f t="shared" si="3"/>
        <v>2</v>
      </c>
      <c r="AZ24" s="17">
        <v>8226189</v>
      </c>
      <c r="BA24" s="9">
        <f t="shared" si="4"/>
        <v>1564</v>
      </c>
      <c r="BB24" s="17">
        <v>1900801</v>
      </c>
      <c r="BC24" s="9">
        <f t="shared" si="13"/>
        <v>1194</v>
      </c>
      <c r="BD24" s="20">
        <v>149</v>
      </c>
      <c r="BE24" s="20">
        <v>230</v>
      </c>
      <c r="BF24">
        <v>21.33</v>
      </c>
      <c r="BH24">
        <f t="shared" si="0"/>
        <v>41.166899999999998</v>
      </c>
    </row>
    <row r="25" spans="1:60" ht="45" customHeight="1">
      <c r="A25" s="8">
        <v>44856</v>
      </c>
      <c r="B25" s="42"/>
      <c r="C25" s="17">
        <v>31582743</v>
      </c>
      <c r="D25" s="9">
        <f t="shared" si="5"/>
        <v>6250</v>
      </c>
      <c r="E25" s="17">
        <v>32105211</v>
      </c>
      <c r="F25" s="9">
        <f t="shared" si="6"/>
        <v>6337</v>
      </c>
      <c r="G25" s="17">
        <v>13488268</v>
      </c>
      <c r="H25" s="9">
        <f t="shared" si="7"/>
        <v>3650</v>
      </c>
      <c r="I25" s="17">
        <v>1889437</v>
      </c>
      <c r="J25" s="9">
        <f t="shared" si="8"/>
        <v>528</v>
      </c>
      <c r="K25" s="17">
        <v>3888405</v>
      </c>
      <c r="L25" s="9">
        <f t="shared" si="8"/>
        <v>759</v>
      </c>
      <c r="M25" s="17">
        <v>5064479</v>
      </c>
      <c r="N25" s="9">
        <f t="shared" ref="N25:N26" si="87">IF((M25-M24&lt;0), "0",M25-M24)</f>
        <v>715</v>
      </c>
      <c r="O25" s="17">
        <v>2633169</v>
      </c>
      <c r="P25" s="9">
        <f t="shared" ref="P25:P26" si="88">IF((O25-O24&lt;0), "0",O25-O24)</f>
        <v>627</v>
      </c>
      <c r="Q25" s="17">
        <v>1547977</v>
      </c>
      <c r="R25" s="9">
        <f t="shared" ref="R25:R26" si="89">IF((Q25-Q24&lt;0), "0",Q25-Q24)</f>
        <v>321</v>
      </c>
      <c r="S25" s="17">
        <v>569057</v>
      </c>
      <c r="T25" s="9">
        <f t="shared" ref="T25:T26" si="90">IF((S25-S24&lt;0), "0",S25-S24)</f>
        <v>171</v>
      </c>
      <c r="U25" s="17">
        <v>4852181</v>
      </c>
      <c r="V25" s="9">
        <f t="shared" si="54"/>
        <v>634</v>
      </c>
      <c r="W25" s="17">
        <v>1102453</v>
      </c>
      <c r="X25" s="9">
        <f t="shared" si="54"/>
        <v>77</v>
      </c>
      <c r="Y25" s="17">
        <v>5004820</v>
      </c>
      <c r="Z25" s="9">
        <f t="shared" si="54"/>
        <v>600</v>
      </c>
      <c r="AA25" s="17">
        <v>2262007</v>
      </c>
      <c r="AB25" s="9">
        <f t="shared" si="54"/>
        <v>798</v>
      </c>
      <c r="AC25" s="17">
        <v>6290526</v>
      </c>
      <c r="AD25" s="9">
        <f t="shared" si="54"/>
        <v>1418</v>
      </c>
      <c r="AE25" s="28">
        <v>9064235</v>
      </c>
      <c r="AF25" s="9">
        <f t="shared" si="54"/>
        <v>2080</v>
      </c>
      <c r="AG25" s="28">
        <v>1503303</v>
      </c>
      <c r="AH25" s="9">
        <f t="shared" si="54"/>
        <v>430</v>
      </c>
      <c r="AI25" s="17">
        <v>282752</v>
      </c>
      <c r="AJ25" s="9">
        <f t="shared" si="54"/>
        <v>69</v>
      </c>
      <c r="AK25" s="17">
        <v>1185177</v>
      </c>
      <c r="AL25" s="56">
        <f t="shared" si="54"/>
        <v>143</v>
      </c>
      <c r="AM25" s="17">
        <v>2244525</v>
      </c>
      <c r="AN25" s="9">
        <f t="shared" si="54"/>
        <v>498</v>
      </c>
      <c r="AO25" s="17">
        <v>2165148</v>
      </c>
      <c r="AP25" s="9">
        <f t="shared" si="54"/>
        <v>561</v>
      </c>
      <c r="AQ25" s="44"/>
      <c r="AR25" s="17"/>
      <c r="AS25" s="9">
        <v>0</v>
      </c>
      <c r="AT25" s="17"/>
      <c r="AU25" s="9">
        <v>0</v>
      </c>
      <c r="AV25" s="17">
        <v>96664</v>
      </c>
      <c r="AW25" s="9">
        <f t="shared" si="2"/>
        <v>17</v>
      </c>
      <c r="AX25" s="17">
        <v>1389</v>
      </c>
      <c r="AY25" s="9">
        <f t="shared" si="3"/>
        <v>2</v>
      </c>
      <c r="AZ25" s="17">
        <v>8227754</v>
      </c>
      <c r="BA25" s="9">
        <f t="shared" si="4"/>
        <v>1565</v>
      </c>
      <c r="BB25" s="17">
        <v>1901983</v>
      </c>
      <c r="BC25" s="9">
        <f t="shared" si="13"/>
        <v>1182</v>
      </c>
      <c r="BD25" s="20">
        <v>154</v>
      </c>
      <c r="BE25" s="20">
        <v>230</v>
      </c>
      <c r="BF25">
        <v>22.52</v>
      </c>
      <c r="BH25">
        <f t="shared" si="0"/>
        <v>43.4636</v>
      </c>
    </row>
    <row r="26" spans="1:60" ht="45" customHeight="1">
      <c r="A26" s="8">
        <v>44857</v>
      </c>
      <c r="B26" s="42"/>
      <c r="C26" s="17">
        <v>31588344</v>
      </c>
      <c r="D26" s="9">
        <f>IF((C26-C25&lt;0), "0",C26-C25)</f>
        <v>5601</v>
      </c>
      <c r="E26" s="17">
        <v>32113132</v>
      </c>
      <c r="F26" s="9">
        <f>IF((E26-E25&lt;0), "0",E26-E25)</f>
        <v>7921</v>
      </c>
      <c r="G26" s="17">
        <v>13491906</v>
      </c>
      <c r="H26" s="9">
        <f>IF((G26-G25&lt;0), "0",G26-G25)</f>
        <v>3638</v>
      </c>
      <c r="I26" s="17">
        <v>1889465</v>
      </c>
      <c r="J26" s="9">
        <f t="shared" si="8"/>
        <v>28</v>
      </c>
      <c r="K26" s="17">
        <v>3889168</v>
      </c>
      <c r="L26" s="9">
        <f>IF((K26-K25&lt;0), "0",K26-K25)</f>
        <v>763</v>
      </c>
      <c r="M26" s="17">
        <v>5065013</v>
      </c>
      <c r="N26" s="9">
        <f t="shared" ref="N26:O27" si="91">IF((M26-M25&lt;0), "0",M26-M25)</f>
        <v>534</v>
      </c>
      <c r="O26" s="17">
        <v>2633797</v>
      </c>
      <c r="P26" s="9">
        <f t="shared" ref="P26" si="92">IF((O26-O25&lt;0), "0",O26-O25)</f>
        <v>628</v>
      </c>
      <c r="Q26" s="17">
        <v>1548298</v>
      </c>
      <c r="R26" s="9">
        <f t="shared" ref="R26" si="93">IF((Q26-Q25&lt;0), "0",Q26-Q25)</f>
        <v>321</v>
      </c>
      <c r="S26" s="17">
        <v>569228</v>
      </c>
      <c r="T26" s="9">
        <f t="shared" ref="T26" si="94">IF((S26-S25&lt;0), "0",S26-S25)</f>
        <v>171</v>
      </c>
      <c r="U26" s="17">
        <v>4852800</v>
      </c>
      <c r="V26" s="9">
        <f t="shared" si="54"/>
        <v>619</v>
      </c>
      <c r="W26" s="17">
        <v>1102493</v>
      </c>
      <c r="X26" s="9">
        <f t="shared" si="54"/>
        <v>40</v>
      </c>
      <c r="Y26" s="17">
        <v>5005014</v>
      </c>
      <c r="Z26" s="9">
        <f t="shared" si="54"/>
        <v>194</v>
      </c>
      <c r="AA26" s="17">
        <v>2263143</v>
      </c>
      <c r="AB26" s="9">
        <f t="shared" si="54"/>
        <v>1136</v>
      </c>
      <c r="AC26" s="17">
        <v>6291946</v>
      </c>
      <c r="AD26" s="58">
        <f t="shared" si="54"/>
        <v>1420</v>
      </c>
      <c r="AE26" s="57">
        <v>9066310</v>
      </c>
      <c r="AF26" s="60">
        <f t="shared" si="54"/>
        <v>2075</v>
      </c>
      <c r="AG26" s="57">
        <v>1503740</v>
      </c>
      <c r="AH26" s="59">
        <f t="shared" si="54"/>
        <v>437</v>
      </c>
      <c r="AI26" s="17">
        <v>282831</v>
      </c>
      <c r="AJ26" s="9">
        <f t="shared" si="54"/>
        <v>79</v>
      </c>
      <c r="AK26" s="17">
        <v>1185518</v>
      </c>
      <c r="AL26" s="9">
        <f t="shared" si="54"/>
        <v>341</v>
      </c>
      <c r="AM26" s="17">
        <v>2245063</v>
      </c>
      <c r="AN26" s="9">
        <f t="shared" si="54"/>
        <v>538</v>
      </c>
      <c r="AO26" s="17">
        <v>2165696</v>
      </c>
      <c r="AP26" s="9">
        <f t="shared" si="54"/>
        <v>548</v>
      </c>
      <c r="AQ26" s="44"/>
      <c r="AR26" s="17"/>
      <c r="AS26" s="9">
        <v>0</v>
      </c>
      <c r="AT26" s="17"/>
      <c r="AU26" s="9">
        <v>0</v>
      </c>
      <c r="AV26" s="17">
        <v>96687</v>
      </c>
      <c r="AW26" s="9">
        <f t="shared" si="2"/>
        <v>23</v>
      </c>
      <c r="AX26" s="17">
        <v>1392</v>
      </c>
      <c r="AY26" s="9">
        <f t="shared" si="3"/>
        <v>3</v>
      </c>
      <c r="AZ26" s="17">
        <v>8229264</v>
      </c>
      <c r="BA26" s="9">
        <f t="shared" si="4"/>
        <v>1510</v>
      </c>
      <c r="BB26" s="17">
        <v>1903173</v>
      </c>
      <c r="BC26" s="9">
        <f t="shared" si="13"/>
        <v>1190</v>
      </c>
      <c r="BD26" s="20">
        <v>123</v>
      </c>
      <c r="BE26" s="20">
        <v>182</v>
      </c>
      <c r="BF26">
        <v>20.92</v>
      </c>
      <c r="BH26">
        <f t="shared" si="0"/>
        <v>40.375600000000006</v>
      </c>
    </row>
    <row r="27" spans="1:60" ht="45" customHeight="1">
      <c r="A27" s="8">
        <v>44858</v>
      </c>
      <c r="B27" s="42"/>
      <c r="C27" s="17">
        <v>31593285</v>
      </c>
      <c r="D27" s="35">
        <f>IF((C27-C26&lt;0), "0",C27-C26)</f>
        <v>4941</v>
      </c>
      <c r="E27" s="17">
        <v>32119042</v>
      </c>
      <c r="F27" s="9">
        <f>IF((E27-E26&lt;0), "0",E27-E26)</f>
        <v>5910</v>
      </c>
      <c r="G27" s="17">
        <v>13494863</v>
      </c>
      <c r="H27" s="9">
        <f t="shared" si="7"/>
        <v>2957</v>
      </c>
      <c r="I27" s="17">
        <v>1890419</v>
      </c>
      <c r="J27" s="9">
        <f t="shared" si="8"/>
        <v>954</v>
      </c>
      <c r="K27" s="17">
        <v>3881810</v>
      </c>
      <c r="L27" s="9" t="str">
        <f t="shared" si="8"/>
        <v>0</v>
      </c>
      <c r="M27" s="17">
        <v>5065606</v>
      </c>
      <c r="N27" s="9">
        <f t="shared" ref="N27" si="95">IF((M27-M26&lt;0), "0",M27-M26)</f>
        <v>593</v>
      </c>
      <c r="O27" s="55">
        <v>2634276</v>
      </c>
      <c r="P27" s="9">
        <f t="shared" ref="P27" si="96">IF((O27-O26&lt;0), "0",O27-O26)</f>
        <v>479</v>
      </c>
      <c r="Q27" s="17">
        <v>1548565</v>
      </c>
      <c r="R27" s="9">
        <f t="shared" ref="R27" si="97">IF((Q27-Q26&lt;0), "0",Q27-Q26)</f>
        <v>267</v>
      </c>
      <c r="S27" s="17">
        <v>569367</v>
      </c>
      <c r="T27" s="9">
        <f t="shared" ref="T27" si="98">IF((S27-S26&lt;0), "0",S27-S26)</f>
        <v>139</v>
      </c>
      <c r="U27" s="17">
        <v>4853382</v>
      </c>
      <c r="V27" s="9">
        <f t="shared" si="54"/>
        <v>582</v>
      </c>
      <c r="W27" s="17">
        <v>1102607</v>
      </c>
      <c r="X27" s="9">
        <f t="shared" si="54"/>
        <v>114</v>
      </c>
      <c r="Y27" s="17">
        <v>5005155</v>
      </c>
      <c r="Z27" s="9">
        <f t="shared" si="54"/>
        <v>141</v>
      </c>
      <c r="AA27" s="17">
        <v>2263976</v>
      </c>
      <c r="AB27" s="9">
        <f t="shared" si="54"/>
        <v>833</v>
      </c>
      <c r="AC27" s="17">
        <v>6293101</v>
      </c>
      <c r="AD27" s="58">
        <f t="shared" si="54"/>
        <v>1155</v>
      </c>
      <c r="AE27" s="57">
        <v>9068007</v>
      </c>
      <c r="AF27" s="60">
        <f t="shared" si="54"/>
        <v>1697</v>
      </c>
      <c r="AG27" s="57">
        <v>1504093</v>
      </c>
      <c r="AH27" s="59">
        <f t="shared" si="54"/>
        <v>353</v>
      </c>
      <c r="AI27" s="17">
        <v>282891</v>
      </c>
      <c r="AJ27" s="9">
        <f t="shared" si="54"/>
        <v>60</v>
      </c>
      <c r="AK27" s="17">
        <v>1185714</v>
      </c>
      <c r="AL27" s="9">
        <f t="shared" si="54"/>
        <v>196</v>
      </c>
      <c r="AM27" s="17">
        <v>2245477</v>
      </c>
      <c r="AN27" s="56">
        <f t="shared" si="54"/>
        <v>414</v>
      </c>
      <c r="AO27" s="17">
        <v>2166146</v>
      </c>
      <c r="AP27" s="9">
        <f t="shared" si="54"/>
        <v>450</v>
      </c>
      <c r="AQ27" s="44"/>
      <c r="AR27" s="17"/>
      <c r="AS27" s="9">
        <v>0</v>
      </c>
      <c r="AT27" s="17"/>
      <c r="AU27" s="9">
        <v>0</v>
      </c>
      <c r="AV27" s="17">
        <v>96695</v>
      </c>
      <c r="AW27" s="36">
        <f t="shared" si="2"/>
        <v>8</v>
      </c>
      <c r="AX27" s="17">
        <v>1394</v>
      </c>
      <c r="AY27" s="9">
        <f t="shared" si="3"/>
        <v>2</v>
      </c>
      <c r="AZ27" s="17">
        <v>8230518</v>
      </c>
      <c r="BA27" s="9">
        <f t="shared" si="4"/>
        <v>1254</v>
      </c>
      <c r="BB27" s="17">
        <v>1904133</v>
      </c>
      <c r="BC27" s="9">
        <f t="shared" si="13"/>
        <v>960</v>
      </c>
      <c r="BD27" s="20">
        <v>127</v>
      </c>
      <c r="BE27" s="20">
        <v>181</v>
      </c>
      <c r="BF27">
        <v>17.649999999999999</v>
      </c>
      <c r="BH27">
        <f t="shared" si="0"/>
        <v>34.064499999999995</v>
      </c>
    </row>
    <row r="28" spans="1:60" ht="45" customHeight="1">
      <c r="A28" s="8">
        <v>44099</v>
      </c>
      <c r="B28" s="42"/>
      <c r="C28" s="17">
        <v>31599735</v>
      </c>
      <c r="D28" s="9">
        <f t="shared" si="5"/>
        <v>6450</v>
      </c>
      <c r="E28" s="17">
        <v>32125719</v>
      </c>
      <c r="F28" s="9">
        <f t="shared" si="6"/>
        <v>6677</v>
      </c>
      <c r="G28" s="17">
        <v>13498589</v>
      </c>
      <c r="H28" s="9">
        <f t="shared" si="7"/>
        <v>3726</v>
      </c>
      <c r="I28" s="17">
        <v>1890944</v>
      </c>
      <c r="J28" s="9">
        <f t="shared" si="8"/>
        <v>525</v>
      </c>
      <c r="K28" s="17">
        <v>3890565</v>
      </c>
      <c r="L28" s="9">
        <f t="shared" si="8"/>
        <v>8755</v>
      </c>
      <c r="M28" s="17">
        <v>5066413</v>
      </c>
      <c r="N28" s="9">
        <f t="shared" ref="N28" si="99">IF((M28-M27&lt;0), "0",M28-M27)</f>
        <v>807</v>
      </c>
      <c r="O28" s="17">
        <v>2634903</v>
      </c>
      <c r="P28" s="9">
        <f t="shared" ref="P28" si="100">IF((O28-O27&lt;0), "0",O28-O27)</f>
        <v>627</v>
      </c>
      <c r="Q28" s="17">
        <v>1548907</v>
      </c>
      <c r="R28" s="9">
        <f t="shared" ref="R28" si="101">IF((Q28-Q27&lt;0), "0",Q28-Q27)</f>
        <v>342</v>
      </c>
      <c r="S28" s="17">
        <v>569539</v>
      </c>
      <c r="T28" s="9">
        <f t="shared" ref="T28" si="102">IF((S28-S27&lt;0), "0",S28-S27)</f>
        <v>172</v>
      </c>
      <c r="U28" s="17">
        <v>4854175</v>
      </c>
      <c r="V28" s="9">
        <f t="shared" si="54"/>
        <v>793</v>
      </c>
      <c r="W28" s="17">
        <v>1102867</v>
      </c>
      <c r="X28" s="9">
        <f t="shared" si="54"/>
        <v>260</v>
      </c>
      <c r="Y28" s="17">
        <v>5005510</v>
      </c>
      <c r="Z28" s="9">
        <f t="shared" si="54"/>
        <v>355</v>
      </c>
      <c r="AA28" s="17">
        <v>2264810</v>
      </c>
      <c r="AB28" s="9">
        <f t="shared" si="54"/>
        <v>834</v>
      </c>
      <c r="AC28" s="17">
        <v>6294524</v>
      </c>
      <c r="AD28" s="58">
        <f t="shared" si="54"/>
        <v>1423</v>
      </c>
      <c r="AE28" s="57">
        <v>9069976</v>
      </c>
      <c r="AF28" s="60">
        <f t="shared" si="54"/>
        <v>1969</v>
      </c>
      <c r="AG28" s="57">
        <v>1504528</v>
      </c>
      <c r="AH28" s="59">
        <f t="shared" si="54"/>
        <v>435</v>
      </c>
      <c r="AI28" s="17">
        <v>282965</v>
      </c>
      <c r="AJ28" s="9">
        <f t="shared" si="54"/>
        <v>74</v>
      </c>
      <c r="AK28" s="17">
        <v>1185946</v>
      </c>
      <c r="AL28" s="9">
        <f t="shared" si="54"/>
        <v>232</v>
      </c>
      <c r="AM28" s="17">
        <v>2246000</v>
      </c>
      <c r="AN28" s="9">
        <f t="shared" si="54"/>
        <v>523</v>
      </c>
      <c r="AO28" s="17">
        <v>2166667</v>
      </c>
      <c r="AP28" s="9">
        <f t="shared" si="54"/>
        <v>521</v>
      </c>
      <c r="AQ28" s="44"/>
      <c r="AR28" s="17"/>
      <c r="AS28" s="9">
        <v>0</v>
      </c>
      <c r="AT28" s="17"/>
      <c r="AU28" s="9">
        <v>0</v>
      </c>
      <c r="AV28" s="17">
        <v>96709</v>
      </c>
      <c r="AW28" s="9">
        <f t="shared" si="2"/>
        <v>14</v>
      </c>
      <c r="AX28" s="17">
        <v>1395</v>
      </c>
      <c r="AY28" s="9">
        <f t="shared" si="3"/>
        <v>1</v>
      </c>
      <c r="AZ28" s="17">
        <v>8232106</v>
      </c>
      <c r="BA28" s="9">
        <f t="shared" si="4"/>
        <v>1588</v>
      </c>
      <c r="BB28" s="17">
        <v>1905326</v>
      </c>
      <c r="BC28" s="9">
        <f t="shared" si="13"/>
        <v>1193</v>
      </c>
      <c r="BD28" s="20">
        <v>79</v>
      </c>
      <c r="BE28" s="20">
        <v>115</v>
      </c>
      <c r="BF28">
        <v>25.83</v>
      </c>
      <c r="BH28">
        <f t="shared" si="0"/>
        <v>49.851899999999993</v>
      </c>
    </row>
    <row r="29" spans="1:60" ht="45" customHeight="1">
      <c r="A29" s="8">
        <v>44860</v>
      </c>
      <c r="B29" s="42"/>
      <c r="C29" s="17">
        <v>31606208</v>
      </c>
      <c r="D29" s="9">
        <f t="shared" si="5"/>
        <v>6473</v>
      </c>
      <c r="E29" s="17">
        <v>32132995</v>
      </c>
      <c r="F29" s="9">
        <f t="shared" si="6"/>
        <v>7276</v>
      </c>
      <c r="G29" s="17">
        <v>13502100</v>
      </c>
      <c r="H29" s="9">
        <f t="shared" si="7"/>
        <v>3511</v>
      </c>
      <c r="I29" s="17">
        <v>1891459</v>
      </c>
      <c r="J29" s="9">
        <f t="shared" si="8"/>
        <v>515</v>
      </c>
      <c r="K29" s="17">
        <v>3891344</v>
      </c>
      <c r="L29" s="9">
        <f t="shared" si="8"/>
        <v>779</v>
      </c>
      <c r="M29" s="17">
        <v>5067095</v>
      </c>
      <c r="N29" s="9">
        <f t="shared" ref="N29" si="103">IF((M29-M28&lt;0), "0",M29-M28)</f>
        <v>682</v>
      </c>
      <c r="O29" s="17">
        <v>2635474</v>
      </c>
      <c r="P29" s="9">
        <f t="shared" ref="P29" si="104">IF((O29-O28&lt;0), "0",O29-O28)</f>
        <v>571</v>
      </c>
      <c r="Q29" s="17">
        <v>1549238</v>
      </c>
      <c r="R29" s="9">
        <f t="shared" ref="R29" si="105">IF((Q29-Q28&lt;0), "0",Q29-Q28)</f>
        <v>331</v>
      </c>
      <c r="S29" s="17">
        <v>569711</v>
      </c>
      <c r="T29" s="9">
        <f t="shared" ref="T29" si="106">IF((S29-S28&lt;0), "0",S29-S28)</f>
        <v>172</v>
      </c>
      <c r="U29" s="17">
        <v>4855015</v>
      </c>
      <c r="V29" s="9">
        <f t="shared" si="54"/>
        <v>840</v>
      </c>
      <c r="W29" s="17">
        <v>1103240</v>
      </c>
      <c r="X29" s="9">
        <f t="shared" si="54"/>
        <v>373</v>
      </c>
      <c r="Y29" s="17">
        <v>5005933</v>
      </c>
      <c r="Z29" s="9">
        <f t="shared" si="54"/>
        <v>423</v>
      </c>
      <c r="AA29" s="17">
        <v>2265846</v>
      </c>
      <c r="AB29" s="9">
        <f t="shared" si="54"/>
        <v>1036</v>
      </c>
      <c r="AC29" s="17">
        <v>6295941</v>
      </c>
      <c r="AD29" s="58">
        <f t="shared" si="54"/>
        <v>1417</v>
      </c>
      <c r="AE29" s="57">
        <v>9072042</v>
      </c>
      <c r="AF29" s="60">
        <f t="shared" si="54"/>
        <v>2066</v>
      </c>
      <c r="AG29" s="57">
        <v>1504961</v>
      </c>
      <c r="AH29" s="59">
        <f t="shared" si="54"/>
        <v>433</v>
      </c>
      <c r="AI29" s="17">
        <v>283039</v>
      </c>
      <c r="AJ29" s="9">
        <f t="shared" si="54"/>
        <v>74</v>
      </c>
      <c r="AK29" s="17">
        <v>1186183</v>
      </c>
      <c r="AL29" s="9">
        <f t="shared" si="54"/>
        <v>237</v>
      </c>
      <c r="AM29" s="17">
        <v>2246544</v>
      </c>
      <c r="AN29" s="9">
        <f t="shared" si="54"/>
        <v>544</v>
      </c>
      <c r="AO29" s="17">
        <v>2167132</v>
      </c>
      <c r="AP29" s="9">
        <f t="shared" si="54"/>
        <v>465</v>
      </c>
      <c r="AQ29" s="45"/>
      <c r="AR29" s="17"/>
      <c r="AS29" s="9">
        <v>0</v>
      </c>
      <c r="AT29" s="17"/>
      <c r="AU29" s="9">
        <v>0</v>
      </c>
      <c r="AV29" s="17">
        <v>96722</v>
      </c>
      <c r="AW29" s="9">
        <f t="shared" si="2"/>
        <v>13</v>
      </c>
      <c r="AX29" s="17">
        <v>1397</v>
      </c>
      <c r="AY29" s="9">
        <f t="shared" si="3"/>
        <v>2</v>
      </c>
      <c r="AZ29" s="17">
        <v>8233559</v>
      </c>
      <c r="BA29" s="9">
        <f>IF((AZ29-AZ28&lt;0), "",AZ29-AZ28)</f>
        <v>1453</v>
      </c>
      <c r="BB29" s="17">
        <v>1906472</v>
      </c>
      <c r="BC29" s="9">
        <f t="shared" si="13"/>
        <v>1146</v>
      </c>
      <c r="BD29" s="20">
        <v>109</v>
      </c>
      <c r="BE29" s="20">
        <v>165</v>
      </c>
      <c r="BF29">
        <v>26.32</v>
      </c>
      <c r="BH29">
        <f t="shared" si="0"/>
        <v>50.797599999999996</v>
      </c>
    </row>
    <row r="30" spans="1:60" ht="45" customHeight="1">
      <c r="A30" s="8">
        <v>44861</v>
      </c>
      <c r="B30" s="42"/>
      <c r="C30" s="17">
        <v>31614605</v>
      </c>
      <c r="D30" s="9">
        <f t="shared" si="5"/>
        <v>8397</v>
      </c>
      <c r="E30" s="17">
        <v>32141136</v>
      </c>
      <c r="F30" s="9">
        <f t="shared" si="6"/>
        <v>8141</v>
      </c>
      <c r="G30" s="17">
        <v>13506073</v>
      </c>
      <c r="H30" s="9">
        <f t="shared" si="7"/>
        <v>3973</v>
      </c>
      <c r="I30" s="17">
        <v>1892026</v>
      </c>
      <c r="J30" s="9">
        <f t="shared" si="8"/>
        <v>567</v>
      </c>
      <c r="K30" s="17">
        <v>3892223</v>
      </c>
      <c r="L30" s="9">
        <f t="shared" si="8"/>
        <v>879</v>
      </c>
      <c r="M30" s="17">
        <v>5067888</v>
      </c>
      <c r="N30" s="9">
        <f t="shared" ref="N30" si="107">IF((M30-M29&lt;0), "0",M30-M29)</f>
        <v>793</v>
      </c>
      <c r="O30" s="17">
        <v>2636204</v>
      </c>
      <c r="P30" s="9">
        <f t="shared" ref="P30" si="108">IF((O30-O29&lt;0), "0",O30-O29)</f>
        <v>730</v>
      </c>
      <c r="Q30" s="17">
        <v>1549607</v>
      </c>
      <c r="R30" s="9">
        <f t="shared" ref="R30" si="109">IF((Q30-Q29&lt;0), "0",Q30-Q29)</f>
        <v>369</v>
      </c>
      <c r="S30" s="17">
        <v>569902</v>
      </c>
      <c r="T30" s="9">
        <f t="shared" ref="T30" si="110">IF((S30-S29&lt;0), "0",S30-S29)</f>
        <v>191</v>
      </c>
      <c r="U30" s="17">
        <v>4855886</v>
      </c>
      <c r="V30" s="9">
        <f t="shared" si="54"/>
        <v>871</v>
      </c>
      <c r="W30" s="17">
        <v>1103740</v>
      </c>
      <c r="X30" s="9">
        <f t="shared" si="54"/>
        <v>500</v>
      </c>
      <c r="Y30" s="17">
        <v>5007423</v>
      </c>
      <c r="Z30" s="9">
        <f t="shared" si="54"/>
        <v>1490</v>
      </c>
      <c r="AA30" s="17">
        <v>2266969</v>
      </c>
      <c r="AB30" s="9">
        <f t="shared" si="54"/>
        <v>1123</v>
      </c>
      <c r="AC30" s="17">
        <v>6297535</v>
      </c>
      <c r="AD30" s="58">
        <f t="shared" si="54"/>
        <v>1594</v>
      </c>
      <c r="AE30" s="57">
        <v>9074376</v>
      </c>
      <c r="AF30" s="60">
        <f t="shared" si="54"/>
        <v>2334</v>
      </c>
      <c r="AG30" s="57">
        <v>1505446</v>
      </c>
      <c r="AH30" s="59">
        <f t="shared" si="54"/>
        <v>485</v>
      </c>
      <c r="AI30" s="17">
        <v>283122</v>
      </c>
      <c r="AJ30" s="9">
        <f t="shared" si="54"/>
        <v>83</v>
      </c>
      <c r="AK30" s="17">
        <v>1186450</v>
      </c>
      <c r="AL30" s="9">
        <f t="shared" si="54"/>
        <v>267</v>
      </c>
      <c r="AM30" s="17">
        <v>2247108</v>
      </c>
      <c r="AN30" s="9">
        <f t="shared" si="54"/>
        <v>564</v>
      </c>
      <c r="AO30" s="17">
        <v>2167727</v>
      </c>
      <c r="AP30" s="9">
        <f t="shared" si="54"/>
        <v>595</v>
      </c>
      <c r="AQ30" s="45"/>
      <c r="AR30" s="17"/>
      <c r="AS30" s="9">
        <v>0</v>
      </c>
      <c r="AT30" s="17"/>
      <c r="AU30" s="9">
        <v>0</v>
      </c>
      <c r="AV30" s="17">
        <v>96739</v>
      </c>
      <c r="AW30" s="9">
        <f t="shared" si="2"/>
        <v>17</v>
      </c>
      <c r="AX30" s="17">
        <v>1398</v>
      </c>
      <c r="AY30" s="9">
        <f t="shared" si="3"/>
        <v>1</v>
      </c>
      <c r="AZ30" s="17">
        <v>8235194</v>
      </c>
      <c r="BA30" s="9">
        <f t="shared" si="4"/>
        <v>1635</v>
      </c>
      <c r="BB30" s="17">
        <v>1907761</v>
      </c>
      <c r="BC30" s="9">
        <f t="shared" si="13"/>
        <v>1289</v>
      </c>
      <c r="BD30" s="20">
        <v>133</v>
      </c>
      <c r="BE30" s="20">
        <v>212</v>
      </c>
      <c r="BF30">
        <v>18.79</v>
      </c>
      <c r="BH30">
        <f t="shared" si="0"/>
        <v>36.264699999999998</v>
      </c>
    </row>
    <row r="31" spans="1:60" ht="45" customHeight="1">
      <c r="A31" s="8">
        <v>44862</v>
      </c>
      <c r="B31" s="43"/>
      <c r="C31" s="28"/>
      <c r="D31" s="9" t="str">
        <f t="shared" si="5"/>
        <v>0</v>
      </c>
      <c r="E31" s="28"/>
      <c r="F31" s="9" t="str">
        <f t="shared" si="6"/>
        <v>0</v>
      </c>
      <c r="G31" s="28"/>
      <c r="H31" s="9" t="str">
        <f t="shared" si="7"/>
        <v>0</v>
      </c>
      <c r="I31" s="28"/>
      <c r="J31" s="9" t="str">
        <f t="shared" si="8"/>
        <v>0</v>
      </c>
      <c r="K31" s="28"/>
      <c r="L31" s="9" t="str">
        <f t="shared" si="8"/>
        <v>0</v>
      </c>
      <c r="M31" s="28"/>
      <c r="N31" s="9" t="str">
        <f t="shared" ref="N31" si="111">IF((M31-M30&lt;0), "0",M31-M30)</f>
        <v>0</v>
      </c>
      <c r="O31" s="28"/>
      <c r="P31" s="9" t="str">
        <f t="shared" ref="P31" si="112">IF((O31-O30&lt;0), "0",O31-O30)</f>
        <v>0</v>
      </c>
      <c r="Q31" s="28"/>
      <c r="R31" s="9" t="str">
        <f t="shared" ref="R31" si="113">IF((Q31-Q30&lt;0), "0",Q31-Q30)</f>
        <v>0</v>
      </c>
      <c r="S31" s="28"/>
      <c r="T31" s="9" t="str">
        <f t="shared" ref="T31" si="114">IF((S31-S30&lt;0), "0",S31-S30)</f>
        <v>0</v>
      </c>
      <c r="U31" s="28"/>
      <c r="V31" s="29" t="str">
        <f t="shared" si="54"/>
        <v/>
      </c>
      <c r="W31" s="28"/>
      <c r="X31" s="29" t="str">
        <f t="shared" si="54"/>
        <v/>
      </c>
      <c r="Y31" s="28"/>
      <c r="Z31" s="29" t="str">
        <f t="shared" si="54"/>
        <v/>
      </c>
      <c r="AA31" s="28"/>
      <c r="AB31" s="29" t="str">
        <f t="shared" si="54"/>
        <v/>
      </c>
      <c r="AC31" s="28"/>
      <c r="AD31" s="29" t="str">
        <f t="shared" si="54"/>
        <v/>
      </c>
      <c r="AE31" s="7"/>
      <c r="AF31" s="29" t="str">
        <f t="shared" si="54"/>
        <v/>
      </c>
      <c r="AG31" s="7"/>
      <c r="AH31" s="29" t="str">
        <f t="shared" si="54"/>
        <v/>
      </c>
      <c r="AI31" s="28"/>
      <c r="AJ31" s="29" t="str">
        <f t="shared" si="54"/>
        <v/>
      </c>
      <c r="AK31" s="28"/>
      <c r="AL31" s="29" t="str">
        <f t="shared" si="54"/>
        <v/>
      </c>
      <c r="AM31" s="28"/>
      <c r="AN31" s="29" t="str">
        <f t="shared" si="54"/>
        <v/>
      </c>
      <c r="AO31" s="28"/>
      <c r="AP31" s="9" t="str">
        <f t="shared" si="54"/>
        <v/>
      </c>
      <c r="AQ31" s="45"/>
      <c r="AR31" s="28"/>
      <c r="AS31" s="29">
        <v>0</v>
      </c>
      <c r="AT31" s="28"/>
      <c r="AU31" s="29">
        <v>0</v>
      </c>
      <c r="AV31" s="28"/>
      <c r="AW31" s="29" t="str">
        <f t="shared" si="2"/>
        <v/>
      </c>
      <c r="AX31" s="28"/>
      <c r="AY31" s="29" t="str">
        <f t="shared" si="3"/>
        <v/>
      </c>
      <c r="AZ31" s="28"/>
      <c r="BA31" s="29" t="str">
        <f t="shared" si="4"/>
        <v/>
      </c>
      <c r="BB31" s="28"/>
      <c r="BC31" s="29" t="str">
        <f t="shared" si="13"/>
        <v/>
      </c>
      <c r="BD31" s="30"/>
      <c r="BE31" s="30"/>
      <c r="BF31">
        <v>23.49</v>
      </c>
      <c r="BH31">
        <f t="shared" si="0"/>
        <v>45.335700000000003</v>
      </c>
    </row>
    <row r="32" spans="1:60" ht="34.5" customHeight="1">
      <c r="A32" s="8">
        <v>44863</v>
      </c>
      <c r="B32" s="31"/>
      <c r="C32" s="17"/>
      <c r="D32" s="9">
        <f>IF((C32-C31&lt;0), "0",C32-C31)</f>
        <v>0</v>
      </c>
      <c r="E32" s="31"/>
      <c r="F32" s="9">
        <f>IF((E32-E31&lt;0), "0",E32-E31)</f>
        <v>0</v>
      </c>
      <c r="G32" s="17"/>
      <c r="H32" s="9">
        <v>3992</v>
      </c>
      <c r="I32" s="17"/>
      <c r="J32" s="9">
        <f>IF((I32-I31&lt;0), "0",I32-I31)</f>
        <v>0</v>
      </c>
      <c r="K32" s="31"/>
      <c r="L32" s="9">
        <f>IF((K32-K31&lt;0), "0",K32-K31)</f>
        <v>0</v>
      </c>
      <c r="M32" s="31"/>
      <c r="N32" s="9">
        <f>IF((M32-M31&lt;0), "0",M32-M31)</f>
        <v>0</v>
      </c>
      <c r="O32" s="32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9">
        <f>IF((U32-U31&lt;0), "",U32-U31)</f>
        <v>0</v>
      </c>
      <c r="W32" s="17"/>
      <c r="X32" s="29">
        <f>IF((W32-W31&lt;0), "",W32-W31)</f>
        <v>0</v>
      </c>
      <c r="Y32" s="31"/>
      <c r="Z32" s="29">
        <f>IF((Y32-Y31&lt;0), "",Y32-Y31)</f>
        <v>0</v>
      </c>
      <c r="AA32" s="17"/>
      <c r="AB32" s="29">
        <f>IF((AA32-AA31&lt;0), "",AA32-AA31)</f>
        <v>0</v>
      </c>
      <c r="AC32" s="31"/>
      <c r="AD32" s="29">
        <f>IF((AC32-AC31&lt;0), "",AC32-AC31)</f>
        <v>0</v>
      </c>
      <c r="AE32" s="17"/>
      <c r="AF32" s="29">
        <f>IF((AE32-AE31&lt;0), "",AE32-AE31)</f>
        <v>0</v>
      </c>
      <c r="AG32" s="17"/>
      <c r="AH32" s="29">
        <f>IF((AG32-AG31&lt;0), "",AG32-AG31)</f>
        <v>0</v>
      </c>
      <c r="AI32" s="17"/>
      <c r="AJ32" s="29">
        <f>IF((AI32-AI31&lt;0), "",AI32-AI31)</f>
        <v>0</v>
      </c>
      <c r="AK32" s="17"/>
      <c r="AL32" s="29">
        <f>IF((AK32-AK31&lt;0), "",AK32-AK31)</f>
        <v>0</v>
      </c>
      <c r="AM32" s="17"/>
      <c r="AN32" s="29">
        <f>IF((AM32-AM31&lt;0), "",AM32-AM31)</f>
        <v>0</v>
      </c>
      <c r="AO32" s="17"/>
      <c r="AP32" s="9">
        <f>IF((AO32-AO31&lt;0), "",AO32-AO31)</f>
        <v>0</v>
      </c>
      <c r="AQ32" s="32"/>
      <c r="AR32" s="17"/>
      <c r="AS32" s="29"/>
      <c r="AT32" s="31"/>
      <c r="AU32" s="29"/>
      <c r="AV32" s="17"/>
      <c r="AW32" s="29">
        <f>IF((AV32-AV31&lt;0), "",AV32-AV31)</f>
        <v>0</v>
      </c>
      <c r="AX32" s="17"/>
      <c r="AY32" s="29">
        <f>IF((AX32-AX31&lt;0), "",AX32-AX31)</f>
        <v>0</v>
      </c>
      <c r="AZ32" s="17"/>
      <c r="BA32" s="29">
        <f>IF((AZ32-AZ31&lt;0), "",AZ32-AZ31)</f>
        <v>0</v>
      </c>
      <c r="BB32" s="28"/>
      <c r="BC32" s="29">
        <v>0</v>
      </c>
      <c r="BD32" s="20"/>
      <c r="BE32" s="20"/>
      <c r="BF32">
        <v>20.67</v>
      </c>
      <c r="BH32">
        <f t="shared" si="0"/>
        <v>39.893100000000004</v>
      </c>
    </row>
    <row r="33" spans="1:60" ht="34.5" customHeight="1">
      <c r="A33" s="8">
        <v>44864</v>
      </c>
      <c r="B33" s="31"/>
      <c r="C33" s="33"/>
      <c r="D33" s="9">
        <f t="shared" si="5"/>
        <v>0</v>
      </c>
      <c r="E33" s="31"/>
      <c r="F33" s="9">
        <f t="shared" si="6"/>
        <v>0</v>
      </c>
      <c r="G33" s="17"/>
      <c r="H33" s="9">
        <v>3992</v>
      </c>
      <c r="I33" s="34"/>
      <c r="J33" s="9">
        <f t="shared" si="8"/>
        <v>0</v>
      </c>
      <c r="K33" s="34"/>
      <c r="L33" s="9">
        <f t="shared" si="8"/>
        <v>0</v>
      </c>
      <c r="M33" s="31"/>
      <c r="N33" s="9">
        <f t="shared" ref="N33" si="115">IF((M33-M32&lt;0), "0",M33-M32)</f>
        <v>0</v>
      </c>
      <c r="O33" s="32"/>
      <c r="P33" s="9">
        <f t="shared" ref="P33" si="116">IF((O33-O32&lt;0), "0",O33-O32)</f>
        <v>0</v>
      </c>
      <c r="Q33" s="31"/>
      <c r="R33" s="9">
        <f t="shared" ref="R33" si="117">IF((Q33-Q32&lt;0), "0",Q33-Q32)</f>
        <v>0</v>
      </c>
      <c r="S33" s="31"/>
      <c r="T33" s="9">
        <f t="shared" ref="T33" si="118">IF((S33-S32&lt;0), "0",S33-S32)</f>
        <v>0</v>
      </c>
      <c r="U33" s="31"/>
      <c r="V33" s="29">
        <f t="shared" si="54"/>
        <v>0</v>
      </c>
      <c r="W33" s="31"/>
      <c r="X33" s="29">
        <f t="shared" si="54"/>
        <v>0</v>
      </c>
      <c r="Y33" s="31"/>
      <c r="Z33" s="29">
        <f t="shared" si="54"/>
        <v>0</v>
      </c>
      <c r="AA33" s="31"/>
      <c r="AB33" s="29">
        <f t="shared" si="54"/>
        <v>0</v>
      </c>
      <c r="AC33" s="31"/>
      <c r="AD33" s="29">
        <f t="shared" si="54"/>
        <v>0</v>
      </c>
      <c r="AE33" s="31"/>
      <c r="AF33" s="29">
        <f t="shared" si="54"/>
        <v>0</v>
      </c>
      <c r="AG33" s="31"/>
      <c r="AH33" s="29">
        <f t="shared" si="54"/>
        <v>0</v>
      </c>
      <c r="AI33" s="17"/>
      <c r="AJ33" s="29">
        <f t="shared" si="54"/>
        <v>0</v>
      </c>
      <c r="AK33" s="31"/>
      <c r="AL33" s="29">
        <f t="shared" si="54"/>
        <v>0</v>
      </c>
      <c r="AM33" s="17"/>
      <c r="AN33" s="29">
        <f t="shared" si="54"/>
        <v>0</v>
      </c>
      <c r="AO33" s="17"/>
      <c r="AP33" s="29">
        <f t="shared" si="54"/>
        <v>0</v>
      </c>
      <c r="AQ33" s="32"/>
      <c r="AR33" s="17"/>
      <c r="AS33" s="29"/>
      <c r="AT33" s="31"/>
      <c r="AU33" s="29"/>
      <c r="AV33" s="17"/>
      <c r="AW33" s="29">
        <f t="shared" si="2"/>
        <v>0</v>
      </c>
      <c r="AX33" s="17"/>
      <c r="AY33" s="29">
        <f t="shared" si="3"/>
        <v>0</v>
      </c>
      <c r="AZ33" s="17"/>
      <c r="BA33" s="29">
        <f t="shared" si="4"/>
        <v>0</v>
      </c>
      <c r="BB33" s="17"/>
      <c r="BC33" s="29">
        <v>0</v>
      </c>
      <c r="BD33" s="20"/>
      <c r="BE33" s="20"/>
      <c r="BF33">
        <v>13.25</v>
      </c>
      <c r="BH33">
        <f t="shared" si="0"/>
        <v>25.572500000000002</v>
      </c>
    </row>
    <row r="34" spans="1:60" ht="34.5" customHeight="1">
      <c r="A34" s="8">
        <v>44864</v>
      </c>
      <c r="B34" s="31"/>
      <c r="C34" s="17"/>
      <c r="D34" s="9">
        <f t="shared" si="5"/>
        <v>0</v>
      </c>
      <c r="E34" s="31"/>
      <c r="F34" s="9">
        <f t="shared" si="6"/>
        <v>0</v>
      </c>
      <c r="G34" s="17"/>
      <c r="H34" s="9">
        <f t="shared" si="7"/>
        <v>0</v>
      </c>
      <c r="I34" s="31"/>
      <c r="J34" s="9">
        <f t="shared" si="8"/>
        <v>0</v>
      </c>
      <c r="K34" s="31"/>
      <c r="L34" s="9">
        <f t="shared" si="8"/>
        <v>0</v>
      </c>
      <c r="M34" s="31"/>
      <c r="N34" s="9">
        <f t="shared" ref="N34" si="119">IF((M34-M33&lt;0), "0",M34-M33)</f>
        <v>0</v>
      </c>
      <c r="O34" s="32"/>
      <c r="P34" s="9">
        <f t="shared" ref="P34" si="120">IF((O34-O33&lt;0), "0",O34-O33)</f>
        <v>0</v>
      </c>
      <c r="Q34" s="31"/>
      <c r="R34" s="9">
        <f t="shared" ref="R34" si="121">IF((Q34-Q33&lt;0), "0",Q34-Q33)</f>
        <v>0</v>
      </c>
      <c r="S34" s="31"/>
      <c r="T34" s="9">
        <f t="shared" ref="T34" si="122">IF((S34-S33&lt;0), "0",S34-S33)</f>
        <v>0</v>
      </c>
      <c r="U34" s="31"/>
      <c r="V34" s="29">
        <f t="shared" si="54"/>
        <v>0</v>
      </c>
      <c r="W34" s="31"/>
      <c r="X34" s="29">
        <f t="shared" si="54"/>
        <v>0</v>
      </c>
      <c r="Y34" s="31"/>
      <c r="Z34" s="29">
        <f t="shared" si="54"/>
        <v>0</v>
      </c>
      <c r="AA34" s="31"/>
      <c r="AB34" s="29">
        <f t="shared" si="54"/>
        <v>0</v>
      </c>
      <c r="AC34" s="31"/>
      <c r="AD34" s="29">
        <f t="shared" si="54"/>
        <v>0</v>
      </c>
      <c r="AE34" s="31"/>
      <c r="AF34" s="29">
        <f t="shared" si="54"/>
        <v>0</v>
      </c>
      <c r="AG34" s="31"/>
      <c r="AH34" s="29">
        <f t="shared" si="54"/>
        <v>0</v>
      </c>
      <c r="AI34" s="17"/>
      <c r="AJ34" s="29">
        <f t="shared" si="54"/>
        <v>0</v>
      </c>
      <c r="AK34" s="31"/>
      <c r="AL34" s="29">
        <f t="shared" si="54"/>
        <v>0</v>
      </c>
      <c r="AM34" s="17"/>
      <c r="AN34" s="29">
        <f t="shared" si="54"/>
        <v>0</v>
      </c>
      <c r="AO34" s="17"/>
      <c r="AP34" s="29">
        <f t="shared" si="54"/>
        <v>0</v>
      </c>
      <c r="AQ34" s="32"/>
      <c r="AR34" s="17"/>
      <c r="AS34" s="29"/>
      <c r="AT34" s="31"/>
      <c r="AU34" s="29"/>
      <c r="AV34" s="17"/>
      <c r="AW34" s="29">
        <f t="shared" si="2"/>
        <v>0</v>
      </c>
      <c r="AX34" s="17"/>
      <c r="AY34" s="29">
        <f t="shared" si="3"/>
        <v>0</v>
      </c>
      <c r="AZ34" s="17"/>
      <c r="BA34" s="29">
        <f t="shared" si="4"/>
        <v>0</v>
      </c>
      <c r="BB34" s="17"/>
      <c r="BC34" s="29">
        <f t="shared" si="13"/>
        <v>0</v>
      </c>
      <c r="BD34" s="20"/>
      <c r="BE34" s="20"/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2022-10-28T14:52:13Z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