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2" windowHeight="10236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<sst xmlns="http://schemas.openxmlformats.org/spreadsheetml/2006/main" count="296" uniqueCount="138">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</sst>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topLeftCell="A5" workbookViewId="0">
      <selection activeCell="N29" sqref="N29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18"/>
    <col min="4" max="4" width="13.44140625" style="1" customWidth="1"/>
    <col min="5" max="5" width="9.6640625" style="17" bestFit="1" customWidth="1"/>
    <col min="6" max="6" width="12.5546875" style="18" customWidth="1"/>
    <col min="7" max="7" width="13" style="19" customWidth="1"/>
    <col min="8" max="8" width="11.5546875" style="18"/>
    <col min="9" max="9" width="11.5546875" style="1"/>
    <col min="10" max="10" width="11.5546875" style="18"/>
    <col min="11" max="11" width="11.5546875" style="1"/>
  </cols>
  <sheetData>
    <row r="1" spans="1:13" s="9" customFormat="1" ht="43.2" x14ac:dyDescent="0.3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3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3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3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3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3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3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3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3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3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3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3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3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3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3">
      <c r="A15" s="1" t="s">
        <v>11</v>
      </c>
      <c r="B15" s="15">
        <f t="shared" si="0"/>
        <v>14</v>
      </c>
      <c r="C15" s="11">
        <v>6</v>
      </c>
      <c r="D15" s="1">
        <v>2020</v>
      </c>
      <c r="E15" s="12" t="e">
        <f>Submetering!E15+Submetering!F15+Submetering!G15+Submetering!H15+Submetering!J15-Submetering!AV15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3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3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3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3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3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3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3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3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3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3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3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3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3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3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3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3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3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I1" workbookViewId="0">
      <selection activeCell="BB2" sqref="BB2:BB11"/>
    </sheetView>
  </sheetViews>
  <sheetFormatPr defaultColWidth="11.5546875" defaultRowHeight="14.4" x14ac:dyDescent="0.3"/>
  <cols>
    <col min="1" max="1" width="27" style="28" customWidth="1"/>
    <col min="2" max="2" width="9.44140625" style="28" customWidth="1"/>
    <col min="3" max="3" width="9.88671875" style="18" customWidth="1"/>
    <col min="4" max="4" width="12.109375" style="28" customWidth="1"/>
    <col min="5" max="5" width="13" style="17" customWidth="1"/>
    <col min="6" max="6" width="12.5546875" style="18" customWidth="1"/>
    <col min="7" max="7" width="13" style="30" customWidth="1"/>
    <col min="8" max="8" width="11.5546875" style="18"/>
    <col min="9" max="9" width="11.5546875" style="28"/>
    <col min="10" max="10" width="11.5546875" style="18"/>
    <col min="11" max="11" width="11.5546875" style="28"/>
    <col min="12" max="12" width="12" style="28" bestFit="1" customWidth="1"/>
    <col min="13" max="20" width="11.5546875" style="28"/>
    <col min="21" max="31" width="11.5546875" style="37"/>
    <col min="32" max="32" width="11.5546875" style="28"/>
    <col min="33" max="42" width="11.5546875" style="18"/>
    <col min="43" max="55" width="11.5546875" style="28"/>
    <col min="56" max="56" width="12" style="29" bestFit="1" customWidth="1"/>
    <col min="57" max="16384" width="11.5546875" style="29"/>
  </cols>
  <sheetData>
    <row r="1" spans="1:56" s="9" customFormat="1" ht="55.5" customHeight="1" x14ac:dyDescent="0.3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3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3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3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3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3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3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3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3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3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3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3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3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3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3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 t="str">
        <f>'FS Desroches Daily'!D17</f>
        <v>0</v>
      </c>
      <c r="F15" s="33" t="str">
        <f>'FS Desroches Daily'!F17</f>
        <v>0</v>
      </c>
      <c r="G15" s="32" t="str">
        <f>'FS Desroches Daily'!H17</f>
        <v>0</v>
      </c>
      <c r="H15" s="33" t="str">
        <f>'FS Desroches Daily'!J17</f>
        <v>0</v>
      </c>
      <c r="I15" s="32" t="str">
        <f>'FS Desroches Daily'!L17</f>
        <v>0</v>
      </c>
      <c r="J15" s="33" t="str">
        <f>'FS Desroches Daily'!N17</f>
        <v/>
      </c>
      <c r="K15" s="13" t="str">
        <f>'FS Desroches Daily'!P17</f>
        <v/>
      </c>
      <c r="L15" s="32" t="str">
        <f>'FS Desroches Daily'!R17</f>
        <v/>
      </c>
      <c r="M15" s="32" t="str">
        <f>'FS Desroches Daily'!T17</f>
        <v/>
      </c>
      <c r="N15" s="32" t="str">
        <f>'FS Desroches Daily'!V17</f>
        <v/>
      </c>
      <c r="O15" s="32" t="str">
        <f>'FS Desroches Daily'!X17</f>
        <v/>
      </c>
      <c r="P15" s="32" t="str">
        <f>'FS Desroches Daily'!Z17</f>
        <v/>
      </c>
      <c r="Q15" s="32" t="str">
        <f>'FS Desroches Daily'!AB17</f>
        <v/>
      </c>
      <c r="R15" s="32" t="str">
        <f>'FS Desroches Daily'!AD17</f>
        <v/>
      </c>
      <c r="S15" s="32" t="str">
        <f>'FS Desroches Daily'!AF17</f>
        <v/>
      </c>
      <c r="T15" s="32" t="str">
        <f>'FS Desroches Daily'!AH17</f>
        <v/>
      </c>
      <c r="U15" s="36" t="str">
        <f>'FS Desroches Daily'!AJ17</f>
        <v/>
      </c>
      <c r="V15" s="36" t="str">
        <f>'FS Desroches Daily'!AL17</f>
        <v/>
      </c>
      <c r="W15" s="36" t="str">
        <f>'FS Desroches Daily'!AN17</f>
        <v/>
      </c>
      <c r="X15" s="36" t="str">
        <f>'FS Desroches Daily'!AP17</f>
        <v/>
      </c>
      <c r="Y15" s="36" t="str">
        <f>'FS Desroches Daily'!AR17</f>
        <v/>
      </c>
      <c r="Z15" s="36" t="str">
        <f>'FS Desroches Daily'!AT17</f>
        <v/>
      </c>
      <c r="AA15" s="36" t="str">
        <f>'FS Desroches Daily'!AT17</f>
        <v/>
      </c>
      <c r="AB15" s="36" t="str">
        <f>'FS Desroches Daily'!AV17</f>
        <v/>
      </c>
      <c r="AC15" s="36" t="str">
        <f>'FS Desroches Daily'!AZ17</f>
        <v/>
      </c>
      <c r="AD15" s="36" t="str">
        <f>'FS Desroches Daily'!BB17</f>
        <v/>
      </c>
      <c r="AE15" s="36" t="str">
        <f>'FS Desroches Daily'!BD17</f>
        <v/>
      </c>
      <c r="AF15" s="32" t="str">
        <f>'FS Desroches Daily'!BF17</f>
        <v/>
      </c>
      <c r="AG15" s="33" t="str">
        <f>'FS Desroches Daily'!BH17</f>
        <v/>
      </c>
      <c r="AH15" s="33" t="str">
        <f>'FS Desroches Daily'!BJ17</f>
        <v/>
      </c>
      <c r="AI15" s="33" t="str">
        <f>'FS Desroches Daily'!BL17</f>
        <v/>
      </c>
      <c r="AJ15" s="33" t="str">
        <f>'FS Desroches Daily'!BN17</f>
        <v/>
      </c>
      <c r="AK15" s="33" t="str">
        <f>'FS Desroches Daily'!BP17</f>
        <v/>
      </c>
      <c r="AL15" s="33" t="str">
        <f>'FS Desroches Daily'!BR17</f>
        <v/>
      </c>
      <c r="AM15" s="33" t="str">
        <f>'FS Desroches Daily'!BT17</f>
        <v/>
      </c>
      <c r="AN15" s="33" t="str">
        <f>'FS Desroches Daily'!BV17</f>
        <v/>
      </c>
      <c r="AO15" s="33" t="str">
        <f>'FS Desroches Daily'!BX17</f>
        <v/>
      </c>
      <c r="AP15" s="33" t="str">
        <f>'FS Desroches Daily'!BZ17</f>
        <v/>
      </c>
      <c r="AQ15" s="32" t="str">
        <f>'FS Desroches Daily'!CB17</f>
        <v/>
      </c>
      <c r="AR15" s="32" t="str">
        <f>'FS Desroches Daily'!CD17</f>
        <v/>
      </c>
      <c r="AS15" s="32" t="str">
        <f>'FS Desroches Daily'!CF17</f>
        <v/>
      </c>
      <c r="AT15" s="32" t="str">
        <f>'FS Desroches Daily'!CH17</f>
        <v/>
      </c>
      <c r="AU15" s="32" t="str">
        <f>'FS Desroches Daily'!CJ17</f>
        <v/>
      </c>
      <c r="AV15" s="32" t="str">
        <f>'FS Desroches Daily'!CL17</f>
        <v/>
      </c>
      <c r="AW15" s="32">
        <f>'FS Desroches Daily'!CM17</f>
        <v>0</v>
      </c>
      <c r="AX15" s="32" t="str">
        <f>IF(LPG!F22-LPG!F21&lt;0,"0",(LPG!F22-LPG!F21)*1.8315)</f>
        <v>0</v>
      </c>
      <c r="AY15" s="32" t="str">
        <f>IF(LPG!H22-LPG!H21&lt;0,"0",(LPG!H22-LPG!H21)*1.8315)</f>
        <v>0</v>
      </c>
      <c r="AZ15" s="32" t="str">
        <f>IF(LPG!J22-LPG!J21&lt;0,"0",(LPG!J22-LPG!J21)*1.8315)</f>
        <v>0</v>
      </c>
      <c r="BA15" s="32" t="str">
        <f>IF(LPG!M22-LPG!M21&lt;0,"0",(LPG!M22-LPG!M21)*1.8315)</f>
        <v>0</v>
      </c>
      <c r="BB15" s="32" t="str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3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3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3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3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3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3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3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3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3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3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3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3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3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3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3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3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3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3">
      <c r="E33" s="36">
        <f>SUM(E2:E32)</f>
        <v>8499.9999999999527</v>
      </c>
      <c r="F33" s="17">
        <f t="shared" ref="F33:BC33" si="1">SUM(F2:F32)</f>
        <v>7600.0000000000509</v>
      </c>
      <c r="G33" s="17">
        <f t="shared" si="1"/>
        <v>21100.00000000012</v>
      </c>
      <c r="H33" s="17">
        <f t="shared" si="1"/>
        <v>13000.00000000012</v>
      </c>
      <c r="I33" s="17">
        <f t="shared" si="1"/>
        <v>24700.000000000167</v>
      </c>
      <c r="J33" s="17">
        <f t="shared" si="1"/>
        <v>6099.9999999999945</v>
      </c>
      <c r="K33" s="17">
        <f t="shared" si="1"/>
        <v>11</v>
      </c>
      <c r="L33" s="17">
        <f t="shared" si="1"/>
        <v>54</v>
      </c>
      <c r="M33" s="17">
        <f t="shared" si="1"/>
        <v>2326</v>
      </c>
      <c r="N33" s="17">
        <f t="shared" si="1"/>
        <v>1349</v>
      </c>
      <c r="O33" s="17">
        <f t="shared" si="1"/>
        <v>979.99999999996135</v>
      </c>
      <c r="P33" s="17">
        <f t="shared" si="1"/>
        <v>5399.9999999998499</v>
      </c>
      <c r="Q33" s="17">
        <f t="shared" si="1"/>
        <v>920.00000000001592</v>
      </c>
      <c r="R33" s="17">
        <f t="shared" si="1"/>
        <v>1669.9999999999591</v>
      </c>
      <c r="S33" s="17">
        <f t="shared" si="1"/>
        <v>2080.0000000000409</v>
      </c>
      <c r="T33" s="17">
        <f t="shared" si="1"/>
        <v>15.799999999999955</v>
      </c>
      <c r="U33" s="36">
        <f t="shared" si="1"/>
        <v>2439.9999999999977</v>
      </c>
      <c r="V33" s="36">
        <f t="shared" si="1"/>
        <v>360.1700000000136</v>
      </c>
      <c r="W33" s="36">
        <f t="shared" si="1"/>
        <v>350.07999999999424</v>
      </c>
      <c r="X33" s="36">
        <f t="shared" si="1"/>
        <v>310.09000000000219</v>
      </c>
      <c r="Y33" s="36">
        <f t="shared" si="1"/>
        <v>480.00000000001819</v>
      </c>
      <c r="Z33" s="36">
        <f t="shared" si="1"/>
        <v>439.99999999999773</v>
      </c>
      <c r="AA33" s="36">
        <f t="shared" si="1"/>
        <v>439.99999999999773</v>
      </c>
      <c r="AB33" s="36">
        <f t="shared" si="1"/>
        <v>259.99999999999091</v>
      </c>
      <c r="AC33" s="36">
        <f t="shared" si="1"/>
        <v>330.00000000004093</v>
      </c>
      <c r="AD33" s="36">
        <f t="shared" si="1"/>
        <v>250</v>
      </c>
      <c r="AE33" s="36">
        <f t="shared" si="1"/>
        <v>180.00000000000682</v>
      </c>
      <c r="AF33" s="17">
        <f t="shared" si="1"/>
        <v>329</v>
      </c>
      <c r="AG33" s="33">
        <f t="shared" si="1"/>
        <v>329.99999999998408</v>
      </c>
      <c r="AH33" s="33">
        <f t="shared" si="1"/>
        <v>379.99999999999545</v>
      </c>
      <c r="AI33" s="33">
        <f t="shared" si="1"/>
        <v>349.99999999999432</v>
      </c>
      <c r="AJ33" s="33">
        <f t="shared" si="1"/>
        <v>359.99999999998522</v>
      </c>
      <c r="AK33" s="33">
        <f t="shared" si="1"/>
        <v>540.00000000002046</v>
      </c>
      <c r="AL33" s="33">
        <f t="shared" si="1"/>
        <v>138</v>
      </c>
      <c r="AM33" s="33">
        <f t="shared" si="1"/>
        <v>120.00000000000455</v>
      </c>
      <c r="AN33" s="33">
        <f t="shared" si="1"/>
        <v>270</v>
      </c>
      <c r="AO33" s="33">
        <f t="shared" si="1"/>
        <v>409.99999999999659</v>
      </c>
      <c r="AP33" s="33">
        <f t="shared" si="1"/>
        <v>363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716.79999999999563</v>
      </c>
      <c r="AU33" s="17">
        <f t="shared" si="1"/>
        <v>2634</v>
      </c>
      <c r="AV33" s="17">
        <f t="shared" si="1"/>
        <v>5040.0000000000773</v>
      </c>
      <c r="AW33" s="17">
        <f t="shared" si="1"/>
        <v>386.20000000000005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98.900999999999996</v>
      </c>
      <c r="BC33" s="17">
        <f t="shared" si="1"/>
        <v>0</v>
      </c>
    </row>
    <row r="35" spans="5:55" x14ac:dyDescent="0.3">
      <c r="E35" s="39">
        <f>E33/E37</f>
        <v>0.17918124710147793</v>
      </c>
      <c r="G35" s="30">
        <f>G33-M36</f>
        <v>17425.00000000012</v>
      </c>
      <c r="AE35" s="36">
        <f>SUM(U33:AE33)</f>
        <v>5840.3400000000602</v>
      </c>
      <c r="AG35" s="33">
        <f>SUM(AG33:AP33)</f>
        <v>3260.9999999999809</v>
      </c>
    </row>
    <row r="36" spans="5:55" x14ac:dyDescent="0.3">
      <c r="G36" s="30">
        <f>G35-633*14</f>
        <v>8563.0000000001201</v>
      </c>
      <c r="M36" s="30">
        <f>M33+N33</f>
        <v>3675</v>
      </c>
    </row>
    <row r="37" spans="5:55" x14ac:dyDescent="0.3">
      <c r="E37" s="17">
        <f>E33+F33+G33+H33+J33-633*14</f>
        <v>47438.00000000024</v>
      </c>
      <c r="G37" s="38">
        <f>M36/E37</f>
        <v>7.7469539187992362E-2</v>
      </c>
      <c r="M37" s="36">
        <f>AE35</f>
        <v>5840.3400000000602</v>
      </c>
    </row>
    <row r="38" spans="5:55" x14ac:dyDescent="0.3">
      <c r="L38" s="28">
        <f>M38/E37</f>
        <v>6.8742358446814034E-2</v>
      </c>
      <c r="M38" s="30">
        <f>AG35</f>
        <v>3260.9999999999809</v>
      </c>
    </row>
    <row r="39" spans="5:55" x14ac:dyDescent="0.3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zoomScale="60" zoomScaleNormal="60" workbookViewId="0">
      <pane ySplit="1" topLeftCell="A2" activePane="bottomLeft" state="frozen"/>
      <selection pane="bottomLeft" activeCell="CO16" sqref="CO16"/>
    </sheetView>
  </sheetViews>
  <sheetFormatPr defaultRowHeight="18" x14ac:dyDescent="0.35"/>
  <cols>
    <col min="1" max="1" width="14" style="59" customWidth="1"/>
    <col min="2" max="2" width="2" style="59" customWidth="1"/>
    <col min="3" max="3" width="11.88671875" style="63" customWidth="1"/>
    <col min="4" max="4" width="18.44140625" style="71" customWidth="1"/>
    <col min="5" max="5" width="13.6640625" style="59" customWidth="1"/>
    <col min="6" max="6" width="13.88671875" style="72" customWidth="1"/>
    <col min="7" max="7" width="14.6640625" style="63" customWidth="1"/>
    <col min="8" max="8" width="14.5546875" style="63" customWidth="1"/>
    <col min="9" max="9" width="13.44140625" style="59" customWidth="1"/>
    <col min="10" max="10" width="13.44140625" style="63" customWidth="1"/>
    <col min="11" max="11" width="13.44140625" style="59" customWidth="1"/>
    <col min="12" max="12" width="13.44140625" style="63" customWidth="1"/>
    <col min="13" max="13" width="13.44140625" style="59" customWidth="1"/>
    <col min="14" max="16" width="13.44140625" style="73" customWidth="1"/>
    <col min="17" max="17" width="13.44140625" style="59" customWidth="1"/>
    <col min="18" max="18" width="13.44140625" style="73" customWidth="1"/>
    <col min="19" max="19" width="13.44140625" style="59" customWidth="1"/>
    <col min="20" max="20" width="13.44140625" style="73" customWidth="1"/>
    <col min="21" max="21" width="13.44140625" style="59" customWidth="1"/>
    <col min="22" max="22" width="13.44140625" style="73" customWidth="1"/>
    <col min="23" max="23" width="13.44140625" style="59" customWidth="1"/>
    <col min="24" max="24" width="13.44140625" style="73" customWidth="1"/>
    <col min="25" max="25" width="13.44140625" style="59" customWidth="1"/>
    <col min="26" max="26" width="13.44140625" style="73" customWidth="1"/>
    <col min="27" max="27" width="14.44140625" style="59" customWidth="1"/>
    <col min="28" max="28" width="10.5546875" style="73" customWidth="1"/>
    <col min="29" max="29" width="13.44140625" style="59" customWidth="1"/>
    <col min="30" max="30" width="11" style="73" customWidth="1"/>
    <col min="31" max="31" width="13.44140625" style="59" customWidth="1"/>
    <col min="32" max="32" width="13.44140625" style="73" customWidth="1"/>
    <col min="33" max="33" width="11.88671875" style="59" customWidth="1"/>
    <col min="34" max="34" width="9.5546875" style="73" customWidth="1"/>
    <col min="35" max="35" width="13.109375" style="59" customWidth="1"/>
    <col min="36" max="36" width="12.5546875" style="73" customWidth="1"/>
    <col min="37" max="37" width="13.44140625" style="59" customWidth="1"/>
    <col min="38" max="38" width="16" style="73" customWidth="1"/>
    <col min="39" max="39" width="13.44140625" style="63" customWidth="1"/>
    <col min="40" max="40" width="13.44140625" style="73" customWidth="1"/>
    <col min="41" max="41" width="13.44140625" style="63" customWidth="1"/>
    <col min="42" max="42" width="13.44140625" style="73" customWidth="1"/>
    <col min="43" max="43" width="13.44140625" style="63" customWidth="1"/>
    <col min="44" max="44" width="13.44140625" style="73" customWidth="1"/>
    <col min="45" max="45" width="13.44140625" style="63" customWidth="1"/>
    <col min="46" max="46" width="13.44140625" style="73" customWidth="1"/>
    <col min="47" max="47" width="13.44140625" style="63" customWidth="1"/>
    <col min="48" max="48" width="13.44140625" style="73" customWidth="1"/>
    <col min="49" max="49" width="13.44140625" style="63" customWidth="1"/>
    <col min="50" max="50" width="13.44140625" style="73" customWidth="1"/>
    <col min="51" max="51" width="13.44140625" style="63" customWidth="1"/>
    <col min="52" max="52" width="13.44140625" style="73" customWidth="1"/>
    <col min="53" max="53" width="13.44140625" style="63" customWidth="1"/>
    <col min="54" max="54" width="13.44140625" style="73" customWidth="1"/>
    <col min="55" max="55" width="13.44140625" style="63" customWidth="1"/>
    <col min="56" max="56" width="13.44140625" style="73" customWidth="1"/>
    <col min="57" max="57" width="13.44140625" style="63" customWidth="1"/>
    <col min="58" max="58" width="13.44140625" style="73" customWidth="1"/>
    <col min="59" max="59" width="13.44140625" style="63" customWidth="1"/>
    <col min="60" max="60" width="13.44140625" style="73" customWidth="1"/>
    <col min="61" max="61" width="13.44140625" style="63" customWidth="1"/>
    <col min="62" max="62" width="13.44140625" style="73" customWidth="1"/>
    <col min="63" max="63" width="13.44140625" style="63" customWidth="1"/>
    <col min="64" max="64" width="13.44140625" style="73" customWidth="1"/>
    <col min="65" max="65" width="13.44140625" style="63" customWidth="1"/>
    <col min="66" max="66" width="13.44140625" style="73" customWidth="1"/>
    <col min="67" max="67" width="13.44140625" style="63" customWidth="1"/>
    <col min="68" max="68" width="13.44140625" style="73" customWidth="1"/>
    <col min="69" max="69" width="13.44140625" style="63" customWidth="1"/>
    <col min="70" max="70" width="13.44140625" style="73" customWidth="1"/>
    <col min="71" max="71" width="13.44140625" style="63" customWidth="1"/>
    <col min="72" max="72" width="13.44140625" style="73" customWidth="1"/>
    <col min="73" max="73" width="13.44140625" style="63" customWidth="1"/>
    <col min="74" max="74" width="13.44140625" style="73" customWidth="1"/>
    <col min="75" max="75" width="13.44140625" style="63" customWidth="1"/>
    <col min="76" max="76" width="13.44140625" style="73" customWidth="1"/>
    <col min="77" max="77" width="13.44140625" style="63" customWidth="1"/>
    <col min="78" max="78" width="13.44140625" style="73" customWidth="1"/>
    <col min="79" max="79" width="13.44140625" style="63" customWidth="1"/>
    <col min="80" max="80" width="13.44140625" style="73" customWidth="1"/>
    <col min="81" max="81" width="13.44140625" style="63" customWidth="1"/>
    <col min="82" max="82" width="13.44140625" style="73" customWidth="1"/>
    <col min="83" max="83" width="13.44140625" style="63" customWidth="1"/>
    <col min="84" max="84" width="13.44140625" style="73" customWidth="1"/>
    <col min="85" max="85" width="13.44140625" style="63" customWidth="1"/>
    <col min="86" max="86" width="13.44140625" style="73" customWidth="1"/>
    <col min="87" max="87" width="13.44140625" style="63" customWidth="1"/>
    <col min="88" max="88" width="13.44140625" style="73" customWidth="1"/>
    <col min="89" max="89" width="13.6640625" style="63" customWidth="1"/>
    <col min="90" max="91" width="13" style="63" customWidth="1"/>
    <col min="92" max="93" width="13" style="74" customWidth="1"/>
    <col min="94" max="292" width="9.109375" style="59"/>
    <col min="293" max="293" width="14" style="59" customWidth="1"/>
    <col min="294" max="294" width="2" style="59" customWidth="1"/>
    <col min="295" max="295" width="11.88671875" style="59" customWidth="1"/>
    <col min="296" max="297" width="13.5546875" style="59" customWidth="1"/>
    <col min="298" max="298" width="13.88671875" style="59" customWidth="1"/>
    <col min="299" max="300" width="14.5546875" style="59" customWidth="1"/>
    <col min="301" max="319" width="13.44140625" style="59" customWidth="1"/>
    <col min="320" max="320" width="10.5546875" style="59" customWidth="1"/>
    <col min="321" max="321" width="13.44140625" style="59" customWidth="1"/>
    <col min="322" max="322" width="11" style="59" customWidth="1"/>
    <col min="323" max="326" width="13.44140625" style="59" customWidth="1"/>
    <col min="327" max="327" width="19.5546875" style="59" customWidth="1"/>
    <col min="328" max="328" width="16.44140625" style="59" customWidth="1"/>
    <col min="329" max="329" width="13.44140625" style="59" customWidth="1"/>
    <col min="330" max="330" width="16" style="59" customWidth="1"/>
    <col min="331" max="334" width="13.44140625" style="59" customWidth="1"/>
    <col min="335" max="335" width="2.109375" style="59" customWidth="1"/>
    <col min="336" max="336" width="10.44140625" style="59" customWidth="1"/>
    <col min="337" max="337" width="14.109375" style="59" customWidth="1"/>
    <col min="338" max="338" width="9.109375" style="59"/>
    <col min="339" max="339" width="13.88671875" style="59" customWidth="1"/>
    <col min="340" max="340" width="9.109375" style="59"/>
    <col min="341" max="341" width="12.5546875" style="59" customWidth="1"/>
    <col min="342" max="342" width="10.44140625" style="59" customWidth="1"/>
    <col min="343" max="344" width="13.5546875" style="59" customWidth="1"/>
    <col min="345" max="345" width="13" style="59" customWidth="1"/>
    <col min="346" max="346" width="13.5546875" style="59" customWidth="1"/>
    <col min="347" max="349" width="13" style="59" customWidth="1"/>
    <col min="350" max="548" width="9.109375" style="59"/>
    <col min="549" max="549" width="14" style="59" customWidth="1"/>
    <col min="550" max="550" width="2" style="59" customWidth="1"/>
    <col min="551" max="551" width="11.88671875" style="59" customWidth="1"/>
    <col min="552" max="553" width="13.5546875" style="59" customWidth="1"/>
    <col min="554" max="554" width="13.88671875" style="59" customWidth="1"/>
    <col min="555" max="556" width="14.5546875" style="59" customWidth="1"/>
    <col min="557" max="575" width="13.44140625" style="59" customWidth="1"/>
    <col min="576" max="576" width="10.5546875" style="59" customWidth="1"/>
    <col min="577" max="577" width="13.44140625" style="59" customWidth="1"/>
    <col min="578" max="578" width="11" style="59" customWidth="1"/>
    <col min="579" max="582" width="13.44140625" style="59" customWidth="1"/>
    <col min="583" max="583" width="19.5546875" style="59" customWidth="1"/>
    <col min="584" max="584" width="16.44140625" style="59" customWidth="1"/>
    <col min="585" max="585" width="13.44140625" style="59" customWidth="1"/>
    <col min="586" max="586" width="16" style="59" customWidth="1"/>
    <col min="587" max="590" width="13.44140625" style="59" customWidth="1"/>
    <col min="591" max="591" width="2.109375" style="59" customWidth="1"/>
    <col min="592" max="592" width="10.44140625" style="59" customWidth="1"/>
    <col min="593" max="593" width="14.109375" style="59" customWidth="1"/>
    <col min="594" max="594" width="9.109375" style="59"/>
    <col min="595" max="595" width="13.88671875" style="59" customWidth="1"/>
    <col min="596" max="596" width="9.109375" style="59"/>
    <col min="597" max="597" width="12.5546875" style="59" customWidth="1"/>
    <col min="598" max="598" width="10.44140625" style="59" customWidth="1"/>
    <col min="599" max="600" width="13.5546875" style="59" customWidth="1"/>
    <col min="601" max="601" width="13" style="59" customWidth="1"/>
    <col min="602" max="602" width="13.5546875" style="59" customWidth="1"/>
    <col min="603" max="605" width="13" style="59" customWidth="1"/>
    <col min="606" max="804" width="9.109375" style="59"/>
    <col min="805" max="805" width="14" style="59" customWidth="1"/>
    <col min="806" max="806" width="2" style="59" customWidth="1"/>
    <col min="807" max="807" width="11.88671875" style="59" customWidth="1"/>
    <col min="808" max="809" width="13.5546875" style="59" customWidth="1"/>
    <col min="810" max="810" width="13.88671875" style="59" customWidth="1"/>
    <col min="811" max="812" width="14.5546875" style="59" customWidth="1"/>
    <col min="813" max="831" width="13.44140625" style="59" customWidth="1"/>
    <col min="832" max="832" width="10.5546875" style="59" customWidth="1"/>
    <col min="833" max="833" width="13.44140625" style="59" customWidth="1"/>
    <col min="834" max="834" width="11" style="59" customWidth="1"/>
    <col min="835" max="838" width="13.44140625" style="59" customWidth="1"/>
    <col min="839" max="839" width="19.5546875" style="59" customWidth="1"/>
    <col min="840" max="840" width="16.44140625" style="59" customWidth="1"/>
    <col min="841" max="841" width="13.44140625" style="59" customWidth="1"/>
    <col min="842" max="842" width="16" style="59" customWidth="1"/>
    <col min="843" max="846" width="13.44140625" style="59" customWidth="1"/>
    <col min="847" max="847" width="2.109375" style="59" customWidth="1"/>
    <col min="848" max="848" width="10.44140625" style="59" customWidth="1"/>
    <col min="849" max="849" width="14.109375" style="59" customWidth="1"/>
    <col min="850" max="850" width="9.109375" style="59"/>
    <col min="851" max="851" width="13.88671875" style="59" customWidth="1"/>
    <col min="852" max="852" width="9.109375" style="59"/>
    <col min="853" max="853" width="12.5546875" style="59" customWidth="1"/>
    <col min="854" max="854" width="10.44140625" style="59" customWidth="1"/>
    <col min="855" max="856" width="13.5546875" style="59" customWidth="1"/>
    <col min="857" max="857" width="13" style="59" customWidth="1"/>
    <col min="858" max="858" width="13.5546875" style="59" customWidth="1"/>
    <col min="859" max="861" width="13" style="59" customWidth="1"/>
    <col min="862" max="1060" width="9.109375" style="59"/>
    <col min="1061" max="1061" width="14" style="59" customWidth="1"/>
    <col min="1062" max="1062" width="2" style="59" customWidth="1"/>
    <col min="1063" max="1063" width="11.88671875" style="59" customWidth="1"/>
    <col min="1064" max="1065" width="13.5546875" style="59" customWidth="1"/>
    <col min="1066" max="1066" width="13.88671875" style="59" customWidth="1"/>
    <col min="1067" max="1068" width="14.5546875" style="59" customWidth="1"/>
    <col min="1069" max="1087" width="13.44140625" style="59" customWidth="1"/>
    <col min="1088" max="1088" width="10.5546875" style="59" customWidth="1"/>
    <col min="1089" max="1089" width="13.44140625" style="59" customWidth="1"/>
    <col min="1090" max="1090" width="11" style="59" customWidth="1"/>
    <col min="1091" max="1094" width="13.44140625" style="59" customWidth="1"/>
    <col min="1095" max="1095" width="19.5546875" style="59" customWidth="1"/>
    <col min="1096" max="1096" width="16.44140625" style="59" customWidth="1"/>
    <col min="1097" max="1097" width="13.44140625" style="59" customWidth="1"/>
    <col min="1098" max="1098" width="16" style="59" customWidth="1"/>
    <col min="1099" max="1102" width="13.44140625" style="59" customWidth="1"/>
    <col min="1103" max="1103" width="2.109375" style="59" customWidth="1"/>
    <col min="1104" max="1104" width="10.44140625" style="59" customWidth="1"/>
    <col min="1105" max="1105" width="14.109375" style="59" customWidth="1"/>
    <col min="1106" max="1106" width="9.109375" style="59"/>
    <col min="1107" max="1107" width="13.88671875" style="59" customWidth="1"/>
    <col min="1108" max="1108" width="9.109375" style="59"/>
    <col min="1109" max="1109" width="12.5546875" style="59" customWidth="1"/>
    <col min="1110" max="1110" width="10.44140625" style="59" customWidth="1"/>
    <col min="1111" max="1112" width="13.5546875" style="59" customWidth="1"/>
    <col min="1113" max="1113" width="13" style="59" customWidth="1"/>
    <col min="1114" max="1114" width="13.5546875" style="59" customWidth="1"/>
    <col min="1115" max="1117" width="13" style="59" customWidth="1"/>
    <col min="1118" max="1316" width="9.109375" style="59"/>
    <col min="1317" max="1317" width="14" style="59" customWidth="1"/>
    <col min="1318" max="1318" width="2" style="59" customWidth="1"/>
    <col min="1319" max="1319" width="11.88671875" style="59" customWidth="1"/>
    <col min="1320" max="1321" width="13.5546875" style="59" customWidth="1"/>
    <col min="1322" max="1322" width="13.88671875" style="59" customWidth="1"/>
    <col min="1323" max="1324" width="14.5546875" style="59" customWidth="1"/>
    <col min="1325" max="1343" width="13.44140625" style="59" customWidth="1"/>
    <col min="1344" max="1344" width="10.5546875" style="59" customWidth="1"/>
    <col min="1345" max="1345" width="13.44140625" style="59" customWidth="1"/>
    <col min="1346" max="1346" width="11" style="59" customWidth="1"/>
    <col min="1347" max="1350" width="13.44140625" style="59" customWidth="1"/>
    <col min="1351" max="1351" width="19.5546875" style="59" customWidth="1"/>
    <col min="1352" max="1352" width="16.44140625" style="59" customWidth="1"/>
    <col min="1353" max="1353" width="13.44140625" style="59" customWidth="1"/>
    <col min="1354" max="1354" width="16" style="59" customWidth="1"/>
    <col min="1355" max="1358" width="13.44140625" style="59" customWidth="1"/>
    <col min="1359" max="1359" width="2.109375" style="59" customWidth="1"/>
    <col min="1360" max="1360" width="10.44140625" style="59" customWidth="1"/>
    <col min="1361" max="1361" width="14.109375" style="59" customWidth="1"/>
    <col min="1362" max="1362" width="9.109375" style="59"/>
    <col min="1363" max="1363" width="13.88671875" style="59" customWidth="1"/>
    <col min="1364" max="1364" width="9.109375" style="59"/>
    <col min="1365" max="1365" width="12.5546875" style="59" customWidth="1"/>
    <col min="1366" max="1366" width="10.44140625" style="59" customWidth="1"/>
    <col min="1367" max="1368" width="13.5546875" style="59" customWidth="1"/>
    <col min="1369" max="1369" width="13" style="59" customWidth="1"/>
    <col min="1370" max="1370" width="13.5546875" style="59" customWidth="1"/>
    <col min="1371" max="1373" width="13" style="59" customWidth="1"/>
    <col min="1374" max="1572" width="9.109375" style="59"/>
    <col min="1573" max="1573" width="14" style="59" customWidth="1"/>
    <col min="1574" max="1574" width="2" style="59" customWidth="1"/>
    <col min="1575" max="1575" width="11.88671875" style="59" customWidth="1"/>
    <col min="1576" max="1577" width="13.5546875" style="59" customWidth="1"/>
    <col min="1578" max="1578" width="13.88671875" style="59" customWidth="1"/>
    <col min="1579" max="1580" width="14.5546875" style="59" customWidth="1"/>
    <col min="1581" max="1599" width="13.44140625" style="59" customWidth="1"/>
    <col min="1600" max="1600" width="10.5546875" style="59" customWidth="1"/>
    <col min="1601" max="1601" width="13.44140625" style="59" customWidth="1"/>
    <col min="1602" max="1602" width="11" style="59" customWidth="1"/>
    <col min="1603" max="1606" width="13.44140625" style="59" customWidth="1"/>
    <col min="1607" max="1607" width="19.5546875" style="59" customWidth="1"/>
    <col min="1608" max="1608" width="16.44140625" style="59" customWidth="1"/>
    <col min="1609" max="1609" width="13.44140625" style="59" customWidth="1"/>
    <col min="1610" max="1610" width="16" style="59" customWidth="1"/>
    <col min="1611" max="1614" width="13.44140625" style="59" customWidth="1"/>
    <col min="1615" max="1615" width="2.109375" style="59" customWidth="1"/>
    <col min="1616" max="1616" width="10.44140625" style="59" customWidth="1"/>
    <col min="1617" max="1617" width="14.109375" style="59" customWidth="1"/>
    <col min="1618" max="1618" width="9.109375" style="59"/>
    <col min="1619" max="1619" width="13.88671875" style="59" customWidth="1"/>
    <col min="1620" max="1620" width="9.109375" style="59"/>
    <col min="1621" max="1621" width="12.5546875" style="59" customWidth="1"/>
    <col min="1622" max="1622" width="10.44140625" style="59" customWidth="1"/>
    <col min="1623" max="1624" width="13.5546875" style="59" customWidth="1"/>
    <col min="1625" max="1625" width="13" style="59" customWidth="1"/>
    <col min="1626" max="1626" width="13.5546875" style="59" customWidth="1"/>
    <col min="1627" max="1629" width="13" style="59" customWidth="1"/>
    <col min="1630" max="1828" width="9.109375" style="59"/>
    <col min="1829" max="1829" width="14" style="59" customWidth="1"/>
    <col min="1830" max="1830" width="2" style="59" customWidth="1"/>
    <col min="1831" max="1831" width="11.88671875" style="59" customWidth="1"/>
    <col min="1832" max="1833" width="13.5546875" style="59" customWidth="1"/>
    <col min="1834" max="1834" width="13.88671875" style="59" customWidth="1"/>
    <col min="1835" max="1836" width="14.5546875" style="59" customWidth="1"/>
    <col min="1837" max="1855" width="13.44140625" style="59" customWidth="1"/>
    <col min="1856" max="1856" width="10.5546875" style="59" customWidth="1"/>
    <col min="1857" max="1857" width="13.44140625" style="59" customWidth="1"/>
    <col min="1858" max="1858" width="11" style="59" customWidth="1"/>
    <col min="1859" max="1862" width="13.44140625" style="59" customWidth="1"/>
    <col min="1863" max="1863" width="19.5546875" style="59" customWidth="1"/>
    <col min="1864" max="1864" width="16.44140625" style="59" customWidth="1"/>
    <col min="1865" max="1865" width="13.44140625" style="59" customWidth="1"/>
    <col min="1866" max="1866" width="16" style="59" customWidth="1"/>
    <col min="1867" max="1870" width="13.44140625" style="59" customWidth="1"/>
    <col min="1871" max="1871" width="2.109375" style="59" customWidth="1"/>
    <col min="1872" max="1872" width="10.44140625" style="59" customWidth="1"/>
    <col min="1873" max="1873" width="14.109375" style="59" customWidth="1"/>
    <col min="1874" max="1874" width="9.109375" style="59"/>
    <col min="1875" max="1875" width="13.88671875" style="59" customWidth="1"/>
    <col min="1876" max="1876" width="9.109375" style="59"/>
    <col min="1877" max="1877" width="12.5546875" style="59" customWidth="1"/>
    <col min="1878" max="1878" width="10.44140625" style="59" customWidth="1"/>
    <col min="1879" max="1880" width="13.5546875" style="59" customWidth="1"/>
    <col min="1881" max="1881" width="13" style="59" customWidth="1"/>
    <col min="1882" max="1882" width="13.5546875" style="59" customWidth="1"/>
    <col min="1883" max="1885" width="13" style="59" customWidth="1"/>
    <col min="1886" max="2084" width="9.109375" style="59"/>
    <col min="2085" max="2085" width="14" style="59" customWidth="1"/>
    <col min="2086" max="2086" width="2" style="59" customWidth="1"/>
    <col min="2087" max="2087" width="11.88671875" style="59" customWidth="1"/>
    <col min="2088" max="2089" width="13.5546875" style="59" customWidth="1"/>
    <col min="2090" max="2090" width="13.88671875" style="59" customWidth="1"/>
    <col min="2091" max="2092" width="14.5546875" style="59" customWidth="1"/>
    <col min="2093" max="2111" width="13.44140625" style="59" customWidth="1"/>
    <col min="2112" max="2112" width="10.5546875" style="59" customWidth="1"/>
    <col min="2113" max="2113" width="13.44140625" style="59" customWidth="1"/>
    <col min="2114" max="2114" width="11" style="59" customWidth="1"/>
    <col min="2115" max="2118" width="13.44140625" style="59" customWidth="1"/>
    <col min="2119" max="2119" width="19.5546875" style="59" customWidth="1"/>
    <col min="2120" max="2120" width="16.44140625" style="59" customWidth="1"/>
    <col min="2121" max="2121" width="13.44140625" style="59" customWidth="1"/>
    <col min="2122" max="2122" width="16" style="59" customWidth="1"/>
    <col min="2123" max="2126" width="13.44140625" style="59" customWidth="1"/>
    <col min="2127" max="2127" width="2.109375" style="59" customWidth="1"/>
    <col min="2128" max="2128" width="10.44140625" style="59" customWidth="1"/>
    <col min="2129" max="2129" width="14.109375" style="59" customWidth="1"/>
    <col min="2130" max="2130" width="9.109375" style="59"/>
    <col min="2131" max="2131" width="13.88671875" style="59" customWidth="1"/>
    <col min="2132" max="2132" width="9.109375" style="59"/>
    <col min="2133" max="2133" width="12.5546875" style="59" customWidth="1"/>
    <col min="2134" max="2134" width="10.44140625" style="59" customWidth="1"/>
    <col min="2135" max="2136" width="13.5546875" style="59" customWidth="1"/>
    <col min="2137" max="2137" width="13" style="59" customWidth="1"/>
    <col min="2138" max="2138" width="13.5546875" style="59" customWidth="1"/>
    <col min="2139" max="2141" width="13" style="59" customWidth="1"/>
    <col min="2142" max="2340" width="9.109375" style="59"/>
    <col min="2341" max="2341" width="14" style="59" customWidth="1"/>
    <col min="2342" max="2342" width="2" style="59" customWidth="1"/>
    <col min="2343" max="2343" width="11.88671875" style="59" customWidth="1"/>
    <col min="2344" max="2345" width="13.5546875" style="59" customWidth="1"/>
    <col min="2346" max="2346" width="13.88671875" style="59" customWidth="1"/>
    <col min="2347" max="2348" width="14.5546875" style="59" customWidth="1"/>
    <col min="2349" max="2367" width="13.44140625" style="59" customWidth="1"/>
    <col min="2368" max="2368" width="10.5546875" style="59" customWidth="1"/>
    <col min="2369" max="2369" width="13.44140625" style="59" customWidth="1"/>
    <col min="2370" max="2370" width="11" style="59" customWidth="1"/>
    <col min="2371" max="2374" width="13.44140625" style="59" customWidth="1"/>
    <col min="2375" max="2375" width="19.5546875" style="59" customWidth="1"/>
    <col min="2376" max="2376" width="16.44140625" style="59" customWidth="1"/>
    <col min="2377" max="2377" width="13.44140625" style="59" customWidth="1"/>
    <col min="2378" max="2378" width="16" style="59" customWidth="1"/>
    <col min="2379" max="2382" width="13.44140625" style="59" customWidth="1"/>
    <col min="2383" max="2383" width="2.109375" style="59" customWidth="1"/>
    <col min="2384" max="2384" width="10.44140625" style="59" customWidth="1"/>
    <col min="2385" max="2385" width="14.109375" style="59" customWidth="1"/>
    <col min="2386" max="2386" width="9.109375" style="59"/>
    <col min="2387" max="2387" width="13.88671875" style="59" customWidth="1"/>
    <col min="2388" max="2388" width="9.109375" style="59"/>
    <col min="2389" max="2389" width="12.5546875" style="59" customWidth="1"/>
    <col min="2390" max="2390" width="10.44140625" style="59" customWidth="1"/>
    <col min="2391" max="2392" width="13.5546875" style="59" customWidth="1"/>
    <col min="2393" max="2393" width="13" style="59" customWidth="1"/>
    <col min="2394" max="2394" width="13.5546875" style="59" customWidth="1"/>
    <col min="2395" max="2397" width="13" style="59" customWidth="1"/>
    <col min="2398" max="2596" width="9.109375" style="59"/>
    <col min="2597" max="2597" width="14" style="59" customWidth="1"/>
    <col min="2598" max="2598" width="2" style="59" customWidth="1"/>
    <col min="2599" max="2599" width="11.88671875" style="59" customWidth="1"/>
    <col min="2600" max="2601" width="13.5546875" style="59" customWidth="1"/>
    <col min="2602" max="2602" width="13.88671875" style="59" customWidth="1"/>
    <col min="2603" max="2604" width="14.5546875" style="59" customWidth="1"/>
    <col min="2605" max="2623" width="13.44140625" style="59" customWidth="1"/>
    <col min="2624" max="2624" width="10.5546875" style="59" customWidth="1"/>
    <col min="2625" max="2625" width="13.44140625" style="59" customWidth="1"/>
    <col min="2626" max="2626" width="11" style="59" customWidth="1"/>
    <col min="2627" max="2630" width="13.44140625" style="59" customWidth="1"/>
    <col min="2631" max="2631" width="19.5546875" style="59" customWidth="1"/>
    <col min="2632" max="2632" width="16.44140625" style="59" customWidth="1"/>
    <col min="2633" max="2633" width="13.44140625" style="59" customWidth="1"/>
    <col min="2634" max="2634" width="16" style="59" customWidth="1"/>
    <col min="2635" max="2638" width="13.44140625" style="59" customWidth="1"/>
    <col min="2639" max="2639" width="2.109375" style="59" customWidth="1"/>
    <col min="2640" max="2640" width="10.44140625" style="59" customWidth="1"/>
    <col min="2641" max="2641" width="14.109375" style="59" customWidth="1"/>
    <col min="2642" max="2642" width="9.109375" style="59"/>
    <col min="2643" max="2643" width="13.88671875" style="59" customWidth="1"/>
    <col min="2644" max="2644" width="9.109375" style="59"/>
    <col min="2645" max="2645" width="12.5546875" style="59" customWidth="1"/>
    <col min="2646" max="2646" width="10.44140625" style="59" customWidth="1"/>
    <col min="2647" max="2648" width="13.5546875" style="59" customWidth="1"/>
    <col min="2649" max="2649" width="13" style="59" customWidth="1"/>
    <col min="2650" max="2650" width="13.5546875" style="59" customWidth="1"/>
    <col min="2651" max="2653" width="13" style="59" customWidth="1"/>
    <col min="2654" max="2852" width="9.109375" style="59"/>
    <col min="2853" max="2853" width="14" style="59" customWidth="1"/>
    <col min="2854" max="2854" width="2" style="59" customWidth="1"/>
    <col min="2855" max="2855" width="11.88671875" style="59" customWidth="1"/>
    <col min="2856" max="2857" width="13.5546875" style="59" customWidth="1"/>
    <col min="2858" max="2858" width="13.88671875" style="59" customWidth="1"/>
    <col min="2859" max="2860" width="14.5546875" style="59" customWidth="1"/>
    <col min="2861" max="2879" width="13.44140625" style="59" customWidth="1"/>
    <col min="2880" max="2880" width="10.5546875" style="59" customWidth="1"/>
    <col min="2881" max="2881" width="13.44140625" style="59" customWidth="1"/>
    <col min="2882" max="2882" width="11" style="59" customWidth="1"/>
    <col min="2883" max="2886" width="13.44140625" style="59" customWidth="1"/>
    <col min="2887" max="2887" width="19.5546875" style="59" customWidth="1"/>
    <col min="2888" max="2888" width="16.44140625" style="59" customWidth="1"/>
    <col min="2889" max="2889" width="13.44140625" style="59" customWidth="1"/>
    <col min="2890" max="2890" width="16" style="59" customWidth="1"/>
    <col min="2891" max="2894" width="13.44140625" style="59" customWidth="1"/>
    <col min="2895" max="2895" width="2.109375" style="59" customWidth="1"/>
    <col min="2896" max="2896" width="10.44140625" style="59" customWidth="1"/>
    <col min="2897" max="2897" width="14.109375" style="59" customWidth="1"/>
    <col min="2898" max="2898" width="9.109375" style="59"/>
    <col min="2899" max="2899" width="13.88671875" style="59" customWidth="1"/>
    <col min="2900" max="2900" width="9.109375" style="59"/>
    <col min="2901" max="2901" width="12.5546875" style="59" customWidth="1"/>
    <col min="2902" max="2902" width="10.44140625" style="59" customWidth="1"/>
    <col min="2903" max="2904" width="13.5546875" style="59" customWidth="1"/>
    <col min="2905" max="2905" width="13" style="59" customWidth="1"/>
    <col min="2906" max="2906" width="13.5546875" style="59" customWidth="1"/>
    <col min="2907" max="2909" width="13" style="59" customWidth="1"/>
    <col min="2910" max="3108" width="9.109375" style="59"/>
    <col min="3109" max="3109" width="14" style="59" customWidth="1"/>
    <col min="3110" max="3110" width="2" style="59" customWidth="1"/>
    <col min="3111" max="3111" width="11.88671875" style="59" customWidth="1"/>
    <col min="3112" max="3113" width="13.5546875" style="59" customWidth="1"/>
    <col min="3114" max="3114" width="13.88671875" style="59" customWidth="1"/>
    <col min="3115" max="3116" width="14.5546875" style="59" customWidth="1"/>
    <col min="3117" max="3135" width="13.44140625" style="59" customWidth="1"/>
    <col min="3136" max="3136" width="10.5546875" style="59" customWidth="1"/>
    <col min="3137" max="3137" width="13.44140625" style="59" customWidth="1"/>
    <col min="3138" max="3138" width="11" style="59" customWidth="1"/>
    <col min="3139" max="3142" width="13.44140625" style="59" customWidth="1"/>
    <col min="3143" max="3143" width="19.5546875" style="59" customWidth="1"/>
    <col min="3144" max="3144" width="16.44140625" style="59" customWidth="1"/>
    <col min="3145" max="3145" width="13.44140625" style="59" customWidth="1"/>
    <col min="3146" max="3146" width="16" style="59" customWidth="1"/>
    <col min="3147" max="3150" width="13.44140625" style="59" customWidth="1"/>
    <col min="3151" max="3151" width="2.109375" style="59" customWidth="1"/>
    <col min="3152" max="3152" width="10.44140625" style="59" customWidth="1"/>
    <col min="3153" max="3153" width="14.109375" style="59" customWidth="1"/>
    <col min="3154" max="3154" width="9.109375" style="59"/>
    <col min="3155" max="3155" width="13.88671875" style="59" customWidth="1"/>
    <col min="3156" max="3156" width="9.109375" style="59"/>
    <col min="3157" max="3157" width="12.5546875" style="59" customWidth="1"/>
    <col min="3158" max="3158" width="10.44140625" style="59" customWidth="1"/>
    <col min="3159" max="3160" width="13.5546875" style="59" customWidth="1"/>
    <col min="3161" max="3161" width="13" style="59" customWidth="1"/>
    <col min="3162" max="3162" width="13.5546875" style="59" customWidth="1"/>
    <col min="3163" max="3165" width="13" style="59" customWidth="1"/>
    <col min="3166" max="3364" width="9.109375" style="59"/>
    <col min="3365" max="3365" width="14" style="59" customWidth="1"/>
    <col min="3366" max="3366" width="2" style="59" customWidth="1"/>
    <col min="3367" max="3367" width="11.88671875" style="59" customWidth="1"/>
    <col min="3368" max="3369" width="13.5546875" style="59" customWidth="1"/>
    <col min="3370" max="3370" width="13.88671875" style="59" customWidth="1"/>
    <col min="3371" max="3372" width="14.5546875" style="59" customWidth="1"/>
    <col min="3373" max="3391" width="13.44140625" style="59" customWidth="1"/>
    <col min="3392" max="3392" width="10.5546875" style="59" customWidth="1"/>
    <col min="3393" max="3393" width="13.44140625" style="59" customWidth="1"/>
    <col min="3394" max="3394" width="11" style="59" customWidth="1"/>
    <col min="3395" max="3398" width="13.44140625" style="59" customWidth="1"/>
    <col min="3399" max="3399" width="19.5546875" style="59" customWidth="1"/>
    <col min="3400" max="3400" width="16.44140625" style="59" customWidth="1"/>
    <col min="3401" max="3401" width="13.44140625" style="59" customWidth="1"/>
    <col min="3402" max="3402" width="16" style="59" customWidth="1"/>
    <col min="3403" max="3406" width="13.44140625" style="59" customWidth="1"/>
    <col min="3407" max="3407" width="2.109375" style="59" customWidth="1"/>
    <col min="3408" max="3408" width="10.44140625" style="59" customWidth="1"/>
    <col min="3409" max="3409" width="14.109375" style="59" customWidth="1"/>
    <col min="3410" max="3410" width="9.109375" style="59"/>
    <col min="3411" max="3411" width="13.88671875" style="59" customWidth="1"/>
    <col min="3412" max="3412" width="9.109375" style="59"/>
    <col min="3413" max="3413" width="12.5546875" style="59" customWidth="1"/>
    <col min="3414" max="3414" width="10.44140625" style="59" customWidth="1"/>
    <col min="3415" max="3416" width="13.5546875" style="59" customWidth="1"/>
    <col min="3417" max="3417" width="13" style="59" customWidth="1"/>
    <col min="3418" max="3418" width="13.5546875" style="59" customWidth="1"/>
    <col min="3419" max="3421" width="13" style="59" customWidth="1"/>
    <col min="3422" max="3620" width="9.109375" style="59"/>
    <col min="3621" max="3621" width="14" style="59" customWidth="1"/>
    <col min="3622" max="3622" width="2" style="59" customWidth="1"/>
    <col min="3623" max="3623" width="11.88671875" style="59" customWidth="1"/>
    <col min="3624" max="3625" width="13.5546875" style="59" customWidth="1"/>
    <col min="3626" max="3626" width="13.88671875" style="59" customWidth="1"/>
    <col min="3627" max="3628" width="14.5546875" style="59" customWidth="1"/>
    <col min="3629" max="3647" width="13.44140625" style="59" customWidth="1"/>
    <col min="3648" max="3648" width="10.5546875" style="59" customWidth="1"/>
    <col min="3649" max="3649" width="13.44140625" style="59" customWidth="1"/>
    <col min="3650" max="3650" width="11" style="59" customWidth="1"/>
    <col min="3651" max="3654" width="13.44140625" style="59" customWidth="1"/>
    <col min="3655" max="3655" width="19.5546875" style="59" customWidth="1"/>
    <col min="3656" max="3656" width="16.44140625" style="59" customWidth="1"/>
    <col min="3657" max="3657" width="13.44140625" style="59" customWidth="1"/>
    <col min="3658" max="3658" width="16" style="59" customWidth="1"/>
    <col min="3659" max="3662" width="13.44140625" style="59" customWidth="1"/>
    <col min="3663" max="3663" width="2.109375" style="59" customWidth="1"/>
    <col min="3664" max="3664" width="10.44140625" style="59" customWidth="1"/>
    <col min="3665" max="3665" width="14.109375" style="59" customWidth="1"/>
    <col min="3666" max="3666" width="9.109375" style="59"/>
    <col min="3667" max="3667" width="13.88671875" style="59" customWidth="1"/>
    <col min="3668" max="3668" width="9.109375" style="59"/>
    <col min="3669" max="3669" width="12.5546875" style="59" customWidth="1"/>
    <col min="3670" max="3670" width="10.44140625" style="59" customWidth="1"/>
    <col min="3671" max="3672" width="13.5546875" style="59" customWidth="1"/>
    <col min="3673" max="3673" width="13" style="59" customWidth="1"/>
    <col min="3674" max="3674" width="13.5546875" style="59" customWidth="1"/>
    <col min="3675" max="3677" width="13" style="59" customWidth="1"/>
    <col min="3678" max="3876" width="9.109375" style="59"/>
    <col min="3877" max="3877" width="14" style="59" customWidth="1"/>
    <col min="3878" max="3878" width="2" style="59" customWidth="1"/>
    <col min="3879" max="3879" width="11.88671875" style="59" customWidth="1"/>
    <col min="3880" max="3881" width="13.5546875" style="59" customWidth="1"/>
    <col min="3882" max="3882" width="13.88671875" style="59" customWidth="1"/>
    <col min="3883" max="3884" width="14.5546875" style="59" customWidth="1"/>
    <col min="3885" max="3903" width="13.44140625" style="59" customWidth="1"/>
    <col min="3904" max="3904" width="10.5546875" style="59" customWidth="1"/>
    <col min="3905" max="3905" width="13.44140625" style="59" customWidth="1"/>
    <col min="3906" max="3906" width="11" style="59" customWidth="1"/>
    <col min="3907" max="3910" width="13.44140625" style="59" customWidth="1"/>
    <col min="3911" max="3911" width="19.5546875" style="59" customWidth="1"/>
    <col min="3912" max="3912" width="16.44140625" style="59" customWidth="1"/>
    <col min="3913" max="3913" width="13.44140625" style="59" customWidth="1"/>
    <col min="3914" max="3914" width="16" style="59" customWidth="1"/>
    <col min="3915" max="3918" width="13.44140625" style="59" customWidth="1"/>
    <col min="3919" max="3919" width="2.109375" style="59" customWidth="1"/>
    <col min="3920" max="3920" width="10.44140625" style="59" customWidth="1"/>
    <col min="3921" max="3921" width="14.109375" style="59" customWidth="1"/>
    <col min="3922" max="3922" width="9.109375" style="59"/>
    <col min="3923" max="3923" width="13.88671875" style="59" customWidth="1"/>
    <col min="3924" max="3924" width="9.109375" style="59"/>
    <col min="3925" max="3925" width="12.5546875" style="59" customWidth="1"/>
    <col min="3926" max="3926" width="10.44140625" style="59" customWidth="1"/>
    <col min="3927" max="3928" width="13.5546875" style="59" customWidth="1"/>
    <col min="3929" max="3929" width="13" style="59" customWidth="1"/>
    <col min="3930" max="3930" width="13.5546875" style="59" customWidth="1"/>
    <col min="3931" max="3933" width="13" style="59" customWidth="1"/>
    <col min="3934" max="4132" width="9.109375" style="59"/>
    <col min="4133" max="4133" width="14" style="59" customWidth="1"/>
    <col min="4134" max="4134" width="2" style="59" customWidth="1"/>
    <col min="4135" max="4135" width="11.88671875" style="59" customWidth="1"/>
    <col min="4136" max="4137" width="13.5546875" style="59" customWidth="1"/>
    <col min="4138" max="4138" width="13.88671875" style="59" customWidth="1"/>
    <col min="4139" max="4140" width="14.5546875" style="59" customWidth="1"/>
    <col min="4141" max="4159" width="13.44140625" style="59" customWidth="1"/>
    <col min="4160" max="4160" width="10.5546875" style="59" customWidth="1"/>
    <col min="4161" max="4161" width="13.44140625" style="59" customWidth="1"/>
    <col min="4162" max="4162" width="11" style="59" customWidth="1"/>
    <col min="4163" max="4166" width="13.44140625" style="59" customWidth="1"/>
    <col min="4167" max="4167" width="19.5546875" style="59" customWidth="1"/>
    <col min="4168" max="4168" width="16.44140625" style="59" customWidth="1"/>
    <col min="4169" max="4169" width="13.44140625" style="59" customWidth="1"/>
    <col min="4170" max="4170" width="16" style="59" customWidth="1"/>
    <col min="4171" max="4174" width="13.44140625" style="59" customWidth="1"/>
    <col min="4175" max="4175" width="2.109375" style="59" customWidth="1"/>
    <col min="4176" max="4176" width="10.44140625" style="59" customWidth="1"/>
    <col min="4177" max="4177" width="14.109375" style="59" customWidth="1"/>
    <col min="4178" max="4178" width="9.109375" style="59"/>
    <col min="4179" max="4179" width="13.88671875" style="59" customWidth="1"/>
    <col min="4180" max="4180" width="9.109375" style="59"/>
    <col min="4181" max="4181" width="12.5546875" style="59" customWidth="1"/>
    <col min="4182" max="4182" width="10.44140625" style="59" customWidth="1"/>
    <col min="4183" max="4184" width="13.5546875" style="59" customWidth="1"/>
    <col min="4185" max="4185" width="13" style="59" customWidth="1"/>
    <col min="4186" max="4186" width="13.5546875" style="59" customWidth="1"/>
    <col min="4187" max="4189" width="13" style="59" customWidth="1"/>
    <col min="4190" max="4388" width="9.109375" style="59"/>
    <col min="4389" max="4389" width="14" style="59" customWidth="1"/>
    <col min="4390" max="4390" width="2" style="59" customWidth="1"/>
    <col min="4391" max="4391" width="11.88671875" style="59" customWidth="1"/>
    <col min="4392" max="4393" width="13.5546875" style="59" customWidth="1"/>
    <col min="4394" max="4394" width="13.88671875" style="59" customWidth="1"/>
    <col min="4395" max="4396" width="14.5546875" style="59" customWidth="1"/>
    <col min="4397" max="4415" width="13.44140625" style="59" customWidth="1"/>
    <col min="4416" max="4416" width="10.5546875" style="59" customWidth="1"/>
    <col min="4417" max="4417" width="13.44140625" style="59" customWidth="1"/>
    <col min="4418" max="4418" width="11" style="59" customWidth="1"/>
    <col min="4419" max="4422" width="13.44140625" style="59" customWidth="1"/>
    <col min="4423" max="4423" width="19.5546875" style="59" customWidth="1"/>
    <col min="4424" max="4424" width="16.44140625" style="59" customWidth="1"/>
    <col min="4425" max="4425" width="13.44140625" style="59" customWidth="1"/>
    <col min="4426" max="4426" width="16" style="59" customWidth="1"/>
    <col min="4427" max="4430" width="13.44140625" style="59" customWidth="1"/>
    <col min="4431" max="4431" width="2.109375" style="59" customWidth="1"/>
    <col min="4432" max="4432" width="10.44140625" style="59" customWidth="1"/>
    <col min="4433" max="4433" width="14.109375" style="59" customWidth="1"/>
    <col min="4434" max="4434" width="9.109375" style="59"/>
    <col min="4435" max="4435" width="13.88671875" style="59" customWidth="1"/>
    <col min="4436" max="4436" width="9.109375" style="59"/>
    <col min="4437" max="4437" width="12.5546875" style="59" customWidth="1"/>
    <col min="4438" max="4438" width="10.44140625" style="59" customWidth="1"/>
    <col min="4439" max="4440" width="13.5546875" style="59" customWidth="1"/>
    <col min="4441" max="4441" width="13" style="59" customWidth="1"/>
    <col min="4442" max="4442" width="13.5546875" style="59" customWidth="1"/>
    <col min="4443" max="4445" width="13" style="59" customWidth="1"/>
    <col min="4446" max="4644" width="9.109375" style="59"/>
    <col min="4645" max="4645" width="14" style="59" customWidth="1"/>
    <col min="4646" max="4646" width="2" style="59" customWidth="1"/>
    <col min="4647" max="4647" width="11.88671875" style="59" customWidth="1"/>
    <col min="4648" max="4649" width="13.5546875" style="59" customWidth="1"/>
    <col min="4650" max="4650" width="13.88671875" style="59" customWidth="1"/>
    <col min="4651" max="4652" width="14.5546875" style="59" customWidth="1"/>
    <col min="4653" max="4671" width="13.44140625" style="59" customWidth="1"/>
    <col min="4672" max="4672" width="10.5546875" style="59" customWidth="1"/>
    <col min="4673" max="4673" width="13.44140625" style="59" customWidth="1"/>
    <col min="4674" max="4674" width="11" style="59" customWidth="1"/>
    <col min="4675" max="4678" width="13.44140625" style="59" customWidth="1"/>
    <col min="4679" max="4679" width="19.5546875" style="59" customWidth="1"/>
    <col min="4680" max="4680" width="16.44140625" style="59" customWidth="1"/>
    <col min="4681" max="4681" width="13.44140625" style="59" customWidth="1"/>
    <col min="4682" max="4682" width="16" style="59" customWidth="1"/>
    <col min="4683" max="4686" width="13.44140625" style="59" customWidth="1"/>
    <col min="4687" max="4687" width="2.109375" style="59" customWidth="1"/>
    <col min="4688" max="4688" width="10.44140625" style="59" customWidth="1"/>
    <col min="4689" max="4689" width="14.109375" style="59" customWidth="1"/>
    <col min="4690" max="4690" width="9.109375" style="59"/>
    <col min="4691" max="4691" width="13.88671875" style="59" customWidth="1"/>
    <col min="4692" max="4692" width="9.109375" style="59"/>
    <col min="4693" max="4693" width="12.5546875" style="59" customWidth="1"/>
    <col min="4694" max="4694" width="10.44140625" style="59" customWidth="1"/>
    <col min="4695" max="4696" width="13.5546875" style="59" customWidth="1"/>
    <col min="4697" max="4697" width="13" style="59" customWidth="1"/>
    <col min="4698" max="4698" width="13.5546875" style="59" customWidth="1"/>
    <col min="4699" max="4701" width="13" style="59" customWidth="1"/>
    <col min="4702" max="4900" width="9.109375" style="59"/>
    <col min="4901" max="4901" width="14" style="59" customWidth="1"/>
    <col min="4902" max="4902" width="2" style="59" customWidth="1"/>
    <col min="4903" max="4903" width="11.88671875" style="59" customWidth="1"/>
    <col min="4904" max="4905" width="13.5546875" style="59" customWidth="1"/>
    <col min="4906" max="4906" width="13.88671875" style="59" customWidth="1"/>
    <col min="4907" max="4908" width="14.5546875" style="59" customWidth="1"/>
    <col min="4909" max="4927" width="13.44140625" style="59" customWidth="1"/>
    <col min="4928" max="4928" width="10.5546875" style="59" customWidth="1"/>
    <col min="4929" max="4929" width="13.44140625" style="59" customWidth="1"/>
    <col min="4930" max="4930" width="11" style="59" customWidth="1"/>
    <col min="4931" max="4934" width="13.44140625" style="59" customWidth="1"/>
    <col min="4935" max="4935" width="19.5546875" style="59" customWidth="1"/>
    <col min="4936" max="4936" width="16.44140625" style="59" customWidth="1"/>
    <col min="4937" max="4937" width="13.44140625" style="59" customWidth="1"/>
    <col min="4938" max="4938" width="16" style="59" customWidth="1"/>
    <col min="4939" max="4942" width="13.44140625" style="59" customWidth="1"/>
    <col min="4943" max="4943" width="2.109375" style="59" customWidth="1"/>
    <col min="4944" max="4944" width="10.44140625" style="59" customWidth="1"/>
    <col min="4945" max="4945" width="14.109375" style="59" customWidth="1"/>
    <col min="4946" max="4946" width="9.109375" style="59"/>
    <col min="4947" max="4947" width="13.88671875" style="59" customWidth="1"/>
    <col min="4948" max="4948" width="9.109375" style="59"/>
    <col min="4949" max="4949" width="12.5546875" style="59" customWidth="1"/>
    <col min="4950" max="4950" width="10.44140625" style="59" customWidth="1"/>
    <col min="4951" max="4952" width="13.5546875" style="59" customWidth="1"/>
    <col min="4953" max="4953" width="13" style="59" customWidth="1"/>
    <col min="4954" max="4954" width="13.5546875" style="59" customWidth="1"/>
    <col min="4955" max="4957" width="13" style="59" customWidth="1"/>
    <col min="4958" max="5156" width="9.109375" style="59"/>
    <col min="5157" max="5157" width="14" style="59" customWidth="1"/>
    <col min="5158" max="5158" width="2" style="59" customWidth="1"/>
    <col min="5159" max="5159" width="11.88671875" style="59" customWidth="1"/>
    <col min="5160" max="5161" width="13.5546875" style="59" customWidth="1"/>
    <col min="5162" max="5162" width="13.88671875" style="59" customWidth="1"/>
    <col min="5163" max="5164" width="14.5546875" style="59" customWidth="1"/>
    <col min="5165" max="5183" width="13.44140625" style="59" customWidth="1"/>
    <col min="5184" max="5184" width="10.5546875" style="59" customWidth="1"/>
    <col min="5185" max="5185" width="13.44140625" style="59" customWidth="1"/>
    <col min="5186" max="5186" width="11" style="59" customWidth="1"/>
    <col min="5187" max="5190" width="13.44140625" style="59" customWidth="1"/>
    <col min="5191" max="5191" width="19.5546875" style="59" customWidth="1"/>
    <col min="5192" max="5192" width="16.44140625" style="59" customWidth="1"/>
    <col min="5193" max="5193" width="13.44140625" style="59" customWidth="1"/>
    <col min="5194" max="5194" width="16" style="59" customWidth="1"/>
    <col min="5195" max="5198" width="13.44140625" style="59" customWidth="1"/>
    <col min="5199" max="5199" width="2.109375" style="59" customWidth="1"/>
    <col min="5200" max="5200" width="10.44140625" style="59" customWidth="1"/>
    <col min="5201" max="5201" width="14.109375" style="59" customWidth="1"/>
    <col min="5202" max="5202" width="9.109375" style="59"/>
    <col min="5203" max="5203" width="13.88671875" style="59" customWidth="1"/>
    <col min="5204" max="5204" width="9.109375" style="59"/>
    <col min="5205" max="5205" width="12.5546875" style="59" customWidth="1"/>
    <col min="5206" max="5206" width="10.44140625" style="59" customWidth="1"/>
    <col min="5207" max="5208" width="13.5546875" style="59" customWidth="1"/>
    <col min="5209" max="5209" width="13" style="59" customWidth="1"/>
    <col min="5210" max="5210" width="13.5546875" style="59" customWidth="1"/>
    <col min="5211" max="5213" width="13" style="59" customWidth="1"/>
    <col min="5214" max="5412" width="9.109375" style="59"/>
    <col min="5413" max="5413" width="14" style="59" customWidth="1"/>
    <col min="5414" max="5414" width="2" style="59" customWidth="1"/>
    <col min="5415" max="5415" width="11.88671875" style="59" customWidth="1"/>
    <col min="5416" max="5417" width="13.5546875" style="59" customWidth="1"/>
    <col min="5418" max="5418" width="13.88671875" style="59" customWidth="1"/>
    <col min="5419" max="5420" width="14.5546875" style="59" customWidth="1"/>
    <col min="5421" max="5439" width="13.44140625" style="59" customWidth="1"/>
    <col min="5440" max="5440" width="10.5546875" style="59" customWidth="1"/>
    <col min="5441" max="5441" width="13.44140625" style="59" customWidth="1"/>
    <col min="5442" max="5442" width="11" style="59" customWidth="1"/>
    <col min="5443" max="5446" width="13.44140625" style="59" customWidth="1"/>
    <col min="5447" max="5447" width="19.5546875" style="59" customWidth="1"/>
    <col min="5448" max="5448" width="16.44140625" style="59" customWidth="1"/>
    <col min="5449" max="5449" width="13.44140625" style="59" customWidth="1"/>
    <col min="5450" max="5450" width="16" style="59" customWidth="1"/>
    <col min="5451" max="5454" width="13.44140625" style="59" customWidth="1"/>
    <col min="5455" max="5455" width="2.109375" style="59" customWidth="1"/>
    <col min="5456" max="5456" width="10.44140625" style="59" customWidth="1"/>
    <col min="5457" max="5457" width="14.109375" style="59" customWidth="1"/>
    <col min="5458" max="5458" width="9.109375" style="59"/>
    <col min="5459" max="5459" width="13.88671875" style="59" customWidth="1"/>
    <col min="5460" max="5460" width="9.109375" style="59"/>
    <col min="5461" max="5461" width="12.5546875" style="59" customWidth="1"/>
    <col min="5462" max="5462" width="10.44140625" style="59" customWidth="1"/>
    <col min="5463" max="5464" width="13.5546875" style="59" customWidth="1"/>
    <col min="5465" max="5465" width="13" style="59" customWidth="1"/>
    <col min="5466" max="5466" width="13.5546875" style="59" customWidth="1"/>
    <col min="5467" max="5469" width="13" style="59" customWidth="1"/>
    <col min="5470" max="5668" width="9.109375" style="59"/>
    <col min="5669" max="5669" width="14" style="59" customWidth="1"/>
    <col min="5670" max="5670" width="2" style="59" customWidth="1"/>
    <col min="5671" max="5671" width="11.88671875" style="59" customWidth="1"/>
    <col min="5672" max="5673" width="13.5546875" style="59" customWidth="1"/>
    <col min="5674" max="5674" width="13.88671875" style="59" customWidth="1"/>
    <col min="5675" max="5676" width="14.5546875" style="59" customWidth="1"/>
    <col min="5677" max="5695" width="13.44140625" style="59" customWidth="1"/>
    <col min="5696" max="5696" width="10.5546875" style="59" customWidth="1"/>
    <col min="5697" max="5697" width="13.44140625" style="59" customWidth="1"/>
    <col min="5698" max="5698" width="11" style="59" customWidth="1"/>
    <col min="5699" max="5702" width="13.44140625" style="59" customWidth="1"/>
    <col min="5703" max="5703" width="19.5546875" style="59" customWidth="1"/>
    <col min="5704" max="5704" width="16.44140625" style="59" customWidth="1"/>
    <col min="5705" max="5705" width="13.44140625" style="59" customWidth="1"/>
    <col min="5706" max="5706" width="16" style="59" customWidth="1"/>
    <col min="5707" max="5710" width="13.44140625" style="59" customWidth="1"/>
    <col min="5711" max="5711" width="2.109375" style="59" customWidth="1"/>
    <col min="5712" max="5712" width="10.44140625" style="59" customWidth="1"/>
    <col min="5713" max="5713" width="14.109375" style="59" customWidth="1"/>
    <col min="5714" max="5714" width="9.109375" style="59"/>
    <col min="5715" max="5715" width="13.88671875" style="59" customWidth="1"/>
    <col min="5716" max="5716" width="9.109375" style="59"/>
    <col min="5717" max="5717" width="12.5546875" style="59" customWidth="1"/>
    <col min="5718" max="5718" width="10.44140625" style="59" customWidth="1"/>
    <col min="5719" max="5720" width="13.5546875" style="59" customWidth="1"/>
    <col min="5721" max="5721" width="13" style="59" customWidth="1"/>
    <col min="5722" max="5722" width="13.5546875" style="59" customWidth="1"/>
    <col min="5723" max="5725" width="13" style="59" customWidth="1"/>
    <col min="5726" max="5924" width="9.109375" style="59"/>
    <col min="5925" max="5925" width="14" style="59" customWidth="1"/>
    <col min="5926" max="5926" width="2" style="59" customWidth="1"/>
    <col min="5927" max="5927" width="11.88671875" style="59" customWidth="1"/>
    <col min="5928" max="5929" width="13.5546875" style="59" customWidth="1"/>
    <col min="5930" max="5930" width="13.88671875" style="59" customWidth="1"/>
    <col min="5931" max="5932" width="14.5546875" style="59" customWidth="1"/>
    <col min="5933" max="5951" width="13.44140625" style="59" customWidth="1"/>
    <col min="5952" max="5952" width="10.5546875" style="59" customWidth="1"/>
    <col min="5953" max="5953" width="13.44140625" style="59" customWidth="1"/>
    <col min="5954" max="5954" width="11" style="59" customWidth="1"/>
    <col min="5955" max="5958" width="13.44140625" style="59" customWidth="1"/>
    <col min="5959" max="5959" width="19.5546875" style="59" customWidth="1"/>
    <col min="5960" max="5960" width="16.44140625" style="59" customWidth="1"/>
    <col min="5961" max="5961" width="13.44140625" style="59" customWidth="1"/>
    <col min="5962" max="5962" width="16" style="59" customWidth="1"/>
    <col min="5963" max="5966" width="13.44140625" style="59" customWidth="1"/>
    <col min="5967" max="5967" width="2.109375" style="59" customWidth="1"/>
    <col min="5968" max="5968" width="10.44140625" style="59" customWidth="1"/>
    <col min="5969" max="5969" width="14.109375" style="59" customWidth="1"/>
    <col min="5970" max="5970" width="9.109375" style="59"/>
    <col min="5971" max="5971" width="13.88671875" style="59" customWidth="1"/>
    <col min="5972" max="5972" width="9.109375" style="59"/>
    <col min="5973" max="5973" width="12.5546875" style="59" customWidth="1"/>
    <col min="5974" max="5974" width="10.44140625" style="59" customWidth="1"/>
    <col min="5975" max="5976" width="13.5546875" style="59" customWidth="1"/>
    <col min="5977" max="5977" width="13" style="59" customWidth="1"/>
    <col min="5978" max="5978" width="13.5546875" style="59" customWidth="1"/>
    <col min="5979" max="5981" width="13" style="59" customWidth="1"/>
    <col min="5982" max="6180" width="9.109375" style="59"/>
    <col min="6181" max="6181" width="14" style="59" customWidth="1"/>
    <col min="6182" max="6182" width="2" style="59" customWidth="1"/>
    <col min="6183" max="6183" width="11.88671875" style="59" customWidth="1"/>
    <col min="6184" max="6185" width="13.5546875" style="59" customWidth="1"/>
    <col min="6186" max="6186" width="13.88671875" style="59" customWidth="1"/>
    <col min="6187" max="6188" width="14.5546875" style="59" customWidth="1"/>
    <col min="6189" max="6207" width="13.44140625" style="59" customWidth="1"/>
    <col min="6208" max="6208" width="10.5546875" style="59" customWidth="1"/>
    <col min="6209" max="6209" width="13.44140625" style="59" customWidth="1"/>
    <col min="6210" max="6210" width="11" style="59" customWidth="1"/>
    <col min="6211" max="6214" width="13.44140625" style="59" customWidth="1"/>
    <col min="6215" max="6215" width="19.5546875" style="59" customWidth="1"/>
    <col min="6216" max="6216" width="16.44140625" style="59" customWidth="1"/>
    <col min="6217" max="6217" width="13.44140625" style="59" customWidth="1"/>
    <col min="6218" max="6218" width="16" style="59" customWidth="1"/>
    <col min="6219" max="6222" width="13.44140625" style="59" customWidth="1"/>
    <col min="6223" max="6223" width="2.109375" style="59" customWidth="1"/>
    <col min="6224" max="6224" width="10.44140625" style="59" customWidth="1"/>
    <col min="6225" max="6225" width="14.109375" style="59" customWidth="1"/>
    <col min="6226" max="6226" width="9.109375" style="59"/>
    <col min="6227" max="6227" width="13.88671875" style="59" customWidth="1"/>
    <col min="6228" max="6228" width="9.109375" style="59"/>
    <col min="6229" max="6229" width="12.5546875" style="59" customWidth="1"/>
    <col min="6230" max="6230" width="10.44140625" style="59" customWidth="1"/>
    <col min="6231" max="6232" width="13.5546875" style="59" customWidth="1"/>
    <col min="6233" max="6233" width="13" style="59" customWidth="1"/>
    <col min="6234" max="6234" width="13.5546875" style="59" customWidth="1"/>
    <col min="6235" max="6237" width="13" style="59" customWidth="1"/>
    <col min="6238" max="6436" width="9.109375" style="59"/>
    <col min="6437" max="6437" width="14" style="59" customWidth="1"/>
    <col min="6438" max="6438" width="2" style="59" customWidth="1"/>
    <col min="6439" max="6439" width="11.88671875" style="59" customWidth="1"/>
    <col min="6440" max="6441" width="13.5546875" style="59" customWidth="1"/>
    <col min="6442" max="6442" width="13.88671875" style="59" customWidth="1"/>
    <col min="6443" max="6444" width="14.5546875" style="59" customWidth="1"/>
    <col min="6445" max="6463" width="13.44140625" style="59" customWidth="1"/>
    <col min="6464" max="6464" width="10.5546875" style="59" customWidth="1"/>
    <col min="6465" max="6465" width="13.44140625" style="59" customWidth="1"/>
    <col min="6466" max="6466" width="11" style="59" customWidth="1"/>
    <col min="6467" max="6470" width="13.44140625" style="59" customWidth="1"/>
    <col min="6471" max="6471" width="19.5546875" style="59" customWidth="1"/>
    <col min="6472" max="6472" width="16.44140625" style="59" customWidth="1"/>
    <col min="6473" max="6473" width="13.44140625" style="59" customWidth="1"/>
    <col min="6474" max="6474" width="16" style="59" customWidth="1"/>
    <col min="6475" max="6478" width="13.44140625" style="59" customWidth="1"/>
    <col min="6479" max="6479" width="2.109375" style="59" customWidth="1"/>
    <col min="6480" max="6480" width="10.44140625" style="59" customWidth="1"/>
    <col min="6481" max="6481" width="14.109375" style="59" customWidth="1"/>
    <col min="6482" max="6482" width="9.109375" style="59"/>
    <col min="6483" max="6483" width="13.88671875" style="59" customWidth="1"/>
    <col min="6484" max="6484" width="9.109375" style="59"/>
    <col min="6485" max="6485" width="12.5546875" style="59" customWidth="1"/>
    <col min="6486" max="6486" width="10.44140625" style="59" customWidth="1"/>
    <col min="6487" max="6488" width="13.5546875" style="59" customWidth="1"/>
    <col min="6489" max="6489" width="13" style="59" customWidth="1"/>
    <col min="6490" max="6490" width="13.5546875" style="59" customWidth="1"/>
    <col min="6491" max="6493" width="13" style="59" customWidth="1"/>
    <col min="6494" max="6692" width="9.109375" style="59"/>
    <col min="6693" max="6693" width="14" style="59" customWidth="1"/>
    <col min="6694" max="6694" width="2" style="59" customWidth="1"/>
    <col min="6695" max="6695" width="11.88671875" style="59" customWidth="1"/>
    <col min="6696" max="6697" width="13.5546875" style="59" customWidth="1"/>
    <col min="6698" max="6698" width="13.88671875" style="59" customWidth="1"/>
    <col min="6699" max="6700" width="14.5546875" style="59" customWidth="1"/>
    <col min="6701" max="6719" width="13.44140625" style="59" customWidth="1"/>
    <col min="6720" max="6720" width="10.5546875" style="59" customWidth="1"/>
    <col min="6721" max="6721" width="13.44140625" style="59" customWidth="1"/>
    <col min="6722" max="6722" width="11" style="59" customWidth="1"/>
    <col min="6723" max="6726" width="13.44140625" style="59" customWidth="1"/>
    <col min="6727" max="6727" width="19.5546875" style="59" customWidth="1"/>
    <col min="6728" max="6728" width="16.44140625" style="59" customWidth="1"/>
    <col min="6729" max="6729" width="13.44140625" style="59" customWidth="1"/>
    <col min="6730" max="6730" width="16" style="59" customWidth="1"/>
    <col min="6731" max="6734" width="13.44140625" style="59" customWidth="1"/>
    <col min="6735" max="6735" width="2.109375" style="59" customWidth="1"/>
    <col min="6736" max="6736" width="10.44140625" style="59" customWidth="1"/>
    <col min="6737" max="6737" width="14.109375" style="59" customWidth="1"/>
    <col min="6738" max="6738" width="9.109375" style="59"/>
    <col min="6739" max="6739" width="13.88671875" style="59" customWidth="1"/>
    <col min="6740" max="6740" width="9.109375" style="59"/>
    <col min="6741" max="6741" width="12.5546875" style="59" customWidth="1"/>
    <col min="6742" max="6742" width="10.44140625" style="59" customWidth="1"/>
    <col min="6743" max="6744" width="13.5546875" style="59" customWidth="1"/>
    <col min="6745" max="6745" width="13" style="59" customWidth="1"/>
    <col min="6746" max="6746" width="13.5546875" style="59" customWidth="1"/>
    <col min="6747" max="6749" width="13" style="59" customWidth="1"/>
    <col min="6750" max="6948" width="9.109375" style="59"/>
    <col min="6949" max="6949" width="14" style="59" customWidth="1"/>
    <col min="6950" max="6950" width="2" style="59" customWidth="1"/>
    <col min="6951" max="6951" width="11.88671875" style="59" customWidth="1"/>
    <col min="6952" max="6953" width="13.5546875" style="59" customWidth="1"/>
    <col min="6954" max="6954" width="13.88671875" style="59" customWidth="1"/>
    <col min="6955" max="6956" width="14.5546875" style="59" customWidth="1"/>
    <col min="6957" max="6975" width="13.44140625" style="59" customWidth="1"/>
    <col min="6976" max="6976" width="10.5546875" style="59" customWidth="1"/>
    <col min="6977" max="6977" width="13.44140625" style="59" customWidth="1"/>
    <col min="6978" max="6978" width="11" style="59" customWidth="1"/>
    <col min="6979" max="6982" width="13.44140625" style="59" customWidth="1"/>
    <col min="6983" max="6983" width="19.5546875" style="59" customWidth="1"/>
    <col min="6984" max="6984" width="16.44140625" style="59" customWidth="1"/>
    <col min="6985" max="6985" width="13.44140625" style="59" customWidth="1"/>
    <col min="6986" max="6986" width="16" style="59" customWidth="1"/>
    <col min="6987" max="6990" width="13.44140625" style="59" customWidth="1"/>
    <col min="6991" max="6991" width="2.109375" style="59" customWidth="1"/>
    <col min="6992" max="6992" width="10.44140625" style="59" customWidth="1"/>
    <col min="6993" max="6993" width="14.109375" style="59" customWidth="1"/>
    <col min="6994" max="6994" width="9.109375" style="59"/>
    <col min="6995" max="6995" width="13.88671875" style="59" customWidth="1"/>
    <col min="6996" max="6996" width="9.109375" style="59"/>
    <col min="6997" max="6997" width="12.5546875" style="59" customWidth="1"/>
    <col min="6998" max="6998" width="10.44140625" style="59" customWidth="1"/>
    <col min="6999" max="7000" width="13.5546875" style="59" customWidth="1"/>
    <col min="7001" max="7001" width="13" style="59" customWidth="1"/>
    <col min="7002" max="7002" width="13.5546875" style="59" customWidth="1"/>
    <col min="7003" max="7005" width="13" style="59" customWidth="1"/>
    <col min="7006" max="7204" width="9.109375" style="59"/>
    <col min="7205" max="7205" width="14" style="59" customWidth="1"/>
    <col min="7206" max="7206" width="2" style="59" customWidth="1"/>
    <col min="7207" max="7207" width="11.88671875" style="59" customWidth="1"/>
    <col min="7208" max="7209" width="13.5546875" style="59" customWidth="1"/>
    <col min="7210" max="7210" width="13.88671875" style="59" customWidth="1"/>
    <col min="7211" max="7212" width="14.5546875" style="59" customWidth="1"/>
    <col min="7213" max="7231" width="13.44140625" style="59" customWidth="1"/>
    <col min="7232" max="7232" width="10.5546875" style="59" customWidth="1"/>
    <col min="7233" max="7233" width="13.44140625" style="59" customWidth="1"/>
    <col min="7234" max="7234" width="11" style="59" customWidth="1"/>
    <col min="7235" max="7238" width="13.44140625" style="59" customWidth="1"/>
    <col min="7239" max="7239" width="19.5546875" style="59" customWidth="1"/>
    <col min="7240" max="7240" width="16.44140625" style="59" customWidth="1"/>
    <col min="7241" max="7241" width="13.44140625" style="59" customWidth="1"/>
    <col min="7242" max="7242" width="16" style="59" customWidth="1"/>
    <col min="7243" max="7246" width="13.44140625" style="59" customWidth="1"/>
    <col min="7247" max="7247" width="2.109375" style="59" customWidth="1"/>
    <col min="7248" max="7248" width="10.44140625" style="59" customWidth="1"/>
    <col min="7249" max="7249" width="14.109375" style="59" customWidth="1"/>
    <col min="7250" max="7250" width="9.109375" style="59"/>
    <col min="7251" max="7251" width="13.88671875" style="59" customWidth="1"/>
    <col min="7252" max="7252" width="9.109375" style="59"/>
    <col min="7253" max="7253" width="12.5546875" style="59" customWidth="1"/>
    <col min="7254" max="7254" width="10.44140625" style="59" customWidth="1"/>
    <col min="7255" max="7256" width="13.5546875" style="59" customWidth="1"/>
    <col min="7257" max="7257" width="13" style="59" customWidth="1"/>
    <col min="7258" max="7258" width="13.5546875" style="59" customWidth="1"/>
    <col min="7259" max="7261" width="13" style="59" customWidth="1"/>
    <col min="7262" max="7460" width="9.109375" style="59"/>
    <col min="7461" max="7461" width="14" style="59" customWidth="1"/>
    <col min="7462" max="7462" width="2" style="59" customWidth="1"/>
    <col min="7463" max="7463" width="11.88671875" style="59" customWidth="1"/>
    <col min="7464" max="7465" width="13.5546875" style="59" customWidth="1"/>
    <col min="7466" max="7466" width="13.88671875" style="59" customWidth="1"/>
    <col min="7467" max="7468" width="14.5546875" style="59" customWidth="1"/>
    <col min="7469" max="7487" width="13.44140625" style="59" customWidth="1"/>
    <col min="7488" max="7488" width="10.5546875" style="59" customWidth="1"/>
    <col min="7489" max="7489" width="13.44140625" style="59" customWidth="1"/>
    <col min="7490" max="7490" width="11" style="59" customWidth="1"/>
    <col min="7491" max="7494" width="13.44140625" style="59" customWidth="1"/>
    <col min="7495" max="7495" width="19.5546875" style="59" customWidth="1"/>
    <col min="7496" max="7496" width="16.44140625" style="59" customWidth="1"/>
    <col min="7497" max="7497" width="13.44140625" style="59" customWidth="1"/>
    <col min="7498" max="7498" width="16" style="59" customWidth="1"/>
    <col min="7499" max="7502" width="13.44140625" style="59" customWidth="1"/>
    <col min="7503" max="7503" width="2.109375" style="59" customWidth="1"/>
    <col min="7504" max="7504" width="10.44140625" style="59" customWidth="1"/>
    <col min="7505" max="7505" width="14.109375" style="59" customWidth="1"/>
    <col min="7506" max="7506" width="9.109375" style="59"/>
    <col min="7507" max="7507" width="13.88671875" style="59" customWidth="1"/>
    <col min="7508" max="7508" width="9.109375" style="59"/>
    <col min="7509" max="7509" width="12.5546875" style="59" customWidth="1"/>
    <col min="7510" max="7510" width="10.44140625" style="59" customWidth="1"/>
    <col min="7511" max="7512" width="13.5546875" style="59" customWidth="1"/>
    <col min="7513" max="7513" width="13" style="59" customWidth="1"/>
    <col min="7514" max="7514" width="13.5546875" style="59" customWidth="1"/>
    <col min="7515" max="7517" width="13" style="59" customWidth="1"/>
    <col min="7518" max="7716" width="9.109375" style="59"/>
    <col min="7717" max="7717" width="14" style="59" customWidth="1"/>
    <col min="7718" max="7718" width="2" style="59" customWidth="1"/>
    <col min="7719" max="7719" width="11.88671875" style="59" customWidth="1"/>
    <col min="7720" max="7721" width="13.5546875" style="59" customWidth="1"/>
    <col min="7722" max="7722" width="13.88671875" style="59" customWidth="1"/>
    <col min="7723" max="7724" width="14.5546875" style="59" customWidth="1"/>
    <col min="7725" max="7743" width="13.44140625" style="59" customWidth="1"/>
    <col min="7744" max="7744" width="10.5546875" style="59" customWidth="1"/>
    <col min="7745" max="7745" width="13.44140625" style="59" customWidth="1"/>
    <col min="7746" max="7746" width="11" style="59" customWidth="1"/>
    <col min="7747" max="7750" width="13.44140625" style="59" customWidth="1"/>
    <col min="7751" max="7751" width="19.5546875" style="59" customWidth="1"/>
    <col min="7752" max="7752" width="16.44140625" style="59" customWidth="1"/>
    <col min="7753" max="7753" width="13.44140625" style="59" customWidth="1"/>
    <col min="7754" max="7754" width="16" style="59" customWidth="1"/>
    <col min="7755" max="7758" width="13.44140625" style="59" customWidth="1"/>
    <col min="7759" max="7759" width="2.109375" style="59" customWidth="1"/>
    <col min="7760" max="7760" width="10.44140625" style="59" customWidth="1"/>
    <col min="7761" max="7761" width="14.109375" style="59" customWidth="1"/>
    <col min="7762" max="7762" width="9.109375" style="59"/>
    <col min="7763" max="7763" width="13.88671875" style="59" customWidth="1"/>
    <col min="7764" max="7764" width="9.109375" style="59"/>
    <col min="7765" max="7765" width="12.5546875" style="59" customWidth="1"/>
    <col min="7766" max="7766" width="10.44140625" style="59" customWidth="1"/>
    <col min="7767" max="7768" width="13.5546875" style="59" customWidth="1"/>
    <col min="7769" max="7769" width="13" style="59" customWidth="1"/>
    <col min="7770" max="7770" width="13.5546875" style="59" customWidth="1"/>
    <col min="7771" max="7773" width="13" style="59" customWidth="1"/>
    <col min="7774" max="7972" width="9.109375" style="59"/>
    <col min="7973" max="7973" width="14" style="59" customWidth="1"/>
    <col min="7974" max="7974" width="2" style="59" customWidth="1"/>
    <col min="7975" max="7975" width="11.88671875" style="59" customWidth="1"/>
    <col min="7976" max="7977" width="13.5546875" style="59" customWidth="1"/>
    <col min="7978" max="7978" width="13.88671875" style="59" customWidth="1"/>
    <col min="7979" max="7980" width="14.5546875" style="59" customWidth="1"/>
    <col min="7981" max="7999" width="13.44140625" style="59" customWidth="1"/>
    <col min="8000" max="8000" width="10.5546875" style="59" customWidth="1"/>
    <col min="8001" max="8001" width="13.44140625" style="59" customWidth="1"/>
    <col min="8002" max="8002" width="11" style="59" customWidth="1"/>
    <col min="8003" max="8006" width="13.44140625" style="59" customWidth="1"/>
    <col min="8007" max="8007" width="19.5546875" style="59" customWidth="1"/>
    <col min="8008" max="8008" width="16.44140625" style="59" customWidth="1"/>
    <col min="8009" max="8009" width="13.44140625" style="59" customWidth="1"/>
    <col min="8010" max="8010" width="16" style="59" customWidth="1"/>
    <col min="8011" max="8014" width="13.44140625" style="59" customWidth="1"/>
    <col min="8015" max="8015" width="2.109375" style="59" customWidth="1"/>
    <col min="8016" max="8016" width="10.44140625" style="59" customWidth="1"/>
    <col min="8017" max="8017" width="14.109375" style="59" customWidth="1"/>
    <col min="8018" max="8018" width="9.109375" style="59"/>
    <col min="8019" max="8019" width="13.88671875" style="59" customWidth="1"/>
    <col min="8020" max="8020" width="9.109375" style="59"/>
    <col min="8021" max="8021" width="12.5546875" style="59" customWidth="1"/>
    <col min="8022" max="8022" width="10.44140625" style="59" customWidth="1"/>
    <col min="8023" max="8024" width="13.5546875" style="59" customWidth="1"/>
    <col min="8025" max="8025" width="13" style="59" customWidth="1"/>
    <col min="8026" max="8026" width="13.5546875" style="59" customWidth="1"/>
    <col min="8027" max="8029" width="13" style="59" customWidth="1"/>
    <col min="8030" max="8228" width="9.109375" style="59"/>
    <col min="8229" max="8229" width="14" style="59" customWidth="1"/>
    <col min="8230" max="8230" width="2" style="59" customWidth="1"/>
    <col min="8231" max="8231" width="11.88671875" style="59" customWidth="1"/>
    <col min="8232" max="8233" width="13.5546875" style="59" customWidth="1"/>
    <col min="8234" max="8234" width="13.88671875" style="59" customWidth="1"/>
    <col min="8235" max="8236" width="14.5546875" style="59" customWidth="1"/>
    <col min="8237" max="8255" width="13.44140625" style="59" customWidth="1"/>
    <col min="8256" max="8256" width="10.5546875" style="59" customWidth="1"/>
    <col min="8257" max="8257" width="13.44140625" style="59" customWidth="1"/>
    <col min="8258" max="8258" width="11" style="59" customWidth="1"/>
    <col min="8259" max="8262" width="13.44140625" style="59" customWidth="1"/>
    <col min="8263" max="8263" width="19.5546875" style="59" customWidth="1"/>
    <col min="8264" max="8264" width="16.44140625" style="59" customWidth="1"/>
    <col min="8265" max="8265" width="13.44140625" style="59" customWidth="1"/>
    <col min="8266" max="8266" width="16" style="59" customWidth="1"/>
    <col min="8267" max="8270" width="13.44140625" style="59" customWidth="1"/>
    <col min="8271" max="8271" width="2.109375" style="59" customWidth="1"/>
    <col min="8272" max="8272" width="10.44140625" style="59" customWidth="1"/>
    <col min="8273" max="8273" width="14.109375" style="59" customWidth="1"/>
    <col min="8274" max="8274" width="9.109375" style="59"/>
    <col min="8275" max="8275" width="13.88671875" style="59" customWidth="1"/>
    <col min="8276" max="8276" width="9.109375" style="59"/>
    <col min="8277" max="8277" width="12.5546875" style="59" customWidth="1"/>
    <col min="8278" max="8278" width="10.44140625" style="59" customWidth="1"/>
    <col min="8279" max="8280" width="13.5546875" style="59" customWidth="1"/>
    <col min="8281" max="8281" width="13" style="59" customWidth="1"/>
    <col min="8282" max="8282" width="13.5546875" style="59" customWidth="1"/>
    <col min="8283" max="8285" width="13" style="59" customWidth="1"/>
    <col min="8286" max="8484" width="9.109375" style="59"/>
    <col min="8485" max="8485" width="14" style="59" customWidth="1"/>
    <col min="8486" max="8486" width="2" style="59" customWidth="1"/>
    <col min="8487" max="8487" width="11.88671875" style="59" customWidth="1"/>
    <col min="8488" max="8489" width="13.5546875" style="59" customWidth="1"/>
    <col min="8490" max="8490" width="13.88671875" style="59" customWidth="1"/>
    <col min="8491" max="8492" width="14.5546875" style="59" customWidth="1"/>
    <col min="8493" max="8511" width="13.44140625" style="59" customWidth="1"/>
    <col min="8512" max="8512" width="10.5546875" style="59" customWidth="1"/>
    <col min="8513" max="8513" width="13.44140625" style="59" customWidth="1"/>
    <col min="8514" max="8514" width="11" style="59" customWidth="1"/>
    <col min="8515" max="8518" width="13.44140625" style="59" customWidth="1"/>
    <col min="8519" max="8519" width="19.5546875" style="59" customWidth="1"/>
    <col min="8520" max="8520" width="16.44140625" style="59" customWidth="1"/>
    <col min="8521" max="8521" width="13.44140625" style="59" customWidth="1"/>
    <col min="8522" max="8522" width="16" style="59" customWidth="1"/>
    <col min="8523" max="8526" width="13.44140625" style="59" customWidth="1"/>
    <col min="8527" max="8527" width="2.109375" style="59" customWidth="1"/>
    <col min="8528" max="8528" width="10.44140625" style="59" customWidth="1"/>
    <col min="8529" max="8529" width="14.109375" style="59" customWidth="1"/>
    <col min="8530" max="8530" width="9.109375" style="59"/>
    <col min="8531" max="8531" width="13.88671875" style="59" customWidth="1"/>
    <col min="8532" max="8532" width="9.109375" style="59"/>
    <col min="8533" max="8533" width="12.5546875" style="59" customWidth="1"/>
    <col min="8534" max="8534" width="10.44140625" style="59" customWidth="1"/>
    <col min="8535" max="8536" width="13.5546875" style="59" customWidth="1"/>
    <col min="8537" max="8537" width="13" style="59" customWidth="1"/>
    <col min="8538" max="8538" width="13.5546875" style="59" customWidth="1"/>
    <col min="8539" max="8541" width="13" style="59" customWidth="1"/>
    <col min="8542" max="8740" width="9.109375" style="59"/>
    <col min="8741" max="8741" width="14" style="59" customWidth="1"/>
    <col min="8742" max="8742" width="2" style="59" customWidth="1"/>
    <col min="8743" max="8743" width="11.88671875" style="59" customWidth="1"/>
    <col min="8744" max="8745" width="13.5546875" style="59" customWidth="1"/>
    <col min="8746" max="8746" width="13.88671875" style="59" customWidth="1"/>
    <col min="8747" max="8748" width="14.5546875" style="59" customWidth="1"/>
    <col min="8749" max="8767" width="13.44140625" style="59" customWidth="1"/>
    <col min="8768" max="8768" width="10.5546875" style="59" customWidth="1"/>
    <col min="8769" max="8769" width="13.44140625" style="59" customWidth="1"/>
    <col min="8770" max="8770" width="11" style="59" customWidth="1"/>
    <col min="8771" max="8774" width="13.44140625" style="59" customWidth="1"/>
    <col min="8775" max="8775" width="19.5546875" style="59" customWidth="1"/>
    <col min="8776" max="8776" width="16.44140625" style="59" customWidth="1"/>
    <col min="8777" max="8777" width="13.44140625" style="59" customWidth="1"/>
    <col min="8778" max="8778" width="16" style="59" customWidth="1"/>
    <col min="8779" max="8782" width="13.44140625" style="59" customWidth="1"/>
    <col min="8783" max="8783" width="2.109375" style="59" customWidth="1"/>
    <col min="8784" max="8784" width="10.44140625" style="59" customWidth="1"/>
    <col min="8785" max="8785" width="14.109375" style="59" customWidth="1"/>
    <col min="8786" max="8786" width="9.109375" style="59"/>
    <col min="8787" max="8787" width="13.88671875" style="59" customWidth="1"/>
    <col min="8788" max="8788" width="9.109375" style="59"/>
    <col min="8789" max="8789" width="12.5546875" style="59" customWidth="1"/>
    <col min="8790" max="8790" width="10.44140625" style="59" customWidth="1"/>
    <col min="8791" max="8792" width="13.5546875" style="59" customWidth="1"/>
    <col min="8793" max="8793" width="13" style="59" customWidth="1"/>
    <col min="8794" max="8794" width="13.5546875" style="59" customWidth="1"/>
    <col min="8795" max="8797" width="13" style="59" customWidth="1"/>
    <col min="8798" max="8996" width="9.109375" style="59"/>
    <col min="8997" max="8997" width="14" style="59" customWidth="1"/>
    <col min="8998" max="8998" width="2" style="59" customWidth="1"/>
    <col min="8999" max="8999" width="11.88671875" style="59" customWidth="1"/>
    <col min="9000" max="9001" width="13.5546875" style="59" customWidth="1"/>
    <col min="9002" max="9002" width="13.88671875" style="59" customWidth="1"/>
    <col min="9003" max="9004" width="14.5546875" style="59" customWidth="1"/>
    <col min="9005" max="9023" width="13.44140625" style="59" customWidth="1"/>
    <col min="9024" max="9024" width="10.5546875" style="59" customWidth="1"/>
    <col min="9025" max="9025" width="13.44140625" style="59" customWidth="1"/>
    <col min="9026" max="9026" width="11" style="59" customWidth="1"/>
    <col min="9027" max="9030" width="13.44140625" style="59" customWidth="1"/>
    <col min="9031" max="9031" width="19.5546875" style="59" customWidth="1"/>
    <col min="9032" max="9032" width="16.44140625" style="59" customWidth="1"/>
    <col min="9033" max="9033" width="13.44140625" style="59" customWidth="1"/>
    <col min="9034" max="9034" width="16" style="59" customWidth="1"/>
    <col min="9035" max="9038" width="13.44140625" style="59" customWidth="1"/>
    <col min="9039" max="9039" width="2.109375" style="59" customWidth="1"/>
    <col min="9040" max="9040" width="10.44140625" style="59" customWidth="1"/>
    <col min="9041" max="9041" width="14.109375" style="59" customWidth="1"/>
    <col min="9042" max="9042" width="9.109375" style="59"/>
    <col min="9043" max="9043" width="13.88671875" style="59" customWidth="1"/>
    <col min="9044" max="9044" width="9.109375" style="59"/>
    <col min="9045" max="9045" width="12.5546875" style="59" customWidth="1"/>
    <col min="9046" max="9046" width="10.44140625" style="59" customWidth="1"/>
    <col min="9047" max="9048" width="13.5546875" style="59" customWidth="1"/>
    <col min="9049" max="9049" width="13" style="59" customWidth="1"/>
    <col min="9050" max="9050" width="13.5546875" style="59" customWidth="1"/>
    <col min="9051" max="9053" width="13" style="59" customWidth="1"/>
    <col min="9054" max="9252" width="9.109375" style="59"/>
    <col min="9253" max="9253" width="14" style="59" customWidth="1"/>
    <col min="9254" max="9254" width="2" style="59" customWidth="1"/>
    <col min="9255" max="9255" width="11.88671875" style="59" customWidth="1"/>
    <col min="9256" max="9257" width="13.5546875" style="59" customWidth="1"/>
    <col min="9258" max="9258" width="13.88671875" style="59" customWidth="1"/>
    <col min="9259" max="9260" width="14.5546875" style="59" customWidth="1"/>
    <col min="9261" max="9279" width="13.44140625" style="59" customWidth="1"/>
    <col min="9280" max="9280" width="10.5546875" style="59" customWidth="1"/>
    <col min="9281" max="9281" width="13.44140625" style="59" customWidth="1"/>
    <col min="9282" max="9282" width="11" style="59" customWidth="1"/>
    <col min="9283" max="9286" width="13.44140625" style="59" customWidth="1"/>
    <col min="9287" max="9287" width="19.5546875" style="59" customWidth="1"/>
    <col min="9288" max="9288" width="16.44140625" style="59" customWidth="1"/>
    <col min="9289" max="9289" width="13.44140625" style="59" customWidth="1"/>
    <col min="9290" max="9290" width="16" style="59" customWidth="1"/>
    <col min="9291" max="9294" width="13.44140625" style="59" customWidth="1"/>
    <col min="9295" max="9295" width="2.109375" style="59" customWidth="1"/>
    <col min="9296" max="9296" width="10.44140625" style="59" customWidth="1"/>
    <col min="9297" max="9297" width="14.109375" style="59" customWidth="1"/>
    <col min="9298" max="9298" width="9.109375" style="59"/>
    <col min="9299" max="9299" width="13.88671875" style="59" customWidth="1"/>
    <col min="9300" max="9300" width="9.109375" style="59"/>
    <col min="9301" max="9301" width="12.5546875" style="59" customWidth="1"/>
    <col min="9302" max="9302" width="10.44140625" style="59" customWidth="1"/>
    <col min="9303" max="9304" width="13.5546875" style="59" customWidth="1"/>
    <col min="9305" max="9305" width="13" style="59" customWidth="1"/>
    <col min="9306" max="9306" width="13.5546875" style="59" customWidth="1"/>
    <col min="9307" max="9309" width="13" style="59" customWidth="1"/>
    <col min="9310" max="9508" width="9.109375" style="59"/>
    <col min="9509" max="9509" width="14" style="59" customWidth="1"/>
    <col min="9510" max="9510" width="2" style="59" customWidth="1"/>
    <col min="9511" max="9511" width="11.88671875" style="59" customWidth="1"/>
    <col min="9512" max="9513" width="13.5546875" style="59" customWidth="1"/>
    <col min="9514" max="9514" width="13.88671875" style="59" customWidth="1"/>
    <col min="9515" max="9516" width="14.5546875" style="59" customWidth="1"/>
    <col min="9517" max="9535" width="13.44140625" style="59" customWidth="1"/>
    <col min="9536" max="9536" width="10.5546875" style="59" customWidth="1"/>
    <col min="9537" max="9537" width="13.44140625" style="59" customWidth="1"/>
    <col min="9538" max="9538" width="11" style="59" customWidth="1"/>
    <col min="9539" max="9542" width="13.44140625" style="59" customWidth="1"/>
    <col min="9543" max="9543" width="19.5546875" style="59" customWidth="1"/>
    <col min="9544" max="9544" width="16.44140625" style="59" customWidth="1"/>
    <col min="9545" max="9545" width="13.44140625" style="59" customWidth="1"/>
    <col min="9546" max="9546" width="16" style="59" customWidth="1"/>
    <col min="9547" max="9550" width="13.44140625" style="59" customWidth="1"/>
    <col min="9551" max="9551" width="2.109375" style="59" customWidth="1"/>
    <col min="9552" max="9552" width="10.44140625" style="59" customWidth="1"/>
    <col min="9553" max="9553" width="14.109375" style="59" customWidth="1"/>
    <col min="9554" max="9554" width="9.109375" style="59"/>
    <col min="9555" max="9555" width="13.88671875" style="59" customWidth="1"/>
    <col min="9556" max="9556" width="9.109375" style="59"/>
    <col min="9557" max="9557" width="12.5546875" style="59" customWidth="1"/>
    <col min="9558" max="9558" width="10.44140625" style="59" customWidth="1"/>
    <col min="9559" max="9560" width="13.5546875" style="59" customWidth="1"/>
    <col min="9561" max="9561" width="13" style="59" customWidth="1"/>
    <col min="9562" max="9562" width="13.5546875" style="59" customWidth="1"/>
    <col min="9563" max="9565" width="13" style="59" customWidth="1"/>
    <col min="9566" max="9764" width="9.109375" style="59"/>
    <col min="9765" max="9765" width="14" style="59" customWidth="1"/>
    <col min="9766" max="9766" width="2" style="59" customWidth="1"/>
    <col min="9767" max="9767" width="11.88671875" style="59" customWidth="1"/>
    <col min="9768" max="9769" width="13.5546875" style="59" customWidth="1"/>
    <col min="9770" max="9770" width="13.88671875" style="59" customWidth="1"/>
    <col min="9771" max="9772" width="14.5546875" style="59" customWidth="1"/>
    <col min="9773" max="9791" width="13.44140625" style="59" customWidth="1"/>
    <col min="9792" max="9792" width="10.5546875" style="59" customWidth="1"/>
    <col min="9793" max="9793" width="13.44140625" style="59" customWidth="1"/>
    <col min="9794" max="9794" width="11" style="59" customWidth="1"/>
    <col min="9795" max="9798" width="13.44140625" style="59" customWidth="1"/>
    <col min="9799" max="9799" width="19.5546875" style="59" customWidth="1"/>
    <col min="9800" max="9800" width="16.44140625" style="59" customWidth="1"/>
    <col min="9801" max="9801" width="13.44140625" style="59" customWidth="1"/>
    <col min="9802" max="9802" width="16" style="59" customWidth="1"/>
    <col min="9803" max="9806" width="13.44140625" style="59" customWidth="1"/>
    <col min="9807" max="9807" width="2.109375" style="59" customWidth="1"/>
    <col min="9808" max="9808" width="10.44140625" style="59" customWidth="1"/>
    <col min="9809" max="9809" width="14.109375" style="59" customWidth="1"/>
    <col min="9810" max="9810" width="9.109375" style="59"/>
    <col min="9811" max="9811" width="13.88671875" style="59" customWidth="1"/>
    <col min="9812" max="9812" width="9.109375" style="59"/>
    <col min="9813" max="9813" width="12.5546875" style="59" customWidth="1"/>
    <col min="9814" max="9814" width="10.44140625" style="59" customWidth="1"/>
    <col min="9815" max="9816" width="13.5546875" style="59" customWidth="1"/>
    <col min="9817" max="9817" width="13" style="59" customWidth="1"/>
    <col min="9818" max="9818" width="13.5546875" style="59" customWidth="1"/>
    <col min="9819" max="9821" width="13" style="59" customWidth="1"/>
    <col min="9822" max="10020" width="9.109375" style="59"/>
    <col min="10021" max="10021" width="14" style="59" customWidth="1"/>
    <col min="10022" max="10022" width="2" style="59" customWidth="1"/>
    <col min="10023" max="10023" width="11.88671875" style="59" customWidth="1"/>
    <col min="10024" max="10025" width="13.5546875" style="59" customWidth="1"/>
    <col min="10026" max="10026" width="13.88671875" style="59" customWidth="1"/>
    <col min="10027" max="10028" width="14.5546875" style="59" customWidth="1"/>
    <col min="10029" max="10047" width="13.44140625" style="59" customWidth="1"/>
    <col min="10048" max="10048" width="10.5546875" style="59" customWidth="1"/>
    <col min="10049" max="10049" width="13.44140625" style="59" customWidth="1"/>
    <col min="10050" max="10050" width="11" style="59" customWidth="1"/>
    <col min="10051" max="10054" width="13.44140625" style="59" customWidth="1"/>
    <col min="10055" max="10055" width="19.5546875" style="59" customWidth="1"/>
    <col min="10056" max="10056" width="16.44140625" style="59" customWidth="1"/>
    <col min="10057" max="10057" width="13.44140625" style="59" customWidth="1"/>
    <col min="10058" max="10058" width="16" style="59" customWidth="1"/>
    <col min="10059" max="10062" width="13.44140625" style="59" customWidth="1"/>
    <col min="10063" max="10063" width="2.109375" style="59" customWidth="1"/>
    <col min="10064" max="10064" width="10.44140625" style="59" customWidth="1"/>
    <col min="10065" max="10065" width="14.109375" style="59" customWidth="1"/>
    <col min="10066" max="10066" width="9.109375" style="59"/>
    <col min="10067" max="10067" width="13.88671875" style="59" customWidth="1"/>
    <col min="10068" max="10068" width="9.109375" style="59"/>
    <col min="10069" max="10069" width="12.5546875" style="59" customWidth="1"/>
    <col min="10070" max="10070" width="10.44140625" style="59" customWidth="1"/>
    <col min="10071" max="10072" width="13.5546875" style="59" customWidth="1"/>
    <col min="10073" max="10073" width="13" style="59" customWidth="1"/>
    <col min="10074" max="10074" width="13.5546875" style="59" customWidth="1"/>
    <col min="10075" max="10077" width="13" style="59" customWidth="1"/>
    <col min="10078" max="10276" width="9.109375" style="59"/>
    <col min="10277" max="10277" width="14" style="59" customWidth="1"/>
    <col min="10278" max="10278" width="2" style="59" customWidth="1"/>
    <col min="10279" max="10279" width="11.88671875" style="59" customWidth="1"/>
    <col min="10280" max="10281" width="13.5546875" style="59" customWidth="1"/>
    <col min="10282" max="10282" width="13.88671875" style="59" customWidth="1"/>
    <col min="10283" max="10284" width="14.5546875" style="59" customWidth="1"/>
    <col min="10285" max="10303" width="13.44140625" style="59" customWidth="1"/>
    <col min="10304" max="10304" width="10.5546875" style="59" customWidth="1"/>
    <col min="10305" max="10305" width="13.44140625" style="59" customWidth="1"/>
    <col min="10306" max="10306" width="11" style="59" customWidth="1"/>
    <col min="10307" max="10310" width="13.44140625" style="59" customWidth="1"/>
    <col min="10311" max="10311" width="19.5546875" style="59" customWidth="1"/>
    <col min="10312" max="10312" width="16.44140625" style="59" customWidth="1"/>
    <col min="10313" max="10313" width="13.44140625" style="59" customWidth="1"/>
    <col min="10314" max="10314" width="16" style="59" customWidth="1"/>
    <col min="10315" max="10318" width="13.44140625" style="59" customWidth="1"/>
    <col min="10319" max="10319" width="2.109375" style="59" customWidth="1"/>
    <col min="10320" max="10320" width="10.44140625" style="59" customWidth="1"/>
    <col min="10321" max="10321" width="14.109375" style="59" customWidth="1"/>
    <col min="10322" max="10322" width="9.109375" style="59"/>
    <col min="10323" max="10323" width="13.88671875" style="59" customWidth="1"/>
    <col min="10324" max="10324" width="9.109375" style="59"/>
    <col min="10325" max="10325" width="12.5546875" style="59" customWidth="1"/>
    <col min="10326" max="10326" width="10.44140625" style="59" customWidth="1"/>
    <col min="10327" max="10328" width="13.5546875" style="59" customWidth="1"/>
    <col min="10329" max="10329" width="13" style="59" customWidth="1"/>
    <col min="10330" max="10330" width="13.5546875" style="59" customWidth="1"/>
    <col min="10331" max="10333" width="13" style="59" customWidth="1"/>
    <col min="10334" max="10532" width="9.109375" style="59"/>
    <col min="10533" max="10533" width="14" style="59" customWidth="1"/>
    <col min="10534" max="10534" width="2" style="59" customWidth="1"/>
    <col min="10535" max="10535" width="11.88671875" style="59" customWidth="1"/>
    <col min="10536" max="10537" width="13.5546875" style="59" customWidth="1"/>
    <col min="10538" max="10538" width="13.88671875" style="59" customWidth="1"/>
    <col min="10539" max="10540" width="14.5546875" style="59" customWidth="1"/>
    <col min="10541" max="10559" width="13.44140625" style="59" customWidth="1"/>
    <col min="10560" max="10560" width="10.5546875" style="59" customWidth="1"/>
    <col min="10561" max="10561" width="13.44140625" style="59" customWidth="1"/>
    <col min="10562" max="10562" width="11" style="59" customWidth="1"/>
    <col min="10563" max="10566" width="13.44140625" style="59" customWidth="1"/>
    <col min="10567" max="10567" width="19.5546875" style="59" customWidth="1"/>
    <col min="10568" max="10568" width="16.44140625" style="59" customWidth="1"/>
    <col min="10569" max="10569" width="13.44140625" style="59" customWidth="1"/>
    <col min="10570" max="10570" width="16" style="59" customWidth="1"/>
    <col min="10571" max="10574" width="13.44140625" style="59" customWidth="1"/>
    <col min="10575" max="10575" width="2.109375" style="59" customWidth="1"/>
    <col min="10576" max="10576" width="10.44140625" style="59" customWidth="1"/>
    <col min="10577" max="10577" width="14.109375" style="59" customWidth="1"/>
    <col min="10578" max="10578" width="9.109375" style="59"/>
    <col min="10579" max="10579" width="13.88671875" style="59" customWidth="1"/>
    <col min="10580" max="10580" width="9.109375" style="59"/>
    <col min="10581" max="10581" width="12.5546875" style="59" customWidth="1"/>
    <col min="10582" max="10582" width="10.44140625" style="59" customWidth="1"/>
    <col min="10583" max="10584" width="13.5546875" style="59" customWidth="1"/>
    <col min="10585" max="10585" width="13" style="59" customWidth="1"/>
    <col min="10586" max="10586" width="13.5546875" style="59" customWidth="1"/>
    <col min="10587" max="10589" width="13" style="59" customWidth="1"/>
    <col min="10590" max="10788" width="9.109375" style="59"/>
    <col min="10789" max="10789" width="14" style="59" customWidth="1"/>
    <col min="10790" max="10790" width="2" style="59" customWidth="1"/>
    <col min="10791" max="10791" width="11.88671875" style="59" customWidth="1"/>
    <col min="10792" max="10793" width="13.5546875" style="59" customWidth="1"/>
    <col min="10794" max="10794" width="13.88671875" style="59" customWidth="1"/>
    <col min="10795" max="10796" width="14.5546875" style="59" customWidth="1"/>
    <col min="10797" max="10815" width="13.44140625" style="59" customWidth="1"/>
    <col min="10816" max="10816" width="10.5546875" style="59" customWidth="1"/>
    <col min="10817" max="10817" width="13.44140625" style="59" customWidth="1"/>
    <col min="10818" max="10818" width="11" style="59" customWidth="1"/>
    <col min="10819" max="10822" width="13.44140625" style="59" customWidth="1"/>
    <col min="10823" max="10823" width="19.5546875" style="59" customWidth="1"/>
    <col min="10824" max="10824" width="16.44140625" style="59" customWidth="1"/>
    <col min="10825" max="10825" width="13.44140625" style="59" customWidth="1"/>
    <col min="10826" max="10826" width="16" style="59" customWidth="1"/>
    <col min="10827" max="10830" width="13.44140625" style="59" customWidth="1"/>
    <col min="10831" max="10831" width="2.109375" style="59" customWidth="1"/>
    <col min="10832" max="10832" width="10.44140625" style="59" customWidth="1"/>
    <col min="10833" max="10833" width="14.109375" style="59" customWidth="1"/>
    <col min="10834" max="10834" width="9.109375" style="59"/>
    <col min="10835" max="10835" width="13.88671875" style="59" customWidth="1"/>
    <col min="10836" max="10836" width="9.109375" style="59"/>
    <col min="10837" max="10837" width="12.5546875" style="59" customWidth="1"/>
    <col min="10838" max="10838" width="10.44140625" style="59" customWidth="1"/>
    <col min="10839" max="10840" width="13.5546875" style="59" customWidth="1"/>
    <col min="10841" max="10841" width="13" style="59" customWidth="1"/>
    <col min="10842" max="10842" width="13.5546875" style="59" customWidth="1"/>
    <col min="10843" max="10845" width="13" style="59" customWidth="1"/>
    <col min="10846" max="11044" width="9.109375" style="59"/>
    <col min="11045" max="11045" width="14" style="59" customWidth="1"/>
    <col min="11046" max="11046" width="2" style="59" customWidth="1"/>
    <col min="11047" max="11047" width="11.88671875" style="59" customWidth="1"/>
    <col min="11048" max="11049" width="13.5546875" style="59" customWidth="1"/>
    <col min="11050" max="11050" width="13.88671875" style="59" customWidth="1"/>
    <col min="11051" max="11052" width="14.5546875" style="59" customWidth="1"/>
    <col min="11053" max="11071" width="13.44140625" style="59" customWidth="1"/>
    <col min="11072" max="11072" width="10.5546875" style="59" customWidth="1"/>
    <col min="11073" max="11073" width="13.44140625" style="59" customWidth="1"/>
    <col min="11074" max="11074" width="11" style="59" customWidth="1"/>
    <col min="11075" max="11078" width="13.44140625" style="59" customWidth="1"/>
    <col min="11079" max="11079" width="19.5546875" style="59" customWidth="1"/>
    <col min="11080" max="11080" width="16.44140625" style="59" customWidth="1"/>
    <col min="11081" max="11081" width="13.44140625" style="59" customWidth="1"/>
    <col min="11082" max="11082" width="16" style="59" customWidth="1"/>
    <col min="11083" max="11086" width="13.44140625" style="59" customWidth="1"/>
    <col min="11087" max="11087" width="2.109375" style="59" customWidth="1"/>
    <col min="11088" max="11088" width="10.44140625" style="59" customWidth="1"/>
    <col min="11089" max="11089" width="14.109375" style="59" customWidth="1"/>
    <col min="11090" max="11090" width="9.109375" style="59"/>
    <col min="11091" max="11091" width="13.88671875" style="59" customWidth="1"/>
    <col min="11092" max="11092" width="9.109375" style="59"/>
    <col min="11093" max="11093" width="12.5546875" style="59" customWidth="1"/>
    <col min="11094" max="11094" width="10.44140625" style="59" customWidth="1"/>
    <col min="11095" max="11096" width="13.5546875" style="59" customWidth="1"/>
    <col min="11097" max="11097" width="13" style="59" customWidth="1"/>
    <col min="11098" max="11098" width="13.5546875" style="59" customWidth="1"/>
    <col min="11099" max="11101" width="13" style="59" customWidth="1"/>
    <col min="11102" max="11300" width="9.109375" style="59"/>
    <col min="11301" max="11301" width="14" style="59" customWidth="1"/>
    <col min="11302" max="11302" width="2" style="59" customWidth="1"/>
    <col min="11303" max="11303" width="11.88671875" style="59" customWidth="1"/>
    <col min="11304" max="11305" width="13.5546875" style="59" customWidth="1"/>
    <col min="11306" max="11306" width="13.88671875" style="59" customWidth="1"/>
    <col min="11307" max="11308" width="14.5546875" style="59" customWidth="1"/>
    <col min="11309" max="11327" width="13.44140625" style="59" customWidth="1"/>
    <col min="11328" max="11328" width="10.5546875" style="59" customWidth="1"/>
    <col min="11329" max="11329" width="13.44140625" style="59" customWidth="1"/>
    <col min="11330" max="11330" width="11" style="59" customWidth="1"/>
    <col min="11331" max="11334" width="13.44140625" style="59" customWidth="1"/>
    <col min="11335" max="11335" width="19.5546875" style="59" customWidth="1"/>
    <col min="11336" max="11336" width="16.44140625" style="59" customWidth="1"/>
    <col min="11337" max="11337" width="13.44140625" style="59" customWidth="1"/>
    <col min="11338" max="11338" width="16" style="59" customWidth="1"/>
    <col min="11339" max="11342" width="13.44140625" style="59" customWidth="1"/>
    <col min="11343" max="11343" width="2.109375" style="59" customWidth="1"/>
    <col min="11344" max="11344" width="10.44140625" style="59" customWidth="1"/>
    <col min="11345" max="11345" width="14.109375" style="59" customWidth="1"/>
    <col min="11346" max="11346" width="9.109375" style="59"/>
    <col min="11347" max="11347" width="13.88671875" style="59" customWidth="1"/>
    <col min="11348" max="11348" width="9.109375" style="59"/>
    <col min="11349" max="11349" width="12.5546875" style="59" customWidth="1"/>
    <col min="11350" max="11350" width="10.44140625" style="59" customWidth="1"/>
    <col min="11351" max="11352" width="13.5546875" style="59" customWidth="1"/>
    <col min="11353" max="11353" width="13" style="59" customWidth="1"/>
    <col min="11354" max="11354" width="13.5546875" style="59" customWidth="1"/>
    <col min="11355" max="11357" width="13" style="59" customWidth="1"/>
    <col min="11358" max="11556" width="9.109375" style="59"/>
    <col min="11557" max="11557" width="14" style="59" customWidth="1"/>
    <col min="11558" max="11558" width="2" style="59" customWidth="1"/>
    <col min="11559" max="11559" width="11.88671875" style="59" customWidth="1"/>
    <col min="11560" max="11561" width="13.5546875" style="59" customWidth="1"/>
    <col min="11562" max="11562" width="13.88671875" style="59" customWidth="1"/>
    <col min="11563" max="11564" width="14.5546875" style="59" customWidth="1"/>
    <col min="11565" max="11583" width="13.44140625" style="59" customWidth="1"/>
    <col min="11584" max="11584" width="10.5546875" style="59" customWidth="1"/>
    <col min="11585" max="11585" width="13.44140625" style="59" customWidth="1"/>
    <col min="11586" max="11586" width="11" style="59" customWidth="1"/>
    <col min="11587" max="11590" width="13.44140625" style="59" customWidth="1"/>
    <col min="11591" max="11591" width="19.5546875" style="59" customWidth="1"/>
    <col min="11592" max="11592" width="16.44140625" style="59" customWidth="1"/>
    <col min="11593" max="11593" width="13.44140625" style="59" customWidth="1"/>
    <col min="11594" max="11594" width="16" style="59" customWidth="1"/>
    <col min="11595" max="11598" width="13.44140625" style="59" customWidth="1"/>
    <col min="11599" max="11599" width="2.109375" style="59" customWidth="1"/>
    <col min="11600" max="11600" width="10.44140625" style="59" customWidth="1"/>
    <col min="11601" max="11601" width="14.109375" style="59" customWidth="1"/>
    <col min="11602" max="11602" width="9.109375" style="59"/>
    <col min="11603" max="11603" width="13.88671875" style="59" customWidth="1"/>
    <col min="11604" max="11604" width="9.109375" style="59"/>
    <col min="11605" max="11605" width="12.5546875" style="59" customWidth="1"/>
    <col min="11606" max="11606" width="10.44140625" style="59" customWidth="1"/>
    <col min="11607" max="11608" width="13.5546875" style="59" customWidth="1"/>
    <col min="11609" max="11609" width="13" style="59" customWidth="1"/>
    <col min="11610" max="11610" width="13.5546875" style="59" customWidth="1"/>
    <col min="11611" max="11613" width="13" style="59" customWidth="1"/>
    <col min="11614" max="11812" width="9.109375" style="59"/>
    <col min="11813" max="11813" width="14" style="59" customWidth="1"/>
    <col min="11814" max="11814" width="2" style="59" customWidth="1"/>
    <col min="11815" max="11815" width="11.88671875" style="59" customWidth="1"/>
    <col min="11816" max="11817" width="13.5546875" style="59" customWidth="1"/>
    <col min="11818" max="11818" width="13.88671875" style="59" customWidth="1"/>
    <col min="11819" max="11820" width="14.5546875" style="59" customWidth="1"/>
    <col min="11821" max="11839" width="13.44140625" style="59" customWidth="1"/>
    <col min="11840" max="11840" width="10.5546875" style="59" customWidth="1"/>
    <col min="11841" max="11841" width="13.44140625" style="59" customWidth="1"/>
    <col min="11842" max="11842" width="11" style="59" customWidth="1"/>
    <col min="11843" max="11846" width="13.44140625" style="59" customWidth="1"/>
    <col min="11847" max="11847" width="19.5546875" style="59" customWidth="1"/>
    <col min="11848" max="11848" width="16.44140625" style="59" customWidth="1"/>
    <col min="11849" max="11849" width="13.44140625" style="59" customWidth="1"/>
    <col min="11850" max="11850" width="16" style="59" customWidth="1"/>
    <col min="11851" max="11854" width="13.44140625" style="59" customWidth="1"/>
    <col min="11855" max="11855" width="2.109375" style="59" customWidth="1"/>
    <col min="11856" max="11856" width="10.44140625" style="59" customWidth="1"/>
    <col min="11857" max="11857" width="14.109375" style="59" customWidth="1"/>
    <col min="11858" max="11858" width="9.109375" style="59"/>
    <col min="11859" max="11859" width="13.88671875" style="59" customWidth="1"/>
    <col min="11860" max="11860" width="9.109375" style="59"/>
    <col min="11861" max="11861" width="12.5546875" style="59" customWidth="1"/>
    <col min="11862" max="11862" width="10.44140625" style="59" customWidth="1"/>
    <col min="11863" max="11864" width="13.5546875" style="59" customWidth="1"/>
    <col min="11865" max="11865" width="13" style="59" customWidth="1"/>
    <col min="11866" max="11866" width="13.5546875" style="59" customWidth="1"/>
    <col min="11867" max="11869" width="13" style="59" customWidth="1"/>
    <col min="11870" max="12068" width="9.109375" style="59"/>
    <col min="12069" max="12069" width="14" style="59" customWidth="1"/>
    <col min="12070" max="12070" width="2" style="59" customWidth="1"/>
    <col min="12071" max="12071" width="11.88671875" style="59" customWidth="1"/>
    <col min="12072" max="12073" width="13.5546875" style="59" customWidth="1"/>
    <col min="12074" max="12074" width="13.88671875" style="59" customWidth="1"/>
    <col min="12075" max="12076" width="14.5546875" style="59" customWidth="1"/>
    <col min="12077" max="12095" width="13.44140625" style="59" customWidth="1"/>
    <col min="12096" max="12096" width="10.5546875" style="59" customWidth="1"/>
    <col min="12097" max="12097" width="13.44140625" style="59" customWidth="1"/>
    <col min="12098" max="12098" width="11" style="59" customWidth="1"/>
    <col min="12099" max="12102" width="13.44140625" style="59" customWidth="1"/>
    <col min="12103" max="12103" width="19.5546875" style="59" customWidth="1"/>
    <col min="12104" max="12104" width="16.44140625" style="59" customWidth="1"/>
    <col min="12105" max="12105" width="13.44140625" style="59" customWidth="1"/>
    <col min="12106" max="12106" width="16" style="59" customWidth="1"/>
    <col min="12107" max="12110" width="13.44140625" style="59" customWidth="1"/>
    <col min="12111" max="12111" width="2.109375" style="59" customWidth="1"/>
    <col min="12112" max="12112" width="10.44140625" style="59" customWidth="1"/>
    <col min="12113" max="12113" width="14.109375" style="59" customWidth="1"/>
    <col min="12114" max="12114" width="9.109375" style="59"/>
    <col min="12115" max="12115" width="13.88671875" style="59" customWidth="1"/>
    <col min="12116" max="12116" width="9.109375" style="59"/>
    <col min="12117" max="12117" width="12.5546875" style="59" customWidth="1"/>
    <col min="12118" max="12118" width="10.44140625" style="59" customWidth="1"/>
    <col min="12119" max="12120" width="13.5546875" style="59" customWidth="1"/>
    <col min="12121" max="12121" width="13" style="59" customWidth="1"/>
    <col min="12122" max="12122" width="13.5546875" style="59" customWidth="1"/>
    <col min="12123" max="12125" width="13" style="59" customWidth="1"/>
    <col min="12126" max="12324" width="9.109375" style="59"/>
    <col min="12325" max="12325" width="14" style="59" customWidth="1"/>
    <col min="12326" max="12326" width="2" style="59" customWidth="1"/>
    <col min="12327" max="12327" width="11.88671875" style="59" customWidth="1"/>
    <col min="12328" max="12329" width="13.5546875" style="59" customWidth="1"/>
    <col min="12330" max="12330" width="13.88671875" style="59" customWidth="1"/>
    <col min="12331" max="12332" width="14.5546875" style="59" customWidth="1"/>
    <col min="12333" max="12351" width="13.44140625" style="59" customWidth="1"/>
    <col min="12352" max="12352" width="10.5546875" style="59" customWidth="1"/>
    <col min="12353" max="12353" width="13.44140625" style="59" customWidth="1"/>
    <col min="12354" max="12354" width="11" style="59" customWidth="1"/>
    <col min="12355" max="12358" width="13.44140625" style="59" customWidth="1"/>
    <col min="12359" max="12359" width="19.5546875" style="59" customWidth="1"/>
    <col min="12360" max="12360" width="16.44140625" style="59" customWidth="1"/>
    <col min="12361" max="12361" width="13.44140625" style="59" customWidth="1"/>
    <col min="12362" max="12362" width="16" style="59" customWidth="1"/>
    <col min="12363" max="12366" width="13.44140625" style="59" customWidth="1"/>
    <col min="12367" max="12367" width="2.109375" style="59" customWidth="1"/>
    <col min="12368" max="12368" width="10.44140625" style="59" customWidth="1"/>
    <col min="12369" max="12369" width="14.109375" style="59" customWidth="1"/>
    <col min="12370" max="12370" width="9.109375" style="59"/>
    <col min="12371" max="12371" width="13.88671875" style="59" customWidth="1"/>
    <col min="12372" max="12372" width="9.109375" style="59"/>
    <col min="12373" max="12373" width="12.5546875" style="59" customWidth="1"/>
    <col min="12374" max="12374" width="10.44140625" style="59" customWidth="1"/>
    <col min="12375" max="12376" width="13.5546875" style="59" customWidth="1"/>
    <col min="12377" max="12377" width="13" style="59" customWidth="1"/>
    <col min="12378" max="12378" width="13.5546875" style="59" customWidth="1"/>
    <col min="12379" max="12381" width="13" style="59" customWidth="1"/>
    <col min="12382" max="12580" width="9.109375" style="59"/>
    <col min="12581" max="12581" width="14" style="59" customWidth="1"/>
    <col min="12582" max="12582" width="2" style="59" customWidth="1"/>
    <col min="12583" max="12583" width="11.88671875" style="59" customWidth="1"/>
    <col min="12584" max="12585" width="13.5546875" style="59" customWidth="1"/>
    <col min="12586" max="12586" width="13.88671875" style="59" customWidth="1"/>
    <col min="12587" max="12588" width="14.5546875" style="59" customWidth="1"/>
    <col min="12589" max="12607" width="13.44140625" style="59" customWidth="1"/>
    <col min="12608" max="12608" width="10.5546875" style="59" customWidth="1"/>
    <col min="12609" max="12609" width="13.44140625" style="59" customWidth="1"/>
    <col min="12610" max="12610" width="11" style="59" customWidth="1"/>
    <col min="12611" max="12614" width="13.44140625" style="59" customWidth="1"/>
    <col min="12615" max="12615" width="19.5546875" style="59" customWidth="1"/>
    <col min="12616" max="12616" width="16.44140625" style="59" customWidth="1"/>
    <col min="12617" max="12617" width="13.44140625" style="59" customWidth="1"/>
    <col min="12618" max="12618" width="16" style="59" customWidth="1"/>
    <col min="12619" max="12622" width="13.44140625" style="59" customWidth="1"/>
    <col min="12623" max="12623" width="2.109375" style="59" customWidth="1"/>
    <col min="12624" max="12624" width="10.44140625" style="59" customWidth="1"/>
    <col min="12625" max="12625" width="14.109375" style="59" customWidth="1"/>
    <col min="12626" max="12626" width="9.109375" style="59"/>
    <col min="12627" max="12627" width="13.88671875" style="59" customWidth="1"/>
    <col min="12628" max="12628" width="9.109375" style="59"/>
    <col min="12629" max="12629" width="12.5546875" style="59" customWidth="1"/>
    <col min="12630" max="12630" width="10.44140625" style="59" customWidth="1"/>
    <col min="12631" max="12632" width="13.5546875" style="59" customWidth="1"/>
    <col min="12633" max="12633" width="13" style="59" customWidth="1"/>
    <col min="12634" max="12634" width="13.5546875" style="59" customWidth="1"/>
    <col min="12635" max="12637" width="13" style="59" customWidth="1"/>
    <col min="12638" max="12836" width="9.109375" style="59"/>
    <col min="12837" max="12837" width="14" style="59" customWidth="1"/>
    <col min="12838" max="12838" width="2" style="59" customWidth="1"/>
    <col min="12839" max="12839" width="11.88671875" style="59" customWidth="1"/>
    <col min="12840" max="12841" width="13.5546875" style="59" customWidth="1"/>
    <col min="12842" max="12842" width="13.88671875" style="59" customWidth="1"/>
    <col min="12843" max="12844" width="14.5546875" style="59" customWidth="1"/>
    <col min="12845" max="12863" width="13.44140625" style="59" customWidth="1"/>
    <col min="12864" max="12864" width="10.5546875" style="59" customWidth="1"/>
    <col min="12865" max="12865" width="13.44140625" style="59" customWidth="1"/>
    <col min="12866" max="12866" width="11" style="59" customWidth="1"/>
    <col min="12867" max="12870" width="13.44140625" style="59" customWidth="1"/>
    <col min="12871" max="12871" width="19.5546875" style="59" customWidth="1"/>
    <col min="12872" max="12872" width="16.44140625" style="59" customWidth="1"/>
    <col min="12873" max="12873" width="13.44140625" style="59" customWidth="1"/>
    <col min="12874" max="12874" width="16" style="59" customWidth="1"/>
    <col min="12875" max="12878" width="13.44140625" style="59" customWidth="1"/>
    <col min="12879" max="12879" width="2.109375" style="59" customWidth="1"/>
    <col min="12880" max="12880" width="10.44140625" style="59" customWidth="1"/>
    <col min="12881" max="12881" width="14.109375" style="59" customWidth="1"/>
    <col min="12882" max="12882" width="9.109375" style="59"/>
    <col min="12883" max="12883" width="13.88671875" style="59" customWidth="1"/>
    <col min="12884" max="12884" width="9.109375" style="59"/>
    <col min="12885" max="12885" width="12.5546875" style="59" customWidth="1"/>
    <col min="12886" max="12886" width="10.44140625" style="59" customWidth="1"/>
    <col min="12887" max="12888" width="13.5546875" style="59" customWidth="1"/>
    <col min="12889" max="12889" width="13" style="59" customWidth="1"/>
    <col min="12890" max="12890" width="13.5546875" style="59" customWidth="1"/>
    <col min="12891" max="12893" width="13" style="59" customWidth="1"/>
    <col min="12894" max="13092" width="9.109375" style="59"/>
    <col min="13093" max="13093" width="14" style="59" customWidth="1"/>
    <col min="13094" max="13094" width="2" style="59" customWidth="1"/>
    <col min="13095" max="13095" width="11.88671875" style="59" customWidth="1"/>
    <col min="13096" max="13097" width="13.5546875" style="59" customWidth="1"/>
    <col min="13098" max="13098" width="13.88671875" style="59" customWidth="1"/>
    <col min="13099" max="13100" width="14.5546875" style="59" customWidth="1"/>
    <col min="13101" max="13119" width="13.44140625" style="59" customWidth="1"/>
    <col min="13120" max="13120" width="10.5546875" style="59" customWidth="1"/>
    <col min="13121" max="13121" width="13.44140625" style="59" customWidth="1"/>
    <col min="13122" max="13122" width="11" style="59" customWidth="1"/>
    <col min="13123" max="13126" width="13.44140625" style="59" customWidth="1"/>
    <col min="13127" max="13127" width="19.5546875" style="59" customWidth="1"/>
    <col min="13128" max="13128" width="16.44140625" style="59" customWidth="1"/>
    <col min="13129" max="13129" width="13.44140625" style="59" customWidth="1"/>
    <col min="13130" max="13130" width="16" style="59" customWidth="1"/>
    <col min="13131" max="13134" width="13.44140625" style="59" customWidth="1"/>
    <col min="13135" max="13135" width="2.109375" style="59" customWidth="1"/>
    <col min="13136" max="13136" width="10.44140625" style="59" customWidth="1"/>
    <col min="13137" max="13137" width="14.109375" style="59" customWidth="1"/>
    <col min="13138" max="13138" width="9.109375" style="59"/>
    <col min="13139" max="13139" width="13.88671875" style="59" customWidth="1"/>
    <col min="13140" max="13140" width="9.109375" style="59"/>
    <col min="13141" max="13141" width="12.5546875" style="59" customWidth="1"/>
    <col min="13142" max="13142" width="10.44140625" style="59" customWidth="1"/>
    <col min="13143" max="13144" width="13.5546875" style="59" customWidth="1"/>
    <col min="13145" max="13145" width="13" style="59" customWidth="1"/>
    <col min="13146" max="13146" width="13.5546875" style="59" customWidth="1"/>
    <col min="13147" max="13149" width="13" style="59" customWidth="1"/>
    <col min="13150" max="13348" width="9.109375" style="59"/>
    <col min="13349" max="13349" width="14" style="59" customWidth="1"/>
    <col min="13350" max="13350" width="2" style="59" customWidth="1"/>
    <col min="13351" max="13351" width="11.88671875" style="59" customWidth="1"/>
    <col min="13352" max="13353" width="13.5546875" style="59" customWidth="1"/>
    <col min="13354" max="13354" width="13.88671875" style="59" customWidth="1"/>
    <col min="13355" max="13356" width="14.5546875" style="59" customWidth="1"/>
    <col min="13357" max="13375" width="13.44140625" style="59" customWidth="1"/>
    <col min="13376" max="13376" width="10.5546875" style="59" customWidth="1"/>
    <col min="13377" max="13377" width="13.44140625" style="59" customWidth="1"/>
    <col min="13378" max="13378" width="11" style="59" customWidth="1"/>
    <col min="13379" max="13382" width="13.44140625" style="59" customWidth="1"/>
    <col min="13383" max="13383" width="19.5546875" style="59" customWidth="1"/>
    <col min="13384" max="13384" width="16.44140625" style="59" customWidth="1"/>
    <col min="13385" max="13385" width="13.44140625" style="59" customWidth="1"/>
    <col min="13386" max="13386" width="16" style="59" customWidth="1"/>
    <col min="13387" max="13390" width="13.44140625" style="59" customWidth="1"/>
    <col min="13391" max="13391" width="2.109375" style="59" customWidth="1"/>
    <col min="13392" max="13392" width="10.44140625" style="59" customWidth="1"/>
    <col min="13393" max="13393" width="14.109375" style="59" customWidth="1"/>
    <col min="13394" max="13394" width="9.109375" style="59"/>
    <col min="13395" max="13395" width="13.88671875" style="59" customWidth="1"/>
    <col min="13396" max="13396" width="9.109375" style="59"/>
    <col min="13397" max="13397" width="12.5546875" style="59" customWidth="1"/>
    <col min="13398" max="13398" width="10.44140625" style="59" customWidth="1"/>
    <col min="13399" max="13400" width="13.5546875" style="59" customWidth="1"/>
    <col min="13401" max="13401" width="13" style="59" customWidth="1"/>
    <col min="13402" max="13402" width="13.5546875" style="59" customWidth="1"/>
    <col min="13403" max="13405" width="13" style="59" customWidth="1"/>
    <col min="13406" max="13604" width="9.109375" style="59"/>
    <col min="13605" max="13605" width="14" style="59" customWidth="1"/>
    <col min="13606" max="13606" width="2" style="59" customWidth="1"/>
    <col min="13607" max="13607" width="11.88671875" style="59" customWidth="1"/>
    <col min="13608" max="13609" width="13.5546875" style="59" customWidth="1"/>
    <col min="13610" max="13610" width="13.88671875" style="59" customWidth="1"/>
    <col min="13611" max="13612" width="14.5546875" style="59" customWidth="1"/>
    <col min="13613" max="13631" width="13.44140625" style="59" customWidth="1"/>
    <col min="13632" max="13632" width="10.5546875" style="59" customWidth="1"/>
    <col min="13633" max="13633" width="13.44140625" style="59" customWidth="1"/>
    <col min="13634" max="13634" width="11" style="59" customWidth="1"/>
    <col min="13635" max="13638" width="13.44140625" style="59" customWidth="1"/>
    <col min="13639" max="13639" width="19.5546875" style="59" customWidth="1"/>
    <col min="13640" max="13640" width="16.44140625" style="59" customWidth="1"/>
    <col min="13641" max="13641" width="13.44140625" style="59" customWidth="1"/>
    <col min="13642" max="13642" width="16" style="59" customWidth="1"/>
    <col min="13643" max="13646" width="13.44140625" style="59" customWidth="1"/>
    <col min="13647" max="13647" width="2.109375" style="59" customWidth="1"/>
    <col min="13648" max="13648" width="10.44140625" style="59" customWidth="1"/>
    <col min="13649" max="13649" width="14.109375" style="59" customWidth="1"/>
    <col min="13650" max="13650" width="9.109375" style="59"/>
    <col min="13651" max="13651" width="13.88671875" style="59" customWidth="1"/>
    <col min="13652" max="13652" width="9.109375" style="59"/>
    <col min="13653" max="13653" width="12.5546875" style="59" customWidth="1"/>
    <col min="13654" max="13654" width="10.44140625" style="59" customWidth="1"/>
    <col min="13655" max="13656" width="13.5546875" style="59" customWidth="1"/>
    <col min="13657" max="13657" width="13" style="59" customWidth="1"/>
    <col min="13658" max="13658" width="13.5546875" style="59" customWidth="1"/>
    <col min="13659" max="13661" width="13" style="59" customWidth="1"/>
    <col min="13662" max="13860" width="9.109375" style="59"/>
    <col min="13861" max="13861" width="14" style="59" customWidth="1"/>
    <col min="13862" max="13862" width="2" style="59" customWidth="1"/>
    <col min="13863" max="13863" width="11.88671875" style="59" customWidth="1"/>
    <col min="13864" max="13865" width="13.5546875" style="59" customWidth="1"/>
    <col min="13866" max="13866" width="13.88671875" style="59" customWidth="1"/>
    <col min="13867" max="13868" width="14.5546875" style="59" customWidth="1"/>
    <col min="13869" max="13887" width="13.44140625" style="59" customWidth="1"/>
    <col min="13888" max="13888" width="10.5546875" style="59" customWidth="1"/>
    <col min="13889" max="13889" width="13.44140625" style="59" customWidth="1"/>
    <col min="13890" max="13890" width="11" style="59" customWidth="1"/>
    <col min="13891" max="13894" width="13.44140625" style="59" customWidth="1"/>
    <col min="13895" max="13895" width="19.5546875" style="59" customWidth="1"/>
    <col min="13896" max="13896" width="16.44140625" style="59" customWidth="1"/>
    <col min="13897" max="13897" width="13.44140625" style="59" customWidth="1"/>
    <col min="13898" max="13898" width="16" style="59" customWidth="1"/>
    <col min="13899" max="13902" width="13.44140625" style="59" customWidth="1"/>
    <col min="13903" max="13903" width="2.109375" style="59" customWidth="1"/>
    <col min="13904" max="13904" width="10.44140625" style="59" customWidth="1"/>
    <col min="13905" max="13905" width="14.109375" style="59" customWidth="1"/>
    <col min="13906" max="13906" width="9.109375" style="59"/>
    <col min="13907" max="13907" width="13.88671875" style="59" customWidth="1"/>
    <col min="13908" max="13908" width="9.109375" style="59"/>
    <col min="13909" max="13909" width="12.5546875" style="59" customWidth="1"/>
    <col min="13910" max="13910" width="10.44140625" style="59" customWidth="1"/>
    <col min="13911" max="13912" width="13.5546875" style="59" customWidth="1"/>
    <col min="13913" max="13913" width="13" style="59" customWidth="1"/>
    <col min="13914" max="13914" width="13.5546875" style="59" customWidth="1"/>
    <col min="13915" max="13917" width="13" style="59" customWidth="1"/>
    <col min="13918" max="14116" width="9.109375" style="59"/>
    <col min="14117" max="14117" width="14" style="59" customWidth="1"/>
    <col min="14118" max="14118" width="2" style="59" customWidth="1"/>
    <col min="14119" max="14119" width="11.88671875" style="59" customWidth="1"/>
    <col min="14120" max="14121" width="13.5546875" style="59" customWidth="1"/>
    <col min="14122" max="14122" width="13.88671875" style="59" customWidth="1"/>
    <col min="14123" max="14124" width="14.5546875" style="59" customWidth="1"/>
    <col min="14125" max="14143" width="13.44140625" style="59" customWidth="1"/>
    <col min="14144" max="14144" width="10.5546875" style="59" customWidth="1"/>
    <col min="14145" max="14145" width="13.44140625" style="59" customWidth="1"/>
    <col min="14146" max="14146" width="11" style="59" customWidth="1"/>
    <col min="14147" max="14150" width="13.44140625" style="59" customWidth="1"/>
    <col min="14151" max="14151" width="19.5546875" style="59" customWidth="1"/>
    <col min="14152" max="14152" width="16.44140625" style="59" customWidth="1"/>
    <col min="14153" max="14153" width="13.44140625" style="59" customWidth="1"/>
    <col min="14154" max="14154" width="16" style="59" customWidth="1"/>
    <col min="14155" max="14158" width="13.44140625" style="59" customWidth="1"/>
    <col min="14159" max="14159" width="2.109375" style="59" customWidth="1"/>
    <col min="14160" max="14160" width="10.44140625" style="59" customWidth="1"/>
    <col min="14161" max="14161" width="14.109375" style="59" customWidth="1"/>
    <col min="14162" max="14162" width="9.109375" style="59"/>
    <col min="14163" max="14163" width="13.88671875" style="59" customWidth="1"/>
    <col min="14164" max="14164" width="9.109375" style="59"/>
    <col min="14165" max="14165" width="12.5546875" style="59" customWidth="1"/>
    <col min="14166" max="14166" width="10.44140625" style="59" customWidth="1"/>
    <col min="14167" max="14168" width="13.5546875" style="59" customWidth="1"/>
    <col min="14169" max="14169" width="13" style="59" customWidth="1"/>
    <col min="14170" max="14170" width="13.5546875" style="59" customWidth="1"/>
    <col min="14171" max="14173" width="13" style="59" customWidth="1"/>
    <col min="14174" max="14372" width="9.109375" style="59"/>
    <col min="14373" max="14373" width="14" style="59" customWidth="1"/>
    <col min="14374" max="14374" width="2" style="59" customWidth="1"/>
    <col min="14375" max="14375" width="11.88671875" style="59" customWidth="1"/>
    <col min="14376" max="14377" width="13.5546875" style="59" customWidth="1"/>
    <col min="14378" max="14378" width="13.88671875" style="59" customWidth="1"/>
    <col min="14379" max="14380" width="14.5546875" style="59" customWidth="1"/>
    <col min="14381" max="14399" width="13.44140625" style="59" customWidth="1"/>
    <col min="14400" max="14400" width="10.5546875" style="59" customWidth="1"/>
    <col min="14401" max="14401" width="13.44140625" style="59" customWidth="1"/>
    <col min="14402" max="14402" width="11" style="59" customWidth="1"/>
    <col min="14403" max="14406" width="13.44140625" style="59" customWidth="1"/>
    <col min="14407" max="14407" width="19.5546875" style="59" customWidth="1"/>
    <col min="14408" max="14408" width="16.44140625" style="59" customWidth="1"/>
    <col min="14409" max="14409" width="13.44140625" style="59" customWidth="1"/>
    <col min="14410" max="14410" width="16" style="59" customWidth="1"/>
    <col min="14411" max="14414" width="13.44140625" style="59" customWidth="1"/>
    <col min="14415" max="14415" width="2.109375" style="59" customWidth="1"/>
    <col min="14416" max="14416" width="10.44140625" style="59" customWidth="1"/>
    <col min="14417" max="14417" width="14.109375" style="59" customWidth="1"/>
    <col min="14418" max="14418" width="9.109375" style="59"/>
    <col min="14419" max="14419" width="13.88671875" style="59" customWidth="1"/>
    <col min="14420" max="14420" width="9.109375" style="59"/>
    <col min="14421" max="14421" width="12.5546875" style="59" customWidth="1"/>
    <col min="14422" max="14422" width="10.44140625" style="59" customWidth="1"/>
    <col min="14423" max="14424" width="13.5546875" style="59" customWidth="1"/>
    <col min="14425" max="14425" width="13" style="59" customWidth="1"/>
    <col min="14426" max="14426" width="13.5546875" style="59" customWidth="1"/>
    <col min="14427" max="14429" width="13" style="59" customWidth="1"/>
    <col min="14430" max="14628" width="9.109375" style="59"/>
    <col min="14629" max="14629" width="14" style="59" customWidth="1"/>
    <col min="14630" max="14630" width="2" style="59" customWidth="1"/>
    <col min="14631" max="14631" width="11.88671875" style="59" customWidth="1"/>
    <col min="14632" max="14633" width="13.5546875" style="59" customWidth="1"/>
    <col min="14634" max="14634" width="13.88671875" style="59" customWidth="1"/>
    <col min="14635" max="14636" width="14.5546875" style="59" customWidth="1"/>
    <col min="14637" max="14655" width="13.44140625" style="59" customWidth="1"/>
    <col min="14656" max="14656" width="10.5546875" style="59" customWidth="1"/>
    <col min="14657" max="14657" width="13.44140625" style="59" customWidth="1"/>
    <col min="14658" max="14658" width="11" style="59" customWidth="1"/>
    <col min="14659" max="14662" width="13.44140625" style="59" customWidth="1"/>
    <col min="14663" max="14663" width="19.5546875" style="59" customWidth="1"/>
    <col min="14664" max="14664" width="16.44140625" style="59" customWidth="1"/>
    <col min="14665" max="14665" width="13.44140625" style="59" customWidth="1"/>
    <col min="14666" max="14666" width="16" style="59" customWidth="1"/>
    <col min="14667" max="14670" width="13.44140625" style="59" customWidth="1"/>
    <col min="14671" max="14671" width="2.109375" style="59" customWidth="1"/>
    <col min="14672" max="14672" width="10.44140625" style="59" customWidth="1"/>
    <col min="14673" max="14673" width="14.109375" style="59" customWidth="1"/>
    <col min="14674" max="14674" width="9.109375" style="59"/>
    <col min="14675" max="14675" width="13.88671875" style="59" customWidth="1"/>
    <col min="14676" max="14676" width="9.109375" style="59"/>
    <col min="14677" max="14677" width="12.5546875" style="59" customWidth="1"/>
    <col min="14678" max="14678" width="10.44140625" style="59" customWidth="1"/>
    <col min="14679" max="14680" width="13.5546875" style="59" customWidth="1"/>
    <col min="14681" max="14681" width="13" style="59" customWidth="1"/>
    <col min="14682" max="14682" width="13.5546875" style="59" customWidth="1"/>
    <col min="14683" max="14685" width="13" style="59" customWidth="1"/>
    <col min="14686" max="14884" width="9.109375" style="59"/>
    <col min="14885" max="14885" width="14" style="59" customWidth="1"/>
    <col min="14886" max="14886" width="2" style="59" customWidth="1"/>
    <col min="14887" max="14887" width="11.88671875" style="59" customWidth="1"/>
    <col min="14888" max="14889" width="13.5546875" style="59" customWidth="1"/>
    <col min="14890" max="14890" width="13.88671875" style="59" customWidth="1"/>
    <col min="14891" max="14892" width="14.5546875" style="59" customWidth="1"/>
    <col min="14893" max="14911" width="13.44140625" style="59" customWidth="1"/>
    <col min="14912" max="14912" width="10.5546875" style="59" customWidth="1"/>
    <col min="14913" max="14913" width="13.44140625" style="59" customWidth="1"/>
    <col min="14914" max="14914" width="11" style="59" customWidth="1"/>
    <col min="14915" max="14918" width="13.44140625" style="59" customWidth="1"/>
    <col min="14919" max="14919" width="19.5546875" style="59" customWidth="1"/>
    <col min="14920" max="14920" width="16.44140625" style="59" customWidth="1"/>
    <col min="14921" max="14921" width="13.44140625" style="59" customWidth="1"/>
    <col min="14922" max="14922" width="16" style="59" customWidth="1"/>
    <col min="14923" max="14926" width="13.44140625" style="59" customWidth="1"/>
    <col min="14927" max="14927" width="2.109375" style="59" customWidth="1"/>
    <col min="14928" max="14928" width="10.44140625" style="59" customWidth="1"/>
    <col min="14929" max="14929" width="14.109375" style="59" customWidth="1"/>
    <col min="14930" max="14930" width="9.109375" style="59"/>
    <col min="14931" max="14931" width="13.88671875" style="59" customWidth="1"/>
    <col min="14932" max="14932" width="9.109375" style="59"/>
    <col min="14933" max="14933" width="12.5546875" style="59" customWidth="1"/>
    <col min="14934" max="14934" width="10.44140625" style="59" customWidth="1"/>
    <col min="14935" max="14936" width="13.5546875" style="59" customWidth="1"/>
    <col min="14937" max="14937" width="13" style="59" customWidth="1"/>
    <col min="14938" max="14938" width="13.5546875" style="59" customWidth="1"/>
    <col min="14939" max="14941" width="13" style="59" customWidth="1"/>
    <col min="14942" max="15140" width="9.109375" style="59"/>
    <col min="15141" max="15141" width="14" style="59" customWidth="1"/>
    <col min="15142" max="15142" width="2" style="59" customWidth="1"/>
    <col min="15143" max="15143" width="11.88671875" style="59" customWidth="1"/>
    <col min="15144" max="15145" width="13.5546875" style="59" customWidth="1"/>
    <col min="15146" max="15146" width="13.88671875" style="59" customWidth="1"/>
    <col min="15147" max="15148" width="14.5546875" style="59" customWidth="1"/>
    <col min="15149" max="15167" width="13.44140625" style="59" customWidth="1"/>
    <col min="15168" max="15168" width="10.5546875" style="59" customWidth="1"/>
    <col min="15169" max="15169" width="13.44140625" style="59" customWidth="1"/>
    <col min="15170" max="15170" width="11" style="59" customWidth="1"/>
    <col min="15171" max="15174" width="13.44140625" style="59" customWidth="1"/>
    <col min="15175" max="15175" width="19.5546875" style="59" customWidth="1"/>
    <col min="15176" max="15176" width="16.44140625" style="59" customWidth="1"/>
    <col min="15177" max="15177" width="13.44140625" style="59" customWidth="1"/>
    <col min="15178" max="15178" width="16" style="59" customWidth="1"/>
    <col min="15179" max="15182" width="13.44140625" style="59" customWidth="1"/>
    <col min="15183" max="15183" width="2.109375" style="59" customWidth="1"/>
    <col min="15184" max="15184" width="10.44140625" style="59" customWidth="1"/>
    <col min="15185" max="15185" width="14.109375" style="59" customWidth="1"/>
    <col min="15186" max="15186" width="9.109375" style="59"/>
    <col min="15187" max="15187" width="13.88671875" style="59" customWidth="1"/>
    <col min="15188" max="15188" width="9.109375" style="59"/>
    <col min="15189" max="15189" width="12.5546875" style="59" customWidth="1"/>
    <col min="15190" max="15190" width="10.44140625" style="59" customWidth="1"/>
    <col min="15191" max="15192" width="13.5546875" style="59" customWidth="1"/>
    <col min="15193" max="15193" width="13" style="59" customWidth="1"/>
    <col min="15194" max="15194" width="13.5546875" style="59" customWidth="1"/>
    <col min="15195" max="15197" width="13" style="59" customWidth="1"/>
    <col min="15198" max="15396" width="9.109375" style="59"/>
    <col min="15397" max="15397" width="14" style="59" customWidth="1"/>
    <col min="15398" max="15398" width="2" style="59" customWidth="1"/>
    <col min="15399" max="15399" width="11.88671875" style="59" customWidth="1"/>
    <col min="15400" max="15401" width="13.5546875" style="59" customWidth="1"/>
    <col min="15402" max="15402" width="13.88671875" style="59" customWidth="1"/>
    <col min="15403" max="15404" width="14.5546875" style="59" customWidth="1"/>
    <col min="15405" max="15423" width="13.44140625" style="59" customWidth="1"/>
    <col min="15424" max="15424" width="10.5546875" style="59" customWidth="1"/>
    <col min="15425" max="15425" width="13.44140625" style="59" customWidth="1"/>
    <col min="15426" max="15426" width="11" style="59" customWidth="1"/>
    <col min="15427" max="15430" width="13.44140625" style="59" customWidth="1"/>
    <col min="15431" max="15431" width="19.5546875" style="59" customWidth="1"/>
    <col min="15432" max="15432" width="16.44140625" style="59" customWidth="1"/>
    <col min="15433" max="15433" width="13.44140625" style="59" customWidth="1"/>
    <col min="15434" max="15434" width="16" style="59" customWidth="1"/>
    <col min="15435" max="15438" width="13.44140625" style="59" customWidth="1"/>
    <col min="15439" max="15439" width="2.109375" style="59" customWidth="1"/>
    <col min="15440" max="15440" width="10.44140625" style="59" customWidth="1"/>
    <col min="15441" max="15441" width="14.109375" style="59" customWidth="1"/>
    <col min="15442" max="15442" width="9.109375" style="59"/>
    <col min="15443" max="15443" width="13.88671875" style="59" customWidth="1"/>
    <col min="15444" max="15444" width="9.109375" style="59"/>
    <col min="15445" max="15445" width="12.5546875" style="59" customWidth="1"/>
    <col min="15446" max="15446" width="10.44140625" style="59" customWidth="1"/>
    <col min="15447" max="15448" width="13.5546875" style="59" customWidth="1"/>
    <col min="15449" max="15449" width="13" style="59" customWidth="1"/>
    <col min="15450" max="15450" width="13.5546875" style="59" customWidth="1"/>
    <col min="15451" max="15453" width="13" style="59" customWidth="1"/>
    <col min="15454" max="15652" width="9.109375" style="59"/>
    <col min="15653" max="15653" width="14" style="59" customWidth="1"/>
    <col min="15654" max="15654" width="2" style="59" customWidth="1"/>
    <col min="15655" max="15655" width="11.88671875" style="59" customWidth="1"/>
    <col min="15656" max="15657" width="13.5546875" style="59" customWidth="1"/>
    <col min="15658" max="15658" width="13.88671875" style="59" customWidth="1"/>
    <col min="15659" max="15660" width="14.5546875" style="59" customWidth="1"/>
    <col min="15661" max="15679" width="13.44140625" style="59" customWidth="1"/>
    <col min="15680" max="15680" width="10.5546875" style="59" customWidth="1"/>
    <col min="15681" max="15681" width="13.44140625" style="59" customWidth="1"/>
    <col min="15682" max="15682" width="11" style="59" customWidth="1"/>
    <col min="15683" max="15686" width="13.44140625" style="59" customWidth="1"/>
    <col min="15687" max="15687" width="19.5546875" style="59" customWidth="1"/>
    <col min="15688" max="15688" width="16.44140625" style="59" customWidth="1"/>
    <col min="15689" max="15689" width="13.44140625" style="59" customWidth="1"/>
    <col min="15690" max="15690" width="16" style="59" customWidth="1"/>
    <col min="15691" max="15694" width="13.44140625" style="59" customWidth="1"/>
    <col min="15695" max="15695" width="2.109375" style="59" customWidth="1"/>
    <col min="15696" max="15696" width="10.44140625" style="59" customWidth="1"/>
    <col min="15697" max="15697" width="14.109375" style="59" customWidth="1"/>
    <col min="15698" max="15698" width="9.109375" style="59"/>
    <col min="15699" max="15699" width="13.88671875" style="59" customWidth="1"/>
    <col min="15700" max="15700" width="9.109375" style="59"/>
    <col min="15701" max="15701" width="12.5546875" style="59" customWidth="1"/>
    <col min="15702" max="15702" width="10.44140625" style="59" customWidth="1"/>
    <col min="15703" max="15704" width="13.5546875" style="59" customWidth="1"/>
    <col min="15705" max="15705" width="13" style="59" customWidth="1"/>
    <col min="15706" max="15706" width="13.5546875" style="59" customWidth="1"/>
    <col min="15707" max="15709" width="13" style="59" customWidth="1"/>
    <col min="15710" max="15908" width="9.109375" style="59"/>
    <col min="15909" max="15909" width="14" style="59" customWidth="1"/>
    <col min="15910" max="15910" width="2" style="59" customWidth="1"/>
    <col min="15911" max="15911" width="11.88671875" style="59" customWidth="1"/>
    <col min="15912" max="15913" width="13.5546875" style="59" customWidth="1"/>
    <col min="15914" max="15914" width="13.88671875" style="59" customWidth="1"/>
    <col min="15915" max="15916" width="14.5546875" style="59" customWidth="1"/>
    <col min="15917" max="15935" width="13.44140625" style="59" customWidth="1"/>
    <col min="15936" max="15936" width="10.5546875" style="59" customWidth="1"/>
    <col min="15937" max="15937" width="13.44140625" style="59" customWidth="1"/>
    <col min="15938" max="15938" width="11" style="59" customWidth="1"/>
    <col min="15939" max="15942" width="13.44140625" style="59" customWidth="1"/>
    <col min="15943" max="15943" width="19.5546875" style="59" customWidth="1"/>
    <col min="15944" max="15944" width="16.44140625" style="59" customWidth="1"/>
    <col min="15945" max="15945" width="13.44140625" style="59" customWidth="1"/>
    <col min="15946" max="15946" width="16" style="59" customWidth="1"/>
    <col min="15947" max="15950" width="13.44140625" style="59" customWidth="1"/>
    <col min="15951" max="15951" width="2.109375" style="59" customWidth="1"/>
    <col min="15952" max="15952" width="10.44140625" style="59" customWidth="1"/>
    <col min="15953" max="15953" width="14.109375" style="59" customWidth="1"/>
    <col min="15954" max="15954" width="9.109375" style="59"/>
    <col min="15955" max="15955" width="13.88671875" style="59" customWidth="1"/>
    <col min="15956" max="15956" width="9.109375" style="59"/>
    <col min="15957" max="15957" width="12.5546875" style="59" customWidth="1"/>
    <col min="15958" max="15958" width="10.44140625" style="59" customWidth="1"/>
    <col min="15959" max="15960" width="13.5546875" style="59" customWidth="1"/>
    <col min="15961" max="15961" width="13" style="59" customWidth="1"/>
    <col min="15962" max="15962" width="13.5546875" style="59" customWidth="1"/>
    <col min="15963" max="15965" width="13" style="59" customWidth="1"/>
    <col min="15966" max="16164" width="9.109375" style="59"/>
    <col min="16165" max="16165" width="14" style="59" customWidth="1"/>
    <col min="16166" max="16166" width="2" style="59" customWidth="1"/>
    <col min="16167" max="16167" width="11.88671875" style="59" customWidth="1"/>
    <col min="16168" max="16169" width="13.5546875" style="59" customWidth="1"/>
    <col min="16170" max="16170" width="13.88671875" style="59" customWidth="1"/>
    <col min="16171" max="16172" width="14.5546875" style="59" customWidth="1"/>
    <col min="16173" max="16191" width="13.44140625" style="59" customWidth="1"/>
    <col min="16192" max="16192" width="10.5546875" style="59" customWidth="1"/>
    <col min="16193" max="16193" width="13.44140625" style="59" customWidth="1"/>
    <col min="16194" max="16194" width="11" style="59" customWidth="1"/>
    <col min="16195" max="16198" width="13.44140625" style="59" customWidth="1"/>
    <col min="16199" max="16199" width="19.5546875" style="59" customWidth="1"/>
    <col min="16200" max="16200" width="16.44140625" style="59" customWidth="1"/>
    <col min="16201" max="16201" width="13.44140625" style="59" customWidth="1"/>
    <col min="16202" max="16202" width="16" style="59" customWidth="1"/>
    <col min="16203" max="16206" width="13.44140625" style="59" customWidth="1"/>
    <col min="16207" max="16207" width="2.109375" style="59" customWidth="1"/>
    <col min="16208" max="16208" width="10.44140625" style="59" customWidth="1"/>
    <col min="16209" max="16209" width="14.109375" style="59" customWidth="1"/>
    <col min="16210" max="16210" width="9.109375" style="59"/>
    <col min="16211" max="16211" width="13.88671875" style="59" customWidth="1"/>
    <col min="16212" max="16212" width="9.109375" style="59"/>
    <col min="16213" max="16213" width="12.5546875" style="59" customWidth="1"/>
    <col min="16214" max="16214" width="10.44140625" style="59" customWidth="1"/>
    <col min="16215" max="16216" width="13.5546875" style="59" customWidth="1"/>
    <col min="16217" max="16217" width="13" style="59" customWidth="1"/>
    <col min="16218" max="16218" width="13.5546875" style="59" customWidth="1"/>
    <col min="16219" max="16221" width="13" style="59" customWidth="1"/>
    <col min="16222" max="16384" width="9.109375" style="59"/>
  </cols>
  <sheetData>
    <row r="1" spans="1:93" s="49" customFormat="1" ht="61.5" customHeight="1" thickBot="1" x14ac:dyDescent="0.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5">
      <c r="A17" s="65">
        <v>43996</v>
      </c>
      <c r="B17" s="45"/>
      <c r="C17" s="60"/>
      <c r="D17" s="66" t="str">
        <f t="shared" si="0"/>
        <v>0</v>
      </c>
      <c r="E17" s="60"/>
      <c r="F17" s="66" t="str">
        <f t="shared" si="1"/>
        <v>0</v>
      </c>
      <c r="G17" s="60"/>
      <c r="H17" s="66" t="str">
        <f t="shared" si="2"/>
        <v>0</v>
      </c>
      <c r="I17" s="60"/>
      <c r="J17" s="66" t="str">
        <f t="shared" si="3"/>
        <v>0</v>
      </c>
      <c r="K17" s="60"/>
      <c r="L17" s="66" t="str">
        <f t="shared" si="4"/>
        <v>0</v>
      </c>
      <c r="M17" s="60"/>
      <c r="N17" s="66" t="str">
        <f t="shared" si="5"/>
        <v/>
      </c>
      <c r="O17" s="60"/>
      <c r="P17" s="69" t="str">
        <f t="shared" si="42"/>
        <v/>
      </c>
      <c r="Q17" s="60"/>
      <c r="R17" s="69" t="str">
        <f t="shared" si="6"/>
        <v/>
      </c>
      <c r="S17" s="60"/>
      <c r="T17" s="69" t="str">
        <f t="shared" si="7"/>
        <v/>
      </c>
      <c r="U17" s="60"/>
      <c r="V17" s="69" t="str">
        <f t="shared" si="8"/>
        <v/>
      </c>
      <c r="W17" s="60"/>
      <c r="X17" s="67" t="str">
        <f t="shared" si="9"/>
        <v/>
      </c>
      <c r="Y17" s="60"/>
      <c r="Z17" s="67" t="str">
        <f t="shared" si="10"/>
        <v/>
      </c>
      <c r="AA17" s="60"/>
      <c r="AB17" s="67" t="str">
        <f t="shared" si="11"/>
        <v/>
      </c>
      <c r="AC17" s="60"/>
      <c r="AD17" s="67" t="str">
        <f t="shared" si="12"/>
        <v/>
      </c>
      <c r="AE17" s="60"/>
      <c r="AF17" s="67" t="str">
        <f t="shared" si="13"/>
        <v/>
      </c>
      <c r="AG17" s="60"/>
      <c r="AH17" s="69" t="str">
        <f t="shared" si="14"/>
        <v/>
      </c>
      <c r="AI17" s="60"/>
      <c r="AJ17" s="67" t="str">
        <f t="shared" si="15"/>
        <v/>
      </c>
      <c r="AK17" s="60"/>
      <c r="AL17" s="67" t="str">
        <f t="shared" si="43"/>
        <v/>
      </c>
      <c r="AM17" s="60"/>
      <c r="AN17" s="67" t="str">
        <f t="shared" si="44"/>
        <v/>
      </c>
      <c r="AO17" s="60"/>
      <c r="AP17" s="67" t="str">
        <f t="shared" si="45"/>
        <v/>
      </c>
      <c r="AQ17" s="60"/>
      <c r="AR17" s="67" t="str">
        <f t="shared" si="16"/>
        <v/>
      </c>
      <c r="AS17" s="60"/>
      <c r="AT17" s="67" t="str">
        <f t="shared" si="17"/>
        <v/>
      </c>
      <c r="AU17" s="60"/>
      <c r="AV17" s="67" t="str">
        <f t="shared" si="18"/>
        <v/>
      </c>
      <c r="AW17" s="60"/>
      <c r="AX17" s="67" t="str">
        <f t="shared" si="19"/>
        <v/>
      </c>
      <c r="AY17" s="60"/>
      <c r="AZ17" s="67" t="str">
        <f t="shared" si="20"/>
        <v/>
      </c>
      <c r="BA17" s="60"/>
      <c r="BB17" s="67" t="str">
        <f t="shared" si="21"/>
        <v/>
      </c>
      <c r="BC17" s="60"/>
      <c r="BD17" s="67" t="str">
        <f t="shared" si="22"/>
        <v/>
      </c>
      <c r="BE17" s="61"/>
      <c r="BF17" s="69" t="str">
        <f t="shared" si="38"/>
        <v/>
      </c>
      <c r="BG17" s="62"/>
      <c r="BH17" s="67" t="str">
        <f t="shared" si="23"/>
        <v/>
      </c>
      <c r="BI17" s="62"/>
      <c r="BJ17" s="67" t="str">
        <f t="shared" si="39"/>
        <v/>
      </c>
      <c r="BK17" s="62"/>
      <c r="BL17" s="67" t="str">
        <f t="shared" si="24"/>
        <v/>
      </c>
      <c r="BM17" s="62"/>
      <c r="BN17" s="67" t="str">
        <f t="shared" si="25"/>
        <v/>
      </c>
      <c r="BO17" s="62"/>
      <c r="BP17" s="67" t="str">
        <f t="shared" si="26"/>
        <v/>
      </c>
      <c r="BQ17" s="62"/>
      <c r="BR17" s="67" t="str">
        <f t="shared" si="27"/>
        <v/>
      </c>
      <c r="BS17" s="62"/>
      <c r="BT17" s="67" t="str">
        <f t="shared" si="41"/>
        <v/>
      </c>
      <c r="BU17" s="62"/>
      <c r="BV17" s="67" t="str">
        <f t="shared" si="29"/>
        <v/>
      </c>
      <c r="BW17" s="62"/>
      <c r="BX17" s="67" t="str">
        <f t="shared" si="30"/>
        <v/>
      </c>
      <c r="BY17" s="62"/>
      <c r="BZ17" s="69" t="str">
        <f t="shared" si="31"/>
        <v/>
      </c>
      <c r="CA17" s="62"/>
      <c r="CB17" s="69" t="str">
        <f t="shared" si="32"/>
        <v/>
      </c>
      <c r="CC17" s="62"/>
      <c r="CD17" s="69" t="str">
        <f t="shared" si="33"/>
        <v/>
      </c>
      <c r="CE17" s="62"/>
      <c r="CF17" s="69" t="str">
        <f t="shared" si="34"/>
        <v/>
      </c>
      <c r="CG17" s="62"/>
      <c r="CH17" s="69" t="str">
        <f t="shared" si="35"/>
        <v/>
      </c>
      <c r="CI17" s="62"/>
      <c r="CJ17" s="69" t="str">
        <f t="shared" si="36"/>
        <v/>
      </c>
      <c r="CK17" s="62"/>
      <c r="CL17" s="66" t="str">
        <f t="shared" si="37"/>
        <v/>
      </c>
      <c r="CM17" s="67"/>
      <c r="CN17" s="64">
        <v>0</v>
      </c>
      <c r="CO17" s="64">
        <v>0</v>
      </c>
    </row>
    <row r="18" spans="1:93" ht="25.5" customHeight="1" thickBot="1" x14ac:dyDescent="0.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2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43"/>
        <v>0</v>
      </c>
      <c r="AM18" s="60"/>
      <c r="AN18" s="67">
        <f t="shared" si="44"/>
        <v>0</v>
      </c>
      <c r="AO18" s="60"/>
      <c r="AP18" s="67">
        <f t="shared" si="45"/>
        <v>0</v>
      </c>
      <c r="AQ18" s="60"/>
      <c r="AR18" s="67">
        <f t="shared" si="16"/>
        <v>0</v>
      </c>
      <c r="AS18" s="60"/>
      <c r="AT18" s="67">
        <f t="shared" si="17"/>
        <v>0</v>
      </c>
      <c r="AU18" s="60"/>
      <c r="AV18" s="67">
        <f t="shared" si="18"/>
        <v>0</v>
      </c>
      <c r="AW18" s="60"/>
      <c r="AX18" s="67">
        <f t="shared" si="19"/>
        <v>0</v>
      </c>
      <c r="AY18" s="60"/>
      <c r="AZ18" s="67">
        <f t="shared" si="20"/>
        <v>0</v>
      </c>
      <c r="BA18" s="60"/>
      <c r="BB18" s="67">
        <f t="shared" si="21"/>
        <v>0</v>
      </c>
      <c r="BC18" s="60"/>
      <c r="BD18" s="67">
        <f t="shared" si="22"/>
        <v>0</v>
      </c>
      <c r="BE18" s="61"/>
      <c r="BF18" s="69">
        <f t="shared" si="38"/>
        <v>0</v>
      </c>
      <c r="BG18" s="62"/>
      <c r="BH18" s="67">
        <f t="shared" si="23"/>
        <v>0</v>
      </c>
      <c r="BI18" s="62"/>
      <c r="BJ18" s="67">
        <f t="shared" si="39"/>
        <v>0</v>
      </c>
      <c r="BK18" s="62"/>
      <c r="BL18" s="67">
        <f t="shared" si="24"/>
        <v>0</v>
      </c>
      <c r="BM18" s="62"/>
      <c r="BN18" s="67">
        <f t="shared" si="25"/>
        <v>0</v>
      </c>
      <c r="BO18" s="62"/>
      <c r="BP18" s="67">
        <f t="shared" si="26"/>
        <v>0</v>
      </c>
      <c r="BQ18" s="62"/>
      <c r="BR18" s="67">
        <f t="shared" si="27"/>
        <v>0</v>
      </c>
      <c r="BS18" s="62"/>
      <c r="BT18" s="67">
        <f t="shared" si="41"/>
        <v>0</v>
      </c>
      <c r="BU18" s="62"/>
      <c r="BV18" s="67">
        <f t="shared" si="29"/>
        <v>0</v>
      </c>
      <c r="BW18" s="62"/>
      <c r="BX18" s="67">
        <f t="shared" si="30"/>
        <v>0</v>
      </c>
      <c r="BY18" s="62"/>
      <c r="BZ18" s="69">
        <f t="shared" si="31"/>
        <v>0</v>
      </c>
      <c r="CA18" s="62"/>
      <c r="CB18" s="69">
        <f t="shared" si="32"/>
        <v>0</v>
      </c>
      <c r="CC18" s="62"/>
      <c r="CD18" s="69">
        <f t="shared" si="33"/>
        <v>0</v>
      </c>
      <c r="CE18" s="62"/>
      <c r="CF18" s="69">
        <f t="shared" si="34"/>
        <v>0</v>
      </c>
      <c r="CG18" s="62"/>
      <c r="CH18" s="69">
        <f t="shared" si="35"/>
        <v>0</v>
      </c>
      <c r="CI18" s="62"/>
      <c r="CJ18" s="69">
        <f t="shared" si="36"/>
        <v>0</v>
      </c>
      <c r="CK18" s="62"/>
      <c r="CL18" s="66">
        <f t="shared" si="37"/>
        <v>0</v>
      </c>
      <c r="CM18" s="67"/>
      <c r="CN18" s="64">
        <v>0</v>
      </c>
      <c r="CO18" s="64">
        <v>0</v>
      </c>
    </row>
    <row r="19" spans="1:93" ht="25.5" customHeight="1" thickBot="1" x14ac:dyDescent="0.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2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43"/>
        <v>0</v>
      </c>
      <c r="AM19" s="60"/>
      <c r="AN19" s="67">
        <f t="shared" si="44"/>
        <v>0</v>
      </c>
      <c r="AO19" s="60"/>
      <c r="AP19" s="67">
        <f t="shared" si="45"/>
        <v>0</v>
      </c>
      <c r="AQ19" s="60"/>
      <c r="AR19" s="67">
        <f t="shared" si="16"/>
        <v>0</v>
      </c>
      <c r="AS19" s="60"/>
      <c r="AT19" s="67">
        <f t="shared" si="17"/>
        <v>0</v>
      </c>
      <c r="AU19" s="60"/>
      <c r="AV19" s="67">
        <f t="shared" si="18"/>
        <v>0</v>
      </c>
      <c r="AW19" s="60"/>
      <c r="AX19" s="67">
        <f t="shared" si="19"/>
        <v>0</v>
      </c>
      <c r="AY19" s="60"/>
      <c r="AZ19" s="67">
        <f t="shared" si="20"/>
        <v>0</v>
      </c>
      <c r="BA19" s="60"/>
      <c r="BB19" s="67">
        <f t="shared" si="21"/>
        <v>0</v>
      </c>
      <c r="BC19" s="60"/>
      <c r="BD19" s="67">
        <f t="shared" si="22"/>
        <v>0</v>
      </c>
      <c r="BE19" s="61"/>
      <c r="BF19" s="69">
        <f t="shared" si="38"/>
        <v>0</v>
      </c>
      <c r="BG19" s="62"/>
      <c r="BH19" s="67">
        <f t="shared" si="23"/>
        <v>0</v>
      </c>
      <c r="BI19" s="62"/>
      <c r="BJ19" s="67">
        <f t="shared" si="39"/>
        <v>0</v>
      </c>
      <c r="BK19" s="62"/>
      <c r="BL19" s="67">
        <f t="shared" si="24"/>
        <v>0</v>
      </c>
      <c r="BM19" s="62"/>
      <c r="BN19" s="67">
        <f t="shared" si="25"/>
        <v>0</v>
      </c>
      <c r="BO19" s="62"/>
      <c r="BP19" s="67">
        <f t="shared" si="26"/>
        <v>0</v>
      </c>
      <c r="BQ19" s="62"/>
      <c r="BR19" s="67">
        <f t="shared" si="27"/>
        <v>0</v>
      </c>
      <c r="BS19" s="62"/>
      <c r="BT19" s="67">
        <f t="shared" si="41"/>
        <v>0</v>
      </c>
      <c r="BU19" s="62"/>
      <c r="BV19" s="67">
        <f t="shared" si="29"/>
        <v>0</v>
      </c>
      <c r="BW19" s="62"/>
      <c r="BX19" s="67">
        <f t="shared" si="30"/>
        <v>0</v>
      </c>
      <c r="BY19" s="62"/>
      <c r="BZ19" s="69">
        <f t="shared" si="31"/>
        <v>0</v>
      </c>
      <c r="CA19" s="62"/>
      <c r="CB19" s="69">
        <f t="shared" si="32"/>
        <v>0</v>
      </c>
      <c r="CC19" s="62"/>
      <c r="CD19" s="69">
        <f t="shared" si="33"/>
        <v>0</v>
      </c>
      <c r="CE19" s="62"/>
      <c r="CF19" s="69">
        <f t="shared" si="34"/>
        <v>0</v>
      </c>
      <c r="CG19" s="62"/>
      <c r="CH19" s="69">
        <f t="shared" si="35"/>
        <v>0</v>
      </c>
      <c r="CI19" s="62"/>
      <c r="CJ19" s="69">
        <f t="shared" si="36"/>
        <v>0</v>
      </c>
      <c r="CK19" s="62"/>
      <c r="CL19" s="66">
        <f t="shared" si="37"/>
        <v>0</v>
      </c>
      <c r="CM19" s="67"/>
      <c r="CN19" s="64">
        <v>0</v>
      </c>
      <c r="CO19" s="64">
        <v>0</v>
      </c>
    </row>
    <row r="20" spans="1:93" ht="25.5" customHeight="1" thickBot="1" x14ac:dyDescent="0.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2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43"/>
        <v>0</v>
      </c>
      <c r="AM20" s="60"/>
      <c r="AN20" s="67">
        <f t="shared" si="44"/>
        <v>0</v>
      </c>
      <c r="AO20" s="60"/>
      <c r="AP20" s="67">
        <f t="shared" si="45"/>
        <v>0</v>
      </c>
      <c r="AQ20" s="60"/>
      <c r="AR20" s="67">
        <f t="shared" si="16"/>
        <v>0</v>
      </c>
      <c r="AS20" s="60"/>
      <c r="AT20" s="67">
        <f t="shared" si="17"/>
        <v>0</v>
      </c>
      <c r="AU20" s="60"/>
      <c r="AV20" s="67">
        <f t="shared" si="18"/>
        <v>0</v>
      </c>
      <c r="AW20" s="60"/>
      <c r="AX20" s="67">
        <f t="shared" si="19"/>
        <v>0</v>
      </c>
      <c r="AY20" s="60"/>
      <c r="AZ20" s="67">
        <f t="shared" si="20"/>
        <v>0</v>
      </c>
      <c r="BA20" s="60"/>
      <c r="BB20" s="67">
        <f t="shared" si="21"/>
        <v>0</v>
      </c>
      <c r="BC20" s="60"/>
      <c r="BD20" s="67">
        <f t="shared" si="22"/>
        <v>0</v>
      </c>
      <c r="BE20" s="61"/>
      <c r="BF20" s="69">
        <f t="shared" si="38"/>
        <v>0</v>
      </c>
      <c r="BG20" s="62"/>
      <c r="BH20" s="67">
        <f t="shared" si="23"/>
        <v>0</v>
      </c>
      <c r="BI20" s="62"/>
      <c r="BJ20" s="67">
        <f t="shared" si="39"/>
        <v>0</v>
      </c>
      <c r="BK20" s="62"/>
      <c r="BL20" s="67">
        <f t="shared" si="24"/>
        <v>0</v>
      </c>
      <c r="BM20" s="62"/>
      <c r="BN20" s="67">
        <f t="shared" si="25"/>
        <v>0</v>
      </c>
      <c r="BO20" s="62"/>
      <c r="BP20" s="67">
        <f t="shared" si="26"/>
        <v>0</v>
      </c>
      <c r="BQ20" s="62"/>
      <c r="BR20" s="67">
        <f t="shared" si="27"/>
        <v>0</v>
      </c>
      <c r="BS20" s="62"/>
      <c r="BT20" s="67">
        <f t="shared" si="41"/>
        <v>0</v>
      </c>
      <c r="BU20" s="62"/>
      <c r="BV20" s="67">
        <f t="shared" si="29"/>
        <v>0</v>
      </c>
      <c r="BW20" s="62"/>
      <c r="BX20" s="67">
        <f t="shared" si="30"/>
        <v>0</v>
      </c>
      <c r="BY20" s="62"/>
      <c r="BZ20" s="69">
        <f t="shared" si="31"/>
        <v>0</v>
      </c>
      <c r="CA20" s="62"/>
      <c r="CB20" s="69">
        <f t="shared" si="32"/>
        <v>0</v>
      </c>
      <c r="CC20" s="62"/>
      <c r="CD20" s="69">
        <f t="shared" si="33"/>
        <v>0</v>
      </c>
      <c r="CE20" s="62"/>
      <c r="CF20" s="69">
        <f t="shared" si="34"/>
        <v>0</v>
      </c>
      <c r="CG20" s="62"/>
      <c r="CH20" s="69">
        <f t="shared" si="35"/>
        <v>0</v>
      </c>
      <c r="CI20" s="62"/>
      <c r="CJ20" s="69">
        <f t="shared" si="36"/>
        <v>0</v>
      </c>
      <c r="CK20" s="62"/>
      <c r="CL20" s="66">
        <f t="shared" si="37"/>
        <v>0</v>
      </c>
      <c r="CM20" s="67"/>
      <c r="CN20" s="64">
        <v>0</v>
      </c>
      <c r="CO20" s="64">
        <v>0</v>
      </c>
    </row>
    <row r="21" spans="1:93" ht="25.5" customHeight="1" thickBot="1" x14ac:dyDescent="0.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2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43"/>
        <v>0</v>
      </c>
      <c r="AM21" s="60"/>
      <c r="AN21" s="67">
        <f t="shared" si="44"/>
        <v>0</v>
      </c>
      <c r="AO21" s="60"/>
      <c r="AP21" s="67">
        <f t="shared" si="45"/>
        <v>0</v>
      </c>
      <c r="AQ21" s="60"/>
      <c r="AR21" s="67">
        <f t="shared" si="16"/>
        <v>0</v>
      </c>
      <c r="AS21" s="60"/>
      <c r="AT21" s="67">
        <f t="shared" si="17"/>
        <v>0</v>
      </c>
      <c r="AU21" s="60"/>
      <c r="AV21" s="67">
        <f t="shared" si="18"/>
        <v>0</v>
      </c>
      <c r="AW21" s="60"/>
      <c r="AX21" s="67">
        <f t="shared" si="19"/>
        <v>0</v>
      </c>
      <c r="AY21" s="60"/>
      <c r="AZ21" s="67">
        <f t="shared" si="20"/>
        <v>0</v>
      </c>
      <c r="BA21" s="60"/>
      <c r="BB21" s="67">
        <f t="shared" si="21"/>
        <v>0</v>
      </c>
      <c r="BC21" s="60"/>
      <c r="BD21" s="67">
        <f t="shared" si="22"/>
        <v>0</v>
      </c>
      <c r="BE21" s="61"/>
      <c r="BF21" s="69">
        <f t="shared" si="38"/>
        <v>0</v>
      </c>
      <c r="BG21" s="62"/>
      <c r="BH21" s="67">
        <f t="shared" si="23"/>
        <v>0</v>
      </c>
      <c r="BI21" s="62"/>
      <c r="BJ21" s="67">
        <f t="shared" si="39"/>
        <v>0</v>
      </c>
      <c r="BK21" s="62"/>
      <c r="BL21" s="67">
        <f t="shared" si="24"/>
        <v>0</v>
      </c>
      <c r="BM21" s="62"/>
      <c r="BN21" s="67">
        <f t="shared" si="25"/>
        <v>0</v>
      </c>
      <c r="BO21" s="62"/>
      <c r="BP21" s="67">
        <f t="shared" si="26"/>
        <v>0</v>
      </c>
      <c r="BQ21" s="62"/>
      <c r="BR21" s="67">
        <f t="shared" si="27"/>
        <v>0</v>
      </c>
      <c r="BS21" s="62"/>
      <c r="BT21" s="67">
        <f t="shared" si="41"/>
        <v>0</v>
      </c>
      <c r="BU21" s="62"/>
      <c r="BV21" s="67">
        <f t="shared" si="29"/>
        <v>0</v>
      </c>
      <c r="BW21" s="62"/>
      <c r="BX21" s="67">
        <f t="shared" si="30"/>
        <v>0</v>
      </c>
      <c r="BY21" s="62"/>
      <c r="BZ21" s="69">
        <f t="shared" si="31"/>
        <v>0</v>
      </c>
      <c r="CA21" s="62"/>
      <c r="CB21" s="69">
        <f t="shared" si="32"/>
        <v>0</v>
      </c>
      <c r="CC21" s="62"/>
      <c r="CD21" s="69">
        <f t="shared" si="33"/>
        <v>0</v>
      </c>
      <c r="CE21" s="62"/>
      <c r="CF21" s="69">
        <f t="shared" si="34"/>
        <v>0</v>
      </c>
      <c r="CG21" s="62"/>
      <c r="CH21" s="69">
        <f t="shared" si="35"/>
        <v>0</v>
      </c>
      <c r="CI21" s="62"/>
      <c r="CJ21" s="69">
        <f t="shared" si="36"/>
        <v>0</v>
      </c>
      <c r="CK21" s="62"/>
      <c r="CL21" s="66">
        <f t="shared" si="37"/>
        <v>0</v>
      </c>
      <c r="CM21" s="67"/>
      <c r="CN21" s="64">
        <v>0</v>
      </c>
      <c r="CO21" s="64">
        <v>0</v>
      </c>
    </row>
    <row r="22" spans="1:93" ht="25.5" customHeight="1" thickBot="1" x14ac:dyDescent="0.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0.399999999999999" x14ac:dyDescent="0.45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0.399999999999999" x14ac:dyDescent="0.45">
      <c r="AX36" s="67"/>
    </row>
    <row r="37" spans="1:93" ht="21" thickBot="1" x14ac:dyDescent="0.5">
      <c r="AX37" s="67"/>
    </row>
    <row r="38" spans="1:93" ht="18.600000000000001" thickBot="1" x14ac:dyDescent="0.4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21" sqref="Q21"/>
    </sheetView>
  </sheetViews>
  <sheetFormatPr defaultRowHeight="14.4" x14ac:dyDescent="0.3"/>
  <cols>
    <col min="1" max="1" width="13.5546875" style="1" customWidth="1"/>
    <col min="2" max="2" width="7.44140625" style="1" customWidth="1"/>
    <col min="3" max="3" width="8.5546875" style="1" customWidth="1"/>
    <col min="4" max="4" width="8.109375" style="1" customWidth="1"/>
    <col min="5" max="5" width="7.5546875" style="1" customWidth="1"/>
    <col min="6" max="6" width="11.44140625" style="1" customWidth="1"/>
    <col min="7" max="7" width="8.88671875" style="1"/>
    <col min="8" max="8" width="7.5546875" style="1" customWidth="1"/>
    <col min="9" max="9" width="8.88671875" style="1"/>
    <col min="10" max="10" width="8.44140625" style="1" customWidth="1"/>
    <col min="11" max="11" width="8" style="1" customWidth="1"/>
    <col min="12" max="13" width="7.5546875" style="1" customWidth="1"/>
    <col min="14" max="16" width="8.88671875" style="1"/>
    <col min="17" max="17" width="9.5546875" style="1" bestFit="1" customWidth="1"/>
  </cols>
  <sheetData>
    <row r="3" spans="1:17" x14ac:dyDescent="0.3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3">
      <c r="A4" s="92" t="s">
        <v>0</v>
      </c>
      <c r="B4" s="95" t="s">
        <v>52</v>
      </c>
      <c r="C4" s="95" t="s">
        <v>53</v>
      </c>
      <c r="D4" s="98" t="s">
        <v>54</v>
      </c>
      <c r="E4" s="81" t="s">
        <v>55</v>
      </c>
      <c r="F4" s="101"/>
      <c r="G4" s="101"/>
      <c r="H4" s="101"/>
      <c r="I4" s="101"/>
      <c r="J4" s="82"/>
      <c r="K4" s="89" t="s">
        <v>56</v>
      </c>
      <c r="L4" s="90"/>
      <c r="M4" s="91"/>
      <c r="N4" s="80" t="s">
        <v>35</v>
      </c>
      <c r="O4" s="80"/>
      <c r="P4" s="80"/>
      <c r="Q4" s="80"/>
    </row>
    <row r="5" spans="1:17" ht="33.75" customHeight="1" x14ac:dyDescent="0.3">
      <c r="A5" s="93"/>
      <c r="B5" s="96"/>
      <c r="C5" s="96"/>
      <c r="D5" s="99"/>
      <c r="E5" s="81" t="s">
        <v>57</v>
      </c>
      <c r="F5" s="82"/>
      <c r="G5" s="81" t="s">
        <v>58</v>
      </c>
      <c r="H5" s="82"/>
      <c r="I5" s="81" t="s">
        <v>59</v>
      </c>
      <c r="J5" s="82"/>
      <c r="K5" s="83" t="s">
        <v>60</v>
      </c>
      <c r="L5" s="84"/>
      <c r="M5" s="85"/>
      <c r="N5" s="86" t="s">
        <v>61</v>
      </c>
      <c r="O5" s="87"/>
      <c r="P5" s="87"/>
      <c r="Q5" s="88"/>
    </row>
    <row r="6" spans="1:17" x14ac:dyDescent="0.3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3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3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3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3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3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3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3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3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3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3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3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3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3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3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3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3">
      <c r="A22" s="75">
        <v>43997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3">
      <c r="A23" s="75">
        <v>43998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3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3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3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3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3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3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3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3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3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3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3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3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3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3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3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3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Daumoo Vicky</cp:lastModifiedBy>
  <dcterms:created xsi:type="dcterms:W3CDTF">2019-08-14T08:16:24Z</dcterms:created>
  <dcterms:modified xsi:type="dcterms:W3CDTF">2020-06-15T04:52:44Z</dcterms:modified>
</cp:coreProperties>
</file>