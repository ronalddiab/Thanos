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<sst xmlns="http://schemas.openxmlformats.org/spreadsheetml/2006/main" count="310" uniqueCount="123">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</sst>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3" fontId="31" fillId="0" borderId="15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21" sqref="M2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7</v>
      </c>
      <c r="D2" s="6">
        <v>2021</v>
      </c>
      <c r="E2" s="8">
        <f>Submetring!E2+Submetring!F2+Submetring!G2</f>
        <v>14735</v>
      </c>
      <c r="F2" s="6">
        <v>0.251</v>
      </c>
      <c r="G2" s="8">
        <f>Submetring!H2+Submetring!I2</f>
        <v>911</v>
      </c>
      <c r="H2" s="6">
        <v>0.56711199999999995</v>
      </c>
      <c r="I2" s="8">
        <f>Submetring!J2</f>
        <v>287</v>
      </c>
      <c r="J2" s="6">
        <v>3.03</v>
      </c>
      <c r="K2" s="8">
        <f>Hotel!Y9</f>
        <v>95</v>
      </c>
    </row>
    <row r="3" spans="1:11" x14ac:dyDescent="0.25">
      <c r="A3" s="6" t="s">
        <v>11</v>
      </c>
      <c r="B3" s="9">
        <f>B2+1</f>
        <v>2</v>
      </c>
      <c r="C3" s="7">
        <v>7</v>
      </c>
      <c r="D3" s="6">
        <v>2021</v>
      </c>
      <c r="E3" s="8">
        <f>Submetring!E3+Submetring!F3+Submetring!G3</f>
        <v>14306</v>
      </c>
      <c r="F3" s="6">
        <v>0.251</v>
      </c>
      <c r="G3" s="8">
        <f>Submetring!H3+Submetring!I3</f>
        <v>1046</v>
      </c>
      <c r="H3" s="6">
        <v>0.56711199999999995</v>
      </c>
      <c r="I3" s="8">
        <f>Submetring!J3</f>
        <v>361</v>
      </c>
      <c r="J3" s="6">
        <v>3.03</v>
      </c>
      <c r="K3" s="8">
        <f>Hotel!Y10</f>
        <v>94</v>
      </c>
    </row>
    <row r="4" spans="1:11" x14ac:dyDescent="0.25">
      <c r="A4" s="6" t="s">
        <v>11</v>
      </c>
      <c r="B4" s="9">
        <f t="shared" ref="B4:B32" si="0">B3+1</f>
        <v>3</v>
      </c>
      <c r="C4" s="7">
        <v>7</v>
      </c>
      <c r="D4" s="6">
        <v>2021</v>
      </c>
      <c r="E4" s="8">
        <f>Submetring!E4+Submetring!F4+Submetring!G4</f>
        <v>14100</v>
      </c>
      <c r="F4" s="6">
        <v>0.251</v>
      </c>
      <c r="G4" s="8">
        <f>Submetring!H4+Submetring!I4</f>
        <v>919</v>
      </c>
      <c r="H4" s="6">
        <v>0.56711199999999995</v>
      </c>
      <c r="I4" s="8">
        <f>Submetring!J4</f>
        <v>370</v>
      </c>
      <c r="J4" s="6">
        <v>3.03</v>
      </c>
      <c r="K4" s="8">
        <f>Hotel!Y11</f>
        <v>107</v>
      </c>
    </row>
    <row r="5" spans="1:11" x14ac:dyDescent="0.25">
      <c r="A5" s="6" t="s">
        <v>11</v>
      </c>
      <c r="B5" s="9">
        <f t="shared" si="0"/>
        <v>4</v>
      </c>
      <c r="C5" s="7">
        <v>7</v>
      </c>
      <c r="D5" s="6">
        <v>2021</v>
      </c>
      <c r="E5" s="8">
        <f>Submetring!E5+Submetring!F5+Submetring!G5</f>
        <v>13636</v>
      </c>
      <c r="F5" s="6">
        <v>0.251</v>
      </c>
      <c r="G5" s="8">
        <f>Submetring!H5+Submetring!I5</f>
        <v>956</v>
      </c>
      <c r="H5" s="6">
        <v>0.56711199999999995</v>
      </c>
      <c r="I5" s="8">
        <f>Submetring!J5</f>
        <v>412</v>
      </c>
      <c r="J5" s="6">
        <v>3.03</v>
      </c>
      <c r="K5" s="8">
        <f>Hotel!Y12</f>
        <v>108</v>
      </c>
    </row>
    <row r="6" spans="1:11" x14ac:dyDescent="0.25">
      <c r="A6" s="6" t="s">
        <v>11</v>
      </c>
      <c r="B6" s="9">
        <f t="shared" si="0"/>
        <v>5</v>
      </c>
      <c r="C6" s="7">
        <v>7</v>
      </c>
      <c r="D6" s="6">
        <v>2021</v>
      </c>
      <c r="E6" s="8">
        <f>Submetring!E6+Submetring!F6+Submetring!G6</f>
        <v>13360</v>
      </c>
      <c r="F6" s="6">
        <v>0.251</v>
      </c>
      <c r="G6" s="8">
        <f>Submetring!H6+Submetring!I6</f>
        <v>962</v>
      </c>
      <c r="H6" s="6">
        <v>0.56711199999999995</v>
      </c>
      <c r="I6" s="8">
        <f>Submetring!J6</f>
        <v>415</v>
      </c>
      <c r="J6" s="6">
        <v>3.03</v>
      </c>
      <c r="K6" s="8">
        <f>Hotel!Y13</f>
        <v>87</v>
      </c>
    </row>
    <row r="7" spans="1:11" x14ac:dyDescent="0.25">
      <c r="A7" s="6" t="s">
        <v>11</v>
      </c>
      <c r="B7" s="9">
        <f t="shared" si="0"/>
        <v>6</v>
      </c>
      <c r="C7" s="7">
        <v>7</v>
      </c>
      <c r="D7" s="6">
        <v>2021</v>
      </c>
      <c r="E7" s="8">
        <f>Submetring!E7+Submetring!F7+Submetring!G7</f>
        <v>12936</v>
      </c>
      <c r="F7" s="6">
        <v>0.251</v>
      </c>
      <c r="G7" s="8">
        <f>Submetring!H7+Submetring!I7</f>
        <v>874</v>
      </c>
      <c r="H7" s="6">
        <v>0.56711199999999995</v>
      </c>
      <c r="I7" s="8">
        <f>Submetring!J7</f>
        <v>436</v>
      </c>
      <c r="J7" s="6">
        <v>3.03</v>
      </c>
      <c r="K7" s="8">
        <f>Hotel!Y14</f>
        <v>61</v>
      </c>
    </row>
    <row r="8" spans="1:11" x14ac:dyDescent="0.25">
      <c r="A8" s="6" t="s">
        <v>11</v>
      </c>
      <c r="B8" s="9">
        <f t="shared" si="0"/>
        <v>7</v>
      </c>
      <c r="C8" s="7">
        <v>7</v>
      </c>
      <c r="D8" s="6">
        <v>2021</v>
      </c>
      <c r="E8" s="8">
        <f>Submetring!E8+Submetring!F8+Submetring!G8</f>
        <v>14401</v>
      </c>
      <c r="F8" s="6">
        <v>0.251</v>
      </c>
      <c r="G8" s="8">
        <f>Submetring!H8+Submetring!I8</f>
        <v>934</v>
      </c>
      <c r="H8" s="6">
        <v>0.56711199999999995</v>
      </c>
      <c r="I8" s="8">
        <f>Submetring!J8</f>
        <v>421</v>
      </c>
      <c r="J8" s="6">
        <v>3.03</v>
      </c>
      <c r="K8" s="8">
        <f>Hotel!Y15</f>
        <v>67</v>
      </c>
    </row>
    <row r="9" spans="1:11" x14ac:dyDescent="0.25">
      <c r="A9" s="6" t="s">
        <v>11</v>
      </c>
      <c r="B9" s="9">
        <f t="shared" si="0"/>
        <v>8</v>
      </c>
      <c r="C9" s="7">
        <v>7</v>
      </c>
      <c r="D9" s="6">
        <v>2021</v>
      </c>
      <c r="E9" s="8">
        <f>Submetring!E9+Submetring!F9+Submetring!G9</f>
        <v>14406</v>
      </c>
      <c r="F9" s="6">
        <v>0.251</v>
      </c>
      <c r="G9" s="8">
        <f>Submetring!H9+Submetring!I9</f>
        <v>1037</v>
      </c>
      <c r="H9" s="6">
        <v>0.56711199999999995</v>
      </c>
      <c r="I9" s="8">
        <f>Submetring!J9</f>
        <v>399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7</v>
      </c>
      <c r="D10" s="6">
        <v>2021</v>
      </c>
      <c r="E10" s="8">
        <f>Submetring!E10+Submetring!F10+Submetring!G10</f>
        <v>15031</v>
      </c>
      <c r="F10" s="6">
        <v>0.251</v>
      </c>
      <c r="G10" s="8">
        <f>Submetring!H10+Submetring!I10</f>
        <v>1069</v>
      </c>
      <c r="H10" s="6">
        <v>0.56711199999999995</v>
      </c>
      <c r="I10" s="8">
        <f>Submetring!J10</f>
        <v>303</v>
      </c>
      <c r="J10" s="6">
        <v>3.03</v>
      </c>
      <c r="K10" s="8">
        <f>Hotel!Y17</f>
        <v>85</v>
      </c>
    </row>
    <row r="11" spans="1:11" x14ac:dyDescent="0.25">
      <c r="A11" s="6" t="s">
        <v>11</v>
      </c>
      <c r="B11" s="9">
        <f t="shared" si="0"/>
        <v>10</v>
      </c>
      <c r="C11" s="7">
        <v>7</v>
      </c>
      <c r="D11" s="6">
        <v>2021</v>
      </c>
      <c r="E11" s="8">
        <f>Submetring!E11+Submetring!F11+Submetring!G11</f>
        <v>14280</v>
      </c>
      <c r="F11" s="6">
        <v>0.251</v>
      </c>
      <c r="G11" s="8">
        <f>Submetring!H11+Submetring!I11</f>
        <v>934</v>
      </c>
      <c r="H11" s="6">
        <v>0.56711199999999995</v>
      </c>
      <c r="I11" s="8">
        <f>Submetring!J11</f>
        <v>326</v>
      </c>
      <c r="J11" s="6">
        <v>3.03</v>
      </c>
      <c r="K11" s="8">
        <f>Hotel!Y18</f>
        <v>107</v>
      </c>
    </row>
    <row r="12" spans="1:11" x14ac:dyDescent="0.25">
      <c r="A12" s="6" t="s">
        <v>11</v>
      </c>
      <c r="B12" s="9">
        <f t="shared" si="0"/>
        <v>11</v>
      </c>
      <c r="C12" s="7">
        <v>7</v>
      </c>
      <c r="D12" s="6">
        <v>2021</v>
      </c>
      <c r="E12" s="8">
        <f>Submetring!E12+Submetring!F12+Submetring!G12</f>
        <v>13450</v>
      </c>
      <c r="F12" s="6">
        <v>0.251</v>
      </c>
      <c r="G12" s="8">
        <f>Submetring!H12+Submetring!I12</f>
        <v>1005</v>
      </c>
      <c r="H12" s="6">
        <v>0.56711199999999995</v>
      </c>
      <c r="I12" s="8">
        <f>Submetring!J12</f>
        <v>411</v>
      </c>
      <c r="J12" s="6">
        <v>3.03</v>
      </c>
      <c r="K12" s="8">
        <f>Hotel!Y19</f>
        <v>94</v>
      </c>
    </row>
    <row r="13" spans="1:11" x14ac:dyDescent="0.25">
      <c r="A13" s="6" t="s">
        <v>11</v>
      </c>
      <c r="B13" s="9">
        <f t="shared" si="0"/>
        <v>12</v>
      </c>
      <c r="C13" s="7">
        <v>7</v>
      </c>
      <c r="D13" s="6">
        <v>2021</v>
      </c>
      <c r="E13" s="8">
        <f>Submetring!E13+Submetring!F13+Submetring!G13</f>
        <v>13218</v>
      </c>
      <c r="F13" s="6">
        <v>0.251</v>
      </c>
      <c r="G13" s="8">
        <f>Submetring!H13+Submetring!I13</f>
        <v>887</v>
      </c>
      <c r="H13" s="6">
        <v>0.56711199999999995</v>
      </c>
      <c r="I13" s="8">
        <f>Submetring!J13</f>
        <v>327</v>
      </c>
      <c r="J13" s="6">
        <v>3.03</v>
      </c>
      <c r="K13" s="8">
        <f>Hotel!Y20</f>
        <v>81</v>
      </c>
    </row>
    <row r="14" spans="1:11" x14ac:dyDescent="0.25">
      <c r="A14" s="6" t="s">
        <v>11</v>
      </c>
      <c r="B14" s="9">
        <f t="shared" si="0"/>
        <v>13</v>
      </c>
      <c r="C14" s="7">
        <v>7</v>
      </c>
      <c r="D14" s="6">
        <v>2021</v>
      </c>
      <c r="E14" s="8">
        <f>Submetring!E14+Submetring!F14+Submetring!G14</f>
        <v>14069</v>
      </c>
      <c r="F14" s="6">
        <v>0.251</v>
      </c>
      <c r="G14" s="8">
        <f>Submetring!H14+Submetring!I14</f>
        <v>906</v>
      </c>
      <c r="H14" s="6">
        <v>0.56711199999999995</v>
      </c>
      <c r="I14" s="8">
        <f>Submetring!J14</f>
        <v>344</v>
      </c>
      <c r="J14" s="6">
        <v>3.03</v>
      </c>
      <c r="K14" s="8">
        <f>Hotel!Y21</f>
        <v>56</v>
      </c>
    </row>
    <row r="15" spans="1:11" x14ac:dyDescent="0.25">
      <c r="A15" s="6" t="s">
        <v>11</v>
      </c>
      <c r="B15" s="9">
        <f t="shared" si="0"/>
        <v>14</v>
      </c>
      <c r="C15" s="7">
        <v>7</v>
      </c>
      <c r="D15" s="6">
        <v>2021</v>
      </c>
      <c r="E15" s="8">
        <f>Submetring!E15+Submetring!F15+Submetring!G15</f>
        <v>13465</v>
      </c>
      <c r="F15" s="6">
        <v>0.251</v>
      </c>
      <c r="G15" s="8">
        <f>Submetring!H15+Submetring!I15</f>
        <v>810</v>
      </c>
      <c r="H15" s="6">
        <v>0.56711199999999995</v>
      </c>
      <c r="I15" s="8">
        <f>Submetring!J15</f>
        <v>398</v>
      </c>
      <c r="J15" s="6">
        <v>3.03</v>
      </c>
      <c r="K15" s="8">
        <f>Hotel!Y22</f>
        <v>51</v>
      </c>
    </row>
    <row r="16" spans="1:11" x14ac:dyDescent="0.25">
      <c r="A16" s="6" t="s">
        <v>11</v>
      </c>
      <c r="B16" s="9">
        <f t="shared" si="0"/>
        <v>15</v>
      </c>
      <c r="C16" s="7">
        <v>7</v>
      </c>
      <c r="D16" s="6">
        <v>2021</v>
      </c>
      <c r="E16" s="8">
        <f>Submetring!E16+Submetring!F16+Submetring!G16</f>
        <v>15409</v>
      </c>
      <c r="F16" s="6">
        <v>0.251</v>
      </c>
      <c r="G16" s="8">
        <f>Submetring!H16+Submetring!I16</f>
        <v>797</v>
      </c>
      <c r="H16" s="6">
        <v>0.56711199999999995</v>
      </c>
      <c r="I16" s="8">
        <f>Submetring!J16</f>
        <v>370</v>
      </c>
      <c r="J16" s="6">
        <v>3.03</v>
      </c>
      <c r="K16" s="8">
        <f>Hotel!Y23</f>
        <v>52</v>
      </c>
    </row>
    <row r="17" spans="1:11" x14ac:dyDescent="0.25">
      <c r="A17" s="6" t="s">
        <v>11</v>
      </c>
      <c r="B17" s="9">
        <f t="shared" si="0"/>
        <v>16</v>
      </c>
      <c r="C17" s="7">
        <v>7</v>
      </c>
      <c r="D17" s="6">
        <v>2021</v>
      </c>
      <c r="E17" s="8">
        <f>Submetring!E17+Submetring!F17+Submetring!G17</f>
        <v>10648</v>
      </c>
      <c r="F17" s="6">
        <v>0.251</v>
      </c>
      <c r="G17" s="8">
        <f>Submetring!H17+Submetring!I17</f>
        <v>1134</v>
      </c>
      <c r="H17" s="6">
        <v>0.56711199999999995</v>
      </c>
      <c r="I17" s="8">
        <f>Submetring!J17</f>
        <v>440</v>
      </c>
      <c r="J17" s="6">
        <v>3.03</v>
      </c>
      <c r="K17" s="8">
        <f>Hotel!Y24</f>
        <v>61</v>
      </c>
    </row>
    <row r="18" spans="1:11" x14ac:dyDescent="0.25">
      <c r="A18" s="6" t="s">
        <v>11</v>
      </c>
      <c r="B18" s="9">
        <f t="shared" si="0"/>
        <v>17</v>
      </c>
      <c r="C18" s="7">
        <v>7</v>
      </c>
      <c r="D18" s="6">
        <v>2021</v>
      </c>
      <c r="E18" s="8">
        <f>Submetring!E18+Submetring!F18+Submetring!G18</f>
        <v>12919</v>
      </c>
      <c r="F18" s="6">
        <v>0.251</v>
      </c>
      <c r="G18" s="8">
        <f>Submetring!H18+Submetring!I18</f>
        <v>956</v>
      </c>
      <c r="H18" s="6">
        <v>0.56711199999999995</v>
      </c>
      <c r="I18" s="8">
        <f>Submetring!J18</f>
        <v>438</v>
      </c>
      <c r="J18" s="6">
        <v>3.03</v>
      </c>
      <c r="K18" s="8">
        <f>Hotel!Y25</f>
        <v>71</v>
      </c>
    </row>
    <row r="19" spans="1:11" x14ac:dyDescent="0.25">
      <c r="A19" s="6" t="s">
        <v>11</v>
      </c>
      <c r="B19" s="9">
        <f t="shared" si="0"/>
        <v>18</v>
      </c>
      <c r="C19" s="7">
        <v>7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 t="str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7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7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7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7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7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7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7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7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7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7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7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7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7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3" workbookViewId="0">
      <selection activeCell="F34" sqref="F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7</v>
      </c>
      <c r="D2" s="10">
        <v>2021</v>
      </c>
      <c r="E2" s="11">
        <f>Hotel!D9</f>
        <v>5016</v>
      </c>
      <c r="F2" s="11">
        <f>Hotel!F9</f>
        <v>4997</v>
      </c>
      <c r="G2" s="11">
        <f>Hotel!H9</f>
        <v>4722</v>
      </c>
      <c r="H2" s="11">
        <f>Hotel!N9</f>
        <v>135</v>
      </c>
      <c r="I2" s="11">
        <f>Hotel!P9</f>
        <v>776</v>
      </c>
      <c r="J2" s="11">
        <f>Hotel!U9</f>
        <v>287</v>
      </c>
      <c r="K2" s="11">
        <f>Hotel!Y9</f>
        <v>95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7</v>
      </c>
      <c r="D3" s="10">
        <v>2021</v>
      </c>
      <c r="E3" s="11">
        <f>Hotel!D10</f>
        <v>4878</v>
      </c>
      <c r="F3" s="11">
        <f>Hotel!F10</f>
        <v>4871</v>
      </c>
      <c r="G3" s="11">
        <f>Hotel!H10</f>
        <v>4557</v>
      </c>
      <c r="H3" s="11">
        <f>Hotel!N10</f>
        <v>148</v>
      </c>
      <c r="I3" s="11">
        <f>Hotel!P10</f>
        <v>898</v>
      </c>
      <c r="J3" s="11">
        <f>Hotel!U10</f>
        <v>361</v>
      </c>
      <c r="K3" s="11">
        <f>Hotel!Y10</f>
        <v>94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7</v>
      </c>
      <c r="D4" s="10">
        <v>2021</v>
      </c>
      <c r="E4" s="11">
        <f>Hotel!D11</f>
        <v>4798</v>
      </c>
      <c r="F4" s="11">
        <f>Hotel!F11</f>
        <v>4788</v>
      </c>
      <c r="G4" s="11">
        <f>Hotel!H11</f>
        <v>4514</v>
      </c>
      <c r="H4" s="11">
        <f>Hotel!N11</f>
        <v>138</v>
      </c>
      <c r="I4" s="11">
        <f>Hotel!P11</f>
        <v>781</v>
      </c>
      <c r="J4" s="11">
        <f>Hotel!U11</f>
        <v>370</v>
      </c>
      <c r="K4" s="11">
        <f>Hotel!Y11</f>
        <v>107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7</v>
      </c>
      <c r="D5" s="10">
        <v>2021</v>
      </c>
      <c r="E5" s="11">
        <f>Hotel!D12</f>
        <v>4711</v>
      </c>
      <c r="F5" s="11">
        <f>Hotel!F12</f>
        <v>4708</v>
      </c>
      <c r="G5" s="11">
        <f>Hotel!H12</f>
        <v>4217</v>
      </c>
      <c r="H5" s="11">
        <f>Hotel!N12</f>
        <v>144</v>
      </c>
      <c r="I5" s="11">
        <f>Hotel!P12</f>
        <v>812</v>
      </c>
      <c r="J5" s="11">
        <f>Hotel!U12</f>
        <v>412</v>
      </c>
      <c r="K5" s="11">
        <f>Hotel!Y12</f>
        <v>108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7</v>
      </c>
      <c r="D6" s="10">
        <v>2021</v>
      </c>
      <c r="E6" s="11">
        <f>Hotel!D13</f>
        <v>4481</v>
      </c>
      <c r="F6" s="11">
        <f>Hotel!F13</f>
        <v>4491</v>
      </c>
      <c r="G6" s="11">
        <f>Hotel!H13</f>
        <v>4388</v>
      </c>
      <c r="H6" s="11">
        <f>Hotel!N13</f>
        <v>140</v>
      </c>
      <c r="I6" s="11">
        <f>Hotel!P13</f>
        <v>822</v>
      </c>
      <c r="J6" s="11">
        <f>Hotel!U13</f>
        <v>415</v>
      </c>
      <c r="K6" s="11">
        <f>Hotel!Y13</f>
        <v>87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7</v>
      </c>
      <c r="D7" s="10">
        <v>2021</v>
      </c>
      <c r="E7" s="11">
        <f>Hotel!D14</f>
        <v>4422</v>
      </c>
      <c r="F7" s="11">
        <f>Hotel!F14</f>
        <v>4398</v>
      </c>
      <c r="G7" s="11">
        <f>Hotel!H14</f>
        <v>4116</v>
      </c>
      <c r="H7" s="11">
        <f>Hotel!N14</f>
        <v>83</v>
      </c>
      <c r="I7" s="11">
        <f>Hotel!P14</f>
        <v>791</v>
      </c>
      <c r="J7" s="11">
        <f>Hotel!U14</f>
        <v>436</v>
      </c>
      <c r="K7" s="11">
        <f>Hotel!Y14</f>
        <v>61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7</v>
      </c>
      <c r="D8" s="10">
        <v>2021</v>
      </c>
      <c r="E8" s="11">
        <f>Hotel!D15</f>
        <v>4921</v>
      </c>
      <c r="F8" s="11">
        <f>Hotel!F15</f>
        <v>4882</v>
      </c>
      <c r="G8" s="11">
        <f>Hotel!H15</f>
        <v>4598</v>
      </c>
      <c r="H8" s="11">
        <f>Hotel!N15</f>
        <v>130</v>
      </c>
      <c r="I8" s="11">
        <f>Hotel!P15</f>
        <v>804</v>
      </c>
      <c r="J8" s="11">
        <f>Hotel!U15</f>
        <v>421</v>
      </c>
      <c r="K8" s="11">
        <f>Hotel!Y15</f>
        <v>67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7</v>
      </c>
      <c r="D9" s="10">
        <v>2021</v>
      </c>
      <c r="E9" s="11">
        <f>Hotel!D16</f>
        <v>4919</v>
      </c>
      <c r="F9" s="11">
        <f>Hotel!F16</f>
        <v>4888</v>
      </c>
      <c r="G9" s="11">
        <f>Hotel!H16</f>
        <v>4599</v>
      </c>
      <c r="H9" s="11">
        <f>Hotel!N16</f>
        <v>130</v>
      </c>
      <c r="I9" s="11">
        <f>Hotel!P16</f>
        <v>907</v>
      </c>
      <c r="J9" s="11">
        <f>Hotel!U16</f>
        <v>399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7</v>
      </c>
      <c r="D10" s="10">
        <v>2021</v>
      </c>
      <c r="E10" s="11">
        <f>Hotel!D17</f>
        <v>5138</v>
      </c>
      <c r="F10" s="11">
        <f>Hotel!F17</f>
        <v>5079</v>
      </c>
      <c r="G10" s="11">
        <f>Hotel!H17</f>
        <v>4814</v>
      </c>
      <c r="H10" s="11">
        <f>Hotel!N17</f>
        <v>121</v>
      </c>
      <c r="I10" s="11">
        <f>Hotel!P17</f>
        <v>948</v>
      </c>
      <c r="J10" s="11">
        <f>Hotel!U17</f>
        <v>303</v>
      </c>
      <c r="K10" s="11">
        <f>Hotel!Y17</f>
        <v>85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7</v>
      </c>
      <c r="D11" s="10">
        <v>2021</v>
      </c>
      <c r="E11" s="11">
        <f>Hotel!D18</f>
        <v>4878</v>
      </c>
      <c r="F11" s="11">
        <f>Hotel!F18</f>
        <v>4835</v>
      </c>
      <c r="G11" s="11">
        <f>Hotel!H18</f>
        <v>4567</v>
      </c>
      <c r="H11" s="11">
        <f>Hotel!N18</f>
        <v>147</v>
      </c>
      <c r="I11" s="11">
        <f>Hotel!P18</f>
        <v>787</v>
      </c>
      <c r="J11" s="11">
        <f>Hotel!U18</f>
        <v>326</v>
      </c>
      <c r="K11" s="11">
        <f>Hotel!Y18</f>
        <v>107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7</v>
      </c>
      <c r="D12" s="10">
        <v>2021</v>
      </c>
      <c r="E12" s="11">
        <f>Hotel!D19</f>
        <v>4586</v>
      </c>
      <c r="F12" s="11">
        <f>Hotel!F19</f>
        <v>4556</v>
      </c>
      <c r="G12" s="11">
        <f>Hotel!H19</f>
        <v>4308</v>
      </c>
      <c r="H12" s="11">
        <f>Hotel!N19</f>
        <v>167</v>
      </c>
      <c r="I12" s="11">
        <f>Hotel!P19</f>
        <v>838</v>
      </c>
      <c r="J12" s="11">
        <f>Hotel!U19</f>
        <v>411</v>
      </c>
      <c r="K12" s="11">
        <f>Hotel!Y19</f>
        <v>94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7</v>
      </c>
      <c r="D13" s="10">
        <v>2021</v>
      </c>
      <c r="E13" s="11">
        <f>Hotel!D20</f>
        <v>4510</v>
      </c>
      <c r="F13" s="11">
        <f>Hotel!F20</f>
        <v>4477</v>
      </c>
      <c r="G13" s="11">
        <f>Hotel!H20</f>
        <v>4231</v>
      </c>
      <c r="H13" s="11">
        <f>Hotel!N20</f>
        <v>134</v>
      </c>
      <c r="I13" s="11">
        <f>Hotel!P20</f>
        <v>753</v>
      </c>
      <c r="J13" s="11">
        <f>Hotel!U20</f>
        <v>327</v>
      </c>
      <c r="K13" s="11">
        <f>Hotel!Y20</f>
        <v>81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7</v>
      </c>
      <c r="D14" s="10">
        <v>2021</v>
      </c>
      <c r="E14" s="11">
        <f>Hotel!D21</f>
        <v>4814</v>
      </c>
      <c r="F14" s="11">
        <f>Hotel!F21</f>
        <v>4763</v>
      </c>
      <c r="G14" s="11">
        <f>Hotel!H21</f>
        <v>4492</v>
      </c>
      <c r="H14" s="11">
        <f>Hotel!N21</f>
        <v>111</v>
      </c>
      <c r="I14" s="11">
        <f>Hotel!P21</f>
        <v>795</v>
      </c>
      <c r="J14" s="11">
        <f>Hotel!U21</f>
        <v>344</v>
      </c>
      <c r="K14" s="11">
        <f>Hotel!Y21</f>
        <v>56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7</v>
      </c>
      <c r="D15" s="10">
        <v>2021</v>
      </c>
      <c r="E15" s="11">
        <f>Hotel!D22</f>
        <v>4411</v>
      </c>
      <c r="F15" s="11">
        <f>Hotel!F22</f>
        <v>4464</v>
      </c>
      <c r="G15" s="11">
        <f>Hotel!H22</f>
        <v>4590</v>
      </c>
      <c r="H15" s="11">
        <f>Hotel!N22</f>
        <v>115</v>
      </c>
      <c r="I15" s="11">
        <f>Hotel!P22</f>
        <v>695</v>
      </c>
      <c r="J15" s="11">
        <f>Hotel!U22</f>
        <v>398</v>
      </c>
      <c r="K15" s="11">
        <f>Hotel!Y22</f>
        <v>51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7</v>
      </c>
      <c r="D16" s="10">
        <v>2021</v>
      </c>
      <c r="E16" s="11">
        <f>Hotel!D23</f>
        <v>5703</v>
      </c>
      <c r="F16" s="11">
        <f>Hotel!F23</f>
        <v>4836</v>
      </c>
      <c r="G16" s="11">
        <f>Hotel!H23</f>
        <v>4870</v>
      </c>
      <c r="H16" s="11">
        <f>Hotel!N23</f>
        <v>110</v>
      </c>
      <c r="I16" s="11">
        <f>Hotel!P23</f>
        <v>687</v>
      </c>
      <c r="J16" s="11">
        <f>Hotel!U23</f>
        <v>370</v>
      </c>
      <c r="K16" s="11">
        <f>Hotel!Y23</f>
        <v>52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7</v>
      </c>
      <c r="D17" s="10">
        <v>2021</v>
      </c>
      <c r="E17" s="11">
        <f>Hotel!D24</f>
        <v>3369</v>
      </c>
      <c r="F17" s="11">
        <f>Hotel!F24</f>
        <v>4086</v>
      </c>
      <c r="G17" s="11">
        <f>Hotel!H24</f>
        <v>3193</v>
      </c>
      <c r="H17" s="11">
        <f>Hotel!N24</f>
        <v>127</v>
      </c>
      <c r="I17" s="11">
        <f>Hotel!P24</f>
        <v>1007</v>
      </c>
      <c r="J17" s="11">
        <f>Hotel!U24</f>
        <v>440</v>
      </c>
      <c r="K17" s="11">
        <f>Hotel!Y24</f>
        <v>61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7</v>
      </c>
      <c r="D18" s="10">
        <v>2021</v>
      </c>
      <c r="E18" s="11">
        <f>Hotel!D25</f>
        <v>4397</v>
      </c>
      <c r="F18" s="11">
        <f>Hotel!F25</f>
        <v>4382</v>
      </c>
      <c r="G18" s="11">
        <f>Hotel!H25</f>
        <v>4140</v>
      </c>
      <c r="H18" s="11">
        <f>Hotel!N25</f>
        <v>134</v>
      </c>
      <c r="I18" s="11">
        <f>Hotel!P25</f>
        <v>822</v>
      </c>
      <c r="J18" s="11">
        <f>Hotel!U25</f>
        <v>438</v>
      </c>
      <c r="K18" s="11">
        <f>Hotel!Y25</f>
        <v>71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7</v>
      </c>
      <c r="D19" s="10">
        <v>2021</v>
      </c>
      <c r="E19" s="11" t="str">
        <f>Hotel!D26</f>
        <v>0</v>
      </c>
      <c r="F19" s="11" t="str">
        <f>Hotel!F26</f>
        <v>0</v>
      </c>
      <c r="G19" s="11" t="str">
        <f>Hotel!H26</f>
        <v>0</v>
      </c>
      <c r="H19" s="11" t="str">
        <f>Hotel!N26</f>
        <v>0</v>
      </c>
      <c r="I19" s="11" t="str">
        <f>Hotel!P26</f>
        <v>0</v>
      </c>
      <c r="J19" s="11" t="str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7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7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7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7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7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7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7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7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7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7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7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7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7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106" zoomScaleNormal="106" workbookViewId="0">
      <selection activeCell="Y28" sqref="Y28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5512818</v>
      </c>
      <c r="D6" s="28"/>
      <c r="E6" s="29">
        <v>5465807</v>
      </c>
      <c r="F6" s="30"/>
      <c r="G6" s="132">
        <v>5164431</v>
      </c>
      <c r="H6" s="31">
        <f>G6-G5</f>
        <v>5164431</v>
      </c>
      <c r="I6" s="32"/>
      <c r="J6" s="33">
        <f>D6+F6+H6</f>
        <v>5164431</v>
      </c>
      <c r="K6" s="33" t="e">
        <f>D6*0.152+F6*0.238+H6*0.115+#REF!*0.218</f>
        <v>#REF!</v>
      </c>
      <c r="L6" s="34"/>
      <c r="M6" s="35">
        <v>145198</v>
      </c>
      <c r="N6" s="31" t="e">
        <f>M6-#REF!</f>
        <v>#REF!</v>
      </c>
      <c r="O6" s="36">
        <v>2254207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271331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5517834</v>
      </c>
      <c r="D9" s="61">
        <f>IF((C9-C6&lt;0), "0",C9-C6)</f>
        <v>5016</v>
      </c>
      <c r="E9" s="62">
        <v>5470804</v>
      </c>
      <c r="F9" s="61">
        <f>IF((E9-E6&lt;0), "0",E9-E6)</f>
        <v>4997</v>
      </c>
      <c r="G9" s="63">
        <v>5169153</v>
      </c>
      <c r="H9" s="61">
        <f>IF((G9-G6&lt;0), "0",G9-G6)</f>
        <v>4722</v>
      </c>
      <c r="I9" s="60">
        <f>H9+F9+D9</f>
        <v>14735</v>
      </c>
      <c r="J9" s="64">
        <v>0.99</v>
      </c>
      <c r="K9" s="65">
        <f>I9*0.251</f>
        <v>3698.4850000000001</v>
      </c>
      <c r="L9" s="66"/>
      <c r="M9" s="60">
        <v>145333</v>
      </c>
      <c r="N9" s="61">
        <f>IF((M9-M6&lt;0), "0",M9-M6)</f>
        <v>135</v>
      </c>
      <c r="O9" s="60">
        <v>2254983</v>
      </c>
      <c r="P9" s="61">
        <f>IF((O9-O6&lt;0), "0",O9-O6)</f>
        <v>776</v>
      </c>
      <c r="Q9" s="67">
        <f t="shared" ref="Q9:Q39" si="0">N9+P9</f>
        <v>911</v>
      </c>
      <c r="R9" s="68">
        <f>(P9+N9*1.2285)*0.056*10.127</f>
        <v>534.13301941999998</v>
      </c>
      <c r="S9" s="69"/>
      <c r="T9" s="70">
        <v>271618</v>
      </c>
      <c r="U9" s="61">
        <f>IF((T9-T6&lt;0), "0",T9-T6)</f>
        <v>287</v>
      </c>
      <c r="V9" s="71">
        <f>U9*(1.315+1.54)</f>
        <v>819.38499999999999</v>
      </c>
      <c r="W9" s="72"/>
      <c r="X9" s="73">
        <f t="shared" ref="X9:X39" si="1">K9+R9+V9</f>
        <v>5052.0030194200008</v>
      </c>
      <c r="Y9" s="74">
        <v>95</v>
      </c>
      <c r="Z9" s="75">
        <f>X9/Y9</f>
        <v>53.178979151789484</v>
      </c>
    </row>
    <row r="10" spans="1:27" x14ac:dyDescent="0.25">
      <c r="A10" s="10" t="s">
        <v>119</v>
      </c>
      <c r="B10" s="59">
        <f>B9+1</f>
        <v>2</v>
      </c>
      <c r="C10" s="76">
        <v>5522712</v>
      </c>
      <c r="D10" s="61">
        <f t="shared" ref="D10:D39" si="2">IF((C10-C9&lt;0), "0",C10-C9)</f>
        <v>4878</v>
      </c>
      <c r="E10" s="77">
        <v>5475675</v>
      </c>
      <c r="F10" s="61">
        <f>IF((E10-E9&lt;0), "0",E10-E9)</f>
        <v>4871</v>
      </c>
      <c r="G10" s="77">
        <v>5173710</v>
      </c>
      <c r="H10" s="61">
        <f t="shared" ref="H10:H39" si="3">IF((G10-G9&lt;0), "0",G10-G9)</f>
        <v>4557</v>
      </c>
      <c r="I10" s="60">
        <f t="shared" ref="I10:I39" si="4">H10+F10+D10</f>
        <v>14306</v>
      </c>
      <c r="J10" s="64">
        <v>0.97</v>
      </c>
      <c r="K10" s="65">
        <f t="shared" ref="K10:K39" si="5">I10*0.251</f>
        <v>3590.806</v>
      </c>
      <c r="L10" s="66"/>
      <c r="M10" s="77">
        <v>145481</v>
      </c>
      <c r="N10" s="61">
        <f>IF((M10-M9&lt;0), "0",M10-M9)</f>
        <v>148</v>
      </c>
      <c r="O10" s="77">
        <v>2255881</v>
      </c>
      <c r="P10" s="61">
        <f>IF((O10-O9&lt;0), "0",O10-O9)</f>
        <v>898</v>
      </c>
      <c r="Q10" s="67">
        <f t="shared" si="0"/>
        <v>1046</v>
      </c>
      <c r="R10" s="68">
        <f t="shared" ref="R10:R39" si="6">(P10+N10*1.2285)*0.056*10.127</f>
        <v>612.37774561600008</v>
      </c>
      <c r="S10" s="69"/>
      <c r="T10" s="78">
        <v>271979</v>
      </c>
      <c r="U10" s="61">
        <f>IF((T10-T9&lt;0), "0",T10-T9)</f>
        <v>361</v>
      </c>
      <c r="V10" s="71">
        <f t="shared" ref="V10:V39" si="7">U10*(1.315+1.54)</f>
        <v>1030.655</v>
      </c>
      <c r="W10" s="72"/>
      <c r="X10" s="79">
        <f t="shared" si="1"/>
        <v>5233.8387456159999</v>
      </c>
      <c r="Y10" s="80">
        <v>94</v>
      </c>
      <c r="Z10" s="81">
        <f t="shared" ref="Z10:Z39" si="8">X10/Y10</f>
        <v>55.679135591659573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5527510</v>
      </c>
      <c r="D11" s="61">
        <f t="shared" si="2"/>
        <v>4798</v>
      </c>
      <c r="E11" s="76">
        <v>5480463</v>
      </c>
      <c r="F11" s="61">
        <f t="shared" ref="F11:F39" si="10">IF((E11-E10&lt;0), "0",E11-E10)</f>
        <v>4788</v>
      </c>
      <c r="G11" s="77">
        <v>5178224</v>
      </c>
      <c r="H11" s="61">
        <f t="shared" si="3"/>
        <v>4514</v>
      </c>
      <c r="I11" s="60">
        <f t="shared" si="4"/>
        <v>14100</v>
      </c>
      <c r="J11" s="64">
        <v>0.97</v>
      </c>
      <c r="K11" s="65">
        <f t="shared" si="5"/>
        <v>3539.1</v>
      </c>
      <c r="L11" s="66"/>
      <c r="M11" s="77">
        <v>145619</v>
      </c>
      <c r="N11" s="61">
        <f t="shared" ref="N11:N39" si="11">IF((M11-M10&lt;0), "0",M11-M10)</f>
        <v>138</v>
      </c>
      <c r="O11" s="77">
        <v>2256662</v>
      </c>
      <c r="P11" s="61">
        <f t="shared" ref="P11:P39" si="12">IF((O11-O10&lt;0), "0",O11-O10)</f>
        <v>781</v>
      </c>
      <c r="Q11" s="67">
        <f t="shared" si="0"/>
        <v>919</v>
      </c>
      <c r="R11" s="68">
        <f t="shared" si="6"/>
        <v>539.05867069600004</v>
      </c>
      <c r="S11" s="69"/>
      <c r="T11" s="82">
        <v>272349</v>
      </c>
      <c r="U11" s="61">
        <f t="shared" ref="U11:U39" si="13">IF((T11-T10&lt;0), "0",T11-T10)</f>
        <v>370</v>
      </c>
      <c r="V11" s="71">
        <f t="shared" si="7"/>
        <v>1056.3499999999999</v>
      </c>
      <c r="W11" s="72"/>
      <c r="X11" s="79">
        <f t="shared" si="1"/>
        <v>5134.5086706959992</v>
      </c>
      <c r="Y11" s="80">
        <v>107</v>
      </c>
      <c r="Z11" s="81">
        <f t="shared" si="8"/>
        <v>47.986062342953261</v>
      </c>
    </row>
    <row r="12" spans="1:27" x14ac:dyDescent="0.25">
      <c r="A12" s="10" t="s">
        <v>121</v>
      </c>
      <c r="B12" s="59">
        <f t="shared" si="9"/>
        <v>4</v>
      </c>
      <c r="C12" s="76">
        <v>5532221</v>
      </c>
      <c r="D12" s="61">
        <f t="shared" si="2"/>
        <v>4711</v>
      </c>
      <c r="E12" s="76">
        <v>5485171</v>
      </c>
      <c r="F12" s="61">
        <f t="shared" si="10"/>
        <v>4708</v>
      </c>
      <c r="G12" s="77">
        <v>5182441</v>
      </c>
      <c r="H12" s="61">
        <f t="shared" si="3"/>
        <v>4217</v>
      </c>
      <c r="I12" s="60">
        <f t="shared" si="4"/>
        <v>13636</v>
      </c>
      <c r="J12" s="64">
        <v>0.96</v>
      </c>
      <c r="K12" s="65">
        <f t="shared" si="5"/>
        <v>3422.636</v>
      </c>
      <c r="L12" s="66"/>
      <c r="M12" s="77">
        <v>145763</v>
      </c>
      <c r="N12" s="61">
        <f t="shared" si="11"/>
        <v>144</v>
      </c>
      <c r="O12" s="77">
        <v>2257474</v>
      </c>
      <c r="P12" s="61">
        <f t="shared" si="12"/>
        <v>812</v>
      </c>
      <c r="Q12" s="67">
        <f t="shared" si="0"/>
        <v>956</v>
      </c>
      <c r="R12" s="68">
        <f t="shared" si="6"/>
        <v>560.81932524800004</v>
      </c>
      <c r="S12" s="69"/>
      <c r="T12" s="78">
        <v>272761</v>
      </c>
      <c r="U12" s="61">
        <f t="shared" si="13"/>
        <v>412</v>
      </c>
      <c r="V12" s="71">
        <f t="shared" si="7"/>
        <v>1176.26</v>
      </c>
      <c r="W12" s="72"/>
      <c r="X12" s="79">
        <f t="shared" si="1"/>
        <v>5159.7153252480002</v>
      </c>
      <c r="Y12" s="80">
        <v>108</v>
      </c>
      <c r="Z12" s="81">
        <f t="shared" si="8"/>
        <v>47.775141900444446</v>
      </c>
    </row>
    <row r="13" spans="1:27" x14ac:dyDescent="0.25">
      <c r="A13" s="10" t="s">
        <v>96</v>
      </c>
      <c r="B13" s="59">
        <f t="shared" si="9"/>
        <v>5</v>
      </c>
      <c r="C13" s="63">
        <v>5536702</v>
      </c>
      <c r="D13" s="61">
        <f t="shared" si="2"/>
        <v>4481</v>
      </c>
      <c r="E13" s="76">
        <v>5489662</v>
      </c>
      <c r="F13" s="61">
        <f t="shared" si="10"/>
        <v>4491</v>
      </c>
      <c r="G13" s="63">
        <v>5186829</v>
      </c>
      <c r="H13" s="61">
        <f t="shared" si="3"/>
        <v>4388</v>
      </c>
      <c r="I13" s="60">
        <f t="shared" si="4"/>
        <v>13360</v>
      </c>
      <c r="J13" s="64">
        <v>0.98</v>
      </c>
      <c r="K13" s="65">
        <f t="shared" si="5"/>
        <v>3353.36</v>
      </c>
      <c r="L13" s="66"/>
      <c r="M13" s="77">
        <v>145903</v>
      </c>
      <c r="N13" s="61">
        <f t="shared" si="11"/>
        <v>140</v>
      </c>
      <c r="O13" s="76">
        <v>2258296</v>
      </c>
      <c r="P13" s="61">
        <f t="shared" si="12"/>
        <v>822</v>
      </c>
      <c r="Q13" s="67">
        <f t="shared" si="0"/>
        <v>962</v>
      </c>
      <c r="R13" s="68">
        <f t="shared" si="6"/>
        <v>563.70365688000004</v>
      </c>
      <c r="S13" s="69"/>
      <c r="T13" s="83">
        <v>273176</v>
      </c>
      <c r="U13" s="61">
        <f t="shared" si="13"/>
        <v>415</v>
      </c>
      <c r="V13" s="71">
        <f t="shared" si="7"/>
        <v>1184.825</v>
      </c>
      <c r="W13" s="72"/>
      <c r="X13" s="79">
        <f t="shared" si="1"/>
        <v>5101.8886568799999</v>
      </c>
      <c r="Y13" s="80">
        <v>87</v>
      </c>
      <c r="Z13" s="81">
        <f t="shared" si="8"/>
        <v>58.642398354942529</v>
      </c>
    </row>
    <row r="14" spans="1:27" x14ac:dyDescent="0.25">
      <c r="A14" s="10" t="s">
        <v>116</v>
      </c>
      <c r="B14" s="59">
        <f t="shared" si="9"/>
        <v>6</v>
      </c>
      <c r="C14" s="76">
        <v>5541124</v>
      </c>
      <c r="D14" s="61">
        <f t="shared" si="2"/>
        <v>4422</v>
      </c>
      <c r="E14" s="76">
        <v>5494060</v>
      </c>
      <c r="F14" s="61">
        <f t="shared" si="10"/>
        <v>4398</v>
      </c>
      <c r="G14" s="63">
        <v>5190945</v>
      </c>
      <c r="H14" s="61">
        <f t="shared" si="3"/>
        <v>4116</v>
      </c>
      <c r="I14" s="60">
        <f t="shared" si="4"/>
        <v>12936</v>
      </c>
      <c r="J14" s="64">
        <v>0.98</v>
      </c>
      <c r="K14" s="65">
        <f t="shared" si="5"/>
        <v>3246.9360000000001</v>
      </c>
      <c r="L14" s="66"/>
      <c r="M14" s="77">
        <v>145986</v>
      </c>
      <c r="N14" s="61">
        <f t="shared" si="11"/>
        <v>83</v>
      </c>
      <c r="O14" s="76">
        <v>2259087</v>
      </c>
      <c r="P14" s="61">
        <f t="shared" si="12"/>
        <v>791</v>
      </c>
      <c r="Q14" s="67">
        <f t="shared" si="0"/>
        <v>874</v>
      </c>
      <c r="R14" s="68">
        <f t="shared" si="6"/>
        <v>506.41145063600004</v>
      </c>
      <c r="S14" s="69"/>
      <c r="T14" s="83">
        <v>273612</v>
      </c>
      <c r="U14" s="61">
        <f t="shared" si="13"/>
        <v>436</v>
      </c>
      <c r="V14" s="71">
        <f t="shared" si="7"/>
        <v>1244.78</v>
      </c>
      <c r="W14" s="72"/>
      <c r="X14" s="79">
        <f t="shared" si="1"/>
        <v>4998.1274506360005</v>
      </c>
      <c r="Y14" s="80">
        <v>61</v>
      </c>
      <c r="Z14" s="81">
        <f t="shared" si="8"/>
        <v>81.936515584196727</v>
      </c>
    </row>
    <row r="15" spans="1:27" x14ac:dyDescent="0.25">
      <c r="A15" s="10" t="s">
        <v>117</v>
      </c>
      <c r="B15" s="59">
        <f t="shared" si="9"/>
        <v>7</v>
      </c>
      <c r="C15" s="76">
        <v>5546045</v>
      </c>
      <c r="D15" s="61">
        <f t="shared" si="2"/>
        <v>4921</v>
      </c>
      <c r="E15" s="76">
        <v>5498942</v>
      </c>
      <c r="F15" s="61">
        <f t="shared" si="10"/>
        <v>4882</v>
      </c>
      <c r="G15" s="76">
        <v>5195543</v>
      </c>
      <c r="H15" s="61">
        <f t="shared" si="3"/>
        <v>4598</v>
      </c>
      <c r="I15" s="60">
        <f t="shared" si="4"/>
        <v>14401</v>
      </c>
      <c r="J15" s="64">
        <v>0.97</v>
      </c>
      <c r="K15" s="65">
        <f t="shared" si="5"/>
        <v>3614.6509999999998</v>
      </c>
      <c r="L15" s="66"/>
      <c r="M15" s="77">
        <v>146116</v>
      </c>
      <c r="N15" s="61">
        <f t="shared" si="11"/>
        <v>130</v>
      </c>
      <c r="O15" s="76">
        <v>2259891</v>
      </c>
      <c r="P15" s="61">
        <f t="shared" si="12"/>
        <v>804</v>
      </c>
      <c r="Q15" s="67">
        <f t="shared" si="0"/>
        <v>934</v>
      </c>
      <c r="R15" s="68">
        <f t="shared" si="6"/>
        <v>546.52866996</v>
      </c>
      <c r="S15" s="69"/>
      <c r="T15" s="83">
        <v>274033</v>
      </c>
      <c r="U15" s="61">
        <f t="shared" si="13"/>
        <v>421</v>
      </c>
      <c r="V15" s="71">
        <f t="shared" si="7"/>
        <v>1201.9549999999999</v>
      </c>
      <c r="W15" s="72"/>
      <c r="X15" s="79">
        <f t="shared" si="1"/>
        <v>5363.1346699599999</v>
      </c>
      <c r="Y15" s="80">
        <v>67</v>
      </c>
      <c r="Z15" s="81">
        <f t="shared" si="8"/>
        <v>80.046786118805969</v>
      </c>
    </row>
    <row r="16" spans="1:27" x14ac:dyDescent="0.25">
      <c r="A16" s="10" t="s">
        <v>118</v>
      </c>
      <c r="B16" s="59">
        <f t="shared" si="9"/>
        <v>8</v>
      </c>
      <c r="C16" s="76">
        <v>5550964</v>
      </c>
      <c r="D16" s="61">
        <f t="shared" si="2"/>
        <v>4919</v>
      </c>
      <c r="E16" s="76">
        <v>5503830</v>
      </c>
      <c r="F16" s="61">
        <f t="shared" si="10"/>
        <v>4888</v>
      </c>
      <c r="G16" s="76">
        <v>5200142</v>
      </c>
      <c r="H16" s="61">
        <f t="shared" si="3"/>
        <v>4599</v>
      </c>
      <c r="I16" s="60">
        <f t="shared" si="4"/>
        <v>14406</v>
      </c>
      <c r="J16" s="64">
        <v>0.97</v>
      </c>
      <c r="K16" s="65">
        <f t="shared" si="5"/>
        <v>3615.9059999999999</v>
      </c>
      <c r="L16" s="66"/>
      <c r="M16" s="77">
        <v>146246</v>
      </c>
      <c r="N16" s="61">
        <f t="shared" si="11"/>
        <v>130</v>
      </c>
      <c r="O16" s="76">
        <v>2260798</v>
      </c>
      <c r="P16" s="61">
        <f t="shared" si="12"/>
        <v>907</v>
      </c>
      <c r="Q16" s="67">
        <f t="shared" si="0"/>
        <v>1037</v>
      </c>
      <c r="R16" s="68">
        <f t="shared" si="6"/>
        <v>604.94120596000005</v>
      </c>
      <c r="S16" s="69"/>
      <c r="T16" s="83">
        <v>274432</v>
      </c>
      <c r="U16" s="61">
        <f t="shared" si="13"/>
        <v>399</v>
      </c>
      <c r="V16" s="71">
        <f t="shared" si="7"/>
        <v>1139.145</v>
      </c>
      <c r="W16" s="72"/>
      <c r="X16" s="79">
        <f t="shared" si="1"/>
        <v>5359.9922059599994</v>
      </c>
      <c r="Y16" s="80">
        <v>76</v>
      </c>
      <c r="Z16" s="81">
        <f t="shared" si="8"/>
        <v>70.526213236315783</v>
      </c>
    </row>
    <row r="17" spans="1:26" x14ac:dyDescent="0.25">
      <c r="A17" s="10" t="s">
        <v>119</v>
      </c>
      <c r="B17" s="59">
        <v>9</v>
      </c>
      <c r="C17" s="84">
        <v>5556102</v>
      </c>
      <c r="D17" s="61">
        <f t="shared" si="2"/>
        <v>5138</v>
      </c>
      <c r="E17" s="84">
        <v>5508909</v>
      </c>
      <c r="F17" s="61">
        <f t="shared" si="10"/>
        <v>5079</v>
      </c>
      <c r="G17" s="84">
        <v>5204956</v>
      </c>
      <c r="H17" s="61">
        <f t="shared" si="3"/>
        <v>4814</v>
      </c>
      <c r="I17" s="60">
        <f t="shared" si="4"/>
        <v>15031</v>
      </c>
      <c r="J17" s="64">
        <v>0.97</v>
      </c>
      <c r="K17" s="65">
        <f t="shared" si="5"/>
        <v>3772.7809999999999</v>
      </c>
      <c r="L17" s="66"/>
      <c r="M17" s="84">
        <v>146367</v>
      </c>
      <c r="N17" s="61">
        <f t="shared" si="11"/>
        <v>121</v>
      </c>
      <c r="O17" s="84">
        <v>2261746</v>
      </c>
      <c r="P17" s="61">
        <f t="shared" si="12"/>
        <v>948</v>
      </c>
      <c r="Q17" s="67">
        <f t="shared" si="0"/>
        <v>1069</v>
      </c>
      <c r="R17" s="68">
        <f t="shared" si="6"/>
        <v>621.92252413200004</v>
      </c>
      <c r="S17" s="69"/>
      <c r="T17" s="85">
        <v>274735</v>
      </c>
      <c r="U17" s="61">
        <f t="shared" si="13"/>
        <v>303</v>
      </c>
      <c r="V17" s="71">
        <f t="shared" si="7"/>
        <v>865.06499999999994</v>
      </c>
      <c r="W17" s="72"/>
      <c r="X17" s="79">
        <f t="shared" si="1"/>
        <v>5259.7685241319996</v>
      </c>
      <c r="Y17" s="80">
        <v>85</v>
      </c>
      <c r="Z17" s="81">
        <f t="shared" si="8"/>
        <v>61.87962969567058</v>
      </c>
    </row>
    <row r="18" spans="1:26" x14ac:dyDescent="0.25">
      <c r="A18" s="10" t="s">
        <v>120</v>
      </c>
      <c r="B18" s="86">
        <f t="shared" si="9"/>
        <v>10</v>
      </c>
      <c r="C18" s="84">
        <v>5560980</v>
      </c>
      <c r="D18" s="61">
        <f t="shared" si="2"/>
        <v>4878</v>
      </c>
      <c r="E18" s="76">
        <v>5513744</v>
      </c>
      <c r="F18" s="61">
        <f t="shared" si="10"/>
        <v>4835</v>
      </c>
      <c r="G18" s="76">
        <v>5209523</v>
      </c>
      <c r="H18" s="61">
        <f t="shared" si="3"/>
        <v>4567</v>
      </c>
      <c r="I18" s="60">
        <f t="shared" si="4"/>
        <v>14280</v>
      </c>
      <c r="J18" s="64">
        <v>0.97</v>
      </c>
      <c r="K18" s="65">
        <f t="shared" si="5"/>
        <v>3584.28</v>
      </c>
      <c r="L18" s="87"/>
      <c r="M18" s="77">
        <v>146514</v>
      </c>
      <c r="N18" s="61">
        <f t="shared" si="11"/>
        <v>147</v>
      </c>
      <c r="O18" s="76">
        <v>2262533</v>
      </c>
      <c r="P18" s="61">
        <f t="shared" si="12"/>
        <v>787</v>
      </c>
      <c r="Q18" s="67">
        <f t="shared" si="0"/>
        <v>934</v>
      </c>
      <c r="R18" s="68">
        <f t="shared" si="6"/>
        <v>548.73161652400006</v>
      </c>
      <c r="S18" s="88"/>
      <c r="T18" s="83">
        <v>275061</v>
      </c>
      <c r="U18" s="61">
        <f t="shared" si="13"/>
        <v>326</v>
      </c>
      <c r="V18" s="71">
        <f t="shared" si="7"/>
        <v>930.73</v>
      </c>
      <c r="W18" s="72"/>
      <c r="X18" s="79">
        <f t="shared" si="1"/>
        <v>5063.7416165240011</v>
      </c>
      <c r="Y18" s="80">
        <v>107</v>
      </c>
      <c r="Z18" s="89">
        <f t="shared" si="8"/>
        <v>47.324688004897205</v>
      </c>
    </row>
    <row r="19" spans="1:26" x14ac:dyDescent="0.25">
      <c r="A19" s="10" t="s">
        <v>121</v>
      </c>
      <c r="B19" s="90">
        <f t="shared" si="9"/>
        <v>11</v>
      </c>
      <c r="C19" s="76">
        <v>5565566</v>
      </c>
      <c r="D19" s="61">
        <f t="shared" si="2"/>
        <v>4586</v>
      </c>
      <c r="E19" s="76">
        <v>5518300</v>
      </c>
      <c r="F19" s="61">
        <f t="shared" si="10"/>
        <v>4556</v>
      </c>
      <c r="G19" s="76">
        <v>5213831</v>
      </c>
      <c r="H19" s="61">
        <f t="shared" si="3"/>
        <v>4308</v>
      </c>
      <c r="I19" s="60">
        <f t="shared" si="4"/>
        <v>13450</v>
      </c>
      <c r="J19" s="64">
        <v>0.97</v>
      </c>
      <c r="K19" s="65">
        <f t="shared" si="5"/>
        <v>3375.95</v>
      </c>
      <c r="L19" s="66"/>
      <c r="M19" s="77">
        <v>146681</v>
      </c>
      <c r="N19" s="61">
        <f t="shared" si="11"/>
        <v>167</v>
      </c>
      <c r="O19" s="91">
        <v>2263371</v>
      </c>
      <c r="P19" s="61">
        <f t="shared" si="12"/>
        <v>838</v>
      </c>
      <c r="Q19" s="67">
        <f t="shared" si="0"/>
        <v>1005</v>
      </c>
      <c r="R19" s="68">
        <f t="shared" si="6"/>
        <v>591.5882703640001</v>
      </c>
      <c r="S19" s="69"/>
      <c r="T19" s="92">
        <v>275472</v>
      </c>
      <c r="U19" s="61">
        <f t="shared" si="13"/>
        <v>411</v>
      </c>
      <c r="V19" s="71">
        <f t="shared" si="7"/>
        <v>1173.405</v>
      </c>
      <c r="W19" s="72"/>
      <c r="X19" s="79">
        <f t="shared" si="1"/>
        <v>5140.9432703639995</v>
      </c>
      <c r="Y19" s="80">
        <v>94</v>
      </c>
      <c r="Z19" s="75">
        <f t="shared" si="8"/>
        <v>54.690885854936163</v>
      </c>
    </row>
    <row r="20" spans="1:26" x14ac:dyDescent="0.25">
      <c r="A20" s="10" t="s">
        <v>96</v>
      </c>
      <c r="B20" s="59">
        <f t="shared" si="9"/>
        <v>12</v>
      </c>
      <c r="C20" s="76">
        <v>5570076</v>
      </c>
      <c r="D20" s="61">
        <f t="shared" si="2"/>
        <v>4510</v>
      </c>
      <c r="E20" s="76">
        <v>5522777</v>
      </c>
      <c r="F20" s="61">
        <f t="shared" si="10"/>
        <v>4477</v>
      </c>
      <c r="G20" s="76">
        <v>5218062</v>
      </c>
      <c r="H20" s="61">
        <f t="shared" si="3"/>
        <v>4231</v>
      </c>
      <c r="I20" s="60">
        <f t="shared" si="4"/>
        <v>13218</v>
      </c>
      <c r="J20" s="64">
        <v>0.98</v>
      </c>
      <c r="K20" s="65">
        <f t="shared" si="5"/>
        <v>3317.7179999999998</v>
      </c>
      <c r="L20" s="66"/>
      <c r="M20" s="77">
        <v>146815</v>
      </c>
      <c r="N20" s="61">
        <f t="shared" si="11"/>
        <v>134</v>
      </c>
      <c r="O20" s="76">
        <v>2264124</v>
      </c>
      <c r="P20" s="61">
        <f t="shared" si="12"/>
        <v>753</v>
      </c>
      <c r="Q20" s="67">
        <f t="shared" si="0"/>
        <v>887</v>
      </c>
      <c r="R20" s="68">
        <f t="shared" si="6"/>
        <v>520.39274632800004</v>
      </c>
      <c r="S20" s="69"/>
      <c r="T20" s="83">
        <v>275799</v>
      </c>
      <c r="U20" s="61">
        <f t="shared" si="13"/>
        <v>327</v>
      </c>
      <c r="V20" s="71">
        <f t="shared" si="7"/>
        <v>933.58500000000004</v>
      </c>
      <c r="W20" s="72"/>
      <c r="X20" s="79">
        <f t="shared" si="1"/>
        <v>4771.6957463279996</v>
      </c>
      <c r="Y20" s="80">
        <v>81</v>
      </c>
      <c r="Z20" s="81">
        <f t="shared" si="8"/>
        <v>58.909824028740736</v>
      </c>
    </row>
    <row r="21" spans="1:26" x14ac:dyDescent="0.25">
      <c r="A21" s="10" t="s">
        <v>116</v>
      </c>
      <c r="B21" s="59">
        <f t="shared" si="9"/>
        <v>13</v>
      </c>
      <c r="C21" s="84">
        <v>5574890</v>
      </c>
      <c r="D21" s="61">
        <f t="shared" si="2"/>
        <v>4814</v>
      </c>
      <c r="E21" s="76">
        <v>5527540</v>
      </c>
      <c r="F21" s="61">
        <f t="shared" si="10"/>
        <v>4763</v>
      </c>
      <c r="G21" s="76">
        <v>5222554</v>
      </c>
      <c r="H21" s="61">
        <f t="shared" si="3"/>
        <v>4492</v>
      </c>
      <c r="I21" s="60">
        <f t="shared" si="4"/>
        <v>14069</v>
      </c>
      <c r="J21" s="64">
        <v>0.97</v>
      </c>
      <c r="K21" s="65">
        <f t="shared" si="5"/>
        <v>3531.319</v>
      </c>
      <c r="L21" s="66"/>
      <c r="M21" s="77">
        <v>146926</v>
      </c>
      <c r="N21" s="61">
        <f t="shared" si="11"/>
        <v>111</v>
      </c>
      <c r="O21" s="76">
        <v>2264919</v>
      </c>
      <c r="P21" s="61">
        <f t="shared" si="12"/>
        <v>795</v>
      </c>
      <c r="Q21" s="67">
        <f t="shared" si="0"/>
        <v>906</v>
      </c>
      <c r="R21" s="68">
        <f t="shared" si="6"/>
        <v>528.18741721200001</v>
      </c>
      <c r="S21" s="69"/>
      <c r="T21" s="83">
        <v>276143</v>
      </c>
      <c r="U21" s="61">
        <f t="shared" si="13"/>
        <v>344</v>
      </c>
      <c r="V21" s="71">
        <f t="shared" si="7"/>
        <v>982.12</v>
      </c>
      <c r="W21" s="72"/>
      <c r="X21" s="79">
        <f t="shared" si="1"/>
        <v>5041.626417212</v>
      </c>
      <c r="Y21" s="80">
        <v>56</v>
      </c>
      <c r="Z21" s="81">
        <f t="shared" si="8"/>
        <v>90.029043164499996</v>
      </c>
    </row>
    <row r="22" spans="1:26" x14ac:dyDescent="0.25">
      <c r="A22" s="10" t="s">
        <v>117</v>
      </c>
      <c r="B22" s="59">
        <f t="shared" si="9"/>
        <v>14</v>
      </c>
      <c r="C22" s="84">
        <v>5579301</v>
      </c>
      <c r="D22" s="61">
        <f t="shared" si="2"/>
        <v>4411</v>
      </c>
      <c r="E22" s="76">
        <v>5532004</v>
      </c>
      <c r="F22" s="61">
        <f t="shared" si="10"/>
        <v>4464</v>
      </c>
      <c r="G22" s="76">
        <v>5227144</v>
      </c>
      <c r="H22" s="61">
        <f t="shared" si="3"/>
        <v>4590</v>
      </c>
      <c r="I22" s="60">
        <f t="shared" si="4"/>
        <v>13465</v>
      </c>
      <c r="J22" s="64">
        <v>0.97</v>
      </c>
      <c r="K22" s="65">
        <f t="shared" si="5"/>
        <v>3379.7150000000001</v>
      </c>
      <c r="L22" s="66"/>
      <c r="M22" s="77">
        <v>147041</v>
      </c>
      <c r="N22" s="61">
        <f t="shared" si="11"/>
        <v>115</v>
      </c>
      <c r="O22" s="76">
        <v>2265614</v>
      </c>
      <c r="P22" s="61">
        <f t="shared" si="12"/>
        <v>695</v>
      </c>
      <c r="Q22" s="67">
        <f t="shared" si="0"/>
        <v>810</v>
      </c>
      <c r="R22" s="68">
        <f t="shared" si="6"/>
        <v>474.26300558000008</v>
      </c>
      <c r="S22" s="69"/>
      <c r="T22" s="83">
        <v>276541</v>
      </c>
      <c r="U22" s="61">
        <f t="shared" si="13"/>
        <v>398</v>
      </c>
      <c r="V22" s="71">
        <f t="shared" si="7"/>
        <v>1136.29</v>
      </c>
      <c r="W22" s="72"/>
      <c r="X22" s="79">
        <f t="shared" si="1"/>
        <v>4990.2680055800001</v>
      </c>
      <c r="Y22" s="80">
        <v>51</v>
      </c>
      <c r="Z22" s="81">
        <f t="shared" si="8"/>
        <v>97.848392266274516</v>
      </c>
    </row>
    <row r="23" spans="1:26" x14ac:dyDescent="0.25">
      <c r="A23" s="10" t="s">
        <v>118</v>
      </c>
      <c r="B23" s="59">
        <f t="shared" si="9"/>
        <v>15</v>
      </c>
      <c r="C23" s="76">
        <v>5585004</v>
      </c>
      <c r="D23" s="61">
        <f t="shared" si="2"/>
        <v>5703</v>
      </c>
      <c r="E23" s="76">
        <v>5536840</v>
      </c>
      <c r="F23" s="61">
        <f t="shared" si="10"/>
        <v>4836</v>
      </c>
      <c r="G23" s="76">
        <v>5232014</v>
      </c>
      <c r="H23" s="61">
        <f t="shared" si="3"/>
        <v>4870</v>
      </c>
      <c r="I23" s="60">
        <f t="shared" si="4"/>
        <v>15409</v>
      </c>
      <c r="J23" s="64">
        <v>0.98</v>
      </c>
      <c r="K23" s="65">
        <f t="shared" si="5"/>
        <v>3867.6590000000001</v>
      </c>
      <c r="L23" s="66"/>
      <c r="M23" s="77">
        <v>147151</v>
      </c>
      <c r="N23" s="61">
        <f t="shared" si="11"/>
        <v>110</v>
      </c>
      <c r="O23" s="76">
        <v>2266301</v>
      </c>
      <c r="P23" s="61">
        <f t="shared" si="12"/>
        <v>687</v>
      </c>
      <c r="Q23" s="67">
        <f t="shared" si="0"/>
        <v>797</v>
      </c>
      <c r="R23" s="68">
        <f t="shared" si="6"/>
        <v>466.24262412000007</v>
      </c>
      <c r="S23" s="69"/>
      <c r="T23" s="83">
        <v>276911</v>
      </c>
      <c r="U23" s="61">
        <f t="shared" si="13"/>
        <v>370</v>
      </c>
      <c r="V23" s="71">
        <f t="shared" si="7"/>
        <v>1056.3499999999999</v>
      </c>
      <c r="W23" s="72"/>
      <c r="X23" s="79">
        <f t="shared" si="1"/>
        <v>5390.251624120001</v>
      </c>
      <c r="Y23" s="80">
        <v>52</v>
      </c>
      <c r="Z23" s="81">
        <f t="shared" si="8"/>
        <v>103.65868507923079</v>
      </c>
    </row>
    <row r="24" spans="1:26" x14ac:dyDescent="0.25">
      <c r="A24" s="10" t="s">
        <v>119</v>
      </c>
      <c r="B24" s="59">
        <f t="shared" si="9"/>
        <v>16</v>
      </c>
      <c r="C24" s="76">
        <v>5588373</v>
      </c>
      <c r="D24" s="61">
        <f t="shared" si="2"/>
        <v>3369</v>
      </c>
      <c r="E24" s="76">
        <v>5540926</v>
      </c>
      <c r="F24" s="61">
        <f t="shared" si="10"/>
        <v>4086</v>
      </c>
      <c r="G24" s="76">
        <v>5235207</v>
      </c>
      <c r="H24" s="61">
        <f t="shared" si="3"/>
        <v>3193</v>
      </c>
      <c r="I24" s="60">
        <f t="shared" si="4"/>
        <v>10648</v>
      </c>
      <c r="J24" s="64">
        <v>0.97</v>
      </c>
      <c r="K24" s="65">
        <f t="shared" si="5"/>
        <v>2672.6480000000001</v>
      </c>
      <c r="L24" s="66"/>
      <c r="M24" s="77">
        <v>147278</v>
      </c>
      <c r="N24" s="61">
        <f t="shared" si="11"/>
        <v>127</v>
      </c>
      <c r="O24" s="76">
        <v>2267308</v>
      </c>
      <c r="P24" s="61">
        <f t="shared" si="12"/>
        <v>1007</v>
      </c>
      <c r="Q24" s="67">
        <f t="shared" si="0"/>
        <v>1134</v>
      </c>
      <c r="R24" s="68">
        <f t="shared" si="6"/>
        <v>659.56231468400006</v>
      </c>
      <c r="S24" s="69"/>
      <c r="T24" s="83">
        <v>277351</v>
      </c>
      <c r="U24" s="61">
        <f t="shared" si="13"/>
        <v>440</v>
      </c>
      <c r="V24" s="71">
        <f t="shared" si="7"/>
        <v>1256.2</v>
      </c>
      <c r="W24" s="72"/>
      <c r="X24" s="79">
        <f t="shared" si="1"/>
        <v>4588.4103146839998</v>
      </c>
      <c r="Y24" s="80">
        <v>61</v>
      </c>
      <c r="Z24" s="81">
        <f t="shared" si="8"/>
        <v>75.219841224327865</v>
      </c>
    </row>
    <row r="25" spans="1:26" x14ac:dyDescent="0.25">
      <c r="A25" s="10" t="s">
        <v>120</v>
      </c>
      <c r="B25" s="59">
        <f t="shared" si="9"/>
        <v>17</v>
      </c>
      <c r="C25" s="76">
        <v>5592770</v>
      </c>
      <c r="D25" s="61">
        <f t="shared" si="2"/>
        <v>4397</v>
      </c>
      <c r="E25" s="76">
        <v>5545308</v>
      </c>
      <c r="F25" s="61">
        <f t="shared" si="10"/>
        <v>4382</v>
      </c>
      <c r="G25" s="76">
        <v>5239347</v>
      </c>
      <c r="H25" s="61">
        <f t="shared" si="3"/>
        <v>4140</v>
      </c>
      <c r="I25" s="60">
        <f t="shared" si="4"/>
        <v>12919</v>
      </c>
      <c r="J25" s="64">
        <v>0.97</v>
      </c>
      <c r="K25" s="65">
        <f t="shared" si="5"/>
        <v>3242.6689999999999</v>
      </c>
      <c r="L25" s="66"/>
      <c r="M25" s="77">
        <v>147412</v>
      </c>
      <c r="N25" s="61">
        <f t="shared" si="11"/>
        <v>134</v>
      </c>
      <c r="O25" s="76">
        <v>2268130</v>
      </c>
      <c r="P25" s="61">
        <f t="shared" si="12"/>
        <v>822</v>
      </c>
      <c r="Q25" s="67">
        <f t="shared" si="0"/>
        <v>956</v>
      </c>
      <c r="R25" s="68">
        <f t="shared" si="6"/>
        <v>559.52347432800002</v>
      </c>
      <c r="S25" s="69"/>
      <c r="T25" s="83">
        <v>277789</v>
      </c>
      <c r="U25" s="61">
        <f t="shared" si="13"/>
        <v>438</v>
      </c>
      <c r="V25" s="71">
        <f t="shared" si="7"/>
        <v>1250.49</v>
      </c>
      <c r="W25" s="72"/>
      <c r="X25" s="79">
        <f t="shared" si="1"/>
        <v>5052.6824743279994</v>
      </c>
      <c r="Y25" s="80">
        <v>71</v>
      </c>
      <c r="Z25" s="81">
        <f t="shared" si="8"/>
        <v>71.164541891943657</v>
      </c>
    </row>
    <row r="26" spans="1:26" x14ac:dyDescent="0.25">
      <c r="A26" s="10" t="s">
        <v>121</v>
      </c>
      <c r="B26" s="59">
        <f t="shared" si="9"/>
        <v>18</v>
      </c>
      <c r="C26" s="76"/>
      <c r="D26" s="61" t="str">
        <f t="shared" si="2"/>
        <v>0</v>
      </c>
      <c r="E26" s="76"/>
      <c r="F26" s="61" t="str">
        <f t="shared" si="10"/>
        <v>0</v>
      </c>
      <c r="G26" s="76"/>
      <c r="H26" s="61" t="str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 t="str">
        <f t="shared" si="11"/>
        <v>0</v>
      </c>
      <c r="O26" s="76"/>
      <c r="P26" s="61" t="str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 t="str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96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116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117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118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119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133"/>
      <c r="N36" s="61">
        <f t="shared" si="11"/>
        <v>0</v>
      </c>
      <c r="O36" s="77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6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133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6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133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6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79952</v>
      </c>
      <c r="D40" s="99"/>
      <c r="E40" s="149">
        <f>SUMIF(F9:F36,"&gt;0")</f>
        <v>79501</v>
      </c>
      <c r="F40" s="150"/>
      <c r="G40" s="151">
        <f>SUMIF(H9:H36,"&gt;0")</f>
        <v>74916</v>
      </c>
      <c r="H40" s="150"/>
      <c r="I40" s="100">
        <f>SUMIF(I9:I36,"&gt;0")</f>
        <v>234369</v>
      </c>
      <c r="J40" s="101"/>
      <c r="K40" s="102">
        <f>SUMIF(K9:K36,"&gt;0")</f>
        <v>58826.618999999999</v>
      </c>
      <c r="L40" s="100"/>
      <c r="M40" s="151">
        <f>SUMIF(N9:N36,"&gt;0")</f>
        <v>2214</v>
      </c>
      <c r="N40" s="150"/>
      <c r="O40" s="151">
        <f>SUMIF(P9:P36,"&gt;0")</f>
        <v>13923</v>
      </c>
      <c r="P40" s="150"/>
      <c r="Q40" s="101">
        <f>SUMIF(Q9:Q36,"&gt;0")</f>
        <v>16137</v>
      </c>
      <c r="R40" s="102">
        <f>SUMIF(R9:R36,"&gt;0")</f>
        <v>9438.3877376880009</v>
      </c>
      <c r="S40" s="103"/>
      <c r="T40" s="152">
        <f>SUMIF(U9:U36,"&gt;0")</f>
        <v>6458</v>
      </c>
      <c r="U40" s="152"/>
      <c r="V40" s="104">
        <f>SUMIF(V9:V36,"&gt;0")</f>
        <v>18437.59</v>
      </c>
      <c r="W40" s="105"/>
      <c r="X40" s="106">
        <f>SUMIF(X9:X36,"&gt;0")</f>
        <v>86702.596737688014</v>
      </c>
      <c r="Y40" s="107">
        <f>SUM(Y9:Y38)</f>
        <v>1353</v>
      </c>
      <c r="Z40" s="108">
        <f>(SUMIF(Z9:Z36,"&gt;0")/31)</f>
        <v>37.306347209407399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59" zoomScaleNormal="59" workbookViewId="0">
      <selection activeCell="X52" sqref="X52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76005</v>
      </c>
      <c r="C8" s="122">
        <v>104487</v>
      </c>
      <c r="D8" s="122">
        <v>19292</v>
      </c>
      <c r="E8" s="122">
        <v>21138</v>
      </c>
      <c r="F8" s="122">
        <v>268147</v>
      </c>
      <c r="G8" s="122">
        <v>4829</v>
      </c>
      <c r="H8" s="122">
        <v>9337</v>
      </c>
      <c r="I8" s="122">
        <v>528297</v>
      </c>
      <c r="J8" s="122">
        <v>89775</v>
      </c>
      <c r="K8" s="122">
        <v>8060</v>
      </c>
      <c r="L8" s="122">
        <v>39016</v>
      </c>
      <c r="M8" s="122">
        <v>60702</v>
      </c>
      <c r="N8" s="122">
        <v>54573</v>
      </c>
      <c r="O8" s="122">
        <v>263725</v>
      </c>
      <c r="P8" s="122">
        <v>544634</v>
      </c>
      <c r="Q8" s="122">
        <v>4884</v>
      </c>
      <c r="R8" s="122">
        <v>26218</v>
      </c>
      <c r="S8" s="122">
        <v>25503</v>
      </c>
      <c r="T8" s="122">
        <v>368647</v>
      </c>
      <c r="U8" s="122">
        <v>525294</v>
      </c>
      <c r="V8" s="122">
        <v>57989</v>
      </c>
      <c r="W8" s="122">
        <v>7387</v>
      </c>
      <c r="X8" s="122">
        <v>21556</v>
      </c>
      <c r="Y8" s="122">
        <v>121858</v>
      </c>
      <c r="Z8" s="122">
        <v>1281</v>
      </c>
      <c r="AA8" s="122">
        <v>231786</v>
      </c>
      <c r="AB8" s="122">
        <v>11310</v>
      </c>
      <c r="AC8" s="122">
        <v>2701</v>
      </c>
      <c r="AD8" s="122">
        <v>24272</v>
      </c>
      <c r="AE8" s="122">
        <v>118692</v>
      </c>
      <c r="AF8" s="122">
        <v>303198</v>
      </c>
      <c r="AG8" s="122">
        <v>1492881</v>
      </c>
      <c r="AH8" s="122">
        <v>13656</v>
      </c>
      <c r="AI8" s="122">
        <v>493476</v>
      </c>
      <c r="AJ8" s="122">
        <v>890654</v>
      </c>
      <c r="AK8" s="122">
        <v>14122</v>
      </c>
      <c r="AL8" s="123">
        <v>47871</v>
      </c>
      <c r="AM8" s="122">
        <v>45801</v>
      </c>
      <c r="AN8" s="124">
        <v>824610</v>
      </c>
      <c r="AO8" s="124">
        <v>5710</v>
      </c>
      <c r="AP8" s="124">
        <v>0</v>
      </c>
      <c r="AQ8" s="122">
        <v>148302</v>
      </c>
      <c r="AR8" s="122">
        <v>295525</v>
      </c>
      <c r="AS8" s="122">
        <v>84144</v>
      </c>
      <c r="AT8" s="122">
        <v>846</v>
      </c>
      <c r="AU8" s="122">
        <v>157813</v>
      </c>
      <c r="AV8" s="122">
        <v>59998</v>
      </c>
      <c r="AW8" s="122">
        <v>50195</v>
      </c>
      <c r="AX8" s="122">
        <v>252018</v>
      </c>
      <c r="AY8" s="125">
        <v>676211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76088</v>
      </c>
      <c r="C9" s="112">
        <v>104630</v>
      </c>
      <c r="D9" s="112">
        <v>19304</v>
      </c>
      <c r="E9" s="112">
        <v>21154</v>
      </c>
      <c r="F9" s="112">
        <v>268313</v>
      </c>
      <c r="G9" s="112">
        <v>4830</v>
      </c>
      <c r="H9" s="112">
        <v>9362</v>
      </c>
      <c r="I9" s="112">
        <v>528682</v>
      </c>
      <c r="J9" s="112">
        <v>89804</v>
      </c>
      <c r="K9" s="112">
        <v>8061</v>
      </c>
      <c r="L9" s="112">
        <v>39045</v>
      </c>
      <c r="M9" s="112">
        <v>60733</v>
      </c>
      <c r="N9" s="112">
        <v>54610</v>
      </c>
      <c r="O9" s="112">
        <v>263922</v>
      </c>
      <c r="P9" s="112">
        <v>545225</v>
      </c>
      <c r="Q9" s="112">
        <v>4890</v>
      </c>
      <c r="R9" s="112">
        <v>26232</v>
      </c>
      <c r="S9" s="112">
        <v>25503</v>
      </c>
      <c r="T9" s="112">
        <v>368859</v>
      </c>
      <c r="U9" s="112">
        <v>525640</v>
      </c>
      <c r="V9" s="112">
        <v>58033</v>
      </c>
      <c r="W9" s="112">
        <v>7388</v>
      </c>
      <c r="X9" s="112">
        <v>21571</v>
      </c>
      <c r="Y9" s="112">
        <v>121935</v>
      </c>
      <c r="Z9" s="112">
        <v>1281</v>
      </c>
      <c r="AA9" s="112">
        <v>231924</v>
      </c>
      <c r="AB9" s="112">
        <v>11310</v>
      </c>
      <c r="AC9" s="112">
        <v>2702</v>
      </c>
      <c r="AD9" s="112">
        <v>24290</v>
      </c>
      <c r="AE9" s="112">
        <v>118784</v>
      </c>
      <c r="AF9" s="112">
        <v>303492</v>
      </c>
      <c r="AG9" s="112">
        <v>1494055</v>
      </c>
      <c r="AH9" s="112">
        <v>13666</v>
      </c>
      <c r="AI9" s="112">
        <v>493493</v>
      </c>
      <c r="AJ9" s="112">
        <v>891373</v>
      </c>
      <c r="AK9" s="112">
        <v>14135</v>
      </c>
      <c r="AL9" s="127">
        <v>47885</v>
      </c>
      <c r="AM9" s="112">
        <v>45885</v>
      </c>
      <c r="AN9" s="116">
        <v>825392</v>
      </c>
      <c r="AO9" s="116">
        <v>5710</v>
      </c>
      <c r="AP9" s="116">
        <v>0</v>
      </c>
      <c r="AQ9" s="112">
        <v>148426</v>
      </c>
      <c r="AR9" s="112">
        <v>295783</v>
      </c>
      <c r="AS9" s="112">
        <v>84224</v>
      </c>
      <c r="AT9" s="112">
        <v>846</v>
      </c>
      <c r="AU9" s="112">
        <v>157977</v>
      </c>
      <c r="AV9" s="112">
        <v>60042</v>
      </c>
      <c r="AW9" s="112">
        <v>50234</v>
      </c>
      <c r="AX9" s="112">
        <v>252199</v>
      </c>
      <c r="AY9" s="112">
        <v>676755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76175</v>
      </c>
      <c r="C10" s="112">
        <v>104794</v>
      </c>
      <c r="D10" s="112">
        <v>19323</v>
      </c>
      <c r="E10" s="112">
        <v>21162</v>
      </c>
      <c r="F10" s="112">
        <v>268485</v>
      </c>
      <c r="G10" s="112">
        <v>4832</v>
      </c>
      <c r="H10" s="112">
        <v>9392</v>
      </c>
      <c r="I10" s="112">
        <v>529049</v>
      </c>
      <c r="J10" s="112">
        <v>89840</v>
      </c>
      <c r="K10" s="112">
        <v>8061</v>
      </c>
      <c r="L10" s="112">
        <v>39076</v>
      </c>
      <c r="M10" s="112">
        <v>60757</v>
      </c>
      <c r="N10" s="112">
        <v>54647</v>
      </c>
      <c r="O10" s="112">
        <v>264124</v>
      </c>
      <c r="P10" s="112">
        <v>545932</v>
      </c>
      <c r="Q10" s="112">
        <v>4898</v>
      </c>
      <c r="R10" s="112">
        <v>26245</v>
      </c>
      <c r="S10" s="112">
        <v>25503</v>
      </c>
      <c r="T10" s="112">
        <v>369049</v>
      </c>
      <c r="U10" s="112">
        <v>525997</v>
      </c>
      <c r="V10" s="112">
        <v>58079</v>
      </c>
      <c r="W10" s="112">
        <v>7400</v>
      </c>
      <c r="X10" s="112">
        <v>21587</v>
      </c>
      <c r="Y10" s="112">
        <v>122015</v>
      </c>
      <c r="Z10" s="112">
        <v>1281</v>
      </c>
      <c r="AA10" s="112">
        <v>232064</v>
      </c>
      <c r="AB10" s="112">
        <v>11312</v>
      </c>
      <c r="AC10" s="112">
        <v>2704</v>
      </c>
      <c r="AD10" s="112">
        <v>24314</v>
      </c>
      <c r="AE10" s="112">
        <v>118880</v>
      </c>
      <c r="AF10" s="112">
        <v>303725</v>
      </c>
      <c r="AG10" s="112">
        <v>1495180</v>
      </c>
      <c r="AH10" s="112">
        <v>13677</v>
      </c>
      <c r="AI10" s="112">
        <v>493510</v>
      </c>
      <c r="AJ10" s="112">
        <v>892167</v>
      </c>
      <c r="AK10" s="112">
        <v>14147</v>
      </c>
      <c r="AL10" s="127">
        <v>47900</v>
      </c>
      <c r="AM10" s="112">
        <v>45966</v>
      </c>
      <c r="AN10" s="116">
        <v>825939</v>
      </c>
      <c r="AO10" s="116">
        <v>5710</v>
      </c>
      <c r="AP10" s="116">
        <v>0</v>
      </c>
      <c r="AQ10" s="112">
        <v>148562</v>
      </c>
      <c r="AR10" s="112">
        <v>296026</v>
      </c>
      <c r="AS10" s="112">
        <v>84299</v>
      </c>
      <c r="AT10" s="112">
        <v>847</v>
      </c>
      <c r="AU10" s="112">
        <v>158136</v>
      </c>
      <c r="AV10" s="112">
        <v>60087</v>
      </c>
      <c r="AW10" s="112">
        <v>50257</v>
      </c>
      <c r="AX10" s="112">
        <v>252324</v>
      </c>
      <c r="AY10" s="112">
        <v>677300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76265</v>
      </c>
      <c r="C11" s="112">
        <v>104959</v>
      </c>
      <c r="D11" s="112">
        <v>19335</v>
      </c>
      <c r="E11" s="112">
        <v>21179</v>
      </c>
      <c r="F11" s="112">
        <v>268670</v>
      </c>
      <c r="G11" s="112">
        <v>4835</v>
      </c>
      <c r="H11" s="112">
        <v>9428</v>
      </c>
      <c r="I11" s="112">
        <v>529439</v>
      </c>
      <c r="J11" s="112">
        <v>89879</v>
      </c>
      <c r="K11" s="112">
        <v>8062</v>
      </c>
      <c r="L11" s="112">
        <v>39096</v>
      </c>
      <c r="M11" s="112">
        <v>60774</v>
      </c>
      <c r="N11" s="112">
        <v>54683</v>
      </c>
      <c r="O11" s="112">
        <v>264333</v>
      </c>
      <c r="P11" s="112">
        <v>546513</v>
      </c>
      <c r="Q11" s="112">
        <v>4903</v>
      </c>
      <c r="R11" s="112">
        <v>26258</v>
      </c>
      <c r="S11" s="112">
        <v>25503</v>
      </c>
      <c r="T11" s="112">
        <v>369244</v>
      </c>
      <c r="U11" s="112">
        <v>526352</v>
      </c>
      <c r="V11" s="112">
        <v>58125</v>
      </c>
      <c r="W11" s="112">
        <v>7410</v>
      </c>
      <c r="X11" s="112">
        <v>21604</v>
      </c>
      <c r="Y11" s="112">
        <v>122091</v>
      </c>
      <c r="Z11" s="112">
        <v>1281</v>
      </c>
      <c r="AA11" s="112">
        <v>232204</v>
      </c>
      <c r="AB11" s="112">
        <v>11313</v>
      </c>
      <c r="AC11" s="112">
        <v>2706</v>
      </c>
      <c r="AD11" s="112">
        <v>24339</v>
      </c>
      <c r="AE11" s="112">
        <v>118971</v>
      </c>
      <c r="AF11" s="112">
        <v>303964</v>
      </c>
      <c r="AG11" s="112">
        <v>1496167</v>
      </c>
      <c r="AH11" s="112">
        <v>13689</v>
      </c>
      <c r="AI11" s="112">
        <v>493528</v>
      </c>
      <c r="AJ11" s="112">
        <v>892843</v>
      </c>
      <c r="AK11" s="112">
        <v>14162</v>
      </c>
      <c r="AL11" s="127">
        <v>47915</v>
      </c>
      <c r="AM11" s="112">
        <v>46053</v>
      </c>
      <c r="AN11" s="116">
        <v>826784</v>
      </c>
      <c r="AO11" s="116">
        <v>5710</v>
      </c>
      <c r="AP11" s="116">
        <v>0</v>
      </c>
      <c r="AQ11" s="112">
        <v>148686</v>
      </c>
      <c r="AR11" s="112">
        <v>296266</v>
      </c>
      <c r="AS11" s="112">
        <v>84364</v>
      </c>
      <c r="AT11" s="112">
        <v>848</v>
      </c>
      <c r="AU11" s="112">
        <v>158299</v>
      </c>
      <c r="AV11" s="112">
        <v>60132</v>
      </c>
      <c r="AW11" s="112">
        <v>50310</v>
      </c>
      <c r="AX11" s="112">
        <v>252429</v>
      </c>
      <c r="AY11" s="112">
        <v>677875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76351</v>
      </c>
      <c r="C12" s="112">
        <v>105137</v>
      </c>
      <c r="D12" s="112">
        <v>19346</v>
      </c>
      <c r="E12" s="112">
        <v>21181</v>
      </c>
      <c r="F12" s="112">
        <v>268847</v>
      </c>
      <c r="G12" s="112">
        <v>4838</v>
      </c>
      <c r="H12" s="112">
        <v>9459</v>
      </c>
      <c r="I12" s="112">
        <v>529827</v>
      </c>
      <c r="J12" s="112">
        <v>89921</v>
      </c>
      <c r="K12" s="112">
        <v>8063</v>
      </c>
      <c r="L12" s="112">
        <v>39126</v>
      </c>
      <c r="M12" s="112">
        <v>60792</v>
      </c>
      <c r="N12" s="112">
        <v>54714</v>
      </c>
      <c r="O12" s="112">
        <v>264537</v>
      </c>
      <c r="P12" s="112">
        <v>547759</v>
      </c>
      <c r="Q12" s="112">
        <v>4910</v>
      </c>
      <c r="R12" s="112">
        <v>26270</v>
      </c>
      <c r="S12" s="112">
        <v>25503</v>
      </c>
      <c r="T12" s="112">
        <v>369435</v>
      </c>
      <c r="U12" s="112">
        <v>526679</v>
      </c>
      <c r="V12" s="112">
        <v>58167</v>
      </c>
      <c r="W12" s="112">
        <v>7423</v>
      </c>
      <c r="X12" s="112">
        <v>21627</v>
      </c>
      <c r="Y12" s="112">
        <v>122169</v>
      </c>
      <c r="Z12" s="112">
        <v>1281</v>
      </c>
      <c r="AA12" s="112">
        <v>232339</v>
      </c>
      <c r="AB12" s="112">
        <v>11313</v>
      </c>
      <c r="AC12" s="112">
        <v>2707</v>
      </c>
      <c r="AD12" s="112">
        <v>24346</v>
      </c>
      <c r="AE12" s="112">
        <v>119062</v>
      </c>
      <c r="AF12" s="112">
        <v>304200</v>
      </c>
      <c r="AG12" s="112">
        <v>1497152</v>
      </c>
      <c r="AH12" s="112">
        <v>13698</v>
      </c>
      <c r="AI12" s="112">
        <v>493545</v>
      </c>
      <c r="AJ12" s="112">
        <v>893455</v>
      </c>
      <c r="AK12" s="112">
        <v>14172</v>
      </c>
      <c r="AL12" s="112">
        <v>47930</v>
      </c>
      <c r="AM12" s="112">
        <v>46151</v>
      </c>
      <c r="AN12" s="112">
        <v>827561</v>
      </c>
      <c r="AO12" s="112">
        <v>5710</v>
      </c>
      <c r="AP12" s="112">
        <v>0</v>
      </c>
      <c r="AQ12" s="112">
        <v>148814</v>
      </c>
      <c r="AR12" s="112">
        <v>296502</v>
      </c>
      <c r="AS12" s="112">
        <v>84419</v>
      </c>
      <c r="AT12" s="112">
        <v>848</v>
      </c>
      <c r="AU12" s="112">
        <v>158438</v>
      </c>
      <c r="AV12" s="112">
        <v>60185</v>
      </c>
      <c r="AW12" s="112">
        <v>50359</v>
      </c>
      <c r="AX12" s="112">
        <v>252557</v>
      </c>
      <c r="AY12" s="112">
        <v>678440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76435</v>
      </c>
      <c r="C13" s="112">
        <v>105312</v>
      </c>
      <c r="D13" s="112">
        <v>19356</v>
      </c>
      <c r="E13" s="112">
        <v>21194</v>
      </c>
      <c r="F13" s="112">
        <v>269023</v>
      </c>
      <c r="G13" s="112">
        <v>4840</v>
      </c>
      <c r="H13" s="112">
        <v>9491</v>
      </c>
      <c r="I13" s="112">
        <v>530208</v>
      </c>
      <c r="J13" s="112">
        <v>89972</v>
      </c>
      <c r="K13" s="112">
        <v>8063</v>
      </c>
      <c r="L13" s="112">
        <v>39157</v>
      </c>
      <c r="M13" s="112">
        <v>60812</v>
      </c>
      <c r="N13" s="112">
        <v>54750</v>
      </c>
      <c r="O13" s="112">
        <v>264740</v>
      </c>
      <c r="P13" s="112">
        <v>547786</v>
      </c>
      <c r="Q13" s="112">
        <v>4914</v>
      </c>
      <c r="R13" s="112">
        <v>26284</v>
      </c>
      <c r="S13" s="112">
        <v>25503</v>
      </c>
      <c r="T13" s="112">
        <v>369638</v>
      </c>
      <c r="U13" s="112">
        <v>527031</v>
      </c>
      <c r="V13" s="112">
        <v>58209</v>
      </c>
      <c r="W13" s="112">
        <v>7424</v>
      </c>
      <c r="X13" s="112">
        <v>21642</v>
      </c>
      <c r="Y13" s="112">
        <v>122244</v>
      </c>
      <c r="Z13" s="112">
        <v>1282</v>
      </c>
      <c r="AA13" s="112">
        <v>232480</v>
      </c>
      <c r="AB13" s="112">
        <v>11313</v>
      </c>
      <c r="AC13" s="112">
        <v>2709</v>
      </c>
      <c r="AD13" s="112">
        <v>24389</v>
      </c>
      <c r="AE13" s="112">
        <v>119161</v>
      </c>
      <c r="AF13" s="112">
        <v>304462</v>
      </c>
      <c r="AG13" s="112">
        <v>1498295</v>
      </c>
      <c r="AH13" s="112">
        <v>13706</v>
      </c>
      <c r="AI13" s="112">
        <v>493562</v>
      </c>
      <c r="AJ13" s="112">
        <v>894042</v>
      </c>
      <c r="AK13" s="112">
        <v>14184</v>
      </c>
      <c r="AL13" s="127">
        <v>47944</v>
      </c>
      <c r="AM13" s="112">
        <v>46257</v>
      </c>
      <c r="AN13" s="116">
        <v>828366</v>
      </c>
      <c r="AO13" s="116">
        <v>5710</v>
      </c>
      <c r="AP13" s="116">
        <v>0</v>
      </c>
      <c r="AQ13" s="112">
        <v>148936</v>
      </c>
      <c r="AR13" s="112">
        <v>296750</v>
      </c>
      <c r="AS13" s="112">
        <v>84492</v>
      </c>
      <c r="AT13" s="112">
        <v>849</v>
      </c>
      <c r="AU13" s="112">
        <v>158575</v>
      </c>
      <c r="AV13" s="112">
        <v>60235</v>
      </c>
      <c r="AW13" s="112">
        <v>50409</v>
      </c>
      <c r="AX13" s="112">
        <v>252732</v>
      </c>
      <c r="AY13" s="112">
        <v>678994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76517</v>
      </c>
      <c r="C14" s="112">
        <v>105447</v>
      </c>
      <c r="D14" s="112">
        <v>19370</v>
      </c>
      <c r="E14" s="112">
        <v>21215</v>
      </c>
      <c r="F14" s="112">
        <v>269197</v>
      </c>
      <c r="G14" s="112">
        <v>4843</v>
      </c>
      <c r="H14" s="112">
        <v>9521</v>
      </c>
      <c r="I14" s="112">
        <v>530573</v>
      </c>
      <c r="J14" s="112">
        <v>90012</v>
      </c>
      <c r="K14" s="112">
        <v>8064</v>
      </c>
      <c r="L14" s="112">
        <v>39187</v>
      </c>
      <c r="M14" s="112">
        <v>60835</v>
      </c>
      <c r="N14" s="112">
        <v>54786</v>
      </c>
      <c r="O14" s="112">
        <v>264949</v>
      </c>
      <c r="P14" s="112">
        <v>548330</v>
      </c>
      <c r="Q14" s="112">
        <v>4919</v>
      </c>
      <c r="R14" s="112">
        <v>26296</v>
      </c>
      <c r="S14" s="112">
        <v>25503</v>
      </c>
      <c r="T14" s="112">
        <v>369840</v>
      </c>
      <c r="U14" s="112">
        <v>527357</v>
      </c>
      <c r="V14" s="112">
        <v>58251</v>
      </c>
      <c r="W14" s="112">
        <v>7424</v>
      </c>
      <c r="X14" s="112">
        <v>21658</v>
      </c>
      <c r="Y14" s="112">
        <v>122326</v>
      </c>
      <c r="Z14" s="112">
        <v>1284</v>
      </c>
      <c r="AA14" s="112">
        <v>232621</v>
      </c>
      <c r="AB14" s="112">
        <v>11314</v>
      </c>
      <c r="AC14" s="112">
        <v>2710</v>
      </c>
      <c r="AD14" s="112">
        <v>24416</v>
      </c>
      <c r="AE14" s="112">
        <v>119257</v>
      </c>
      <c r="AF14" s="112">
        <v>304733</v>
      </c>
      <c r="AG14" s="112">
        <v>1499207</v>
      </c>
      <c r="AH14" s="112">
        <v>13717</v>
      </c>
      <c r="AI14" s="112">
        <v>493581</v>
      </c>
      <c r="AJ14" s="112">
        <v>894680</v>
      </c>
      <c r="AK14" s="112">
        <v>14195</v>
      </c>
      <c r="AL14" s="127">
        <v>47959</v>
      </c>
      <c r="AM14" s="112">
        <v>46363</v>
      </c>
      <c r="AN14" s="116">
        <v>828972</v>
      </c>
      <c r="AO14" s="116">
        <v>5710</v>
      </c>
      <c r="AP14" s="116">
        <v>0</v>
      </c>
      <c r="AQ14" s="112">
        <v>149068</v>
      </c>
      <c r="AR14" s="112">
        <v>296995</v>
      </c>
      <c r="AS14" s="112">
        <v>84568</v>
      </c>
      <c r="AT14" s="112">
        <v>850</v>
      </c>
      <c r="AU14" s="112">
        <v>158715</v>
      </c>
      <c r="AV14" s="112">
        <v>60279</v>
      </c>
      <c r="AW14" s="112">
        <v>50450</v>
      </c>
      <c r="AX14" s="112">
        <v>252922</v>
      </c>
      <c r="AY14" s="112">
        <v>679531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76595</v>
      </c>
      <c r="C15" s="112">
        <v>105577</v>
      </c>
      <c r="D15" s="112">
        <v>19395</v>
      </c>
      <c r="E15" s="112">
        <v>21222</v>
      </c>
      <c r="F15" s="112">
        <v>269391</v>
      </c>
      <c r="G15" s="112">
        <v>4845</v>
      </c>
      <c r="H15" s="112">
        <v>9552</v>
      </c>
      <c r="I15" s="112">
        <v>530933</v>
      </c>
      <c r="J15" s="112">
        <v>90054</v>
      </c>
      <c r="K15" s="112">
        <v>8064</v>
      </c>
      <c r="L15" s="112">
        <v>39215</v>
      </c>
      <c r="M15" s="112">
        <v>60867</v>
      </c>
      <c r="N15" s="112">
        <v>54823</v>
      </c>
      <c r="O15" s="112">
        <v>265149</v>
      </c>
      <c r="P15" s="112">
        <v>548983</v>
      </c>
      <c r="Q15" s="112">
        <v>4924</v>
      </c>
      <c r="R15" s="112">
        <v>26309</v>
      </c>
      <c r="S15" s="112">
        <v>25503</v>
      </c>
      <c r="T15" s="112">
        <v>370029</v>
      </c>
      <c r="U15" s="112">
        <v>527688</v>
      </c>
      <c r="V15" s="112">
        <v>58294</v>
      </c>
      <c r="W15" s="112">
        <v>7425</v>
      </c>
      <c r="X15" s="112">
        <v>21682</v>
      </c>
      <c r="Y15" s="112">
        <v>122389</v>
      </c>
      <c r="Z15" s="112">
        <v>1287</v>
      </c>
      <c r="AA15" s="112">
        <v>232770</v>
      </c>
      <c r="AB15" s="112">
        <v>11316</v>
      </c>
      <c r="AC15" s="112">
        <v>2712</v>
      </c>
      <c r="AD15" s="112">
        <v>24438</v>
      </c>
      <c r="AE15" s="112">
        <v>119355</v>
      </c>
      <c r="AF15" s="112">
        <v>305023</v>
      </c>
      <c r="AG15" s="112">
        <v>1500110</v>
      </c>
      <c r="AH15" s="112">
        <v>13731</v>
      </c>
      <c r="AI15" s="112">
        <v>493598</v>
      </c>
      <c r="AJ15" s="112">
        <v>895344</v>
      </c>
      <c r="AK15" s="112">
        <v>14207</v>
      </c>
      <c r="AL15" s="127">
        <v>47973</v>
      </c>
      <c r="AM15" s="112">
        <v>46460</v>
      </c>
      <c r="AN15" s="116">
        <v>829751</v>
      </c>
      <c r="AO15" s="116">
        <v>5710</v>
      </c>
      <c r="AP15" s="116">
        <v>0</v>
      </c>
      <c r="AQ15" s="112">
        <v>149194</v>
      </c>
      <c r="AR15" s="112">
        <v>297225</v>
      </c>
      <c r="AS15" s="112">
        <v>84640</v>
      </c>
      <c r="AT15" s="112">
        <v>850</v>
      </c>
      <c r="AU15" s="112">
        <v>158864</v>
      </c>
      <c r="AV15" s="112">
        <v>60325</v>
      </c>
      <c r="AW15" s="112">
        <v>50492</v>
      </c>
      <c r="AX15" s="112">
        <v>253130</v>
      </c>
      <c r="AY15" s="112">
        <v>680088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76680</v>
      </c>
      <c r="C16" s="112">
        <v>105726</v>
      </c>
      <c r="D16" s="112">
        <v>19424</v>
      </c>
      <c r="E16" s="112">
        <v>21232</v>
      </c>
      <c r="F16" s="112">
        <v>269578</v>
      </c>
      <c r="G16" s="112">
        <v>4848</v>
      </c>
      <c r="H16" s="112">
        <v>9585</v>
      </c>
      <c r="I16" s="112">
        <v>531301</v>
      </c>
      <c r="J16" s="112">
        <v>90095</v>
      </c>
      <c r="K16" s="112">
        <v>8065</v>
      </c>
      <c r="L16" s="112">
        <v>39245</v>
      </c>
      <c r="M16" s="112">
        <v>60891</v>
      </c>
      <c r="N16" s="112">
        <v>54859</v>
      </c>
      <c r="O16" s="112">
        <v>265356</v>
      </c>
      <c r="P16" s="112">
        <v>549616</v>
      </c>
      <c r="Q16" s="112">
        <v>4929</v>
      </c>
      <c r="R16" s="112">
        <v>26323</v>
      </c>
      <c r="S16" s="112">
        <v>25503</v>
      </c>
      <c r="T16" s="112">
        <v>370212</v>
      </c>
      <c r="U16" s="112">
        <v>528035</v>
      </c>
      <c r="V16" s="112">
        <v>58338</v>
      </c>
      <c r="W16" s="112">
        <v>7433</v>
      </c>
      <c r="X16" s="112">
        <v>21700</v>
      </c>
      <c r="Y16" s="112">
        <v>122461</v>
      </c>
      <c r="Z16" s="112">
        <v>1291</v>
      </c>
      <c r="AA16" s="112">
        <v>232915</v>
      </c>
      <c r="AB16" s="112">
        <v>11316</v>
      </c>
      <c r="AC16" s="112">
        <v>2714</v>
      </c>
      <c r="AD16" s="112">
        <v>24465</v>
      </c>
      <c r="AE16" s="112">
        <v>119466</v>
      </c>
      <c r="AF16" s="112">
        <v>305307</v>
      </c>
      <c r="AG16" s="112">
        <v>1501010</v>
      </c>
      <c r="AH16" s="112">
        <v>13741</v>
      </c>
      <c r="AI16" s="112">
        <v>493614</v>
      </c>
      <c r="AJ16" s="112">
        <v>896089</v>
      </c>
      <c r="AK16" s="112">
        <v>14220</v>
      </c>
      <c r="AL16" s="127">
        <v>47988</v>
      </c>
      <c r="AM16" s="112">
        <v>46558</v>
      </c>
      <c r="AN16" s="116">
        <v>830568</v>
      </c>
      <c r="AO16" s="116">
        <v>5710</v>
      </c>
      <c r="AP16" s="116">
        <v>0</v>
      </c>
      <c r="AQ16" s="112">
        <v>149330</v>
      </c>
      <c r="AR16" s="112">
        <v>297459</v>
      </c>
      <c r="AS16" s="112">
        <v>84715</v>
      </c>
      <c r="AT16" s="112">
        <v>851</v>
      </c>
      <c r="AU16" s="112">
        <v>159004</v>
      </c>
      <c r="AV16" s="112">
        <v>60369</v>
      </c>
      <c r="AW16" s="112">
        <v>50530</v>
      </c>
      <c r="AX16" s="112">
        <v>253324</v>
      </c>
      <c r="AY16" s="112">
        <v>680568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76767</v>
      </c>
      <c r="C17" s="112">
        <v>105893</v>
      </c>
      <c r="D17" s="112">
        <v>19444</v>
      </c>
      <c r="E17" s="112">
        <v>21245</v>
      </c>
      <c r="F17" s="112">
        <v>269765</v>
      </c>
      <c r="G17" s="112">
        <v>4850</v>
      </c>
      <c r="H17" s="112">
        <v>9614</v>
      </c>
      <c r="I17" s="112">
        <v>531680</v>
      </c>
      <c r="J17" s="112">
        <v>90141</v>
      </c>
      <c r="K17" s="112">
        <v>8066</v>
      </c>
      <c r="L17" s="112">
        <v>39279</v>
      </c>
      <c r="M17" s="112">
        <v>60913</v>
      </c>
      <c r="N17" s="112">
        <v>54894</v>
      </c>
      <c r="O17" s="112">
        <v>265562</v>
      </c>
      <c r="P17" s="112">
        <v>550088</v>
      </c>
      <c r="Q17" s="112">
        <v>4934</v>
      </c>
      <c r="R17" s="112">
        <v>26336</v>
      </c>
      <c r="S17" s="112">
        <v>25503</v>
      </c>
      <c r="T17" s="112">
        <v>370400</v>
      </c>
      <c r="U17" s="112">
        <v>528375</v>
      </c>
      <c r="V17" s="112">
        <v>58384</v>
      </c>
      <c r="W17" s="112">
        <v>7433</v>
      </c>
      <c r="X17" s="112">
        <v>21710</v>
      </c>
      <c r="Y17" s="112">
        <v>122525</v>
      </c>
      <c r="Z17" s="112">
        <v>1294</v>
      </c>
      <c r="AA17" s="112">
        <v>233053</v>
      </c>
      <c r="AB17" s="112">
        <v>11316</v>
      </c>
      <c r="AC17" s="112">
        <v>2715</v>
      </c>
      <c r="AD17" s="112">
        <v>24483</v>
      </c>
      <c r="AE17" s="112">
        <v>119587</v>
      </c>
      <c r="AF17" s="112">
        <v>305578</v>
      </c>
      <c r="AG17" s="112">
        <v>1501851</v>
      </c>
      <c r="AH17" s="112">
        <v>13749</v>
      </c>
      <c r="AI17" s="112">
        <v>493631</v>
      </c>
      <c r="AJ17" s="112">
        <v>896726</v>
      </c>
      <c r="AK17" s="112">
        <v>14233</v>
      </c>
      <c r="AL17" s="127">
        <v>48002</v>
      </c>
      <c r="AM17" s="112">
        <v>46656</v>
      </c>
      <c r="AN17" s="116">
        <v>831240</v>
      </c>
      <c r="AO17" s="116">
        <v>5710</v>
      </c>
      <c r="AP17" s="116">
        <v>0</v>
      </c>
      <c r="AQ17" s="112">
        <v>149471</v>
      </c>
      <c r="AR17" s="112">
        <v>297696</v>
      </c>
      <c r="AS17" s="112">
        <v>84782</v>
      </c>
      <c r="AT17" s="112">
        <v>852</v>
      </c>
      <c r="AU17" s="112">
        <v>159150</v>
      </c>
      <c r="AV17" s="112">
        <v>60406</v>
      </c>
      <c r="AW17" s="112">
        <v>50568</v>
      </c>
      <c r="AX17" s="112">
        <v>253509</v>
      </c>
      <c r="AY17" s="112">
        <v>681249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76854</v>
      </c>
      <c r="C18" s="112">
        <v>106060</v>
      </c>
      <c r="D18" s="112">
        <v>19455</v>
      </c>
      <c r="E18" s="112">
        <v>21253</v>
      </c>
      <c r="F18" s="112">
        <v>269954</v>
      </c>
      <c r="G18" s="112">
        <v>4853</v>
      </c>
      <c r="H18" s="112">
        <v>9650</v>
      </c>
      <c r="I18" s="112">
        <v>532056</v>
      </c>
      <c r="J18" s="112">
        <v>90203</v>
      </c>
      <c r="K18" s="112">
        <v>8066</v>
      </c>
      <c r="L18" s="112">
        <v>39309</v>
      </c>
      <c r="M18" s="112">
        <v>60927</v>
      </c>
      <c r="N18" s="112">
        <v>54927</v>
      </c>
      <c r="O18" s="112">
        <v>265759</v>
      </c>
      <c r="P18" s="112">
        <v>550684</v>
      </c>
      <c r="Q18" s="112">
        <v>4942</v>
      </c>
      <c r="R18" s="112">
        <v>26347</v>
      </c>
      <c r="S18" s="112">
        <v>25503</v>
      </c>
      <c r="T18" s="112">
        <v>370584</v>
      </c>
      <c r="U18" s="112">
        <v>528714</v>
      </c>
      <c r="V18" s="112">
        <v>58426</v>
      </c>
      <c r="W18" s="112">
        <v>7433</v>
      </c>
      <c r="X18" s="112">
        <v>21722</v>
      </c>
      <c r="Y18" s="112">
        <v>122587</v>
      </c>
      <c r="Z18" s="112">
        <v>1298</v>
      </c>
      <c r="AA18" s="112">
        <v>233193</v>
      </c>
      <c r="AB18" s="112">
        <v>11317</v>
      </c>
      <c r="AC18" s="112">
        <v>2717</v>
      </c>
      <c r="AD18" s="112">
        <v>24508</v>
      </c>
      <c r="AE18" s="112">
        <v>119706</v>
      </c>
      <c r="AF18" s="112">
        <v>305851</v>
      </c>
      <c r="AG18" s="112">
        <v>1520616</v>
      </c>
      <c r="AH18" s="112">
        <v>13760</v>
      </c>
      <c r="AI18" s="112">
        <v>493648</v>
      </c>
      <c r="AJ18" s="112">
        <v>897429</v>
      </c>
      <c r="AK18" s="112">
        <v>14248</v>
      </c>
      <c r="AL18" s="127">
        <v>48016</v>
      </c>
      <c r="AM18" s="112">
        <v>46747</v>
      </c>
      <c r="AN18" s="116">
        <v>832074</v>
      </c>
      <c r="AO18" s="116">
        <v>5710</v>
      </c>
      <c r="AP18" s="116">
        <v>0</v>
      </c>
      <c r="AQ18" s="112">
        <v>149611</v>
      </c>
      <c r="AR18" s="112">
        <v>297945</v>
      </c>
      <c r="AS18" s="112">
        <v>84851</v>
      </c>
      <c r="AT18" s="112">
        <v>852</v>
      </c>
      <c r="AU18" s="112">
        <v>159304</v>
      </c>
      <c r="AV18" s="112">
        <v>60443</v>
      </c>
      <c r="AW18" s="112">
        <v>50604</v>
      </c>
      <c r="AX18" s="112">
        <v>253706</v>
      </c>
      <c r="AY18" s="112">
        <v>681786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76931</v>
      </c>
      <c r="C19" s="112">
        <v>106223</v>
      </c>
      <c r="D19" s="112">
        <v>19476</v>
      </c>
      <c r="E19" s="112">
        <v>21255</v>
      </c>
      <c r="F19" s="112">
        <v>270135</v>
      </c>
      <c r="G19" s="112">
        <v>4856</v>
      </c>
      <c r="H19" s="112">
        <v>9658</v>
      </c>
      <c r="I19" s="112">
        <v>532436</v>
      </c>
      <c r="J19" s="112">
        <v>90251</v>
      </c>
      <c r="K19" s="112">
        <v>8067</v>
      </c>
      <c r="L19" s="112">
        <v>39343</v>
      </c>
      <c r="M19" s="112">
        <v>60952</v>
      </c>
      <c r="N19" s="112">
        <v>54957</v>
      </c>
      <c r="O19" s="112">
        <v>265954</v>
      </c>
      <c r="P19" s="112">
        <v>551165</v>
      </c>
      <c r="Q19" s="112">
        <v>4947</v>
      </c>
      <c r="R19" s="112">
        <v>26361</v>
      </c>
      <c r="S19" s="112">
        <v>25503</v>
      </c>
      <c r="T19" s="112">
        <v>370768</v>
      </c>
      <c r="U19" s="112">
        <v>529041</v>
      </c>
      <c r="V19" s="112">
        <v>58466</v>
      </c>
      <c r="W19" s="112">
        <v>7433</v>
      </c>
      <c r="X19" s="112">
        <v>21736</v>
      </c>
      <c r="Y19" s="112">
        <v>122662</v>
      </c>
      <c r="Z19" s="112">
        <v>1301</v>
      </c>
      <c r="AA19" s="112">
        <v>233325</v>
      </c>
      <c r="AB19" s="112">
        <v>11318</v>
      </c>
      <c r="AC19" s="112">
        <v>2718</v>
      </c>
      <c r="AD19" s="112">
        <v>24536</v>
      </c>
      <c r="AE19" s="112">
        <v>119824</v>
      </c>
      <c r="AF19" s="112">
        <v>306107</v>
      </c>
      <c r="AG19" s="112">
        <v>1503420</v>
      </c>
      <c r="AH19" s="112">
        <v>13773</v>
      </c>
      <c r="AI19" s="112">
        <v>493665</v>
      </c>
      <c r="AJ19" s="112">
        <v>898079</v>
      </c>
      <c r="AK19" s="112">
        <v>14262</v>
      </c>
      <c r="AL19" s="127">
        <v>48030</v>
      </c>
      <c r="AM19" s="112">
        <v>46844</v>
      </c>
      <c r="AN19" s="116">
        <v>832890</v>
      </c>
      <c r="AO19" s="116">
        <v>5710</v>
      </c>
      <c r="AP19" s="116">
        <v>0</v>
      </c>
      <c r="AQ19" s="112">
        <v>149740</v>
      </c>
      <c r="AR19" s="112">
        <v>298187</v>
      </c>
      <c r="AS19" s="112">
        <v>84926</v>
      </c>
      <c r="AT19" s="112">
        <v>853</v>
      </c>
      <c r="AU19" s="112">
        <v>159453</v>
      </c>
      <c r="AV19" s="112">
        <v>60480</v>
      </c>
      <c r="AW19" s="112">
        <v>50634</v>
      </c>
      <c r="AX19" s="112">
        <v>253855</v>
      </c>
      <c r="AY19" s="112">
        <v>682348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77009</v>
      </c>
      <c r="C20" s="112">
        <v>106381</v>
      </c>
      <c r="D20" s="112">
        <v>19502</v>
      </c>
      <c r="E20" s="112">
        <v>21264</v>
      </c>
      <c r="F20" s="112">
        <v>270342</v>
      </c>
      <c r="G20" s="112">
        <v>4858</v>
      </c>
      <c r="H20" s="112">
        <v>9668</v>
      </c>
      <c r="I20" s="112">
        <v>532826</v>
      </c>
      <c r="J20" s="112">
        <v>90303</v>
      </c>
      <c r="K20" s="112">
        <v>8067</v>
      </c>
      <c r="L20" s="112">
        <v>39374</v>
      </c>
      <c r="M20" s="112">
        <v>60979</v>
      </c>
      <c r="N20" s="112">
        <v>54991</v>
      </c>
      <c r="O20" s="112">
        <v>266150</v>
      </c>
      <c r="P20" s="112">
        <v>551629</v>
      </c>
      <c r="Q20" s="112">
        <v>4955</v>
      </c>
      <c r="R20" s="112">
        <v>26373</v>
      </c>
      <c r="S20" s="112">
        <v>25503</v>
      </c>
      <c r="T20" s="112">
        <v>370958</v>
      </c>
      <c r="U20" s="112">
        <v>529353</v>
      </c>
      <c r="V20" s="112">
        <v>58504</v>
      </c>
      <c r="W20" s="112">
        <v>7433</v>
      </c>
      <c r="X20" s="112">
        <v>21749</v>
      </c>
      <c r="Y20" s="112">
        <v>122735</v>
      </c>
      <c r="Z20" s="112">
        <v>1302</v>
      </c>
      <c r="AA20" s="112">
        <v>233460</v>
      </c>
      <c r="AB20" s="112">
        <v>11318</v>
      </c>
      <c r="AC20" s="112">
        <v>2720</v>
      </c>
      <c r="AD20" s="112">
        <v>24557</v>
      </c>
      <c r="AE20" s="112">
        <v>119917</v>
      </c>
      <c r="AF20" s="112">
        <v>306374</v>
      </c>
      <c r="AG20" s="112">
        <v>1504264</v>
      </c>
      <c r="AH20" s="112">
        <v>13785</v>
      </c>
      <c r="AI20" s="112">
        <v>493682</v>
      </c>
      <c r="AJ20" s="116">
        <v>898611</v>
      </c>
      <c r="AK20" s="116">
        <v>14277</v>
      </c>
      <c r="AL20" s="127">
        <v>48044</v>
      </c>
      <c r="AM20" s="116">
        <v>46935</v>
      </c>
      <c r="AN20" s="116">
        <v>833717</v>
      </c>
      <c r="AO20" s="116">
        <v>5710</v>
      </c>
      <c r="AP20" s="116">
        <v>0</v>
      </c>
      <c r="AQ20" s="116">
        <v>149858</v>
      </c>
      <c r="AR20" s="116">
        <v>298412</v>
      </c>
      <c r="AS20" s="116">
        <v>84999</v>
      </c>
      <c r="AT20" s="116">
        <v>853</v>
      </c>
      <c r="AU20" s="116">
        <v>159571</v>
      </c>
      <c r="AV20" s="116">
        <v>60522</v>
      </c>
      <c r="AW20" s="116">
        <v>50668</v>
      </c>
      <c r="AX20" s="116">
        <v>253962</v>
      </c>
      <c r="AY20" s="116">
        <v>682911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77085</v>
      </c>
      <c r="C21" s="112">
        <v>106554</v>
      </c>
      <c r="D21" s="112">
        <v>19520</v>
      </c>
      <c r="E21" s="112">
        <v>21275</v>
      </c>
      <c r="F21" s="112">
        <v>270534</v>
      </c>
      <c r="G21" s="112">
        <v>4861</v>
      </c>
      <c r="H21" s="112">
        <v>9673</v>
      </c>
      <c r="I21" s="112">
        <v>533209</v>
      </c>
      <c r="J21" s="112">
        <v>90354</v>
      </c>
      <c r="K21" s="112">
        <v>8068</v>
      </c>
      <c r="L21" s="112">
        <v>39406</v>
      </c>
      <c r="M21" s="112">
        <v>61006</v>
      </c>
      <c r="N21" s="112">
        <v>55027</v>
      </c>
      <c r="O21" s="112">
        <v>266365</v>
      </c>
      <c r="P21" s="112">
        <v>552082</v>
      </c>
      <c r="Q21" s="112">
        <v>4964</v>
      </c>
      <c r="R21" s="112">
        <v>26386</v>
      </c>
      <c r="S21" s="112">
        <v>25503</v>
      </c>
      <c r="T21" s="112">
        <v>371151</v>
      </c>
      <c r="U21" s="112">
        <v>529685</v>
      </c>
      <c r="V21" s="112">
        <v>58543</v>
      </c>
      <c r="W21" s="112">
        <v>7433</v>
      </c>
      <c r="X21" s="112">
        <v>21763</v>
      </c>
      <c r="Y21" s="112">
        <v>122808</v>
      </c>
      <c r="Z21" s="112">
        <v>1302</v>
      </c>
      <c r="AA21" s="112">
        <v>233599</v>
      </c>
      <c r="AB21" s="112">
        <v>11318</v>
      </c>
      <c r="AC21" s="112">
        <v>2722</v>
      </c>
      <c r="AD21" s="112">
        <v>24567</v>
      </c>
      <c r="AE21" s="112">
        <v>120020</v>
      </c>
      <c r="AF21" s="112">
        <v>306581</v>
      </c>
      <c r="AG21" s="112">
        <v>1505104</v>
      </c>
      <c r="AH21" s="112">
        <v>13795</v>
      </c>
      <c r="AI21" s="112">
        <v>493699</v>
      </c>
      <c r="AJ21" s="116">
        <v>899173</v>
      </c>
      <c r="AK21" s="116">
        <v>14292</v>
      </c>
      <c r="AL21" s="127">
        <v>48059</v>
      </c>
      <c r="AM21" s="116">
        <v>47025</v>
      </c>
      <c r="AN21" s="116">
        <v>834283</v>
      </c>
      <c r="AO21" s="116">
        <v>5710</v>
      </c>
      <c r="AP21" s="116">
        <v>0</v>
      </c>
      <c r="AQ21" s="116">
        <v>149971</v>
      </c>
      <c r="AR21" s="116">
        <v>298645</v>
      </c>
      <c r="AS21" s="116">
        <v>85074</v>
      </c>
      <c r="AT21" s="116">
        <v>854</v>
      </c>
      <c r="AU21" s="116">
        <v>159708</v>
      </c>
      <c r="AV21" s="116">
        <v>60575</v>
      </c>
      <c r="AW21" s="116">
        <v>50711</v>
      </c>
      <c r="AX21" s="116">
        <v>254115</v>
      </c>
      <c r="AY21" s="116">
        <v>683481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77169</v>
      </c>
      <c r="C22" s="112">
        <v>106742</v>
      </c>
      <c r="D22" s="112">
        <v>19542</v>
      </c>
      <c r="E22" s="112">
        <v>21282</v>
      </c>
      <c r="F22" s="112">
        <v>270733</v>
      </c>
      <c r="G22" s="112">
        <v>4864</v>
      </c>
      <c r="H22" s="112">
        <v>9681</v>
      </c>
      <c r="I22" s="112">
        <v>533590</v>
      </c>
      <c r="J22" s="112">
        <v>90406</v>
      </c>
      <c r="K22" s="112">
        <v>8068</v>
      </c>
      <c r="L22" s="112">
        <v>39435</v>
      </c>
      <c r="M22" s="112">
        <v>61025</v>
      </c>
      <c r="N22" s="112">
        <v>55061</v>
      </c>
      <c r="O22" s="112">
        <v>266560</v>
      </c>
      <c r="P22" s="112">
        <v>552546</v>
      </c>
      <c r="Q22" s="112">
        <v>4911</v>
      </c>
      <c r="R22" s="112">
        <v>26397</v>
      </c>
      <c r="S22" s="112">
        <v>25503</v>
      </c>
      <c r="T22" s="112">
        <v>371349</v>
      </c>
      <c r="U22" s="112">
        <v>530044</v>
      </c>
      <c r="V22" s="112">
        <v>58582</v>
      </c>
      <c r="W22" s="112">
        <v>7437</v>
      </c>
      <c r="X22" s="112">
        <v>21775</v>
      </c>
      <c r="Y22" s="112">
        <v>122878</v>
      </c>
      <c r="Z22" s="112">
        <v>1302</v>
      </c>
      <c r="AA22" s="112">
        <v>233735</v>
      </c>
      <c r="AB22" s="112">
        <v>11319</v>
      </c>
      <c r="AC22" s="112">
        <v>2723</v>
      </c>
      <c r="AD22" s="112">
        <v>24583</v>
      </c>
      <c r="AE22" s="112">
        <v>120124</v>
      </c>
      <c r="AF22" s="112">
        <v>306813</v>
      </c>
      <c r="AG22" s="112">
        <v>1505942</v>
      </c>
      <c r="AH22" s="112">
        <v>13801</v>
      </c>
      <c r="AI22" s="112">
        <v>493715</v>
      </c>
      <c r="AJ22" s="116">
        <v>899743</v>
      </c>
      <c r="AK22" s="116">
        <v>14303</v>
      </c>
      <c r="AL22" s="127">
        <v>48073</v>
      </c>
      <c r="AM22" s="116">
        <v>47115</v>
      </c>
      <c r="AN22" s="116">
        <v>834871</v>
      </c>
      <c r="AO22" s="116">
        <v>5710</v>
      </c>
      <c r="AP22" s="116">
        <v>0</v>
      </c>
      <c r="AQ22" s="116">
        <v>150086</v>
      </c>
      <c r="AR22" s="116">
        <v>298878</v>
      </c>
      <c r="AS22" s="116">
        <v>85147</v>
      </c>
      <c r="AT22" s="116">
        <v>855</v>
      </c>
      <c r="AU22" s="116">
        <v>159853</v>
      </c>
      <c r="AV22" s="116">
        <v>60622</v>
      </c>
      <c r="AW22" s="116">
        <v>50756</v>
      </c>
      <c r="AX22" s="116">
        <v>254276</v>
      </c>
      <c r="AY22" s="116">
        <v>684034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77253</v>
      </c>
      <c r="C23" s="112">
        <v>106912</v>
      </c>
      <c r="D23" s="112">
        <v>19555</v>
      </c>
      <c r="E23" s="112">
        <v>21293</v>
      </c>
      <c r="F23" s="112">
        <v>270915</v>
      </c>
      <c r="G23" s="112">
        <v>4866</v>
      </c>
      <c r="H23" s="112">
        <v>9700</v>
      </c>
      <c r="I23" s="112">
        <v>534007</v>
      </c>
      <c r="J23" s="112">
        <v>90463</v>
      </c>
      <c r="K23" s="112">
        <v>8069</v>
      </c>
      <c r="L23" s="112">
        <v>39462</v>
      </c>
      <c r="M23" s="112">
        <v>61047</v>
      </c>
      <c r="N23" s="112">
        <v>55099</v>
      </c>
      <c r="O23" s="112">
        <v>266759</v>
      </c>
      <c r="P23" s="112">
        <v>552979</v>
      </c>
      <c r="Q23" s="112">
        <v>4978</v>
      </c>
      <c r="R23" s="112">
        <v>26410</v>
      </c>
      <c r="S23" s="112">
        <v>25503</v>
      </c>
      <c r="T23" s="112">
        <v>371541</v>
      </c>
      <c r="U23" s="112">
        <v>530401</v>
      </c>
      <c r="V23" s="112">
        <v>58624</v>
      </c>
      <c r="W23" s="112">
        <v>7448</v>
      </c>
      <c r="X23" s="112">
        <v>21791</v>
      </c>
      <c r="Y23" s="112">
        <v>12949</v>
      </c>
      <c r="Z23" s="112">
        <v>1302</v>
      </c>
      <c r="AA23" s="112">
        <v>233871</v>
      </c>
      <c r="AB23" s="112">
        <v>11320</v>
      </c>
      <c r="AC23" s="112">
        <v>2725</v>
      </c>
      <c r="AD23" s="112">
        <v>24594</v>
      </c>
      <c r="AE23" s="112">
        <v>120228</v>
      </c>
      <c r="AF23" s="112">
        <v>307038</v>
      </c>
      <c r="AG23" s="112">
        <v>1506795</v>
      </c>
      <c r="AH23" s="112">
        <v>13807</v>
      </c>
      <c r="AI23" s="112">
        <v>493733</v>
      </c>
      <c r="AJ23" s="112">
        <v>900281</v>
      </c>
      <c r="AK23" s="112">
        <v>14315</v>
      </c>
      <c r="AL23" s="127">
        <v>48087</v>
      </c>
      <c r="AM23" s="112">
        <v>47211</v>
      </c>
      <c r="AN23" s="116">
        <v>835467</v>
      </c>
      <c r="AO23" s="116">
        <v>5710</v>
      </c>
      <c r="AP23" s="116">
        <v>0</v>
      </c>
      <c r="AQ23" s="112">
        <v>150209</v>
      </c>
      <c r="AR23" s="112">
        <v>299123</v>
      </c>
      <c r="AS23" s="112">
        <v>85229</v>
      </c>
      <c r="AT23" s="112">
        <v>855</v>
      </c>
      <c r="AU23" s="112">
        <v>159998</v>
      </c>
      <c r="AV23" s="112">
        <v>60669</v>
      </c>
      <c r="AW23" s="112">
        <v>50797</v>
      </c>
      <c r="AX23" s="112">
        <v>254438</v>
      </c>
      <c r="AY23" s="112">
        <v>684571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77334</v>
      </c>
      <c r="C24" s="112">
        <v>107084</v>
      </c>
      <c r="D24" s="112">
        <v>19562</v>
      </c>
      <c r="E24" s="112">
        <v>21304</v>
      </c>
      <c r="F24" s="112">
        <v>271101</v>
      </c>
      <c r="G24" s="112">
        <v>4869</v>
      </c>
      <c r="H24" s="112">
        <v>9714</v>
      </c>
      <c r="I24" s="112">
        <v>534413</v>
      </c>
      <c r="J24" s="112">
        <v>90518</v>
      </c>
      <c r="K24" s="112">
        <v>8069</v>
      </c>
      <c r="L24" s="112">
        <v>39487</v>
      </c>
      <c r="M24" s="112">
        <v>61076</v>
      </c>
      <c r="N24" s="112">
        <v>55133</v>
      </c>
      <c r="O24" s="112">
        <v>266955</v>
      </c>
      <c r="P24" s="112">
        <v>553416</v>
      </c>
      <c r="Q24" s="112">
        <v>4985</v>
      </c>
      <c r="R24" s="112">
        <v>26419</v>
      </c>
      <c r="S24" s="112">
        <v>25503</v>
      </c>
      <c r="T24" s="112">
        <v>371724</v>
      </c>
      <c r="U24" s="112">
        <v>530764</v>
      </c>
      <c r="V24" s="112">
        <v>58670</v>
      </c>
      <c r="W24" s="112">
        <v>7467</v>
      </c>
      <c r="X24" s="112">
        <v>21801</v>
      </c>
      <c r="Y24" s="112">
        <v>123012</v>
      </c>
      <c r="Z24" s="112">
        <v>1302</v>
      </c>
      <c r="AA24" s="112">
        <v>234008</v>
      </c>
      <c r="AB24" s="112">
        <v>11320</v>
      </c>
      <c r="AC24" s="112">
        <v>2726</v>
      </c>
      <c r="AD24" s="112">
        <v>24610</v>
      </c>
      <c r="AE24" s="112">
        <v>120317</v>
      </c>
      <c r="AF24" s="112">
        <v>307265</v>
      </c>
      <c r="AG24" s="112">
        <v>1507615</v>
      </c>
      <c r="AH24" s="112">
        <v>13815</v>
      </c>
      <c r="AI24" s="112">
        <v>493750</v>
      </c>
      <c r="AJ24" s="112">
        <v>900950</v>
      </c>
      <c r="AK24" s="112">
        <v>14327</v>
      </c>
      <c r="AL24" s="127">
        <v>48102</v>
      </c>
      <c r="AM24" s="112">
        <v>47302</v>
      </c>
      <c r="AN24" s="116">
        <v>836102</v>
      </c>
      <c r="AO24" s="116">
        <v>5710</v>
      </c>
      <c r="AP24" s="116">
        <v>0</v>
      </c>
      <c r="AQ24" s="112">
        <v>150330</v>
      </c>
      <c r="AR24" s="112">
        <v>299361</v>
      </c>
      <c r="AS24" s="112">
        <v>85302</v>
      </c>
      <c r="AT24" s="112">
        <v>856</v>
      </c>
      <c r="AU24" s="112">
        <v>160144</v>
      </c>
      <c r="AV24" s="112">
        <v>60721</v>
      </c>
      <c r="AW24" s="112">
        <v>50840</v>
      </c>
      <c r="AX24" s="112">
        <v>254588</v>
      </c>
      <c r="AY24" s="112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27"/>
      <c r="AM25" s="112"/>
      <c r="AN25" s="116"/>
      <c r="AO25" s="116"/>
      <c r="AP25" s="116"/>
      <c r="AQ25" s="112"/>
      <c r="AR25" s="112"/>
      <c r="AS25" s="112"/>
      <c r="AT25" s="112"/>
      <c r="AU25" s="112"/>
      <c r="AV25" s="112"/>
      <c r="AW25" s="112"/>
      <c r="AX25" s="112"/>
      <c r="AY25" s="112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7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7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7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7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7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7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7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7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2021-07-18T11:45:17Z</dcterms:modified>
</cp:coreProperties>
</file>